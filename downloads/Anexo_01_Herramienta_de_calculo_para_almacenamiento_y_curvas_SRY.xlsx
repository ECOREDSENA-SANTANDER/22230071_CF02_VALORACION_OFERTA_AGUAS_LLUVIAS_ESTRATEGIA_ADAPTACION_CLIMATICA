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ENA\2026 APOYO RED AMBIENTAL\CORRECCIONES\"/>
    </mc:Choice>
  </mc:AlternateContent>
  <xr:revisionPtr revIDLastSave="0" documentId="13_ncr:1_{8CF6DEDE-4BBC-4DA4-AC4A-950FD39240B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strucciones de uso" sheetId="4" r:id="rId1"/>
    <sheet name="Hoja 4 - Cálculo" sheetId="1" r:id="rId2"/>
    <sheet name="Curvas SRY" sheetId="2" r:id="rId3"/>
    <sheet name="Soporte SRY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43" i="3" l="1"/>
  <c r="E2643" i="3"/>
  <c r="D2643" i="3"/>
  <c r="H2643" i="3" s="1"/>
  <c r="I2643" i="3" s="1"/>
  <c r="C2643" i="3"/>
  <c r="B2643" i="3"/>
  <c r="A2643" i="3"/>
  <c r="F2642" i="3"/>
  <c r="E2642" i="3"/>
  <c r="D2642" i="3"/>
  <c r="H2642" i="3" s="1"/>
  <c r="I2642" i="3" s="1"/>
  <c r="C2642" i="3"/>
  <c r="B2642" i="3"/>
  <c r="A2642" i="3"/>
  <c r="H2641" i="3"/>
  <c r="I2641" i="3" s="1"/>
  <c r="F2641" i="3"/>
  <c r="E2641" i="3"/>
  <c r="D2641" i="3"/>
  <c r="C2641" i="3"/>
  <c r="B2641" i="3"/>
  <c r="A2641" i="3"/>
  <c r="H2640" i="3"/>
  <c r="I2640" i="3" s="1"/>
  <c r="F2640" i="3"/>
  <c r="E2640" i="3"/>
  <c r="D2640" i="3"/>
  <c r="C2640" i="3"/>
  <c r="B2640" i="3"/>
  <c r="A2640" i="3"/>
  <c r="F2639" i="3"/>
  <c r="E2639" i="3"/>
  <c r="D2639" i="3"/>
  <c r="H2639" i="3" s="1"/>
  <c r="I2639" i="3" s="1"/>
  <c r="C2639" i="3"/>
  <c r="B2639" i="3"/>
  <c r="A2639" i="3"/>
  <c r="H2638" i="3"/>
  <c r="I2638" i="3" s="1"/>
  <c r="F2638" i="3"/>
  <c r="E2638" i="3"/>
  <c r="D2638" i="3"/>
  <c r="C2638" i="3"/>
  <c r="B2638" i="3"/>
  <c r="A2638" i="3"/>
  <c r="H2637" i="3"/>
  <c r="I2637" i="3" s="1"/>
  <c r="F2637" i="3"/>
  <c r="E2637" i="3"/>
  <c r="D2637" i="3"/>
  <c r="C2637" i="3"/>
  <c r="B2637" i="3"/>
  <c r="A2637" i="3"/>
  <c r="F2636" i="3"/>
  <c r="E2636" i="3"/>
  <c r="D2636" i="3"/>
  <c r="H2636" i="3" s="1"/>
  <c r="I2636" i="3" s="1"/>
  <c r="C2636" i="3"/>
  <c r="B2636" i="3"/>
  <c r="A2636" i="3"/>
  <c r="H2635" i="3"/>
  <c r="I2635" i="3" s="1"/>
  <c r="F2635" i="3"/>
  <c r="E2635" i="3"/>
  <c r="D2635" i="3"/>
  <c r="C2635" i="3"/>
  <c r="B2635" i="3"/>
  <c r="A2635" i="3"/>
  <c r="I2634" i="3"/>
  <c r="F2634" i="3"/>
  <c r="E2634" i="3"/>
  <c r="D2634" i="3"/>
  <c r="H2634" i="3" s="1"/>
  <c r="C2634" i="3"/>
  <c r="B2634" i="3"/>
  <c r="A2634" i="3"/>
  <c r="F2633" i="3"/>
  <c r="E2633" i="3"/>
  <c r="D2633" i="3"/>
  <c r="H2633" i="3" s="1"/>
  <c r="I2633" i="3" s="1"/>
  <c r="C2633" i="3"/>
  <c r="B2633" i="3"/>
  <c r="A2633" i="3"/>
  <c r="H2632" i="3"/>
  <c r="I2632" i="3" s="1"/>
  <c r="F2632" i="3"/>
  <c r="E2632" i="3"/>
  <c r="D2632" i="3"/>
  <c r="C2632" i="3"/>
  <c r="B2632" i="3"/>
  <c r="A2632" i="3"/>
  <c r="F2631" i="3"/>
  <c r="E2631" i="3"/>
  <c r="D2631" i="3"/>
  <c r="H2631" i="3" s="1"/>
  <c r="I2631" i="3" s="1"/>
  <c r="C2631" i="3"/>
  <c r="B2631" i="3"/>
  <c r="A2631" i="3"/>
  <c r="H2630" i="3"/>
  <c r="I2630" i="3" s="1"/>
  <c r="F2630" i="3"/>
  <c r="E2630" i="3"/>
  <c r="D2630" i="3"/>
  <c r="C2630" i="3"/>
  <c r="B2630" i="3"/>
  <c r="A2630" i="3"/>
  <c r="I2629" i="3"/>
  <c r="H2629" i="3"/>
  <c r="F2629" i="3"/>
  <c r="E2629" i="3"/>
  <c r="D2629" i="3"/>
  <c r="C2629" i="3"/>
  <c r="B2629" i="3"/>
  <c r="A2629" i="3"/>
  <c r="F2628" i="3"/>
  <c r="E2628" i="3"/>
  <c r="D2628" i="3"/>
  <c r="H2628" i="3" s="1"/>
  <c r="I2628" i="3" s="1"/>
  <c r="C2628" i="3"/>
  <c r="B2628" i="3"/>
  <c r="A2628" i="3"/>
  <c r="F2627" i="3"/>
  <c r="E2627" i="3"/>
  <c r="D2627" i="3"/>
  <c r="H2627" i="3" s="1"/>
  <c r="I2627" i="3" s="1"/>
  <c r="C2627" i="3"/>
  <c r="B2627" i="3"/>
  <c r="A2627" i="3"/>
  <c r="I2626" i="3"/>
  <c r="F2626" i="3"/>
  <c r="E2626" i="3"/>
  <c r="D2626" i="3"/>
  <c r="H2626" i="3" s="1"/>
  <c r="C2626" i="3"/>
  <c r="B2626" i="3"/>
  <c r="A2626" i="3"/>
  <c r="F2625" i="3"/>
  <c r="E2625" i="3"/>
  <c r="D2625" i="3"/>
  <c r="H2625" i="3" s="1"/>
  <c r="I2625" i="3" s="1"/>
  <c r="C2625" i="3"/>
  <c r="B2625" i="3"/>
  <c r="A2625" i="3"/>
  <c r="H2624" i="3"/>
  <c r="I2624" i="3" s="1"/>
  <c r="F2624" i="3"/>
  <c r="E2624" i="3"/>
  <c r="D2624" i="3"/>
  <c r="C2624" i="3"/>
  <c r="B2624" i="3"/>
  <c r="A2624" i="3"/>
  <c r="F2623" i="3"/>
  <c r="E2623" i="3"/>
  <c r="D2623" i="3"/>
  <c r="H2623" i="3" s="1"/>
  <c r="I2623" i="3" s="1"/>
  <c r="C2623" i="3"/>
  <c r="B2623" i="3"/>
  <c r="A2623" i="3"/>
  <c r="H2622" i="3"/>
  <c r="I2622" i="3" s="1"/>
  <c r="F2622" i="3"/>
  <c r="E2622" i="3"/>
  <c r="D2622" i="3"/>
  <c r="C2622" i="3"/>
  <c r="B2622" i="3"/>
  <c r="A2622" i="3"/>
  <c r="H2621" i="3"/>
  <c r="I2621" i="3" s="1"/>
  <c r="F2621" i="3"/>
  <c r="E2621" i="3"/>
  <c r="D2621" i="3"/>
  <c r="C2621" i="3"/>
  <c r="B2621" i="3"/>
  <c r="A2621" i="3"/>
  <c r="F2620" i="3"/>
  <c r="E2620" i="3"/>
  <c r="D2620" i="3"/>
  <c r="H2620" i="3" s="1"/>
  <c r="I2620" i="3" s="1"/>
  <c r="C2620" i="3"/>
  <c r="B2620" i="3"/>
  <c r="A2620" i="3"/>
  <c r="F2619" i="3"/>
  <c r="E2619" i="3"/>
  <c r="D2619" i="3"/>
  <c r="H2619" i="3" s="1"/>
  <c r="I2619" i="3" s="1"/>
  <c r="C2619" i="3"/>
  <c r="B2619" i="3"/>
  <c r="A2619" i="3"/>
  <c r="F2618" i="3"/>
  <c r="E2618" i="3"/>
  <c r="D2618" i="3"/>
  <c r="H2618" i="3" s="1"/>
  <c r="I2618" i="3" s="1"/>
  <c r="C2618" i="3"/>
  <c r="B2618" i="3"/>
  <c r="A2618" i="3"/>
  <c r="F2617" i="3"/>
  <c r="E2617" i="3"/>
  <c r="D2617" i="3"/>
  <c r="H2617" i="3" s="1"/>
  <c r="I2617" i="3" s="1"/>
  <c r="C2617" i="3"/>
  <c r="B2617" i="3"/>
  <c r="A2617" i="3"/>
  <c r="H2616" i="3"/>
  <c r="I2616" i="3" s="1"/>
  <c r="F2616" i="3"/>
  <c r="E2616" i="3"/>
  <c r="D2616" i="3"/>
  <c r="C2616" i="3"/>
  <c r="B2616" i="3"/>
  <c r="A2616" i="3"/>
  <c r="F2615" i="3"/>
  <c r="E2615" i="3"/>
  <c r="D2615" i="3"/>
  <c r="H2615" i="3" s="1"/>
  <c r="I2615" i="3" s="1"/>
  <c r="C2615" i="3"/>
  <c r="B2615" i="3"/>
  <c r="A2615" i="3"/>
  <c r="H2614" i="3"/>
  <c r="I2614" i="3" s="1"/>
  <c r="F2614" i="3"/>
  <c r="E2614" i="3"/>
  <c r="D2614" i="3"/>
  <c r="C2614" i="3"/>
  <c r="B2614" i="3"/>
  <c r="A2614" i="3"/>
  <c r="I2613" i="3"/>
  <c r="H2613" i="3"/>
  <c r="F2613" i="3"/>
  <c r="E2613" i="3"/>
  <c r="D2613" i="3"/>
  <c r="C2613" i="3"/>
  <c r="B2613" i="3"/>
  <c r="A2613" i="3"/>
  <c r="I2612" i="3"/>
  <c r="F2612" i="3"/>
  <c r="E2612" i="3"/>
  <c r="D2612" i="3"/>
  <c r="H2612" i="3" s="1"/>
  <c r="C2612" i="3"/>
  <c r="B2612" i="3"/>
  <c r="A2612" i="3"/>
  <c r="F2611" i="3"/>
  <c r="E2611" i="3"/>
  <c r="D2611" i="3"/>
  <c r="H2611" i="3" s="1"/>
  <c r="I2611" i="3" s="1"/>
  <c r="C2611" i="3"/>
  <c r="B2611" i="3"/>
  <c r="A2611" i="3"/>
  <c r="F2610" i="3"/>
  <c r="E2610" i="3"/>
  <c r="D2610" i="3"/>
  <c r="H2610" i="3" s="1"/>
  <c r="I2610" i="3" s="1"/>
  <c r="C2610" i="3"/>
  <c r="B2610" i="3"/>
  <c r="A2610" i="3"/>
  <c r="F2609" i="3"/>
  <c r="E2609" i="3"/>
  <c r="D2609" i="3"/>
  <c r="H2609" i="3" s="1"/>
  <c r="I2609" i="3" s="1"/>
  <c r="C2609" i="3"/>
  <c r="B2609" i="3"/>
  <c r="A2609" i="3"/>
  <c r="H2608" i="3"/>
  <c r="I2608" i="3" s="1"/>
  <c r="F2608" i="3"/>
  <c r="E2608" i="3"/>
  <c r="D2608" i="3"/>
  <c r="C2608" i="3"/>
  <c r="B2608" i="3"/>
  <c r="A2608" i="3"/>
  <c r="F2607" i="3"/>
  <c r="E2607" i="3"/>
  <c r="D2607" i="3"/>
  <c r="H2607" i="3" s="1"/>
  <c r="I2607" i="3" s="1"/>
  <c r="C2607" i="3"/>
  <c r="B2607" i="3"/>
  <c r="A2607" i="3"/>
  <c r="H2606" i="3"/>
  <c r="I2606" i="3" s="1"/>
  <c r="F2606" i="3"/>
  <c r="E2606" i="3"/>
  <c r="D2606" i="3"/>
  <c r="C2606" i="3"/>
  <c r="B2606" i="3"/>
  <c r="A2606" i="3"/>
  <c r="H2605" i="3"/>
  <c r="I2605" i="3" s="1"/>
  <c r="F2605" i="3"/>
  <c r="E2605" i="3"/>
  <c r="D2605" i="3"/>
  <c r="C2605" i="3"/>
  <c r="B2605" i="3"/>
  <c r="A2605" i="3"/>
  <c r="F2604" i="3"/>
  <c r="E2604" i="3"/>
  <c r="D2604" i="3"/>
  <c r="H2604" i="3" s="1"/>
  <c r="I2604" i="3" s="1"/>
  <c r="C2604" i="3"/>
  <c r="B2604" i="3"/>
  <c r="A2604" i="3"/>
  <c r="H2603" i="3"/>
  <c r="I2603" i="3" s="1"/>
  <c r="F2603" i="3"/>
  <c r="E2603" i="3"/>
  <c r="D2603" i="3"/>
  <c r="C2603" i="3"/>
  <c r="B2603" i="3"/>
  <c r="A2603" i="3"/>
  <c r="I2602" i="3"/>
  <c r="F2602" i="3"/>
  <c r="E2602" i="3"/>
  <c r="D2602" i="3"/>
  <c r="H2602" i="3" s="1"/>
  <c r="C2602" i="3"/>
  <c r="B2602" i="3"/>
  <c r="A2602" i="3"/>
  <c r="H2601" i="3"/>
  <c r="I2601" i="3" s="1"/>
  <c r="F2601" i="3"/>
  <c r="E2601" i="3"/>
  <c r="D2601" i="3"/>
  <c r="C2601" i="3"/>
  <c r="B2601" i="3"/>
  <c r="A2601" i="3"/>
  <c r="H2600" i="3"/>
  <c r="I2600" i="3" s="1"/>
  <c r="F2600" i="3"/>
  <c r="E2600" i="3"/>
  <c r="D2600" i="3"/>
  <c r="C2600" i="3"/>
  <c r="B2600" i="3"/>
  <c r="A2600" i="3"/>
  <c r="F2599" i="3"/>
  <c r="E2599" i="3"/>
  <c r="D2599" i="3"/>
  <c r="H2599" i="3" s="1"/>
  <c r="I2599" i="3" s="1"/>
  <c r="C2599" i="3"/>
  <c r="B2599" i="3"/>
  <c r="A2599" i="3"/>
  <c r="I2598" i="3"/>
  <c r="H2598" i="3"/>
  <c r="F2598" i="3"/>
  <c r="E2598" i="3"/>
  <c r="D2598" i="3"/>
  <c r="C2598" i="3"/>
  <c r="B2598" i="3"/>
  <c r="A2598" i="3"/>
  <c r="F2597" i="3"/>
  <c r="E2597" i="3"/>
  <c r="D2597" i="3"/>
  <c r="H2597" i="3" s="1"/>
  <c r="I2597" i="3" s="1"/>
  <c r="C2597" i="3"/>
  <c r="B2597" i="3"/>
  <c r="A2597" i="3"/>
  <c r="H2596" i="3"/>
  <c r="I2596" i="3" s="1"/>
  <c r="F2596" i="3"/>
  <c r="E2596" i="3"/>
  <c r="D2596" i="3"/>
  <c r="C2596" i="3"/>
  <c r="B2596" i="3"/>
  <c r="A2596" i="3"/>
  <c r="I2595" i="3"/>
  <c r="H2595" i="3"/>
  <c r="F2595" i="3"/>
  <c r="E2595" i="3"/>
  <c r="D2595" i="3"/>
  <c r="C2595" i="3"/>
  <c r="B2595" i="3"/>
  <c r="A2595" i="3"/>
  <c r="I2594" i="3"/>
  <c r="F2594" i="3"/>
  <c r="E2594" i="3"/>
  <c r="D2594" i="3"/>
  <c r="H2594" i="3" s="1"/>
  <c r="C2594" i="3"/>
  <c r="B2594" i="3"/>
  <c r="A2594" i="3"/>
  <c r="F2593" i="3"/>
  <c r="E2593" i="3"/>
  <c r="D2593" i="3"/>
  <c r="H2593" i="3" s="1"/>
  <c r="I2593" i="3" s="1"/>
  <c r="C2593" i="3"/>
  <c r="B2593" i="3"/>
  <c r="A2593" i="3"/>
  <c r="I2592" i="3"/>
  <c r="F2592" i="3"/>
  <c r="E2592" i="3"/>
  <c r="D2592" i="3"/>
  <c r="H2592" i="3" s="1"/>
  <c r="C2592" i="3"/>
  <c r="B2592" i="3"/>
  <c r="A2592" i="3"/>
  <c r="H2591" i="3"/>
  <c r="I2591" i="3" s="1"/>
  <c r="F2591" i="3"/>
  <c r="E2591" i="3"/>
  <c r="D2591" i="3"/>
  <c r="C2591" i="3"/>
  <c r="B2591" i="3"/>
  <c r="A2591" i="3"/>
  <c r="H2590" i="3"/>
  <c r="I2590" i="3" s="1"/>
  <c r="F2590" i="3"/>
  <c r="E2590" i="3"/>
  <c r="D2590" i="3"/>
  <c r="C2590" i="3"/>
  <c r="B2590" i="3"/>
  <c r="A2590" i="3"/>
  <c r="I2589" i="3"/>
  <c r="F2589" i="3"/>
  <c r="E2589" i="3"/>
  <c r="D2589" i="3"/>
  <c r="H2589" i="3" s="1"/>
  <c r="C2589" i="3"/>
  <c r="B2589" i="3"/>
  <c r="A2589" i="3"/>
  <c r="H2588" i="3"/>
  <c r="I2588" i="3" s="1"/>
  <c r="F2588" i="3"/>
  <c r="E2588" i="3"/>
  <c r="D2588" i="3"/>
  <c r="C2588" i="3"/>
  <c r="B2588" i="3"/>
  <c r="A2588" i="3"/>
  <c r="I2587" i="3"/>
  <c r="F2587" i="3"/>
  <c r="E2587" i="3"/>
  <c r="D2587" i="3"/>
  <c r="H2587" i="3" s="1"/>
  <c r="C2587" i="3"/>
  <c r="B2587" i="3"/>
  <c r="A2587" i="3"/>
  <c r="F2586" i="3"/>
  <c r="E2586" i="3"/>
  <c r="D2586" i="3"/>
  <c r="H2586" i="3" s="1"/>
  <c r="I2586" i="3" s="1"/>
  <c r="C2586" i="3"/>
  <c r="B2586" i="3"/>
  <c r="A2586" i="3"/>
  <c r="I2585" i="3"/>
  <c r="H2585" i="3"/>
  <c r="F2585" i="3"/>
  <c r="E2585" i="3"/>
  <c r="D2585" i="3"/>
  <c r="C2585" i="3"/>
  <c r="B2585" i="3"/>
  <c r="A2585" i="3"/>
  <c r="H2584" i="3"/>
  <c r="I2584" i="3" s="1"/>
  <c r="F2584" i="3"/>
  <c r="E2584" i="3"/>
  <c r="D2584" i="3"/>
  <c r="C2584" i="3"/>
  <c r="B2584" i="3"/>
  <c r="A2584" i="3"/>
  <c r="H2583" i="3"/>
  <c r="I2583" i="3" s="1"/>
  <c r="F2583" i="3"/>
  <c r="E2583" i="3"/>
  <c r="D2583" i="3"/>
  <c r="C2583" i="3"/>
  <c r="B2583" i="3"/>
  <c r="A2583" i="3"/>
  <c r="I2582" i="3"/>
  <c r="H2582" i="3"/>
  <c r="F2582" i="3"/>
  <c r="E2582" i="3"/>
  <c r="D2582" i="3"/>
  <c r="C2582" i="3"/>
  <c r="B2582" i="3"/>
  <c r="A2582" i="3"/>
  <c r="I2581" i="3"/>
  <c r="F2581" i="3"/>
  <c r="E2581" i="3"/>
  <c r="D2581" i="3"/>
  <c r="H2581" i="3" s="1"/>
  <c r="C2581" i="3"/>
  <c r="B2581" i="3"/>
  <c r="A2581" i="3"/>
  <c r="I2580" i="3"/>
  <c r="F2580" i="3"/>
  <c r="E2580" i="3"/>
  <c r="D2580" i="3"/>
  <c r="H2580" i="3" s="1"/>
  <c r="C2580" i="3"/>
  <c r="B2580" i="3"/>
  <c r="A2580" i="3"/>
  <c r="I2579" i="3"/>
  <c r="F2579" i="3"/>
  <c r="E2579" i="3"/>
  <c r="D2579" i="3"/>
  <c r="H2579" i="3" s="1"/>
  <c r="C2579" i="3"/>
  <c r="B2579" i="3"/>
  <c r="A2579" i="3"/>
  <c r="F2578" i="3"/>
  <c r="E2578" i="3"/>
  <c r="D2578" i="3"/>
  <c r="H2578" i="3" s="1"/>
  <c r="I2578" i="3" s="1"/>
  <c r="C2578" i="3"/>
  <c r="B2578" i="3"/>
  <c r="A2578" i="3"/>
  <c r="H2577" i="3"/>
  <c r="I2577" i="3" s="1"/>
  <c r="F2577" i="3"/>
  <c r="E2577" i="3"/>
  <c r="D2577" i="3"/>
  <c r="C2577" i="3"/>
  <c r="B2577" i="3"/>
  <c r="A2577" i="3"/>
  <c r="H2576" i="3"/>
  <c r="I2576" i="3" s="1"/>
  <c r="F2576" i="3"/>
  <c r="E2576" i="3"/>
  <c r="D2576" i="3"/>
  <c r="C2576" i="3"/>
  <c r="B2576" i="3"/>
  <c r="A2576" i="3"/>
  <c r="I2575" i="3"/>
  <c r="H2575" i="3"/>
  <c r="F2575" i="3"/>
  <c r="E2575" i="3"/>
  <c r="D2575" i="3"/>
  <c r="C2575" i="3"/>
  <c r="B2575" i="3"/>
  <c r="A2575" i="3"/>
  <c r="H2574" i="3"/>
  <c r="I2574" i="3" s="1"/>
  <c r="F2574" i="3"/>
  <c r="E2574" i="3"/>
  <c r="D2574" i="3"/>
  <c r="C2574" i="3"/>
  <c r="B2574" i="3"/>
  <c r="A2574" i="3"/>
  <c r="F2573" i="3"/>
  <c r="E2573" i="3"/>
  <c r="D2573" i="3"/>
  <c r="H2573" i="3" s="1"/>
  <c r="I2573" i="3" s="1"/>
  <c r="C2573" i="3"/>
  <c r="B2573" i="3"/>
  <c r="A2573" i="3"/>
  <c r="H2572" i="3"/>
  <c r="I2572" i="3" s="1"/>
  <c r="F2572" i="3"/>
  <c r="E2572" i="3"/>
  <c r="D2572" i="3"/>
  <c r="C2572" i="3"/>
  <c r="B2572" i="3"/>
  <c r="A2572" i="3"/>
  <c r="F2571" i="3"/>
  <c r="E2571" i="3"/>
  <c r="D2571" i="3"/>
  <c r="H2571" i="3" s="1"/>
  <c r="I2571" i="3" s="1"/>
  <c r="C2571" i="3"/>
  <c r="B2571" i="3"/>
  <c r="A2571" i="3"/>
  <c r="F2570" i="3"/>
  <c r="E2570" i="3"/>
  <c r="D2570" i="3"/>
  <c r="H2570" i="3" s="1"/>
  <c r="I2570" i="3" s="1"/>
  <c r="C2570" i="3"/>
  <c r="B2570" i="3"/>
  <c r="A2570" i="3"/>
  <c r="I2569" i="3"/>
  <c r="H2569" i="3"/>
  <c r="F2569" i="3"/>
  <c r="E2569" i="3"/>
  <c r="D2569" i="3"/>
  <c r="C2569" i="3"/>
  <c r="B2569" i="3"/>
  <c r="A2569" i="3"/>
  <c r="F2568" i="3"/>
  <c r="E2568" i="3"/>
  <c r="D2568" i="3"/>
  <c r="H2568" i="3" s="1"/>
  <c r="I2568" i="3" s="1"/>
  <c r="C2568" i="3"/>
  <c r="B2568" i="3"/>
  <c r="A2568" i="3"/>
  <c r="I2567" i="3"/>
  <c r="H2567" i="3"/>
  <c r="F2567" i="3"/>
  <c r="E2567" i="3"/>
  <c r="D2567" i="3"/>
  <c r="C2567" i="3"/>
  <c r="B2567" i="3"/>
  <c r="A2567" i="3"/>
  <c r="H2566" i="3"/>
  <c r="I2566" i="3" s="1"/>
  <c r="F2566" i="3"/>
  <c r="E2566" i="3"/>
  <c r="D2566" i="3"/>
  <c r="C2566" i="3"/>
  <c r="B2566" i="3"/>
  <c r="A2566" i="3"/>
  <c r="F2565" i="3"/>
  <c r="E2565" i="3"/>
  <c r="D2565" i="3"/>
  <c r="H2565" i="3" s="1"/>
  <c r="I2565" i="3" s="1"/>
  <c r="C2565" i="3"/>
  <c r="B2565" i="3"/>
  <c r="A2565" i="3"/>
  <c r="H2564" i="3"/>
  <c r="I2564" i="3" s="1"/>
  <c r="F2564" i="3"/>
  <c r="E2564" i="3"/>
  <c r="D2564" i="3"/>
  <c r="C2564" i="3"/>
  <c r="B2564" i="3"/>
  <c r="A2564" i="3"/>
  <c r="I2563" i="3"/>
  <c r="F2563" i="3"/>
  <c r="E2563" i="3"/>
  <c r="D2563" i="3"/>
  <c r="H2563" i="3" s="1"/>
  <c r="C2563" i="3"/>
  <c r="B2563" i="3"/>
  <c r="A2563" i="3"/>
  <c r="F2562" i="3"/>
  <c r="E2562" i="3"/>
  <c r="D2562" i="3"/>
  <c r="H2562" i="3" s="1"/>
  <c r="I2562" i="3" s="1"/>
  <c r="C2562" i="3"/>
  <c r="B2562" i="3"/>
  <c r="A2562" i="3"/>
  <c r="I2561" i="3"/>
  <c r="H2561" i="3"/>
  <c r="F2561" i="3"/>
  <c r="E2561" i="3"/>
  <c r="D2561" i="3"/>
  <c r="C2561" i="3"/>
  <c r="B2561" i="3"/>
  <c r="A2561" i="3"/>
  <c r="F2560" i="3"/>
  <c r="E2560" i="3"/>
  <c r="D2560" i="3"/>
  <c r="H2560" i="3" s="1"/>
  <c r="I2560" i="3" s="1"/>
  <c r="C2560" i="3"/>
  <c r="B2560" i="3"/>
  <c r="A2560" i="3"/>
  <c r="I2559" i="3"/>
  <c r="H2559" i="3"/>
  <c r="F2559" i="3"/>
  <c r="E2559" i="3"/>
  <c r="D2559" i="3"/>
  <c r="C2559" i="3"/>
  <c r="B2559" i="3"/>
  <c r="A2559" i="3"/>
  <c r="H2558" i="3"/>
  <c r="I2558" i="3" s="1"/>
  <c r="F2558" i="3"/>
  <c r="E2558" i="3"/>
  <c r="D2558" i="3"/>
  <c r="C2558" i="3"/>
  <c r="B2558" i="3"/>
  <c r="A2558" i="3"/>
  <c r="I2557" i="3"/>
  <c r="F2557" i="3"/>
  <c r="E2557" i="3"/>
  <c r="D2557" i="3"/>
  <c r="H2557" i="3" s="1"/>
  <c r="C2557" i="3"/>
  <c r="B2557" i="3"/>
  <c r="A2557" i="3"/>
  <c r="F2556" i="3"/>
  <c r="E2556" i="3"/>
  <c r="D2556" i="3"/>
  <c r="H2556" i="3" s="1"/>
  <c r="I2556" i="3" s="1"/>
  <c r="C2556" i="3"/>
  <c r="B2556" i="3"/>
  <c r="A2556" i="3"/>
  <c r="F2555" i="3"/>
  <c r="E2555" i="3"/>
  <c r="D2555" i="3"/>
  <c r="H2555" i="3" s="1"/>
  <c r="I2555" i="3" s="1"/>
  <c r="C2555" i="3"/>
  <c r="B2555" i="3"/>
  <c r="A2555" i="3"/>
  <c r="F2554" i="3"/>
  <c r="E2554" i="3"/>
  <c r="D2554" i="3"/>
  <c r="H2554" i="3" s="1"/>
  <c r="I2554" i="3" s="1"/>
  <c r="C2554" i="3"/>
  <c r="B2554" i="3"/>
  <c r="A2554" i="3"/>
  <c r="H2553" i="3"/>
  <c r="I2553" i="3" s="1"/>
  <c r="F2553" i="3"/>
  <c r="E2553" i="3"/>
  <c r="D2553" i="3"/>
  <c r="C2553" i="3"/>
  <c r="B2553" i="3"/>
  <c r="A2553" i="3"/>
  <c r="F2552" i="3"/>
  <c r="E2552" i="3"/>
  <c r="D2552" i="3"/>
  <c r="H2552" i="3" s="1"/>
  <c r="I2552" i="3" s="1"/>
  <c r="C2552" i="3"/>
  <c r="B2552" i="3"/>
  <c r="A2552" i="3"/>
  <c r="H2551" i="3"/>
  <c r="I2551" i="3" s="1"/>
  <c r="F2551" i="3"/>
  <c r="E2551" i="3"/>
  <c r="D2551" i="3"/>
  <c r="C2551" i="3"/>
  <c r="B2551" i="3"/>
  <c r="A2551" i="3"/>
  <c r="H2550" i="3"/>
  <c r="I2550" i="3" s="1"/>
  <c r="F2550" i="3"/>
  <c r="E2550" i="3"/>
  <c r="D2550" i="3"/>
  <c r="C2550" i="3"/>
  <c r="B2550" i="3"/>
  <c r="A2550" i="3"/>
  <c r="F2549" i="3"/>
  <c r="E2549" i="3"/>
  <c r="D2549" i="3"/>
  <c r="H2549" i="3" s="1"/>
  <c r="I2549" i="3" s="1"/>
  <c r="C2549" i="3"/>
  <c r="B2549" i="3"/>
  <c r="A2549" i="3"/>
  <c r="F2548" i="3"/>
  <c r="E2548" i="3"/>
  <c r="D2548" i="3"/>
  <c r="H2548" i="3" s="1"/>
  <c r="I2548" i="3" s="1"/>
  <c r="C2548" i="3"/>
  <c r="B2548" i="3"/>
  <c r="A2548" i="3"/>
  <c r="F2547" i="3"/>
  <c r="E2547" i="3"/>
  <c r="D2547" i="3"/>
  <c r="H2547" i="3" s="1"/>
  <c r="I2547" i="3" s="1"/>
  <c r="C2547" i="3"/>
  <c r="B2547" i="3"/>
  <c r="A2547" i="3"/>
  <c r="F2546" i="3"/>
  <c r="E2546" i="3"/>
  <c r="D2546" i="3"/>
  <c r="H2546" i="3" s="1"/>
  <c r="I2546" i="3" s="1"/>
  <c r="C2546" i="3"/>
  <c r="B2546" i="3"/>
  <c r="A2546" i="3"/>
  <c r="H2545" i="3"/>
  <c r="I2545" i="3" s="1"/>
  <c r="F2545" i="3"/>
  <c r="E2545" i="3"/>
  <c r="D2545" i="3"/>
  <c r="C2545" i="3"/>
  <c r="B2545" i="3"/>
  <c r="A2545" i="3"/>
  <c r="H2544" i="3"/>
  <c r="I2544" i="3" s="1"/>
  <c r="F2544" i="3"/>
  <c r="E2544" i="3"/>
  <c r="D2544" i="3"/>
  <c r="C2544" i="3"/>
  <c r="B2544" i="3"/>
  <c r="A2544" i="3"/>
  <c r="I2543" i="3"/>
  <c r="H2543" i="3"/>
  <c r="F2543" i="3"/>
  <c r="E2543" i="3"/>
  <c r="D2543" i="3"/>
  <c r="C2543" i="3"/>
  <c r="B2543" i="3"/>
  <c r="A2543" i="3"/>
  <c r="H2542" i="3"/>
  <c r="I2542" i="3" s="1"/>
  <c r="F2542" i="3"/>
  <c r="E2542" i="3"/>
  <c r="D2542" i="3"/>
  <c r="C2542" i="3"/>
  <c r="B2542" i="3"/>
  <c r="A2542" i="3"/>
  <c r="F2541" i="3"/>
  <c r="E2541" i="3"/>
  <c r="D2541" i="3"/>
  <c r="H2541" i="3" s="1"/>
  <c r="I2541" i="3" s="1"/>
  <c r="C2541" i="3"/>
  <c r="B2541" i="3"/>
  <c r="A2541" i="3"/>
  <c r="F2540" i="3"/>
  <c r="E2540" i="3"/>
  <c r="D2540" i="3"/>
  <c r="H2540" i="3" s="1"/>
  <c r="I2540" i="3" s="1"/>
  <c r="C2540" i="3"/>
  <c r="B2540" i="3"/>
  <c r="A2540" i="3"/>
  <c r="F2539" i="3"/>
  <c r="E2539" i="3"/>
  <c r="D2539" i="3"/>
  <c r="H2539" i="3" s="1"/>
  <c r="I2539" i="3" s="1"/>
  <c r="C2539" i="3"/>
  <c r="B2539" i="3"/>
  <c r="A2539" i="3"/>
  <c r="F2538" i="3"/>
  <c r="E2538" i="3"/>
  <c r="D2538" i="3"/>
  <c r="H2538" i="3" s="1"/>
  <c r="I2538" i="3" s="1"/>
  <c r="C2538" i="3"/>
  <c r="B2538" i="3"/>
  <c r="A2538" i="3"/>
  <c r="I2537" i="3"/>
  <c r="F2537" i="3"/>
  <c r="E2537" i="3"/>
  <c r="D2537" i="3"/>
  <c r="H2537" i="3" s="1"/>
  <c r="C2537" i="3"/>
  <c r="B2537" i="3"/>
  <c r="A2537" i="3"/>
  <c r="H2536" i="3"/>
  <c r="I2536" i="3" s="1"/>
  <c r="F2536" i="3"/>
  <c r="E2536" i="3"/>
  <c r="D2536" i="3"/>
  <c r="C2536" i="3"/>
  <c r="B2536" i="3"/>
  <c r="A2536" i="3"/>
  <c r="H2535" i="3"/>
  <c r="I2535" i="3" s="1"/>
  <c r="F2535" i="3"/>
  <c r="E2535" i="3"/>
  <c r="D2535" i="3"/>
  <c r="C2535" i="3"/>
  <c r="B2535" i="3"/>
  <c r="A2535" i="3"/>
  <c r="H2534" i="3"/>
  <c r="I2534" i="3" s="1"/>
  <c r="F2534" i="3"/>
  <c r="E2534" i="3"/>
  <c r="D2534" i="3"/>
  <c r="C2534" i="3"/>
  <c r="B2534" i="3"/>
  <c r="A2534" i="3"/>
  <c r="I2533" i="3"/>
  <c r="H2533" i="3"/>
  <c r="F2533" i="3"/>
  <c r="E2533" i="3"/>
  <c r="D2533" i="3"/>
  <c r="C2533" i="3"/>
  <c r="B2533" i="3"/>
  <c r="A2533" i="3"/>
  <c r="H2532" i="3"/>
  <c r="I2532" i="3" s="1"/>
  <c r="F2532" i="3"/>
  <c r="E2532" i="3"/>
  <c r="D2532" i="3"/>
  <c r="C2532" i="3"/>
  <c r="B2532" i="3"/>
  <c r="A2532" i="3"/>
  <c r="F2531" i="3"/>
  <c r="E2531" i="3"/>
  <c r="D2531" i="3"/>
  <c r="H2531" i="3" s="1"/>
  <c r="I2531" i="3" s="1"/>
  <c r="C2531" i="3"/>
  <c r="B2531" i="3"/>
  <c r="A2531" i="3"/>
  <c r="F2530" i="3"/>
  <c r="E2530" i="3"/>
  <c r="D2530" i="3"/>
  <c r="H2530" i="3" s="1"/>
  <c r="I2530" i="3" s="1"/>
  <c r="C2530" i="3"/>
  <c r="B2530" i="3"/>
  <c r="A2530" i="3"/>
  <c r="F2529" i="3"/>
  <c r="E2529" i="3"/>
  <c r="D2529" i="3"/>
  <c r="H2529" i="3" s="1"/>
  <c r="I2529" i="3" s="1"/>
  <c r="C2529" i="3"/>
  <c r="B2529" i="3"/>
  <c r="A2529" i="3"/>
  <c r="F2528" i="3"/>
  <c r="E2528" i="3"/>
  <c r="D2528" i="3"/>
  <c r="H2528" i="3" s="1"/>
  <c r="I2528" i="3" s="1"/>
  <c r="C2528" i="3"/>
  <c r="B2528" i="3"/>
  <c r="A2528" i="3"/>
  <c r="H2527" i="3"/>
  <c r="I2527" i="3" s="1"/>
  <c r="F2527" i="3"/>
  <c r="E2527" i="3"/>
  <c r="D2527" i="3"/>
  <c r="C2527" i="3"/>
  <c r="B2527" i="3"/>
  <c r="A2527" i="3"/>
  <c r="F2526" i="3"/>
  <c r="E2526" i="3"/>
  <c r="D2526" i="3"/>
  <c r="H2526" i="3" s="1"/>
  <c r="I2526" i="3" s="1"/>
  <c r="C2526" i="3"/>
  <c r="B2526" i="3"/>
  <c r="A2526" i="3"/>
  <c r="I2525" i="3"/>
  <c r="H2525" i="3"/>
  <c r="F2525" i="3"/>
  <c r="E2525" i="3"/>
  <c r="D2525" i="3"/>
  <c r="C2525" i="3"/>
  <c r="B2525" i="3"/>
  <c r="A2525" i="3"/>
  <c r="R2524" i="3"/>
  <c r="J2524" i="3"/>
  <c r="I2524" i="3"/>
  <c r="F2524" i="3"/>
  <c r="E2524" i="3"/>
  <c r="D2524" i="3"/>
  <c r="H2524" i="3" s="1"/>
  <c r="C2524" i="3"/>
  <c r="B2524" i="3"/>
  <c r="A2524" i="3"/>
  <c r="H2523" i="3"/>
  <c r="I2523" i="3" s="1"/>
  <c r="F2523" i="3"/>
  <c r="E2523" i="3"/>
  <c r="D2523" i="3"/>
  <c r="C2523" i="3"/>
  <c r="B2523" i="3"/>
  <c r="A2523" i="3"/>
  <c r="H2522" i="3"/>
  <c r="I2522" i="3" s="1"/>
  <c r="F2522" i="3"/>
  <c r="E2522" i="3"/>
  <c r="D2522" i="3"/>
  <c r="C2522" i="3"/>
  <c r="B2522" i="3"/>
  <c r="A2522" i="3"/>
  <c r="F2521" i="3"/>
  <c r="E2521" i="3"/>
  <c r="D2521" i="3"/>
  <c r="H2521" i="3" s="1"/>
  <c r="I2521" i="3" s="1"/>
  <c r="C2521" i="3"/>
  <c r="B2521" i="3"/>
  <c r="A2521" i="3"/>
  <c r="F2520" i="3"/>
  <c r="E2520" i="3"/>
  <c r="D2520" i="3"/>
  <c r="H2520" i="3" s="1"/>
  <c r="I2520" i="3" s="1"/>
  <c r="C2520" i="3"/>
  <c r="B2520" i="3"/>
  <c r="A2520" i="3"/>
  <c r="I2519" i="3"/>
  <c r="H2519" i="3"/>
  <c r="F2519" i="3"/>
  <c r="E2519" i="3"/>
  <c r="D2519" i="3"/>
  <c r="C2519" i="3"/>
  <c r="B2519" i="3"/>
  <c r="A2519" i="3"/>
  <c r="F2518" i="3"/>
  <c r="E2518" i="3"/>
  <c r="D2518" i="3"/>
  <c r="H2518" i="3" s="1"/>
  <c r="I2518" i="3" s="1"/>
  <c r="C2518" i="3"/>
  <c r="B2518" i="3"/>
  <c r="A2518" i="3"/>
  <c r="I2517" i="3"/>
  <c r="H2517" i="3"/>
  <c r="F2517" i="3"/>
  <c r="E2517" i="3"/>
  <c r="D2517" i="3"/>
  <c r="C2517" i="3"/>
  <c r="B2517" i="3"/>
  <c r="A2517" i="3"/>
  <c r="F2516" i="3"/>
  <c r="E2516" i="3"/>
  <c r="D2516" i="3"/>
  <c r="H2516" i="3" s="1"/>
  <c r="I2516" i="3" s="1"/>
  <c r="C2516" i="3"/>
  <c r="B2516" i="3"/>
  <c r="A2516" i="3"/>
  <c r="H2515" i="3"/>
  <c r="I2515" i="3" s="1"/>
  <c r="F2515" i="3"/>
  <c r="E2515" i="3"/>
  <c r="D2515" i="3"/>
  <c r="C2515" i="3"/>
  <c r="B2515" i="3"/>
  <c r="A2515" i="3"/>
  <c r="H2514" i="3"/>
  <c r="I2514" i="3" s="1"/>
  <c r="F2514" i="3"/>
  <c r="E2514" i="3"/>
  <c r="D2514" i="3"/>
  <c r="C2514" i="3"/>
  <c r="B2514" i="3"/>
  <c r="A2514" i="3"/>
  <c r="I2513" i="3"/>
  <c r="F2513" i="3"/>
  <c r="E2513" i="3"/>
  <c r="D2513" i="3"/>
  <c r="H2513" i="3" s="1"/>
  <c r="C2513" i="3"/>
  <c r="B2513" i="3"/>
  <c r="A2513" i="3"/>
  <c r="F2512" i="3"/>
  <c r="E2512" i="3"/>
  <c r="D2512" i="3"/>
  <c r="H2512" i="3" s="1"/>
  <c r="I2512" i="3" s="1"/>
  <c r="C2512" i="3"/>
  <c r="B2512" i="3"/>
  <c r="A2512" i="3"/>
  <c r="I2511" i="3"/>
  <c r="F2511" i="3"/>
  <c r="E2511" i="3"/>
  <c r="D2511" i="3"/>
  <c r="H2511" i="3" s="1"/>
  <c r="C2511" i="3"/>
  <c r="B2511" i="3"/>
  <c r="A2511" i="3"/>
  <c r="F2510" i="3"/>
  <c r="E2510" i="3"/>
  <c r="D2510" i="3"/>
  <c r="H2510" i="3" s="1"/>
  <c r="I2510" i="3" s="1"/>
  <c r="C2510" i="3"/>
  <c r="B2510" i="3"/>
  <c r="A2510" i="3"/>
  <c r="I2509" i="3"/>
  <c r="F2509" i="3"/>
  <c r="E2509" i="3"/>
  <c r="D2509" i="3"/>
  <c r="H2509" i="3" s="1"/>
  <c r="C2509" i="3"/>
  <c r="B2509" i="3"/>
  <c r="A2509" i="3"/>
  <c r="H2508" i="3"/>
  <c r="I2508" i="3" s="1"/>
  <c r="F2508" i="3"/>
  <c r="E2508" i="3"/>
  <c r="D2508" i="3"/>
  <c r="C2508" i="3"/>
  <c r="B2508" i="3"/>
  <c r="A2508" i="3"/>
  <c r="H2507" i="3"/>
  <c r="I2507" i="3" s="1"/>
  <c r="F2507" i="3"/>
  <c r="E2507" i="3"/>
  <c r="D2507" i="3"/>
  <c r="C2507" i="3"/>
  <c r="B2507" i="3"/>
  <c r="A2507" i="3"/>
  <c r="H2506" i="3"/>
  <c r="I2506" i="3" s="1"/>
  <c r="F2506" i="3"/>
  <c r="E2506" i="3"/>
  <c r="D2506" i="3"/>
  <c r="C2506" i="3"/>
  <c r="B2506" i="3"/>
  <c r="A2506" i="3"/>
  <c r="H2505" i="3"/>
  <c r="I2505" i="3" s="1"/>
  <c r="F2505" i="3"/>
  <c r="E2505" i="3"/>
  <c r="D2505" i="3"/>
  <c r="C2505" i="3"/>
  <c r="B2505" i="3"/>
  <c r="A2505" i="3"/>
  <c r="I2504" i="3"/>
  <c r="H2504" i="3"/>
  <c r="F2504" i="3"/>
  <c r="E2504" i="3"/>
  <c r="D2504" i="3"/>
  <c r="C2504" i="3"/>
  <c r="B2504" i="3"/>
  <c r="A2504" i="3"/>
  <c r="F2503" i="3"/>
  <c r="E2503" i="3"/>
  <c r="D2503" i="3"/>
  <c r="H2503" i="3" s="1"/>
  <c r="I2503" i="3" s="1"/>
  <c r="C2503" i="3"/>
  <c r="B2503" i="3"/>
  <c r="A2503" i="3"/>
  <c r="H2502" i="3"/>
  <c r="I2502" i="3" s="1"/>
  <c r="F2502" i="3"/>
  <c r="E2502" i="3"/>
  <c r="D2502" i="3"/>
  <c r="C2502" i="3"/>
  <c r="B2502" i="3"/>
  <c r="A2502" i="3"/>
  <c r="H2501" i="3"/>
  <c r="I2501" i="3" s="1"/>
  <c r="F2501" i="3"/>
  <c r="E2501" i="3"/>
  <c r="D2501" i="3"/>
  <c r="C2501" i="3"/>
  <c r="B2501" i="3"/>
  <c r="A2501" i="3"/>
  <c r="F2500" i="3"/>
  <c r="E2500" i="3"/>
  <c r="D2500" i="3"/>
  <c r="H2500" i="3" s="1"/>
  <c r="I2500" i="3" s="1"/>
  <c r="C2500" i="3"/>
  <c r="B2500" i="3"/>
  <c r="A2500" i="3"/>
  <c r="H2499" i="3"/>
  <c r="I2499" i="3" s="1"/>
  <c r="F2499" i="3"/>
  <c r="E2499" i="3"/>
  <c r="D2499" i="3"/>
  <c r="C2499" i="3"/>
  <c r="B2499" i="3"/>
  <c r="A2499" i="3"/>
  <c r="F2498" i="3"/>
  <c r="E2498" i="3"/>
  <c r="D2498" i="3"/>
  <c r="H2498" i="3" s="1"/>
  <c r="I2498" i="3" s="1"/>
  <c r="C2498" i="3"/>
  <c r="B2498" i="3"/>
  <c r="A2498" i="3"/>
  <c r="F2497" i="3"/>
  <c r="E2497" i="3"/>
  <c r="D2497" i="3"/>
  <c r="H2497" i="3" s="1"/>
  <c r="I2497" i="3" s="1"/>
  <c r="C2497" i="3"/>
  <c r="B2497" i="3"/>
  <c r="A2497" i="3"/>
  <c r="I2496" i="3"/>
  <c r="H2496" i="3"/>
  <c r="F2496" i="3"/>
  <c r="E2496" i="3"/>
  <c r="D2496" i="3"/>
  <c r="C2496" i="3"/>
  <c r="B2496" i="3"/>
  <c r="A2496" i="3"/>
  <c r="F2495" i="3"/>
  <c r="E2495" i="3"/>
  <c r="D2495" i="3"/>
  <c r="H2495" i="3" s="1"/>
  <c r="I2495" i="3" s="1"/>
  <c r="C2495" i="3"/>
  <c r="B2495" i="3"/>
  <c r="A2495" i="3"/>
  <c r="H2494" i="3"/>
  <c r="I2494" i="3" s="1"/>
  <c r="F2494" i="3"/>
  <c r="E2494" i="3"/>
  <c r="D2494" i="3"/>
  <c r="C2494" i="3"/>
  <c r="B2494" i="3"/>
  <c r="A2494" i="3"/>
  <c r="H2493" i="3"/>
  <c r="I2493" i="3" s="1"/>
  <c r="F2493" i="3"/>
  <c r="E2493" i="3"/>
  <c r="D2493" i="3"/>
  <c r="C2493" i="3"/>
  <c r="B2493" i="3"/>
  <c r="A2493" i="3"/>
  <c r="F2492" i="3"/>
  <c r="E2492" i="3"/>
  <c r="D2492" i="3"/>
  <c r="H2492" i="3" s="1"/>
  <c r="I2492" i="3" s="1"/>
  <c r="C2492" i="3"/>
  <c r="B2492" i="3"/>
  <c r="A2492" i="3"/>
  <c r="H2491" i="3"/>
  <c r="I2491" i="3" s="1"/>
  <c r="F2491" i="3"/>
  <c r="E2491" i="3"/>
  <c r="D2491" i="3"/>
  <c r="C2491" i="3"/>
  <c r="B2491" i="3"/>
  <c r="A2491" i="3"/>
  <c r="I2490" i="3"/>
  <c r="F2490" i="3"/>
  <c r="E2490" i="3"/>
  <c r="D2490" i="3"/>
  <c r="H2490" i="3" s="1"/>
  <c r="C2490" i="3"/>
  <c r="B2490" i="3"/>
  <c r="A2490" i="3"/>
  <c r="F2489" i="3"/>
  <c r="E2489" i="3"/>
  <c r="D2489" i="3"/>
  <c r="H2489" i="3" s="1"/>
  <c r="I2489" i="3" s="1"/>
  <c r="C2489" i="3"/>
  <c r="B2489" i="3"/>
  <c r="A2489" i="3"/>
  <c r="I2488" i="3"/>
  <c r="H2488" i="3"/>
  <c r="F2488" i="3"/>
  <c r="E2488" i="3"/>
  <c r="D2488" i="3"/>
  <c r="C2488" i="3"/>
  <c r="B2488" i="3"/>
  <c r="A2488" i="3"/>
  <c r="F2487" i="3"/>
  <c r="E2487" i="3"/>
  <c r="D2487" i="3"/>
  <c r="H2487" i="3" s="1"/>
  <c r="I2487" i="3" s="1"/>
  <c r="C2487" i="3"/>
  <c r="B2487" i="3"/>
  <c r="A2487" i="3"/>
  <c r="H2486" i="3"/>
  <c r="I2486" i="3" s="1"/>
  <c r="F2486" i="3"/>
  <c r="E2486" i="3"/>
  <c r="D2486" i="3"/>
  <c r="C2486" i="3"/>
  <c r="B2486" i="3"/>
  <c r="A2486" i="3"/>
  <c r="H2485" i="3"/>
  <c r="I2485" i="3" s="1"/>
  <c r="F2485" i="3"/>
  <c r="E2485" i="3"/>
  <c r="D2485" i="3"/>
  <c r="C2485" i="3"/>
  <c r="B2485" i="3"/>
  <c r="A2485" i="3"/>
  <c r="F2484" i="3"/>
  <c r="E2484" i="3"/>
  <c r="D2484" i="3"/>
  <c r="H2484" i="3" s="1"/>
  <c r="I2484" i="3" s="1"/>
  <c r="C2484" i="3"/>
  <c r="B2484" i="3"/>
  <c r="A2484" i="3"/>
  <c r="H2483" i="3"/>
  <c r="I2483" i="3" s="1"/>
  <c r="F2483" i="3"/>
  <c r="E2483" i="3"/>
  <c r="D2483" i="3"/>
  <c r="C2483" i="3"/>
  <c r="B2483" i="3"/>
  <c r="A2483" i="3"/>
  <c r="I2482" i="3"/>
  <c r="F2482" i="3"/>
  <c r="E2482" i="3"/>
  <c r="D2482" i="3"/>
  <c r="H2482" i="3" s="1"/>
  <c r="C2482" i="3"/>
  <c r="B2482" i="3"/>
  <c r="A2482" i="3"/>
  <c r="F2481" i="3"/>
  <c r="E2481" i="3"/>
  <c r="D2481" i="3"/>
  <c r="H2481" i="3" s="1"/>
  <c r="I2481" i="3" s="1"/>
  <c r="C2481" i="3"/>
  <c r="B2481" i="3"/>
  <c r="A2481" i="3"/>
  <c r="I2480" i="3"/>
  <c r="H2480" i="3"/>
  <c r="F2480" i="3"/>
  <c r="E2480" i="3"/>
  <c r="D2480" i="3"/>
  <c r="C2480" i="3"/>
  <c r="B2480" i="3"/>
  <c r="A2480" i="3"/>
  <c r="F2479" i="3"/>
  <c r="E2479" i="3"/>
  <c r="D2479" i="3"/>
  <c r="H2479" i="3" s="1"/>
  <c r="I2479" i="3" s="1"/>
  <c r="C2479" i="3"/>
  <c r="B2479" i="3"/>
  <c r="A2479" i="3"/>
  <c r="H2478" i="3"/>
  <c r="I2478" i="3" s="1"/>
  <c r="F2478" i="3"/>
  <c r="E2478" i="3"/>
  <c r="D2478" i="3"/>
  <c r="C2478" i="3"/>
  <c r="B2478" i="3"/>
  <c r="A2478" i="3"/>
  <c r="I2477" i="3"/>
  <c r="H2477" i="3"/>
  <c r="F2477" i="3"/>
  <c r="E2477" i="3"/>
  <c r="D2477" i="3"/>
  <c r="C2477" i="3"/>
  <c r="B2477" i="3"/>
  <c r="A2477" i="3"/>
  <c r="F2476" i="3"/>
  <c r="E2476" i="3"/>
  <c r="D2476" i="3"/>
  <c r="H2476" i="3" s="1"/>
  <c r="I2476" i="3" s="1"/>
  <c r="C2476" i="3"/>
  <c r="B2476" i="3"/>
  <c r="A2476" i="3"/>
  <c r="F2475" i="3"/>
  <c r="E2475" i="3"/>
  <c r="D2475" i="3"/>
  <c r="H2475" i="3" s="1"/>
  <c r="I2475" i="3" s="1"/>
  <c r="C2475" i="3"/>
  <c r="B2475" i="3"/>
  <c r="A2475" i="3"/>
  <c r="I2474" i="3"/>
  <c r="F2474" i="3"/>
  <c r="E2474" i="3"/>
  <c r="D2474" i="3"/>
  <c r="H2474" i="3" s="1"/>
  <c r="C2474" i="3"/>
  <c r="B2474" i="3"/>
  <c r="A2474" i="3"/>
  <c r="F2473" i="3"/>
  <c r="E2473" i="3"/>
  <c r="D2473" i="3"/>
  <c r="H2473" i="3" s="1"/>
  <c r="I2473" i="3" s="1"/>
  <c r="C2473" i="3"/>
  <c r="B2473" i="3"/>
  <c r="A2473" i="3"/>
  <c r="H2472" i="3"/>
  <c r="I2472" i="3" s="1"/>
  <c r="F2472" i="3"/>
  <c r="E2472" i="3"/>
  <c r="D2472" i="3"/>
  <c r="C2472" i="3"/>
  <c r="B2472" i="3"/>
  <c r="A2472" i="3"/>
  <c r="H2471" i="3"/>
  <c r="I2471" i="3" s="1"/>
  <c r="F2471" i="3"/>
  <c r="E2471" i="3"/>
  <c r="D2471" i="3"/>
  <c r="C2471" i="3"/>
  <c r="B2471" i="3"/>
  <c r="A2471" i="3"/>
  <c r="H2470" i="3"/>
  <c r="I2470" i="3" s="1"/>
  <c r="F2470" i="3"/>
  <c r="E2470" i="3"/>
  <c r="D2470" i="3"/>
  <c r="C2470" i="3"/>
  <c r="B2470" i="3"/>
  <c r="A2470" i="3"/>
  <c r="H2469" i="3"/>
  <c r="I2469" i="3" s="1"/>
  <c r="F2469" i="3"/>
  <c r="E2469" i="3"/>
  <c r="D2469" i="3"/>
  <c r="C2469" i="3"/>
  <c r="B2469" i="3"/>
  <c r="A2469" i="3"/>
  <c r="F2468" i="3"/>
  <c r="E2468" i="3"/>
  <c r="D2468" i="3"/>
  <c r="H2468" i="3" s="1"/>
  <c r="I2468" i="3" s="1"/>
  <c r="C2468" i="3"/>
  <c r="B2468" i="3"/>
  <c r="A2468" i="3"/>
  <c r="I2467" i="3"/>
  <c r="H2467" i="3"/>
  <c r="F2467" i="3"/>
  <c r="E2467" i="3"/>
  <c r="D2467" i="3"/>
  <c r="C2467" i="3"/>
  <c r="B2467" i="3"/>
  <c r="A2467" i="3"/>
  <c r="F2466" i="3"/>
  <c r="E2466" i="3"/>
  <c r="D2466" i="3"/>
  <c r="H2466" i="3" s="1"/>
  <c r="I2466" i="3" s="1"/>
  <c r="C2466" i="3"/>
  <c r="B2466" i="3"/>
  <c r="A2466" i="3"/>
  <c r="F2465" i="3"/>
  <c r="E2465" i="3"/>
  <c r="D2465" i="3"/>
  <c r="H2465" i="3" s="1"/>
  <c r="I2465" i="3" s="1"/>
  <c r="C2465" i="3"/>
  <c r="B2465" i="3"/>
  <c r="A2465" i="3"/>
  <c r="I2464" i="3"/>
  <c r="H2464" i="3"/>
  <c r="F2464" i="3"/>
  <c r="E2464" i="3"/>
  <c r="D2464" i="3"/>
  <c r="C2464" i="3"/>
  <c r="B2464" i="3"/>
  <c r="A2464" i="3"/>
  <c r="F2463" i="3"/>
  <c r="E2463" i="3"/>
  <c r="D2463" i="3"/>
  <c r="H2463" i="3" s="1"/>
  <c r="I2463" i="3" s="1"/>
  <c r="C2463" i="3"/>
  <c r="B2463" i="3"/>
  <c r="A2463" i="3"/>
  <c r="H2462" i="3"/>
  <c r="I2462" i="3" s="1"/>
  <c r="F2462" i="3"/>
  <c r="E2462" i="3"/>
  <c r="D2462" i="3"/>
  <c r="C2462" i="3"/>
  <c r="B2462" i="3"/>
  <c r="A2462" i="3"/>
  <c r="I2461" i="3"/>
  <c r="H2461" i="3"/>
  <c r="F2461" i="3"/>
  <c r="E2461" i="3"/>
  <c r="D2461" i="3"/>
  <c r="C2461" i="3"/>
  <c r="B2461" i="3"/>
  <c r="A2461" i="3"/>
  <c r="F2460" i="3"/>
  <c r="E2460" i="3"/>
  <c r="D2460" i="3"/>
  <c r="H2460" i="3" s="1"/>
  <c r="I2460" i="3" s="1"/>
  <c r="C2460" i="3"/>
  <c r="B2460" i="3"/>
  <c r="A2460" i="3"/>
  <c r="F2459" i="3"/>
  <c r="E2459" i="3"/>
  <c r="D2459" i="3"/>
  <c r="H2459" i="3" s="1"/>
  <c r="I2459" i="3" s="1"/>
  <c r="C2459" i="3"/>
  <c r="B2459" i="3"/>
  <c r="A2459" i="3"/>
  <c r="I2458" i="3"/>
  <c r="F2458" i="3"/>
  <c r="E2458" i="3"/>
  <c r="D2458" i="3"/>
  <c r="H2458" i="3" s="1"/>
  <c r="C2458" i="3"/>
  <c r="B2458" i="3"/>
  <c r="A2458" i="3"/>
  <c r="F2457" i="3"/>
  <c r="E2457" i="3"/>
  <c r="D2457" i="3"/>
  <c r="H2457" i="3" s="1"/>
  <c r="I2457" i="3" s="1"/>
  <c r="C2457" i="3"/>
  <c r="B2457" i="3"/>
  <c r="A2457" i="3"/>
  <c r="H2456" i="3"/>
  <c r="I2456" i="3" s="1"/>
  <c r="F2456" i="3"/>
  <c r="E2456" i="3"/>
  <c r="D2456" i="3"/>
  <c r="C2456" i="3"/>
  <c r="B2456" i="3"/>
  <c r="A2456" i="3"/>
  <c r="H2455" i="3"/>
  <c r="I2455" i="3" s="1"/>
  <c r="F2455" i="3"/>
  <c r="E2455" i="3"/>
  <c r="D2455" i="3"/>
  <c r="C2455" i="3"/>
  <c r="B2455" i="3"/>
  <c r="A2455" i="3"/>
  <c r="H2454" i="3"/>
  <c r="I2454" i="3" s="1"/>
  <c r="F2454" i="3"/>
  <c r="E2454" i="3"/>
  <c r="D2454" i="3"/>
  <c r="C2454" i="3"/>
  <c r="B2454" i="3"/>
  <c r="A2454" i="3"/>
  <c r="H2453" i="3"/>
  <c r="I2453" i="3" s="1"/>
  <c r="F2453" i="3"/>
  <c r="E2453" i="3"/>
  <c r="D2453" i="3"/>
  <c r="C2453" i="3"/>
  <c r="B2453" i="3"/>
  <c r="A2453" i="3"/>
  <c r="H2452" i="3"/>
  <c r="I2452" i="3" s="1"/>
  <c r="F2452" i="3"/>
  <c r="E2452" i="3"/>
  <c r="D2452" i="3"/>
  <c r="C2452" i="3"/>
  <c r="B2452" i="3"/>
  <c r="A2452" i="3"/>
  <c r="F2451" i="3"/>
  <c r="E2451" i="3"/>
  <c r="D2451" i="3"/>
  <c r="H2451" i="3" s="1"/>
  <c r="I2451" i="3" s="1"/>
  <c r="C2451" i="3"/>
  <c r="B2451" i="3"/>
  <c r="A2451" i="3"/>
  <c r="F2450" i="3"/>
  <c r="E2450" i="3"/>
  <c r="D2450" i="3"/>
  <c r="H2450" i="3" s="1"/>
  <c r="I2450" i="3" s="1"/>
  <c r="C2450" i="3"/>
  <c r="B2450" i="3"/>
  <c r="A2450" i="3"/>
  <c r="F2449" i="3"/>
  <c r="E2449" i="3"/>
  <c r="D2449" i="3"/>
  <c r="H2449" i="3" s="1"/>
  <c r="I2449" i="3" s="1"/>
  <c r="C2449" i="3"/>
  <c r="B2449" i="3"/>
  <c r="A2449" i="3"/>
  <c r="I2448" i="3"/>
  <c r="F2448" i="3"/>
  <c r="E2448" i="3"/>
  <c r="D2448" i="3"/>
  <c r="H2448" i="3" s="1"/>
  <c r="C2448" i="3"/>
  <c r="B2448" i="3"/>
  <c r="A2448" i="3"/>
  <c r="F2447" i="3"/>
  <c r="E2447" i="3"/>
  <c r="D2447" i="3"/>
  <c r="H2447" i="3" s="1"/>
  <c r="I2447" i="3" s="1"/>
  <c r="C2447" i="3"/>
  <c r="B2447" i="3"/>
  <c r="A2447" i="3"/>
  <c r="H2446" i="3"/>
  <c r="I2446" i="3" s="1"/>
  <c r="F2446" i="3"/>
  <c r="E2446" i="3"/>
  <c r="D2446" i="3"/>
  <c r="C2446" i="3"/>
  <c r="B2446" i="3"/>
  <c r="A2446" i="3"/>
  <c r="I2445" i="3"/>
  <c r="H2445" i="3"/>
  <c r="F2445" i="3"/>
  <c r="E2445" i="3"/>
  <c r="D2445" i="3"/>
  <c r="C2445" i="3"/>
  <c r="B2445" i="3"/>
  <c r="A2445" i="3"/>
  <c r="I2444" i="3"/>
  <c r="F2444" i="3"/>
  <c r="E2444" i="3"/>
  <c r="D2444" i="3"/>
  <c r="H2444" i="3" s="1"/>
  <c r="C2444" i="3"/>
  <c r="B2444" i="3"/>
  <c r="A2444" i="3"/>
  <c r="F2443" i="3"/>
  <c r="E2443" i="3"/>
  <c r="D2443" i="3"/>
  <c r="H2443" i="3" s="1"/>
  <c r="I2443" i="3" s="1"/>
  <c r="C2443" i="3"/>
  <c r="B2443" i="3"/>
  <c r="A2443" i="3"/>
  <c r="F2442" i="3"/>
  <c r="E2442" i="3"/>
  <c r="D2442" i="3"/>
  <c r="H2442" i="3" s="1"/>
  <c r="I2442" i="3" s="1"/>
  <c r="C2442" i="3"/>
  <c r="B2442" i="3"/>
  <c r="A2442" i="3"/>
  <c r="F2441" i="3"/>
  <c r="E2441" i="3"/>
  <c r="D2441" i="3"/>
  <c r="H2441" i="3" s="1"/>
  <c r="I2441" i="3" s="1"/>
  <c r="C2441" i="3"/>
  <c r="B2441" i="3"/>
  <c r="A2441" i="3"/>
  <c r="H2440" i="3"/>
  <c r="I2440" i="3" s="1"/>
  <c r="F2440" i="3"/>
  <c r="E2440" i="3"/>
  <c r="D2440" i="3"/>
  <c r="C2440" i="3"/>
  <c r="B2440" i="3"/>
  <c r="A2440" i="3"/>
  <c r="H2439" i="3"/>
  <c r="I2439" i="3" s="1"/>
  <c r="F2439" i="3"/>
  <c r="E2439" i="3"/>
  <c r="D2439" i="3"/>
  <c r="C2439" i="3"/>
  <c r="B2439" i="3"/>
  <c r="A2439" i="3"/>
  <c r="H2438" i="3"/>
  <c r="I2438" i="3" s="1"/>
  <c r="F2438" i="3"/>
  <c r="E2438" i="3"/>
  <c r="D2438" i="3"/>
  <c r="C2438" i="3"/>
  <c r="B2438" i="3"/>
  <c r="A2438" i="3"/>
  <c r="I2437" i="3"/>
  <c r="H2437" i="3"/>
  <c r="F2437" i="3"/>
  <c r="E2437" i="3"/>
  <c r="D2437" i="3"/>
  <c r="C2437" i="3"/>
  <c r="B2437" i="3"/>
  <c r="A2437" i="3"/>
  <c r="I2436" i="3"/>
  <c r="H2436" i="3"/>
  <c r="F2436" i="3"/>
  <c r="E2436" i="3"/>
  <c r="D2436" i="3"/>
  <c r="C2436" i="3"/>
  <c r="B2436" i="3"/>
  <c r="A2436" i="3"/>
  <c r="I2435" i="3"/>
  <c r="H2435" i="3"/>
  <c r="F2435" i="3"/>
  <c r="E2435" i="3"/>
  <c r="D2435" i="3"/>
  <c r="C2435" i="3"/>
  <c r="B2435" i="3"/>
  <c r="A2435" i="3"/>
  <c r="H2434" i="3"/>
  <c r="I2434" i="3" s="1"/>
  <c r="F2434" i="3"/>
  <c r="E2434" i="3"/>
  <c r="D2434" i="3"/>
  <c r="C2434" i="3"/>
  <c r="B2434" i="3"/>
  <c r="A2434" i="3"/>
  <c r="I2433" i="3"/>
  <c r="F2433" i="3"/>
  <c r="E2433" i="3"/>
  <c r="D2433" i="3"/>
  <c r="H2433" i="3" s="1"/>
  <c r="C2433" i="3"/>
  <c r="B2433" i="3"/>
  <c r="A2433" i="3"/>
  <c r="H2432" i="3"/>
  <c r="I2432" i="3" s="1"/>
  <c r="F2432" i="3"/>
  <c r="E2432" i="3"/>
  <c r="D2432" i="3"/>
  <c r="C2432" i="3"/>
  <c r="B2432" i="3"/>
  <c r="A2432" i="3"/>
  <c r="H2431" i="3"/>
  <c r="I2431" i="3" s="1"/>
  <c r="F2431" i="3"/>
  <c r="E2431" i="3"/>
  <c r="D2431" i="3"/>
  <c r="C2431" i="3"/>
  <c r="B2431" i="3"/>
  <c r="A2431" i="3"/>
  <c r="H2430" i="3"/>
  <c r="I2430" i="3" s="1"/>
  <c r="F2430" i="3"/>
  <c r="E2430" i="3"/>
  <c r="D2430" i="3"/>
  <c r="C2430" i="3"/>
  <c r="B2430" i="3"/>
  <c r="A2430" i="3"/>
  <c r="I2429" i="3"/>
  <c r="H2429" i="3"/>
  <c r="F2429" i="3"/>
  <c r="E2429" i="3"/>
  <c r="D2429" i="3"/>
  <c r="C2429" i="3"/>
  <c r="B2429" i="3"/>
  <c r="A2429" i="3"/>
  <c r="F2428" i="3"/>
  <c r="E2428" i="3"/>
  <c r="D2428" i="3"/>
  <c r="H2428" i="3" s="1"/>
  <c r="I2428" i="3" s="1"/>
  <c r="C2428" i="3"/>
  <c r="B2428" i="3"/>
  <c r="A2428" i="3"/>
  <c r="F2427" i="3"/>
  <c r="E2427" i="3"/>
  <c r="D2427" i="3"/>
  <c r="H2427" i="3" s="1"/>
  <c r="I2427" i="3" s="1"/>
  <c r="C2427" i="3"/>
  <c r="B2427" i="3"/>
  <c r="A2427" i="3"/>
  <c r="H2426" i="3"/>
  <c r="I2426" i="3" s="1"/>
  <c r="F2426" i="3"/>
  <c r="E2426" i="3"/>
  <c r="D2426" i="3"/>
  <c r="C2426" i="3"/>
  <c r="B2426" i="3"/>
  <c r="A2426" i="3"/>
  <c r="I2425" i="3"/>
  <c r="H2425" i="3"/>
  <c r="F2425" i="3"/>
  <c r="E2425" i="3"/>
  <c r="D2425" i="3"/>
  <c r="C2425" i="3"/>
  <c r="B2425" i="3"/>
  <c r="A2425" i="3"/>
  <c r="H2424" i="3"/>
  <c r="I2424" i="3" s="1"/>
  <c r="F2424" i="3"/>
  <c r="E2424" i="3"/>
  <c r="D2424" i="3"/>
  <c r="C2424" i="3"/>
  <c r="B2424" i="3"/>
  <c r="A2424" i="3"/>
  <c r="H2423" i="3"/>
  <c r="I2423" i="3" s="1"/>
  <c r="F2423" i="3"/>
  <c r="E2423" i="3"/>
  <c r="D2423" i="3"/>
  <c r="C2423" i="3"/>
  <c r="B2423" i="3"/>
  <c r="A2423" i="3"/>
  <c r="F2422" i="3"/>
  <c r="E2422" i="3"/>
  <c r="D2422" i="3"/>
  <c r="H2422" i="3" s="1"/>
  <c r="I2422" i="3" s="1"/>
  <c r="C2422" i="3"/>
  <c r="B2422" i="3"/>
  <c r="A2422" i="3"/>
  <c r="I2421" i="3"/>
  <c r="F2421" i="3"/>
  <c r="E2421" i="3"/>
  <c r="D2421" i="3"/>
  <c r="H2421" i="3" s="1"/>
  <c r="C2421" i="3"/>
  <c r="B2421" i="3"/>
  <c r="A2421" i="3"/>
  <c r="F2420" i="3"/>
  <c r="E2420" i="3"/>
  <c r="D2420" i="3"/>
  <c r="H2420" i="3" s="1"/>
  <c r="I2420" i="3" s="1"/>
  <c r="C2420" i="3"/>
  <c r="B2420" i="3"/>
  <c r="A2420" i="3"/>
  <c r="F2419" i="3"/>
  <c r="E2419" i="3"/>
  <c r="D2419" i="3"/>
  <c r="H2419" i="3" s="1"/>
  <c r="I2419" i="3" s="1"/>
  <c r="C2419" i="3"/>
  <c r="B2419" i="3"/>
  <c r="A2419" i="3"/>
  <c r="H2418" i="3"/>
  <c r="I2418" i="3" s="1"/>
  <c r="F2418" i="3"/>
  <c r="E2418" i="3"/>
  <c r="D2418" i="3"/>
  <c r="C2418" i="3"/>
  <c r="B2418" i="3"/>
  <c r="A2418" i="3"/>
  <c r="I2417" i="3"/>
  <c r="F2417" i="3"/>
  <c r="E2417" i="3"/>
  <c r="D2417" i="3"/>
  <c r="H2417" i="3" s="1"/>
  <c r="C2417" i="3"/>
  <c r="B2417" i="3"/>
  <c r="A2417" i="3"/>
  <c r="I2416" i="3"/>
  <c r="H2416" i="3"/>
  <c r="F2416" i="3"/>
  <c r="E2416" i="3"/>
  <c r="D2416" i="3"/>
  <c r="C2416" i="3"/>
  <c r="B2416" i="3"/>
  <c r="A2416" i="3"/>
  <c r="I2415" i="3"/>
  <c r="H2415" i="3"/>
  <c r="F2415" i="3"/>
  <c r="E2415" i="3"/>
  <c r="D2415" i="3"/>
  <c r="C2415" i="3"/>
  <c r="B2415" i="3"/>
  <c r="A2415" i="3"/>
  <c r="F2414" i="3"/>
  <c r="E2414" i="3"/>
  <c r="D2414" i="3"/>
  <c r="H2414" i="3" s="1"/>
  <c r="I2414" i="3" s="1"/>
  <c r="C2414" i="3"/>
  <c r="B2414" i="3"/>
  <c r="A2414" i="3"/>
  <c r="F2413" i="3"/>
  <c r="E2413" i="3"/>
  <c r="D2413" i="3"/>
  <c r="H2413" i="3" s="1"/>
  <c r="I2413" i="3" s="1"/>
  <c r="C2413" i="3"/>
  <c r="B2413" i="3"/>
  <c r="A2413" i="3"/>
  <c r="F2412" i="3"/>
  <c r="E2412" i="3"/>
  <c r="D2412" i="3"/>
  <c r="H2412" i="3" s="1"/>
  <c r="I2412" i="3" s="1"/>
  <c r="C2412" i="3"/>
  <c r="B2412" i="3"/>
  <c r="A2412" i="3"/>
  <c r="H2411" i="3"/>
  <c r="I2411" i="3" s="1"/>
  <c r="F2411" i="3"/>
  <c r="E2411" i="3"/>
  <c r="D2411" i="3"/>
  <c r="C2411" i="3"/>
  <c r="B2411" i="3"/>
  <c r="A2411" i="3"/>
  <c r="H2410" i="3"/>
  <c r="I2410" i="3" s="1"/>
  <c r="F2410" i="3"/>
  <c r="E2410" i="3"/>
  <c r="D2410" i="3"/>
  <c r="C2410" i="3"/>
  <c r="B2410" i="3"/>
  <c r="A2410" i="3"/>
  <c r="I2409" i="3"/>
  <c r="F2409" i="3"/>
  <c r="E2409" i="3"/>
  <c r="D2409" i="3"/>
  <c r="H2409" i="3" s="1"/>
  <c r="C2409" i="3"/>
  <c r="B2409" i="3"/>
  <c r="A2409" i="3"/>
  <c r="F2408" i="3"/>
  <c r="E2408" i="3"/>
  <c r="D2408" i="3"/>
  <c r="H2408" i="3" s="1"/>
  <c r="I2408" i="3" s="1"/>
  <c r="C2408" i="3"/>
  <c r="B2408" i="3"/>
  <c r="A2408" i="3"/>
  <c r="H2407" i="3"/>
  <c r="I2407" i="3" s="1"/>
  <c r="F2407" i="3"/>
  <c r="E2407" i="3"/>
  <c r="D2407" i="3"/>
  <c r="C2407" i="3"/>
  <c r="B2407" i="3"/>
  <c r="A2407" i="3"/>
  <c r="F2406" i="3"/>
  <c r="E2406" i="3"/>
  <c r="D2406" i="3"/>
  <c r="H2406" i="3" s="1"/>
  <c r="I2406" i="3" s="1"/>
  <c r="C2406" i="3"/>
  <c r="B2406" i="3"/>
  <c r="A2406" i="3"/>
  <c r="F2405" i="3"/>
  <c r="E2405" i="3"/>
  <c r="D2405" i="3"/>
  <c r="H2405" i="3" s="1"/>
  <c r="I2405" i="3" s="1"/>
  <c r="C2405" i="3"/>
  <c r="B2405" i="3"/>
  <c r="A2405" i="3"/>
  <c r="R2404" i="3"/>
  <c r="J2404" i="3"/>
  <c r="F2404" i="3"/>
  <c r="E2404" i="3"/>
  <c r="D2404" i="3"/>
  <c r="H2404" i="3" s="1"/>
  <c r="I2404" i="3" s="1"/>
  <c r="C2404" i="3"/>
  <c r="B2404" i="3"/>
  <c r="A2404" i="3"/>
  <c r="H2403" i="3"/>
  <c r="I2403" i="3" s="1"/>
  <c r="F2403" i="3"/>
  <c r="E2403" i="3"/>
  <c r="D2403" i="3"/>
  <c r="C2403" i="3"/>
  <c r="B2403" i="3"/>
  <c r="A2403" i="3"/>
  <c r="H2402" i="3"/>
  <c r="I2402" i="3" s="1"/>
  <c r="F2402" i="3"/>
  <c r="E2402" i="3"/>
  <c r="D2402" i="3"/>
  <c r="C2402" i="3"/>
  <c r="B2402" i="3"/>
  <c r="A2402" i="3"/>
  <c r="F2401" i="3"/>
  <c r="E2401" i="3"/>
  <c r="D2401" i="3"/>
  <c r="H2401" i="3" s="1"/>
  <c r="I2401" i="3" s="1"/>
  <c r="C2401" i="3"/>
  <c r="B2401" i="3"/>
  <c r="A2401" i="3"/>
  <c r="F2400" i="3"/>
  <c r="E2400" i="3"/>
  <c r="D2400" i="3"/>
  <c r="H2400" i="3" s="1"/>
  <c r="I2400" i="3" s="1"/>
  <c r="C2400" i="3"/>
  <c r="B2400" i="3"/>
  <c r="A2400" i="3"/>
  <c r="F2399" i="3"/>
  <c r="E2399" i="3"/>
  <c r="D2399" i="3"/>
  <c r="H2399" i="3" s="1"/>
  <c r="I2399" i="3" s="1"/>
  <c r="C2399" i="3"/>
  <c r="B2399" i="3"/>
  <c r="A2399" i="3"/>
  <c r="F2398" i="3"/>
  <c r="E2398" i="3"/>
  <c r="D2398" i="3"/>
  <c r="H2398" i="3" s="1"/>
  <c r="I2398" i="3" s="1"/>
  <c r="C2398" i="3"/>
  <c r="B2398" i="3"/>
  <c r="A2398" i="3"/>
  <c r="I2397" i="3"/>
  <c r="F2397" i="3"/>
  <c r="E2397" i="3"/>
  <c r="D2397" i="3"/>
  <c r="H2397" i="3" s="1"/>
  <c r="C2397" i="3"/>
  <c r="B2397" i="3"/>
  <c r="A2397" i="3"/>
  <c r="F2396" i="3"/>
  <c r="E2396" i="3"/>
  <c r="D2396" i="3"/>
  <c r="H2396" i="3" s="1"/>
  <c r="I2396" i="3" s="1"/>
  <c r="C2396" i="3"/>
  <c r="B2396" i="3"/>
  <c r="A2396" i="3"/>
  <c r="H2395" i="3"/>
  <c r="I2395" i="3" s="1"/>
  <c r="F2395" i="3"/>
  <c r="E2395" i="3"/>
  <c r="D2395" i="3"/>
  <c r="C2395" i="3"/>
  <c r="B2395" i="3"/>
  <c r="A2395" i="3"/>
  <c r="H2394" i="3"/>
  <c r="I2394" i="3" s="1"/>
  <c r="F2394" i="3"/>
  <c r="E2394" i="3"/>
  <c r="D2394" i="3"/>
  <c r="C2394" i="3"/>
  <c r="B2394" i="3"/>
  <c r="A2394" i="3"/>
  <c r="F2393" i="3"/>
  <c r="E2393" i="3"/>
  <c r="D2393" i="3"/>
  <c r="H2393" i="3" s="1"/>
  <c r="I2393" i="3" s="1"/>
  <c r="C2393" i="3"/>
  <c r="B2393" i="3"/>
  <c r="A2393" i="3"/>
  <c r="F2392" i="3"/>
  <c r="E2392" i="3"/>
  <c r="D2392" i="3"/>
  <c r="H2392" i="3" s="1"/>
  <c r="I2392" i="3" s="1"/>
  <c r="C2392" i="3"/>
  <c r="B2392" i="3"/>
  <c r="A2392" i="3"/>
  <c r="I2391" i="3"/>
  <c r="H2391" i="3"/>
  <c r="F2391" i="3"/>
  <c r="E2391" i="3"/>
  <c r="D2391" i="3"/>
  <c r="C2391" i="3"/>
  <c r="B2391" i="3"/>
  <c r="A2391" i="3"/>
  <c r="F2390" i="3"/>
  <c r="E2390" i="3"/>
  <c r="D2390" i="3"/>
  <c r="H2390" i="3" s="1"/>
  <c r="I2390" i="3" s="1"/>
  <c r="C2390" i="3"/>
  <c r="B2390" i="3"/>
  <c r="A2390" i="3"/>
  <c r="F2389" i="3"/>
  <c r="E2389" i="3"/>
  <c r="D2389" i="3"/>
  <c r="H2389" i="3" s="1"/>
  <c r="I2389" i="3" s="1"/>
  <c r="C2389" i="3"/>
  <c r="B2389" i="3"/>
  <c r="A2389" i="3"/>
  <c r="H2388" i="3"/>
  <c r="I2388" i="3" s="1"/>
  <c r="F2388" i="3"/>
  <c r="E2388" i="3"/>
  <c r="D2388" i="3"/>
  <c r="C2388" i="3"/>
  <c r="B2388" i="3"/>
  <c r="A2388" i="3"/>
  <c r="H2387" i="3"/>
  <c r="I2387" i="3" s="1"/>
  <c r="F2387" i="3"/>
  <c r="E2387" i="3"/>
  <c r="D2387" i="3"/>
  <c r="C2387" i="3"/>
  <c r="B2387" i="3"/>
  <c r="A2387" i="3"/>
  <c r="H2386" i="3"/>
  <c r="I2386" i="3" s="1"/>
  <c r="F2386" i="3"/>
  <c r="E2386" i="3"/>
  <c r="D2386" i="3"/>
  <c r="C2386" i="3"/>
  <c r="B2386" i="3"/>
  <c r="A2386" i="3"/>
  <c r="I2385" i="3"/>
  <c r="F2385" i="3"/>
  <c r="E2385" i="3"/>
  <c r="D2385" i="3"/>
  <c r="H2385" i="3" s="1"/>
  <c r="C2385" i="3"/>
  <c r="B2385" i="3"/>
  <c r="A2385" i="3"/>
  <c r="F2384" i="3"/>
  <c r="E2384" i="3"/>
  <c r="D2384" i="3"/>
  <c r="H2384" i="3" s="1"/>
  <c r="I2384" i="3" s="1"/>
  <c r="C2384" i="3"/>
  <c r="B2384" i="3"/>
  <c r="A2384" i="3"/>
  <c r="I2383" i="3"/>
  <c r="H2383" i="3"/>
  <c r="F2383" i="3"/>
  <c r="E2383" i="3"/>
  <c r="D2383" i="3"/>
  <c r="C2383" i="3"/>
  <c r="B2383" i="3"/>
  <c r="A2383" i="3"/>
  <c r="F2382" i="3"/>
  <c r="E2382" i="3"/>
  <c r="D2382" i="3"/>
  <c r="H2382" i="3" s="1"/>
  <c r="I2382" i="3" s="1"/>
  <c r="C2382" i="3"/>
  <c r="B2382" i="3"/>
  <c r="A2382" i="3"/>
  <c r="F2381" i="3"/>
  <c r="E2381" i="3"/>
  <c r="D2381" i="3"/>
  <c r="H2381" i="3" s="1"/>
  <c r="I2381" i="3" s="1"/>
  <c r="C2381" i="3"/>
  <c r="B2381" i="3"/>
  <c r="A2381" i="3"/>
  <c r="F2380" i="3"/>
  <c r="E2380" i="3"/>
  <c r="D2380" i="3"/>
  <c r="H2380" i="3" s="1"/>
  <c r="I2380" i="3" s="1"/>
  <c r="C2380" i="3"/>
  <c r="B2380" i="3"/>
  <c r="A2380" i="3"/>
  <c r="H2379" i="3"/>
  <c r="I2379" i="3" s="1"/>
  <c r="F2379" i="3"/>
  <c r="E2379" i="3"/>
  <c r="D2379" i="3"/>
  <c r="C2379" i="3"/>
  <c r="B2379" i="3"/>
  <c r="A2379" i="3"/>
  <c r="H2378" i="3"/>
  <c r="I2378" i="3" s="1"/>
  <c r="F2378" i="3"/>
  <c r="E2378" i="3"/>
  <c r="D2378" i="3"/>
  <c r="C2378" i="3"/>
  <c r="B2378" i="3"/>
  <c r="A2378" i="3"/>
  <c r="I2377" i="3"/>
  <c r="F2377" i="3"/>
  <c r="E2377" i="3"/>
  <c r="D2377" i="3"/>
  <c r="H2377" i="3" s="1"/>
  <c r="C2377" i="3"/>
  <c r="B2377" i="3"/>
  <c r="A2377" i="3"/>
  <c r="I2376" i="3"/>
  <c r="F2376" i="3"/>
  <c r="E2376" i="3"/>
  <c r="D2376" i="3"/>
  <c r="H2376" i="3" s="1"/>
  <c r="C2376" i="3"/>
  <c r="B2376" i="3"/>
  <c r="A2376" i="3"/>
  <c r="I2375" i="3"/>
  <c r="F2375" i="3"/>
  <c r="E2375" i="3"/>
  <c r="D2375" i="3"/>
  <c r="H2375" i="3" s="1"/>
  <c r="C2375" i="3"/>
  <c r="B2375" i="3"/>
  <c r="A2375" i="3"/>
  <c r="F2374" i="3"/>
  <c r="E2374" i="3"/>
  <c r="D2374" i="3"/>
  <c r="H2374" i="3" s="1"/>
  <c r="I2374" i="3" s="1"/>
  <c r="C2374" i="3"/>
  <c r="B2374" i="3"/>
  <c r="A2374" i="3"/>
  <c r="I2373" i="3"/>
  <c r="F2373" i="3"/>
  <c r="E2373" i="3"/>
  <c r="D2373" i="3"/>
  <c r="H2373" i="3" s="1"/>
  <c r="C2373" i="3"/>
  <c r="B2373" i="3"/>
  <c r="A2373" i="3"/>
  <c r="F2372" i="3"/>
  <c r="E2372" i="3"/>
  <c r="D2372" i="3"/>
  <c r="H2372" i="3" s="1"/>
  <c r="I2372" i="3" s="1"/>
  <c r="C2372" i="3"/>
  <c r="B2372" i="3"/>
  <c r="A2372" i="3"/>
  <c r="F2371" i="3"/>
  <c r="E2371" i="3"/>
  <c r="D2371" i="3"/>
  <c r="H2371" i="3" s="1"/>
  <c r="I2371" i="3" s="1"/>
  <c r="C2371" i="3"/>
  <c r="B2371" i="3"/>
  <c r="A2371" i="3"/>
  <c r="H2370" i="3"/>
  <c r="I2370" i="3" s="1"/>
  <c r="F2370" i="3"/>
  <c r="E2370" i="3"/>
  <c r="D2370" i="3"/>
  <c r="C2370" i="3"/>
  <c r="B2370" i="3"/>
  <c r="A2370" i="3"/>
  <c r="I2369" i="3"/>
  <c r="F2369" i="3"/>
  <c r="E2369" i="3"/>
  <c r="D2369" i="3"/>
  <c r="H2369" i="3" s="1"/>
  <c r="C2369" i="3"/>
  <c r="B2369" i="3"/>
  <c r="A2369" i="3"/>
  <c r="F2368" i="3"/>
  <c r="E2368" i="3"/>
  <c r="D2368" i="3"/>
  <c r="H2368" i="3" s="1"/>
  <c r="I2368" i="3" s="1"/>
  <c r="C2368" i="3"/>
  <c r="B2368" i="3"/>
  <c r="A2368" i="3"/>
  <c r="F2367" i="3"/>
  <c r="E2367" i="3"/>
  <c r="D2367" i="3"/>
  <c r="H2367" i="3" s="1"/>
  <c r="I2367" i="3" s="1"/>
  <c r="C2367" i="3"/>
  <c r="B2367" i="3"/>
  <c r="A2367" i="3"/>
  <c r="F2366" i="3"/>
  <c r="E2366" i="3"/>
  <c r="D2366" i="3"/>
  <c r="H2366" i="3" s="1"/>
  <c r="I2366" i="3" s="1"/>
  <c r="C2366" i="3"/>
  <c r="B2366" i="3"/>
  <c r="A2366" i="3"/>
  <c r="I2365" i="3"/>
  <c r="F2365" i="3"/>
  <c r="E2365" i="3"/>
  <c r="D2365" i="3"/>
  <c r="H2365" i="3" s="1"/>
  <c r="C2365" i="3"/>
  <c r="B2365" i="3"/>
  <c r="A2365" i="3"/>
  <c r="F2364" i="3"/>
  <c r="E2364" i="3"/>
  <c r="D2364" i="3"/>
  <c r="H2364" i="3" s="1"/>
  <c r="I2364" i="3" s="1"/>
  <c r="C2364" i="3"/>
  <c r="B2364" i="3"/>
  <c r="A2364" i="3"/>
  <c r="F2363" i="3"/>
  <c r="E2363" i="3"/>
  <c r="D2363" i="3"/>
  <c r="H2363" i="3" s="1"/>
  <c r="I2363" i="3" s="1"/>
  <c r="C2363" i="3"/>
  <c r="B2363" i="3"/>
  <c r="A2363" i="3"/>
  <c r="H2362" i="3"/>
  <c r="I2362" i="3" s="1"/>
  <c r="F2362" i="3"/>
  <c r="E2362" i="3"/>
  <c r="D2362" i="3"/>
  <c r="C2362" i="3"/>
  <c r="B2362" i="3"/>
  <c r="A2362" i="3"/>
  <c r="F2361" i="3"/>
  <c r="E2361" i="3"/>
  <c r="D2361" i="3"/>
  <c r="H2361" i="3" s="1"/>
  <c r="I2361" i="3" s="1"/>
  <c r="C2361" i="3"/>
  <c r="B2361" i="3"/>
  <c r="A2361" i="3"/>
  <c r="H2360" i="3"/>
  <c r="I2360" i="3" s="1"/>
  <c r="F2360" i="3"/>
  <c r="E2360" i="3"/>
  <c r="D2360" i="3"/>
  <c r="C2360" i="3"/>
  <c r="B2360" i="3"/>
  <c r="A2360" i="3"/>
  <c r="H2359" i="3"/>
  <c r="I2359" i="3" s="1"/>
  <c r="F2359" i="3"/>
  <c r="E2359" i="3"/>
  <c r="D2359" i="3"/>
  <c r="C2359" i="3"/>
  <c r="B2359" i="3"/>
  <c r="A2359" i="3"/>
  <c r="F2358" i="3"/>
  <c r="E2358" i="3"/>
  <c r="D2358" i="3"/>
  <c r="H2358" i="3" s="1"/>
  <c r="I2358" i="3" s="1"/>
  <c r="C2358" i="3"/>
  <c r="B2358" i="3"/>
  <c r="A2358" i="3"/>
  <c r="F2357" i="3"/>
  <c r="E2357" i="3"/>
  <c r="D2357" i="3"/>
  <c r="H2357" i="3" s="1"/>
  <c r="I2357" i="3" s="1"/>
  <c r="C2357" i="3"/>
  <c r="B2357" i="3"/>
  <c r="A2357" i="3"/>
  <c r="F2356" i="3"/>
  <c r="E2356" i="3"/>
  <c r="D2356" i="3"/>
  <c r="H2356" i="3" s="1"/>
  <c r="I2356" i="3" s="1"/>
  <c r="C2356" i="3"/>
  <c r="B2356" i="3"/>
  <c r="A2356" i="3"/>
  <c r="I2355" i="3"/>
  <c r="F2355" i="3"/>
  <c r="E2355" i="3"/>
  <c r="D2355" i="3"/>
  <c r="H2355" i="3" s="1"/>
  <c r="C2355" i="3"/>
  <c r="B2355" i="3"/>
  <c r="A2355" i="3"/>
  <c r="F2354" i="3"/>
  <c r="E2354" i="3"/>
  <c r="D2354" i="3"/>
  <c r="H2354" i="3" s="1"/>
  <c r="I2354" i="3" s="1"/>
  <c r="C2354" i="3"/>
  <c r="B2354" i="3"/>
  <c r="A2354" i="3"/>
  <c r="F2353" i="3"/>
  <c r="E2353" i="3"/>
  <c r="D2353" i="3"/>
  <c r="H2353" i="3" s="1"/>
  <c r="I2353" i="3" s="1"/>
  <c r="C2353" i="3"/>
  <c r="B2353" i="3"/>
  <c r="A2353" i="3"/>
  <c r="F2352" i="3"/>
  <c r="E2352" i="3"/>
  <c r="D2352" i="3"/>
  <c r="H2352" i="3" s="1"/>
  <c r="I2352" i="3" s="1"/>
  <c r="C2352" i="3"/>
  <c r="B2352" i="3"/>
  <c r="A2352" i="3"/>
  <c r="F2351" i="3"/>
  <c r="E2351" i="3"/>
  <c r="D2351" i="3"/>
  <c r="H2351" i="3" s="1"/>
  <c r="I2351" i="3" s="1"/>
  <c r="C2351" i="3"/>
  <c r="B2351" i="3"/>
  <c r="A2351" i="3"/>
  <c r="H2350" i="3"/>
  <c r="I2350" i="3" s="1"/>
  <c r="F2350" i="3"/>
  <c r="E2350" i="3"/>
  <c r="D2350" i="3"/>
  <c r="C2350" i="3"/>
  <c r="B2350" i="3"/>
  <c r="A2350" i="3"/>
  <c r="F2349" i="3"/>
  <c r="E2349" i="3"/>
  <c r="D2349" i="3"/>
  <c r="H2349" i="3" s="1"/>
  <c r="I2349" i="3" s="1"/>
  <c r="C2349" i="3"/>
  <c r="B2349" i="3"/>
  <c r="A2349" i="3"/>
  <c r="F2348" i="3"/>
  <c r="E2348" i="3"/>
  <c r="D2348" i="3"/>
  <c r="H2348" i="3" s="1"/>
  <c r="I2348" i="3" s="1"/>
  <c r="C2348" i="3"/>
  <c r="B2348" i="3"/>
  <c r="A2348" i="3"/>
  <c r="H2347" i="3"/>
  <c r="I2347" i="3" s="1"/>
  <c r="F2347" i="3"/>
  <c r="E2347" i="3"/>
  <c r="D2347" i="3"/>
  <c r="C2347" i="3"/>
  <c r="B2347" i="3"/>
  <c r="A2347" i="3"/>
  <c r="F2346" i="3"/>
  <c r="E2346" i="3"/>
  <c r="D2346" i="3"/>
  <c r="H2346" i="3" s="1"/>
  <c r="I2346" i="3" s="1"/>
  <c r="C2346" i="3"/>
  <c r="B2346" i="3"/>
  <c r="A2346" i="3"/>
  <c r="I2345" i="3"/>
  <c r="H2345" i="3"/>
  <c r="F2345" i="3"/>
  <c r="E2345" i="3"/>
  <c r="D2345" i="3"/>
  <c r="C2345" i="3"/>
  <c r="B2345" i="3"/>
  <c r="A2345" i="3"/>
  <c r="F2344" i="3"/>
  <c r="E2344" i="3"/>
  <c r="D2344" i="3"/>
  <c r="H2344" i="3" s="1"/>
  <c r="I2344" i="3" s="1"/>
  <c r="C2344" i="3"/>
  <c r="B2344" i="3"/>
  <c r="A2344" i="3"/>
  <c r="F2343" i="3"/>
  <c r="E2343" i="3"/>
  <c r="D2343" i="3"/>
  <c r="H2343" i="3" s="1"/>
  <c r="I2343" i="3" s="1"/>
  <c r="C2343" i="3"/>
  <c r="B2343" i="3"/>
  <c r="A2343" i="3"/>
  <c r="F2342" i="3"/>
  <c r="E2342" i="3"/>
  <c r="D2342" i="3"/>
  <c r="H2342" i="3" s="1"/>
  <c r="I2342" i="3" s="1"/>
  <c r="C2342" i="3"/>
  <c r="B2342" i="3"/>
  <c r="A2342" i="3"/>
  <c r="H2341" i="3"/>
  <c r="I2341" i="3" s="1"/>
  <c r="F2341" i="3"/>
  <c r="E2341" i="3"/>
  <c r="D2341" i="3"/>
  <c r="C2341" i="3"/>
  <c r="B2341" i="3"/>
  <c r="A2341" i="3"/>
  <c r="H2340" i="3"/>
  <c r="I2340" i="3" s="1"/>
  <c r="F2340" i="3"/>
  <c r="E2340" i="3"/>
  <c r="D2340" i="3"/>
  <c r="C2340" i="3"/>
  <c r="B2340" i="3"/>
  <c r="A2340" i="3"/>
  <c r="F2339" i="3"/>
  <c r="E2339" i="3"/>
  <c r="D2339" i="3"/>
  <c r="H2339" i="3" s="1"/>
  <c r="I2339" i="3" s="1"/>
  <c r="C2339" i="3"/>
  <c r="B2339" i="3"/>
  <c r="A2339" i="3"/>
  <c r="F2338" i="3"/>
  <c r="E2338" i="3"/>
  <c r="D2338" i="3"/>
  <c r="H2338" i="3" s="1"/>
  <c r="I2338" i="3" s="1"/>
  <c r="C2338" i="3"/>
  <c r="B2338" i="3"/>
  <c r="A2338" i="3"/>
  <c r="H2337" i="3"/>
  <c r="I2337" i="3" s="1"/>
  <c r="F2337" i="3"/>
  <c r="E2337" i="3"/>
  <c r="D2337" i="3"/>
  <c r="C2337" i="3"/>
  <c r="B2337" i="3"/>
  <c r="A2337" i="3"/>
  <c r="H2336" i="3"/>
  <c r="I2336" i="3" s="1"/>
  <c r="F2336" i="3"/>
  <c r="E2336" i="3"/>
  <c r="D2336" i="3"/>
  <c r="C2336" i="3"/>
  <c r="B2336" i="3"/>
  <c r="A2336" i="3"/>
  <c r="H2335" i="3"/>
  <c r="I2335" i="3" s="1"/>
  <c r="F2335" i="3"/>
  <c r="E2335" i="3"/>
  <c r="D2335" i="3"/>
  <c r="C2335" i="3"/>
  <c r="B2335" i="3"/>
  <c r="A2335" i="3"/>
  <c r="I2334" i="3"/>
  <c r="H2334" i="3"/>
  <c r="F2334" i="3"/>
  <c r="E2334" i="3"/>
  <c r="D2334" i="3"/>
  <c r="C2334" i="3"/>
  <c r="B2334" i="3"/>
  <c r="A2334" i="3"/>
  <c r="I2333" i="3"/>
  <c r="F2333" i="3"/>
  <c r="E2333" i="3"/>
  <c r="D2333" i="3"/>
  <c r="H2333" i="3" s="1"/>
  <c r="C2333" i="3"/>
  <c r="B2333" i="3"/>
  <c r="A2333" i="3"/>
  <c r="H2332" i="3"/>
  <c r="I2332" i="3" s="1"/>
  <c r="F2332" i="3"/>
  <c r="E2332" i="3"/>
  <c r="D2332" i="3"/>
  <c r="C2332" i="3"/>
  <c r="B2332" i="3"/>
  <c r="A2332" i="3"/>
  <c r="F2331" i="3"/>
  <c r="E2331" i="3"/>
  <c r="D2331" i="3"/>
  <c r="H2331" i="3" s="1"/>
  <c r="I2331" i="3" s="1"/>
  <c r="C2331" i="3"/>
  <c r="B2331" i="3"/>
  <c r="A2331" i="3"/>
  <c r="I2330" i="3"/>
  <c r="F2330" i="3"/>
  <c r="E2330" i="3"/>
  <c r="D2330" i="3"/>
  <c r="H2330" i="3" s="1"/>
  <c r="C2330" i="3"/>
  <c r="B2330" i="3"/>
  <c r="A2330" i="3"/>
  <c r="H2329" i="3"/>
  <c r="I2329" i="3" s="1"/>
  <c r="F2329" i="3"/>
  <c r="E2329" i="3"/>
  <c r="D2329" i="3"/>
  <c r="C2329" i="3"/>
  <c r="B2329" i="3"/>
  <c r="A2329" i="3"/>
  <c r="F2328" i="3"/>
  <c r="E2328" i="3"/>
  <c r="D2328" i="3"/>
  <c r="H2328" i="3" s="1"/>
  <c r="I2328" i="3" s="1"/>
  <c r="C2328" i="3"/>
  <c r="B2328" i="3"/>
  <c r="A2328" i="3"/>
  <c r="H2327" i="3"/>
  <c r="I2327" i="3" s="1"/>
  <c r="F2327" i="3"/>
  <c r="E2327" i="3"/>
  <c r="D2327" i="3"/>
  <c r="C2327" i="3"/>
  <c r="B2327" i="3"/>
  <c r="A2327" i="3"/>
  <c r="I2326" i="3"/>
  <c r="H2326" i="3"/>
  <c r="F2326" i="3"/>
  <c r="E2326" i="3"/>
  <c r="D2326" i="3"/>
  <c r="C2326" i="3"/>
  <c r="B2326" i="3"/>
  <c r="A2326" i="3"/>
  <c r="F2325" i="3"/>
  <c r="E2325" i="3"/>
  <c r="D2325" i="3"/>
  <c r="H2325" i="3" s="1"/>
  <c r="I2325" i="3" s="1"/>
  <c r="C2325" i="3"/>
  <c r="B2325" i="3"/>
  <c r="A2325" i="3"/>
  <c r="I2324" i="3"/>
  <c r="H2324" i="3"/>
  <c r="F2324" i="3"/>
  <c r="E2324" i="3"/>
  <c r="D2324" i="3"/>
  <c r="C2324" i="3"/>
  <c r="B2324" i="3"/>
  <c r="A2324" i="3"/>
  <c r="I2323" i="3"/>
  <c r="F2323" i="3"/>
  <c r="E2323" i="3"/>
  <c r="D2323" i="3"/>
  <c r="H2323" i="3" s="1"/>
  <c r="C2323" i="3"/>
  <c r="B2323" i="3"/>
  <c r="A2323" i="3"/>
  <c r="I2322" i="3"/>
  <c r="F2322" i="3"/>
  <c r="E2322" i="3"/>
  <c r="D2322" i="3"/>
  <c r="H2322" i="3" s="1"/>
  <c r="C2322" i="3"/>
  <c r="B2322" i="3"/>
  <c r="A2322" i="3"/>
  <c r="H2321" i="3"/>
  <c r="I2321" i="3" s="1"/>
  <c r="F2321" i="3"/>
  <c r="E2321" i="3"/>
  <c r="D2321" i="3"/>
  <c r="C2321" i="3"/>
  <c r="B2321" i="3"/>
  <c r="A2321" i="3"/>
  <c r="F2320" i="3"/>
  <c r="E2320" i="3"/>
  <c r="D2320" i="3"/>
  <c r="H2320" i="3" s="1"/>
  <c r="I2320" i="3" s="1"/>
  <c r="C2320" i="3"/>
  <c r="B2320" i="3"/>
  <c r="A2320" i="3"/>
  <c r="H2319" i="3"/>
  <c r="I2319" i="3" s="1"/>
  <c r="F2319" i="3"/>
  <c r="E2319" i="3"/>
  <c r="D2319" i="3"/>
  <c r="C2319" i="3"/>
  <c r="B2319" i="3"/>
  <c r="A2319" i="3"/>
  <c r="I2318" i="3"/>
  <c r="H2318" i="3"/>
  <c r="F2318" i="3"/>
  <c r="E2318" i="3"/>
  <c r="D2318" i="3"/>
  <c r="C2318" i="3"/>
  <c r="B2318" i="3"/>
  <c r="A2318" i="3"/>
  <c r="H2317" i="3"/>
  <c r="I2317" i="3" s="1"/>
  <c r="F2317" i="3"/>
  <c r="E2317" i="3"/>
  <c r="D2317" i="3"/>
  <c r="C2317" i="3"/>
  <c r="B2317" i="3"/>
  <c r="A2317" i="3"/>
  <c r="I2316" i="3"/>
  <c r="H2316" i="3"/>
  <c r="F2316" i="3"/>
  <c r="E2316" i="3"/>
  <c r="D2316" i="3"/>
  <c r="C2316" i="3"/>
  <c r="B2316" i="3"/>
  <c r="A2316" i="3"/>
  <c r="I2315" i="3"/>
  <c r="F2315" i="3"/>
  <c r="E2315" i="3"/>
  <c r="D2315" i="3"/>
  <c r="H2315" i="3" s="1"/>
  <c r="C2315" i="3"/>
  <c r="B2315" i="3"/>
  <c r="A2315" i="3"/>
  <c r="I2314" i="3"/>
  <c r="F2314" i="3"/>
  <c r="E2314" i="3"/>
  <c r="D2314" i="3"/>
  <c r="H2314" i="3" s="1"/>
  <c r="C2314" i="3"/>
  <c r="B2314" i="3"/>
  <c r="A2314" i="3"/>
  <c r="H2313" i="3"/>
  <c r="I2313" i="3" s="1"/>
  <c r="F2313" i="3"/>
  <c r="E2313" i="3"/>
  <c r="D2313" i="3"/>
  <c r="C2313" i="3"/>
  <c r="B2313" i="3"/>
  <c r="A2313" i="3"/>
  <c r="H2312" i="3"/>
  <c r="I2312" i="3" s="1"/>
  <c r="F2312" i="3"/>
  <c r="E2312" i="3"/>
  <c r="D2312" i="3"/>
  <c r="C2312" i="3"/>
  <c r="B2312" i="3"/>
  <c r="A2312" i="3"/>
  <c r="H2311" i="3"/>
  <c r="I2311" i="3" s="1"/>
  <c r="F2311" i="3"/>
  <c r="E2311" i="3"/>
  <c r="D2311" i="3"/>
  <c r="C2311" i="3"/>
  <c r="B2311" i="3"/>
  <c r="A2311" i="3"/>
  <c r="I2310" i="3"/>
  <c r="H2310" i="3"/>
  <c r="F2310" i="3"/>
  <c r="E2310" i="3"/>
  <c r="D2310" i="3"/>
  <c r="C2310" i="3"/>
  <c r="B2310" i="3"/>
  <c r="A2310" i="3"/>
  <c r="H2309" i="3"/>
  <c r="I2309" i="3" s="1"/>
  <c r="F2309" i="3"/>
  <c r="E2309" i="3"/>
  <c r="D2309" i="3"/>
  <c r="C2309" i="3"/>
  <c r="B2309" i="3"/>
  <c r="A2309" i="3"/>
  <c r="F2308" i="3"/>
  <c r="E2308" i="3"/>
  <c r="D2308" i="3"/>
  <c r="H2308" i="3" s="1"/>
  <c r="I2308" i="3" s="1"/>
  <c r="C2308" i="3"/>
  <c r="B2308" i="3"/>
  <c r="A2308" i="3"/>
  <c r="F2307" i="3"/>
  <c r="E2307" i="3"/>
  <c r="D2307" i="3"/>
  <c r="H2307" i="3" s="1"/>
  <c r="I2307" i="3" s="1"/>
  <c r="C2307" i="3"/>
  <c r="B2307" i="3"/>
  <c r="A2307" i="3"/>
  <c r="I2306" i="3"/>
  <c r="F2306" i="3"/>
  <c r="E2306" i="3"/>
  <c r="D2306" i="3"/>
  <c r="H2306" i="3" s="1"/>
  <c r="C2306" i="3"/>
  <c r="B2306" i="3"/>
  <c r="A2306" i="3"/>
  <c r="H2305" i="3"/>
  <c r="I2305" i="3" s="1"/>
  <c r="F2305" i="3"/>
  <c r="E2305" i="3"/>
  <c r="D2305" i="3"/>
  <c r="C2305" i="3"/>
  <c r="B2305" i="3"/>
  <c r="A2305" i="3"/>
  <c r="F2304" i="3"/>
  <c r="E2304" i="3"/>
  <c r="D2304" i="3"/>
  <c r="H2304" i="3" s="1"/>
  <c r="I2304" i="3" s="1"/>
  <c r="C2304" i="3"/>
  <c r="B2304" i="3"/>
  <c r="A2304" i="3"/>
  <c r="H2303" i="3"/>
  <c r="I2303" i="3" s="1"/>
  <c r="F2303" i="3"/>
  <c r="E2303" i="3"/>
  <c r="D2303" i="3"/>
  <c r="C2303" i="3"/>
  <c r="B2303" i="3"/>
  <c r="A2303" i="3"/>
  <c r="I2302" i="3"/>
  <c r="H2302" i="3"/>
  <c r="F2302" i="3"/>
  <c r="E2302" i="3"/>
  <c r="D2302" i="3"/>
  <c r="C2302" i="3"/>
  <c r="B2302" i="3"/>
  <c r="A2302" i="3"/>
  <c r="H2301" i="3"/>
  <c r="I2301" i="3" s="1"/>
  <c r="F2301" i="3"/>
  <c r="E2301" i="3"/>
  <c r="D2301" i="3"/>
  <c r="C2301" i="3"/>
  <c r="B2301" i="3"/>
  <c r="A2301" i="3"/>
  <c r="F2300" i="3"/>
  <c r="E2300" i="3"/>
  <c r="D2300" i="3"/>
  <c r="H2300" i="3" s="1"/>
  <c r="I2300" i="3" s="1"/>
  <c r="C2300" i="3"/>
  <c r="B2300" i="3"/>
  <c r="A2300" i="3"/>
  <c r="F2299" i="3"/>
  <c r="E2299" i="3"/>
  <c r="D2299" i="3"/>
  <c r="H2299" i="3" s="1"/>
  <c r="I2299" i="3" s="1"/>
  <c r="C2299" i="3"/>
  <c r="B2299" i="3"/>
  <c r="A2299" i="3"/>
  <c r="F2298" i="3"/>
  <c r="E2298" i="3"/>
  <c r="D2298" i="3"/>
  <c r="H2298" i="3" s="1"/>
  <c r="I2298" i="3" s="1"/>
  <c r="C2298" i="3"/>
  <c r="B2298" i="3"/>
  <c r="A2298" i="3"/>
  <c r="F2297" i="3"/>
  <c r="E2297" i="3"/>
  <c r="D2297" i="3"/>
  <c r="H2297" i="3" s="1"/>
  <c r="I2297" i="3" s="1"/>
  <c r="C2297" i="3"/>
  <c r="B2297" i="3"/>
  <c r="A2297" i="3"/>
  <c r="F2296" i="3"/>
  <c r="E2296" i="3"/>
  <c r="D2296" i="3"/>
  <c r="H2296" i="3" s="1"/>
  <c r="I2296" i="3" s="1"/>
  <c r="C2296" i="3"/>
  <c r="B2296" i="3"/>
  <c r="A2296" i="3"/>
  <c r="H2295" i="3"/>
  <c r="I2295" i="3" s="1"/>
  <c r="F2295" i="3"/>
  <c r="E2295" i="3"/>
  <c r="D2295" i="3"/>
  <c r="C2295" i="3"/>
  <c r="B2295" i="3"/>
  <c r="A2295" i="3"/>
  <c r="I2294" i="3"/>
  <c r="H2294" i="3"/>
  <c r="F2294" i="3"/>
  <c r="E2294" i="3"/>
  <c r="D2294" i="3"/>
  <c r="C2294" i="3"/>
  <c r="B2294" i="3"/>
  <c r="A2294" i="3"/>
  <c r="I2293" i="3"/>
  <c r="F2293" i="3"/>
  <c r="E2293" i="3"/>
  <c r="D2293" i="3"/>
  <c r="H2293" i="3" s="1"/>
  <c r="C2293" i="3"/>
  <c r="B2293" i="3"/>
  <c r="A2293" i="3"/>
  <c r="H2292" i="3"/>
  <c r="I2292" i="3" s="1"/>
  <c r="F2292" i="3"/>
  <c r="E2292" i="3"/>
  <c r="D2292" i="3"/>
  <c r="C2292" i="3"/>
  <c r="B2292" i="3"/>
  <c r="A2292" i="3"/>
  <c r="I2291" i="3"/>
  <c r="F2291" i="3"/>
  <c r="E2291" i="3"/>
  <c r="D2291" i="3"/>
  <c r="H2291" i="3" s="1"/>
  <c r="C2291" i="3"/>
  <c r="B2291" i="3"/>
  <c r="A2291" i="3"/>
  <c r="F2290" i="3"/>
  <c r="E2290" i="3"/>
  <c r="D2290" i="3"/>
  <c r="H2290" i="3" s="1"/>
  <c r="I2290" i="3" s="1"/>
  <c r="C2290" i="3"/>
  <c r="B2290" i="3"/>
  <c r="A2290" i="3"/>
  <c r="H2289" i="3"/>
  <c r="I2289" i="3" s="1"/>
  <c r="F2289" i="3"/>
  <c r="E2289" i="3"/>
  <c r="D2289" i="3"/>
  <c r="C2289" i="3"/>
  <c r="B2289" i="3"/>
  <c r="A2289" i="3"/>
  <c r="F2288" i="3"/>
  <c r="E2288" i="3"/>
  <c r="D2288" i="3"/>
  <c r="H2288" i="3" s="1"/>
  <c r="I2288" i="3" s="1"/>
  <c r="C2288" i="3"/>
  <c r="B2288" i="3"/>
  <c r="A2288" i="3"/>
  <c r="H2287" i="3"/>
  <c r="I2287" i="3" s="1"/>
  <c r="F2287" i="3"/>
  <c r="E2287" i="3"/>
  <c r="D2287" i="3"/>
  <c r="C2287" i="3"/>
  <c r="B2287" i="3"/>
  <c r="A2287" i="3"/>
  <c r="H2286" i="3"/>
  <c r="I2286" i="3" s="1"/>
  <c r="F2286" i="3"/>
  <c r="E2286" i="3"/>
  <c r="D2286" i="3"/>
  <c r="C2286" i="3"/>
  <c r="B2286" i="3"/>
  <c r="A2286" i="3"/>
  <c r="H2285" i="3"/>
  <c r="I2285" i="3" s="1"/>
  <c r="F2285" i="3"/>
  <c r="E2285" i="3"/>
  <c r="D2285" i="3"/>
  <c r="C2285" i="3"/>
  <c r="B2285" i="3"/>
  <c r="A2285" i="3"/>
  <c r="R2284" i="3"/>
  <c r="J2284" i="3"/>
  <c r="H2284" i="3"/>
  <c r="I2284" i="3" s="1"/>
  <c r="F2284" i="3"/>
  <c r="E2284" i="3"/>
  <c r="D2284" i="3"/>
  <c r="C2284" i="3"/>
  <c r="B2284" i="3"/>
  <c r="A2284" i="3"/>
  <c r="F2283" i="3"/>
  <c r="E2283" i="3"/>
  <c r="D2283" i="3"/>
  <c r="H2283" i="3" s="1"/>
  <c r="I2283" i="3" s="1"/>
  <c r="C2283" i="3"/>
  <c r="B2283" i="3"/>
  <c r="A2283" i="3"/>
  <c r="I2282" i="3"/>
  <c r="F2282" i="3"/>
  <c r="E2282" i="3"/>
  <c r="D2282" i="3"/>
  <c r="H2282" i="3" s="1"/>
  <c r="C2282" i="3"/>
  <c r="B2282" i="3"/>
  <c r="A2282" i="3"/>
  <c r="F2281" i="3"/>
  <c r="E2281" i="3"/>
  <c r="D2281" i="3"/>
  <c r="H2281" i="3" s="1"/>
  <c r="I2281" i="3" s="1"/>
  <c r="C2281" i="3"/>
  <c r="B2281" i="3"/>
  <c r="A2281" i="3"/>
  <c r="F2280" i="3"/>
  <c r="E2280" i="3"/>
  <c r="D2280" i="3"/>
  <c r="H2280" i="3" s="1"/>
  <c r="I2280" i="3" s="1"/>
  <c r="C2280" i="3"/>
  <c r="B2280" i="3"/>
  <c r="A2280" i="3"/>
  <c r="H2279" i="3"/>
  <c r="I2279" i="3" s="1"/>
  <c r="F2279" i="3"/>
  <c r="E2279" i="3"/>
  <c r="D2279" i="3"/>
  <c r="C2279" i="3"/>
  <c r="B2279" i="3"/>
  <c r="A2279" i="3"/>
  <c r="H2278" i="3"/>
  <c r="I2278" i="3" s="1"/>
  <c r="F2278" i="3"/>
  <c r="E2278" i="3"/>
  <c r="D2278" i="3"/>
  <c r="C2278" i="3"/>
  <c r="B2278" i="3"/>
  <c r="A2278" i="3"/>
  <c r="H2277" i="3"/>
  <c r="I2277" i="3" s="1"/>
  <c r="F2277" i="3"/>
  <c r="E2277" i="3"/>
  <c r="D2277" i="3"/>
  <c r="C2277" i="3"/>
  <c r="B2277" i="3"/>
  <c r="A2277" i="3"/>
  <c r="I2276" i="3"/>
  <c r="H2276" i="3"/>
  <c r="F2276" i="3"/>
  <c r="E2276" i="3"/>
  <c r="D2276" i="3"/>
  <c r="C2276" i="3"/>
  <c r="B2276" i="3"/>
  <c r="A2276" i="3"/>
  <c r="I2275" i="3"/>
  <c r="F2275" i="3"/>
  <c r="E2275" i="3"/>
  <c r="D2275" i="3"/>
  <c r="H2275" i="3" s="1"/>
  <c r="C2275" i="3"/>
  <c r="B2275" i="3"/>
  <c r="A2275" i="3"/>
  <c r="I2274" i="3"/>
  <c r="F2274" i="3"/>
  <c r="E2274" i="3"/>
  <c r="D2274" i="3"/>
  <c r="H2274" i="3" s="1"/>
  <c r="C2274" i="3"/>
  <c r="B2274" i="3"/>
  <c r="A2274" i="3"/>
  <c r="I2273" i="3"/>
  <c r="H2273" i="3"/>
  <c r="F2273" i="3"/>
  <c r="E2273" i="3"/>
  <c r="D2273" i="3"/>
  <c r="C2273" i="3"/>
  <c r="B2273" i="3"/>
  <c r="A2273" i="3"/>
  <c r="H2272" i="3"/>
  <c r="I2272" i="3" s="1"/>
  <c r="F2272" i="3"/>
  <c r="E2272" i="3"/>
  <c r="D2272" i="3"/>
  <c r="C2272" i="3"/>
  <c r="B2272" i="3"/>
  <c r="A2272" i="3"/>
  <c r="H2271" i="3"/>
  <c r="I2271" i="3" s="1"/>
  <c r="F2271" i="3"/>
  <c r="E2271" i="3"/>
  <c r="D2271" i="3"/>
  <c r="C2271" i="3"/>
  <c r="B2271" i="3"/>
  <c r="A2271" i="3"/>
  <c r="I2270" i="3"/>
  <c r="H2270" i="3"/>
  <c r="F2270" i="3"/>
  <c r="E2270" i="3"/>
  <c r="D2270" i="3"/>
  <c r="C2270" i="3"/>
  <c r="B2270" i="3"/>
  <c r="A2270" i="3"/>
  <c r="H2269" i="3"/>
  <c r="I2269" i="3" s="1"/>
  <c r="F2269" i="3"/>
  <c r="E2269" i="3"/>
  <c r="D2269" i="3"/>
  <c r="C2269" i="3"/>
  <c r="B2269" i="3"/>
  <c r="A2269" i="3"/>
  <c r="H2268" i="3"/>
  <c r="I2268" i="3" s="1"/>
  <c r="F2268" i="3"/>
  <c r="E2268" i="3"/>
  <c r="D2268" i="3"/>
  <c r="C2268" i="3"/>
  <c r="B2268" i="3"/>
  <c r="A2268" i="3"/>
  <c r="F2267" i="3"/>
  <c r="E2267" i="3"/>
  <c r="D2267" i="3"/>
  <c r="H2267" i="3" s="1"/>
  <c r="I2267" i="3" s="1"/>
  <c r="C2267" i="3"/>
  <c r="B2267" i="3"/>
  <c r="A2267" i="3"/>
  <c r="F2266" i="3"/>
  <c r="E2266" i="3"/>
  <c r="D2266" i="3"/>
  <c r="H2266" i="3" s="1"/>
  <c r="I2266" i="3" s="1"/>
  <c r="C2266" i="3"/>
  <c r="B2266" i="3"/>
  <c r="A2266" i="3"/>
  <c r="F2265" i="3"/>
  <c r="E2265" i="3"/>
  <c r="D2265" i="3"/>
  <c r="H2265" i="3" s="1"/>
  <c r="I2265" i="3" s="1"/>
  <c r="C2265" i="3"/>
  <c r="B2265" i="3"/>
  <c r="A2265" i="3"/>
  <c r="H2264" i="3"/>
  <c r="I2264" i="3" s="1"/>
  <c r="F2264" i="3"/>
  <c r="E2264" i="3"/>
  <c r="D2264" i="3"/>
  <c r="C2264" i="3"/>
  <c r="B2264" i="3"/>
  <c r="A2264" i="3"/>
  <c r="F2263" i="3"/>
  <c r="E2263" i="3"/>
  <c r="D2263" i="3"/>
  <c r="H2263" i="3" s="1"/>
  <c r="I2263" i="3" s="1"/>
  <c r="C2263" i="3"/>
  <c r="B2263" i="3"/>
  <c r="A2263" i="3"/>
  <c r="F2262" i="3"/>
  <c r="E2262" i="3"/>
  <c r="D2262" i="3"/>
  <c r="H2262" i="3" s="1"/>
  <c r="I2262" i="3" s="1"/>
  <c r="C2262" i="3"/>
  <c r="B2262" i="3"/>
  <c r="A2262" i="3"/>
  <c r="I2261" i="3"/>
  <c r="H2261" i="3"/>
  <c r="F2261" i="3"/>
  <c r="E2261" i="3"/>
  <c r="D2261" i="3"/>
  <c r="C2261" i="3"/>
  <c r="B2261" i="3"/>
  <c r="A2261" i="3"/>
  <c r="I2260" i="3"/>
  <c r="F2260" i="3"/>
  <c r="E2260" i="3"/>
  <c r="D2260" i="3"/>
  <c r="H2260" i="3" s="1"/>
  <c r="C2260" i="3"/>
  <c r="B2260" i="3"/>
  <c r="A2260" i="3"/>
  <c r="I2259" i="3"/>
  <c r="H2259" i="3"/>
  <c r="F2259" i="3"/>
  <c r="E2259" i="3"/>
  <c r="D2259" i="3"/>
  <c r="C2259" i="3"/>
  <c r="B2259" i="3"/>
  <c r="A2259" i="3"/>
  <c r="F2258" i="3"/>
  <c r="E2258" i="3"/>
  <c r="D2258" i="3"/>
  <c r="H2258" i="3" s="1"/>
  <c r="I2258" i="3" s="1"/>
  <c r="C2258" i="3"/>
  <c r="B2258" i="3"/>
  <c r="A2258" i="3"/>
  <c r="F2257" i="3"/>
  <c r="E2257" i="3"/>
  <c r="D2257" i="3"/>
  <c r="H2257" i="3" s="1"/>
  <c r="I2257" i="3" s="1"/>
  <c r="C2257" i="3"/>
  <c r="B2257" i="3"/>
  <c r="A2257" i="3"/>
  <c r="I2256" i="3"/>
  <c r="H2256" i="3"/>
  <c r="F2256" i="3"/>
  <c r="E2256" i="3"/>
  <c r="D2256" i="3"/>
  <c r="C2256" i="3"/>
  <c r="B2256" i="3"/>
  <c r="A2256" i="3"/>
  <c r="I2255" i="3"/>
  <c r="H2255" i="3"/>
  <c r="F2255" i="3"/>
  <c r="E2255" i="3"/>
  <c r="D2255" i="3"/>
  <c r="C2255" i="3"/>
  <c r="B2255" i="3"/>
  <c r="A2255" i="3"/>
  <c r="F2254" i="3"/>
  <c r="E2254" i="3"/>
  <c r="D2254" i="3"/>
  <c r="H2254" i="3" s="1"/>
  <c r="I2254" i="3" s="1"/>
  <c r="C2254" i="3"/>
  <c r="B2254" i="3"/>
  <c r="A2254" i="3"/>
  <c r="I2253" i="3"/>
  <c r="H2253" i="3"/>
  <c r="F2253" i="3"/>
  <c r="E2253" i="3"/>
  <c r="D2253" i="3"/>
  <c r="C2253" i="3"/>
  <c r="B2253" i="3"/>
  <c r="A2253" i="3"/>
  <c r="I2252" i="3"/>
  <c r="F2252" i="3"/>
  <c r="E2252" i="3"/>
  <c r="D2252" i="3"/>
  <c r="H2252" i="3" s="1"/>
  <c r="C2252" i="3"/>
  <c r="B2252" i="3"/>
  <c r="A2252" i="3"/>
  <c r="H2251" i="3"/>
  <c r="I2251" i="3" s="1"/>
  <c r="F2251" i="3"/>
  <c r="E2251" i="3"/>
  <c r="D2251" i="3"/>
  <c r="C2251" i="3"/>
  <c r="B2251" i="3"/>
  <c r="A2251" i="3"/>
  <c r="F2250" i="3"/>
  <c r="E2250" i="3"/>
  <c r="D2250" i="3"/>
  <c r="H2250" i="3" s="1"/>
  <c r="I2250" i="3" s="1"/>
  <c r="C2250" i="3"/>
  <c r="B2250" i="3"/>
  <c r="A2250" i="3"/>
  <c r="F2249" i="3"/>
  <c r="E2249" i="3"/>
  <c r="D2249" i="3"/>
  <c r="H2249" i="3" s="1"/>
  <c r="I2249" i="3" s="1"/>
  <c r="C2249" i="3"/>
  <c r="B2249" i="3"/>
  <c r="A2249" i="3"/>
  <c r="I2248" i="3"/>
  <c r="H2248" i="3"/>
  <c r="F2248" i="3"/>
  <c r="E2248" i="3"/>
  <c r="D2248" i="3"/>
  <c r="C2248" i="3"/>
  <c r="B2248" i="3"/>
  <c r="A2248" i="3"/>
  <c r="I2247" i="3"/>
  <c r="F2247" i="3"/>
  <c r="E2247" i="3"/>
  <c r="D2247" i="3"/>
  <c r="H2247" i="3" s="1"/>
  <c r="C2247" i="3"/>
  <c r="B2247" i="3"/>
  <c r="A2247" i="3"/>
  <c r="H2246" i="3"/>
  <c r="I2246" i="3" s="1"/>
  <c r="F2246" i="3"/>
  <c r="E2246" i="3"/>
  <c r="D2246" i="3"/>
  <c r="C2246" i="3"/>
  <c r="B2246" i="3"/>
  <c r="A2246" i="3"/>
  <c r="H2245" i="3"/>
  <c r="I2245" i="3" s="1"/>
  <c r="F2245" i="3"/>
  <c r="E2245" i="3"/>
  <c r="D2245" i="3"/>
  <c r="C2245" i="3"/>
  <c r="B2245" i="3"/>
  <c r="A2245" i="3"/>
  <c r="I2244" i="3"/>
  <c r="F2244" i="3"/>
  <c r="E2244" i="3"/>
  <c r="D2244" i="3"/>
  <c r="H2244" i="3" s="1"/>
  <c r="C2244" i="3"/>
  <c r="B2244" i="3"/>
  <c r="A2244" i="3"/>
  <c r="H2243" i="3"/>
  <c r="I2243" i="3" s="1"/>
  <c r="F2243" i="3"/>
  <c r="E2243" i="3"/>
  <c r="D2243" i="3"/>
  <c r="C2243" i="3"/>
  <c r="B2243" i="3"/>
  <c r="A2243" i="3"/>
  <c r="H2242" i="3"/>
  <c r="I2242" i="3" s="1"/>
  <c r="F2242" i="3"/>
  <c r="E2242" i="3"/>
  <c r="D2242" i="3"/>
  <c r="C2242" i="3"/>
  <c r="B2242" i="3"/>
  <c r="A2242" i="3"/>
  <c r="F2241" i="3"/>
  <c r="E2241" i="3"/>
  <c r="D2241" i="3"/>
  <c r="H2241" i="3" s="1"/>
  <c r="I2241" i="3" s="1"/>
  <c r="C2241" i="3"/>
  <c r="B2241" i="3"/>
  <c r="A2241" i="3"/>
  <c r="H2240" i="3"/>
  <c r="I2240" i="3" s="1"/>
  <c r="F2240" i="3"/>
  <c r="E2240" i="3"/>
  <c r="D2240" i="3"/>
  <c r="C2240" i="3"/>
  <c r="B2240" i="3"/>
  <c r="A2240" i="3"/>
  <c r="H2239" i="3"/>
  <c r="I2239" i="3" s="1"/>
  <c r="F2239" i="3"/>
  <c r="E2239" i="3"/>
  <c r="D2239" i="3"/>
  <c r="C2239" i="3"/>
  <c r="B2239" i="3"/>
  <c r="A2239" i="3"/>
  <c r="H2238" i="3"/>
  <c r="I2238" i="3" s="1"/>
  <c r="F2238" i="3"/>
  <c r="E2238" i="3"/>
  <c r="D2238" i="3"/>
  <c r="C2238" i="3"/>
  <c r="B2238" i="3"/>
  <c r="A2238" i="3"/>
  <c r="H2237" i="3"/>
  <c r="I2237" i="3" s="1"/>
  <c r="F2237" i="3"/>
  <c r="E2237" i="3"/>
  <c r="D2237" i="3"/>
  <c r="C2237" i="3"/>
  <c r="B2237" i="3"/>
  <c r="A2237" i="3"/>
  <c r="I2236" i="3"/>
  <c r="F2236" i="3"/>
  <c r="E2236" i="3"/>
  <c r="D2236" i="3"/>
  <c r="H2236" i="3" s="1"/>
  <c r="C2236" i="3"/>
  <c r="B2236" i="3"/>
  <c r="A2236" i="3"/>
  <c r="F2235" i="3"/>
  <c r="E2235" i="3"/>
  <c r="D2235" i="3"/>
  <c r="H2235" i="3" s="1"/>
  <c r="I2235" i="3" s="1"/>
  <c r="C2235" i="3"/>
  <c r="B2235" i="3"/>
  <c r="A2235" i="3"/>
  <c r="H2234" i="3"/>
  <c r="I2234" i="3" s="1"/>
  <c r="F2234" i="3"/>
  <c r="E2234" i="3"/>
  <c r="D2234" i="3"/>
  <c r="C2234" i="3"/>
  <c r="B2234" i="3"/>
  <c r="A2234" i="3"/>
  <c r="F2233" i="3"/>
  <c r="E2233" i="3"/>
  <c r="D2233" i="3"/>
  <c r="H2233" i="3" s="1"/>
  <c r="I2233" i="3" s="1"/>
  <c r="C2233" i="3"/>
  <c r="B2233" i="3"/>
  <c r="A2233" i="3"/>
  <c r="H2232" i="3"/>
  <c r="I2232" i="3" s="1"/>
  <c r="F2232" i="3"/>
  <c r="E2232" i="3"/>
  <c r="D2232" i="3"/>
  <c r="C2232" i="3"/>
  <c r="B2232" i="3"/>
  <c r="A2232" i="3"/>
  <c r="H2231" i="3"/>
  <c r="I2231" i="3" s="1"/>
  <c r="F2231" i="3"/>
  <c r="E2231" i="3"/>
  <c r="D2231" i="3"/>
  <c r="C2231" i="3"/>
  <c r="B2231" i="3"/>
  <c r="A2231" i="3"/>
  <c r="F2230" i="3"/>
  <c r="E2230" i="3"/>
  <c r="D2230" i="3"/>
  <c r="H2230" i="3" s="1"/>
  <c r="I2230" i="3" s="1"/>
  <c r="C2230" i="3"/>
  <c r="B2230" i="3"/>
  <c r="A2230" i="3"/>
  <c r="H2229" i="3"/>
  <c r="I2229" i="3" s="1"/>
  <c r="F2229" i="3"/>
  <c r="E2229" i="3"/>
  <c r="D2229" i="3"/>
  <c r="C2229" i="3"/>
  <c r="B2229" i="3"/>
  <c r="A2229" i="3"/>
  <c r="F2228" i="3"/>
  <c r="E2228" i="3"/>
  <c r="D2228" i="3"/>
  <c r="H2228" i="3" s="1"/>
  <c r="I2228" i="3" s="1"/>
  <c r="C2228" i="3"/>
  <c r="B2228" i="3"/>
  <c r="A2228" i="3"/>
  <c r="H2227" i="3"/>
  <c r="I2227" i="3" s="1"/>
  <c r="F2227" i="3"/>
  <c r="E2227" i="3"/>
  <c r="D2227" i="3"/>
  <c r="C2227" i="3"/>
  <c r="B2227" i="3"/>
  <c r="A2227" i="3"/>
  <c r="I2226" i="3"/>
  <c r="F2226" i="3"/>
  <c r="E2226" i="3"/>
  <c r="D2226" i="3"/>
  <c r="H2226" i="3" s="1"/>
  <c r="C2226" i="3"/>
  <c r="B2226" i="3"/>
  <c r="A2226" i="3"/>
  <c r="F2225" i="3"/>
  <c r="E2225" i="3"/>
  <c r="D2225" i="3"/>
  <c r="H2225" i="3" s="1"/>
  <c r="I2225" i="3" s="1"/>
  <c r="C2225" i="3"/>
  <c r="B2225" i="3"/>
  <c r="A2225" i="3"/>
  <c r="H2224" i="3"/>
  <c r="I2224" i="3" s="1"/>
  <c r="F2224" i="3"/>
  <c r="E2224" i="3"/>
  <c r="D2224" i="3"/>
  <c r="C2224" i="3"/>
  <c r="B2224" i="3"/>
  <c r="A2224" i="3"/>
  <c r="I2223" i="3"/>
  <c r="H2223" i="3"/>
  <c r="F2223" i="3"/>
  <c r="E2223" i="3"/>
  <c r="D2223" i="3"/>
  <c r="C2223" i="3"/>
  <c r="B2223" i="3"/>
  <c r="A2223" i="3"/>
  <c r="H2222" i="3"/>
  <c r="I2222" i="3" s="1"/>
  <c r="F2222" i="3"/>
  <c r="E2222" i="3"/>
  <c r="D2222" i="3"/>
  <c r="C2222" i="3"/>
  <c r="B2222" i="3"/>
  <c r="A2222" i="3"/>
  <c r="I2221" i="3"/>
  <c r="F2221" i="3"/>
  <c r="E2221" i="3"/>
  <c r="D2221" i="3"/>
  <c r="H2221" i="3" s="1"/>
  <c r="C2221" i="3"/>
  <c r="B2221" i="3"/>
  <c r="A2221" i="3"/>
  <c r="F2220" i="3"/>
  <c r="E2220" i="3"/>
  <c r="D2220" i="3"/>
  <c r="H2220" i="3" s="1"/>
  <c r="I2220" i="3" s="1"/>
  <c r="C2220" i="3"/>
  <c r="B2220" i="3"/>
  <c r="A2220" i="3"/>
  <c r="F2219" i="3"/>
  <c r="E2219" i="3"/>
  <c r="D2219" i="3"/>
  <c r="H2219" i="3" s="1"/>
  <c r="I2219" i="3" s="1"/>
  <c r="C2219" i="3"/>
  <c r="B2219" i="3"/>
  <c r="A2219" i="3"/>
  <c r="F2218" i="3"/>
  <c r="E2218" i="3"/>
  <c r="D2218" i="3"/>
  <c r="H2218" i="3" s="1"/>
  <c r="I2218" i="3" s="1"/>
  <c r="C2218" i="3"/>
  <c r="B2218" i="3"/>
  <c r="A2218" i="3"/>
  <c r="H2217" i="3"/>
  <c r="I2217" i="3" s="1"/>
  <c r="F2217" i="3"/>
  <c r="E2217" i="3"/>
  <c r="D2217" i="3"/>
  <c r="C2217" i="3"/>
  <c r="B2217" i="3"/>
  <c r="A2217" i="3"/>
  <c r="H2216" i="3"/>
  <c r="I2216" i="3" s="1"/>
  <c r="F2216" i="3"/>
  <c r="E2216" i="3"/>
  <c r="D2216" i="3"/>
  <c r="C2216" i="3"/>
  <c r="B2216" i="3"/>
  <c r="A2216" i="3"/>
  <c r="H2215" i="3"/>
  <c r="I2215" i="3" s="1"/>
  <c r="F2215" i="3"/>
  <c r="E2215" i="3"/>
  <c r="D2215" i="3"/>
  <c r="C2215" i="3"/>
  <c r="B2215" i="3"/>
  <c r="A2215" i="3"/>
  <c r="H2214" i="3"/>
  <c r="I2214" i="3" s="1"/>
  <c r="F2214" i="3"/>
  <c r="E2214" i="3"/>
  <c r="D2214" i="3"/>
  <c r="C2214" i="3"/>
  <c r="B2214" i="3"/>
  <c r="A2214" i="3"/>
  <c r="F2213" i="3"/>
  <c r="E2213" i="3"/>
  <c r="D2213" i="3"/>
  <c r="H2213" i="3" s="1"/>
  <c r="I2213" i="3" s="1"/>
  <c r="C2213" i="3"/>
  <c r="B2213" i="3"/>
  <c r="A2213" i="3"/>
  <c r="F2212" i="3"/>
  <c r="E2212" i="3"/>
  <c r="D2212" i="3"/>
  <c r="H2212" i="3" s="1"/>
  <c r="I2212" i="3" s="1"/>
  <c r="C2212" i="3"/>
  <c r="B2212" i="3"/>
  <c r="A2212" i="3"/>
  <c r="F2211" i="3"/>
  <c r="E2211" i="3"/>
  <c r="D2211" i="3"/>
  <c r="H2211" i="3" s="1"/>
  <c r="I2211" i="3" s="1"/>
  <c r="C2211" i="3"/>
  <c r="B2211" i="3"/>
  <c r="A2211" i="3"/>
  <c r="F2210" i="3"/>
  <c r="E2210" i="3"/>
  <c r="D2210" i="3"/>
  <c r="H2210" i="3" s="1"/>
  <c r="I2210" i="3" s="1"/>
  <c r="C2210" i="3"/>
  <c r="B2210" i="3"/>
  <c r="A2210" i="3"/>
  <c r="I2209" i="3"/>
  <c r="H2209" i="3"/>
  <c r="F2209" i="3"/>
  <c r="E2209" i="3"/>
  <c r="D2209" i="3"/>
  <c r="C2209" i="3"/>
  <c r="B2209" i="3"/>
  <c r="A2209" i="3"/>
  <c r="F2208" i="3"/>
  <c r="E2208" i="3"/>
  <c r="D2208" i="3"/>
  <c r="H2208" i="3" s="1"/>
  <c r="I2208" i="3" s="1"/>
  <c r="C2208" i="3"/>
  <c r="B2208" i="3"/>
  <c r="A2208" i="3"/>
  <c r="I2207" i="3"/>
  <c r="H2207" i="3"/>
  <c r="F2207" i="3"/>
  <c r="E2207" i="3"/>
  <c r="D2207" i="3"/>
  <c r="C2207" i="3"/>
  <c r="B2207" i="3"/>
  <c r="A2207" i="3"/>
  <c r="F2206" i="3"/>
  <c r="E2206" i="3"/>
  <c r="D2206" i="3"/>
  <c r="H2206" i="3" s="1"/>
  <c r="I2206" i="3" s="1"/>
  <c r="C2206" i="3"/>
  <c r="B2206" i="3"/>
  <c r="A2206" i="3"/>
  <c r="F2205" i="3"/>
  <c r="E2205" i="3"/>
  <c r="D2205" i="3"/>
  <c r="H2205" i="3" s="1"/>
  <c r="I2205" i="3" s="1"/>
  <c r="C2205" i="3"/>
  <c r="B2205" i="3"/>
  <c r="A2205" i="3"/>
  <c r="F2204" i="3"/>
  <c r="E2204" i="3"/>
  <c r="D2204" i="3"/>
  <c r="H2204" i="3" s="1"/>
  <c r="I2204" i="3" s="1"/>
  <c r="C2204" i="3"/>
  <c r="B2204" i="3"/>
  <c r="A2204" i="3"/>
  <c r="I2203" i="3"/>
  <c r="F2203" i="3"/>
  <c r="E2203" i="3"/>
  <c r="D2203" i="3"/>
  <c r="H2203" i="3" s="1"/>
  <c r="C2203" i="3"/>
  <c r="B2203" i="3"/>
  <c r="A2203" i="3"/>
  <c r="F2202" i="3"/>
  <c r="E2202" i="3"/>
  <c r="D2202" i="3"/>
  <c r="H2202" i="3" s="1"/>
  <c r="I2202" i="3" s="1"/>
  <c r="C2202" i="3"/>
  <c r="B2202" i="3"/>
  <c r="A2202" i="3"/>
  <c r="H2201" i="3"/>
  <c r="I2201" i="3" s="1"/>
  <c r="F2201" i="3"/>
  <c r="E2201" i="3"/>
  <c r="D2201" i="3"/>
  <c r="C2201" i="3"/>
  <c r="B2201" i="3"/>
  <c r="A2201" i="3"/>
  <c r="H2200" i="3"/>
  <c r="I2200" i="3" s="1"/>
  <c r="F2200" i="3"/>
  <c r="E2200" i="3"/>
  <c r="D2200" i="3"/>
  <c r="C2200" i="3"/>
  <c r="B2200" i="3"/>
  <c r="A2200" i="3"/>
  <c r="I2199" i="3"/>
  <c r="H2199" i="3"/>
  <c r="F2199" i="3"/>
  <c r="E2199" i="3"/>
  <c r="D2199" i="3"/>
  <c r="C2199" i="3"/>
  <c r="B2199" i="3"/>
  <c r="A2199" i="3"/>
  <c r="H2198" i="3"/>
  <c r="I2198" i="3" s="1"/>
  <c r="F2198" i="3"/>
  <c r="E2198" i="3"/>
  <c r="D2198" i="3"/>
  <c r="C2198" i="3"/>
  <c r="B2198" i="3"/>
  <c r="A2198" i="3"/>
  <c r="I2197" i="3"/>
  <c r="F2197" i="3"/>
  <c r="E2197" i="3"/>
  <c r="D2197" i="3"/>
  <c r="H2197" i="3" s="1"/>
  <c r="C2197" i="3"/>
  <c r="B2197" i="3"/>
  <c r="A2197" i="3"/>
  <c r="H2196" i="3"/>
  <c r="I2196" i="3" s="1"/>
  <c r="F2196" i="3"/>
  <c r="E2196" i="3"/>
  <c r="D2196" i="3"/>
  <c r="C2196" i="3"/>
  <c r="B2196" i="3"/>
  <c r="A2196" i="3"/>
  <c r="I2195" i="3"/>
  <c r="F2195" i="3"/>
  <c r="E2195" i="3"/>
  <c r="D2195" i="3"/>
  <c r="H2195" i="3" s="1"/>
  <c r="C2195" i="3"/>
  <c r="B2195" i="3"/>
  <c r="A2195" i="3"/>
  <c r="H2194" i="3"/>
  <c r="I2194" i="3" s="1"/>
  <c r="F2194" i="3"/>
  <c r="E2194" i="3"/>
  <c r="D2194" i="3"/>
  <c r="C2194" i="3"/>
  <c r="B2194" i="3"/>
  <c r="A2194" i="3"/>
  <c r="H2193" i="3"/>
  <c r="I2193" i="3" s="1"/>
  <c r="F2193" i="3"/>
  <c r="E2193" i="3"/>
  <c r="D2193" i="3"/>
  <c r="C2193" i="3"/>
  <c r="B2193" i="3"/>
  <c r="A2193" i="3"/>
  <c r="H2192" i="3"/>
  <c r="I2192" i="3" s="1"/>
  <c r="F2192" i="3"/>
  <c r="E2192" i="3"/>
  <c r="D2192" i="3"/>
  <c r="C2192" i="3"/>
  <c r="B2192" i="3"/>
  <c r="A2192" i="3"/>
  <c r="I2191" i="3"/>
  <c r="H2191" i="3"/>
  <c r="F2191" i="3"/>
  <c r="E2191" i="3"/>
  <c r="D2191" i="3"/>
  <c r="C2191" i="3"/>
  <c r="B2191" i="3"/>
  <c r="A2191" i="3"/>
  <c r="H2190" i="3"/>
  <c r="I2190" i="3" s="1"/>
  <c r="F2190" i="3"/>
  <c r="E2190" i="3"/>
  <c r="D2190" i="3"/>
  <c r="C2190" i="3"/>
  <c r="B2190" i="3"/>
  <c r="A2190" i="3"/>
  <c r="F2189" i="3"/>
  <c r="E2189" i="3"/>
  <c r="D2189" i="3"/>
  <c r="H2189" i="3" s="1"/>
  <c r="I2189" i="3" s="1"/>
  <c r="C2189" i="3"/>
  <c r="B2189" i="3"/>
  <c r="A2189" i="3"/>
  <c r="H2188" i="3"/>
  <c r="I2188" i="3" s="1"/>
  <c r="F2188" i="3"/>
  <c r="E2188" i="3"/>
  <c r="D2188" i="3"/>
  <c r="C2188" i="3"/>
  <c r="B2188" i="3"/>
  <c r="A2188" i="3"/>
  <c r="I2187" i="3"/>
  <c r="F2187" i="3"/>
  <c r="E2187" i="3"/>
  <c r="D2187" i="3"/>
  <c r="H2187" i="3" s="1"/>
  <c r="C2187" i="3"/>
  <c r="B2187" i="3"/>
  <c r="A2187" i="3"/>
  <c r="H2186" i="3"/>
  <c r="I2186" i="3" s="1"/>
  <c r="F2186" i="3"/>
  <c r="E2186" i="3"/>
  <c r="D2186" i="3"/>
  <c r="C2186" i="3"/>
  <c r="B2186" i="3"/>
  <c r="A2186" i="3"/>
  <c r="H2185" i="3"/>
  <c r="I2185" i="3" s="1"/>
  <c r="F2185" i="3"/>
  <c r="E2185" i="3"/>
  <c r="D2185" i="3"/>
  <c r="C2185" i="3"/>
  <c r="B2185" i="3"/>
  <c r="A2185" i="3"/>
  <c r="F2184" i="3"/>
  <c r="E2184" i="3"/>
  <c r="D2184" i="3"/>
  <c r="H2184" i="3" s="1"/>
  <c r="I2184" i="3" s="1"/>
  <c r="C2184" i="3"/>
  <c r="B2184" i="3"/>
  <c r="A2184" i="3"/>
  <c r="H2183" i="3"/>
  <c r="I2183" i="3" s="1"/>
  <c r="F2183" i="3"/>
  <c r="E2183" i="3"/>
  <c r="D2183" i="3"/>
  <c r="C2183" i="3"/>
  <c r="B2183" i="3"/>
  <c r="A2183" i="3"/>
  <c r="I2182" i="3"/>
  <c r="F2182" i="3"/>
  <c r="E2182" i="3"/>
  <c r="D2182" i="3"/>
  <c r="H2182" i="3" s="1"/>
  <c r="C2182" i="3"/>
  <c r="B2182" i="3"/>
  <c r="A2182" i="3"/>
  <c r="F2181" i="3"/>
  <c r="E2181" i="3"/>
  <c r="D2181" i="3"/>
  <c r="H2181" i="3" s="1"/>
  <c r="I2181" i="3" s="1"/>
  <c r="C2181" i="3"/>
  <c r="B2181" i="3"/>
  <c r="A2181" i="3"/>
  <c r="F2180" i="3"/>
  <c r="E2180" i="3"/>
  <c r="D2180" i="3"/>
  <c r="H2180" i="3" s="1"/>
  <c r="I2180" i="3" s="1"/>
  <c r="C2180" i="3"/>
  <c r="B2180" i="3"/>
  <c r="A2180" i="3"/>
  <c r="F2179" i="3"/>
  <c r="E2179" i="3"/>
  <c r="D2179" i="3"/>
  <c r="H2179" i="3" s="1"/>
  <c r="I2179" i="3" s="1"/>
  <c r="C2179" i="3"/>
  <c r="B2179" i="3"/>
  <c r="A2179" i="3"/>
  <c r="I2178" i="3"/>
  <c r="H2178" i="3"/>
  <c r="F2178" i="3"/>
  <c r="E2178" i="3"/>
  <c r="D2178" i="3"/>
  <c r="C2178" i="3"/>
  <c r="B2178" i="3"/>
  <c r="A2178" i="3"/>
  <c r="H2177" i="3"/>
  <c r="I2177" i="3" s="1"/>
  <c r="F2177" i="3"/>
  <c r="E2177" i="3"/>
  <c r="D2177" i="3"/>
  <c r="C2177" i="3"/>
  <c r="B2177" i="3"/>
  <c r="A2177" i="3"/>
  <c r="F2176" i="3"/>
  <c r="E2176" i="3"/>
  <c r="D2176" i="3"/>
  <c r="H2176" i="3" s="1"/>
  <c r="I2176" i="3" s="1"/>
  <c r="C2176" i="3"/>
  <c r="B2176" i="3"/>
  <c r="A2176" i="3"/>
  <c r="H2175" i="3"/>
  <c r="I2175" i="3" s="1"/>
  <c r="F2175" i="3"/>
  <c r="E2175" i="3"/>
  <c r="D2175" i="3"/>
  <c r="C2175" i="3"/>
  <c r="B2175" i="3"/>
  <c r="A2175" i="3"/>
  <c r="I2174" i="3"/>
  <c r="F2174" i="3"/>
  <c r="E2174" i="3"/>
  <c r="D2174" i="3"/>
  <c r="H2174" i="3" s="1"/>
  <c r="C2174" i="3"/>
  <c r="B2174" i="3"/>
  <c r="A2174" i="3"/>
  <c r="F2173" i="3"/>
  <c r="E2173" i="3"/>
  <c r="D2173" i="3"/>
  <c r="H2173" i="3" s="1"/>
  <c r="I2173" i="3" s="1"/>
  <c r="C2173" i="3"/>
  <c r="B2173" i="3"/>
  <c r="A2173" i="3"/>
  <c r="F2172" i="3"/>
  <c r="E2172" i="3"/>
  <c r="D2172" i="3"/>
  <c r="H2172" i="3" s="1"/>
  <c r="I2172" i="3" s="1"/>
  <c r="C2172" i="3"/>
  <c r="B2172" i="3"/>
  <c r="A2172" i="3"/>
  <c r="F2171" i="3"/>
  <c r="E2171" i="3"/>
  <c r="D2171" i="3"/>
  <c r="H2171" i="3" s="1"/>
  <c r="I2171" i="3" s="1"/>
  <c r="C2171" i="3"/>
  <c r="B2171" i="3"/>
  <c r="A2171" i="3"/>
  <c r="I2170" i="3"/>
  <c r="H2170" i="3"/>
  <c r="F2170" i="3"/>
  <c r="E2170" i="3"/>
  <c r="D2170" i="3"/>
  <c r="C2170" i="3"/>
  <c r="B2170" i="3"/>
  <c r="A2170" i="3"/>
  <c r="H2169" i="3"/>
  <c r="I2169" i="3" s="1"/>
  <c r="F2169" i="3"/>
  <c r="E2169" i="3"/>
  <c r="D2169" i="3"/>
  <c r="C2169" i="3"/>
  <c r="B2169" i="3"/>
  <c r="A2169" i="3"/>
  <c r="F2168" i="3"/>
  <c r="E2168" i="3"/>
  <c r="D2168" i="3"/>
  <c r="H2168" i="3" s="1"/>
  <c r="I2168" i="3" s="1"/>
  <c r="C2168" i="3"/>
  <c r="B2168" i="3"/>
  <c r="A2168" i="3"/>
  <c r="H2167" i="3"/>
  <c r="I2167" i="3" s="1"/>
  <c r="F2167" i="3"/>
  <c r="E2167" i="3"/>
  <c r="D2167" i="3"/>
  <c r="C2167" i="3"/>
  <c r="B2167" i="3"/>
  <c r="A2167" i="3"/>
  <c r="F2166" i="3"/>
  <c r="E2166" i="3"/>
  <c r="D2166" i="3"/>
  <c r="H2166" i="3" s="1"/>
  <c r="I2166" i="3" s="1"/>
  <c r="C2166" i="3"/>
  <c r="B2166" i="3"/>
  <c r="A2166" i="3"/>
  <c r="H2165" i="3"/>
  <c r="I2165" i="3" s="1"/>
  <c r="F2165" i="3"/>
  <c r="E2165" i="3"/>
  <c r="D2165" i="3"/>
  <c r="C2165" i="3"/>
  <c r="B2165" i="3"/>
  <c r="A2165" i="3"/>
  <c r="R2164" i="3"/>
  <c r="J2164" i="3"/>
  <c r="H2164" i="3"/>
  <c r="I2164" i="3" s="1"/>
  <c r="F2164" i="3"/>
  <c r="E2164" i="3"/>
  <c r="D2164" i="3"/>
  <c r="C2164" i="3"/>
  <c r="B2164" i="3"/>
  <c r="A2164" i="3"/>
  <c r="F2163" i="3"/>
  <c r="E2163" i="3"/>
  <c r="D2163" i="3"/>
  <c r="H2163" i="3" s="1"/>
  <c r="I2163" i="3" s="1"/>
  <c r="C2163" i="3"/>
  <c r="B2163" i="3"/>
  <c r="A2163" i="3"/>
  <c r="I2162" i="3"/>
  <c r="H2162" i="3"/>
  <c r="F2162" i="3"/>
  <c r="E2162" i="3"/>
  <c r="D2162" i="3"/>
  <c r="C2162" i="3"/>
  <c r="B2162" i="3"/>
  <c r="A2162" i="3"/>
  <c r="F2161" i="3"/>
  <c r="E2161" i="3"/>
  <c r="D2161" i="3"/>
  <c r="H2161" i="3" s="1"/>
  <c r="I2161" i="3" s="1"/>
  <c r="C2161" i="3"/>
  <c r="B2161" i="3"/>
  <c r="A2161" i="3"/>
  <c r="H2160" i="3"/>
  <c r="I2160" i="3" s="1"/>
  <c r="F2160" i="3"/>
  <c r="E2160" i="3"/>
  <c r="D2160" i="3"/>
  <c r="C2160" i="3"/>
  <c r="B2160" i="3"/>
  <c r="A2160" i="3"/>
  <c r="H2159" i="3"/>
  <c r="I2159" i="3" s="1"/>
  <c r="F2159" i="3"/>
  <c r="E2159" i="3"/>
  <c r="D2159" i="3"/>
  <c r="C2159" i="3"/>
  <c r="B2159" i="3"/>
  <c r="A2159" i="3"/>
  <c r="F2158" i="3"/>
  <c r="E2158" i="3"/>
  <c r="D2158" i="3"/>
  <c r="H2158" i="3" s="1"/>
  <c r="I2158" i="3" s="1"/>
  <c r="C2158" i="3"/>
  <c r="B2158" i="3"/>
  <c r="A2158" i="3"/>
  <c r="F2157" i="3"/>
  <c r="E2157" i="3"/>
  <c r="D2157" i="3"/>
  <c r="H2157" i="3" s="1"/>
  <c r="I2157" i="3" s="1"/>
  <c r="C2157" i="3"/>
  <c r="B2157" i="3"/>
  <c r="A2157" i="3"/>
  <c r="I2156" i="3"/>
  <c r="H2156" i="3"/>
  <c r="F2156" i="3"/>
  <c r="E2156" i="3"/>
  <c r="D2156" i="3"/>
  <c r="C2156" i="3"/>
  <c r="B2156" i="3"/>
  <c r="A2156" i="3"/>
  <c r="F2155" i="3"/>
  <c r="E2155" i="3"/>
  <c r="D2155" i="3"/>
  <c r="H2155" i="3" s="1"/>
  <c r="I2155" i="3" s="1"/>
  <c r="C2155" i="3"/>
  <c r="B2155" i="3"/>
  <c r="A2155" i="3"/>
  <c r="I2154" i="3"/>
  <c r="H2154" i="3"/>
  <c r="F2154" i="3"/>
  <c r="E2154" i="3"/>
  <c r="D2154" i="3"/>
  <c r="C2154" i="3"/>
  <c r="B2154" i="3"/>
  <c r="A2154" i="3"/>
  <c r="F2153" i="3"/>
  <c r="E2153" i="3"/>
  <c r="D2153" i="3"/>
  <c r="H2153" i="3" s="1"/>
  <c r="I2153" i="3" s="1"/>
  <c r="C2153" i="3"/>
  <c r="B2153" i="3"/>
  <c r="A2153" i="3"/>
  <c r="F2152" i="3"/>
  <c r="E2152" i="3"/>
  <c r="D2152" i="3"/>
  <c r="H2152" i="3" s="1"/>
  <c r="C2152" i="3"/>
  <c r="B2152" i="3"/>
  <c r="A2152" i="3"/>
  <c r="H2151" i="3"/>
  <c r="I2151" i="3" s="1"/>
  <c r="F2151" i="3"/>
  <c r="E2151" i="3"/>
  <c r="D2151" i="3"/>
  <c r="C2151" i="3"/>
  <c r="B2151" i="3"/>
  <c r="A2151" i="3"/>
  <c r="I2150" i="3"/>
  <c r="F2150" i="3"/>
  <c r="E2150" i="3"/>
  <c r="D2150" i="3"/>
  <c r="H2150" i="3" s="1"/>
  <c r="C2150" i="3"/>
  <c r="B2150" i="3"/>
  <c r="A2150" i="3"/>
  <c r="F2149" i="3"/>
  <c r="E2149" i="3"/>
  <c r="D2149" i="3"/>
  <c r="H2149" i="3" s="1"/>
  <c r="I2149" i="3" s="1"/>
  <c r="C2149" i="3"/>
  <c r="B2149" i="3"/>
  <c r="A2149" i="3"/>
  <c r="F2148" i="3"/>
  <c r="E2148" i="3"/>
  <c r="D2148" i="3"/>
  <c r="H2148" i="3" s="1"/>
  <c r="C2148" i="3"/>
  <c r="B2148" i="3"/>
  <c r="A2148" i="3"/>
  <c r="F2147" i="3"/>
  <c r="E2147" i="3"/>
  <c r="D2147" i="3"/>
  <c r="H2147" i="3" s="1"/>
  <c r="C2147" i="3"/>
  <c r="B2147" i="3"/>
  <c r="A2147" i="3"/>
  <c r="I2146" i="3"/>
  <c r="H2146" i="3"/>
  <c r="F2146" i="3"/>
  <c r="E2146" i="3"/>
  <c r="D2146" i="3"/>
  <c r="C2146" i="3"/>
  <c r="B2146" i="3"/>
  <c r="A2146" i="3"/>
  <c r="H2145" i="3"/>
  <c r="I2145" i="3" s="1"/>
  <c r="F2145" i="3"/>
  <c r="E2145" i="3"/>
  <c r="D2145" i="3"/>
  <c r="C2145" i="3"/>
  <c r="B2145" i="3"/>
  <c r="A2145" i="3"/>
  <c r="F2144" i="3"/>
  <c r="E2144" i="3"/>
  <c r="D2144" i="3"/>
  <c r="H2144" i="3" s="1"/>
  <c r="I2144" i="3" s="1"/>
  <c r="C2144" i="3"/>
  <c r="B2144" i="3"/>
  <c r="A2144" i="3"/>
  <c r="H2143" i="3"/>
  <c r="F2143" i="3"/>
  <c r="E2143" i="3"/>
  <c r="D2143" i="3"/>
  <c r="C2143" i="3"/>
  <c r="B2143" i="3"/>
  <c r="A2143" i="3"/>
  <c r="F2142" i="3"/>
  <c r="E2142" i="3"/>
  <c r="D2142" i="3"/>
  <c r="H2142" i="3" s="1"/>
  <c r="I2142" i="3" s="1"/>
  <c r="C2142" i="3"/>
  <c r="B2142" i="3"/>
  <c r="A2142" i="3"/>
  <c r="H2141" i="3"/>
  <c r="I2141" i="3" s="1"/>
  <c r="F2141" i="3"/>
  <c r="E2141" i="3"/>
  <c r="D2141" i="3"/>
  <c r="C2141" i="3"/>
  <c r="B2141" i="3"/>
  <c r="A2141" i="3"/>
  <c r="F2140" i="3"/>
  <c r="E2140" i="3"/>
  <c r="D2140" i="3"/>
  <c r="H2140" i="3" s="1"/>
  <c r="I2140" i="3" s="1"/>
  <c r="C2140" i="3"/>
  <c r="B2140" i="3"/>
  <c r="A2140" i="3"/>
  <c r="F2139" i="3"/>
  <c r="E2139" i="3"/>
  <c r="D2139" i="3"/>
  <c r="H2139" i="3" s="1"/>
  <c r="C2139" i="3"/>
  <c r="B2139" i="3"/>
  <c r="A2139" i="3"/>
  <c r="I2138" i="3"/>
  <c r="H2138" i="3"/>
  <c r="F2138" i="3"/>
  <c r="E2138" i="3"/>
  <c r="D2138" i="3"/>
  <c r="C2138" i="3"/>
  <c r="B2138" i="3"/>
  <c r="A2138" i="3"/>
  <c r="F2137" i="3"/>
  <c r="E2137" i="3"/>
  <c r="D2137" i="3"/>
  <c r="H2137" i="3" s="1"/>
  <c r="C2137" i="3"/>
  <c r="B2137" i="3"/>
  <c r="A2137" i="3"/>
  <c r="H2136" i="3"/>
  <c r="I2136" i="3" s="1"/>
  <c r="F2136" i="3"/>
  <c r="E2136" i="3"/>
  <c r="D2136" i="3"/>
  <c r="C2136" i="3"/>
  <c r="B2136" i="3"/>
  <c r="A2136" i="3"/>
  <c r="H2135" i="3"/>
  <c r="F2135" i="3"/>
  <c r="E2135" i="3"/>
  <c r="D2135" i="3"/>
  <c r="C2135" i="3"/>
  <c r="I2135" i="3" s="1"/>
  <c r="B2135" i="3"/>
  <c r="A2135" i="3"/>
  <c r="F2134" i="3"/>
  <c r="E2134" i="3"/>
  <c r="D2134" i="3"/>
  <c r="H2134" i="3" s="1"/>
  <c r="I2134" i="3" s="1"/>
  <c r="C2134" i="3"/>
  <c r="B2134" i="3"/>
  <c r="A2134" i="3"/>
  <c r="H2133" i="3"/>
  <c r="I2133" i="3" s="1"/>
  <c r="F2133" i="3"/>
  <c r="E2133" i="3"/>
  <c r="D2133" i="3"/>
  <c r="C2133" i="3"/>
  <c r="B2133" i="3"/>
  <c r="A2133" i="3"/>
  <c r="I2132" i="3"/>
  <c r="H2132" i="3"/>
  <c r="F2132" i="3"/>
  <c r="E2132" i="3"/>
  <c r="D2132" i="3"/>
  <c r="C2132" i="3"/>
  <c r="B2132" i="3"/>
  <c r="A2132" i="3"/>
  <c r="I2131" i="3"/>
  <c r="F2131" i="3"/>
  <c r="E2131" i="3"/>
  <c r="D2131" i="3"/>
  <c r="H2131" i="3" s="1"/>
  <c r="C2131" i="3"/>
  <c r="B2131" i="3"/>
  <c r="A2131" i="3"/>
  <c r="F2130" i="3"/>
  <c r="E2130" i="3"/>
  <c r="D2130" i="3"/>
  <c r="H2130" i="3" s="1"/>
  <c r="I2130" i="3" s="1"/>
  <c r="C2130" i="3"/>
  <c r="B2130" i="3"/>
  <c r="A2130" i="3"/>
  <c r="F2129" i="3"/>
  <c r="E2129" i="3"/>
  <c r="D2129" i="3"/>
  <c r="H2129" i="3" s="1"/>
  <c r="I2129" i="3" s="1"/>
  <c r="C2129" i="3"/>
  <c r="B2129" i="3"/>
  <c r="A2129" i="3"/>
  <c r="F2128" i="3"/>
  <c r="E2128" i="3"/>
  <c r="D2128" i="3"/>
  <c r="H2128" i="3" s="1"/>
  <c r="I2128" i="3" s="1"/>
  <c r="C2128" i="3"/>
  <c r="B2128" i="3"/>
  <c r="A2128" i="3"/>
  <c r="H2127" i="3"/>
  <c r="I2127" i="3" s="1"/>
  <c r="F2127" i="3"/>
  <c r="E2127" i="3"/>
  <c r="D2127" i="3"/>
  <c r="C2127" i="3"/>
  <c r="B2127" i="3"/>
  <c r="A2127" i="3"/>
  <c r="F2126" i="3"/>
  <c r="E2126" i="3"/>
  <c r="D2126" i="3"/>
  <c r="H2126" i="3" s="1"/>
  <c r="I2126" i="3" s="1"/>
  <c r="C2126" i="3"/>
  <c r="B2126" i="3"/>
  <c r="A2126" i="3"/>
  <c r="F2125" i="3"/>
  <c r="E2125" i="3"/>
  <c r="D2125" i="3"/>
  <c r="H2125" i="3" s="1"/>
  <c r="I2125" i="3" s="1"/>
  <c r="C2125" i="3"/>
  <c r="B2125" i="3"/>
  <c r="A2125" i="3"/>
  <c r="I2124" i="3"/>
  <c r="H2124" i="3"/>
  <c r="F2124" i="3"/>
  <c r="E2124" i="3"/>
  <c r="D2124" i="3"/>
  <c r="C2124" i="3"/>
  <c r="B2124" i="3"/>
  <c r="A2124" i="3"/>
  <c r="F2123" i="3"/>
  <c r="E2123" i="3"/>
  <c r="D2123" i="3"/>
  <c r="H2123" i="3" s="1"/>
  <c r="I2123" i="3" s="1"/>
  <c r="C2123" i="3"/>
  <c r="B2123" i="3"/>
  <c r="A2123" i="3"/>
  <c r="H2122" i="3"/>
  <c r="I2122" i="3" s="1"/>
  <c r="F2122" i="3"/>
  <c r="E2122" i="3"/>
  <c r="D2122" i="3"/>
  <c r="C2122" i="3"/>
  <c r="B2122" i="3"/>
  <c r="A2122" i="3"/>
  <c r="I2121" i="3"/>
  <c r="H2121" i="3"/>
  <c r="F2121" i="3"/>
  <c r="E2121" i="3"/>
  <c r="D2121" i="3"/>
  <c r="C2121" i="3"/>
  <c r="B2121" i="3"/>
  <c r="A2121" i="3"/>
  <c r="F2120" i="3"/>
  <c r="E2120" i="3"/>
  <c r="D2120" i="3"/>
  <c r="H2120" i="3" s="1"/>
  <c r="I2120" i="3" s="1"/>
  <c r="C2120" i="3"/>
  <c r="B2120" i="3"/>
  <c r="A2120" i="3"/>
  <c r="H2119" i="3"/>
  <c r="I2119" i="3" s="1"/>
  <c r="F2119" i="3"/>
  <c r="E2119" i="3"/>
  <c r="D2119" i="3"/>
  <c r="C2119" i="3"/>
  <c r="B2119" i="3"/>
  <c r="A2119" i="3"/>
  <c r="F2118" i="3"/>
  <c r="E2118" i="3"/>
  <c r="D2118" i="3"/>
  <c r="H2118" i="3" s="1"/>
  <c r="C2118" i="3"/>
  <c r="B2118" i="3"/>
  <c r="A2118" i="3"/>
  <c r="F2117" i="3"/>
  <c r="E2117" i="3"/>
  <c r="D2117" i="3"/>
  <c r="H2117" i="3" s="1"/>
  <c r="I2117" i="3" s="1"/>
  <c r="C2117" i="3"/>
  <c r="B2117" i="3"/>
  <c r="A2117" i="3"/>
  <c r="I2116" i="3"/>
  <c r="H2116" i="3"/>
  <c r="F2116" i="3"/>
  <c r="E2116" i="3"/>
  <c r="D2116" i="3"/>
  <c r="C2116" i="3"/>
  <c r="B2116" i="3"/>
  <c r="A2116" i="3"/>
  <c r="F2115" i="3"/>
  <c r="E2115" i="3"/>
  <c r="D2115" i="3"/>
  <c r="H2115" i="3" s="1"/>
  <c r="C2115" i="3"/>
  <c r="B2115" i="3"/>
  <c r="A2115" i="3"/>
  <c r="H2114" i="3"/>
  <c r="I2114" i="3" s="1"/>
  <c r="F2114" i="3"/>
  <c r="E2114" i="3"/>
  <c r="D2114" i="3"/>
  <c r="C2114" i="3"/>
  <c r="B2114" i="3"/>
  <c r="A2114" i="3"/>
  <c r="I2113" i="3"/>
  <c r="H2113" i="3"/>
  <c r="F2113" i="3"/>
  <c r="E2113" i="3"/>
  <c r="D2113" i="3"/>
  <c r="C2113" i="3"/>
  <c r="B2113" i="3"/>
  <c r="A2113" i="3"/>
  <c r="F2112" i="3"/>
  <c r="E2112" i="3"/>
  <c r="D2112" i="3"/>
  <c r="H2112" i="3" s="1"/>
  <c r="I2112" i="3" s="1"/>
  <c r="C2112" i="3"/>
  <c r="B2112" i="3"/>
  <c r="A2112" i="3"/>
  <c r="H2111" i="3"/>
  <c r="I2111" i="3" s="1"/>
  <c r="F2111" i="3"/>
  <c r="E2111" i="3"/>
  <c r="D2111" i="3"/>
  <c r="C2111" i="3"/>
  <c r="B2111" i="3"/>
  <c r="A2111" i="3"/>
  <c r="F2110" i="3"/>
  <c r="E2110" i="3"/>
  <c r="D2110" i="3"/>
  <c r="H2110" i="3" s="1"/>
  <c r="I2110" i="3" s="1"/>
  <c r="C2110" i="3"/>
  <c r="B2110" i="3"/>
  <c r="A2110" i="3"/>
  <c r="F2109" i="3"/>
  <c r="E2109" i="3"/>
  <c r="D2109" i="3"/>
  <c r="H2109" i="3" s="1"/>
  <c r="I2109" i="3" s="1"/>
  <c r="C2109" i="3"/>
  <c r="B2109" i="3"/>
  <c r="A2109" i="3"/>
  <c r="I2108" i="3"/>
  <c r="H2108" i="3"/>
  <c r="F2108" i="3"/>
  <c r="E2108" i="3"/>
  <c r="D2108" i="3"/>
  <c r="C2108" i="3"/>
  <c r="B2108" i="3"/>
  <c r="A2108" i="3"/>
  <c r="F2107" i="3"/>
  <c r="E2107" i="3"/>
  <c r="D2107" i="3"/>
  <c r="H2107" i="3" s="1"/>
  <c r="I2107" i="3" s="1"/>
  <c r="C2107" i="3"/>
  <c r="B2107" i="3"/>
  <c r="A2107" i="3"/>
  <c r="H2106" i="3"/>
  <c r="I2106" i="3" s="1"/>
  <c r="F2106" i="3"/>
  <c r="E2106" i="3"/>
  <c r="D2106" i="3"/>
  <c r="C2106" i="3"/>
  <c r="B2106" i="3"/>
  <c r="A2106" i="3"/>
  <c r="I2105" i="3"/>
  <c r="H2105" i="3"/>
  <c r="F2105" i="3"/>
  <c r="E2105" i="3"/>
  <c r="D2105" i="3"/>
  <c r="C2105" i="3"/>
  <c r="B2105" i="3"/>
  <c r="A2105" i="3"/>
  <c r="F2104" i="3"/>
  <c r="E2104" i="3"/>
  <c r="D2104" i="3"/>
  <c r="H2104" i="3" s="1"/>
  <c r="I2104" i="3" s="1"/>
  <c r="C2104" i="3"/>
  <c r="B2104" i="3"/>
  <c r="A2104" i="3"/>
  <c r="H2103" i="3"/>
  <c r="I2103" i="3" s="1"/>
  <c r="F2103" i="3"/>
  <c r="E2103" i="3"/>
  <c r="D2103" i="3"/>
  <c r="C2103" i="3"/>
  <c r="B2103" i="3"/>
  <c r="A2103" i="3"/>
  <c r="F2102" i="3"/>
  <c r="E2102" i="3"/>
  <c r="D2102" i="3"/>
  <c r="H2102" i="3" s="1"/>
  <c r="C2102" i="3"/>
  <c r="I2102" i="3" s="1"/>
  <c r="B2102" i="3"/>
  <c r="A2102" i="3"/>
  <c r="F2101" i="3"/>
  <c r="E2101" i="3"/>
  <c r="D2101" i="3"/>
  <c r="H2101" i="3" s="1"/>
  <c r="I2101" i="3" s="1"/>
  <c r="C2101" i="3"/>
  <c r="B2101" i="3"/>
  <c r="A2101" i="3"/>
  <c r="H2100" i="3"/>
  <c r="I2100" i="3" s="1"/>
  <c r="F2100" i="3"/>
  <c r="E2100" i="3"/>
  <c r="D2100" i="3"/>
  <c r="C2100" i="3"/>
  <c r="B2100" i="3"/>
  <c r="A2100" i="3"/>
  <c r="F2099" i="3"/>
  <c r="E2099" i="3"/>
  <c r="D2099" i="3"/>
  <c r="H2099" i="3" s="1"/>
  <c r="C2099" i="3"/>
  <c r="B2099" i="3"/>
  <c r="A2099" i="3"/>
  <c r="H2098" i="3"/>
  <c r="I2098" i="3" s="1"/>
  <c r="F2098" i="3"/>
  <c r="E2098" i="3"/>
  <c r="D2098" i="3"/>
  <c r="C2098" i="3"/>
  <c r="B2098" i="3"/>
  <c r="A2098" i="3"/>
  <c r="I2097" i="3"/>
  <c r="H2097" i="3"/>
  <c r="F2097" i="3"/>
  <c r="E2097" i="3"/>
  <c r="D2097" i="3"/>
  <c r="C2097" i="3"/>
  <c r="B2097" i="3"/>
  <c r="A2097" i="3"/>
  <c r="F2096" i="3"/>
  <c r="E2096" i="3"/>
  <c r="D2096" i="3"/>
  <c r="H2096" i="3" s="1"/>
  <c r="I2096" i="3" s="1"/>
  <c r="C2096" i="3"/>
  <c r="B2096" i="3"/>
  <c r="A2096" i="3"/>
  <c r="H2095" i="3"/>
  <c r="I2095" i="3" s="1"/>
  <c r="F2095" i="3"/>
  <c r="E2095" i="3"/>
  <c r="D2095" i="3"/>
  <c r="C2095" i="3"/>
  <c r="B2095" i="3"/>
  <c r="A2095" i="3"/>
  <c r="F2094" i="3"/>
  <c r="E2094" i="3"/>
  <c r="D2094" i="3"/>
  <c r="H2094" i="3" s="1"/>
  <c r="C2094" i="3"/>
  <c r="B2094" i="3"/>
  <c r="A2094" i="3"/>
  <c r="F2093" i="3"/>
  <c r="E2093" i="3"/>
  <c r="D2093" i="3"/>
  <c r="H2093" i="3" s="1"/>
  <c r="I2093" i="3" s="1"/>
  <c r="C2093" i="3"/>
  <c r="B2093" i="3"/>
  <c r="A2093" i="3"/>
  <c r="H2092" i="3"/>
  <c r="I2092" i="3" s="1"/>
  <c r="F2092" i="3"/>
  <c r="E2092" i="3"/>
  <c r="D2092" i="3"/>
  <c r="C2092" i="3"/>
  <c r="B2092" i="3"/>
  <c r="A2092" i="3"/>
  <c r="F2091" i="3"/>
  <c r="E2091" i="3"/>
  <c r="D2091" i="3"/>
  <c r="H2091" i="3" s="1"/>
  <c r="C2091" i="3"/>
  <c r="B2091" i="3"/>
  <c r="A2091" i="3"/>
  <c r="H2090" i="3"/>
  <c r="I2090" i="3" s="1"/>
  <c r="F2090" i="3"/>
  <c r="E2090" i="3"/>
  <c r="D2090" i="3"/>
  <c r="C2090" i="3"/>
  <c r="B2090" i="3"/>
  <c r="A2090" i="3"/>
  <c r="H2089" i="3"/>
  <c r="I2089" i="3" s="1"/>
  <c r="F2089" i="3"/>
  <c r="E2089" i="3"/>
  <c r="D2089" i="3"/>
  <c r="C2089" i="3"/>
  <c r="B2089" i="3"/>
  <c r="A2089" i="3"/>
  <c r="F2088" i="3"/>
  <c r="E2088" i="3"/>
  <c r="D2088" i="3"/>
  <c r="H2088" i="3" s="1"/>
  <c r="I2088" i="3" s="1"/>
  <c r="C2088" i="3"/>
  <c r="B2088" i="3"/>
  <c r="A2088" i="3"/>
  <c r="I2087" i="3"/>
  <c r="H2087" i="3"/>
  <c r="F2087" i="3"/>
  <c r="E2087" i="3"/>
  <c r="D2087" i="3"/>
  <c r="C2087" i="3"/>
  <c r="B2087" i="3"/>
  <c r="A2087" i="3"/>
  <c r="F2086" i="3"/>
  <c r="E2086" i="3"/>
  <c r="D2086" i="3"/>
  <c r="H2086" i="3" s="1"/>
  <c r="C2086" i="3"/>
  <c r="I2086" i="3" s="1"/>
  <c r="B2086" i="3"/>
  <c r="A2086" i="3"/>
  <c r="H2085" i="3"/>
  <c r="I2085" i="3" s="1"/>
  <c r="F2085" i="3"/>
  <c r="E2085" i="3"/>
  <c r="D2085" i="3"/>
  <c r="C2085" i="3"/>
  <c r="B2085" i="3"/>
  <c r="A2085" i="3"/>
  <c r="H2084" i="3"/>
  <c r="I2084" i="3" s="1"/>
  <c r="F2084" i="3"/>
  <c r="E2084" i="3"/>
  <c r="D2084" i="3"/>
  <c r="C2084" i="3"/>
  <c r="B2084" i="3"/>
  <c r="A2084" i="3"/>
  <c r="F2083" i="3"/>
  <c r="E2083" i="3"/>
  <c r="D2083" i="3"/>
  <c r="H2083" i="3" s="1"/>
  <c r="C2083" i="3"/>
  <c r="B2083" i="3"/>
  <c r="A2083" i="3"/>
  <c r="I2082" i="3"/>
  <c r="H2082" i="3"/>
  <c r="F2082" i="3"/>
  <c r="E2082" i="3"/>
  <c r="D2082" i="3"/>
  <c r="C2082" i="3"/>
  <c r="B2082" i="3"/>
  <c r="A2082" i="3"/>
  <c r="I2081" i="3"/>
  <c r="H2081" i="3"/>
  <c r="F2081" i="3"/>
  <c r="E2081" i="3"/>
  <c r="D2081" i="3"/>
  <c r="C2081" i="3"/>
  <c r="B2081" i="3"/>
  <c r="A2081" i="3"/>
  <c r="F2080" i="3"/>
  <c r="E2080" i="3"/>
  <c r="D2080" i="3"/>
  <c r="H2080" i="3" s="1"/>
  <c r="C2080" i="3"/>
  <c r="B2080" i="3"/>
  <c r="A2080" i="3"/>
  <c r="I2079" i="3"/>
  <c r="H2079" i="3"/>
  <c r="F2079" i="3"/>
  <c r="E2079" i="3"/>
  <c r="D2079" i="3"/>
  <c r="C2079" i="3"/>
  <c r="B2079" i="3"/>
  <c r="A2079" i="3"/>
  <c r="F2078" i="3"/>
  <c r="E2078" i="3"/>
  <c r="D2078" i="3"/>
  <c r="H2078" i="3" s="1"/>
  <c r="I2078" i="3" s="1"/>
  <c r="C2078" i="3"/>
  <c r="B2078" i="3"/>
  <c r="A2078" i="3"/>
  <c r="F2077" i="3"/>
  <c r="E2077" i="3"/>
  <c r="D2077" i="3"/>
  <c r="H2077" i="3" s="1"/>
  <c r="I2077" i="3" s="1"/>
  <c r="C2077" i="3"/>
  <c r="B2077" i="3"/>
  <c r="A2077" i="3"/>
  <c r="I2076" i="3"/>
  <c r="H2076" i="3"/>
  <c r="F2076" i="3"/>
  <c r="E2076" i="3"/>
  <c r="D2076" i="3"/>
  <c r="C2076" i="3"/>
  <c r="B2076" i="3"/>
  <c r="A2076" i="3"/>
  <c r="F2075" i="3"/>
  <c r="E2075" i="3"/>
  <c r="D2075" i="3"/>
  <c r="H2075" i="3" s="1"/>
  <c r="I2075" i="3" s="1"/>
  <c r="C2075" i="3"/>
  <c r="B2075" i="3"/>
  <c r="A2075" i="3"/>
  <c r="H2074" i="3"/>
  <c r="I2074" i="3" s="1"/>
  <c r="F2074" i="3"/>
  <c r="E2074" i="3"/>
  <c r="D2074" i="3"/>
  <c r="C2074" i="3"/>
  <c r="B2074" i="3"/>
  <c r="A2074" i="3"/>
  <c r="H2073" i="3"/>
  <c r="I2073" i="3" s="1"/>
  <c r="F2073" i="3"/>
  <c r="E2073" i="3"/>
  <c r="D2073" i="3"/>
  <c r="C2073" i="3"/>
  <c r="B2073" i="3"/>
  <c r="A2073" i="3"/>
  <c r="F2072" i="3"/>
  <c r="E2072" i="3"/>
  <c r="D2072" i="3"/>
  <c r="H2072" i="3" s="1"/>
  <c r="I2072" i="3" s="1"/>
  <c r="C2072" i="3"/>
  <c r="B2072" i="3"/>
  <c r="A2072" i="3"/>
  <c r="H2071" i="3"/>
  <c r="I2071" i="3" s="1"/>
  <c r="F2071" i="3"/>
  <c r="E2071" i="3"/>
  <c r="D2071" i="3"/>
  <c r="C2071" i="3"/>
  <c r="B2071" i="3"/>
  <c r="A2071" i="3"/>
  <c r="F2070" i="3"/>
  <c r="E2070" i="3"/>
  <c r="D2070" i="3"/>
  <c r="H2070" i="3" s="1"/>
  <c r="C2070" i="3"/>
  <c r="B2070" i="3"/>
  <c r="A2070" i="3"/>
  <c r="H2069" i="3"/>
  <c r="I2069" i="3" s="1"/>
  <c r="F2069" i="3"/>
  <c r="E2069" i="3"/>
  <c r="D2069" i="3"/>
  <c r="C2069" i="3"/>
  <c r="B2069" i="3"/>
  <c r="A2069" i="3"/>
  <c r="H2068" i="3"/>
  <c r="I2068" i="3" s="1"/>
  <c r="F2068" i="3"/>
  <c r="E2068" i="3"/>
  <c r="D2068" i="3"/>
  <c r="C2068" i="3"/>
  <c r="B2068" i="3"/>
  <c r="A2068" i="3"/>
  <c r="F2067" i="3"/>
  <c r="E2067" i="3"/>
  <c r="D2067" i="3"/>
  <c r="H2067" i="3" s="1"/>
  <c r="C2067" i="3"/>
  <c r="B2067" i="3"/>
  <c r="A2067" i="3"/>
  <c r="I2066" i="3"/>
  <c r="H2066" i="3"/>
  <c r="F2066" i="3"/>
  <c r="E2066" i="3"/>
  <c r="D2066" i="3"/>
  <c r="C2066" i="3"/>
  <c r="B2066" i="3"/>
  <c r="A2066" i="3"/>
  <c r="F2065" i="3"/>
  <c r="E2065" i="3"/>
  <c r="D2065" i="3"/>
  <c r="H2065" i="3" s="1"/>
  <c r="I2065" i="3" s="1"/>
  <c r="C2065" i="3"/>
  <c r="B2065" i="3"/>
  <c r="A2065" i="3"/>
  <c r="F2064" i="3"/>
  <c r="E2064" i="3"/>
  <c r="D2064" i="3"/>
  <c r="H2064" i="3" s="1"/>
  <c r="I2064" i="3" s="1"/>
  <c r="C2064" i="3"/>
  <c r="B2064" i="3"/>
  <c r="A2064" i="3"/>
  <c r="H2063" i="3"/>
  <c r="I2063" i="3" s="1"/>
  <c r="F2063" i="3"/>
  <c r="E2063" i="3"/>
  <c r="D2063" i="3"/>
  <c r="C2063" i="3"/>
  <c r="B2063" i="3"/>
  <c r="A2063" i="3"/>
  <c r="F2062" i="3"/>
  <c r="E2062" i="3"/>
  <c r="D2062" i="3"/>
  <c r="H2062" i="3" s="1"/>
  <c r="I2062" i="3" s="1"/>
  <c r="C2062" i="3"/>
  <c r="B2062" i="3"/>
  <c r="A2062" i="3"/>
  <c r="H2061" i="3"/>
  <c r="I2061" i="3" s="1"/>
  <c r="F2061" i="3"/>
  <c r="E2061" i="3"/>
  <c r="D2061" i="3"/>
  <c r="C2061" i="3"/>
  <c r="B2061" i="3"/>
  <c r="A2061" i="3"/>
  <c r="I2060" i="3"/>
  <c r="H2060" i="3"/>
  <c r="F2060" i="3"/>
  <c r="E2060" i="3"/>
  <c r="D2060" i="3"/>
  <c r="C2060" i="3"/>
  <c r="B2060" i="3"/>
  <c r="A2060" i="3"/>
  <c r="F2059" i="3"/>
  <c r="E2059" i="3"/>
  <c r="D2059" i="3"/>
  <c r="H2059" i="3" s="1"/>
  <c r="I2059" i="3" s="1"/>
  <c r="C2059" i="3"/>
  <c r="B2059" i="3"/>
  <c r="A2059" i="3"/>
  <c r="I2058" i="3"/>
  <c r="H2058" i="3"/>
  <c r="F2058" i="3"/>
  <c r="E2058" i="3"/>
  <c r="D2058" i="3"/>
  <c r="C2058" i="3"/>
  <c r="B2058" i="3"/>
  <c r="A2058" i="3"/>
  <c r="F2057" i="3"/>
  <c r="E2057" i="3"/>
  <c r="D2057" i="3"/>
  <c r="H2057" i="3" s="1"/>
  <c r="I2057" i="3" s="1"/>
  <c r="C2057" i="3"/>
  <c r="B2057" i="3"/>
  <c r="A2057" i="3"/>
  <c r="F2056" i="3"/>
  <c r="E2056" i="3"/>
  <c r="D2056" i="3"/>
  <c r="H2056" i="3" s="1"/>
  <c r="C2056" i="3"/>
  <c r="B2056" i="3"/>
  <c r="A2056" i="3"/>
  <c r="I2055" i="3"/>
  <c r="H2055" i="3"/>
  <c r="F2055" i="3"/>
  <c r="E2055" i="3"/>
  <c r="D2055" i="3"/>
  <c r="C2055" i="3"/>
  <c r="B2055" i="3"/>
  <c r="A2055" i="3"/>
  <c r="I2054" i="3"/>
  <c r="F2054" i="3"/>
  <c r="E2054" i="3"/>
  <c r="D2054" i="3"/>
  <c r="H2054" i="3" s="1"/>
  <c r="C2054" i="3"/>
  <c r="B2054" i="3"/>
  <c r="A2054" i="3"/>
  <c r="F2053" i="3"/>
  <c r="E2053" i="3"/>
  <c r="D2053" i="3"/>
  <c r="H2053" i="3" s="1"/>
  <c r="I2053" i="3" s="1"/>
  <c r="C2053" i="3"/>
  <c r="B2053" i="3"/>
  <c r="A2053" i="3"/>
  <c r="H2052" i="3"/>
  <c r="I2052" i="3" s="1"/>
  <c r="F2052" i="3"/>
  <c r="E2052" i="3"/>
  <c r="D2052" i="3"/>
  <c r="C2052" i="3"/>
  <c r="B2052" i="3"/>
  <c r="A2052" i="3"/>
  <c r="F2051" i="3"/>
  <c r="E2051" i="3"/>
  <c r="D2051" i="3"/>
  <c r="H2051" i="3" s="1"/>
  <c r="I2051" i="3" s="1"/>
  <c r="C2051" i="3"/>
  <c r="B2051" i="3"/>
  <c r="A2051" i="3"/>
  <c r="H2050" i="3"/>
  <c r="I2050" i="3" s="1"/>
  <c r="F2050" i="3"/>
  <c r="E2050" i="3"/>
  <c r="D2050" i="3"/>
  <c r="C2050" i="3"/>
  <c r="B2050" i="3"/>
  <c r="A2050" i="3"/>
  <c r="F2049" i="3"/>
  <c r="E2049" i="3"/>
  <c r="D2049" i="3"/>
  <c r="H2049" i="3" s="1"/>
  <c r="I2049" i="3" s="1"/>
  <c r="C2049" i="3"/>
  <c r="B2049" i="3"/>
  <c r="A2049" i="3"/>
  <c r="F2048" i="3"/>
  <c r="E2048" i="3"/>
  <c r="D2048" i="3"/>
  <c r="H2048" i="3" s="1"/>
  <c r="C2048" i="3"/>
  <c r="B2048" i="3"/>
  <c r="A2048" i="3"/>
  <c r="H2047" i="3"/>
  <c r="I2047" i="3" s="1"/>
  <c r="F2047" i="3"/>
  <c r="E2047" i="3"/>
  <c r="D2047" i="3"/>
  <c r="C2047" i="3"/>
  <c r="B2047" i="3"/>
  <c r="A2047" i="3"/>
  <c r="F2046" i="3"/>
  <c r="E2046" i="3"/>
  <c r="D2046" i="3"/>
  <c r="H2046" i="3" s="1"/>
  <c r="I2046" i="3" s="1"/>
  <c r="C2046" i="3"/>
  <c r="B2046" i="3"/>
  <c r="A2046" i="3"/>
  <c r="H2045" i="3"/>
  <c r="I2045" i="3" s="1"/>
  <c r="F2045" i="3"/>
  <c r="E2045" i="3"/>
  <c r="D2045" i="3"/>
  <c r="C2045" i="3"/>
  <c r="B2045" i="3"/>
  <c r="A2045" i="3"/>
  <c r="R2044" i="3"/>
  <c r="J2044" i="3"/>
  <c r="H2044" i="3"/>
  <c r="F2044" i="3"/>
  <c r="E2044" i="3"/>
  <c r="D2044" i="3"/>
  <c r="C2044" i="3"/>
  <c r="I2044" i="3" s="1"/>
  <c r="B2044" i="3"/>
  <c r="A2044" i="3"/>
  <c r="F2043" i="3"/>
  <c r="E2043" i="3"/>
  <c r="D2043" i="3"/>
  <c r="H2043" i="3" s="1"/>
  <c r="C2043" i="3"/>
  <c r="B2043" i="3"/>
  <c r="A2043" i="3"/>
  <c r="H2042" i="3"/>
  <c r="I2042" i="3" s="1"/>
  <c r="F2042" i="3"/>
  <c r="E2042" i="3"/>
  <c r="D2042" i="3"/>
  <c r="C2042" i="3"/>
  <c r="B2042" i="3"/>
  <c r="A2042" i="3"/>
  <c r="H2041" i="3"/>
  <c r="I2041" i="3" s="1"/>
  <c r="F2041" i="3"/>
  <c r="E2041" i="3"/>
  <c r="D2041" i="3"/>
  <c r="C2041" i="3"/>
  <c r="B2041" i="3"/>
  <c r="A2041" i="3"/>
  <c r="F2040" i="3"/>
  <c r="E2040" i="3"/>
  <c r="D2040" i="3"/>
  <c r="H2040" i="3" s="1"/>
  <c r="I2040" i="3" s="1"/>
  <c r="C2040" i="3"/>
  <c r="B2040" i="3"/>
  <c r="A2040" i="3"/>
  <c r="I2039" i="3"/>
  <c r="H2039" i="3"/>
  <c r="F2039" i="3"/>
  <c r="E2039" i="3"/>
  <c r="D2039" i="3"/>
  <c r="C2039" i="3"/>
  <c r="B2039" i="3"/>
  <c r="A2039" i="3"/>
  <c r="I2038" i="3"/>
  <c r="F2038" i="3"/>
  <c r="E2038" i="3"/>
  <c r="D2038" i="3"/>
  <c r="H2038" i="3" s="1"/>
  <c r="C2038" i="3"/>
  <c r="B2038" i="3"/>
  <c r="A2038" i="3"/>
  <c r="F2037" i="3"/>
  <c r="E2037" i="3"/>
  <c r="D2037" i="3"/>
  <c r="H2037" i="3" s="1"/>
  <c r="I2037" i="3" s="1"/>
  <c r="C2037" i="3"/>
  <c r="B2037" i="3"/>
  <c r="A2037" i="3"/>
  <c r="H2036" i="3"/>
  <c r="F2036" i="3"/>
  <c r="E2036" i="3"/>
  <c r="D2036" i="3"/>
  <c r="C2036" i="3"/>
  <c r="I2036" i="3" s="1"/>
  <c r="B2036" i="3"/>
  <c r="A2036" i="3"/>
  <c r="F2035" i="3"/>
  <c r="E2035" i="3"/>
  <c r="D2035" i="3"/>
  <c r="H2035" i="3" s="1"/>
  <c r="C2035" i="3"/>
  <c r="B2035" i="3"/>
  <c r="A2035" i="3"/>
  <c r="I2034" i="3"/>
  <c r="H2034" i="3"/>
  <c r="F2034" i="3"/>
  <c r="E2034" i="3"/>
  <c r="D2034" i="3"/>
  <c r="C2034" i="3"/>
  <c r="B2034" i="3"/>
  <c r="A2034" i="3"/>
  <c r="F2033" i="3"/>
  <c r="E2033" i="3"/>
  <c r="D2033" i="3"/>
  <c r="H2033" i="3" s="1"/>
  <c r="I2033" i="3" s="1"/>
  <c r="C2033" i="3"/>
  <c r="B2033" i="3"/>
  <c r="A2033" i="3"/>
  <c r="F2032" i="3"/>
  <c r="E2032" i="3"/>
  <c r="D2032" i="3"/>
  <c r="H2032" i="3" s="1"/>
  <c r="C2032" i="3"/>
  <c r="B2032" i="3"/>
  <c r="A2032" i="3"/>
  <c r="H2031" i="3"/>
  <c r="I2031" i="3" s="1"/>
  <c r="F2031" i="3"/>
  <c r="E2031" i="3"/>
  <c r="D2031" i="3"/>
  <c r="C2031" i="3"/>
  <c r="B2031" i="3"/>
  <c r="A2031" i="3"/>
  <c r="I2030" i="3"/>
  <c r="F2030" i="3"/>
  <c r="E2030" i="3"/>
  <c r="D2030" i="3"/>
  <c r="H2030" i="3" s="1"/>
  <c r="C2030" i="3"/>
  <c r="B2030" i="3"/>
  <c r="A2030" i="3"/>
  <c r="F2029" i="3"/>
  <c r="E2029" i="3"/>
  <c r="D2029" i="3"/>
  <c r="H2029" i="3" s="1"/>
  <c r="I2029" i="3" s="1"/>
  <c r="C2029" i="3"/>
  <c r="B2029" i="3"/>
  <c r="A2029" i="3"/>
  <c r="H2028" i="3"/>
  <c r="I2028" i="3" s="1"/>
  <c r="F2028" i="3"/>
  <c r="E2028" i="3"/>
  <c r="D2028" i="3"/>
  <c r="C2028" i="3"/>
  <c r="B2028" i="3"/>
  <c r="A2028" i="3"/>
  <c r="F2027" i="3"/>
  <c r="E2027" i="3"/>
  <c r="D2027" i="3"/>
  <c r="H2027" i="3" s="1"/>
  <c r="I2027" i="3" s="1"/>
  <c r="C2027" i="3"/>
  <c r="B2027" i="3"/>
  <c r="A2027" i="3"/>
  <c r="H2026" i="3"/>
  <c r="I2026" i="3" s="1"/>
  <c r="F2026" i="3"/>
  <c r="E2026" i="3"/>
  <c r="D2026" i="3"/>
  <c r="C2026" i="3"/>
  <c r="B2026" i="3"/>
  <c r="A2026" i="3"/>
  <c r="H2025" i="3"/>
  <c r="I2025" i="3" s="1"/>
  <c r="F2025" i="3"/>
  <c r="E2025" i="3"/>
  <c r="D2025" i="3"/>
  <c r="C2025" i="3"/>
  <c r="B2025" i="3"/>
  <c r="A2025" i="3"/>
  <c r="F2024" i="3"/>
  <c r="E2024" i="3"/>
  <c r="D2024" i="3"/>
  <c r="H2024" i="3" s="1"/>
  <c r="I2024" i="3" s="1"/>
  <c r="C2024" i="3"/>
  <c r="B2024" i="3"/>
  <c r="A2024" i="3"/>
  <c r="I2023" i="3"/>
  <c r="H2023" i="3"/>
  <c r="F2023" i="3"/>
  <c r="E2023" i="3"/>
  <c r="D2023" i="3"/>
  <c r="C2023" i="3"/>
  <c r="B2023" i="3"/>
  <c r="A2023" i="3"/>
  <c r="F2022" i="3"/>
  <c r="E2022" i="3"/>
  <c r="D2022" i="3"/>
  <c r="H2022" i="3" s="1"/>
  <c r="C2022" i="3"/>
  <c r="I2022" i="3" s="1"/>
  <c r="B2022" i="3"/>
  <c r="A2022" i="3"/>
  <c r="H2021" i="3"/>
  <c r="I2021" i="3" s="1"/>
  <c r="F2021" i="3"/>
  <c r="E2021" i="3"/>
  <c r="D2021" i="3"/>
  <c r="C2021" i="3"/>
  <c r="B2021" i="3"/>
  <c r="A2021" i="3"/>
  <c r="H2020" i="3"/>
  <c r="I2020" i="3" s="1"/>
  <c r="F2020" i="3"/>
  <c r="E2020" i="3"/>
  <c r="D2020" i="3"/>
  <c r="C2020" i="3"/>
  <c r="B2020" i="3"/>
  <c r="A2020" i="3"/>
  <c r="F2019" i="3"/>
  <c r="E2019" i="3"/>
  <c r="D2019" i="3"/>
  <c r="H2019" i="3" s="1"/>
  <c r="C2019" i="3"/>
  <c r="B2019" i="3"/>
  <c r="A2019" i="3"/>
  <c r="I2018" i="3"/>
  <c r="H2018" i="3"/>
  <c r="F2018" i="3"/>
  <c r="E2018" i="3"/>
  <c r="D2018" i="3"/>
  <c r="C2018" i="3"/>
  <c r="B2018" i="3"/>
  <c r="A2018" i="3"/>
  <c r="I2017" i="3"/>
  <c r="H2017" i="3"/>
  <c r="F2017" i="3"/>
  <c r="E2017" i="3"/>
  <c r="D2017" i="3"/>
  <c r="C2017" i="3"/>
  <c r="B2017" i="3"/>
  <c r="A2017" i="3"/>
  <c r="F2016" i="3"/>
  <c r="E2016" i="3"/>
  <c r="D2016" i="3"/>
  <c r="H2016" i="3" s="1"/>
  <c r="C2016" i="3"/>
  <c r="B2016" i="3"/>
  <c r="A2016" i="3"/>
  <c r="I2015" i="3"/>
  <c r="H2015" i="3"/>
  <c r="F2015" i="3"/>
  <c r="E2015" i="3"/>
  <c r="D2015" i="3"/>
  <c r="C2015" i="3"/>
  <c r="B2015" i="3"/>
  <c r="A2015" i="3"/>
  <c r="F2014" i="3"/>
  <c r="E2014" i="3"/>
  <c r="D2014" i="3"/>
  <c r="H2014" i="3" s="1"/>
  <c r="I2014" i="3" s="1"/>
  <c r="C2014" i="3"/>
  <c r="B2014" i="3"/>
  <c r="A2014" i="3"/>
  <c r="F2013" i="3"/>
  <c r="E2013" i="3"/>
  <c r="D2013" i="3"/>
  <c r="H2013" i="3" s="1"/>
  <c r="I2013" i="3" s="1"/>
  <c r="C2013" i="3"/>
  <c r="B2013" i="3"/>
  <c r="A2013" i="3"/>
  <c r="I2012" i="3"/>
  <c r="H2012" i="3"/>
  <c r="F2012" i="3"/>
  <c r="E2012" i="3"/>
  <c r="D2012" i="3"/>
  <c r="C2012" i="3"/>
  <c r="B2012" i="3"/>
  <c r="A2012" i="3"/>
  <c r="F2011" i="3"/>
  <c r="E2011" i="3"/>
  <c r="D2011" i="3"/>
  <c r="H2011" i="3" s="1"/>
  <c r="I2011" i="3" s="1"/>
  <c r="C2011" i="3"/>
  <c r="B2011" i="3"/>
  <c r="A2011" i="3"/>
  <c r="F2010" i="3"/>
  <c r="E2010" i="3"/>
  <c r="D2010" i="3"/>
  <c r="H2010" i="3" s="1"/>
  <c r="I2010" i="3" s="1"/>
  <c r="C2010" i="3"/>
  <c r="B2010" i="3"/>
  <c r="A2010" i="3"/>
  <c r="H2009" i="3"/>
  <c r="I2009" i="3" s="1"/>
  <c r="F2009" i="3"/>
  <c r="E2009" i="3"/>
  <c r="D2009" i="3"/>
  <c r="C2009" i="3"/>
  <c r="B2009" i="3"/>
  <c r="A2009" i="3"/>
  <c r="F2008" i="3"/>
  <c r="E2008" i="3"/>
  <c r="D2008" i="3"/>
  <c r="H2008" i="3" s="1"/>
  <c r="C2008" i="3"/>
  <c r="B2008" i="3"/>
  <c r="A2008" i="3"/>
  <c r="H2007" i="3"/>
  <c r="I2007" i="3" s="1"/>
  <c r="F2007" i="3"/>
  <c r="E2007" i="3"/>
  <c r="D2007" i="3"/>
  <c r="C2007" i="3"/>
  <c r="B2007" i="3"/>
  <c r="A2007" i="3"/>
  <c r="H2006" i="3"/>
  <c r="I2006" i="3" s="1"/>
  <c r="F2006" i="3"/>
  <c r="E2006" i="3"/>
  <c r="D2006" i="3"/>
  <c r="C2006" i="3"/>
  <c r="B2006" i="3"/>
  <c r="A2006" i="3"/>
  <c r="F2005" i="3"/>
  <c r="E2005" i="3"/>
  <c r="D2005" i="3"/>
  <c r="H2005" i="3" s="1"/>
  <c r="I2005" i="3" s="1"/>
  <c r="C2005" i="3"/>
  <c r="B2005" i="3"/>
  <c r="A2005" i="3"/>
  <c r="H2004" i="3"/>
  <c r="F2004" i="3"/>
  <c r="E2004" i="3"/>
  <c r="D2004" i="3"/>
  <c r="C2004" i="3"/>
  <c r="B2004" i="3"/>
  <c r="A2004" i="3"/>
  <c r="F2003" i="3"/>
  <c r="E2003" i="3"/>
  <c r="D2003" i="3"/>
  <c r="H2003" i="3" s="1"/>
  <c r="I2003" i="3" s="1"/>
  <c r="C2003" i="3"/>
  <c r="B2003" i="3"/>
  <c r="A2003" i="3"/>
  <c r="I2002" i="3"/>
  <c r="H2002" i="3"/>
  <c r="F2002" i="3"/>
  <c r="E2002" i="3"/>
  <c r="D2002" i="3"/>
  <c r="C2002" i="3"/>
  <c r="B2002" i="3"/>
  <c r="A2002" i="3"/>
  <c r="F2001" i="3"/>
  <c r="E2001" i="3"/>
  <c r="D2001" i="3"/>
  <c r="H2001" i="3" s="1"/>
  <c r="I2001" i="3" s="1"/>
  <c r="C2001" i="3"/>
  <c r="B2001" i="3"/>
  <c r="A2001" i="3"/>
  <c r="F2000" i="3"/>
  <c r="E2000" i="3"/>
  <c r="D2000" i="3"/>
  <c r="H2000" i="3" s="1"/>
  <c r="C2000" i="3"/>
  <c r="B2000" i="3"/>
  <c r="A2000" i="3"/>
  <c r="I1999" i="3"/>
  <c r="H1999" i="3"/>
  <c r="F1999" i="3"/>
  <c r="E1999" i="3"/>
  <c r="D1999" i="3"/>
  <c r="C1999" i="3"/>
  <c r="B1999" i="3"/>
  <c r="A1999" i="3"/>
  <c r="F1998" i="3"/>
  <c r="E1998" i="3"/>
  <c r="D1998" i="3"/>
  <c r="H1998" i="3" s="1"/>
  <c r="I1998" i="3" s="1"/>
  <c r="C1998" i="3"/>
  <c r="B1998" i="3"/>
  <c r="A1998" i="3"/>
  <c r="H1997" i="3"/>
  <c r="I1997" i="3" s="1"/>
  <c r="F1997" i="3"/>
  <c r="E1997" i="3"/>
  <c r="D1997" i="3"/>
  <c r="C1997" i="3"/>
  <c r="B1997" i="3"/>
  <c r="A1997" i="3"/>
  <c r="H1996" i="3"/>
  <c r="F1996" i="3"/>
  <c r="E1996" i="3"/>
  <c r="D1996" i="3"/>
  <c r="C1996" i="3"/>
  <c r="I1996" i="3" s="1"/>
  <c r="B1996" i="3"/>
  <c r="A1996" i="3"/>
  <c r="F1995" i="3"/>
  <c r="E1995" i="3"/>
  <c r="D1995" i="3"/>
  <c r="H1995" i="3" s="1"/>
  <c r="I1995" i="3" s="1"/>
  <c r="C1995" i="3"/>
  <c r="B1995" i="3"/>
  <c r="A1995" i="3"/>
  <c r="I1994" i="3"/>
  <c r="H1994" i="3"/>
  <c r="F1994" i="3"/>
  <c r="E1994" i="3"/>
  <c r="D1994" i="3"/>
  <c r="C1994" i="3"/>
  <c r="B1994" i="3"/>
  <c r="A1994" i="3"/>
  <c r="F1993" i="3"/>
  <c r="E1993" i="3"/>
  <c r="D1993" i="3"/>
  <c r="H1993" i="3" s="1"/>
  <c r="I1993" i="3" s="1"/>
  <c r="C1993" i="3"/>
  <c r="B1993" i="3"/>
  <c r="A1993" i="3"/>
  <c r="F1992" i="3"/>
  <c r="E1992" i="3"/>
  <c r="D1992" i="3"/>
  <c r="H1992" i="3" s="1"/>
  <c r="C1992" i="3"/>
  <c r="B1992" i="3"/>
  <c r="A1992" i="3"/>
  <c r="I1991" i="3"/>
  <c r="H1991" i="3"/>
  <c r="F1991" i="3"/>
  <c r="E1991" i="3"/>
  <c r="D1991" i="3"/>
  <c r="C1991" i="3"/>
  <c r="B1991" i="3"/>
  <c r="A1991" i="3"/>
  <c r="H1990" i="3"/>
  <c r="I1990" i="3" s="1"/>
  <c r="F1990" i="3"/>
  <c r="E1990" i="3"/>
  <c r="D1990" i="3"/>
  <c r="C1990" i="3"/>
  <c r="B1990" i="3"/>
  <c r="A1990" i="3"/>
  <c r="H1989" i="3"/>
  <c r="I1989" i="3" s="1"/>
  <c r="F1989" i="3"/>
  <c r="E1989" i="3"/>
  <c r="D1989" i="3"/>
  <c r="C1989" i="3"/>
  <c r="B1989" i="3"/>
  <c r="A1989" i="3"/>
  <c r="H1988" i="3"/>
  <c r="F1988" i="3"/>
  <c r="E1988" i="3"/>
  <c r="D1988" i="3"/>
  <c r="C1988" i="3"/>
  <c r="I1988" i="3" s="1"/>
  <c r="B1988" i="3"/>
  <c r="A1988" i="3"/>
  <c r="I1987" i="3"/>
  <c r="F1987" i="3"/>
  <c r="E1987" i="3"/>
  <c r="D1987" i="3"/>
  <c r="H1987" i="3" s="1"/>
  <c r="C1987" i="3"/>
  <c r="B1987" i="3"/>
  <c r="A1987" i="3"/>
  <c r="I1986" i="3"/>
  <c r="F1986" i="3"/>
  <c r="E1986" i="3"/>
  <c r="D1986" i="3"/>
  <c r="H1986" i="3" s="1"/>
  <c r="C1986" i="3"/>
  <c r="B1986" i="3"/>
  <c r="A1986" i="3"/>
  <c r="H1985" i="3"/>
  <c r="I1985" i="3" s="1"/>
  <c r="F1985" i="3"/>
  <c r="E1985" i="3"/>
  <c r="D1985" i="3"/>
  <c r="C1985" i="3"/>
  <c r="B1985" i="3"/>
  <c r="A1985" i="3"/>
  <c r="F1984" i="3"/>
  <c r="E1984" i="3"/>
  <c r="D1984" i="3"/>
  <c r="H1984" i="3" s="1"/>
  <c r="I1984" i="3" s="1"/>
  <c r="C1984" i="3"/>
  <c r="B1984" i="3"/>
  <c r="A1984" i="3"/>
  <c r="I1983" i="3"/>
  <c r="H1983" i="3"/>
  <c r="F1983" i="3"/>
  <c r="E1983" i="3"/>
  <c r="D1983" i="3"/>
  <c r="C1983" i="3"/>
  <c r="B1983" i="3"/>
  <c r="A1983" i="3"/>
  <c r="H1982" i="3"/>
  <c r="I1982" i="3" s="1"/>
  <c r="F1982" i="3"/>
  <c r="E1982" i="3"/>
  <c r="D1982" i="3"/>
  <c r="C1982" i="3"/>
  <c r="B1982" i="3"/>
  <c r="A1982" i="3"/>
  <c r="H1981" i="3"/>
  <c r="I1981" i="3" s="1"/>
  <c r="F1981" i="3"/>
  <c r="E1981" i="3"/>
  <c r="D1981" i="3"/>
  <c r="C1981" i="3"/>
  <c r="B1981" i="3"/>
  <c r="A1981" i="3"/>
  <c r="I1980" i="3"/>
  <c r="H1980" i="3"/>
  <c r="F1980" i="3"/>
  <c r="E1980" i="3"/>
  <c r="D1980" i="3"/>
  <c r="C1980" i="3"/>
  <c r="B1980" i="3"/>
  <c r="A1980" i="3"/>
  <c r="F1979" i="3"/>
  <c r="E1979" i="3"/>
  <c r="D1979" i="3"/>
  <c r="H1979" i="3" s="1"/>
  <c r="I1979" i="3" s="1"/>
  <c r="C1979" i="3"/>
  <c r="B1979" i="3"/>
  <c r="A1979" i="3"/>
  <c r="F1978" i="3"/>
  <c r="E1978" i="3"/>
  <c r="D1978" i="3"/>
  <c r="H1978" i="3" s="1"/>
  <c r="I1978" i="3" s="1"/>
  <c r="C1978" i="3"/>
  <c r="B1978" i="3"/>
  <c r="A1978" i="3"/>
  <c r="F1977" i="3"/>
  <c r="E1977" i="3"/>
  <c r="D1977" i="3"/>
  <c r="H1977" i="3" s="1"/>
  <c r="I1977" i="3" s="1"/>
  <c r="C1977" i="3"/>
  <c r="B1977" i="3"/>
  <c r="A1977" i="3"/>
  <c r="F1976" i="3"/>
  <c r="E1976" i="3"/>
  <c r="D1976" i="3"/>
  <c r="H1976" i="3" s="1"/>
  <c r="C1976" i="3"/>
  <c r="B1976" i="3"/>
  <c r="A1976" i="3"/>
  <c r="H1975" i="3"/>
  <c r="I1975" i="3" s="1"/>
  <c r="F1975" i="3"/>
  <c r="E1975" i="3"/>
  <c r="D1975" i="3"/>
  <c r="C1975" i="3"/>
  <c r="B1975" i="3"/>
  <c r="A1975" i="3"/>
  <c r="H1974" i="3"/>
  <c r="F1974" i="3"/>
  <c r="E1974" i="3"/>
  <c r="D1974" i="3"/>
  <c r="C1974" i="3"/>
  <c r="B1974" i="3"/>
  <c r="A1974" i="3"/>
  <c r="F1973" i="3"/>
  <c r="E1973" i="3"/>
  <c r="D1973" i="3"/>
  <c r="H1973" i="3" s="1"/>
  <c r="I1973" i="3" s="1"/>
  <c r="C1973" i="3"/>
  <c r="B1973" i="3"/>
  <c r="A1973" i="3"/>
  <c r="H1972" i="3"/>
  <c r="I1972" i="3" s="1"/>
  <c r="F1972" i="3"/>
  <c r="E1972" i="3"/>
  <c r="D1972" i="3"/>
  <c r="C1972" i="3"/>
  <c r="B1972" i="3"/>
  <c r="A1972" i="3"/>
  <c r="F1971" i="3"/>
  <c r="E1971" i="3"/>
  <c r="D1971" i="3"/>
  <c r="H1971" i="3" s="1"/>
  <c r="I1971" i="3" s="1"/>
  <c r="C1971" i="3"/>
  <c r="B1971" i="3"/>
  <c r="A1971" i="3"/>
  <c r="I1970" i="3"/>
  <c r="H1970" i="3"/>
  <c r="F1970" i="3"/>
  <c r="E1970" i="3"/>
  <c r="D1970" i="3"/>
  <c r="C1970" i="3"/>
  <c r="B1970" i="3"/>
  <c r="A1970" i="3"/>
  <c r="F1969" i="3"/>
  <c r="E1969" i="3"/>
  <c r="D1969" i="3"/>
  <c r="H1969" i="3" s="1"/>
  <c r="C1969" i="3"/>
  <c r="B1969" i="3"/>
  <c r="A1969" i="3"/>
  <c r="F1968" i="3"/>
  <c r="E1968" i="3"/>
  <c r="D1968" i="3"/>
  <c r="H1968" i="3" s="1"/>
  <c r="C1968" i="3"/>
  <c r="B1968" i="3"/>
  <c r="A1968" i="3"/>
  <c r="I1967" i="3"/>
  <c r="H1967" i="3"/>
  <c r="F1967" i="3"/>
  <c r="E1967" i="3"/>
  <c r="D1967" i="3"/>
  <c r="C1967" i="3"/>
  <c r="B1967" i="3"/>
  <c r="A1967" i="3"/>
  <c r="I1966" i="3"/>
  <c r="F1966" i="3"/>
  <c r="E1966" i="3"/>
  <c r="D1966" i="3"/>
  <c r="H1966" i="3" s="1"/>
  <c r="C1966" i="3"/>
  <c r="B1966" i="3"/>
  <c r="A1966" i="3"/>
  <c r="F1965" i="3"/>
  <c r="E1965" i="3"/>
  <c r="D1965" i="3"/>
  <c r="H1965" i="3" s="1"/>
  <c r="I1965" i="3" s="1"/>
  <c r="C1965" i="3"/>
  <c r="B1965" i="3"/>
  <c r="A1965" i="3"/>
  <c r="I1964" i="3"/>
  <c r="F1964" i="3"/>
  <c r="E1964" i="3"/>
  <c r="D1964" i="3"/>
  <c r="H1964" i="3" s="1"/>
  <c r="C1964" i="3"/>
  <c r="B1964" i="3"/>
  <c r="A1964" i="3"/>
  <c r="F1963" i="3"/>
  <c r="E1963" i="3"/>
  <c r="D1963" i="3"/>
  <c r="H1963" i="3" s="1"/>
  <c r="I1963" i="3" s="1"/>
  <c r="C1963" i="3"/>
  <c r="B1963" i="3"/>
  <c r="A1963" i="3"/>
  <c r="F1962" i="3"/>
  <c r="E1962" i="3"/>
  <c r="D1962" i="3"/>
  <c r="H1962" i="3" s="1"/>
  <c r="I1962" i="3" s="1"/>
  <c r="C1962" i="3"/>
  <c r="B1962" i="3"/>
  <c r="A1962" i="3"/>
  <c r="H1961" i="3"/>
  <c r="F1961" i="3"/>
  <c r="E1961" i="3"/>
  <c r="D1961" i="3"/>
  <c r="C1961" i="3"/>
  <c r="B1961" i="3"/>
  <c r="A1961" i="3"/>
  <c r="H1960" i="3"/>
  <c r="I1960" i="3" s="1"/>
  <c r="F1960" i="3"/>
  <c r="E1960" i="3"/>
  <c r="D1960" i="3"/>
  <c r="C1960" i="3"/>
  <c r="B1960" i="3"/>
  <c r="A1960" i="3"/>
  <c r="I1959" i="3"/>
  <c r="F1959" i="3"/>
  <c r="E1959" i="3"/>
  <c r="D1959" i="3"/>
  <c r="H1959" i="3" s="1"/>
  <c r="C1959" i="3"/>
  <c r="B1959" i="3"/>
  <c r="A1959" i="3"/>
  <c r="H1958" i="3"/>
  <c r="I1958" i="3" s="1"/>
  <c r="F1958" i="3"/>
  <c r="E1958" i="3"/>
  <c r="D1958" i="3"/>
  <c r="C1958" i="3"/>
  <c r="B1958" i="3"/>
  <c r="A1958" i="3"/>
  <c r="I1957" i="3"/>
  <c r="F1957" i="3"/>
  <c r="E1957" i="3"/>
  <c r="D1957" i="3"/>
  <c r="H1957" i="3" s="1"/>
  <c r="C1957" i="3"/>
  <c r="B1957" i="3"/>
  <c r="A1957" i="3"/>
  <c r="F1956" i="3"/>
  <c r="E1956" i="3"/>
  <c r="D1956" i="3"/>
  <c r="H1956" i="3" s="1"/>
  <c r="I1956" i="3" s="1"/>
  <c r="C1956" i="3"/>
  <c r="B1956" i="3"/>
  <c r="A1956" i="3"/>
  <c r="F1955" i="3"/>
  <c r="E1955" i="3"/>
  <c r="D1955" i="3"/>
  <c r="H1955" i="3" s="1"/>
  <c r="I1955" i="3" s="1"/>
  <c r="C1955" i="3"/>
  <c r="B1955" i="3"/>
  <c r="A1955" i="3"/>
  <c r="F1954" i="3"/>
  <c r="E1954" i="3"/>
  <c r="D1954" i="3"/>
  <c r="H1954" i="3" s="1"/>
  <c r="I1954" i="3" s="1"/>
  <c r="C1954" i="3"/>
  <c r="B1954" i="3"/>
  <c r="A1954" i="3"/>
  <c r="H1953" i="3"/>
  <c r="I1953" i="3" s="1"/>
  <c r="F1953" i="3"/>
  <c r="E1953" i="3"/>
  <c r="D1953" i="3"/>
  <c r="C1953" i="3"/>
  <c r="B1953" i="3"/>
  <c r="A1953" i="3"/>
  <c r="H1952" i="3"/>
  <c r="I1952" i="3" s="1"/>
  <c r="F1952" i="3"/>
  <c r="E1952" i="3"/>
  <c r="D1952" i="3"/>
  <c r="C1952" i="3"/>
  <c r="B1952" i="3"/>
  <c r="A1952" i="3"/>
  <c r="F1951" i="3"/>
  <c r="E1951" i="3"/>
  <c r="D1951" i="3"/>
  <c r="H1951" i="3" s="1"/>
  <c r="I1951" i="3" s="1"/>
  <c r="C1951" i="3"/>
  <c r="B1951" i="3"/>
  <c r="A1951" i="3"/>
  <c r="F1950" i="3"/>
  <c r="E1950" i="3"/>
  <c r="D1950" i="3"/>
  <c r="H1950" i="3" s="1"/>
  <c r="I1950" i="3" s="1"/>
  <c r="C1950" i="3"/>
  <c r="B1950" i="3"/>
  <c r="A1950" i="3"/>
  <c r="F1949" i="3"/>
  <c r="E1949" i="3"/>
  <c r="D1949" i="3"/>
  <c r="H1949" i="3" s="1"/>
  <c r="I1949" i="3" s="1"/>
  <c r="C1949" i="3"/>
  <c r="B1949" i="3"/>
  <c r="A1949" i="3"/>
  <c r="I1948" i="3"/>
  <c r="F1948" i="3"/>
  <c r="E1948" i="3"/>
  <c r="D1948" i="3"/>
  <c r="H1948" i="3" s="1"/>
  <c r="C1948" i="3"/>
  <c r="B1948" i="3"/>
  <c r="A1948" i="3"/>
  <c r="I1947" i="3"/>
  <c r="H1947" i="3"/>
  <c r="F1947" i="3"/>
  <c r="E1947" i="3"/>
  <c r="D1947" i="3"/>
  <c r="C1947" i="3"/>
  <c r="B1947" i="3"/>
  <c r="A1947" i="3"/>
  <c r="H1946" i="3"/>
  <c r="F1946" i="3"/>
  <c r="E1946" i="3"/>
  <c r="D1946" i="3"/>
  <c r="C1946" i="3"/>
  <c r="B1946" i="3"/>
  <c r="A1946" i="3"/>
  <c r="H1945" i="3"/>
  <c r="F1945" i="3"/>
  <c r="E1945" i="3"/>
  <c r="D1945" i="3"/>
  <c r="C1945" i="3"/>
  <c r="B1945" i="3"/>
  <c r="A1945" i="3"/>
  <c r="H1944" i="3"/>
  <c r="F1944" i="3"/>
  <c r="E1944" i="3"/>
  <c r="D1944" i="3"/>
  <c r="C1944" i="3"/>
  <c r="I1944" i="3" s="1"/>
  <c r="B1944" i="3"/>
  <c r="A1944" i="3"/>
  <c r="F1943" i="3"/>
  <c r="E1943" i="3"/>
  <c r="D1943" i="3"/>
  <c r="H1943" i="3" s="1"/>
  <c r="I1943" i="3" s="1"/>
  <c r="C1943" i="3"/>
  <c r="B1943" i="3"/>
  <c r="A1943" i="3"/>
  <c r="F1942" i="3"/>
  <c r="E1942" i="3"/>
  <c r="D1942" i="3"/>
  <c r="H1942" i="3" s="1"/>
  <c r="I1942" i="3" s="1"/>
  <c r="C1942" i="3"/>
  <c r="B1942" i="3"/>
  <c r="A1942" i="3"/>
  <c r="F1941" i="3"/>
  <c r="E1941" i="3"/>
  <c r="D1941" i="3"/>
  <c r="H1941" i="3" s="1"/>
  <c r="I1941" i="3" s="1"/>
  <c r="C1941" i="3"/>
  <c r="B1941" i="3"/>
  <c r="A1941" i="3"/>
  <c r="I1940" i="3"/>
  <c r="F1940" i="3"/>
  <c r="E1940" i="3"/>
  <c r="D1940" i="3"/>
  <c r="H1940" i="3" s="1"/>
  <c r="C1940" i="3"/>
  <c r="B1940" i="3"/>
  <c r="A1940" i="3"/>
  <c r="I1939" i="3"/>
  <c r="H1939" i="3"/>
  <c r="F1939" i="3"/>
  <c r="E1939" i="3"/>
  <c r="D1939" i="3"/>
  <c r="C1939" i="3"/>
  <c r="B1939" i="3"/>
  <c r="A1939" i="3"/>
  <c r="H1938" i="3"/>
  <c r="F1938" i="3"/>
  <c r="E1938" i="3"/>
  <c r="D1938" i="3"/>
  <c r="C1938" i="3"/>
  <c r="B1938" i="3"/>
  <c r="A1938" i="3"/>
  <c r="H1937" i="3"/>
  <c r="F1937" i="3"/>
  <c r="E1937" i="3"/>
  <c r="D1937" i="3"/>
  <c r="C1937" i="3"/>
  <c r="B1937" i="3"/>
  <c r="A1937" i="3"/>
  <c r="H1936" i="3"/>
  <c r="F1936" i="3"/>
  <c r="E1936" i="3"/>
  <c r="D1936" i="3"/>
  <c r="C1936" i="3"/>
  <c r="I1936" i="3" s="1"/>
  <c r="B1936" i="3"/>
  <c r="A1936" i="3"/>
  <c r="I1935" i="3"/>
  <c r="H1935" i="3"/>
  <c r="F1935" i="3"/>
  <c r="E1935" i="3"/>
  <c r="D1935" i="3"/>
  <c r="C1935" i="3"/>
  <c r="B1935" i="3"/>
  <c r="A1935" i="3"/>
  <c r="H1934" i="3"/>
  <c r="I1934" i="3" s="1"/>
  <c r="F1934" i="3"/>
  <c r="E1934" i="3"/>
  <c r="D1934" i="3"/>
  <c r="C1934" i="3"/>
  <c r="B1934" i="3"/>
  <c r="A1934" i="3"/>
  <c r="I1933" i="3"/>
  <c r="F1933" i="3"/>
  <c r="E1933" i="3"/>
  <c r="D1933" i="3"/>
  <c r="H1933" i="3" s="1"/>
  <c r="C1933" i="3"/>
  <c r="B1933" i="3"/>
  <c r="A1933" i="3"/>
  <c r="F1932" i="3"/>
  <c r="E1932" i="3"/>
  <c r="D1932" i="3"/>
  <c r="H1932" i="3" s="1"/>
  <c r="I1932" i="3" s="1"/>
  <c r="C1932" i="3"/>
  <c r="B1932" i="3"/>
  <c r="A1932" i="3"/>
  <c r="F1931" i="3"/>
  <c r="E1931" i="3"/>
  <c r="D1931" i="3"/>
  <c r="H1931" i="3" s="1"/>
  <c r="I1931" i="3" s="1"/>
  <c r="C1931" i="3"/>
  <c r="B1931" i="3"/>
  <c r="A1931" i="3"/>
  <c r="F1930" i="3"/>
  <c r="E1930" i="3"/>
  <c r="D1930" i="3"/>
  <c r="H1930" i="3" s="1"/>
  <c r="I1930" i="3" s="1"/>
  <c r="C1930" i="3"/>
  <c r="B1930" i="3"/>
  <c r="A1930" i="3"/>
  <c r="H1929" i="3"/>
  <c r="F1929" i="3"/>
  <c r="E1929" i="3"/>
  <c r="D1929" i="3"/>
  <c r="C1929" i="3"/>
  <c r="B1929" i="3"/>
  <c r="A1929" i="3"/>
  <c r="H1928" i="3"/>
  <c r="I1928" i="3" s="1"/>
  <c r="F1928" i="3"/>
  <c r="E1928" i="3"/>
  <c r="D1928" i="3"/>
  <c r="C1928" i="3"/>
  <c r="B1928" i="3"/>
  <c r="A1928" i="3"/>
  <c r="F1927" i="3"/>
  <c r="E1927" i="3"/>
  <c r="D1927" i="3"/>
  <c r="H1927" i="3" s="1"/>
  <c r="I1927" i="3" s="1"/>
  <c r="C1927" i="3"/>
  <c r="B1927" i="3"/>
  <c r="A1927" i="3"/>
  <c r="H1926" i="3"/>
  <c r="I1926" i="3" s="1"/>
  <c r="F1926" i="3"/>
  <c r="E1926" i="3"/>
  <c r="D1926" i="3"/>
  <c r="C1926" i="3"/>
  <c r="B1926" i="3"/>
  <c r="A1926" i="3"/>
  <c r="I1925" i="3"/>
  <c r="F1925" i="3"/>
  <c r="E1925" i="3"/>
  <c r="D1925" i="3"/>
  <c r="H1925" i="3" s="1"/>
  <c r="C1925" i="3"/>
  <c r="B1925" i="3"/>
  <c r="A1925" i="3"/>
  <c r="R1924" i="3"/>
  <c r="J1924" i="3"/>
  <c r="F1924" i="3"/>
  <c r="E1924" i="3"/>
  <c r="D1924" i="3"/>
  <c r="H1924" i="3" s="1"/>
  <c r="I1924" i="3" s="1"/>
  <c r="C1924" i="3"/>
  <c r="B1924" i="3"/>
  <c r="A1924" i="3"/>
  <c r="F1923" i="3"/>
  <c r="E1923" i="3"/>
  <c r="D1923" i="3"/>
  <c r="H1923" i="3" s="1"/>
  <c r="I1923" i="3" s="1"/>
  <c r="C1923" i="3"/>
  <c r="B1923" i="3"/>
  <c r="A1923" i="3"/>
  <c r="F1922" i="3"/>
  <c r="E1922" i="3"/>
  <c r="D1922" i="3"/>
  <c r="H1922" i="3" s="1"/>
  <c r="I1922" i="3" s="1"/>
  <c r="C1922" i="3"/>
  <c r="B1922" i="3"/>
  <c r="A1922" i="3"/>
  <c r="H1921" i="3"/>
  <c r="I1921" i="3" s="1"/>
  <c r="F1921" i="3"/>
  <c r="E1921" i="3"/>
  <c r="D1921" i="3"/>
  <c r="C1921" i="3"/>
  <c r="B1921" i="3"/>
  <c r="A1921" i="3"/>
  <c r="H1920" i="3"/>
  <c r="I1920" i="3" s="1"/>
  <c r="F1920" i="3"/>
  <c r="E1920" i="3"/>
  <c r="D1920" i="3"/>
  <c r="C1920" i="3"/>
  <c r="B1920" i="3"/>
  <c r="A1920" i="3"/>
  <c r="F1919" i="3"/>
  <c r="E1919" i="3"/>
  <c r="D1919" i="3"/>
  <c r="H1919" i="3" s="1"/>
  <c r="I1919" i="3" s="1"/>
  <c r="C1919" i="3"/>
  <c r="B1919" i="3"/>
  <c r="A1919" i="3"/>
  <c r="F1918" i="3"/>
  <c r="E1918" i="3"/>
  <c r="D1918" i="3"/>
  <c r="H1918" i="3" s="1"/>
  <c r="I1918" i="3" s="1"/>
  <c r="C1918" i="3"/>
  <c r="B1918" i="3"/>
  <c r="A1918" i="3"/>
  <c r="F1917" i="3"/>
  <c r="E1917" i="3"/>
  <c r="D1917" i="3"/>
  <c r="H1917" i="3" s="1"/>
  <c r="I1917" i="3" s="1"/>
  <c r="C1917" i="3"/>
  <c r="B1917" i="3"/>
  <c r="A1917" i="3"/>
  <c r="H1916" i="3"/>
  <c r="I1916" i="3" s="1"/>
  <c r="F1916" i="3"/>
  <c r="E1916" i="3"/>
  <c r="D1916" i="3"/>
  <c r="C1916" i="3"/>
  <c r="B1916" i="3"/>
  <c r="A1916" i="3"/>
  <c r="I1915" i="3"/>
  <c r="H1915" i="3"/>
  <c r="F1915" i="3"/>
  <c r="E1915" i="3"/>
  <c r="D1915" i="3"/>
  <c r="C1915" i="3"/>
  <c r="B1915" i="3"/>
  <c r="A1915" i="3"/>
  <c r="F1914" i="3"/>
  <c r="E1914" i="3"/>
  <c r="D1914" i="3"/>
  <c r="H1914" i="3" s="1"/>
  <c r="I1914" i="3" s="1"/>
  <c r="C1914" i="3"/>
  <c r="B1914" i="3"/>
  <c r="A1914" i="3"/>
  <c r="F1913" i="3"/>
  <c r="E1913" i="3"/>
  <c r="D1913" i="3"/>
  <c r="H1913" i="3" s="1"/>
  <c r="I1913" i="3" s="1"/>
  <c r="C1913" i="3"/>
  <c r="B1913" i="3"/>
  <c r="A1913" i="3"/>
  <c r="F1912" i="3"/>
  <c r="E1912" i="3"/>
  <c r="D1912" i="3"/>
  <c r="H1912" i="3" s="1"/>
  <c r="I1912" i="3" s="1"/>
  <c r="C1912" i="3"/>
  <c r="B1912" i="3"/>
  <c r="A1912" i="3"/>
  <c r="F1911" i="3"/>
  <c r="E1911" i="3"/>
  <c r="D1911" i="3"/>
  <c r="H1911" i="3" s="1"/>
  <c r="I1911" i="3" s="1"/>
  <c r="C1911" i="3"/>
  <c r="B1911" i="3"/>
  <c r="A1911" i="3"/>
  <c r="H1910" i="3"/>
  <c r="I1910" i="3" s="1"/>
  <c r="F1910" i="3"/>
  <c r="E1910" i="3"/>
  <c r="D1910" i="3"/>
  <c r="C1910" i="3"/>
  <c r="B1910" i="3"/>
  <c r="A1910" i="3"/>
  <c r="H1909" i="3"/>
  <c r="F1909" i="3"/>
  <c r="E1909" i="3"/>
  <c r="D1909" i="3"/>
  <c r="C1909" i="3"/>
  <c r="I1909" i="3" s="1"/>
  <c r="B1909" i="3"/>
  <c r="A1909" i="3"/>
  <c r="H1908" i="3"/>
  <c r="I1908" i="3" s="1"/>
  <c r="F1908" i="3"/>
  <c r="E1908" i="3"/>
  <c r="D1908" i="3"/>
  <c r="C1908" i="3"/>
  <c r="B1908" i="3"/>
  <c r="A1908" i="3"/>
  <c r="H1907" i="3"/>
  <c r="F1907" i="3"/>
  <c r="E1907" i="3"/>
  <c r="D1907" i="3"/>
  <c r="C1907" i="3"/>
  <c r="I1907" i="3" s="1"/>
  <c r="B1907" i="3"/>
  <c r="A1907" i="3"/>
  <c r="F1906" i="3"/>
  <c r="E1906" i="3"/>
  <c r="D1906" i="3"/>
  <c r="H1906" i="3" s="1"/>
  <c r="I1906" i="3" s="1"/>
  <c r="C1906" i="3"/>
  <c r="B1906" i="3"/>
  <c r="A1906" i="3"/>
  <c r="I1905" i="3"/>
  <c r="F1905" i="3"/>
  <c r="E1905" i="3"/>
  <c r="D1905" i="3"/>
  <c r="H1905" i="3" s="1"/>
  <c r="C1905" i="3"/>
  <c r="B1905" i="3"/>
  <c r="A1905" i="3"/>
  <c r="F1904" i="3"/>
  <c r="E1904" i="3"/>
  <c r="D1904" i="3"/>
  <c r="H1904" i="3" s="1"/>
  <c r="I1904" i="3" s="1"/>
  <c r="C1904" i="3"/>
  <c r="B1904" i="3"/>
  <c r="A1904" i="3"/>
  <c r="F1903" i="3"/>
  <c r="E1903" i="3"/>
  <c r="D1903" i="3"/>
  <c r="H1903" i="3" s="1"/>
  <c r="I1903" i="3" s="1"/>
  <c r="C1903" i="3"/>
  <c r="B1903" i="3"/>
  <c r="A1903" i="3"/>
  <c r="H1902" i="3"/>
  <c r="I1902" i="3" s="1"/>
  <c r="F1902" i="3"/>
  <c r="E1902" i="3"/>
  <c r="D1902" i="3"/>
  <c r="C1902" i="3"/>
  <c r="B1902" i="3"/>
  <c r="A1902" i="3"/>
  <c r="H1901" i="3"/>
  <c r="F1901" i="3"/>
  <c r="E1901" i="3"/>
  <c r="D1901" i="3"/>
  <c r="C1901" i="3"/>
  <c r="I1901" i="3" s="1"/>
  <c r="B1901" i="3"/>
  <c r="A1901" i="3"/>
  <c r="H1900" i="3"/>
  <c r="I1900" i="3" s="1"/>
  <c r="F1900" i="3"/>
  <c r="E1900" i="3"/>
  <c r="D1900" i="3"/>
  <c r="C1900" i="3"/>
  <c r="B1900" i="3"/>
  <c r="A1900" i="3"/>
  <c r="I1899" i="3"/>
  <c r="H1899" i="3"/>
  <c r="F1899" i="3"/>
  <c r="E1899" i="3"/>
  <c r="D1899" i="3"/>
  <c r="C1899" i="3"/>
  <c r="B1899" i="3"/>
  <c r="A1899" i="3"/>
  <c r="F1898" i="3"/>
  <c r="E1898" i="3"/>
  <c r="D1898" i="3"/>
  <c r="H1898" i="3" s="1"/>
  <c r="I1898" i="3" s="1"/>
  <c r="C1898" i="3"/>
  <c r="B1898" i="3"/>
  <c r="A1898" i="3"/>
  <c r="F1897" i="3"/>
  <c r="E1897" i="3"/>
  <c r="D1897" i="3"/>
  <c r="H1897" i="3" s="1"/>
  <c r="I1897" i="3" s="1"/>
  <c r="C1897" i="3"/>
  <c r="B1897" i="3"/>
  <c r="A1897" i="3"/>
  <c r="F1896" i="3"/>
  <c r="E1896" i="3"/>
  <c r="D1896" i="3"/>
  <c r="H1896" i="3" s="1"/>
  <c r="I1896" i="3" s="1"/>
  <c r="C1896" i="3"/>
  <c r="B1896" i="3"/>
  <c r="A1896" i="3"/>
  <c r="F1895" i="3"/>
  <c r="E1895" i="3"/>
  <c r="D1895" i="3"/>
  <c r="H1895" i="3" s="1"/>
  <c r="I1895" i="3" s="1"/>
  <c r="C1895" i="3"/>
  <c r="B1895" i="3"/>
  <c r="A1895" i="3"/>
  <c r="H1894" i="3"/>
  <c r="I1894" i="3" s="1"/>
  <c r="F1894" i="3"/>
  <c r="E1894" i="3"/>
  <c r="D1894" i="3"/>
  <c r="C1894" i="3"/>
  <c r="B1894" i="3"/>
  <c r="A1894" i="3"/>
  <c r="H1893" i="3"/>
  <c r="F1893" i="3"/>
  <c r="E1893" i="3"/>
  <c r="D1893" i="3"/>
  <c r="C1893" i="3"/>
  <c r="I1893" i="3" s="1"/>
  <c r="B1893" i="3"/>
  <c r="A1893" i="3"/>
  <c r="H1892" i="3"/>
  <c r="I1892" i="3" s="1"/>
  <c r="F1892" i="3"/>
  <c r="E1892" i="3"/>
  <c r="D1892" i="3"/>
  <c r="C1892" i="3"/>
  <c r="B1892" i="3"/>
  <c r="A1892" i="3"/>
  <c r="H1891" i="3"/>
  <c r="F1891" i="3"/>
  <c r="E1891" i="3"/>
  <c r="D1891" i="3"/>
  <c r="C1891" i="3"/>
  <c r="I1891" i="3" s="1"/>
  <c r="B1891" i="3"/>
  <c r="A1891" i="3"/>
  <c r="F1890" i="3"/>
  <c r="E1890" i="3"/>
  <c r="D1890" i="3"/>
  <c r="H1890" i="3" s="1"/>
  <c r="I1890" i="3" s="1"/>
  <c r="C1890" i="3"/>
  <c r="B1890" i="3"/>
  <c r="A1890" i="3"/>
  <c r="I1889" i="3"/>
  <c r="F1889" i="3"/>
  <c r="E1889" i="3"/>
  <c r="D1889" i="3"/>
  <c r="H1889" i="3" s="1"/>
  <c r="C1889" i="3"/>
  <c r="B1889" i="3"/>
  <c r="A1889" i="3"/>
  <c r="F1888" i="3"/>
  <c r="E1888" i="3"/>
  <c r="D1888" i="3"/>
  <c r="H1888" i="3" s="1"/>
  <c r="I1888" i="3" s="1"/>
  <c r="C1888" i="3"/>
  <c r="B1888" i="3"/>
  <c r="A1888" i="3"/>
  <c r="F1887" i="3"/>
  <c r="E1887" i="3"/>
  <c r="D1887" i="3"/>
  <c r="H1887" i="3" s="1"/>
  <c r="I1887" i="3" s="1"/>
  <c r="C1887" i="3"/>
  <c r="B1887" i="3"/>
  <c r="A1887" i="3"/>
  <c r="H1886" i="3"/>
  <c r="I1886" i="3" s="1"/>
  <c r="F1886" i="3"/>
  <c r="E1886" i="3"/>
  <c r="D1886" i="3"/>
  <c r="C1886" i="3"/>
  <c r="B1886" i="3"/>
  <c r="A1886" i="3"/>
  <c r="H1885" i="3"/>
  <c r="F1885" i="3"/>
  <c r="E1885" i="3"/>
  <c r="D1885" i="3"/>
  <c r="C1885" i="3"/>
  <c r="I1885" i="3" s="1"/>
  <c r="B1885" i="3"/>
  <c r="A1885" i="3"/>
  <c r="H1884" i="3"/>
  <c r="I1884" i="3" s="1"/>
  <c r="F1884" i="3"/>
  <c r="E1884" i="3"/>
  <c r="D1884" i="3"/>
  <c r="C1884" i="3"/>
  <c r="B1884" i="3"/>
  <c r="A1884" i="3"/>
  <c r="I1883" i="3"/>
  <c r="H1883" i="3"/>
  <c r="F1883" i="3"/>
  <c r="E1883" i="3"/>
  <c r="D1883" i="3"/>
  <c r="C1883" i="3"/>
  <c r="B1883" i="3"/>
  <c r="A1883" i="3"/>
  <c r="F1882" i="3"/>
  <c r="E1882" i="3"/>
  <c r="D1882" i="3"/>
  <c r="H1882" i="3" s="1"/>
  <c r="I1882" i="3" s="1"/>
  <c r="C1882" i="3"/>
  <c r="B1882" i="3"/>
  <c r="A1882" i="3"/>
  <c r="I1881" i="3"/>
  <c r="F1881" i="3"/>
  <c r="E1881" i="3"/>
  <c r="D1881" i="3"/>
  <c r="H1881" i="3" s="1"/>
  <c r="C1881" i="3"/>
  <c r="B1881" i="3"/>
  <c r="A1881" i="3"/>
  <c r="I1880" i="3"/>
  <c r="F1880" i="3"/>
  <c r="E1880" i="3"/>
  <c r="D1880" i="3"/>
  <c r="H1880" i="3" s="1"/>
  <c r="C1880" i="3"/>
  <c r="B1880" i="3"/>
  <c r="A1880" i="3"/>
  <c r="F1879" i="3"/>
  <c r="E1879" i="3"/>
  <c r="D1879" i="3"/>
  <c r="H1879" i="3" s="1"/>
  <c r="I1879" i="3" s="1"/>
  <c r="C1879" i="3"/>
  <c r="B1879" i="3"/>
  <c r="A1879" i="3"/>
  <c r="H1878" i="3"/>
  <c r="I1878" i="3" s="1"/>
  <c r="F1878" i="3"/>
  <c r="E1878" i="3"/>
  <c r="D1878" i="3"/>
  <c r="C1878" i="3"/>
  <c r="B1878" i="3"/>
  <c r="A1878" i="3"/>
  <c r="H1877" i="3"/>
  <c r="F1877" i="3"/>
  <c r="E1877" i="3"/>
  <c r="D1877" i="3"/>
  <c r="C1877" i="3"/>
  <c r="I1877" i="3" s="1"/>
  <c r="B1877" i="3"/>
  <c r="A1877" i="3"/>
  <c r="H1876" i="3"/>
  <c r="I1876" i="3" s="1"/>
  <c r="F1876" i="3"/>
  <c r="E1876" i="3"/>
  <c r="D1876" i="3"/>
  <c r="C1876" i="3"/>
  <c r="B1876" i="3"/>
  <c r="A1876" i="3"/>
  <c r="I1875" i="3"/>
  <c r="H1875" i="3"/>
  <c r="F1875" i="3"/>
  <c r="E1875" i="3"/>
  <c r="D1875" i="3"/>
  <c r="C1875" i="3"/>
  <c r="B1875" i="3"/>
  <c r="A1875" i="3"/>
  <c r="F1874" i="3"/>
  <c r="E1874" i="3"/>
  <c r="D1874" i="3"/>
  <c r="H1874" i="3" s="1"/>
  <c r="I1874" i="3" s="1"/>
  <c r="C1874" i="3"/>
  <c r="B1874" i="3"/>
  <c r="A1874" i="3"/>
  <c r="I1873" i="3"/>
  <c r="F1873" i="3"/>
  <c r="E1873" i="3"/>
  <c r="D1873" i="3"/>
  <c r="H1873" i="3" s="1"/>
  <c r="C1873" i="3"/>
  <c r="B1873" i="3"/>
  <c r="A1873" i="3"/>
  <c r="I1872" i="3"/>
  <c r="F1872" i="3"/>
  <c r="E1872" i="3"/>
  <c r="D1872" i="3"/>
  <c r="H1872" i="3" s="1"/>
  <c r="C1872" i="3"/>
  <c r="B1872" i="3"/>
  <c r="A1872" i="3"/>
  <c r="F1871" i="3"/>
  <c r="E1871" i="3"/>
  <c r="D1871" i="3"/>
  <c r="H1871" i="3" s="1"/>
  <c r="I1871" i="3" s="1"/>
  <c r="C1871" i="3"/>
  <c r="B1871" i="3"/>
  <c r="A1871" i="3"/>
  <c r="H1870" i="3"/>
  <c r="I1870" i="3" s="1"/>
  <c r="F1870" i="3"/>
  <c r="E1870" i="3"/>
  <c r="D1870" i="3"/>
  <c r="C1870" i="3"/>
  <c r="B1870" i="3"/>
  <c r="A1870" i="3"/>
  <c r="H1869" i="3"/>
  <c r="F1869" i="3"/>
  <c r="E1869" i="3"/>
  <c r="D1869" i="3"/>
  <c r="C1869" i="3"/>
  <c r="I1869" i="3" s="1"/>
  <c r="B1869" i="3"/>
  <c r="A1869" i="3"/>
  <c r="H1868" i="3"/>
  <c r="I1868" i="3" s="1"/>
  <c r="F1868" i="3"/>
  <c r="E1868" i="3"/>
  <c r="D1868" i="3"/>
  <c r="C1868" i="3"/>
  <c r="B1868" i="3"/>
  <c r="A1868" i="3"/>
  <c r="I1867" i="3"/>
  <c r="H1867" i="3"/>
  <c r="F1867" i="3"/>
  <c r="E1867" i="3"/>
  <c r="D1867" i="3"/>
  <c r="C1867" i="3"/>
  <c r="B1867" i="3"/>
  <c r="A1867" i="3"/>
  <c r="F1866" i="3"/>
  <c r="E1866" i="3"/>
  <c r="D1866" i="3"/>
  <c r="H1866" i="3" s="1"/>
  <c r="I1866" i="3" s="1"/>
  <c r="C1866" i="3"/>
  <c r="B1866" i="3"/>
  <c r="A1866" i="3"/>
  <c r="I1865" i="3"/>
  <c r="F1865" i="3"/>
  <c r="E1865" i="3"/>
  <c r="D1865" i="3"/>
  <c r="H1865" i="3" s="1"/>
  <c r="C1865" i="3"/>
  <c r="B1865" i="3"/>
  <c r="A1865" i="3"/>
  <c r="I1864" i="3"/>
  <c r="F1864" i="3"/>
  <c r="E1864" i="3"/>
  <c r="D1864" i="3"/>
  <c r="H1864" i="3" s="1"/>
  <c r="C1864" i="3"/>
  <c r="B1864" i="3"/>
  <c r="A1864" i="3"/>
  <c r="F1863" i="3"/>
  <c r="E1863" i="3"/>
  <c r="D1863" i="3"/>
  <c r="H1863" i="3" s="1"/>
  <c r="I1863" i="3" s="1"/>
  <c r="C1863" i="3"/>
  <c r="B1863" i="3"/>
  <c r="A1863" i="3"/>
  <c r="H1862" i="3"/>
  <c r="I1862" i="3" s="1"/>
  <c r="F1862" i="3"/>
  <c r="E1862" i="3"/>
  <c r="D1862" i="3"/>
  <c r="C1862" i="3"/>
  <c r="B1862" i="3"/>
  <c r="A1862" i="3"/>
  <c r="H1861" i="3"/>
  <c r="F1861" i="3"/>
  <c r="E1861" i="3"/>
  <c r="D1861" i="3"/>
  <c r="C1861" i="3"/>
  <c r="I1861" i="3" s="1"/>
  <c r="B1861" i="3"/>
  <c r="A1861" i="3"/>
  <c r="H1860" i="3"/>
  <c r="I1860" i="3" s="1"/>
  <c r="F1860" i="3"/>
  <c r="E1860" i="3"/>
  <c r="D1860" i="3"/>
  <c r="C1860" i="3"/>
  <c r="B1860" i="3"/>
  <c r="A1860" i="3"/>
  <c r="I1859" i="3"/>
  <c r="H1859" i="3"/>
  <c r="F1859" i="3"/>
  <c r="E1859" i="3"/>
  <c r="D1859" i="3"/>
  <c r="C1859" i="3"/>
  <c r="B1859" i="3"/>
  <c r="A1859" i="3"/>
  <c r="F1858" i="3"/>
  <c r="E1858" i="3"/>
  <c r="D1858" i="3"/>
  <c r="H1858" i="3" s="1"/>
  <c r="I1858" i="3" s="1"/>
  <c r="C1858" i="3"/>
  <c r="B1858" i="3"/>
  <c r="A1858" i="3"/>
  <c r="F1857" i="3"/>
  <c r="E1857" i="3"/>
  <c r="D1857" i="3"/>
  <c r="H1857" i="3" s="1"/>
  <c r="I1857" i="3" s="1"/>
  <c r="C1857" i="3"/>
  <c r="B1857" i="3"/>
  <c r="A1857" i="3"/>
  <c r="H1856" i="3"/>
  <c r="I1856" i="3" s="1"/>
  <c r="F1856" i="3"/>
  <c r="E1856" i="3"/>
  <c r="D1856" i="3"/>
  <c r="C1856" i="3"/>
  <c r="B1856" i="3"/>
  <c r="A1856" i="3"/>
  <c r="F1855" i="3"/>
  <c r="E1855" i="3"/>
  <c r="D1855" i="3"/>
  <c r="H1855" i="3" s="1"/>
  <c r="I1855" i="3" s="1"/>
  <c r="C1855" i="3"/>
  <c r="B1855" i="3"/>
  <c r="A1855" i="3"/>
  <c r="H1854" i="3"/>
  <c r="F1854" i="3"/>
  <c r="E1854" i="3"/>
  <c r="D1854" i="3"/>
  <c r="C1854" i="3"/>
  <c r="B1854" i="3"/>
  <c r="A1854" i="3"/>
  <c r="I1853" i="3"/>
  <c r="H1853" i="3"/>
  <c r="F1853" i="3"/>
  <c r="E1853" i="3"/>
  <c r="D1853" i="3"/>
  <c r="C1853" i="3"/>
  <c r="B1853" i="3"/>
  <c r="A1853" i="3"/>
  <c r="H1852" i="3"/>
  <c r="I1852" i="3" s="1"/>
  <c r="F1852" i="3"/>
  <c r="E1852" i="3"/>
  <c r="D1852" i="3"/>
  <c r="C1852" i="3"/>
  <c r="B1852" i="3"/>
  <c r="A1852" i="3"/>
  <c r="I1851" i="3"/>
  <c r="H1851" i="3"/>
  <c r="F1851" i="3"/>
  <c r="E1851" i="3"/>
  <c r="D1851" i="3"/>
  <c r="C1851" i="3"/>
  <c r="B1851" i="3"/>
  <c r="A1851" i="3"/>
  <c r="F1850" i="3"/>
  <c r="E1850" i="3"/>
  <c r="D1850" i="3"/>
  <c r="H1850" i="3" s="1"/>
  <c r="I1850" i="3" s="1"/>
  <c r="C1850" i="3"/>
  <c r="B1850" i="3"/>
  <c r="A1850" i="3"/>
  <c r="F1849" i="3"/>
  <c r="E1849" i="3"/>
  <c r="D1849" i="3"/>
  <c r="H1849" i="3" s="1"/>
  <c r="I1849" i="3" s="1"/>
  <c r="C1849" i="3"/>
  <c r="B1849" i="3"/>
  <c r="A1849" i="3"/>
  <c r="I1848" i="3"/>
  <c r="H1848" i="3"/>
  <c r="F1848" i="3"/>
  <c r="E1848" i="3"/>
  <c r="D1848" i="3"/>
  <c r="C1848" i="3"/>
  <c r="B1848" i="3"/>
  <c r="A1848" i="3"/>
  <c r="H1847" i="3"/>
  <c r="I1847" i="3" s="1"/>
  <c r="F1847" i="3"/>
  <c r="E1847" i="3"/>
  <c r="D1847" i="3"/>
  <c r="C1847" i="3"/>
  <c r="B1847" i="3"/>
  <c r="A1847" i="3"/>
  <c r="H1846" i="3"/>
  <c r="I1846" i="3" s="1"/>
  <c r="F1846" i="3"/>
  <c r="E1846" i="3"/>
  <c r="D1846" i="3"/>
  <c r="C1846" i="3"/>
  <c r="B1846" i="3"/>
  <c r="A1846" i="3"/>
  <c r="H1845" i="3"/>
  <c r="F1845" i="3"/>
  <c r="E1845" i="3"/>
  <c r="D1845" i="3"/>
  <c r="C1845" i="3"/>
  <c r="I1845" i="3" s="1"/>
  <c r="B1845" i="3"/>
  <c r="A1845" i="3"/>
  <c r="H1844" i="3"/>
  <c r="F1844" i="3"/>
  <c r="E1844" i="3"/>
  <c r="D1844" i="3"/>
  <c r="C1844" i="3"/>
  <c r="I1844" i="3" s="1"/>
  <c r="B1844" i="3"/>
  <c r="A1844" i="3"/>
  <c r="H1843" i="3"/>
  <c r="F1843" i="3"/>
  <c r="E1843" i="3"/>
  <c r="D1843" i="3"/>
  <c r="C1843" i="3"/>
  <c r="I1843" i="3" s="1"/>
  <c r="B1843" i="3"/>
  <c r="A1843" i="3"/>
  <c r="F1842" i="3"/>
  <c r="E1842" i="3"/>
  <c r="D1842" i="3"/>
  <c r="H1842" i="3" s="1"/>
  <c r="C1842" i="3"/>
  <c r="I1842" i="3" s="1"/>
  <c r="B1842" i="3"/>
  <c r="A1842" i="3"/>
  <c r="F1841" i="3"/>
  <c r="E1841" i="3"/>
  <c r="D1841" i="3"/>
  <c r="H1841" i="3" s="1"/>
  <c r="I1841" i="3" s="1"/>
  <c r="C1841" i="3"/>
  <c r="B1841" i="3"/>
  <c r="A1841" i="3"/>
  <c r="F1840" i="3"/>
  <c r="E1840" i="3"/>
  <c r="D1840" i="3"/>
  <c r="H1840" i="3" s="1"/>
  <c r="I1840" i="3" s="1"/>
  <c r="C1840" i="3"/>
  <c r="B1840" i="3"/>
  <c r="A1840" i="3"/>
  <c r="F1839" i="3"/>
  <c r="E1839" i="3"/>
  <c r="D1839" i="3"/>
  <c r="H1839" i="3" s="1"/>
  <c r="I1839" i="3" s="1"/>
  <c r="C1839" i="3"/>
  <c r="B1839" i="3"/>
  <c r="A1839" i="3"/>
  <c r="H1838" i="3"/>
  <c r="I1838" i="3" s="1"/>
  <c r="F1838" i="3"/>
  <c r="E1838" i="3"/>
  <c r="D1838" i="3"/>
  <c r="C1838" i="3"/>
  <c r="B1838" i="3"/>
  <c r="A1838" i="3"/>
  <c r="I1837" i="3"/>
  <c r="H1837" i="3"/>
  <c r="F1837" i="3"/>
  <c r="E1837" i="3"/>
  <c r="D1837" i="3"/>
  <c r="C1837" i="3"/>
  <c r="B1837" i="3"/>
  <c r="A1837" i="3"/>
  <c r="F1836" i="3"/>
  <c r="E1836" i="3"/>
  <c r="D1836" i="3"/>
  <c r="H1836" i="3" s="1"/>
  <c r="I1836" i="3" s="1"/>
  <c r="C1836" i="3"/>
  <c r="B1836" i="3"/>
  <c r="A1836" i="3"/>
  <c r="I1835" i="3"/>
  <c r="F1835" i="3"/>
  <c r="E1835" i="3"/>
  <c r="D1835" i="3"/>
  <c r="H1835" i="3" s="1"/>
  <c r="C1835" i="3"/>
  <c r="B1835" i="3"/>
  <c r="A1835" i="3"/>
  <c r="F1834" i="3"/>
  <c r="E1834" i="3"/>
  <c r="D1834" i="3"/>
  <c r="H1834" i="3" s="1"/>
  <c r="I1834" i="3" s="1"/>
  <c r="C1834" i="3"/>
  <c r="B1834" i="3"/>
  <c r="A1834" i="3"/>
  <c r="I1833" i="3"/>
  <c r="F1833" i="3"/>
  <c r="E1833" i="3"/>
  <c r="D1833" i="3"/>
  <c r="H1833" i="3" s="1"/>
  <c r="C1833" i="3"/>
  <c r="B1833" i="3"/>
  <c r="A1833" i="3"/>
  <c r="H1832" i="3"/>
  <c r="I1832" i="3" s="1"/>
  <c r="F1832" i="3"/>
  <c r="E1832" i="3"/>
  <c r="D1832" i="3"/>
  <c r="C1832" i="3"/>
  <c r="B1832" i="3"/>
  <c r="A1832" i="3"/>
  <c r="H1831" i="3"/>
  <c r="I1831" i="3" s="1"/>
  <c r="F1831" i="3"/>
  <c r="E1831" i="3"/>
  <c r="D1831" i="3"/>
  <c r="C1831" i="3"/>
  <c r="B1831" i="3"/>
  <c r="A1831" i="3"/>
  <c r="H1830" i="3"/>
  <c r="I1830" i="3" s="1"/>
  <c r="F1830" i="3"/>
  <c r="E1830" i="3"/>
  <c r="D1830" i="3"/>
  <c r="C1830" i="3"/>
  <c r="B1830" i="3"/>
  <c r="A1830" i="3"/>
  <c r="I1829" i="3"/>
  <c r="H1829" i="3"/>
  <c r="F1829" i="3"/>
  <c r="E1829" i="3"/>
  <c r="D1829" i="3"/>
  <c r="C1829" i="3"/>
  <c r="B1829" i="3"/>
  <c r="A1829" i="3"/>
  <c r="H1828" i="3"/>
  <c r="I1828" i="3" s="1"/>
  <c r="F1828" i="3"/>
  <c r="E1828" i="3"/>
  <c r="D1828" i="3"/>
  <c r="C1828" i="3"/>
  <c r="B1828" i="3"/>
  <c r="A1828" i="3"/>
  <c r="F1827" i="3"/>
  <c r="E1827" i="3"/>
  <c r="D1827" i="3"/>
  <c r="H1827" i="3" s="1"/>
  <c r="I1827" i="3" s="1"/>
  <c r="C1827" i="3"/>
  <c r="B1827" i="3"/>
  <c r="A1827" i="3"/>
  <c r="F1826" i="3"/>
  <c r="E1826" i="3"/>
  <c r="D1826" i="3"/>
  <c r="H1826" i="3" s="1"/>
  <c r="I1826" i="3" s="1"/>
  <c r="C1826" i="3"/>
  <c r="B1826" i="3"/>
  <c r="A1826" i="3"/>
  <c r="I1825" i="3"/>
  <c r="F1825" i="3"/>
  <c r="E1825" i="3"/>
  <c r="D1825" i="3"/>
  <c r="H1825" i="3" s="1"/>
  <c r="C1825" i="3"/>
  <c r="B1825" i="3"/>
  <c r="A1825" i="3"/>
  <c r="I1824" i="3"/>
  <c r="H1824" i="3"/>
  <c r="F1824" i="3"/>
  <c r="E1824" i="3"/>
  <c r="D1824" i="3"/>
  <c r="C1824" i="3"/>
  <c r="B1824" i="3"/>
  <c r="A1824" i="3"/>
  <c r="H1823" i="3"/>
  <c r="I1823" i="3" s="1"/>
  <c r="F1823" i="3"/>
  <c r="E1823" i="3"/>
  <c r="D1823" i="3"/>
  <c r="C1823" i="3"/>
  <c r="B1823" i="3"/>
  <c r="A1823" i="3"/>
  <c r="H1822" i="3"/>
  <c r="I1822" i="3" s="1"/>
  <c r="F1822" i="3"/>
  <c r="E1822" i="3"/>
  <c r="D1822" i="3"/>
  <c r="C1822" i="3"/>
  <c r="B1822" i="3"/>
  <c r="A1822" i="3"/>
  <c r="I1821" i="3"/>
  <c r="H1821" i="3"/>
  <c r="F1821" i="3"/>
  <c r="E1821" i="3"/>
  <c r="D1821" i="3"/>
  <c r="C1821" i="3"/>
  <c r="B1821" i="3"/>
  <c r="A1821" i="3"/>
  <c r="I1820" i="3"/>
  <c r="H1820" i="3"/>
  <c r="F1820" i="3"/>
  <c r="E1820" i="3"/>
  <c r="D1820" i="3"/>
  <c r="C1820" i="3"/>
  <c r="B1820" i="3"/>
  <c r="A1820" i="3"/>
  <c r="H1819" i="3"/>
  <c r="I1819" i="3" s="1"/>
  <c r="F1819" i="3"/>
  <c r="E1819" i="3"/>
  <c r="D1819" i="3"/>
  <c r="C1819" i="3"/>
  <c r="B1819" i="3"/>
  <c r="A1819" i="3"/>
  <c r="I1818" i="3"/>
  <c r="F1818" i="3"/>
  <c r="E1818" i="3"/>
  <c r="D1818" i="3"/>
  <c r="H1818" i="3" s="1"/>
  <c r="C1818" i="3"/>
  <c r="B1818" i="3"/>
  <c r="A1818" i="3"/>
  <c r="F1817" i="3"/>
  <c r="E1817" i="3"/>
  <c r="D1817" i="3"/>
  <c r="H1817" i="3" s="1"/>
  <c r="I1817" i="3" s="1"/>
  <c r="C1817" i="3"/>
  <c r="B1817" i="3"/>
  <c r="A1817" i="3"/>
  <c r="F1816" i="3"/>
  <c r="E1816" i="3"/>
  <c r="D1816" i="3"/>
  <c r="H1816" i="3" s="1"/>
  <c r="I1816" i="3" s="1"/>
  <c r="C1816" i="3"/>
  <c r="B1816" i="3"/>
  <c r="A1816" i="3"/>
  <c r="F1815" i="3"/>
  <c r="E1815" i="3"/>
  <c r="D1815" i="3"/>
  <c r="H1815" i="3" s="1"/>
  <c r="I1815" i="3" s="1"/>
  <c r="C1815" i="3"/>
  <c r="B1815" i="3"/>
  <c r="A1815" i="3"/>
  <c r="H1814" i="3"/>
  <c r="F1814" i="3"/>
  <c r="E1814" i="3"/>
  <c r="D1814" i="3"/>
  <c r="C1814" i="3"/>
  <c r="B1814" i="3"/>
  <c r="A1814" i="3"/>
  <c r="H1813" i="3"/>
  <c r="I1813" i="3" s="1"/>
  <c r="F1813" i="3"/>
  <c r="E1813" i="3"/>
  <c r="D1813" i="3"/>
  <c r="C1813" i="3"/>
  <c r="B1813" i="3"/>
  <c r="A1813" i="3"/>
  <c r="H1812" i="3"/>
  <c r="F1812" i="3"/>
  <c r="E1812" i="3"/>
  <c r="D1812" i="3"/>
  <c r="C1812" i="3"/>
  <c r="I1812" i="3" s="1"/>
  <c r="B1812" i="3"/>
  <c r="A1812" i="3"/>
  <c r="H1811" i="3"/>
  <c r="F1811" i="3"/>
  <c r="E1811" i="3"/>
  <c r="D1811" i="3"/>
  <c r="C1811" i="3"/>
  <c r="I1811" i="3" s="1"/>
  <c r="B1811" i="3"/>
  <c r="A1811" i="3"/>
  <c r="F1810" i="3"/>
  <c r="E1810" i="3"/>
  <c r="D1810" i="3"/>
  <c r="H1810" i="3" s="1"/>
  <c r="C1810" i="3"/>
  <c r="I1810" i="3" s="1"/>
  <c r="B1810" i="3"/>
  <c r="A1810" i="3"/>
  <c r="F1809" i="3"/>
  <c r="E1809" i="3"/>
  <c r="D1809" i="3"/>
  <c r="H1809" i="3" s="1"/>
  <c r="I1809" i="3" s="1"/>
  <c r="C1809" i="3"/>
  <c r="B1809" i="3"/>
  <c r="A1809" i="3"/>
  <c r="F1808" i="3"/>
  <c r="E1808" i="3"/>
  <c r="D1808" i="3"/>
  <c r="H1808" i="3" s="1"/>
  <c r="I1808" i="3" s="1"/>
  <c r="C1808" i="3"/>
  <c r="B1808" i="3"/>
  <c r="A1808" i="3"/>
  <c r="F1807" i="3"/>
  <c r="E1807" i="3"/>
  <c r="D1807" i="3"/>
  <c r="H1807" i="3" s="1"/>
  <c r="I1807" i="3" s="1"/>
  <c r="C1807" i="3"/>
  <c r="B1807" i="3"/>
  <c r="A1807" i="3"/>
  <c r="H1806" i="3"/>
  <c r="I1806" i="3" s="1"/>
  <c r="F1806" i="3"/>
  <c r="E1806" i="3"/>
  <c r="D1806" i="3"/>
  <c r="C1806" i="3"/>
  <c r="B1806" i="3"/>
  <c r="A1806" i="3"/>
  <c r="I1805" i="3"/>
  <c r="H1805" i="3"/>
  <c r="F1805" i="3"/>
  <c r="E1805" i="3"/>
  <c r="D1805" i="3"/>
  <c r="C1805" i="3"/>
  <c r="B1805" i="3"/>
  <c r="A1805" i="3"/>
  <c r="R1804" i="3"/>
  <c r="J1804" i="3"/>
  <c r="F1804" i="3"/>
  <c r="E1804" i="3"/>
  <c r="D1804" i="3"/>
  <c r="H1804" i="3" s="1"/>
  <c r="C1804" i="3"/>
  <c r="B1804" i="3"/>
  <c r="A1804" i="3"/>
  <c r="H1803" i="3"/>
  <c r="F1803" i="3"/>
  <c r="E1803" i="3"/>
  <c r="D1803" i="3"/>
  <c r="C1803" i="3"/>
  <c r="I1803" i="3" s="1"/>
  <c r="B1803" i="3"/>
  <c r="A1803" i="3"/>
  <c r="F1802" i="3"/>
  <c r="E1802" i="3"/>
  <c r="D1802" i="3"/>
  <c r="H1802" i="3" s="1"/>
  <c r="C1802" i="3"/>
  <c r="I1802" i="3" s="1"/>
  <c r="B1802" i="3"/>
  <c r="A1802" i="3"/>
  <c r="F1801" i="3"/>
  <c r="E1801" i="3"/>
  <c r="D1801" i="3"/>
  <c r="H1801" i="3" s="1"/>
  <c r="I1801" i="3" s="1"/>
  <c r="C1801" i="3"/>
  <c r="B1801" i="3"/>
  <c r="A1801" i="3"/>
  <c r="F1800" i="3"/>
  <c r="E1800" i="3"/>
  <c r="D1800" i="3"/>
  <c r="H1800" i="3" s="1"/>
  <c r="I1800" i="3" s="1"/>
  <c r="C1800" i="3"/>
  <c r="B1800" i="3"/>
  <c r="A1800" i="3"/>
  <c r="F1799" i="3"/>
  <c r="E1799" i="3"/>
  <c r="D1799" i="3"/>
  <c r="H1799" i="3" s="1"/>
  <c r="I1799" i="3" s="1"/>
  <c r="C1799" i="3"/>
  <c r="B1799" i="3"/>
  <c r="A1799" i="3"/>
  <c r="H1798" i="3"/>
  <c r="I1798" i="3" s="1"/>
  <c r="F1798" i="3"/>
  <c r="E1798" i="3"/>
  <c r="D1798" i="3"/>
  <c r="C1798" i="3"/>
  <c r="B1798" i="3"/>
  <c r="A1798" i="3"/>
  <c r="I1797" i="3"/>
  <c r="H1797" i="3"/>
  <c r="F1797" i="3"/>
  <c r="E1797" i="3"/>
  <c r="D1797" i="3"/>
  <c r="C1797" i="3"/>
  <c r="B1797" i="3"/>
  <c r="A1797" i="3"/>
  <c r="F1796" i="3"/>
  <c r="E1796" i="3"/>
  <c r="D1796" i="3"/>
  <c r="H1796" i="3" s="1"/>
  <c r="I1796" i="3" s="1"/>
  <c r="C1796" i="3"/>
  <c r="B1796" i="3"/>
  <c r="A1796" i="3"/>
  <c r="I1795" i="3"/>
  <c r="F1795" i="3"/>
  <c r="E1795" i="3"/>
  <c r="D1795" i="3"/>
  <c r="H1795" i="3" s="1"/>
  <c r="C1795" i="3"/>
  <c r="B1795" i="3"/>
  <c r="A1795" i="3"/>
  <c r="F1794" i="3"/>
  <c r="E1794" i="3"/>
  <c r="D1794" i="3"/>
  <c r="H1794" i="3" s="1"/>
  <c r="I1794" i="3" s="1"/>
  <c r="C1794" i="3"/>
  <c r="B1794" i="3"/>
  <c r="A1794" i="3"/>
  <c r="I1793" i="3"/>
  <c r="F1793" i="3"/>
  <c r="E1793" i="3"/>
  <c r="D1793" i="3"/>
  <c r="H1793" i="3" s="1"/>
  <c r="C1793" i="3"/>
  <c r="B1793" i="3"/>
  <c r="A1793" i="3"/>
  <c r="H1792" i="3"/>
  <c r="I1792" i="3" s="1"/>
  <c r="F1792" i="3"/>
  <c r="E1792" i="3"/>
  <c r="D1792" i="3"/>
  <c r="C1792" i="3"/>
  <c r="B1792" i="3"/>
  <c r="A1792" i="3"/>
  <c r="H1791" i="3"/>
  <c r="F1791" i="3"/>
  <c r="E1791" i="3"/>
  <c r="D1791" i="3"/>
  <c r="C1791" i="3"/>
  <c r="B1791" i="3"/>
  <c r="A1791" i="3"/>
  <c r="H1790" i="3"/>
  <c r="F1790" i="3"/>
  <c r="E1790" i="3"/>
  <c r="D1790" i="3"/>
  <c r="C1790" i="3"/>
  <c r="B1790" i="3"/>
  <c r="A1790" i="3"/>
  <c r="I1789" i="3"/>
  <c r="H1789" i="3"/>
  <c r="F1789" i="3"/>
  <c r="E1789" i="3"/>
  <c r="D1789" i="3"/>
  <c r="C1789" i="3"/>
  <c r="B1789" i="3"/>
  <c r="A1789" i="3"/>
  <c r="H1788" i="3"/>
  <c r="I1788" i="3" s="1"/>
  <c r="F1788" i="3"/>
  <c r="E1788" i="3"/>
  <c r="D1788" i="3"/>
  <c r="C1788" i="3"/>
  <c r="B1788" i="3"/>
  <c r="A1788" i="3"/>
  <c r="F1787" i="3"/>
  <c r="E1787" i="3"/>
  <c r="D1787" i="3"/>
  <c r="H1787" i="3" s="1"/>
  <c r="I1787" i="3" s="1"/>
  <c r="C1787" i="3"/>
  <c r="B1787" i="3"/>
  <c r="A1787" i="3"/>
  <c r="F1786" i="3"/>
  <c r="E1786" i="3"/>
  <c r="D1786" i="3"/>
  <c r="H1786" i="3" s="1"/>
  <c r="I1786" i="3" s="1"/>
  <c r="C1786" i="3"/>
  <c r="B1786" i="3"/>
  <c r="A1786" i="3"/>
  <c r="I1785" i="3"/>
  <c r="F1785" i="3"/>
  <c r="E1785" i="3"/>
  <c r="D1785" i="3"/>
  <c r="H1785" i="3" s="1"/>
  <c r="C1785" i="3"/>
  <c r="B1785" i="3"/>
  <c r="A1785" i="3"/>
  <c r="H1784" i="3"/>
  <c r="I1784" i="3" s="1"/>
  <c r="F1784" i="3"/>
  <c r="E1784" i="3"/>
  <c r="D1784" i="3"/>
  <c r="C1784" i="3"/>
  <c r="B1784" i="3"/>
  <c r="A1784" i="3"/>
  <c r="H1783" i="3"/>
  <c r="I1783" i="3" s="1"/>
  <c r="F1783" i="3"/>
  <c r="E1783" i="3"/>
  <c r="D1783" i="3"/>
  <c r="C1783" i="3"/>
  <c r="B1783" i="3"/>
  <c r="A1783" i="3"/>
  <c r="H1782" i="3"/>
  <c r="I1782" i="3" s="1"/>
  <c r="F1782" i="3"/>
  <c r="E1782" i="3"/>
  <c r="D1782" i="3"/>
  <c r="C1782" i="3"/>
  <c r="B1782" i="3"/>
  <c r="A1782" i="3"/>
  <c r="I1781" i="3"/>
  <c r="H1781" i="3"/>
  <c r="F1781" i="3"/>
  <c r="E1781" i="3"/>
  <c r="D1781" i="3"/>
  <c r="C1781" i="3"/>
  <c r="B1781" i="3"/>
  <c r="A1781" i="3"/>
  <c r="I1780" i="3"/>
  <c r="H1780" i="3"/>
  <c r="F1780" i="3"/>
  <c r="E1780" i="3"/>
  <c r="D1780" i="3"/>
  <c r="C1780" i="3"/>
  <c r="B1780" i="3"/>
  <c r="A1780" i="3"/>
  <c r="H1779" i="3"/>
  <c r="I1779" i="3" s="1"/>
  <c r="F1779" i="3"/>
  <c r="E1779" i="3"/>
  <c r="D1779" i="3"/>
  <c r="C1779" i="3"/>
  <c r="B1779" i="3"/>
  <c r="A1779" i="3"/>
  <c r="I1778" i="3"/>
  <c r="F1778" i="3"/>
  <c r="E1778" i="3"/>
  <c r="D1778" i="3"/>
  <c r="H1778" i="3" s="1"/>
  <c r="C1778" i="3"/>
  <c r="B1778" i="3"/>
  <c r="A1778" i="3"/>
  <c r="H1777" i="3"/>
  <c r="I1777" i="3" s="1"/>
  <c r="F1777" i="3"/>
  <c r="E1777" i="3"/>
  <c r="D1777" i="3"/>
  <c r="C1777" i="3"/>
  <c r="B1777" i="3"/>
  <c r="A1777" i="3"/>
  <c r="H1776" i="3"/>
  <c r="I1776" i="3" s="1"/>
  <c r="F1776" i="3"/>
  <c r="E1776" i="3"/>
  <c r="D1776" i="3"/>
  <c r="C1776" i="3"/>
  <c r="B1776" i="3"/>
  <c r="A1776" i="3"/>
  <c r="H1775" i="3"/>
  <c r="F1775" i="3"/>
  <c r="E1775" i="3"/>
  <c r="D1775" i="3"/>
  <c r="C1775" i="3"/>
  <c r="I1775" i="3" s="1"/>
  <c r="B1775" i="3"/>
  <c r="A1775" i="3"/>
  <c r="I1774" i="3"/>
  <c r="H1774" i="3"/>
  <c r="F1774" i="3"/>
  <c r="E1774" i="3"/>
  <c r="D1774" i="3"/>
  <c r="C1774" i="3"/>
  <c r="B1774" i="3"/>
  <c r="A1774" i="3"/>
  <c r="I1773" i="3"/>
  <c r="F1773" i="3"/>
  <c r="E1773" i="3"/>
  <c r="D1773" i="3"/>
  <c r="H1773" i="3" s="1"/>
  <c r="C1773" i="3"/>
  <c r="B1773" i="3"/>
  <c r="A1773" i="3"/>
  <c r="F1772" i="3"/>
  <c r="E1772" i="3"/>
  <c r="D1772" i="3"/>
  <c r="H1772" i="3" s="1"/>
  <c r="I1772" i="3" s="1"/>
  <c r="C1772" i="3"/>
  <c r="B1772" i="3"/>
  <c r="A1772" i="3"/>
  <c r="F1771" i="3"/>
  <c r="E1771" i="3"/>
  <c r="D1771" i="3"/>
  <c r="H1771" i="3" s="1"/>
  <c r="I1771" i="3" s="1"/>
  <c r="C1771" i="3"/>
  <c r="B1771" i="3"/>
  <c r="A1771" i="3"/>
  <c r="F1770" i="3"/>
  <c r="E1770" i="3"/>
  <c r="D1770" i="3"/>
  <c r="H1770" i="3" s="1"/>
  <c r="I1770" i="3" s="1"/>
  <c r="C1770" i="3"/>
  <c r="B1770" i="3"/>
  <c r="A1770" i="3"/>
  <c r="H1769" i="3"/>
  <c r="I1769" i="3" s="1"/>
  <c r="F1769" i="3"/>
  <c r="E1769" i="3"/>
  <c r="D1769" i="3"/>
  <c r="C1769" i="3"/>
  <c r="B1769" i="3"/>
  <c r="A1769" i="3"/>
  <c r="H1768" i="3"/>
  <c r="I1768" i="3" s="1"/>
  <c r="F1768" i="3"/>
  <c r="E1768" i="3"/>
  <c r="D1768" i="3"/>
  <c r="C1768" i="3"/>
  <c r="B1768" i="3"/>
  <c r="A1768" i="3"/>
  <c r="H1767" i="3"/>
  <c r="F1767" i="3"/>
  <c r="E1767" i="3"/>
  <c r="D1767" i="3"/>
  <c r="C1767" i="3"/>
  <c r="I1767" i="3" s="1"/>
  <c r="B1767" i="3"/>
  <c r="A1767" i="3"/>
  <c r="F1766" i="3"/>
  <c r="E1766" i="3"/>
  <c r="D1766" i="3"/>
  <c r="H1766" i="3" s="1"/>
  <c r="I1766" i="3" s="1"/>
  <c r="C1766" i="3"/>
  <c r="B1766" i="3"/>
  <c r="A1766" i="3"/>
  <c r="F1765" i="3"/>
  <c r="E1765" i="3"/>
  <c r="D1765" i="3"/>
  <c r="H1765" i="3" s="1"/>
  <c r="I1765" i="3" s="1"/>
  <c r="C1765" i="3"/>
  <c r="B1765" i="3"/>
  <c r="A1765" i="3"/>
  <c r="F1764" i="3"/>
  <c r="E1764" i="3"/>
  <c r="D1764" i="3"/>
  <c r="H1764" i="3" s="1"/>
  <c r="I1764" i="3" s="1"/>
  <c r="C1764" i="3"/>
  <c r="B1764" i="3"/>
  <c r="A1764" i="3"/>
  <c r="F1763" i="3"/>
  <c r="E1763" i="3"/>
  <c r="D1763" i="3"/>
  <c r="H1763" i="3" s="1"/>
  <c r="I1763" i="3" s="1"/>
  <c r="C1763" i="3"/>
  <c r="B1763" i="3"/>
  <c r="A1763" i="3"/>
  <c r="H1762" i="3"/>
  <c r="I1762" i="3" s="1"/>
  <c r="F1762" i="3"/>
  <c r="E1762" i="3"/>
  <c r="D1762" i="3"/>
  <c r="C1762" i="3"/>
  <c r="B1762" i="3"/>
  <c r="A1762" i="3"/>
  <c r="H1761" i="3"/>
  <c r="F1761" i="3"/>
  <c r="E1761" i="3"/>
  <c r="D1761" i="3"/>
  <c r="C1761" i="3"/>
  <c r="B1761" i="3"/>
  <c r="A1761" i="3"/>
  <c r="H1760" i="3"/>
  <c r="F1760" i="3"/>
  <c r="E1760" i="3"/>
  <c r="D1760" i="3"/>
  <c r="C1760" i="3"/>
  <c r="B1760" i="3"/>
  <c r="A1760" i="3"/>
  <c r="I1759" i="3"/>
  <c r="H1759" i="3"/>
  <c r="F1759" i="3"/>
  <c r="E1759" i="3"/>
  <c r="D1759" i="3"/>
  <c r="C1759" i="3"/>
  <c r="B1759" i="3"/>
  <c r="A1759" i="3"/>
  <c r="F1758" i="3"/>
  <c r="E1758" i="3"/>
  <c r="D1758" i="3"/>
  <c r="H1758" i="3" s="1"/>
  <c r="I1758" i="3" s="1"/>
  <c r="C1758" i="3"/>
  <c r="B1758" i="3"/>
  <c r="A1758" i="3"/>
  <c r="I1757" i="3"/>
  <c r="H1757" i="3"/>
  <c r="F1757" i="3"/>
  <c r="E1757" i="3"/>
  <c r="D1757" i="3"/>
  <c r="C1757" i="3"/>
  <c r="B1757" i="3"/>
  <c r="A1757" i="3"/>
  <c r="F1756" i="3"/>
  <c r="E1756" i="3"/>
  <c r="D1756" i="3"/>
  <c r="H1756" i="3" s="1"/>
  <c r="I1756" i="3" s="1"/>
  <c r="C1756" i="3"/>
  <c r="B1756" i="3"/>
  <c r="A1756" i="3"/>
  <c r="F1755" i="3"/>
  <c r="E1755" i="3"/>
  <c r="D1755" i="3"/>
  <c r="H1755" i="3" s="1"/>
  <c r="I1755" i="3" s="1"/>
  <c r="C1755" i="3"/>
  <c r="B1755" i="3"/>
  <c r="A1755" i="3"/>
  <c r="F1754" i="3"/>
  <c r="E1754" i="3"/>
  <c r="D1754" i="3"/>
  <c r="H1754" i="3" s="1"/>
  <c r="I1754" i="3" s="1"/>
  <c r="C1754" i="3"/>
  <c r="B1754" i="3"/>
  <c r="A1754" i="3"/>
  <c r="H1753" i="3"/>
  <c r="I1753" i="3" s="1"/>
  <c r="F1753" i="3"/>
  <c r="E1753" i="3"/>
  <c r="D1753" i="3"/>
  <c r="C1753" i="3"/>
  <c r="B1753" i="3"/>
  <c r="A1753" i="3"/>
  <c r="H1752" i="3"/>
  <c r="I1752" i="3" s="1"/>
  <c r="F1752" i="3"/>
  <c r="E1752" i="3"/>
  <c r="D1752" i="3"/>
  <c r="C1752" i="3"/>
  <c r="B1752" i="3"/>
  <c r="A1752" i="3"/>
  <c r="I1751" i="3"/>
  <c r="H1751" i="3"/>
  <c r="F1751" i="3"/>
  <c r="E1751" i="3"/>
  <c r="D1751" i="3"/>
  <c r="C1751" i="3"/>
  <c r="B1751" i="3"/>
  <c r="A1751" i="3"/>
  <c r="F1750" i="3"/>
  <c r="E1750" i="3"/>
  <c r="D1750" i="3"/>
  <c r="H1750" i="3" s="1"/>
  <c r="I1750" i="3" s="1"/>
  <c r="C1750" i="3"/>
  <c r="B1750" i="3"/>
  <c r="A1750" i="3"/>
  <c r="F1749" i="3"/>
  <c r="E1749" i="3"/>
  <c r="D1749" i="3"/>
  <c r="H1749" i="3" s="1"/>
  <c r="I1749" i="3" s="1"/>
  <c r="C1749" i="3"/>
  <c r="B1749" i="3"/>
  <c r="A1749" i="3"/>
  <c r="F1748" i="3"/>
  <c r="E1748" i="3"/>
  <c r="D1748" i="3"/>
  <c r="H1748" i="3" s="1"/>
  <c r="I1748" i="3" s="1"/>
  <c r="C1748" i="3"/>
  <c r="B1748" i="3"/>
  <c r="A1748" i="3"/>
  <c r="I1747" i="3"/>
  <c r="F1747" i="3"/>
  <c r="E1747" i="3"/>
  <c r="D1747" i="3"/>
  <c r="H1747" i="3" s="1"/>
  <c r="C1747" i="3"/>
  <c r="B1747" i="3"/>
  <c r="A1747" i="3"/>
  <c r="I1746" i="3"/>
  <c r="H1746" i="3"/>
  <c r="F1746" i="3"/>
  <c r="E1746" i="3"/>
  <c r="D1746" i="3"/>
  <c r="C1746" i="3"/>
  <c r="B1746" i="3"/>
  <c r="A1746" i="3"/>
  <c r="H1745" i="3"/>
  <c r="I1745" i="3" s="1"/>
  <c r="F1745" i="3"/>
  <c r="E1745" i="3"/>
  <c r="D1745" i="3"/>
  <c r="C1745" i="3"/>
  <c r="B1745" i="3"/>
  <c r="A1745" i="3"/>
  <c r="H1744" i="3"/>
  <c r="I1744" i="3" s="1"/>
  <c r="F1744" i="3"/>
  <c r="E1744" i="3"/>
  <c r="D1744" i="3"/>
  <c r="C1744" i="3"/>
  <c r="B1744" i="3"/>
  <c r="A1744" i="3"/>
  <c r="I1743" i="3"/>
  <c r="H1743" i="3"/>
  <c r="F1743" i="3"/>
  <c r="E1743" i="3"/>
  <c r="D1743" i="3"/>
  <c r="C1743" i="3"/>
  <c r="B1743" i="3"/>
  <c r="A1743" i="3"/>
  <c r="I1742" i="3"/>
  <c r="H1742" i="3"/>
  <c r="F1742" i="3"/>
  <c r="E1742" i="3"/>
  <c r="D1742" i="3"/>
  <c r="C1742" i="3"/>
  <c r="B1742" i="3"/>
  <c r="A1742" i="3"/>
  <c r="H1741" i="3"/>
  <c r="I1741" i="3" s="1"/>
  <c r="F1741" i="3"/>
  <c r="E1741" i="3"/>
  <c r="D1741" i="3"/>
  <c r="C1741" i="3"/>
  <c r="B1741" i="3"/>
  <c r="A1741" i="3"/>
  <c r="I1740" i="3"/>
  <c r="F1740" i="3"/>
  <c r="E1740" i="3"/>
  <c r="D1740" i="3"/>
  <c r="H1740" i="3" s="1"/>
  <c r="C1740" i="3"/>
  <c r="B1740" i="3"/>
  <c r="A1740" i="3"/>
  <c r="I1739" i="3"/>
  <c r="F1739" i="3"/>
  <c r="E1739" i="3"/>
  <c r="D1739" i="3"/>
  <c r="H1739" i="3" s="1"/>
  <c r="C1739" i="3"/>
  <c r="B1739" i="3"/>
  <c r="A1739" i="3"/>
  <c r="H1738" i="3"/>
  <c r="I1738" i="3" s="1"/>
  <c r="F1738" i="3"/>
  <c r="E1738" i="3"/>
  <c r="D1738" i="3"/>
  <c r="C1738" i="3"/>
  <c r="B1738" i="3"/>
  <c r="A1738" i="3"/>
  <c r="H1737" i="3"/>
  <c r="I1737" i="3" s="1"/>
  <c r="F1737" i="3"/>
  <c r="E1737" i="3"/>
  <c r="D1737" i="3"/>
  <c r="C1737" i="3"/>
  <c r="B1737" i="3"/>
  <c r="A1737" i="3"/>
  <c r="H1736" i="3"/>
  <c r="I1736" i="3" s="1"/>
  <c r="F1736" i="3"/>
  <c r="E1736" i="3"/>
  <c r="D1736" i="3"/>
  <c r="C1736" i="3"/>
  <c r="B1736" i="3"/>
  <c r="A1736" i="3"/>
  <c r="H1735" i="3"/>
  <c r="I1735" i="3" s="1"/>
  <c r="F1735" i="3"/>
  <c r="E1735" i="3"/>
  <c r="D1735" i="3"/>
  <c r="C1735" i="3"/>
  <c r="B1735" i="3"/>
  <c r="A1735" i="3"/>
  <c r="H1734" i="3"/>
  <c r="I1734" i="3" s="1"/>
  <c r="F1734" i="3"/>
  <c r="E1734" i="3"/>
  <c r="D1734" i="3"/>
  <c r="C1734" i="3"/>
  <c r="B1734" i="3"/>
  <c r="A1734" i="3"/>
  <c r="H1733" i="3"/>
  <c r="I1733" i="3" s="1"/>
  <c r="F1733" i="3"/>
  <c r="E1733" i="3"/>
  <c r="D1733" i="3"/>
  <c r="C1733" i="3"/>
  <c r="B1733" i="3"/>
  <c r="A1733" i="3"/>
  <c r="I1732" i="3"/>
  <c r="F1732" i="3"/>
  <c r="E1732" i="3"/>
  <c r="D1732" i="3"/>
  <c r="H1732" i="3" s="1"/>
  <c r="C1732" i="3"/>
  <c r="B1732" i="3"/>
  <c r="A1732" i="3"/>
  <c r="F1731" i="3"/>
  <c r="E1731" i="3"/>
  <c r="D1731" i="3"/>
  <c r="H1731" i="3" s="1"/>
  <c r="I1731" i="3" s="1"/>
  <c r="C1731" i="3"/>
  <c r="B1731" i="3"/>
  <c r="A1731" i="3"/>
  <c r="F1730" i="3"/>
  <c r="E1730" i="3"/>
  <c r="D1730" i="3"/>
  <c r="H1730" i="3" s="1"/>
  <c r="I1730" i="3" s="1"/>
  <c r="C1730" i="3"/>
  <c r="B1730" i="3"/>
  <c r="A1730" i="3"/>
  <c r="F1729" i="3"/>
  <c r="E1729" i="3"/>
  <c r="D1729" i="3"/>
  <c r="H1729" i="3" s="1"/>
  <c r="I1729" i="3" s="1"/>
  <c r="C1729" i="3"/>
  <c r="B1729" i="3"/>
  <c r="A1729" i="3"/>
  <c r="H1728" i="3"/>
  <c r="F1728" i="3"/>
  <c r="E1728" i="3"/>
  <c r="D1728" i="3"/>
  <c r="C1728" i="3"/>
  <c r="B1728" i="3"/>
  <c r="A1728" i="3"/>
  <c r="H1727" i="3"/>
  <c r="I1727" i="3" s="1"/>
  <c r="F1727" i="3"/>
  <c r="E1727" i="3"/>
  <c r="D1727" i="3"/>
  <c r="C1727" i="3"/>
  <c r="B1727" i="3"/>
  <c r="A1727" i="3"/>
  <c r="F1726" i="3"/>
  <c r="E1726" i="3"/>
  <c r="D1726" i="3"/>
  <c r="H1726" i="3" s="1"/>
  <c r="I1726" i="3" s="1"/>
  <c r="C1726" i="3"/>
  <c r="B1726" i="3"/>
  <c r="A1726" i="3"/>
  <c r="F1725" i="3"/>
  <c r="E1725" i="3"/>
  <c r="D1725" i="3"/>
  <c r="H1725" i="3" s="1"/>
  <c r="I1725" i="3" s="1"/>
  <c r="C1725" i="3"/>
  <c r="B1725" i="3"/>
  <c r="A1725" i="3"/>
  <c r="F1724" i="3"/>
  <c r="E1724" i="3"/>
  <c r="D1724" i="3"/>
  <c r="H1724" i="3" s="1"/>
  <c r="I1724" i="3" s="1"/>
  <c r="C1724" i="3"/>
  <c r="B1724" i="3"/>
  <c r="A1724" i="3"/>
  <c r="F1723" i="3"/>
  <c r="E1723" i="3"/>
  <c r="D1723" i="3"/>
  <c r="H1723" i="3" s="1"/>
  <c r="I1723" i="3" s="1"/>
  <c r="C1723" i="3"/>
  <c r="B1723" i="3"/>
  <c r="A1723" i="3"/>
  <c r="F1722" i="3"/>
  <c r="E1722" i="3"/>
  <c r="D1722" i="3"/>
  <c r="H1722" i="3" s="1"/>
  <c r="I1722" i="3" s="1"/>
  <c r="C1722" i="3"/>
  <c r="B1722" i="3"/>
  <c r="A1722" i="3"/>
  <c r="F1721" i="3"/>
  <c r="E1721" i="3"/>
  <c r="D1721" i="3"/>
  <c r="H1721" i="3" s="1"/>
  <c r="I1721" i="3" s="1"/>
  <c r="C1721" i="3"/>
  <c r="B1721" i="3"/>
  <c r="A1721" i="3"/>
  <c r="H1720" i="3"/>
  <c r="F1720" i="3"/>
  <c r="E1720" i="3"/>
  <c r="D1720" i="3"/>
  <c r="C1720" i="3"/>
  <c r="B1720" i="3"/>
  <c r="A1720" i="3"/>
  <c r="H1719" i="3"/>
  <c r="F1719" i="3"/>
  <c r="E1719" i="3"/>
  <c r="D1719" i="3"/>
  <c r="C1719" i="3"/>
  <c r="I1719" i="3" s="1"/>
  <c r="B1719" i="3"/>
  <c r="A1719" i="3"/>
  <c r="F1718" i="3"/>
  <c r="E1718" i="3"/>
  <c r="D1718" i="3"/>
  <c r="H1718" i="3" s="1"/>
  <c r="I1718" i="3" s="1"/>
  <c r="C1718" i="3"/>
  <c r="B1718" i="3"/>
  <c r="A1718" i="3"/>
  <c r="I1717" i="3"/>
  <c r="F1717" i="3"/>
  <c r="E1717" i="3"/>
  <c r="D1717" i="3"/>
  <c r="H1717" i="3" s="1"/>
  <c r="C1717" i="3"/>
  <c r="B1717" i="3"/>
  <c r="A1717" i="3"/>
  <c r="F1716" i="3"/>
  <c r="E1716" i="3"/>
  <c r="D1716" i="3"/>
  <c r="H1716" i="3" s="1"/>
  <c r="I1716" i="3" s="1"/>
  <c r="C1716" i="3"/>
  <c r="B1716" i="3"/>
  <c r="A1716" i="3"/>
  <c r="I1715" i="3"/>
  <c r="F1715" i="3"/>
  <c r="E1715" i="3"/>
  <c r="D1715" i="3"/>
  <c r="H1715" i="3" s="1"/>
  <c r="C1715" i="3"/>
  <c r="B1715" i="3"/>
  <c r="A1715" i="3"/>
  <c r="H1714" i="3"/>
  <c r="I1714" i="3" s="1"/>
  <c r="F1714" i="3"/>
  <c r="E1714" i="3"/>
  <c r="D1714" i="3"/>
  <c r="C1714" i="3"/>
  <c r="B1714" i="3"/>
  <c r="A1714" i="3"/>
  <c r="H1713" i="3"/>
  <c r="I1713" i="3" s="1"/>
  <c r="F1713" i="3"/>
  <c r="E1713" i="3"/>
  <c r="D1713" i="3"/>
  <c r="C1713" i="3"/>
  <c r="B1713" i="3"/>
  <c r="A1713" i="3"/>
  <c r="H1712" i="3"/>
  <c r="I1712" i="3" s="1"/>
  <c r="F1712" i="3"/>
  <c r="E1712" i="3"/>
  <c r="D1712" i="3"/>
  <c r="C1712" i="3"/>
  <c r="B1712" i="3"/>
  <c r="A1712" i="3"/>
  <c r="I1711" i="3"/>
  <c r="H1711" i="3"/>
  <c r="F1711" i="3"/>
  <c r="E1711" i="3"/>
  <c r="D1711" i="3"/>
  <c r="C1711" i="3"/>
  <c r="B1711" i="3"/>
  <c r="A1711" i="3"/>
  <c r="F1710" i="3"/>
  <c r="E1710" i="3"/>
  <c r="D1710" i="3"/>
  <c r="H1710" i="3" s="1"/>
  <c r="I1710" i="3" s="1"/>
  <c r="C1710" i="3"/>
  <c r="B1710" i="3"/>
  <c r="A1710" i="3"/>
  <c r="H1709" i="3"/>
  <c r="I1709" i="3" s="1"/>
  <c r="F1709" i="3"/>
  <c r="E1709" i="3"/>
  <c r="D1709" i="3"/>
  <c r="C1709" i="3"/>
  <c r="B1709" i="3"/>
  <c r="A1709" i="3"/>
  <c r="H1708" i="3"/>
  <c r="I1708" i="3" s="1"/>
  <c r="F1708" i="3"/>
  <c r="E1708" i="3"/>
  <c r="D1708" i="3"/>
  <c r="C1708" i="3"/>
  <c r="B1708" i="3"/>
  <c r="A1708" i="3"/>
  <c r="F1707" i="3"/>
  <c r="E1707" i="3"/>
  <c r="D1707" i="3"/>
  <c r="H1707" i="3" s="1"/>
  <c r="C1707" i="3"/>
  <c r="B1707" i="3"/>
  <c r="A1707" i="3"/>
  <c r="H1706" i="3"/>
  <c r="I1706" i="3" s="1"/>
  <c r="F1706" i="3"/>
  <c r="E1706" i="3"/>
  <c r="D1706" i="3"/>
  <c r="C1706" i="3"/>
  <c r="B1706" i="3"/>
  <c r="A1706" i="3"/>
  <c r="F1705" i="3"/>
  <c r="E1705" i="3"/>
  <c r="D1705" i="3"/>
  <c r="H1705" i="3" s="1"/>
  <c r="I1705" i="3" s="1"/>
  <c r="C1705" i="3"/>
  <c r="B1705" i="3"/>
  <c r="A1705" i="3"/>
  <c r="F1704" i="3"/>
  <c r="E1704" i="3"/>
  <c r="D1704" i="3"/>
  <c r="H1704" i="3" s="1"/>
  <c r="I1704" i="3" s="1"/>
  <c r="C1704" i="3"/>
  <c r="B1704" i="3"/>
  <c r="A1704" i="3"/>
  <c r="H1703" i="3"/>
  <c r="I1703" i="3" s="1"/>
  <c r="F1703" i="3"/>
  <c r="E1703" i="3"/>
  <c r="D1703" i="3"/>
  <c r="C1703" i="3"/>
  <c r="B1703" i="3"/>
  <c r="A1703" i="3"/>
  <c r="F1702" i="3"/>
  <c r="E1702" i="3"/>
  <c r="D1702" i="3"/>
  <c r="H1702" i="3" s="1"/>
  <c r="C1702" i="3"/>
  <c r="B1702" i="3"/>
  <c r="A1702" i="3"/>
  <c r="H1701" i="3"/>
  <c r="I1701" i="3" s="1"/>
  <c r="F1701" i="3"/>
  <c r="E1701" i="3"/>
  <c r="D1701" i="3"/>
  <c r="C1701" i="3"/>
  <c r="B1701" i="3"/>
  <c r="A1701" i="3"/>
  <c r="H1700" i="3"/>
  <c r="I1700" i="3" s="1"/>
  <c r="F1700" i="3"/>
  <c r="E1700" i="3"/>
  <c r="D1700" i="3"/>
  <c r="C1700" i="3"/>
  <c r="B1700" i="3"/>
  <c r="A1700" i="3"/>
  <c r="F1699" i="3"/>
  <c r="E1699" i="3"/>
  <c r="D1699" i="3"/>
  <c r="H1699" i="3" s="1"/>
  <c r="I1699" i="3" s="1"/>
  <c r="C1699" i="3"/>
  <c r="B1699" i="3"/>
  <c r="A1699" i="3"/>
  <c r="H1698" i="3"/>
  <c r="I1698" i="3" s="1"/>
  <c r="F1698" i="3"/>
  <c r="E1698" i="3"/>
  <c r="D1698" i="3"/>
  <c r="C1698" i="3"/>
  <c r="B1698" i="3"/>
  <c r="A1698" i="3"/>
  <c r="I1697" i="3"/>
  <c r="F1697" i="3"/>
  <c r="E1697" i="3"/>
  <c r="D1697" i="3"/>
  <c r="H1697" i="3" s="1"/>
  <c r="C1697" i="3"/>
  <c r="B1697" i="3"/>
  <c r="A1697" i="3"/>
  <c r="F1696" i="3"/>
  <c r="E1696" i="3"/>
  <c r="D1696" i="3"/>
  <c r="H1696" i="3" s="1"/>
  <c r="I1696" i="3" s="1"/>
  <c r="C1696" i="3"/>
  <c r="B1696" i="3"/>
  <c r="A1696" i="3"/>
  <c r="H1695" i="3"/>
  <c r="I1695" i="3" s="1"/>
  <c r="F1695" i="3"/>
  <c r="E1695" i="3"/>
  <c r="D1695" i="3"/>
  <c r="C1695" i="3"/>
  <c r="B1695" i="3"/>
  <c r="A1695" i="3"/>
  <c r="F1694" i="3"/>
  <c r="E1694" i="3"/>
  <c r="D1694" i="3"/>
  <c r="H1694" i="3" s="1"/>
  <c r="I1694" i="3" s="1"/>
  <c r="C1694" i="3"/>
  <c r="B1694" i="3"/>
  <c r="A1694" i="3"/>
  <c r="H1693" i="3"/>
  <c r="I1693" i="3" s="1"/>
  <c r="F1693" i="3"/>
  <c r="E1693" i="3"/>
  <c r="D1693" i="3"/>
  <c r="C1693" i="3"/>
  <c r="B1693" i="3"/>
  <c r="A1693" i="3"/>
  <c r="H1692" i="3"/>
  <c r="I1692" i="3" s="1"/>
  <c r="F1692" i="3"/>
  <c r="E1692" i="3"/>
  <c r="D1692" i="3"/>
  <c r="C1692" i="3"/>
  <c r="B1692" i="3"/>
  <c r="A1692" i="3"/>
  <c r="F1691" i="3"/>
  <c r="E1691" i="3"/>
  <c r="D1691" i="3"/>
  <c r="H1691" i="3" s="1"/>
  <c r="C1691" i="3"/>
  <c r="B1691" i="3"/>
  <c r="A1691" i="3"/>
  <c r="H1690" i="3"/>
  <c r="I1690" i="3" s="1"/>
  <c r="F1690" i="3"/>
  <c r="E1690" i="3"/>
  <c r="D1690" i="3"/>
  <c r="C1690" i="3"/>
  <c r="B1690" i="3"/>
  <c r="A1690" i="3"/>
  <c r="F1689" i="3"/>
  <c r="E1689" i="3"/>
  <c r="D1689" i="3"/>
  <c r="H1689" i="3" s="1"/>
  <c r="I1689" i="3" s="1"/>
  <c r="C1689" i="3"/>
  <c r="B1689" i="3"/>
  <c r="A1689" i="3"/>
  <c r="F1688" i="3"/>
  <c r="E1688" i="3"/>
  <c r="D1688" i="3"/>
  <c r="H1688" i="3" s="1"/>
  <c r="I1688" i="3" s="1"/>
  <c r="C1688" i="3"/>
  <c r="B1688" i="3"/>
  <c r="A1688" i="3"/>
  <c r="H1687" i="3"/>
  <c r="I1687" i="3" s="1"/>
  <c r="F1687" i="3"/>
  <c r="E1687" i="3"/>
  <c r="D1687" i="3"/>
  <c r="C1687" i="3"/>
  <c r="B1687" i="3"/>
  <c r="A1687" i="3"/>
  <c r="F1686" i="3"/>
  <c r="E1686" i="3"/>
  <c r="D1686" i="3"/>
  <c r="H1686" i="3" s="1"/>
  <c r="C1686" i="3"/>
  <c r="B1686" i="3"/>
  <c r="A1686" i="3"/>
  <c r="H1685" i="3"/>
  <c r="I1685" i="3" s="1"/>
  <c r="F1685" i="3"/>
  <c r="E1685" i="3"/>
  <c r="D1685" i="3"/>
  <c r="C1685" i="3"/>
  <c r="B1685" i="3"/>
  <c r="A1685" i="3"/>
  <c r="R1684" i="3"/>
  <c r="J1684" i="3"/>
  <c r="I1684" i="3"/>
  <c r="H1684" i="3"/>
  <c r="F1684" i="3"/>
  <c r="E1684" i="3"/>
  <c r="D1684" i="3"/>
  <c r="C1684" i="3"/>
  <c r="B1684" i="3"/>
  <c r="A1684" i="3"/>
  <c r="F1683" i="3"/>
  <c r="E1683" i="3"/>
  <c r="D1683" i="3"/>
  <c r="H1683" i="3" s="1"/>
  <c r="I1683" i="3" s="1"/>
  <c r="C1683" i="3"/>
  <c r="B1683" i="3"/>
  <c r="A1683" i="3"/>
  <c r="H1682" i="3"/>
  <c r="I1682" i="3" s="1"/>
  <c r="F1682" i="3"/>
  <c r="E1682" i="3"/>
  <c r="D1682" i="3"/>
  <c r="C1682" i="3"/>
  <c r="B1682" i="3"/>
  <c r="A1682" i="3"/>
  <c r="F1681" i="3"/>
  <c r="E1681" i="3"/>
  <c r="D1681" i="3"/>
  <c r="H1681" i="3" s="1"/>
  <c r="I1681" i="3" s="1"/>
  <c r="C1681" i="3"/>
  <c r="B1681" i="3"/>
  <c r="A1681" i="3"/>
  <c r="F1680" i="3"/>
  <c r="E1680" i="3"/>
  <c r="D1680" i="3"/>
  <c r="H1680" i="3" s="1"/>
  <c r="I1680" i="3" s="1"/>
  <c r="C1680" i="3"/>
  <c r="B1680" i="3"/>
  <c r="A1680" i="3"/>
  <c r="H1679" i="3"/>
  <c r="I1679" i="3" s="1"/>
  <c r="F1679" i="3"/>
  <c r="E1679" i="3"/>
  <c r="D1679" i="3"/>
  <c r="C1679" i="3"/>
  <c r="B1679" i="3"/>
  <c r="A1679" i="3"/>
  <c r="F1678" i="3"/>
  <c r="E1678" i="3"/>
  <c r="D1678" i="3"/>
  <c r="H1678" i="3" s="1"/>
  <c r="I1678" i="3" s="1"/>
  <c r="C1678" i="3"/>
  <c r="B1678" i="3"/>
  <c r="A1678" i="3"/>
  <c r="H1677" i="3"/>
  <c r="I1677" i="3" s="1"/>
  <c r="F1677" i="3"/>
  <c r="E1677" i="3"/>
  <c r="D1677" i="3"/>
  <c r="C1677" i="3"/>
  <c r="B1677" i="3"/>
  <c r="A1677" i="3"/>
  <c r="H1676" i="3"/>
  <c r="F1676" i="3"/>
  <c r="E1676" i="3"/>
  <c r="D1676" i="3"/>
  <c r="C1676" i="3"/>
  <c r="B1676" i="3"/>
  <c r="A1676" i="3"/>
  <c r="F1675" i="3"/>
  <c r="E1675" i="3"/>
  <c r="D1675" i="3"/>
  <c r="H1675" i="3" s="1"/>
  <c r="I1675" i="3" s="1"/>
  <c r="C1675" i="3"/>
  <c r="B1675" i="3"/>
  <c r="A1675" i="3"/>
  <c r="H1674" i="3"/>
  <c r="I1674" i="3" s="1"/>
  <c r="F1674" i="3"/>
  <c r="E1674" i="3"/>
  <c r="D1674" i="3"/>
  <c r="C1674" i="3"/>
  <c r="B1674" i="3"/>
  <c r="A1674" i="3"/>
  <c r="H1673" i="3"/>
  <c r="I1673" i="3" s="1"/>
  <c r="F1673" i="3"/>
  <c r="E1673" i="3"/>
  <c r="D1673" i="3"/>
  <c r="C1673" i="3"/>
  <c r="B1673" i="3"/>
  <c r="A1673" i="3"/>
  <c r="F1672" i="3"/>
  <c r="E1672" i="3"/>
  <c r="D1672" i="3"/>
  <c r="H1672" i="3" s="1"/>
  <c r="I1672" i="3" s="1"/>
  <c r="C1672" i="3"/>
  <c r="B1672" i="3"/>
  <c r="A1672" i="3"/>
  <c r="H1671" i="3"/>
  <c r="I1671" i="3" s="1"/>
  <c r="F1671" i="3"/>
  <c r="E1671" i="3"/>
  <c r="D1671" i="3"/>
  <c r="C1671" i="3"/>
  <c r="B1671" i="3"/>
  <c r="A1671" i="3"/>
  <c r="F1670" i="3"/>
  <c r="E1670" i="3"/>
  <c r="D1670" i="3"/>
  <c r="H1670" i="3" s="1"/>
  <c r="I1670" i="3" s="1"/>
  <c r="C1670" i="3"/>
  <c r="B1670" i="3"/>
  <c r="A1670" i="3"/>
  <c r="F1669" i="3"/>
  <c r="E1669" i="3"/>
  <c r="D1669" i="3"/>
  <c r="H1669" i="3" s="1"/>
  <c r="I1669" i="3" s="1"/>
  <c r="C1669" i="3"/>
  <c r="B1669" i="3"/>
  <c r="A1669" i="3"/>
  <c r="H1668" i="3"/>
  <c r="I1668" i="3" s="1"/>
  <c r="F1668" i="3"/>
  <c r="E1668" i="3"/>
  <c r="D1668" i="3"/>
  <c r="C1668" i="3"/>
  <c r="B1668" i="3"/>
  <c r="A1668" i="3"/>
  <c r="F1667" i="3"/>
  <c r="E1667" i="3"/>
  <c r="D1667" i="3"/>
  <c r="H1667" i="3" s="1"/>
  <c r="C1667" i="3"/>
  <c r="I1667" i="3" s="1"/>
  <c r="B1667" i="3"/>
  <c r="A1667" i="3"/>
  <c r="F1666" i="3"/>
  <c r="E1666" i="3"/>
  <c r="D1666" i="3"/>
  <c r="H1666" i="3" s="1"/>
  <c r="I1666" i="3" s="1"/>
  <c r="C1666" i="3"/>
  <c r="B1666" i="3"/>
  <c r="A1666" i="3"/>
  <c r="F1665" i="3"/>
  <c r="E1665" i="3"/>
  <c r="D1665" i="3"/>
  <c r="H1665" i="3" s="1"/>
  <c r="C1665" i="3"/>
  <c r="B1665" i="3"/>
  <c r="A1665" i="3"/>
  <c r="F1664" i="3"/>
  <c r="E1664" i="3"/>
  <c r="D1664" i="3"/>
  <c r="H1664" i="3" s="1"/>
  <c r="I1664" i="3" s="1"/>
  <c r="C1664" i="3"/>
  <c r="B1664" i="3"/>
  <c r="A1664" i="3"/>
  <c r="I1663" i="3"/>
  <c r="H1663" i="3"/>
  <c r="F1663" i="3"/>
  <c r="E1663" i="3"/>
  <c r="D1663" i="3"/>
  <c r="C1663" i="3"/>
  <c r="B1663" i="3"/>
  <c r="A1663" i="3"/>
  <c r="F1662" i="3"/>
  <c r="E1662" i="3"/>
  <c r="D1662" i="3"/>
  <c r="H1662" i="3" s="1"/>
  <c r="I1662" i="3" s="1"/>
  <c r="C1662" i="3"/>
  <c r="B1662" i="3"/>
  <c r="A1662" i="3"/>
  <c r="F1661" i="3"/>
  <c r="E1661" i="3"/>
  <c r="D1661" i="3"/>
  <c r="H1661" i="3" s="1"/>
  <c r="I1661" i="3" s="1"/>
  <c r="C1661" i="3"/>
  <c r="B1661" i="3"/>
  <c r="A1661" i="3"/>
  <c r="F1660" i="3"/>
  <c r="E1660" i="3"/>
  <c r="D1660" i="3"/>
  <c r="H1660" i="3" s="1"/>
  <c r="I1660" i="3" s="1"/>
  <c r="C1660" i="3"/>
  <c r="B1660" i="3"/>
  <c r="A1660" i="3"/>
  <c r="I1659" i="3"/>
  <c r="H1659" i="3"/>
  <c r="F1659" i="3"/>
  <c r="E1659" i="3"/>
  <c r="D1659" i="3"/>
  <c r="C1659" i="3"/>
  <c r="B1659" i="3"/>
  <c r="A1659" i="3"/>
  <c r="F1658" i="3"/>
  <c r="E1658" i="3"/>
  <c r="D1658" i="3"/>
  <c r="H1658" i="3" s="1"/>
  <c r="I1658" i="3" s="1"/>
  <c r="C1658" i="3"/>
  <c r="B1658" i="3"/>
  <c r="A1658" i="3"/>
  <c r="H1657" i="3"/>
  <c r="I1657" i="3" s="1"/>
  <c r="F1657" i="3"/>
  <c r="E1657" i="3"/>
  <c r="D1657" i="3"/>
  <c r="C1657" i="3"/>
  <c r="B1657" i="3"/>
  <c r="A1657" i="3"/>
  <c r="H1656" i="3"/>
  <c r="I1656" i="3" s="1"/>
  <c r="F1656" i="3"/>
  <c r="E1656" i="3"/>
  <c r="D1656" i="3"/>
  <c r="C1656" i="3"/>
  <c r="B1656" i="3"/>
  <c r="A1656" i="3"/>
  <c r="F1655" i="3"/>
  <c r="E1655" i="3"/>
  <c r="D1655" i="3"/>
  <c r="H1655" i="3" s="1"/>
  <c r="C1655" i="3"/>
  <c r="B1655" i="3"/>
  <c r="A1655" i="3"/>
  <c r="I1654" i="3"/>
  <c r="H1654" i="3"/>
  <c r="F1654" i="3"/>
  <c r="E1654" i="3"/>
  <c r="D1654" i="3"/>
  <c r="C1654" i="3"/>
  <c r="B1654" i="3"/>
  <c r="A1654" i="3"/>
  <c r="F1653" i="3"/>
  <c r="E1653" i="3"/>
  <c r="D1653" i="3"/>
  <c r="H1653" i="3" s="1"/>
  <c r="I1653" i="3" s="1"/>
  <c r="C1653" i="3"/>
  <c r="B1653" i="3"/>
  <c r="A1653" i="3"/>
  <c r="F1652" i="3"/>
  <c r="E1652" i="3"/>
  <c r="D1652" i="3"/>
  <c r="H1652" i="3" s="1"/>
  <c r="I1652" i="3" s="1"/>
  <c r="C1652" i="3"/>
  <c r="B1652" i="3"/>
  <c r="A1652" i="3"/>
  <c r="I1651" i="3"/>
  <c r="H1651" i="3"/>
  <c r="F1651" i="3"/>
  <c r="E1651" i="3"/>
  <c r="D1651" i="3"/>
  <c r="C1651" i="3"/>
  <c r="B1651" i="3"/>
  <c r="A1651" i="3"/>
  <c r="F1650" i="3"/>
  <c r="E1650" i="3"/>
  <c r="D1650" i="3"/>
  <c r="H1650" i="3" s="1"/>
  <c r="I1650" i="3" s="1"/>
  <c r="C1650" i="3"/>
  <c r="B1650" i="3"/>
  <c r="A1650" i="3"/>
  <c r="H1649" i="3"/>
  <c r="I1649" i="3" s="1"/>
  <c r="F1649" i="3"/>
  <c r="E1649" i="3"/>
  <c r="D1649" i="3"/>
  <c r="C1649" i="3"/>
  <c r="B1649" i="3"/>
  <c r="A1649" i="3"/>
  <c r="H1648" i="3"/>
  <c r="I1648" i="3" s="1"/>
  <c r="F1648" i="3"/>
  <c r="E1648" i="3"/>
  <c r="D1648" i="3"/>
  <c r="C1648" i="3"/>
  <c r="B1648" i="3"/>
  <c r="A1648" i="3"/>
  <c r="F1647" i="3"/>
  <c r="E1647" i="3"/>
  <c r="D1647" i="3"/>
  <c r="H1647" i="3" s="1"/>
  <c r="I1647" i="3" s="1"/>
  <c r="C1647" i="3"/>
  <c r="B1647" i="3"/>
  <c r="A1647" i="3"/>
  <c r="I1646" i="3"/>
  <c r="H1646" i="3"/>
  <c r="F1646" i="3"/>
  <c r="E1646" i="3"/>
  <c r="D1646" i="3"/>
  <c r="C1646" i="3"/>
  <c r="B1646" i="3"/>
  <c r="A1646" i="3"/>
  <c r="I1645" i="3"/>
  <c r="F1645" i="3"/>
  <c r="E1645" i="3"/>
  <c r="D1645" i="3"/>
  <c r="H1645" i="3" s="1"/>
  <c r="C1645" i="3"/>
  <c r="B1645" i="3"/>
  <c r="A1645" i="3"/>
  <c r="F1644" i="3"/>
  <c r="E1644" i="3"/>
  <c r="D1644" i="3"/>
  <c r="H1644" i="3" s="1"/>
  <c r="I1644" i="3" s="1"/>
  <c r="C1644" i="3"/>
  <c r="B1644" i="3"/>
  <c r="A1644" i="3"/>
  <c r="I1643" i="3"/>
  <c r="H1643" i="3"/>
  <c r="F1643" i="3"/>
  <c r="E1643" i="3"/>
  <c r="D1643" i="3"/>
  <c r="C1643" i="3"/>
  <c r="B1643" i="3"/>
  <c r="A1643" i="3"/>
  <c r="F1642" i="3"/>
  <c r="E1642" i="3"/>
  <c r="D1642" i="3"/>
  <c r="H1642" i="3" s="1"/>
  <c r="I1642" i="3" s="1"/>
  <c r="C1642" i="3"/>
  <c r="B1642" i="3"/>
  <c r="A1642" i="3"/>
  <c r="H1641" i="3"/>
  <c r="I1641" i="3" s="1"/>
  <c r="F1641" i="3"/>
  <c r="E1641" i="3"/>
  <c r="D1641" i="3"/>
  <c r="C1641" i="3"/>
  <c r="B1641" i="3"/>
  <c r="A1641" i="3"/>
  <c r="H1640" i="3"/>
  <c r="I1640" i="3" s="1"/>
  <c r="F1640" i="3"/>
  <c r="E1640" i="3"/>
  <c r="D1640" i="3"/>
  <c r="C1640" i="3"/>
  <c r="B1640" i="3"/>
  <c r="A1640" i="3"/>
  <c r="F1639" i="3"/>
  <c r="E1639" i="3"/>
  <c r="D1639" i="3"/>
  <c r="H1639" i="3" s="1"/>
  <c r="I1639" i="3" s="1"/>
  <c r="C1639" i="3"/>
  <c r="B1639" i="3"/>
  <c r="A1639" i="3"/>
  <c r="I1638" i="3"/>
  <c r="H1638" i="3"/>
  <c r="F1638" i="3"/>
  <c r="E1638" i="3"/>
  <c r="D1638" i="3"/>
  <c r="C1638" i="3"/>
  <c r="B1638" i="3"/>
  <c r="A1638" i="3"/>
  <c r="I1637" i="3"/>
  <c r="F1637" i="3"/>
  <c r="E1637" i="3"/>
  <c r="D1637" i="3"/>
  <c r="H1637" i="3" s="1"/>
  <c r="C1637" i="3"/>
  <c r="B1637" i="3"/>
  <c r="A1637" i="3"/>
  <c r="F1636" i="3"/>
  <c r="E1636" i="3"/>
  <c r="D1636" i="3"/>
  <c r="H1636" i="3" s="1"/>
  <c r="I1636" i="3" s="1"/>
  <c r="C1636" i="3"/>
  <c r="B1636" i="3"/>
  <c r="A1636" i="3"/>
  <c r="I1635" i="3"/>
  <c r="H1635" i="3"/>
  <c r="F1635" i="3"/>
  <c r="E1635" i="3"/>
  <c r="D1635" i="3"/>
  <c r="C1635" i="3"/>
  <c r="B1635" i="3"/>
  <c r="A1635" i="3"/>
  <c r="F1634" i="3"/>
  <c r="E1634" i="3"/>
  <c r="D1634" i="3"/>
  <c r="H1634" i="3" s="1"/>
  <c r="I1634" i="3" s="1"/>
  <c r="C1634" i="3"/>
  <c r="B1634" i="3"/>
  <c r="A1634" i="3"/>
  <c r="H1633" i="3"/>
  <c r="I1633" i="3" s="1"/>
  <c r="F1633" i="3"/>
  <c r="E1633" i="3"/>
  <c r="D1633" i="3"/>
  <c r="C1633" i="3"/>
  <c r="B1633" i="3"/>
  <c r="A1633" i="3"/>
  <c r="H1632" i="3"/>
  <c r="I1632" i="3" s="1"/>
  <c r="F1632" i="3"/>
  <c r="E1632" i="3"/>
  <c r="D1632" i="3"/>
  <c r="C1632" i="3"/>
  <c r="B1632" i="3"/>
  <c r="A1632" i="3"/>
  <c r="F1631" i="3"/>
  <c r="E1631" i="3"/>
  <c r="D1631" i="3"/>
  <c r="H1631" i="3" s="1"/>
  <c r="I1631" i="3" s="1"/>
  <c r="C1631" i="3"/>
  <c r="B1631" i="3"/>
  <c r="A1631" i="3"/>
  <c r="I1630" i="3"/>
  <c r="H1630" i="3"/>
  <c r="F1630" i="3"/>
  <c r="E1630" i="3"/>
  <c r="D1630" i="3"/>
  <c r="C1630" i="3"/>
  <c r="B1630" i="3"/>
  <c r="A1630" i="3"/>
  <c r="I1629" i="3"/>
  <c r="F1629" i="3"/>
  <c r="E1629" i="3"/>
  <c r="D1629" i="3"/>
  <c r="H1629" i="3" s="1"/>
  <c r="C1629" i="3"/>
  <c r="B1629" i="3"/>
  <c r="A1629" i="3"/>
  <c r="F1628" i="3"/>
  <c r="E1628" i="3"/>
  <c r="D1628" i="3"/>
  <c r="H1628" i="3" s="1"/>
  <c r="I1628" i="3" s="1"/>
  <c r="C1628" i="3"/>
  <c r="B1628" i="3"/>
  <c r="A1628" i="3"/>
  <c r="I1627" i="3"/>
  <c r="H1627" i="3"/>
  <c r="F1627" i="3"/>
  <c r="E1627" i="3"/>
  <c r="D1627" i="3"/>
  <c r="C1627" i="3"/>
  <c r="B1627" i="3"/>
  <c r="A1627" i="3"/>
  <c r="F1626" i="3"/>
  <c r="E1626" i="3"/>
  <c r="D1626" i="3"/>
  <c r="H1626" i="3" s="1"/>
  <c r="I1626" i="3" s="1"/>
  <c r="C1626" i="3"/>
  <c r="B1626" i="3"/>
  <c r="A1626" i="3"/>
  <c r="H1625" i="3"/>
  <c r="I1625" i="3" s="1"/>
  <c r="F1625" i="3"/>
  <c r="E1625" i="3"/>
  <c r="D1625" i="3"/>
  <c r="C1625" i="3"/>
  <c r="B1625" i="3"/>
  <c r="A1625" i="3"/>
  <c r="H1624" i="3"/>
  <c r="I1624" i="3" s="1"/>
  <c r="F1624" i="3"/>
  <c r="E1624" i="3"/>
  <c r="D1624" i="3"/>
  <c r="C1624" i="3"/>
  <c r="B1624" i="3"/>
  <c r="A1624" i="3"/>
  <c r="F1623" i="3"/>
  <c r="E1623" i="3"/>
  <c r="D1623" i="3"/>
  <c r="H1623" i="3" s="1"/>
  <c r="C1623" i="3"/>
  <c r="B1623" i="3"/>
  <c r="A1623" i="3"/>
  <c r="I1622" i="3"/>
  <c r="H1622" i="3"/>
  <c r="F1622" i="3"/>
  <c r="E1622" i="3"/>
  <c r="D1622" i="3"/>
  <c r="C1622" i="3"/>
  <c r="B1622" i="3"/>
  <c r="A1622" i="3"/>
  <c r="F1621" i="3"/>
  <c r="E1621" i="3"/>
  <c r="D1621" i="3"/>
  <c r="H1621" i="3" s="1"/>
  <c r="I1621" i="3" s="1"/>
  <c r="C1621" i="3"/>
  <c r="B1621" i="3"/>
  <c r="A1621" i="3"/>
  <c r="F1620" i="3"/>
  <c r="E1620" i="3"/>
  <c r="D1620" i="3"/>
  <c r="H1620" i="3" s="1"/>
  <c r="I1620" i="3" s="1"/>
  <c r="C1620" i="3"/>
  <c r="B1620" i="3"/>
  <c r="A1620" i="3"/>
  <c r="I1619" i="3"/>
  <c r="H1619" i="3"/>
  <c r="F1619" i="3"/>
  <c r="E1619" i="3"/>
  <c r="D1619" i="3"/>
  <c r="C1619" i="3"/>
  <c r="B1619" i="3"/>
  <c r="A1619" i="3"/>
  <c r="F1618" i="3"/>
  <c r="E1618" i="3"/>
  <c r="D1618" i="3"/>
  <c r="H1618" i="3" s="1"/>
  <c r="I1618" i="3" s="1"/>
  <c r="C1618" i="3"/>
  <c r="B1618" i="3"/>
  <c r="A1618" i="3"/>
  <c r="H1617" i="3"/>
  <c r="I1617" i="3" s="1"/>
  <c r="F1617" i="3"/>
  <c r="E1617" i="3"/>
  <c r="D1617" i="3"/>
  <c r="C1617" i="3"/>
  <c r="B1617" i="3"/>
  <c r="A1617" i="3"/>
  <c r="H1616" i="3"/>
  <c r="I1616" i="3" s="1"/>
  <c r="F1616" i="3"/>
  <c r="E1616" i="3"/>
  <c r="D1616" i="3"/>
  <c r="C1616" i="3"/>
  <c r="B1616" i="3"/>
  <c r="A1616" i="3"/>
  <c r="F1615" i="3"/>
  <c r="E1615" i="3"/>
  <c r="D1615" i="3"/>
  <c r="H1615" i="3" s="1"/>
  <c r="C1615" i="3"/>
  <c r="B1615" i="3"/>
  <c r="A1615" i="3"/>
  <c r="I1614" i="3"/>
  <c r="H1614" i="3"/>
  <c r="F1614" i="3"/>
  <c r="E1614" i="3"/>
  <c r="D1614" i="3"/>
  <c r="C1614" i="3"/>
  <c r="B1614" i="3"/>
  <c r="A1614" i="3"/>
  <c r="F1613" i="3"/>
  <c r="E1613" i="3"/>
  <c r="D1613" i="3"/>
  <c r="H1613" i="3" s="1"/>
  <c r="I1613" i="3" s="1"/>
  <c r="C1613" i="3"/>
  <c r="B1613" i="3"/>
  <c r="A1613" i="3"/>
  <c r="F1612" i="3"/>
  <c r="E1612" i="3"/>
  <c r="D1612" i="3"/>
  <c r="H1612" i="3" s="1"/>
  <c r="I1612" i="3" s="1"/>
  <c r="C1612" i="3"/>
  <c r="B1612" i="3"/>
  <c r="A1612" i="3"/>
  <c r="I1611" i="3"/>
  <c r="H1611" i="3"/>
  <c r="F1611" i="3"/>
  <c r="E1611" i="3"/>
  <c r="D1611" i="3"/>
  <c r="C1611" i="3"/>
  <c r="B1611" i="3"/>
  <c r="A1611" i="3"/>
  <c r="F1610" i="3"/>
  <c r="E1610" i="3"/>
  <c r="D1610" i="3"/>
  <c r="H1610" i="3" s="1"/>
  <c r="I1610" i="3" s="1"/>
  <c r="C1610" i="3"/>
  <c r="B1610" i="3"/>
  <c r="A1610" i="3"/>
  <c r="H1609" i="3"/>
  <c r="I1609" i="3" s="1"/>
  <c r="F1609" i="3"/>
  <c r="E1609" i="3"/>
  <c r="D1609" i="3"/>
  <c r="C1609" i="3"/>
  <c r="B1609" i="3"/>
  <c r="A1609" i="3"/>
  <c r="H1608" i="3"/>
  <c r="F1608" i="3"/>
  <c r="E1608" i="3"/>
  <c r="D1608" i="3"/>
  <c r="C1608" i="3"/>
  <c r="B1608" i="3"/>
  <c r="A1608" i="3"/>
  <c r="F1607" i="3"/>
  <c r="E1607" i="3"/>
  <c r="D1607" i="3"/>
  <c r="H1607" i="3" s="1"/>
  <c r="I1607" i="3" s="1"/>
  <c r="C1607" i="3"/>
  <c r="B1607" i="3"/>
  <c r="A1607" i="3"/>
  <c r="I1606" i="3"/>
  <c r="H1606" i="3"/>
  <c r="F1606" i="3"/>
  <c r="E1606" i="3"/>
  <c r="D1606" i="3"/>
  <c r="C1606" i="3"/>
  <c r="B1606" i="3"/>
  <c r="A1606" i="3"/>
  <c r="I1605" i="3"/>
  <c r="F1605" i="3"/>
  <c r="E1605" i="3"/>
  <c r="D1605" i="3"/>
  <c r="H1605" i="3" s="1"/>
  <c r="C1605" i="3"/>
  <c r="B1605" i="3"/>
  <c r="A1605" i="3"/>
  <c r="F1604" i="3"/>
  <c r="E1604" i="3"/>
  <c r="D1604" i="3"/>
  <c r="H1604" i="3" s="1"/>
  <c r="I1604" i="3" s="1"/>
  <c r="C1604" i="3"/>
  <c r="B1604" i="3"/>
  <c r="A1604" i="3"/>
  <c r="I1603" i="3"/>
  <c r="H1603" i="3"/>
  <c r="F1603" i="3"/>
  <c r="E1603" i="3"/>
  <c r="D1603" i="3"/>
  <c r="C1603" i="3"/>
  <c r="B1603" i="3"/>
  <c r="A1603" i="3"/>
  <c r="F1602" i="3"/>
  <c r="E1602" i="3"/>
  <c r="D1602" i="3"/>
  <c r="H1602" i="3" s="1"/>
  <c r="I1602" i="3" s="1"/>
  <c r="C1602" i="3"/>
  <c r="B1602" i="3"/>
  <c r="A1602" i="3"/>
  <c r="H1601" i="3"/>
  <c r="I1601" i="3" s="1"/>
  <c r="F1601" i="3"/>
  <c r="E1601" i="3"/>
  <c r="D1601" i="3"/>
  <c r="C1601" i="3"/>
  <c r="B1601" i="3"/>
  <c r="A1601" i="3"/>
  <c r="H1600" i="3"/>
  <c r="I1600" i="3" s="1"/>
  <c r="F1600" i="3"/>
  <c r="E1600" i="3"/>
  <c r="D1600" i="3"/>
  <c r="C1600" i="3"/>
  <c r="B1600" i="3"/>
  <c r="A1600" i="3"/>
  <c r="F1599" i="3"/>
  <c r="E1599" i="3"/>
  <c r="D1599" i="3"/>
  <c r="H1599" i="3" s="1"/>
  <c r="C1599" i="3"/>
  <c r="B1599" i="3"/>
  <c r="A1599" i="3"/>
  <c r="I1598" i="3"/>
  <c r="H1598" i="3"/>
  <c r="F1598" i="3"/>
  <c r="E1598" i="3"/>
  <c r="D1598" i="3"/>
  <c r="C1598" i="3"/>
  <c r="B1598" i="3"/>
  <c r="A1598" i="3"/>
  <c r="F1597" i="3"/>
  <c r="E1597" i="3"/>
  <c r="D1597" i="3"/>
  <c r="H1597" i="3" s="1"/>
  <c r="I1597" i="3" s="1"/>
  <c r="C1597" i="3"/>
  <c r="B1597" i="3"/>
  <c r="A1597" i="3"/>
  <c r="F1596" i="3"/>
  <c r="E1596" i="3"/>
  <c r="D1596" i="3"/>
  <c r="H1596" i="3" s="1"/>
  <c r="I1596" i="3" s="1"/>
  <c r="C1596" i="3"/>
  <c r="B1596" i="3"/>
  <c r="A1596" i="3"/>
  <c r="I1595" i="3"/>
  <c r="H1595" i="3"/>
  <c r="F1595" i="3"/>
  <c r="E1595" i="3"/>
  <c r="D1595" i="3"/>
  <c r="C1595" i="3"/>
  <c r="B1595" i="3"/>
  <c r="A1595" i="3"/>
  <c r="F1594" i="3"/>
  <c r="E1594" i="3"/>
  <c r="D1594" i="3"/>
  <c r="H1594" i="3" s="1"/>
  <c r="I1594" i="3" s="1"/>
  <c r="C1594" i="3"/>
  <c r="B1594" i="3"/>
  <c r="A1594" i="3"/>
  <c r="H1593" i="3"/>
  <c r="I1593" i="3" s="1"/>
  <c r="F1593" i="3"/>
  <c r="E1593" i="3"/>
  <c r="D1593" i="3"/>
  <c r="C1593" i="3"/>
  <c r="B1593" i="3"/>
  <c r="A1593" i="3"/>
  <c r="H1592" i="3"/>
  <c r="I1592" i="3" s="1"/>
  <c r="F1592" i="3"/>
  <c r="E1592" i="3"/>
  <c r="D1592" i="3"/>
  <c r="C1592" i="3"/>
  <c r="B1592" i="3"/>
  <c r="A1592" i="3"/>
  <c r="F1591" i="3"/>
  <c r="E1591" i="3"/>
  <c r="D1591" i="3"/>
  <c r="H1591" i="3" s="1"/>
  <c r="I1591" i="3" s="1"/>
  <c r="C1591" i="3"/>
  <c r="B1591" i="3"/>
  <c r="A1591" i="3"/>
  <c r="I1590" i="3"/>
  <c r="H1590" i="3"/>
  <c r="F1590" i="3"/>
  <c r="E1590" i="3"/>
  <c r="D1590" i="3"/>
  <c r="C1590" i="3"/>
  <c r="B1590" i="3"/>
  <c r="A1590" i="3"/>
  <c r="F1589" i="3"/>
  <c r="E1589" i="3"/>
  <c r="D1589" i="3"/>
  <c r="H1589" i="3" s="1"/>
  <c r="I1589" i="3" s="1"/>
  <c r="C1589" i="3"/>
  <c r="B1589" i="3"/>
  <c r="A1589" i="3"/>
  <c r="F1588" i="3"/>
  <c r="E1588" i="3"/>
  <c r="D1588" i="3"/>
  <c r="H1588" i="3" s="1"/>
  <c r="I1588" i="3" s="1"/>
  <c r="C1588" i="3"/>
  <c r="B1588" i="3"/>
  <c r="A1588" i="3"/>
  <c r="I1587" i="3"/>
  <c r="H1587" i="3"/>
  <c r="F1587" i="3"/>
  <c r="E1587" i="3"/>
  <c r="D1587" i="3"/>
  <c r="C1587" i="3"/>
  <c r="B1587" i="3"/>
  <c r="A1587" i="3"/>
  <c r="I1586" i="3"/>
  <c r="F1586" i="3"/>
  <c r="E1586" i="3"/>
  <c r="D1586" i="3"/>
  <c r="H1586" i="3" s="1"/>
  <c r="C1586" i="3"/>
  <c r="B1586" i="3"/>
  <c r="A1586" i="3"/>
  <c r="F1585" i="3"/>
  <c r="E1585" i="3"/>
  <c r="D1585" i="3"/>
  <c r="H1585" i="3" s="1"/>
  <c r="I1585" i="3" s="1"/>
  <c r="C1585" i="3"/>
  <c r="B1585" i="3"/>
  <c r="A1585" i="3"/>
  <c r="H1584" i="3"/>
  <c r="I1584" i="3" s="1"/>
  <c r="F1584" i="3"/>
  <c r="E1584" i="3"/>
  <c r="D1584" i="3"/>
  <c r="C1584" i="3"/>
  <c r="B1584" i="3"/>
  <c r="A1584" i="3"/>
  <c r="F1583" i="3"/>
  <c r="E1583" i="3"/>
  <c r="D1583" i="3"/>
  <c r="H1583" i="3" s="1"/>
  <c r="C1583" i="3"/>
  <c r="B1583" i="3"/>
  <c r="A1583" i="3"/>
  <c r="I1582" i="3"/>
  <c r="H1582" i="3"/>
  <c r="F1582" i="3"/>
  <c r="E1582" i="3"/>
  <c r="D1582" i="3"/>
  <c r="C1582" i="3"/>
  <c r="B1582" i="3"/>
  <c r="A1582" i="3"/>
  <c r="H1581" i="3"/>
  <c r="I1581" i="3" s="1"/>
  <c r="F1581" i="3"/>
  <c r="E1581" i="3"/>
  <c r="D1581" i="3"/>
  <c r="C1581" i="3"/>
  <c r="B1581" i="3"/>
  <c r="A1581" i="3"/>
  <c r="F1580" i="3"/>
  <c r="E1580" i="3"/>
  <c r="D1580" i="3"/>
  <c r="H1580" i="3" s="1"/>
  <c r="I1580" i="3" s="1"/>
  <c r="C1580" i="3"/>
  <c r="B1580" i="3"/>
  <c r="A1580" i="3"/>
  <c r="I1579" i="3"/>
  <c r="H1579" i="3"/>
  <c r="F1579" i="3"/>
  <c r="E1579" i="3"/>
  <c r="D1579" i="3"/>
  <c r="C1579" i="3"/>
  <c r="B1579" i="3"/>
  <c r="A1579" i="3"/>
  <c r="F1578" i="3"/>
  <c r="E1578" i="3"/>
  <c r="D1578" i="3"/>
  <c r="H1578" i="3" s="1"/>
  <c r="I1578" i="3" s="1"/>
  <c r="C1578" i="3"/>
  <c r="B1578" i="3"/>
  <c r="A1578" i="3"/>
  <c r="F1577" i="3"/>
  <c r="E1577" i="3"/>
  <c r="D1577" i="3"/>
  <c r="H1577" i="3" s="1"/>
  <c r="I1577" i="3" s="1"/>
  <c r="C1577" i="3"/>
  <c r="B1577" i="3"/>
  <c r="A1577" i="3"/>
  <c r="H1576" i="3"/>
  <c r="I1576" i="3" s="1"/>
  <c r="F1576" i="3"/>
  <c r="E1576" i="3"/>
  <c r="D1576" i="3"/>
  <c r="C1576" i="3"/>
  <c r="B1576" i="3"/>
  <c r="A1576" i="3"/>
  <c r="F1575" i="3"/>
  <c r="E1575" i="3"/>
  <c r="D1575" i="3"/>
  <c r="H1575" i="3" s="1"/>
  <c r="C1575" i="3"/>
  <c r="B1575" i="3"/>
  <c r="A1575" i="3"/>
  <c r="I1574" i="3"/>
  <c r="H1574" i="3"/>
  <c r="F1574" i="3"/>
  <c r="E1574" i="3"/>
  <c r="D1574" i="3"/>
  <c r="C1574" i="3"/>
  <c r="B1574" i="3"/>
  <c r="A1574" i="3"/>
  <c r="H1573" i="3"/>
  <c r="I1573" i="3" s="1"/>
  <c r="F1573" i="3"/>
  <c r="E1573" i="3"/>
  <c r="D1573" i="3"/>
  <c r="C1573" i="3"/>
  <c r="B1573" i="3"/>
  <c r="A1573" i="3"/>
  <c r="F1572" i="3"/>
  <c r="E1572" i="3"/>
  <c r="D1572" i="3"/>
  <c r="H1572" i="3" s="1"/>
  <c r="C1572" i="3"/>
  <c r="B1572" i="3"/>
  <c r="A1572" i="3"/>
  <c r="I1571" i="3"/>
  <c r="H1571" i="3"/>
  <c r="F1571" i="3"/>
  <c r="E1571" i="3"/>
  <c r="D1571" i="3"/>
  <c r="C1571" i="3"/>
  <c r="B1571" i="3"/>
  <c r="A1571" i="3"/>
  <c r="F1570" i="3"/>
  <c r="E1570" i="3"/>
  <c r="D1570" i="3"/>
  <c r="H1570" i="3" s="1"/>
  <c r="I1570" i="3" s="1"/>
  <c r="C1570" i="3"/>
  <c r="B1570" i="3"/>
  <c r="A1570" i="3"/>
  <c r="F1569" i="3"/>
  <c r="E1569" i="3"/>
  <c r="D1569" i="3"/>
  <c r="H1569" i="3" s="1"/>
  <c r="I1569" i="3" s="1"/>
  <c r="C1569" i="3"/>
  <c r="B1569" i="3"/>
  <c r="A1569" i="3"/>
  <c r="H1568" i="3"/>
  <c r="I1568" i="3" s="1"/>
  <c r="F1568" i="3"/>
  <c r="E1568" i="3"/>
  <c r="D1568" i="3"/>
  <c r="C1568" i="3"/>
  <c r="B1568" i="3"/>
  <c r="A1568" i="3"/>
  <c r="F1567" i="3"/>
  <c r="E1567" i="3"/>
  <c r="D1567" i="3"/>
  <c r="H1567" i="3" s="1"/>
  <c r="C1567" i="3"/>
  <c r="B1567" i="3"/>
  <c r="A1567" i="3"/>
  <c r="I1566" i="3"/>
  <c r="H1566" i="3"/>
  <c r="F1566" i="3"/>
  <c r="E1566" i="3"/>
  <c r="D1566" i="3"/>
  <c r="C1566" i="3"/>
  <c r="B1566" i="3"/>
  <c r="A1566" i="3"/>
  <c r="H1565" i="3"/>
  <c r="I1565" i="3" s="1"/>
  <c r="F1565" i="3"/>
  <c r="E1565" i="3"/>
  <c r="D1565" i="3"/>
  <c r="C1565" i="3"/>
  <c r="B1565" i="3"/>
  <c r="A1565" i="3"/>
  <c r="R1564" i="3"/>
  <c r="J1564" i="3"/>
  <c r="F1564" i="3"/>
  <c r="E1564" i="3"/>
  <c r="D1564" i="3"/>
  <c r="H1564" i="3" s="1"/>
  <c r="I1564" i="3" s="1"/>
  <c r="C1564" i="3"/>
  <c r="B1564" i="3"/>
  <c r="A1564" i="3"/>
  <c r="I1563" i="3"/>
  <c r="H1563" i="3"/>
  <c r="F1563" i="3"/>
  <c r="E1563" i="3"/>
  <c r="D1563" i="3"/>
  <c r="C1563" i="3"/>
  <c r="B1563" i="3"/>
  <c r="A1563" i="3"/>
  <c r="I1562" i="3"/>
  <c r="F1562" i="3"/>
  <c r="E1562" i="3"/>
  <c r="D1562" i="3"/>
  <c r="H1562" i="3" s="1"/>
  <c r="C1562" i="3"/>
  <c r="B1562" i="3"/>
  <c r="A1562" i="3"/>
  <c r="F1561" i="3"/>
  <c r="E1561" i="3"/>
  <c r="D1561" i="3"/>
  <c r="H1561" i="3" s="1"/>
  <c r="I1561" i="3" s="1"/>
  <c r="C1561" i="3"/>
  <c r="B1561" i="3"/>
  <c r="A1561" i="3"/>
  <c r="H1560" i="3"/>
  <c r="I1560" i="3" s="1"/>
  <c r="F1560" i="3"/>
  <c r="E1560" i="3"/>
  <c r="D1560" i="3"/>
  <c r="C1560" i="3"/>
  <c r="B1560" i="3"/>
  <c r="A1560" i="3"/>
  <c r="F1559" i="3"/>
  <c r="E1559" i="3"/>
  <c r="D1559" i="3"/>
  <c r="H1559" i="3" s="1"/>
  <c r="C1559" i="3"/>
  <c r="B1559" i="3"/>
  <c r="A1559" i="3"/>
  <c r="I1558" i="3"/>
  <c r="H1558" i="3"/>
  <c r="F1558" i="3"/>
  <c r="E1558" i="3"/>
  <c r="D1558" i="3"/>
  <c r="C1558" i="3"/>
  <c r="B1558" i="3"/>
  <c r="A1558" i="3"/>
  <c r="H1557" i="3"/>
  <c r="I1557" i="3" s="1"/>
  <c r="F1557" i="3"/>
  <c r="E1557" i="3"/>
  <c r="D1557" i="3"/>
  <c r="C1557" i="3"/>
  <c r="B1557" i="3"/>
  <c r="A1557" i="3"/>
  <c r="F1556" i="3"/>
  <c r="E1556" i="3"/>
  <c r="D1556" i="3"/>
  <c r="H1556" i="3" s="1"/>
  <c r="I1556" i="3" s="1"/>
  <c r="C1556" i="3"/>
  <c r="B1556" i="3"/>
  <c r="A1556" i="3"/>
  <c r="I1555" i="3"/>
  <c r="H1555" i="3"/>
  <c r="F1555" i="3"/>
  <c r="E1555" i="3"/>
  <c r="D1555" i="3"/>
  <c r="C1555" i="3"/>
  <c r="B1555" i="3"/>
  <c r="A1555" i="3"/>
  <c r="F1554" i="3"/>
  <c r="E1554" i="3"/>
  <c r="D1554" i="3"/>
  <c r="H1554" i="3" s="1"/>
  <c r="I1554" i="3" s="1"/>
  <c r="C1554" i="3"/>
  <c r="B1554" i="3"/>
  <c r="A1554" i="3"/>
  <c r="F1553" i="3"/>
  <c r="E1553" i="3"/>
  <c r="D1553" i="3"/>
  <c r="H1553" i="3" s="1"/>
  <c r="I1553" i="3" s="1"/>
  <c r="C1553" i="3"/>
  <c r="B1553" i="3"/>
  <c r="A1553" i="3"/>
  <c r="H1552" i="3"/>
  <c r="I1552" i="3" s="1"/>
  <c r="F1552" i="3"/>
  <c r="E1552" i="3"/>
  <c r="D1552" i="3"/>
  <c r="C1552" i="3"/>
  <c r="B1552" i="3"/>
  <c r="A1552" i="3"/>
  <c r="F1551" i="3"/>
  <c r="E1551" i="3"/>
  <c r="D1551" i="3"/>
  <c r="H1551" i="3" s="1"/>
  <c r="C1551" i="3"/>
  <c r="B1551" i="3"/>
  <c r="A1551" i="3"/>
  <c r="I1550" i="3"/>
  <c r="H1550" i="3"/>
  <c r="F1550" i="3"/>
  <c r="E1550" i="3"/>
  <c r="D1550" i="3"/>
  <c r="C1550" i="3"/>
  <c r="B1550" i="3"/>
  <c r="A1550" i="3"/>
  <c r="H1549" i="3"/>
  <c r="I1549" i="3" s="1"/>
  <c r="F1549" i="3"/>
  <c r="E1549" i="3"/>
  <c r="D1549" i="3"/>
  <c r="C1549" i="3"/>
  <c r="B1549" i="3"/>
  <c r="A1549" i="3"/>
  <c r="F1548" i="3"/>
  <c r="E1548" i="3"/>
  <c r="D1548" i="3"/>
  <c r="H1548" i="3" s="1"/>
  <c r="C1548" i="3"/>
  <c r="B1548" i="3"/>
  <c r="A1548" i="3"/>
  <c r="I1547" i="3"/>
  <c r="H1547" i="3"/>
  <c r="F1547" i="3"/>
  <c r="E1547" i="3"/>
  <c r="D1547" i="3"/>
  <c r="C1547" i="3"/>
  <c r="B1547" i="3"/>
  <c r="A1547" i="3"/>
  <c r="I1546" i="3"/>
  <c r="F1546" i="3"/>
  <c r="E1546" i="3"/>
  <c r="D1546" i="3"/>
  <c r="H1546" i="3" s="1"/>
  <c r="C1546" i="3"/>
  <c r="B1546" i="3"/>
  <c r="A1546" i="3"/>
  <c r="H1545" i="3"/>
  <c r="I1545" i="3" s="1"/>
  <c r="F1545" i="3"/>
  <c r="E1545" i="3"/>
  <c r="D1545" i="3"/>
  <c r="C1545" i="3"/>
  <c r="B1545" i="3"/>
  <c r="A1545" i="3"/>
  <c r="H1544" i="3"/>
  <c r="F1544" i="3"/>
  <c r="E1544" i="3"/>
  <c r="D1544" i="3"/>
  <c r="C1544" i="3"/>
  <c r="B1544" i="3"/>
  <c r="A1544" i="3"/>
  <c r="F1543" i="3"/>
  <c r="E1543" i="3"/>
  <c r="D1543" i="3"/>
  <c r="H1543" i="3" s="1"/>
  <c r="C1543" i="3"/>
  <c r="B1543" i="3"/>
  <c r="A1543" i="3"/>
  <c r="H1542" i="3"/>
  <c r="I1542" i="3" s="1"/>
  <c r="F1542" i="3"/>
  <c r="E1542" i="3"/>
  <c r="D1542" i="3"/>
  <c r="C1542" i="3"/>
  <c r="B1542" i="3"/>
  <c r="A1542" i="3"/>
  <c r="F1541" i="3"/>
  <c r="E1541" i="3"/>
  <c r="D1541" i="3"/>
  <c r="H1541" i="3" s="1"/>
  <c r="I1541" i="3" s="1"/>
  <c r="C1541" i="3"/>
  <c r="B1541" i="3"/>
  <c r="A1541" i="3"/>
  <c r="F1540" i="3"/>
  <c r="E1540" i="3"/>
  <c r="D1540" i="3"/>
  <c r="H1540" i="3" s="1"/>
  <c r="I1540" i="3" s="1"/>
  <c r="C1540" i="3"/>
  <c r="B1540" i="3"/>
  <c r="A1540" i="3"/>
  <c r="I1539" i="3"/>
  <c r="H1539" i="3"/>
  <c r="F1539" i="3"/>
  <c r="E1539" i="3"/>
  <c r="D1539" i="3"/>
  <c r="C1539" i="3"/>
  <c r="B1539" i="3"/>
  <c r="A1539" i="3"/>
  <c r="F1538" i="3"/>
  <c r="E1538" i="3"/>
  <c r="D1538" i="3"/>
  <c r="H1538" i="3" s="1"/>
  <c r="I1538" i="3" s="1"/>
  <c r="C1538" i="3"/>
  <c r="B1538" i="3"/>
  <c r="A1538" i="3"/>
  <c r="F1537" i="3"/>
  <c r="E1537" i="3"/>
  <c r="D1537" i="3"/>
  <c r="H1537" i="3" s="1"/>
  <c r="I1537" i="3" s="1"/>
  <c r="C1537" i="3"/>
  <c r="B1537" i="3"/>
  <c r="A1537" i="3"/>
  <c r="H1536" i="3"/>
  <c r="F1536" i="3"/>
  <c r="E1536" i="3"/>
  <c r="D1536" i="3"/>
  <c r="C1536" i="3"/>
  <c r="B1536" i="3"/>
  <c r="A1536" i="3"/>
  <c r="F1535" i="3"/>
  <c r="E1535" i="3"/>
  <c r="D1535" i="3"/>
  <c r="H1535" i="3" s="1"/>
  <c r="I1535" i="3" s="1"/>
  <c r="C1535" i="3"/>
  <c r="B1535" i="3"/>
  <c r="A1535" i="3"/>
  <c r="I1534" i="3"/>
  <c r="H1534" i="3"/>
  <c r="F1534" i="3"/>
  <c r="E1534" i="3"/>
  <c r="D1534" i="3"/>
  <c r="C1534" i="3"/>
  <c r="B1534" i="3"/>
  <c r="A1534" i="3"/>
  <c r="H1533" i="3"/>
  <c r="I1533" i="3" s="1"/>
  <c r="F1533" i="3"/>
  <c r="E1533" i="3"/>
  <c r="D1533" i="3"/>
  <c r="C1533" i="3"/>
  <c r="B1533" i="3"/>
  <c r="A1533" i="3"/>
  <c r="F1532" i="3"/>
  <c r="E1532" i="3"/>
  <c r="D1532" i="3"/>
  <c r="H1532" i="3" s="1"/>
  <c r="C1532" i="3"/>
  <c r="B1532" i="3"/>
  <c r="A1532" i="3"/>
  <c r="I1531" i="3"/>
  <c r="H1531" i="3"/>
  <c r="F1531" i="3"/>
  <c r="E1531" i="3"/>
  <c r="D1531" i="3"/>
  <c r="C1531" i="3"/>
  <c r="B1531" i="3"/>
  <c r="A1531" i="3"/>
  <c r="I1530" i="3"/>
  <c r="F1530" i="3"/>
  <c r="E1530" i="3"/>
  <c r="D1530" i="3"/>
  <c r="H1530" i="3" s="1"/>
  <c r="C1530" i="3"/>
  <c r="B1530" i="3"/>
  <c r="A1530" i="3"/>
  <c r="H1529" i="3"/>
  <c r="I1529" i="3" s="1"/>
  <c r="F1529" i="3"/>
  <c r="E1529" i="3"/>
  <c r="D1529" i="3"/>
  <c r="C1529" i="3"/>
  <c r="B1529" i="3"/>
  <c r="A1529" i="3"/>
  <c r="H1528" i="3"/>
  <c r="F1528" i="3"/>
  <c r="E1528" i="3"/>
  <c r="D1528" i="3"/>
  <c r="C1528" i="3"/>
  <c r="B1528" i="3"/>
  <c r="A1528" i="3"/>
  <c r="F1527" i="3"/>
  <c r="E1527" i="3"/>
  <c r="D1527" i="3"/>
  <c r="H1527" i="3" s="1"/>
  <c r="C1527" i="3"/>
  <c r="B1527" i="3"/>
  <c r="A1527" i="3"/>
  <c r="H1526" i="3"/>
  <c r="I1526" i="3" s="1"/>
  <c r="F1526" i="3"/>
  <c r="E1526" i="3"/>
  <c r="D1526" i="3"/>
  <c r="C1526" i="3"/>
  <c r="B1526" i="3"/>
  <c r="A1526" i="3"/>
  <c r="I1525" i="3"/>
  <c r="F1525" i="3"/>
  <c r="E1525" i="3"/>
  <c r="D1525" i="3"/>
  <c r="H1525" i="3" s="1"/>
  <c r="C1525" i="3"/>
  <c r="B1525" i="3"/>
  <c r="A1525" i="3"/>
  <c r="F1524" i="3"/>
  <c r="E1524" i="3"/>
  <c r="D1524" i="3"/>
  <c r="H1524" i="3" s="1"/>
  <c r="I1524" i="3" s="1"/>
  <c r="C1524" i="3"/>
  <c r="B1524" i="3"/>
  <c r="A1524" i="3"/>
  <c r="I1523" i="3"/>
  <c r="H1523" i="3"/>
  <c r="F1523" i="3"/>
  <c r="E1523" i="3"/>
  <c r="D1523" i="3"/>
  <c r="C1523" i="3"/>
  <c r="B1523" i="3"/>
  <c r="A1523" i="3"/>
  <c r="F1522" i="3"/>
  <c r="E1522" i="3"/>
  <c r="D1522" i="3"/>
  <c r="H1522" i="3" s="1"/>
  <c r="I1522" i="3" s="1"/>
  <c r="C1522" i="3"/>
  <c r="B1522" i="3"/>
  <c r="A1522" i="3"/>
  <c r="H1521" i="3"/>
  <c r="I1521" i="3" s="1"/>
  <c r="F1521" i="3"/>
  <c r="E1521" i="3"/>
  <c r="D1521" i="3"/>
  <c r="C1521" i="3"/>
  <c r="B1521" i="3"/>
  <c r="A1521" i="3"/>
  <c r="H1520" i="3"/>
  <c r="I1520" i="3" s="1"/>
  <c r="F1520" i="3"/>
  <c r="E1520" i="3"/>
  <c r="D1520" i="3"/>
  <c r="C1520" i="3"/>
  <c r="B1520" i="3"/>
  <c r="A1520" i="3"/>
  <c r="F1519" i="3"/>
  <c r="E1519" i="3"/>
  <c r="D1519" i="3"/>
  <c r="H1519" i="3" s="1"/>
  <c r="I1519" i="3" s="1"/>
  <c r="C1519" i="3"/>
  <c r="B1519" i="3"/>
  <c r="A1519" i="3"/>
  <c r="I1518" i="3"/>
  <c r="H1518" i="3"/>
  <c r="F1518" i="3"/>
  <c r="E1518" i="3"/>
  <c r="D1518" i="3"/>
  <c r="C1518" i="3"/>
  <c r="B1518" i="3"/>
  <c r="A1518" i="3"/>
  <c r="H1517" i="3"/>
  <c r="I1517" i="3" s="1"/>
  <c r="F1517" i="3"/>
  <c r="E1517" i="3"/>
  <c r="D1517" i="3"/>
  <c r="C1517" i="3"/>
  <c r="B1517" i="3"/>
  <c r="A1517" i="3"/>
  <c r="F1516" i="3"/>
  <c r="E1516" i="3"/>
  <c r="D1516" i="3"/>
  <c r="H1516" i="3" s="1"/>
  <c r="C1516" i="3"/>
  <c r="B1516" i="3"/>
  <c r="A1516" i="3"/>
  <c r="I1515" i="3"/>
  <c r="H1515" i="3"/>
  <c r="F1515" i="3"/>
  <c r="E1515" i="3"/>
  <c r="D1515" i="3"/>
  <c r="C1515" i="3"/>
  <c r="B1515" i="3"/>
  <c r="A1515" i="3"/>
  <c r="I1514" i="3"/>
  <c r="F1514" i="3"/>
  <c r="E1514" i="3"/>
  <c r="D1514" i="3"/>
  <c r="H1514" i="3" s="1"/>
  <c r="C1514" i="3"/>
  <c r="B1514" i="3"/>
  <c r="A1514" i="3"/>
  <c r="F1513" i="3"/>
  <c r="E1513" i="3"/>
  <c r="D1513" i="3"/>
  <c r="H1513" i="3" s="1"/>
  <c r="I1513" i="3" s="1"/>
  <c r="C1513" i="3"/>
  <c r="B1513" i="3"/>
  <c r="A1513" i="3"/>
  <c r="H1512" i="3"/>
  <c r="F1512" i="3"/>
  <c r="E1512" i="3"/>
  <c r="D1512" i="3"/>
  <c r="C1512" i="3"/>
  <c r="B1512" i="3"/>
  <c r="A1512" i="3"/>
  <c r="F1511" i="3"/>
  <c r="E1511" i="3"/>
  <c r="D1511" i="3"/>
  <c r="H1511" i="3" s="1"/>
  <c r="I1511" i="3" s="1"/>
  <c r="C1511" i="3"/>
  <c r="B1511" i="3"/>
  <c r="A1511" i="3"/>
  <c r="H1510" i="3"/>
  <c r="I1510" i="3" s="1"/>
  <c r="F1510" i="3"/>
  <c r="E1510" i="3"/>
  <c r="D1510" i="3"/>
  <c r="C1510" i="3"/>
  <c r="B1510" i="3"/>
  <c r="A1510" i="3"/>
  <c r="F1509" i="3"/>
  <c r="E1509" i="3"/>
  <c r="D1509" i="3"/>
  <c r="H1509" i="3" s="1"/>
  <c r="I1509" i="3" s="1"/>
  <c r="C1509" i="3"/>
  <c r="B1509" i="3"/>
  <c r="A1509" i="3"/>
  <c r="F1508" i="3"/>
  <c r="E1508" i="3"/>
  <c r="D1508" i="3"/>
  <c r="H1508" i="3" s="1"/>
  <c r="I1508" i="3" s="1"/>
  <c r="C1508" i="3"/>
  <c r="B1508" i="3"/>
  <c r="A1508" i="3"/>
  <c r="H1507" i="3"/>
  <c r="I1507" i="3" s="1"/>
  <c r="F1507" i="3"/>
  <c r="E1507" i="3"/>
  <c r="D1507" i="3"/>
  <c r="C1507" i="3"/>
  <c r="B1507" i="3"/>
  <c r="A1507" i="3"/>
  <c r="I1506" i="3"/>
  <c r="F1506" i="3"/>
  <c r="E1506" i="3"/>
  <c r="D1506" i="3"/>
  <c r="H1506" i="3" s="1"/>
  <c r="C1506" i="3"/>
  <c r="B1506" i="3"/>
  <c r="A1506" i="3"/>
  <c r="F1505" i="3"/>
  <c r="E1505" i="3"/>
  <c r="D1505" i="3"/>
  <c r="H1505" i="3" s="1"/>
  <c r="I1505" i="3" s="1"/>
  <c r="C1505" i="3"/>
  <c r="B1505" i="3"/>
  <c r="A1505" i="3"/>
  <c r="F1504" i="3"/>
  <c r="E1504" i="3"/>
  <c r="D1504" i="3"/>
  <c r="H1504" i="3" s="1"/>
  <c r="C1504" i="3"/>
  <c r="B1504" i="3"/>
  <c r="A1504" i="3"/>
  <c r="F1503" i="3"/>
  <c r="E1503" i="3"/>
  <c r="D1503" i="3"/>
  <c r="H1503" i="3" s="1"/>
  <c r="C1503" i="3"/>
  <c r="B1503" i="3"/>
  <c r="A1503" i="3"/>
  <c r="H1502" i="3"/>
  <c r="I1502" i="3" s="1"/>
  <c r="F1502" i="3"/>
  <c r="E1502" i="3"/>
  <c r="D1502" i="3"/>
  <c r="C1502" i="3"/>
  <c r="B1502" i="3"/>
  <c r="A1502" i="3"/>
  <c r="F1501" i="3"/>
  <c r="E1501" i="3"/>
  <c r="D1501" i="3"/>
  <c r="H1501" i="3" s="1"/>
  <c r="C1501" i="3"/>
  <c r="B1501" i="3"/>
  <c r="A1501" i="3"/>
  <c r="H1500" i="3"/>
  <c r="F1500" i="3"/>
  <c r="E1500" i="3"/>
  <c r="D1500" i="3"/>
  <c r="C1500" i="3"/>
  <c r="B1500" i="3"/>
  <c r="A1500" i="3"/>
  <c r="H1499" i="3"/>
  <c r="F1499" i="3"/>
  <c r="E1499" i="3"/>
  <c r="D1499" i="3"/>
  <c r="C1499" i="3"/>
  <c r="B1499" i="3"/>
  <c r="A1499" i="3"/>
  <c r="F1498" i="3"/>
  <c r="E1498" i="3"/>
  <c r="D1498" i="3"/>
  <c r="H1498" i="3" s="1"/>
  <c r="C1498" i="3"/>
  <c r="I1498" i="3" s="1"/>
  <c r="B1498" i="3"/>
  <c r="A1498" i="3"/>
  <c r="F1497" i="3"/>
  <c r="E1497" i="3"/>
  <c r="D1497" i="3"/>
  <c r="H1497" i="3" s="1"/>
  <c r="I1497" i="3" s="1"/>
  <c r="C1497" i="3"/>
  <c r="B1497" i="3"/>
  <c r="A1497" i="3"/>
  <c r="I1496" i="3"/>
  <c r="H1496" i="3"/>
  <c r="F1496" i="3"/>
  <c r="E1496" i="3"/>
  <c r="D1496" i="3"/>
  <c r="C1496" i="3"/>
  <c r="B1496" i="3"/>
  <c r="A1496" i="3"/>
  <c r="F1495" i="3"/>
  <c r="E1495" i="3"/>
  <c r="D1495" i="3"/>
  <c r="H1495" i="3" s="1"/>
  <c r="I1495" i="3" s="1"/>
  <c r="C1495" i="3"/>
  <c r="B1495" i="3"/>
  <c r="A1495" i="3"/>
  <c r="H1494" i="3"/>
  <c r="I1494" i="3" s="1"/>
  <c r="F1494" i="3"/>
  <c r="E1494" i="3"/>
  <c r="D1494" i="3"/>
  <c r="C1494" i="3"/>
  <c r="B1494" i="3"/>
  <c r="A1494" i="3"/>
  <c r="F1493" i="3"/>
  <c r="E1493" i="3"/>
  <c r="D1493" i="3"/>
  <c r="H1493" i="3" s="1"/>
  <c r="I1493" i="3" s="1"/>
  <c r="C1493" i="3"/>
  <c r="B1493" i="3"/>
  <c r="A1493" i="3"/>
  <c r="H1492" i="3"/>
  <c r="F1492" i="3"/>
  <c r="E1492" i="3"/>
  <c r="D1492" i="3"/>
  <c r="C1492" i="3"/>
  <c r="B1492" i="3"/>
  <c r="A1492" i="3"/>
  <c r="I1491" i="3"/>
  <c r="H1491" i="3"/>
  <c r="F1491" i="3"/>
  <c r="E1491" i="3"/>
  <c r="D1491" i="3"/>
  <c r="C1491" i="3"/>
  <c r="B1491" i="3"/>
  <c r="A1491" i="3"/>
  <c r="I1490" i="3"/>
  <c r="F1490" i="3"/>
  <c r="E1490" i="3"/>
  <c r="D1490" i="3"/>
  <c r="H1490" i="3" s="1"/>
  <c r="C1490" i="3"/>
  <c r="B1490" i="3"/>
  <c r="A1490" i="3"/>
  <c r="H1489" i="3"/>
  <c r="I1489" i="3" s="1"/>
  <c r="F1489" i="3"/>
  <c r="E1489" i="3"/>
  <c r="D1489" i="3"/>
  <c r="C1489" i="3"/>
  <c r="B1489" i="3"/>
  <c r="A1489" i="3"/>
  <c r="H1488" i="3"/>
  <c r="I1488" i="3" s="1"/>
  <c r="F1488" i="3"/>
  <c r="E1488" i="3"/>
  <c r="D1488" i="3"/>
  <c r="C1488" i="3"/>
  <c r="B1488" i="3"/>
  <c r="A1488" i="3"/>
  <c r="F1487" i="3"/>
  <c r="E1487" i="3"/>
  <c r="D1487" i="3"/>
  <c r="H1487" i="3" s="1"/>
  <c r="I1487" i="3" s="1"/>
  <c r="C1487" i="3"/>
  <c r="B1487" i="3"/>
  <c r="A1487" i="3"/>
  <c r="H1486" i="3"/>
  <c r="I1486" i="3" s="1"/>
  <c r="F1486" i="3"/>
  <c r="E1486" i="3"/>
  <c r="D1486" i="3"/>
  <c r="C1486" i="3"/>
  <c r="B1486" i="3"/>
  <c r="A1486" i="3"/>
  <c r="H1485" i="3"/>
  <c r="I1485" i="3" s="1"/>
  <c r="F1485" i="3"/>
  <c r="E1485" i="3"/>
  <c r="D1485" i="3"/>
  <c r="C1485" i="3"/>
  <c r="B1485" i="3"/>
  <c r="A1485" i="3"/>
  <c r="H1484" i="3"/>
  <c r="I1484" i="3" s="1"/>
  <c r="F1484" i="3"/>
  <c r="E1484" i="3"/>
  <c r="D1484" i="3"/>
  <c r="C1484" i="3"/>
  <c r="B1484" i="3"/>
  <c r="A1484" i="3"/>
  <c r="I1483" i="3"/>
  <c r="H1483" i="3"/>
  <c r="F1483" i="3"/>
  <c r="E1483" i="3"/>
  <c r="D1483" i="3"/>
  <c r="C1483" i="3"/>
  <c r="B1483" i="3"/>
  <c r="A1483" i="3"/>
  <c r="F1482" i="3"/>
  <c r="E1482" i="3"/>
  <c r="D1482" i="3"/>
  <c r="H1482" i="3" s="1"/>
  <c r="I1482" i="3" s="1"/>
  <c r="C1482" i="3"/>
  <c r="B1482" i="3"/>
  <c r="A1482" i="3"/>
  <c r="I1481" i="3"/>
  <c r="H1481" i="3"/>
  <c r="F1481" i="3"/>
  <c r="E1481" i="3"/>
  <c r="D1481" i="3"/>
  <c r="C1481" i="3"/>
  <c r="B1481" i="3"/>
  <c r="A1481" i="3"/>
  <c r="F1480" i="3"/>
  <c r="E1480" i="3"/>
  <c r="D1480" i="3"/>
  <c r="H1480" i="3" s="1"/>
  <c r="I1480" i="3" s="1"/>
  <c r="C1480" i="3"/>
  <c r="B1480" i="3"/>
  <c r="A1480" i="3"/>
  <c r="I1479" i="3"/>
  <c r="F1479" i="3"/>
  <c r="E1479" i="3"/>
  <c r="D1479" i="3"/>
  <c r="H1479" i="3" s="1"/>
  <c r="C1479" i="3"/>
  <c r="B1479" i="3"/>
  <c r="A1479" i="3"/>
  <c r="H1478" i="3"/>
  <c r="I1478" i="3" s="1"/>
  <c r="F1478" i="3"/>
  <c r="E1478" i="3"/>
  <c r="D1478" i="3"/>
  <c r="C1478" i="3"/>
  <c r="B1478" i="3"/>
  <c r="A1478" i="3"/>
  <c r="F1477" i="3"/>
  <c r="E1477" i="3"/>
  <c r="D1477" i="3"/>
  <c r="H1477" i="3" s="1"/>
  <c r="C1477" i="3"/>
  <c r="B1477" i="3"/>
  <c r="A1477" i="3"/>
  <c r="H1476" i="3"/>
  <c r="I1476" i="3" s="1"/>
  <c r="F1476" i="3"/>
  <c r="E1476" i="3"/>
  <c r="D1476" i="3"/>
  <c r="C1476" i="3"/>
  <c r="B1476" i="3"/>
  <c r="A1476" i="3"/>
  <c r="H1475" i="3"/>
  <c r="F1475" i="3"/>
  <c r="E1475" i="3"/>
  <c r="D1475" i="3"/>
  <c r="C1475" i="3"/>
  <c r="I1475" i="3" s="1"/>
  <c r="B1475" i="3"/>
  <c r="A1475" i="3"/>
  <c r="F1474" i="3"/>
  <c r="E1474" i="3"/>
  <c r="D1474" i="3"/>
  <c r="H1474" i="3" s="1"/>
  <c r="I1474" i="3" s="1"/>
  <c r="C1474" i="3"/>
  <c r="B1474" i="3"/>
  <c r="A1474" i="3"/>
  <c r="H1473" i="3"/>
  <c r="I1473" i="3" s="1"/>
  <c r="F1473" i="3"/>
  <c r="E1473" i="3"/>
  <c r="D1473" i="3"/>
  <c r="C1473" i="3"/>
  <c r="B1473" i="3"/>
  <c r="A1473" i="3"/>
  <c r="F1472" i="3"/>
  <c r="E1472" i="3"/>
  <c r="D1472" i="3"/>
  <c r="H1472" i="3" s="1"/>
  <c r="C1472" i="3"/>
  <c r="B1472" i="3"/>
  <c r="A1472" i="3"/>
  <c r="I1471" i="3"/>
  <c r="F1471" i="3"/>
  <c r="E1471" i="3"/>
  <c r="D1471" i="3"/>
  <c r="H1471" i="3" s="1"/>
  <c r="C1471" i="3"/>
  <c r="B1471" i="3"/>
  <c r="A1471" i="3"/>
  <c r="F1470" i="3"/>
  <c r="E1470" i="3"/>
  <c r="D1470" i="3"/>
  <c r="H1470" i="3" s="1"/>
  <c r="I1470" i="3" s="1"/>
  <c r="C1470" i="3"/>
  <c r="B1470" i="3"/>
  <c r="A1470" i="3"/>
  <c r="F1469" i="3"/>
  <c r="E1469" i="3"/>
  <c r="D1469" i="3"/>
  <c r="H1469" i="3" s="1"/>
  <c r="C1469" i="3"/>
  <c r="B1469" i="3"/>
  <c r="A1469" i="3"/>
  <c r="H1468" i="3"/>
  <c r="I1468" i="3" s="1"/>
  <c r="F1468" i="3"/>
  <c r="E1468" i="3"/>
  <c r="D1468" i="3"/>
  <c r="C1468" i="3"/>
  <c r="B1468" i="3"/>
  <c r="A1468" i="3"/>
  <c r="H1467" i="3"/>
  <c r="F1467" i="3"/>
  <c r="E1467" i="3"/>
  <c r="D1467" i="3"/>
  <c r="C1467" i="3"/>
  <c r="I1467" i="3" s="1"/>
  <c r="B1467" i="3"/>
  <c r="A1467" i="3"/>
  <c r="H1466" i="3"/>
  <c r="I1466" i="3" s="1"/>
  <c r="F1466" i="3"/>
  <c r="E1466" i="3"/>
  <c r="D1466" i="3"/>
  <c r="C1466" i="3"/>
  <c r="B1466" i="3"/>
  <c r="A1466" i="3"/>
  <c r="H1465" i="3"/>
  <c r="I1465" i="3" s="1"/>
  <c r="F1465" i="3"/>
  <c r="E1465" i="3"/>
  <c r="D1465" i="3"/>
  <c r="C1465" i="3"/>
  <c r="B1465" i="3"/>
  <c r="A1465" i="3"/>
  <c r="F1464" i="3"/>
  <c r="E1464" i="3"/>
  <c r="D1464" i="3"/>
  <c r="H1464" i="3" s="1"/>
  <c r="C1464" i="3"/>
  <c r="B1464" i="3"/>
  <c r="A1464" i="3"/>
  <c r="F1463" i="3"/>
  <c r="E1463" i="3"/>
  <c r="D1463" i="3"/>
  <c r="H1463" i="3" s="1"/>
  <c r="I1463" i="3" s="1"/>
  <c r="C1463" i="3"/>
  <c r="B1463" i="3"/>
  <c r="A1463" i="3"/>
  <c r="F1462" i="3"/>
  <c r="E1462" i="3"/>
  <c r="D1462" i="3"/>
  <c r="H1462" i="3" s="1"/>
  <c r="I1462" i="3" s="1"/>
  <c r="C1462" i="3"/>
  <c r="B1462" i="3"/>
  <c r="A1462" i="3"/>
  <c r="F1461" i="3"/>
  <c r="E1461" i="3"/>
  <c r="D1461" i="3"/>
  <c r="H1461" i="3" s="1"/>
  <c r="I1461" i="3" s="1"/>
  <c r="C1461" i="3"/>
  <c r="B1461" i="3"/>
  <c r="A1461" i="3"/>
  <c r="H1460" i="3"/>
  <c r="I1460" i="3" s="1"/>
  <c r="F1460" i="3"/>
  <c r="E1460" i="3"/>
  <c r="D1460" i="3"/>
  <c r="C1460" i="3"/>
  <c r="B1460" i="3"/>
  <c r="A1460" i="3"/>
  <c r="I1459" i="3"/>
  <c r="H1459" i="3"/>
  <c r="F1459" i="3"/>
  <c r="E1459" i="3"/>
  <c r="D1459" i="3"/>
  <c r="C1459" i="3"/>
  <c r="B1459" i="3"/>
  <c r="A1459" i="3"/>
  <c r="H1458" i="3"/>
  <c r="I1458" i="3" s="1"/>
  <c r="F1458" i="3"/>
  <c r="E1458" i="3"/>
  <c r="D1458" i="3"/>
  <c r="C1458" i="3"/>
  <c r="B1458" i="3"/>
  <c r="A1458" i="3"/>
  <c r="I1457" i="3"/>
  <c r="H1457" i="3"/>
  <c r="F1457" i="3"/>
  <c r="E1457" i="3"/>
  <c r="D1457" i="3"/>
  <c r="C1457" i="3"/>
  <c r="B1457" i="3"/>
  <c r="A1457" i="3"/>
  <c r="F1456" i="3"/>
  <c r="E1456" i="3"/>
  <c r="D1456" i="3"/>
  <c r="H1456" i="3" s="1"/>
  <c r="I1456" i="3" s="1"/>
  <c r="C1456" i="3"/>
  <c r="B1456" i="3"/>
  <c r="A1456" i="3"/>
  <c r="F1455" i="3"/>
  <c r="E1455" i="3"/>
  <c r="D1455" i="3"/>
  <c r="H1455" i="3" s="1"/>
  <c r="I1455" i="3" s="1"/>
  <c r="C1455" i="3"/>
  <c r="B1455" i="3"/>
  <c r="A1455" i="3"/>
  <c r="H1454" i="3"/>
  <c r="I1454" i="3" s="1"/>
  <c r="F1454" i="3"/>
  <c r="E1454" i="3"/>
  <c r="D1454" i="3"/>
  <c r="C1454" i="3"/>
  <c r="B1454" i="3"/>
  <c r="A1454" i="3"/>
  <c r="I1453" i="3"/>
  <c r="F1453" i="3"/>
  <c r="E1453" i="3"/>
  <c r="D1453" i="3"/>
  <c r="H1453" i="3" s="1"/>
  <c r="C1453" i="3"/>
  <c r="B1453" i="3"/>
  <c r="A1453" i="3"/>
  <c r="F1452" i="3"/>
  <c r="E1452" i="3"/>
  <c r="D1452" i="3"/>
  <c r="H1452" i="3" s="1"/>
  <c r="I1452" i="3" s="1"/>
  <c r="C1452" i="3"/>
  <c r="B1452" i="3"/>
  <c r="A1452" i="3"/>
  <c r="H1451" i="3"/>
  <c r="I1451" i="3" s="1"/>
  <c r="F1451" i="3"/>
  <c r="E1451" i="3"/>
  <c r="D1451" i="3"/>
  <c r="C1451" i="3"/>
  <c r="B1451" i="3"/>
  <c r="A1451" i="3"/>
  <c r="F1450" i="3"/>
  <c r="E1450" i="3"/>
  <c r="D1450" i="3"/>
  <c r="H1450" i="3" s="1"/>
  <c r="I1450" i="3" s="1"/>
  <c r="C1450" i="3"/>
  <c r="B1450" i="3"/>
  <c r="A1450" i="3"/>
  <c r="H1449" i="3"/>
  <c r="I1449" i="3" s="1"/>
  <c r="F1449" i="3"/>
  <c r="E1449" i="3"/>
  <c r="D1449" i="3"/>
  <c r="C1449" i="3"/>
  <c r="B1449" i="3"/>
  <c r="A1449" i="3"/>
  <c r="F1448" i="3"/>
  <c r="E1448" i="3"/>
  <c r="D1448" i="3"/>
  <c r="H1448" i="3" s="1"/>
  <c r="I1448" i="3" s="1"/>
  <c r="C1448" i="3"/>
  <c r="B1448" i="3"/>
  <c r="A1448" i="3"/>
  <c r="F1447" i="3"/>
  <c r="E1447" i="3"/>
  <c r="D1447" i="3"/>
  <c r="H1447" i="3" s="1"/>
  <c r="I1447" i="3" s="1"/>
  <c r="C1447" i="3"/>
  <c r="B1447" i="3"/>
  <c r="A1447" i="3"/>
  <c r="F1446" i="3"/>
  <c r="E1446" i="3"/>
  <c r="D1446" i="3"/>
  <c r="H1446" i="3" s="1"/>
  <c r="I1446" i="3" s="1"/>
  <c r="C1446" i="3"/>
  <c r="B1446" i="3"/>
  <c r="A1446" i="3"/>
  <c r="F1445" i="3"/>
  <c r="E1445" i="3"/>
  <c r="D1445" i="3"/>
  <c r="H1445" i="3" s="1"/>
  <c r="I1445" i="3" s="1"/>
  <c r="C1445" i="3"/>
  <c r="B1445" i="3"/>
  <c r="A1445" i="3"/>
  <c r="R1444" i="3"/>
  <c r="J1444" i="3"/>
  <c r="H1444" i="3"/>
  <c r="I1444" i="3" s="1"/>
  <c r="F1444" i="3"/>
  <c r="E1444" i="3"/>
  <c r="D1444" i="3"/>
  <c r="C1444" i="3"/>
  <c r="B1444" i="3"/>
  <c r="A1444" i="3"/>
  <c r="H1443" i="3"/>
  <c r="F1443" i="3"/>
  <c r="E1443" i="3"/>
  <c r="D1443" i="3"/>
  <c r="C1443" i="3"/>
  <c r="I1443" i="3" s="1"/>
  <c r="B1443" i="3"/>
  <c r="A1443" i="3"/>
  <c r="H1442" i="3"/>
  <c r="F1442" i="3"/>
  <c r="E1442" i="3"/>
  <c r="D1442" i="3"/>
  <c r="C1442" i="3"/>
  <c r="B1442" i="3"/>
  <c r="A1442" i="3"/>
  <c r="I1441" i="3"/>
  <c r="H1441" i="3"/>
  <c r="F1441" i="3"/>
  <c r="E1441" i="3"/>
  <c r="D1441" i="3"/>
  <c r="C1441" i="3"/>
  <c r="B1441" i="3"/>
  <c r="A1441" i="3"/>
  <c r="H1440" i="3"/>
  <c r="F1440" i="3"/>
  <c r="E1440" i="3"/>
  <c r="D1440" i="3"/>
  <c r="C1440" i="3"/>
  <c r="I1440" i="3" s="1"/>
  <c r="B1440" i="3"/>
  <c r="A1440" i="3"/>
  <c r="F1439" i="3"/>
  <c r="E1439" i="3"/>
  <c r="D1439" i="3"/>
  <c r="H1439" i="3" s="1"/>
  <c r="I1439" i="3" s="1"/>
  <c r="C1439" i="3"/>
  <c r="B1439" i="3"/>
  <c r="A1439" i="3"/>
  <c r="F1438" i="3"/>
  <c r="E1438" i="3"/>
  <c r="D1438" i="3"/>
  <c r="H1438" i="3" s="1"/>
  <c r="I1438" i="3" s="1"/>
  <c r="C1438" i="3"/>
  <c r="B1438" i="3"/>
  <c r="A1438" i="3"/>
  <c r="F1437" i="3"/>
  <c r="E1437" i="3"/>
  <c r="D1437" i="3"/>
  <c r="H1437" i="3" s="1"/>
  <c r="I1437" i="3" s="1"/>
  <c r="C1437" i="3"/>
  <c r="B1437" i="3"/>
  <c r="A1437" i="3"/>
  <c r="H1436" i="3"/>
  <c r="I1436" i="3" s="1"/>
  <c r="F1436" i="3"/>
  <c r="E1436" i="3"/>
  <c r="D1436" i="3"/>
  <c r="C1436" i="3"/>
  <c r="B1436" i="3"/>
  <c r="A1436" i="3"/>
  <c r="I1435" i="3"/>
  <c r="H1435" i="3"/>
  <c r="F1435" i="3"/>
  <c r="E1435" i="3"/>
  <c r="D1435" i="3"/>
  <c r="C1435" i="3"/>
  <c r="B1435" i="3"/>
  <c r="A1435" i="3"/>
  <c r="H1434" i="3"/>
  <c r="F1434" i="3"/>
  <c r="E1434" i="3"/>
  <c r="D1434" i="3"/>
  <c r="C1434" i="3"/>
  <c r="B1434" i="3"/>
  <c r="A1434" i="3"/>
  <c r="H1433" i="3"/>
  <c r="I1433" i="3" s="1"/>
  <c r="F1433" i="3"/>
  <c r="E1433" i="3"/>
  <c r="D1433" i="3"/>
  <c r="C1433" i="3"/>
  <c r="B1433" i="3"/>
  <c r="A1433" i="3"/>
  <c r="H1432" i="3"/>
  <c r="F1432" i="3"/>
  <c r="E1432" i="3"/>
  <c r="D1432" i="3"/>
  <c r="C1432" i="3"/>
  <c r="I1432" i="3" s="1"/>
  <c r="B1432" i="3"/>
  <c r="A1432" i="3"/>
  <c r="F1431" i="3"/>
  <c r="E1431" i="3"/>
  <c r="D1431" i="3"/>
  <c r="H1431" i="3" s="1"/>
  <c r="C1431" i="3"/>
  <c r="I1431" i="3" s="1"/>
  <c r="B1431" i="3"/>
  <c r="A1431" i="3"/>
  <c r="H1430" i="3"/>
  <c r="I1430" i="3" s="1"/>
  <c r="F1430" i="3"/>
  <c r="E1430" i="3"/>
  <c r="D1430" i="3"/>
  <c r="C1430" i="3"/>
  <c r="B1430" i="3"/>
  <c r="A1430" i="3"/>
  <c r="F1429" i="3"/>
  <c r="E1429" i="3"/>
  <c r="D1429" i="3"/>
  <c r="H1429" i="3" s="1"/>
  <c r="C1429" i="3"/>
  <c r="I1429" i="3" s="1"/>
  <c r="B1429" i="3"/>
  <c r="A1429" i="3"/>
  <c r="F1428" i="3"/>
  <c r="E1428" i="3"/>
  <c r="D1428" i="3"/>
  <c r="H1428" i="3" s="1"/>
  <c r="I1428" i="3" s="1"/>
  <c r="C1428" i="3"/>
  <c r="B1428" i="3"/>
  <c r="A1428" i="3"/>
  <c r="H1427" i="3"/>
  <c r="I1427" i="3" s="1"/>
  <c r="F1427" i="3"/>
  <c r="E1427" i="3"/>
  <c r="D1427" i="3"/>
  <c r="C1427" i="3"/>
  <c r="B1427" i="3"/>
  <c r="A1427" i="3"/>
  <c r="H1426" i="3"/>
  <c r="I1426" i="3" s="1"/>
  <c r="F1426" i="3"/>
  <c r="E1426" i="3"/>
  <c r="D1426" i="3"/>
  <c r="C1426" i="3"/>
  <c r="B1426" i="3"/>
  <c r="A1426" i="3"/>
  <c r="I1425" i="3"/>
  <c r="H1425" i="3"/>
  <c r="F1425" i="3"/>
  <c r="E1425" i="3"/>
  <c r="D1425" i="3"/>
  <c r="C1425" i="3"/>
  <c r="B1425" i="3"/>
  <c r="A1425" i="3"/>
  <c r="H1424" i="3"/>
  <c r="I1424" i="3" s="1"/>
  <c r="F1424" i="3"/>
  <c r="E1424" i="3"/>
  <c r="D1424" i="3"/>
  <c r="C1424" i="3"/>
  <c r="B1424" i="3"/>
  <c r="A1424" i="3"/>
  <c r="I1423" i="3"/>
  <c r="F1423" i="3"/>
  <c r="E1423" i="3"/>
  <c r="D1423" i="3"/>
  <c r="H1423" i="3" s="1"/>
  <c r="C1423" i="3"/>
  <c r="B1423" i="3"/>
  <c r="A1423" i="3"/>
  <c r="H1422" i="3"/>
  <c r="I1422" i="3" s="1"/>
  <c r="F1422" i="3"/>
  <c r="E1422" i="3"/>
  <c r="D1422" i="3"/>
  <c r="C1422" i="3"/>
  <c r="B1422" i="3"/>
  <c r="A1422" i="3"/>
  <c r="I1421" i="3"/>
  <c r="F1421" i="3"/>
  <c r="E1421" i="3"/>
  <c r="D1421" i="3"/>
  <c r="H1421" i="3" s="1"/>
  <c r="C1421" i="3"/>
  <c r="B1421" i="3"/>
  <c r="A1421" i="3"/>
  <c r="F1420" i="3"/>
  <c r="E1420" i="3"/>
  <c r="D1420" i="3"/>
  <c r="H1420" i="3" s="1"/>
  <c r="I1420" i="3" s="1"/>
  <c r="C1420" i="3"/>
  <c r="B1420" i="3"/>
  <c r="A1420" i="3"/>
  <c r="H1419" i="3"/>
  <c r="I1419" i="3" s="1"/>
  <c r="F1419" i="3"/>
  <c r="E1419" i="3"/>
  <c r="D1419" i="3"/>
  <c r="C1419" i="3"/>
  <c r="B1419" i="3"/>
  <c r="A1419" i="3"/>
  <c r="H1418" i="3"/>
  <c r="I1418" i="3" s="1"/>
  <c r="F1418" i="3"/>
  <c r="E1418" i="3"/>
  <c r="D1418" i="3"/>
  <c r="C1418" i="3"/>
  <c r="B1418" i="3"/>
  <c r="A1418" i="3"/>
  <c r="H1417" i="3"/>
  <c r="I1417" i="3" s="1"/>
  <c r="F1417" i="3"/>
  <c r="E1417" i="3"/>
  <c r="D1417" i="3"/>
  <c r="C1417" i="3"/>
  <c r="B1417" i="3"/>
  <c r="A1417" i="3"/>
  <c r="H1416" i="3"/>
  <c r="I1416" i="3" s="1"/>
  <c r="F1416" i="3"/>
  <c r="E1416" i="3"/>
  <c r="D1416" i="3"/>
  <c r="C1416" i="3"/>
  <c r="B1416" i="3"/>
  <c r="A1416" i="3"/>
  <c r="F1415" i="3"/>
  <c r="E1415" i="3"/>
  <c r="D1415" i="3"/>
  <c r="H1415" i="3" s="1"/>
  <c r="I1415" i="3" s="1"/>
  <c r="C1415" i="3"/>
  <c r="B1415" i="3"/>
  <c r="A1415" i="3"/>
  <c r="F1414" i="3"/>
  <c r="E1414" i="3"/>
  <c r="D1414" i="3"/>
  <c r="H1414" i="3" s="1"/>
  <c r="I1414" i="3" s="1"/>
  <c r="C1414" i="3"/>
  <c r="B1414" i="3"/>
  <c r="A1414" i="3"/>
  <c r="F1413" i="3"/>
  <c r="E1413" i="3"/>
  <c r="D1413" i="3"/>
  <c r="H1413" i="3" s="1"/>
  <c r="I1413" i="3" s="1"/>
  <c r="C1413" i="3"/>
  <c r="B1413" i="3"/>
  <c r="A1413" i="3"/>
  <c r="F1412" i="3"/>
  <c r="E1412" i="3"/>
  <c r="D1412" i="3"/>
  <c r="H1412" i="3" s="1"/>
  <c r="I1412" i="3" s="1"/>
  <c r="C1412" i="3"/>
  <c r="B1412" i="3"/>
  <c r="A1412" i="3"/>
  <c r="F1411" i="3"/>
  <c r="E1411" i="3"/>
  <c r="D1411" i="3"/>
  <c r="H1411" i="3" s="1"/>
  <c r="I1411" i="3" s="1"/>
  <c r="C1411" i="3"/>
  <c r="B1411" i="3"/>
  <c r="A1411" i="3"/>
  <c r="F1410" i="3"/>
  <c r="E1410" i="3"/>
  <c r="D1410" i="3"/>
  <c r="H1410" i="3" s="1"/>
  <c r="I1410" i="3" s="1"/>
  <c r="C1410" i="3"/>
  <c r="B1410" i="3"/>
  <c r="A1410" i="3"/>
  <c r="H1409" i="3"/>
  <c r="I1409" i="3" s="1"/>
  <c r="F1409" i="3"/>
  <c r="E1409" i="3"/>
  <c r="D1409" i="3"/>
  <c r="C1409" i="3"/>
  <c r="B1409" i="3"/>
  <c r="A1409" i="3"/>
  <c r="I1408" i="3"/>
  <c r="H1408" i="3"/>
  <c r="F1408" i="3"/>
  <c r="E1408" i="3"/>
  <c r="D1408" i="3"/>
  <c r="C1408" i="3"/>
  <c r="B1408" i="3"/>
  <c r="A1408" i="3"/>
  <c r="H1407" i="3"/>
  <c r="I1407" i="3" s="1"/>
  <c r="F1407" i="3"/>
  <c r="E1407" i="3"/>
  <c r="D1407" i="3"/>
  <c r="C1407" i="3"/>
  <c r="B1407" i="3"/>
  <c r="A1407" i="3"/>
  <c r="H1406" i="3"/>
  <c r="I1406" i="3" s="1"/>
  <c r="F1406" i="3"/>
  <c r="E1406" i="3"/>
  <c r="D1406" i="3"/>
  <c r="C1406" i="3"/>
  <c r="B1406" i="3"/>
  <c r="A1406" i="3"/>
  <c r="F1405" i="3"/>
  <c r="E1405" i="3"/>
  <c r="D1405" i="3"/>
  <c r="H1405" i="3" s="1"/>
  <c r="I1405" i="3" s="1"/>
  <c r="C1405" i="3"/>
  <c r="B1405" i="3"/>
  <c r="A1405" i="3"/>
  <c r="F1404" i="3"/>
  <c r="E1404" i="3"/>
  <c r="D1404" i="3"/>
  <c r="H1404" i="3" s="1"/>
  <c r="I1404" i="3" s="1"/>
  <c r="C1404" i="3"/>
  <c r="B1404" i="3"/>
  <c r="A1404" i="3"/>
  <c r="F1403" i="3"/>
  <c r="E1403" i="3"/>
  <c r="D1403" i="3"/>
  <c r="H1403" i="3" s="1"/>
  <c r="I1403" i="3" s="1"/>
  <c r="C1403" i="3"/>
  <c r="B1403" i="3"/>
  <c r="A1403" i="3"/>
  <c r="F1402" i="3"/>
  <c r="E1402" i="3"/>
  <c r="D1402" i="3"/>
  <c r="H1402" i="3" s="1"/>
  <c r="I1402" i="3" s="1"/>
  <c r="C1402" i="3"/>
  <c r="B1402" i="3"/>
  <c r="A1402" i="3"/>
  <c r="H1401" i="3"/>
  <c r="I1401" i="3" s="1"/>
  <c r="F1401" i="3"/>
  <c r="E1401" i="3"/>
  <c r="D1401" i="3"/>
  <c r="C1401" i="3"/>
  <c r="B1401" i="3"/>
  <c r="A1401" i="3"/>
  <c r="I1400" i="3"/>
  <c r="H1400" i="3"/>
  <c r="F1400" i="3"/>
  <c r="E1400" i="3"/>
  <c r="D1400" i="3"/>
  <c r="C1400" i="3"/>
  <c r="B1400" i="3"/>
  <c r="A1400" i="3"/>
  <c r="H1399" i="3"/>
  <c r="I1399" i="3" s="1"/>
  <c r="F1399" i="3"/>
  <c r="E1399" i="3"/>
  <c r="D1399" i="3"/>
  <c r="C1399" i="3"/>
  <c r="B1399" i="3"/>
  <c r="A1399" i="3"/>
  <c r="H1398" i="3"/>
  <c r="I1398" i="3" s="1"/>
  <c r="F1398" i="3"/>
  <c r="E1398" i="3"/>
  <c r="D1398" i="3"/>
  <c r="C1398" i="3"/>
  <c r="B1398" i="3"/>
  <c r="A1398" i="3"/>
  <c r="F1397" i="3"/>
  <c r="E1397" i="3"/>
  <c r="D1397" i="3"/>
  <c r="H1397" i="3" s="1"/>
  <c r="I1397" i="3" s="1"/>
  <c r="C1397" i="3"/>
  <c r="B1397" i="3"/>
  <c r="A1397" i="3"/>
  <c r="F1396" i="3"/>
  <c r="E1396" i="3"/>
  <c r="D1396" i="3"/>
  <c r="H1396" i="3" s="1"/>
  <c r="I1396" i="3" s="1"/>
  <c r="C1396" i="3"/>
  <c r="B1396" i="3"/>
  <c r="A1396" i="3"/>
  <c r="F1395" i="3"/>
  <c r="E1395" i="3"/>
  <c r="D1395" i="3"/>
  <c r="H1395" i="3" s="1"/>
  <c r="I1395" i="3" s="1"/>
  <c r="C1395" i="3"/>
  <c r="B1395" i="3"/>
  <c r="A1395" i="3"/>
  <c r="F1394" i="3"/>
  <c r="E1394" i="3"/>
  <c r="D1394" i="3"/>
  <c r="H1394" i="3" s="1"/>
  <c r="I1394" i="3" s="1"/>
  <c r="C1394" i="3"/>
  <c r="B1394" i="3"/>
  <c r="A1394" i="3"/>
  <c r="H1393" i="3"/>
  <c r="I1393" i="3" s="1"/>
  <c r="F1393" i="3"/>
  <c r="E1393" i="3"/>
  <c r="D1393" i="3"/>
  <c r="C1393" i="3"/>
  <c r="B1393" i="3"/>
  <c r="A1393" i="3"/>
  <c r="I1392" i="3"/>
  <c r="H1392" i="3"/>
  <c r="F1392" i="3"/>
  <c r="E1392" i="3"/>
  <c r="D1392" i="3"/>
  <c r="C1392" i="3"/>
  <c r="B1392" i="3"/>
  <c r="A1392" i="3"/>
  <c r="H1391" i="3"/>
  <c r="I1391" i="3" s="1"/>
  <c r="F1391" i="3"/>
  <c r="E1391" i="3"/>
  <c r="D1391" i="3"/>
  <c r="C1391" i="3"/>
  <c r="B1391" i="3"/>
  <c r="A1391" i="3"/>
  <c r="H1390" i="3"/>
  <c r="I1390" i="3" s="1"/>
  <c r="F1390" i="3"/>
  <c r="E1390" i="3"/>
  <c r="D1390" i="3"/>
  <c r="C1390" i="3"/>
  <c r="B1390" i="3"/>
  <c r="A1390" i="3"/>
  <c r="F1389" i="3"/>
  <c r="E1389" i="3"/>
  <c r="D1389" i="3"/>
  <c r="H1389" i="3" s="1"/>
  <c r="I1389" i="3" s="1"/>
  <c r="C1389" i="3"/>
  <c r="B1389" i="3"/>
  <c r="A1389" i="3"/>
  <c r="F1388" i="3"/>
  <c r="E1388" i="3"/>
  <c r="D1388" i="3"/>
  <c r="H1388" i="3" s="1"/>
  <c r="I1388" i="3" s="1"/>
  <c r="C1388" i="3"/>
  <c r="B1388" i="3"/>
  <c r="A1388" i="3"/>
  <c r="F1387" i="3"/>
  <c r="E1387" i="3"/>
  <c r="D1387" i="3"/>
  <c r="H1387" i="3" s="1"/>
  <c r="I1387" i="3" s="1"/>
  <c r="C1387" i="3"/>
  <c r="B1387" i="3"/>
  <c r="A1387" i="3"/>
  <c r="F1386" i="3"/>
  <c r="E1386" i="3"/>
  <c r="D1386" i="3"/>
  <c r="H1386" i="3" s="1"/>
  <c r="I1386" i="3" s="1"/>
  <c r="C1386" i="3"/>
  <c r="B1386" i="3"/>
  <c r="A1386" i="3"/>
  <c r="H1385" i="3"/>
  <c r="I1385" i="3" s="1"/>
  <c r="F1385" i="3"/>
  <c r="E1385" i="3"/>
  <c r="D1385" i="3"/>
  <c r="C1385" i="3"/>
  <c r="B1385" i="3"/>
  <c r="A1385" i="3"/>
  <c r="I1384" i="3"/>
  <c r="H1384" i="3"/>
  <c r="F1384" i="3"/>
  <c r="E1384" i="3"/>
  <c r="D1384" i="3"/>
  <c r="C1384" i="3"/>
  <c r="B1384" i="3"/>
  <c r="A1384" i="3"/>
  <c r="H1383" i="3"/>
  <c r="I1383" i="3" s="1"/>
  <c r="F1383" i="3"/>
  <c r="E1383" i="3"/>
  <c r="D1383" i="3"/>
  <c r="C1383" i="3"/>
  <c r="B1383" i="3"/>
  <c r="A1383" i="3"/>
  <c r="H1382" i="3"/>
  <c r="I1382" i="3" s="1"/>
  <c r="F1382" i="3"/>
  <c r="E1382" i="3"/>
  <c r="D1382" i="3"/>
  <c r="C1382" i="3"/>
  <c r="B1382" i="3"/>
  <c r="A1382" i="3"/>
  <c r="F1381" i="3"/>
  <c r="E1381" i="3"/>
  <c r="D1381" i="3"/>
  <c r="H1381" i="3" s="1"/>
  <c r="I1381" i="3" s="1"/>
  <c r="C1381" i="3"/>
  <c r="B1381" i="3"/>
  <c r="A1381" i="3"/>
  <c r="F1380" i="3"/>
  <c r="E1380" i="3"/>
  <c r="D1380" i="3"/>
  <c r="H1380" i="3" s="1"/>
  <c r="I1380" i="3" s="1"/>
  <c r="C1380" i="3"/>
  <c r="B1380" i="3"/>
  <c r="A1380" i="3"/>
  <c r="F1379" i="3"/>
  <c r="E1379" i="3"/>
  <c r="D1379" i="3"/>
  <c r="H1379" i="3" s="1"/>
  <c r="I1379" i="3" s="1"/>
  <c r="C1379" i="3"/>
  <c r="B1379" i="3"/>
  <c r="A1379" i="3"/>
  <c r="F1378" i="3"/>
  <c r="E1378" i="3"/>
  <c r="D1378" i="3"/>
  <c r="H1378" i="3" s="1"/>
  <c r="I1378" i="3" s="1"/>
  <c r="C1378" i="3"/>
  <c r="B1378" i="3"/>
  <c r="A1378" i="3"/>
  <c r="H1377" i="3"/>
  <c r="I1377" i="3" s="1"/>
  <c r="F1377" i="3"/>
  <c r="E1377" i="3"/>
  <c r="D1377" i="3"/>
  <c r="C1377" i="3"/>
  <c r="B1377" i="3"/>
  <c r="A1377" i="3"/>
  <c r="I1376" i="3"/>
  <c r="H1376" i="3"/>
  <c r="F1376" i="3"/>
  <c r="E1376" i="3"/>
  <c r="D1376" i="3"/>
  <c r="C1376" i="3"/>
  <c r="B1376" i="3"/>
  <c r="A1376" i="3"/>
  <c r="H1375" i="3"/>
  <c r="I1375" i="3" s="1"/>
  <c r="F1375" i="3"/>
  <c r="E1375" i="3"/>
  <c r="D1375" i="3"/>
  <c r="C1375" i="3"/>
  <c r="B1375" i="3"/>
  <c r="A1375" i="3"/>
  <c r="H1374" i="3"/>
  <c r="I1374" i="3" s="1"/>
  <c r="F1374" i="3"/>
  <c r="E1374" i="3"/>
  <c r="D1374" i="3"/>
  <c r="C1374" i="3"/>
  <c r="B1374" i="3"/>
  <c r="A1374" i="3"/>
  <c r="F1373" i="3"/>
  <c r="E1373" i="3"/>
  <c r="D1373" i="3"/>
  <c r="H1373" i="3" s="1"/>
  <c r="C1373" i="3"/>
  <c r="B1373" i="3"/>
  <c r="A1373" i="3"/>
  <c r="F1372" i="3"/>
  <c r="E1372" i="3"/>
  <c r="D1372" i="3"/>
  <c r="H1372" i="3" s="1"/>
  <c r="I1372" i="3" s="1"/>
  <c r="C1372" i="3"/>
  <c r="B1372" i="3"/>
  <c r="A1372" i="3"/>
  <c r="F1371" i="3"/>
  <c r="E1371" i="3"/>
  <c r="D1371" i="3"/>
  <c r="H1371" i="3" s="1"/>
  <c r="I1371" i="3" s="1"/>
  <c r="C1371" i="3"/>
  <c r="B1371" i="3"/>
  <c r="A1371" i="3"/>
  <c r="F1370" i="3"/>
  <c r="E1370" i="3"/>
  <c r="D1370" i="3"/>
  <c r="H1370" i="3" s="1"/>
  <c r="I1370" i="3" s="1"/>
  <c r="C1370" i="3"/>
  <c r="B1370" i="3"/>
  <c r="A1370" i="3"/>
  <c r="H1369" i="3"/>
  <c r="I1369" i="3" s="1"/>
  <c r="F1369" i="3"/>
  <c r="E1369" i="3"/>
  <c r="D1369" i="3"/>
  <c r="C1369" i="3"/>
  <c r="B1369" i="3"/>
  <c r="A1369" i="3"/>
  <c r="H1368" i="3"/>
  <c r="F1368" i="3"/>
  <c r="E1368" i="3"/>
  <c r="D1368" i="3"/>
  <c r="C1368" i="3"/>
  <c r="I1368" i="3" s="1"/>
  <c r="B1368" i="3"/>
  <c r="A1368" i="3"/>
  <c r="H1367" i="3"/>
  <c r="I1367" i="3" s="1"/>
  <c r="F1367" i="3"/>
  <c r="E1367" i="3"/>
  <c r="D1367" i="3"/>
  <c r="C1367" i="3"/>
  <c r="B1367" i="3"/>
  <c r="A1367" i="3"/>
  <c r="H1366" i="3"/>
  <c r="F1366" i="3"/>
  <c r="E1366" i="3"/>
  <c r="D1366" i="3"/>
  <c r="C1366" i="3"/>
  <c r="B1366" i="3"/>
  <c r="A1366" i="3"/>
  <c r="F1365" i="3"/>
  <c r="E1365" i="3"/>
  <c r="D1365" i="3"/>
  <c r="H1365" i="3" s="1"/>
  <c r="C1365" i="3"/>
  <c r="B1365" i="3"/>
  <c r="A1365" i="3"/>
  <c r="F1364" i="3"/>
  <c r="E1364" i="3"/>
  <c r="D1364" i="3"/>
  <c r="H1364" i="3" s="1"/>
  <c r="I1364" i="3" s="1"/>
  <c r="C1364" i="3"/>
  <c r="B1364" i="3"/>
  <c r="A1364" i="3"/>
  <c r="F1363" i="3"/>
  <c r="E1363" i="3"/>
  <c r="D1363" i="3"/>
  <c r="H1363" i="3" s="1"/>
  <c r="I1363" i="3" s="1"/>
  <c r="C1363" i="3"/>
  <c r="B1363" i="3"/>
  <c r="A1363" i="3"/>
  <c r="F1362" i="3"/>
  <c r="E1362" i="3"/>
  <c r="D1362" i="3"/>
  <c r="H1362" i="3" s="1"/>
  <c r="I1362" i="3" s="1"/>
  <c r="C1362" i="3"/>
  <c r="B1362" i="3"/>
  <c r="A1362" i="3"/>
  <c r="H1361" i="3"/>
  <c r="I1361" i="3" s="1"/>
  <c r="F1361" i="3"/>
  <c r="E1361" i="3"/>
  <c r="D1361" i="3"/>
  <c r="C1361" i="3"/>
  <c r="B1361" i="3"/>
  <c r="A1361" i="3"/>
  <c r="H1360" i="3"/>
  <c r="F1360" i="3"/>
  <c r="E1360" i="3"/>
  <c r="D1360" i="3"/>
  <c r="C1360" i="3"/>
  <c r="I1360" i="3" s="1"/>
  <c r="B1360" i="3"/>
  <c r="A1360" i="3"/>
  <c r="H1359" i="3"/>
  <c r="I1359" i="3" s="1"/>
  <c r="F1359" i="3"/>
  <c r="E1359" i="3"/>
  <c r="D1359" i="3"/>
  <c r="C1359" i="3"/>
  <c r="B1359" i="3"/>
  <c r="A1359" i="3"/>
  <c r="H1358" i="3"/>
  <c r="I1358" i="3" s="1"/>
  <c r="F1358" i="3"/>
  <c r="E1358" i="3"/>
  <c r="D1358" i="3"/>
  <c r="C1358" i="3"/>
  <c r="B1358" i="3"/>
  <c r="A1358" i="3"/>
  <c r="F1357" i="3"/>
  <c r="E1357" i="3"/>
  <c r="D1357" i="3"/>
  <c r="H1357" i="3" s="1"/>
  <c r="C1357" i="3"/>
  <c r="B1357" i="3"/>
  <c r="A1357" i="3"/>
  <c r="F1356" i="3"/>
  <c r="E1356" i="3"/>
  <c r="D1356" i="3"/>
  <c r="H1356" i="3" s="1"/>
  <c r="I1356" i="3" s="1"/>
  <c r="C1356" i="3"/>
  <c r="B1356" i="3"/>
  <c r="A1356" i="3"/>
  <c r="F1355" i="3"/>
  <c r="E1355" i="3"/>
  <c r="D1355" i="3"/>
  <c r="H1355" i="3" s="1"/>
  <c r="I1355" i="3" s="1"/>
  <c r="C1355" i="3"/>
  <c r="B1355" i="3"/>
  <c r="A1355" i="3"/>
  <c r="F1354" i="3"/>
  <c r="E1354" i="3"/>
  <c r="D1354" i="3"/>
  <c r="H1354" i="3" s="1"/>
  <c r="I1354" i="3" s="1"/>
  <c r="C1354" i="3"/>
  <c r="B1354" i="3"/>
  <c r="A1354" i="3"/>
  <c r="H1353" i="3"/>
  <c r="I1353" i="3" s="1"/>
  <c r="F1353" i="3"/>
  <c r="E1353" i="3"/>
  <c r="D1353" i="3"/>
  <c r="C1353" i="3"/>
  <c r="B1353" i="3"/>
  <c r="A1353" i="3"/>
  <c r="H1352" i="3"/>
  <c r="F1352" i="3"/>
  <c r="E1352" i="3"/>
  <c r="D1352" i="3"/>
  <c r="C1352" i="3"/>
  <c r="I1352" i="3" s="1"/>
  <c r="B1352" i="3"/>
  <c r="A1352" i="3"/>
  <c r="H1351" i="3"/>
  <c r="I1351" i="3" s="1"/>
  <c r="F1351" i="3"/>
  <c r="E1351" i="3"/>
  <c r="D1351" i="3"/>
  <c r="C1351" i="3"/>
  <c r="B1351" i="3"/>
  <c r="A1351" i="3"/>
  <c r="H1350" i="3"/>
  <c r="F1350" i="3"/>
  <c r="E1350" i="3"/>
  <c r="D1350" i="3"/>
  <c r="C1350" i="3"/>
  <c r="B1350" i="3"/>
  <c r="A1350" i="3"/>
  <c r="F1349" i="3"/>
  <c r="E1349" i="3"/>
  <c r="D1349" i="3"/>
  <c r="H1349" i="3" s="1"/>
  <c r="C1349" i="3"/>
  <c r="B1349" i="3"/>
  <c r="A1349" i="3"/>
  <c r="F1348" i="3"/>
  <c r="E1348" i="3"/>
  <c r="D1348" i="3"/>
  <c r="H1348" i="3" s="1"/>
  <c r="I1348" i="3" s="1"/>
  <c r="C1348" i="3"/>
  <c r="B1348" i="3"/>
  <c r="A1348" i="3"/>
  <c r="F1347" i="3"/>
  <c r="E1347" i="3"/>
  <c r="D1347" i="3"/>
  <c r="H1347" i="3" s="1"/>
  <c r="I1347" i="3" s="1"/>
  <c r="C1347" i="3"/>
  <c r="B1347" i="3"/>
  <c r="A1347" i="3"/>
  <c r="F1346" i="3"/>
  <c r="E1346" i="3"/>
  <c r="D1346" i="3"/>
  <c r="H1346" i="3" s="1"/>
  <c r="I1346" i="3" s="1"/>
  <c r="C1346" i="3"/>
  <c r="B1346" i="3"/>
  <c r="A1346" i="3"/>
  <c r="H1345" i="3"/>
  <c r="I1345" i="3" s="1"/>
  <c r="F1345" i="3"/>
  <c r="E1345" i="3"/>
  <c r="D1345" i="3"/>
  <c r="C1345" i="3"/>
  <c r="B1345" i="3"/>
  <c r="A1345" i="3"/>
  <c r="H1344" i="3"/>
  <c r="I1344" i="3" s="1"/>
  <c r="F1344" i="3"/>
  <c r="E1344" i="3"/>
  <c r="D1344" i="3"/>
  <c r="C1344" i="3"/>
  <c r="B1344" i="3"/>
  <c r="A1344" i="3"/>
  <c r="H1343" i="3"/>
  <c r="I1343" i="3" s="1"/>
  <c r="F1343" i="3"/>
  <c r="E1343" i="3"/>
  <c r="D1343" i="3"/>
  <c r="C1343" i="3"/>
  <c r="B1343" i="3"/>
  <c r="A1343" i="3"/>
  <c r="H1342" i="3"/>
  <c r="F1342" i="3"/>
  <c r="E1342" i="3"/>
  <c r="D1342" i="3"/>
  <c r="C1342" i="3"/>
  <c r="B1342" i="3"/>
  <c r="A1342" i="3"/>
  <c r="F1341" i="3"/>
  <c r="E1341" i="3"/>
  <c r="D1341" i="3"/>
  <c r="H1341" i="3" s="1"/>
  <c r="I1341" i="3" s="1"/>
  <c r="C1341" i="3"/>
  <c r="B1341" i="3"/>
  <c r="A1341" i="3"/>
  <c r="F1340" i="3"/>
  <c r="E1340" i="3"/>
  <c r="D1340" i="3"/>
  <c r="H1340" i="3" s="1"/>
  <c r="I1340" i="3" s="1"/>
  <c r="C1340" i="3"/>
  <c r="B1340" i="3"/>
  <c r="A1340" i="3"/>
  <c r="F1339" i="3"/>
  <c r="E1339" i="3"/>
  <c r="D1339" i="3"/>
  <c r="H1339" i="3" s="1"/>
  <c r="I1339" i="3" s="1"/>
  <c r="C1339" i="3"/>
  <c r="B1339" i="3"/>
  <c r="A1339" i="3"/>
  <c r="F1338" i="3"/>
  <c r="E1338" i="3"/>
  <c r="D1338" i="3"/>
  <c r="H1338" i="3" s="1"/>
  <c r="I1338" i="3" s="1"/>
  <c r="C1338" i="3"/>
  <c r="B1338" i="3"/>
  <c r="A1338" i="3"/>
  <c r="H1337" i="3"/>
  <c r="I1337" i="3" s="1"/>
  <c r="F1337" i="3"/>
  <c r="E1337" i="3"/>
  <c r="D1337" i="3"/>
  <c r="C1337" i="3"/>
  <c r="B1337" i="3"/>
  <c r="A1337" i="3"/>
  <c r="H1336" i="3"/>
  <c r="I1336" i="3" s="1"/>
  <c r="F1336" i="3"/>
  <c r="E1336" i="3"/>
  <c r="D1336" i="3"/>
  <c r="C1336" i="3"/>
  <c r="B1336" i="3"/>
  <c r="A1336" i="3"/>
  <c r="H1335" i="3"/>
  <c r="I1335" i="3" s="1"/>
  <c r="F1335" i="3"/>
  <c r="E1335" i="3"/>
  <c r="D1335" i="3"/>
  <c r="C1335" i="3"/>
  <c r="B1335" i="3"/>
  <c r="A1335" i="3"/>
  <c r="H1334" i="3"/>
  <c r="I1334" i="3" s="1"/>
  <c r="F1334" i="3"/>
  <c r="E1334" i="3"/>
  <c r="D1334" i="3"/>
  <c r="C1334" i="3"/>
  <c r="B1334" i="3"/>
  <c r="A1334" i="3"/>
  <c r="F1333" i="3"/>
  <c r="E1333" i="3"/>
  <c r="D1333" i="3"/>
  <c r="H1333" i="3" s="1"/>
  <c r="C1333" i="3"/>
  <c r="B1333" i="3"/>
  <c r="A1333" i="3"/>
  <c r="F1332" i="3"/>
  <c r="E1332" i="3"/>
  <c r="D1332" i="3"/>
  <c r="H1332" i="3" s="1"/>
  <c r="I1332" i="3" s="1"/>
  <c r="C1332" i="3"/>
  <c r="B1332" i="3"/>
  <c r="A1332" i="3"/>
  <c r="F1331" i="3"/>
  <c r="E1331" i="3"/>
  <c r="D1331" i="3"/>
  <c r="H1331" i="3" s="1"/>
  <c r="I1331" i="3" s="1"/>
  <c r="C1331" i="3"/>
  <c r="B1331" i="3"/>
  <c r="A1331" i="3"/>
  <c r="F1330" i="3"/>
  <c r="E1330" i="3"/>
  <c r="D1330" i="3"/>
  <c r="H1330" i="3" s="1"/>
  <c r="I1330" i="3" s="1"/>
  <c r="C1330" i="3"/>
  <c r="B1330" i="3"/>
  <c r="A1330" i="3"/>
  <c r="H1329" i="3"/>
  <c r="I1329" i="3" s="1"/>
  <c r="F1329" i="3"/>
  <c r="E1329" i="3"/>
  <c r="D1329" i="3"/>
  <c r="C1329" i="3"/>
  <c r="B1329" i="3"/>
  <c r="A1329" i="3"/>
  <c r="H1328" i="3"/>
  <c r="I1328" i="3" s="1"/>
  <c r="F1328" i="3"/>
  <c r="E1328" i="3"/>
  <c r="D1328" i="3"/>
  <c r="C1328" i="3"/>
  <c r="B1328" i="3"/>
  <c r="A1328" i="3"/>
  <c r="H1327" i="3"/>
  <c r="I1327" i="3" s="1"/>
  <c r="F1327" i="3"/>
  <c r="E1327" i="3"/>
  <c r="D1327" i="3"/>
  <c r="C1327" i="3"/>
  <c r="B1327" i="3"/>
  <c r="A1327" i="3"/>
  <c r="H1326" i="3"/>
  <c r="F1326" i="3"/>
  <c r="E1326" i="3"/>
  <c r="D1326" i="3"/>
  <c r="C1326" i="3"/>
  <c r="B1326" i="3"/>
  <c r="A1326" i="3"/>
  <c r="F1325" i="3"/>
  <c r="E1325" i="3"/>
  <c r="D1325" i="3"/>
  <c r="H1325" i="3" s="1"/>
  <c r="I1325" i="3" s="1"/>
  <c r="C1325" i="3"/>
  <c r="B1325" i="3"/>
  <c r="A1325" i="3"/>
  <c r="R1324" i="3"/>
  <c r="J1324" i="3"/>
  <c r="I1324" i="3"/>
  <c r="F1324" i="3"/>
  <c r="E1324" i="3"/>
  <c r="D1324" i="3"/>
  <c r="H1324" i="3" s="1"/>
  <c r="C1324" i="3"/>
  <c r="B1324" i="3"/>
  <c r="A1324" i="3"/>
  <c r="F1323" i="3"/>
  <c r="E1323" i="3"/>
  <c r="D1323" i="3"/>
  <c r="H1323" i="3" s="1"/>
  <c r="I1323" i="3" s="1"/>
  <c r="C1323" i="3"/>
  <c r="B1323" i="3"/>
  <c r="A1323" i="3"/>
  <c r="F1322" i="3"/>
  <c r="E1322" i="3"/>
  <c r="D1322" i="3"/>
  <c r="H1322" i="3" s="1"/>
  <c r="I1322" i="3" s="1"/>
  <c r="C1322" i="3"/>
  <c r="B1322" i="3"/>
  <c r="A1322" i="3"/>
  <c r="H1321" i="3"/>
  <c r="I1321" i="3" s="1"/>
  <c r="F1321" i="3"/>
  <c r="E1321" i="3"/>
  <c r="D1321" i="3"/>
  <c r="C1321" i="3"/>
  <c r="B1321" i="3"/>
  <c r="A1321" i="3"/>
  <c r="H1320" i="3"/>
  <c r="I1320" i="3" s="1"/>
  <c r="F1320" i="3"/>
  <c r="E1320" i="3"/>
  <c r="D1320" i="3"/>
  <c r="C1320" i="3"/>
  <c r="B1320" i="3"/>
  <c r="A1320" i="3"/>
  <c r="H1319" i="3"/>
  <c r="I1319" i="3" s="1"/>
  <c r="F1319" i="3"/>
  <c r="E1319" i="3"/>
  <c r="D1319" i="3"/>
  <c r="C1319" i="3"/>
  <c r="B1319" i="3"/>
  <c r="A1319" i="3"/>
  <c r="H1318" i="3"/>
  <c r="I1318" i="3" s="1"/>
  <c r="F1318" i="3"/>
  <c r="E1318" i="3"/>
  <c r="D1318" i="3"/>
  <c r="C1318" i="3"/>
  <c r="B1318" i="3"/>
  <c r="A1318" i="3"/>
  <c r="F1317" i="3"/>
  <c r="E1317" i="3"/>
  <c r="D1317" i="3"/>
  <c r="H1317" i="3" s="1"/>
  <c r="I1317" i="3" s="1"/>
  <c r="C1317" i="3"/>
  <c r="B1317" i="3"/>
  <c r="A1317" i="3"/>
  <c r="I1316" i="3"/>
  <c r="F1316" i="3"/>
  <c r="E1316" i="3"/>
  <c r="D1316" i="3"/>
  <c r="H1316" i="3" s="1"/>
  <c r="C1316" i="3"/>
  <c r="B1316" i="3"/>
  <c r="A1316" i="3"/>
  <c r="I1315" i="3"/>
  <c r="F1315" i="3"/>
  <c r="E1315" i="3"/>
  <c r="D1315" i="3"/>
  <c r="H1315" i="3" s="1"/>
  <c r="C1315" i="3"/>
  <c r="B1315" i="3"/>
  <c r="A1315" i="3"/>
  <c r="F1314" i="3"/>
  <c r="E1314" i="3"/>
  <c r="D1314" i="3"/>
  <c r="H1314" i="3" s="1"/>
  <c r="I1314" i="3" s="1"/>
  <c r="C1314" i="3"/>
  <c r="B1314" i="3"/>
  <c r="A1314" i="3"/>
  <c r="H1313" i="3"/>
  <c r="I1313" i="3" s="1"/>
  <c r="F1313" i="3"/>
  <c r="E1313" i="3"/>
  <c r="D1313" i="3"/>
  <c r="C1313" i="3"/>
  <c r="B1313" i="3"/>
  <c r="A1313" i="3"/>
  <c r="H1312" i="3"/>
  <c r="I1312" i="3" s="1"/>
  <c r="F1312" i="3"/>
  <c r="E1312" i="3"/>
  <c r="D1312" i="3"/>
  <c r="C1312" i="3"/>
  <c r="B1312" i="3"/>
  <c r="A1312" i="3"/>
  <c r="H1311" i="3"/>
  <c r="I1311" i="3" s="1"/>
  <c r="F1311" i="3"/>
  <c r="E1311" i="3"/>
  <c r="D1311" i="3"/>
  <c r="C1311" i="3"/>
  <c r="B1311" i="3"/>
  <c r="A1311" i="3"/>
  <c r="H1310" i="3"/>
  <c r="F1310" i="3"/>
  <c r="E1310" i="3"/>
  <c r="D1310" i="3"/>
  <c r="C1310" i="3"/>
  <c r="I1310" i="3" s="1"/>
  <c r="B1310" i="3"/>
  <c r="A1310" i="3"/>
  <c r="I1309" i="3"/>
  <c r="F1309" i="3"/>
  <c r="E1309" i="3"/>
  <c r="D1309" i="3"/>
  <c r="H1309" i="3" s="1"/>
  <c r="C1309" i="3"/>
  <c r="B1309" i="3"/>
  <c r="A1309" i="3"/>
  <c r="I1308" i="3"/>
  <c r="F1308" i="3"/>
  <c r="E1308" i="3"/>
  <c r="D1308" i="3"/>
  <c r="H1308" i="3" s="1"/>
  <c r="C1308" i="3"/>
  <c r="B1308" i="3"/>
  <c r="A1308" i="3"/>
  <c r="I1307" i="3"/>
  <c r="F1307" i="3"/>
  <c r="E1307" i="3"/>
  <c r="D1307" i="3"/>
  <c r="H1307" i="3" s="1"/>
  <c r="C1307" i="3"/>
  <c r="B1307" i="3"/>
  <c r="A1307" i="3"/>
  <c r="F1306" i="3"/>
  <c r="E1306" i="3"/>
  <c r="D1306" i="3"/>
  <c r="H1306" i="3" s="1"/>
  <c r="I1306" i="3" s="1"/>
  <c r="C1306" i="3"/>
  <c r="B1306" i="3"/>
  <c r="A1306" i="3"/>
  <c r="H1305" i="3"/>
  <c r="I1305" i="3" s="1"/>
  <c r="F1305" i="3"/>
  <c r="E1305" i="3"/>
  <c r="D1305" i="3"/>
  <c r="C1305" i="3"/>
  <c r="B1305" i="3"/>
  <c r="A1305" i="3"/>
  <c r="H1304" i="3"/>
  <c r="F1304" i="3"/>
  <c r="E1304" i="3"/>
  <c r="D1304" i="3"/>
  <c r="C1304" i="3"/>
  <c r="B1304" i="3"/>
  <c r="A1304" i="3"/>
  <c r="H1303" i="3"/>
  <c r="I1303" i="3" s="1"/>
  <c r="F1303" i="3"/>
  <c r="E1303" i="3"/>
  <c r="D1303" i="3"/>
  <c r="C1303" i="3"/>
  <c r="B1303" i="3"/>
  <c r="A1303" i="3"/>
  <c r="H1302" i="3"/>
  <c r="I1302" i="3" s="1"/>
  <c r="F1302" i="3"/>
  <c r="E1302" i="3"/>
  <c r="D1302" i="3"/>
  <c r="C1302" i="3"/>
  <c r="B1302" i="3"/>
  <c r="A1302" i="3"/>
  <c r="F1301" i="3"/>
  <c r="E1301" i="3"/>
  <c r="D1301" i="3"/>
  <c r="H1301" i="3" s="1"/>
  <c r="C1301" i="3"/>
  <c r="B1301" i="3"/>
  <c r="A1301" i="3"/>
  <c r="F1300" i="3"/>
  <c r="E1300" i="3"/>
  <c r="D1300" i="3"/>
  <c r="H1300" i="3" s="1"/>
  <c r="I1300" i="3" s="1"/>
  <c r="C1300" i="3"/>
  <c r="B1300" i="3"/>
  <c r="A1300" i="3"/>
  <c r="F1299" i="3"/>
  <c r="E1299" i="3"/>
  <c r="D1299" i="3"/>
  <c r="H1299" i="3" s="1"/>
  <c r="I1299" i="3" s="1"/>
  <c r="C1299" i="3"/>
  <c r="B1299" i="3"/>
  <c r="A1299" i="3"/>
  <c r="F1298" i="3"/>
  <c r="E1298" i="3"/>
  <c r="D1298" i="3"/>
  <c r="H1298" i="3" s="1"/>
  <c r="C1298" i="3"/>
  <c r="B1298" i="3"/>
  <c r="A1298" i="3"/>
  <c r="H1297" i="3"/>
  <c r="I1297" i="3" s="1"/>
  <c r="F1297" i="3"/>
  <c r="E1297" i="3"/>
  <c r="D1297" i="3"/>
  <c r="C1297" i="3"/>
  <c r="B1297" i="3"/>
  <c r="A1297" i="3"/>
  <c r="H1296" i="3"/>
  <c r="I1296" i="3" s="1"/>
  <c r="F1296" i="3"/>
  <c r="E1296" i="3"/>
  <c r="D1296" i="3"/>
  <c r="C1296" i="3"/>
  <c r="B1296" i="3"/>
  <c r="A1296" i="3"/>
  <c r="F1295" i="3"/>
  <c r="E1295" i="3"/>
  <c r="D1295" i="3"/>
  <c r="H1295" i="3" s="1"/>
  <c r="I1295" i="3" s="1"/>
  <c r="C1295" i="3"/>
  <c r="B1295" i="3"/>
  <c r="A1295" i="3"/>
  <c r="F1294" i="3"/>
  <c r="E1294" i="3"/>
  <c r="D1294" i="3"/>
  <c r="H1294" i="3" s="1"/>
  <c r="C1294" i="3"/>
  <c r="B1294" i="3"/>
  <c r="A1294" i="3"/>
  <c r="F1293" i="3"/>
  <c r="E1293" i="3"/>
  <c r="D1293" i="3"/>
  <c r="H1293" i="3" s="1"/>
  <c r="C1293" i="3"/>
  <c r="B1293" i="3"/>
  <c r="A1293" i="3"/>
  <c r="F1292" i="3"/>
  <c r="E1292" i="3"/>
  <c r="D1292" i="3"/>
  <c r="H1292" i="3" s="1"/>
  <c r="I1292" i="3" s="1"/>
  <c r="C1292" i="3"/>
  <c r="B1292" i="3"/>
  <c r="A1292" i="3"/>
  <c r="F1291" i="3"/>
  <c r="E1291" i="3"/>
  <c r="D1291" i="3"/>
  <c r="H1291" i="3" s="1"/>
  <c r="I1291" i="3" s="1"/>
  <c r="C1291" i="3"/>
  <c r="B1291" i="3"/>
  <c r="A1291" i="3"/>
  <c r="F1290" i="3"/>
  <c r="E1290" i="3"/>
  <c r="D1290" i="3"/>
  <c r="H1290" i="3" s="1"/>
  <c r="I1290" i="3" s="1"/>
  <c r="C1290" i="3"/>
  <c r="B1290" i="3"/>
  <c r="A1290" i="3"/>
  <c r="H1289" i="3"/>
  <c r="F1289" i="3"/>
  <c r="E1289" i="3"/>
  <c r="D1289" i="3"/>
  <c r="C1289" i="3"/>
  <c r="B1289" i="3"/>
  <c r="A1289" i="3"/>
  <c r="H1288" i="3"/>
  <c r="I1288" i="3" s="1"/>
  <c r="F1288" i="3"/>
  <c r="E1288" i="3"/>
  <c r="D1288" i="3"/>
  <c r="C1288" i="3"/>
  <c r="B1288" i="3"/>
  <c r="A1288" i="3"/>
  <c r="F1287" i="3"/>
  <c r="E1287" i="3"/>
  <c r="D1287" i="3"/>
  <c r="H1287" i="3" s="1"/>
  <c r="I1287" i="3" s="1"/>
  <c r="C1287" i="3"/>
  <c r="B1287" i="3"/>
  <c r="A1287" i="3"/>
  <c r="I1286" i="3"/>
  <c r="F1286" i="3"/>
  <c r="E1286" i="3"/>
  <c r="D1286" i="3"/>
  <c r="H1286" i="3" s="1"/>
  <c r="C1286" i="3"/>
  <c r="B1286" i="3"/>
  <c r="A1286" i="3"/>
  <c r="F1285" i="3"/>
  <c r="E1285" i="3"/>
  <c r="D1285" i="3"/>
  <c r="H1285" i="3" s="1"/>
  <c r="I1285" i="3" s="1"/>
  <c r="C1285" i="3"/>
  <c r="B1285" i="3"/>
  <c r="A1285" i="3"/>
  <c r="I1284" i="3"/>
  <c r="F1284" i="3"/>
  <c r="E1284" i="3"/>
  <c r="D1284" i="3"/>
  <c r="H1284" i="3" s="1"/>
  <c r="C1284" i="3"/>
  <c r="B1284" i="3"/>
  <c r="A1284" i="3"/>
  <c r="H1283" i="3"/>
  <c r="I1283" i="3" s="1"/>
  <c r="F1283" i="3"/>
  <c r="E1283" i="3"/>
  <c r="D1283" i="3"/>
  <c r="C1283" i="3"/>
  <c r="B1283" i="3"/>
  <c r="A1283" i="3"/>
  <c r="H1282" i="3"/>
  <c r="I1282" i="3" s="1"/>
  <c r="F1282" i="3"/>
  <c r="E1282" i="3"/>
  <c r="D1282" i="3"/>
  <c r="C1282" i="3"/>
  <c r="B1282" i="3"/>
  <c r="A1282" i="3"/>
  <c r="H1281" i="3"/>
  <c r="I1281" i="3" s="1"/>
  <c r="F1281" i="3"/>
  <c r="E1281" i="3"/>
  <c r="D1281" i="3"/>
  <c r="C1281" i="3"/>
  <c r="B1281" i="3"/>
  <c r="A1281" i="3"/>
  <c r="I1280" i="3"/>
  <c r="H1280" i="3"/>
  <c r="F1280" i="3"/>
  <c r="E1280" i="3"/>
  <c r="D1280" i="3"/>
  <c r="C1280" i="3"/>
  <c r="B1280" i="3"/>
  <c r="A1280" i="3"/>
  <c r="H1279" i="3"/>
  <c r="I1279" i="3" s="1"/>
  <c r="F1279" i="3"/>
  <c r="E1279" i="3"/>
  <c r="D1279" i="3"/>
  <c r="C1279" i="3"/>
  <c r="B1279" i="3"/>
  <c r="A1279" i="3"/>
  <c r="H1278" i="3"/>
  <c r="I1278" i="3" s="1"/>
  <c r="F1278" i="3"/>
  <c r="E1278" i="3"/>
  <c r="D1278" i="3"/>
  <c r="C1278" i="3"/>
  <c r="B1278" i="3"/>
  <c r="A1278" i="3"/>
  <c r="I1277" i="3"/>
  <c r="F1277" i="3"/>
  <c r="E1277" i="3"/>
  <c r="D1277" i="3"/>
  <c r="H1277" i="3" s="1"/>
  <c r="C1277" i="3"/>
  <c r="B1277" i="3"/>
  <c r="A1277" i="3"/>
  <c r="I1276" i="3"/>
  <c r="F1276" i="3"/>
  <c r="E1276" i="3"/>
  <c r="D1276" i="3"/>
  <c r="H1276" i="3" s="1"/>
  <c r="C1276" i="3"/>
  <c r="B1276" i="3"/>
  <c r="A1276" i="3"/>
  <c r="H1275" i="3"/>
  <c r="I1275" i="3" s="1"/>
  <c r="F1275" i="3"/>
  <c r="E1275" i="3"/>
  <c r="D1275" i="3"/>
  <c r="C1275" i="3"/>
  <c r="B1275" i="3"/>
  <c r="A1275" i="3"/>
  <c r="H1274" i="3"/>
  <c r="F1274" i="3"/>
  <c r="E1274" i="3"/>
  <c r="D1274" i="3"/>
  <c r="C1274" i="3"/>
  <c r="B1274" i="3"/>
  <c r="A1274" i="3"/>
  <c r="H1273" i="3"/>
  <c r="F1273" i="3"/>
  <c r="E1273" i="3"/>
  <c r="D1273" i="3"/>
  <c r="C1273" i="3"/>
  <c r="B1273" i="3"/>
  <c r="A1273" i="3"/>
  <c r="H1272" i="3"/>
  <c r="I1272" i="3" s="1"/>
  <c r="F1272" i="3"/>
  <c r="E1272" i="3"/>
  <c r="D1272" i="3"/>
  <c r="C1272" i="3"/>
  <c r="B1272" i="3"/>
  <c r="A1272" i="3"/>
  <c r="H1271" i="3"/>
  <c r="I1271" i="3" s="1"/>
  <c r="F1271" i="3"/>
  <c r="E1271" i="3"/>
  <c r="D1271" i="3"/>
  <c r="C1271" i="3"/>
  <c r="B1271" i="3"/>
  <c r="A1271" i="3"/>
  <c r="F1270" i="3"/>
  <c r="E1270" i="3"/>
  <c r="D1270" i="3"/>
  <c r="H1270" i="3" s="1"/>
  <c r="I1270" i="3" s="1"/>
  <c r="C1270" i="3"/>
  <c r="B1270" i="3"/>
  <c r="A1270" i="3"/>
  <c r="F1269" i="3"/>
  <c r="E1269" i="3"/>
  <c r="D1269" i="3"/>
  <c r="H1269" i="3" s="1"/>
  <c r="I1269" i="3" s="1"/>
  <c r="C1269" i="3"/>
  <c r="B1269" i="3"/>
  <c r="A1269" i="3"/>
  <c r="F1268" i="3"/>
  <c r="E1268" i="3"/>
  <c r="D1268" i="3"/>
  <c r="H1268" i="3" s="1"/>
  <c r="I1268" i="3" s="1"/>
  <c r="C1268" i="3"/>
  <c r="B1268" i="3"/>
  <c r="A1268" i="3"/>
  <c r="F1267" i="3"/>
  <c r="E1267" i="3"/>
  <c r="D1267" i="3"/>
  <c r="H1267" i="3" s="1"/>
  <c r="I1267" i="3" s="1"/>
  <c r="C1267" i="3"/>
  <c r="B1267" i="3"/>
  <c r="A1267" i="3"/>
  <c r="F1266" i="3"/>
  <c r="E1266" i="3"/>
  <c r="D1266" i="3"/>
  <c r="H1266" i="3" s="1"/>
  <c r="I1266" i="3" s="1"/>
  <c r="C1266" i="3"/>
  <c r="B1266" i="3"/>
  <c r="A1266" i="3"/>
  <c r="H1265" i="3"/>
  <c r="I1265" i="3" s="1"/>
  <c r="F1265" i="3"/>
  <c r="E1265" i="3"/>
  <c r="D1265" i="3"/>
  <c r="C1265" i="3"/>
  <c r="B1265" i="3"/>
  <c r="A1265" i="3"/>
  <c r="I1264" i="3"/>
  <c r="H1264" i="3"/>
  <c r="F1264" i="3"/>
  <c r="E1264" i="3"/>
  <c r="D1264" i="3"/>
  <c r="C1264" i="3"/>
  <c r="B1264" i="3"/>
  <c r="A1264" i="3"/>
  <c r="F1263" i="3"/>
  <c r="E1263" i="3"/>
  <c r="D1263" i="3"/>
  <c r="H1263" i="3" s="1"/>
  <c r="I1263" i="3" s="1"/>
  <c r="C1263" i="3"/>
  <c r="B1263" i="3"/>
  <c r="A1263" i="3"/>
  <c r="H1262" i="3"/>
  <c r="I1262" i="3" s="1"/>
  <c r="F1262" i="3"/>
  <c r="E1262" i="3"/>
  <c r="D1262" i="3"/>
  <c r="C1262" i="3"/>
  <c r="B1262" i="3"/>
  <c r="A1262" i="3"/>
  <c r="F1261" i="3"/>
  <c r="E1261" i="3"/>
  <c r="D1261" i="3"/>
  <c r="H1261" i="3" s="1"/>
  <c r="I1261" i="3" s="1"/>
  <c r="C1261" i="3"/>
  <c r="B1261" i="3"/>
  <c r="A1261" i="3"/>
  <c r="F1260" i="3"/>
  <c r="E1260" i="3"/>
  <c r="D1260" i="3"/>
  <c r="H1260" i="3" s="1"/>
  <c r="I1260" i="3" s="1"/>
  <c r="C1260" i="3"/>
  <c r="B1260" i="3"/>
  <c r="A1260" i="3"/>
  <c r="H1259" i="3"/>
  <c r="I1259" i="3" s="1"/>
  <c r="F1259" i="3"/>
  <c r="E1259" i="3"/>
  <c r="D1259" i="3"/>
  <c r="C1259" i="3"/>
  <c r="B1259" i="3"/>
  <c r="A1259" i="3"/>
  <c r="F1258" i="3"/>
  <c r="E1258" i="3"/>
  <c r="D1258" i="3"/>
  <c r="H1258" i="3" s="1"/>
  <c r="I1258" i="3" s="1"/>
  <c r="C1258" i="3"/>
  <c r="B1258" i="3"/>
  <c r="A1258" i="3"/>
  <c r="H1257" i="3"/>
  <c r="I1257" i="3" s="1"/>
  <c r="F1257" i="3"/>
  <c r="E1257" i="3"/>
  <c r="D1257" i="3"/>
  <c r="C1257" i="3"/>
  <c r="B1257" i="3"/>
  <c r="A1257" i="3"/>
  <c r="F1256" i="3"/>
  <c r="E1256" i="3"/>
  <c r="D1256" i="3"/>
  <c r="H1256" i="3" s="1"/>
  <c r="I1256" i="3" s="1"/>
  <c r="C1256" i="3"/>
  <c r="B1256" i="3"/>
  <c r="A1256" i="3"/>
  <c r="F1255" i="3"/>
  <c r="E1255" i="3"/>
  <c r="D1255" i="3"/>
  <c r="H1255" i="3" s="1"/>
  <c r="I1255" i="3" s="1"/>
  <c r="C1255" i="3"/>
  <c r="B1255" i="3"/>
  <c r="A1255" i="3"/>
  <c r="H1254" i="3"/>
  <c r="I1254" i="3" s="1"/>
  <c r="F1254" i="3"/>
  <c r="E1254" i="3"/>
  <c r="D1254" i="3"/>
  <c r="C1254" i="3"/>
  <c r="B1254" i="3"/>
  <c r="A1254" i="3"/>
  <c r="F1253" i="3"/>
  <c r="E1253" i="3"/>
  <c r="D1253" i="3"/>
  <c r="H1253" i="3" s="1"/>
  <c r="I1253" i="3" s="1"/>
  <c r="C1253" i="3"/>
  <c r="B1253" i="3"/>
  <c r="A1253" i="3"/>
  <c r="I1252" i="3"/>
  <c r="H1252" i="3"/>
  <c r="F1252" i="3"/>
  <c r="E1252" i="3"/>
  <c r="D1252" i="3"/>
  <c r="C1252" i="3"/>
  <c r="B1252" i="3"/>
  <c r="A1252" i="3"/>
  <c r="H1251" i="3"/>
  <c r="I1251" i="3" s="1"/>
  <c r="F1251" i="3"/>
  <c r="E1251" i="3"/>
  <c r="D1251" i="3"/>
  <c r="C1251" i="3"/>
  <c r="B1251" i="3"/>
  <c r="A1251" i="3"/>
  <c r="F1250" i="3"/>
  <c r="E1250" i="3"/>
  <c r="D1250" i="3"/>
  <c r="H1250" i="3" s="1"/>
  <c r="I1250" i="3" s="1"/>
  <c r="C1250" i="3"/>
  <c r="B1250" i="3"/>
  <c r="A1250" i="3"/>
  <c r="H1249" i="3"/>
  <c r="I1249" i="3" s="1"/>
  <c r="F1249" i="3"/>
  <c r="E1249" i="3"/>
  <c r="D1249" i="3"/>
  <c r="C1249" i="3"/>
  <c r="B1249" i="3"/>
  <c r="A1249" i="3"/>
  <c r="I1248" i="3"/>
  <c r="F1248" i="3"/>
  <c r="E1248" i="3"/>
  <c r="D1248" i="3"/>
  <c r="H1248" i="3" s="1"/>
  <c r="C1248" i="3"/>
  <c r="B1248" i="3"/>
  <c r="A1248" i="3"/>
  <c r="F1247" i="3"/>
  <c r="E1247" i="3"/>
  <c r="D1247" i="3"/>
  <c r="H1247" i="3" s="1"/>
  <c r="I1247" i="3" s="1"/>
  <c r="C1247" i="3"/>
  <c r="B1247" i="3"/>
  <c r="A1247" i="3"/>
  <c r="H1246" i="3"/>
  <c r="I1246" i="3" s="1"/>
  <c r="F1246" i="3"/>
  <c r="E1246" i="3"/>
  <c r="D1246" i="3"/>
  <c r="C1246" i="3"/>
  <c r="B1246" i="3"/>
  <c r="A1246" i="3"/>
  <c r="F1245" i="3"/>
  <c r="E1245" i="3"/>
  <c r="D1245" i="3"/>
  <c r="H1245" i="3" s="1"/>
  <c r="I1245" i="3" s="1"/>
  <c r="C1245" i="3"/>
  <c r="B1245" i="3"/>
  <c r="A1245" i="3"/>
  <c r="I1244" i="3"/>
  <c r="H1244" i="3"/>
  <c r="F1244" i="3"/>
  <c r="E1244" i="3"/>
  <c r="D1244" i="3"/>
  <c r="C1244" i="3"/>
  <c r="B1244" i="3"/>
  <c r="A1244" i="3"/>
  <c r="H1243" i="3"/>
  <c r="I1243" i="3" s="1"/>
  <c r="F1243" i="3"/>
  <c r="E1243" i="3"/>
  <c r="D1243" i="3"/>
  <c r="C1243" i="3"/>
  <c r="B1243" i="3"/>
  <c r="A1243" i="3"/>
  <c r="F1242" i="3"/>
  <c r="E1242" i="3"/>
  <c r="D1242" i="3"/>
  <c r="H1242" i="3" s="1"/>
  <c r="C1242" i="3"/>
  <c r="B1242" i="3"/>
  <c r="A1242" i="3"/>
  <c r="H1241" i="3"/>
  <c r="I1241" i="3" s="1"/>
  <c r="F1241" i="3"/>
  <c r="E1241" i="3"/>
  <c r="D1241" i="3"/>
  <c r="C1241" i="3"/>
  <c r="B1241" i="3"/>
  <c r="A1241" i="3"/>
  <c r="I1240" i="3"/>
  <c r="F1240" i="3"/>
  <c r="E1240" i="3"/>
  <c r="D1240" i="3"/>
  <c r="H1240" i="3" s="1"/>
  <c r="C1240" i="3"/>
  <c r="B1240" i="3"/>
  <c r="A1240" i="3"/>
  <c r="F1239" i="3"/>
  <c r="E1239" i="3"/>
  <c r="D1239" i="3"/>
  <c r="H1239" i="3" s="1"/>
  <c r="I1239" i="3" s="1"/>
  <c r="C1239" i="3"/>
  <c r="B1239" i="3"/>
  <c r="A1239" i="3"/>
  <c r="H1238" i="3"/>
  <c r="I1238" i="3" s="1"/>
  <c r="F1238" i="3"/>
  <c r="E1238" i="3"/>
  <c r="D1238" i="3"/>
  <c r="C1238" i="3"/>
  <c r="B1238" i="3"/>
  <c r="A1238" i="3"/>
  <c r="F1237" i="3"/>
  <c r="E1237" i="3"/>
  <c r="D1237" i="3"/>
  <c r="H1237" i="3" s="1"/>
  <c r="I1237" i="3" s="1"/>
  <c r="C1237" i="3"/>
  <c r="B1237" i="3"/>
  <c r="A1237" i="3"/>
  <c r="I1236" i="3"/>
  <c r="H1236" i="3"/>
  <c r="F1236" i="3"/>
  <c r="E1236" i="3"/>
  <c r="D1236" i="3"/>
  <c r="C1236" i="3"/>
  <c r="B1236" i="3"/>
  <c r="A1236" i="3"/>
  <c r="H1235" i="3"/>
  <c r="I1235" i="3" s="1"/>
  <c r="F1235" i="3"/>
  <c r="E1235" i="3"/>
  <c r="D1235" i="3"/>
  <c r="C1235" i="3"/>
  <c r="B1235" i="3"/>
  <c r="A1235" i="3"/>
  <c r="F1234" i="3"/>
  <c r="E1234" i="3"/>
  <c r="D1234" i="3"/>
  <c r="H1234" i="3" s="1"/>
  <c r="I1234" i="3" s="1"/>
  <c r="C1234" i="3"/>
  <c r="B1234" i="3"/>
  <c r="A1234" i="3"/>
  <c r="H1233" i="3"/>
  <c r="I1233" i="3" s="1"/>
  <c r="F1233" i="3"/>
  <c r="E1233" i="3"/>
  <c r="D1233" i="3"/>
  <c r="C1233" i="3"/>
  <c r="B1233" i="3"/>
  <c r="A1233" i="3"/>
  <c r="I1232" i="3"/>
  <c r="F1232" i="3"/>
  <c r="E1232" i="3"/>
  <c r="D1232" i="3"/>
  <c r="H1232" i="3" s="1"/>
  <c r="C1232" i="3"/>
  <c r="B1232" i="3"/>
  <c r="A1232" i="3"/>
  <c r="F1231" i="3"/>
  <c r="E1231" i="3"/>
  <c r="D1231" i="3"/>
  <c r="H1231" i="3" s="1"/>
  <c r="I1231" i="3" s="1"/>
  <c r="C1231" i="3"/>
  <c r="B1231" i="3"/>
  <c r="A1231" i="3"/>
  <c r="H1230" i="3"/>
  <c r="I1230" i="3" s="1"/>
  <c r="F1230" i="3"/>
  <c r="E1230" i="3"/>
  <c r="D1230" i="3"/>
  <c r="C1230" i="3"/>
  <c r="B1230" i="3"/>
  <c r="A1230" i="3"/>
  <c r="F1229" i="3"/>
  <c r="E1229" i="3"/>
  <c r="D1229" i="3"/>
  <c r="H1229" i="3" s="1"/>
  <c r="I1229" i="3" s="1"/>
  <c r="C1229" i="3"/>
  <c r="B1229" i="3"/>
  <c r="A1229" i="3"/>
  <c r="I1228" i="3"/>
  <c r="H1228" i="3"/>
  <c r="F1228" i="3"/>
  <c r="E1228" i="3"/>
  <c r="D1228" i="3"/>
  <c r="C1228" i="3"/>
  <c r="B1228" i="3"/>
  <c r="A1228" i="3"/>
  <c r="H1227" i="3"/>
  <c r="I1227" i="3" s="1"/>
  <c r="F1227" i="3"/>
  <c r="E1227" i="3"/>
  <c r="D1227" i="3"/>
  <c r="C1227" i="3"/>
  <c r="B1227" i="3"/>
  <c r="A1227" i="3"/>
  <c r="F1226" i="3"/>
  <c r="E1226" i="3"/>
  <c r="D1226" i="3"/>
  <c r="H1226" i="3" s="1"/>
  <c r="C1226" i="3"/>
  <c r="B1226" i="3"/>
  <c r="A1226" i="3"/>
  <c r="H1225" i="3"/>
  <c r="I1225" i="3" s="1"/>
  <c r="F1225" i="3"/>
  <c r="E1225" i="3"/>
  <c r="D1225" i="3"/>
  <c r="C1225" i="3"/>
  <c r="B1225" i="3"/>
  <c r="A1225" i="3"/>
  <c r="I1224" i="3"/>
  <c r="F1224" i="3"/>
  <c r="E1224" i="3"/>
  <c r="D1224" i="3"/>
  <c r="H1224" i="3" s="1"/>
  <c r="C1224" i="3"/>
  <c r="B1224" i="3"/>
  <c r="A1224" i="3"/>
  <c r="F1223" i="3"/>
  <c r="E1223" i="3"/>
  <c r="D1223" i="3"/>
  <c r="H1223" i="3" s="1"/>
  <c r="I1223" i="3" s="1"/>
  <c r="C1223" i="3"/>
  <c r="B1223" i="3"/>
  <c r="A1223" i="3"/>
  <c r="H1222" i="3"/>
  <c r="I1222" i="3" s="1"/>
  <c r="F1222" i="3"/>
  <c r="E1222" i="3"/>
  <c r="D1222" i="3"/>
  <c r="C1222" i="3"/>
  <c r="B1222" i="3"/>
  <c r="A1222" i="3"/>
  <c r="F1221" i="3"/>
  <c r="E1221" i="3"/>
  <c r="D1221" i="3"/>
  <c r="H1221" i="3" s="1"/>
  <c r="I1221" i="3" s="1"/>
  <c r="C1221" i="3"/>
  <c r="B1221" i="3"/>
  <c r="A1221" i="3"/>
  <c r="I1220" i="3"/>
  <c r="H1220" i="3"/>
  <c r="F1220" i="3"/>
  <c r="E1220" i="3"/>
  <c r="D1220" i="3"/>
  <c r="C1220" i="3"/>
  <c r="B1220" i="3"/>
  <c r="A1220" i="3"/>
  <c r="H1219" i="3"/>
  <c r="I1219" i="3" s="1"/>
  <c r="F1219" i="3"/>
  <c r="E1219" i="3"/>
  <c r="D1219" i="3"/>
  <c r="C1219" i="3"/>
  <c r="B1219" i="3"/>
  <c r="A1219" i="3"/>
  <c r="F1218" i="3"/>
  <c r="E1218" i="3"/>
  <c r="D1218" i="3"/>
  <c r="H1218" i="3" s="1"/>
  <c r="C1218" i="3"/>
  <c r="B1218" i="3"/>
  <c r="A1218" i="3"/>
  <c r="H1217" i="3"/>
  <c r="I1217" i="3" s="1"/>
  <c r="F1217" i="3"/>
  <c r="E1217" i="3"/>
  <c r="D1217" i="3"/>
  <c r="C1217" i="3"/>
  <c r="B1217" i="3"/>
  <c r="A1217" i="3"/>
  <c r="I1216" i="3"/>
  <c r="F1216" i="3"/>
  <c r="E1216" i="3"/>
  <c r="D1216" i="3"/>
  <c r="H1216" i="3" s="1"/>
  <c r="C1216" i="3"/>
  <c r="B1216" i="3"/>
  <c r="A1216" i="3"/>
  <c r="F1215" i="3"/>
  <c r="E1215" i="3"/>
  <c r="D1215" i="3"/>
  <c r="H1215" i="3" s="1"/>
  <c r="I1215" i="3" s="1"/>
  <c r="C1215" i="3"/>
  <c r="B1215" i="3"/>
  <c r="A1215" i="3"/>
  <c r="H1214" i="3"/>
  <c r="I1214" i="3" s="1"/>
  <c r="F1214" i="3"/>
  <c r="E1214" i="3"/>
  <c r="D1214" i="3"/>
  <c r="C1214" i="3"/>
  <c r="B1214" i="3"/>
  <c r="A1214" i="3"/>
  <c r="F1213" i="3"/>
  <c r="E1213" i="3"/>
  <c r="D1213" i="3"/>
  <c r="H1213" i="3" s="1"/>
  <c r="I1213" i="3" s="1"/>
  <c r="C1213" i="3"/>
  <c r="B1213" i="3"/>
  <c r="A1213" i="3"/>
  <c r="I1212" i="3"/>
  <c r="H1212" i="3"/>
  <c r="F1212" i="3"/>
  <c r="E1212" i="3"/>
  <c r="D1212" i="3"/>
  <c r="C1212" i="3"/>
  <c r="B1212" i="3"/>
  <c r="A1212" i="3"/>
  <c r="H1211" i="3"/>
  <c r="I1211" i="3" s="1"/>
  <c r="F1211" i="3"/>
  <c r="E1211" i="3"/>
  <c r="D1211" i="3"/>
  <c r="C1211" i="3"/>
  <c r="B1211" i="3"/>
  <c r="A1211" i="3"/>
  <c r="F1210" i="3"/>
  <c r="E1210" i="3"/>
  <c r="D1210" i="3"/>
  <c r="H1210" i="3" s="1"/>
  <c r="C1210" i="3"/>
  <c r="B1210" i="3"/>
  <c r="A1210" i="3"/>
  <c r="H1209" i="3"/>
  <c r="I1209" i="3" s="1"/>
  <c r="F1209" i="3"/>
  <c r="E1209" i="3"/>
  <c r="D1209" i="3"/>
  <c r="C1209" i="3"/>
  <c r="B1209" i="3"/>
  <c r="A1209" i="3"/>
  <c r="I1208" i="3"/>
  <c r="F1208" i="3"/>
  <c r="E1208" i="3"/>
  <c r="D1208" i="3"/>
  <c r="H1208" i="3" s="1"/>
  <c r="C1208" i="3"/>
  <c r="B1208" i="3"/>
  <c r="A1208" i="3"/>
  <c r="F1207" i="3"/>
  <c r="E1207" i="3"/>
  <c r="D1207" i="3"/>
  <c r="H1207" i="3" s="1"/>
  <c r="I1207" i="3" s="1"/>
  <c r="C1207" i="3"/>
  <c r="B1207" i="3"/>
  <c r="A1207" i="3"/>
  <c r="H1206" i="3"/>
  <c r="I1206" i="3" s="1"/>
  <c r="F1206" i="3"/>
  <c r="E1206" i="3"/>
  <c r="D1206" i="3"/>
  <c r="C1206" i="3"/>
  <c r="B1206" i="3"/>
  <c r="A1206" i="3"/>
  <c r="F1205" i="3"/>
  <c r="E1205" i="3"/>
  <c r="D1205" i="3"/>
  <c r="H1205" i="3" s="1"/>
  <c r="I1205" i="3" s="1"/>
  <c r="C1205" i="3"/>
  <c r="B1205" i="3"/>
  <c r="A1205" i="3"/>
  <c r="R1204" i="3"/>
  <c r="J1204" i="3"/>
  <c r="I1204" i="3"/>
  <c r="H1204" i="3"/>
  <c r="F1204" i="3"/>
  <c r="E1204" i="3"/>
  <c r="D1204" i="3"/>
  <c r="C1204" i="3"/>
  <c r="B1204" i="3"/>
  <c r="A1204" i="3"/>
  <c r="H1203" i="3"/>
  <c r="I1203" i="3" s="1"/>
  <c r="F1203" i="3"/>
  <c r="E1203" i="3"/>
  <c r="D1203" i="3"/>
  <c r="C1203" i="3"/>
  <c r="B1203" i="3"/>
  <c r="A1203" i="3"/>
  <c r="F1202" i="3"/>
  <c r="E1202" i="3"/>
  <c r="D1202" i="3"/>
  <c r="H1202" i="3" s="1"/>
  <c r="I1202" i="3" s="1"/>
  <c r="C1202" i="3"/>
  <c r="B1202" i="3"/>
  <c r="A1202" i="3"/>
  <c r="H1201" i="3"/>
  <c r="I1201" i="3" s="1"/>
  <c r="F1201" i="3"/>
  <c r="E1201" i="3"/>
  <c r="D1201" i="3"/>
  <c r="C1201" i="3"/>
  <c r="B1201" i="3"/>
  <c r="A1201" i="3"/>
  <c r="F1200" i="3"/>
  <c r="E1200" i="3"/>
  <c r="D1200" i="3"/>
  <c r="H1200" i="3" s="1"/>
  <c r="I1200" i="3" s="1"/>
  <c r="C1200" i="3"/>
  <c r="B1200" i="3"/>
  <c r="A1200" i="3"/>
  <c r="F1199" i="3"/>
  <c r="E1199" i="3"/>
  <c r="D1199" i="3"/>
  <c r="H1199" i="3" s="1"/>
  <c r="I1199" i="3" s="1"/>
  <c r="C1199" i="3"/>
  <c r="B1199" i="3"/>
  <c r="A1199" i="3"/>
  <c r="H1198" i="3"/>
  <c r="I1198" i="3" s="1"/>
  <c r="F1198" i="3"/>
  <c r="E1198" i="3"/>
  <c r="D1198" i="3"/>
  <c r="C1198" i="3"/>
  <c r="B1198" i="3"/>
  <c r="A1198" i="3"/>
  <c r="F1197" i="3"/>
  <c r="E1197" i="3"/>
  <c r="D1197" i="3"/>
  <c r="H1197" i="3" s="1"/>
  <c r="I1197" i="3" s="1"/>
  <c r="C1197" i="3"/>
  <c r="B1197" i="3"/>
  <c r="A1197" i="3"/>
  <c r="I1196" i="3"/>
  <c r="H1196" i="3"/>
  <c r="F1196" i="3"/>
  <c r="E1196" i="3"/>
  <c r="D1196" i="3"/>
  <c r="C1196" i="3"/>
  <c r="B1196" i="3"/>
  <c r="A1196" i="3"/>
  <c r="H1195" i="3"/>
  <c r="I1195" i="3" s="1"/>
  <c r="F1195" i="3"/>
  <c r="E1195" i="3"/>
  <c r="D1195" i="3"/>
  <c r="C1195" i="3"/>
  <c r="B1195" i="3"/>
  <c r="A1195" i="3"/>
  <c r="F1194" i="3"/>
  <c r="E1194" i="3"/>
  <c r="D1194" i="3"/>
  <c r="H1194" i="3" s="1"/>
  <c r="C1194" i="3"/>
  <c r="B1194" i="3"/>
  <c r="A1194" i="3"/>
  <c r="H1193" i="3"/>
  <c r="I1193" i="3" s="1"/>
  <c r="F1193" i="3"/>
  <c r="E1193" i="3"/>
  <c r="D1193" i="3"/>
  <c r="C1193" i="3"/>
  <c r="B1193" i="3"/>
  <c r="A1193" i="3"/>
  <c r="I1192" i="3"/>
  <c r="F1192" i="3"/>
  <c r="E1192" i="3"/>
  <c r="D1192" i="3"/>
  <c r="H1192" i="3" s="1"/>
  <c r="C1192" i="3"/>
  <c r="B1192" i="3"/>
  <c r="A1192" i="3"/>
  <c r="F1191" i="3"/>
  <c r="E1191" i="3"/>
  <c r="D1191" i="3"/>
  <c r="H1191" i="3" s="1"/>
  <c r="I1191" i="3" s="1"/>
  <c r="C1191" i="3"/>
  <c r="B1191" i="3"/>
  <c r="A1191" i="3"/>
  <c r="H1190" i="3"/>
  <c r="I1190" i="3" s="1"/>
  <c r="F1190" i="3"/>
  <c r="E1190" i="3"/>
  <c r="D1190" i="3"/>
  <c r="C1190" i="3"/>
  <c r="B1190" i="3"/>
  <c r="A1190" i="3"/>
  <c r="F1189" i="3"/>
  <c r="E1189" i="3"/>
  <c r="D1189" i="3"/>
  <c r="H1189" i="3" s="1"/>
  <c r="I1189" i="3" s="1"/>
  <c r="C1189" i="3"/>
  <c r="B1189" i="3"/>
  <c r="A1189" i="3"/>
  <c r="I1188" i="3"/>
  <c r="H1188" i="3"/>
  <c r="F1188" i="3"/>
  <c r="E1188" i="3"/>
  <c r="D1188" i="3"/>
  <c r="C1188" i="3"/>
  <c r="B1188" i="3"/>
  <c r="A1188" i="3"/>
  <c r="H1187" i="3"/>
  <c r="I1187" i="3" s="1"/>
  <c r="F1187" i="3"/>
  <c r="E1187" i="3"/>
  <c r="D1187" i="3"/>
  <c r="C1187" i="3"/>
  <c r="B1187" i="3"/>
  <c r="A1187" i="3"/>
  <c r="F1186" i="3"/>
  <c r="E1186" i="3"/>
  <c r="D1186" i="3"/>
  <c r="H1186" i="3" s="1"/>
  <c r="I1186" i="3" s="1"/>
  <c r="C1186" i="3"/>
  <c r="B1186" i="3"/>
  <c r="A1186" i="3"/>
  <c r="H1185" i="3"/>
  <c r="I1185" i="3" s="1"/>
  <c r="F1185" i="3"/>
  <c r="E1185" i="3"/>
  <c r="D1185" i="3"/>
  <c r="C1185" i="3"/>
  <c r="B1185" i="3"/>
  <c r="A1185" i="3"/>
  <c r="F1184" i="3"/>
  <c r="E1184" i="3"/>
  <c r="D1184" i="3"/>
  <c r="H1184" i="3" s="1"/>
  <c r="I1184" i="3" s="1"/>
  <c r="C1184" i="3"/>
  <c r="B1184" i="3"/>
  <c r="A1184" i="3"/>
  <c r="F1183" i="3"/>
  <c r="E1183" i="3"/>
  <c r="D1183" i="3"/>
  <c r="H1183" i="3" s="1"/>
  <c r="I1183" i="3" s="1"/>
  <c r="C1183" i="3"/>
  <c r="B1183" i="3"/>
  <c r="A1183" i="3"/>
  <c r="H1182" i="3"/>
  <c r="I1182" i="3" s="1"/>
  <c r="F1182" i="3"/>
  <c r="E1182" i="3"/>
  <c r="D1182" i="3"/>
  <c r="C1182" i="3"/>
  <c r="B1182" i="3"/>
  <c r="A1182" i="3"/>
  <c r="F1181" i="3"/>
  <c r="E1181" i="3"/>
  <c r="D1181" i="3"/>
  <c r="H1181" i="3" s="1"/>
  <c r="I1181" i="3" s="1"/>
  <c r="C1181" i="3"/>
  <c r="B1181" i="3"/>
  <c r="A1181" i="3"/>
  <c r="I1180" i="3"/>
  <c r="H1180" i="3"/>
  <c r="F1180" i="3"/>
  <c r="E1180" i="3"/>
  <c r="D1180" i="3"/>
  <c r="C1180" i="3"/>
  <c r="B1180" i="3"/>
  <c r="A1180" i="3"/>
  <c r="H1179" i="3"/>
  <c r="I1179" i="3" s="1"/>
  <c r="F1179" i="3"/>
  <c r="E1179" i="3"/>
  <c r="D1179" i="3"/>
  <c r="C1179" i="3"/>
  <c r="B1179" i="3"/>
  <c r="A1179" i="3"/>
  <c r="F1178" i="3"/>
  <c r="E1178" i="3"/>
  <c r="D1178" i="3"/>
  <c r="H1178" i="3" s="1"/>
  <c r="I1178" i="3" s="1"/>
  <c r="C1178" i="3"/>
  <c r="B1178" i="3"/>
  <c r="A1178" i="3"/>
  <c r="H1177" i="3"/>
  <c r="I1177" i="3" s="1"/>
  <c r="F1177" i="3"/>
  <c r="E1177" i="3"/>
  <c r="D1177" i="3"/>
  <c r="C1177" i="3"/>
  <c r="B1177" i="3"/>
  <c r="A1177" i="3"/>
  <c r="F1176" i="3"/>
  <c r="E1176" i="3"/>
  <c r="D1176" i="3"/>
  <c r="H1176" i="3" s="1"/>
  <c r="I1176" i="3" s="1"/>
  <c r="C1176" i="3"/>
  <c r="B1176" i="3"/>
  <c r="A1176" i="3"/>
  <c r="F1175" i="3"/>
  <c r="E1175" i="3"/>
  <c r="D1175" i="3"/>
  <c r="H1175" i="3" s="1"/>
  <c r="I1175" i="3" s="1"/>
  <c r="C1175" i="3"/>
  <c r="B1175" i="3"/>
  <c r="A1175" i="3"/>
  <c r="H1174" i="3"/>
  <c r="I1174" i="3" s="1"/>
  <c r="F1174" i="3"/>
  <c r="E1174" i="3"/>
  <c r="D1174" i="3"/>
  <c r="C1174" i="3"/>
  <c r="B1174" i="3"/>
  <c r="A1174" i="3"/>
  <c r="F1173" i="3"/>
  <c r="E1173" i="3"/>
  <c r="D1173" i="3"/>
  <c r="H1173" i="3" s="1"/>
  <c r="I1173" i="3" s="1"/>
  <c r="C1173" i="3"/>
  <c r="B1173" i="3"/>
  <c r="A1173" i="3"/>
  <c r="I1172" i="3"/>
  <c r="H1172" i="3"/>
  <c r="F1172" i="3"/>
  <c r="E1172" i="3"/>
  <c r="D1172" i="3"/>
  <c r="C1172" i="3"/>
  <c r="B1172" i="3"/>
  <c r="A1172" i="3"/>
  <c r="H1171" i="3"/>
  <c r="I1171" i="3" s="1"/>
  <c r="F1171" i="3"/>
  <c r="E1171" i="3"/>
  <c r="D1171" i="3"/>
  <c r="C1171" i="3"/>
  <c r="B1171" i="3"/>
  <c r="A1171" i="3"/>
  <c r="F1170" i="3"/>
  <c r="E1170" i="3"/>
  <c r="D1170" i="3"/>
  <c r="H1170" i="3" s="1"/>
  <c r="I1170" i="3" s="1"/>
  <c r="C1170" i="3"/>
  <c r="B1170" i="3"/>
  <c r="A1170" i="3"/>
  <c r="H1169" i="3"/>
  <c r="I1169" i="3" s="1"/>
  <c r="F1169" i="3"/>
  <c r="E1169" i="3"/>
  <c r="D1169" i="3"/>
  <c r="C1169" i="3"/>
  <c r="B1169" i="3"/>
  <c r="A1169" i="3"/>
  <c r="I1168" i="3"/>
  <c r="F1168" i="3"/>
  <c r="E1168" i="3"/>
  <c r="D1168" i="3"/>
  <c r="H1168" i="3" s="1"/>
  <c r="C1168" i="3"/>
  <c r="B1168" i="3"/>
  <c r="A1168" i="3"/>
  <c r="F1167" i="3"/>
  <c r="E1167" i="3"/>
  <c r="D1167" i="3"/>
  <c r="H1167" i="3" s="1"/>
  <c r="I1167" i="3" s="1"/>
  <c r="C1167" i="3"/>
  <c r="B1167" i="3"/>
  <c r="A1167" i="3"/>
  <c r="H1166" i="3"/>
  <c r="I1166" i="3" s="1"/>
  <c r="F1166" i="3"/>
  <c r="E1166" i="3"/>
  <c r="D1166" i="3"/>
  <c r="C1166" i="3"/>
  <c r="B1166" i="3"/>
  <c r="A1166" i="3"/>
  <c r="F1165" i="3"/>
  <c r="E1165" i="3"/>
  <c r="D1165" i="3"/>
  <c r="H1165" i="3" s="1"/>
  <c r="I1165" i="3" s="1"/>
  <c r="C1165" i="3"/>
  <c r="B1165" i="3"/>
  <c r="A1165" i="3"/>
  <c r="I1164" i="3"/>
  <c r="H1164" i="3"/>
  <c r="F1164" i="3"/>
  <c r="E1164" i="3"/>
  <c r="D1164" i="3"/>
  <c r="C1164" i="3"/>
  <c r="B1164" i="3"/>
  <c r="A1164" i="3"/>
  <c r="I1163" i="3"/>
  <c r="H1163" i="3"/>
  <c r="F1163" i="3"/>
  <c r="E1163" i="3"/>
  <c r="D1163" i="3"/>
  <c r="C1163" i="3"/>
  <c r="B1163" i="3"/>
  <c r="A1163" i="3"/>
  <c r="F1162" i="3"/>
  <c r="E1162" i="3"/>
  <c r="D1162" i="3"/>
  <c r="H1162" i="3" s="1"/>
  <c r="C1162" i="3"/>
  <c r="B1162" i="3"/>
  <c r="A1162" i="3"/>
  <c r="H1161" i="3"/>
  <c r="I1161" i="3" s="1"/>
  <c r="F1161" i="3"/>
  <c r="E1161" i="3"/>
  <c r="D1161" i="3"/>
  <c r="C1161" i="3"/>
  <c r="B1161" i="3"/>
  <c r="A1161" i="3"/>
  <c r="I1160" i="3"/>
  <c r="F1160" i="3"/>
  <c r="E1160" i="3"/>
  <c r="D1160" i="3"/>
  <c r="H1160" i="3" s="1"/>
  <c r="C1160" i="3"/>
  <c r="B1160" i="3"/>
  <c r="A1160" i="3"/>
  <c r="F1159" i="3"/>
  <c r="E1159" i="3"/>
  <c r="D1159" i="3"/>
  <c r="H1159" i="3" s="1"/>
  <c r="I1159" i="3" s="1"/>
  <c r="C1159" i="3"/>
  <c r="B1159" i="3"/>
  <c r="A1159" i="3"/>
  <c r="H1158" i="3"/>
  <c r="I1158" i="3" s="1"/>
  <c r="F1158" i="3"/>
  <c r="E1158" i="3"/>
  <c r="D1158" i="3"/>
  <c r="C1158" i="3"/>
  <c r="B1158" i="3"/>
  <c r="A1158" i="3"/>
  <c r="F1157" i="3"/>
  <c r="E1157" i="3"/>
  <c r="D1157" i="3"/>
  <c r="H1157" i="3" s="1"/>
  <c r="C1157" i="3"/>
  <c r="B1157" i="3"/>
  <c r="A1157" i="3"/>
  <c r="I1156" i="3"/>
  <c r="H1156" i="3"/>
  <c r="F1156" i="3"/>
  <c r="E1156" i="3"/>
  <c r="D1156" i="3"/>
  <c r="C1156" i="3"/>
  <c r="B1156" i="3"/>
  <c r="A1156" i="3"/>
  <c r="H1155" i="3"/>
  <c r="I1155" i="3" s="1"/>
  <c r="F1155" i="3"/>
  <c r="E1155" i="3"/>
  <c r="D1155" i="3"/>
  <c r="C1155" i="3"/>
  <c r="B1155" i="3"/>
  <c r="A1155" i="3"/>
  <c r="F1154" i="3"/>
  <c r="E1154" i="3"/>
  <c r="D1154" i="3"/>
  <c r="H1154" i="3" s="1"/>
  <c r="I1154" i="3" s="1"/>
  <c r="C1154" i="3"/>
  <c r="B1154" i="3"/>
  <c r="A1154" i="3"/>
  <c r="H1153" i="3"/>
  <c r="I1153" i="3" s="1"/>
  <c r="F1153" i="3"/>
  <c r="E1153" i="3"/>
  <c r="D1153" i="3"/>
  <c r="C1153" i="3"/>
  <c r="B1153" i="3"/>
  <c r="A1153" i="3"/>
  <c r="F1152" i="3"/>
  <c r="E1152" i="3"/>
  <c r="D1152" i="3"/>
  <c r="H1152" i="3" s="1"/>
  <c r="I1152" i="3" s="1"/>
  <c r="C1152" i="3"/>
  <c r="B1152" i="3"/>
  <c r="A1152" i="3"/>
  <c r="F1151" i="3"/>
  <c r="E1151" i="3"/>
  <c r="D1151" i="3"/>
  <c r="H1151" i="3" s="1"/>
  <c r="I1151" i="3" s="1"/>
  <c r="C1151" i="3"/>
  <c r="B1151" i="3"/>
  <c r="A1151" i="3"/>
  <c r="H1150" i="3"/>
  <c r="I1150" i="3" s="1"/>
  <c r="F1150" i="3"/>
  <c r="E1150" i="3"/>
  <c r="D1150" i="3"/>
  <c r="C1150" i="3"/>
  <c r="B1150" i="3"/>
  <c r="A1150" i="3"/>
  <c r="F1149" i="3"/>
  <c r="E1149" i="3"/>
  <c r="D1149" i="3"/>
  <c r="H1149" i="3" s="1"/>
  <c r="I1149" i="3" s="1"/>
  <c r="C1149" i="3"/>
  <c r="B1149" i="3"/>
  <c r="A1149" i="3"/>
  <c r="I1148" i="3"/>
  <c r="H1148" i="3"/>
  <c r="F1148" i="3"/>
  <c r="E1148" i="3"/>
  <c r="D1148" i="3"/>
  <c r="C1148" i="3"/>
  <c r="B1148" i="3"/>
  <c r="A1148" i="3"/>
  <c r="I1147" i="3"/>
  <c r="H1147" i="3"/>
  <c r="F1147" i="3"/>
  <c r="E1147" i="3"/>
  <c r="D1147" i="3"/>
  <c r="C1147" i="3"/>
  <c r="B1147" i="3"/>
  <c r="A1147" i="3"/>
  <c r="F1146" i="3"/>
  <c r="E1146" i="3"/>
  <c r="D1146" i="3"/>
  <c r="H1146" i="3" s="1"/>
  <c r="I1146" i="3" s="1"/>
  <c r="C1146" i="3"/>
  <c r="B1146" i="3"/>
  <c r="A1146" i="3"/>
  <c r="H1145" i="3"/>
  <c r="I1145" i="3" s="1"/>
  <c r="F1145" i="3"/>
  <c r="E1145" i="3"/>
  <c r="D1145" i="3"/>
  <c r="C1145" i="3"/>
  <c r="B1145" i="3"/>
  <c r="A1145" i="3"/>
  <c r="I1144" i="3"/>
  <c r="F1144" i="3"/>
  <c r="E1144" i="3"/>
  <c r="D1144" i="3"/>
  <c r="H1144" i="3" s="1"/>
  <c r="C1144" i="3"/>
  <c r="B1144" i="3"/>
  <c r="A1144" i="3"/>
  <c r="F1143" i="3"/>
  <c r="E1143" i="3"/>
  <c r="D1143" i="3"/>
  <c r="H1143" i="3" s="1"/>
  <c r="I1143" i="3" s="1"/>
  <c r="C1143" i="3"/>
  <c r="B1143" i="3"/>
  <c r="A1143" i="3"/>
  <c r="H1142" i="3"/>
  <c r="I1142" i="3" s="1"/>
  <c r="F1142" i="3"/>
  <c r="E1142" i="3"/>
  <c r="D1142" i="3"/>
  <c r="C1142" i="3"/>
  <c r="B1142" i="3"/>
  <c r="A1142" i="3"/>
  <c r="F1141" i="3"/>
  <c r="E1141" i="3"/>
  <c r="D1141" i="3"/>
  <c r="H1141" i="3" s="1"/>
  <c r="I1141" i="3" s="1"/>
  <c r="C1141" i="3"/>
  <c r="B1141" i="3"/>
  <c r="A1141" i="3"/>
  <c r="I1140" i="3"/>
  <c r="H1140" i="3"/>
  <c r="F1140" i="3"/>
  <c r="E1140" i="3"/>
  <c r="D1140" i="3"/>
  <c r="C1140" i="3"/>
  <c r="B1140" i="3"/>
  <c r="A1140" i="3"/>
  <c r="I1139" i="3"/>
  <c r="H1139" i="3"/>
  <c r="F1139" i="3"/>
  <c r="E1139" i="3"/>
  <c r="D1139" i="3"/>
  <c r="C1139" i="3"/>
  <c r="B1139" i="3"/>
  <c r="A1139" i="3"/>
  <c r="F1138" i="3"/>
  <c r="E1138" i="3"/>
  <c r="D1138" i="3"/>
  <c r="H1138" i="3" s="1"/>
  <c r="C1138" i="3"/>
  <c r="B1138" i="3"/>
  <c r="A1138" i="3"/>
  <c r="H1137" i="3"/>
  <c r="I1137" i="3" s="1"/>
  <c r="F1137" i="3"/>
  <c r="E1137" i="3"/>
  <c r="D1137" i="3"/>
  <c r="C1137" i="3"/>
  <c r="B1137" i="3"/>
  <c r="A1137" i="3"/>
  <c r="F1136" i="3"/>
  <c r="E1136" i="3"/>
  <c r="D1136" i="3"/>
  <c r="H1136" i="3" s="1"/>
  <c r="I1136" i="3" s="1"/>
  <c r="C1136" i="3"/>
  <c r="B1136" i="3"/>
  <c r="A1136" i="3"/>
  <c r="F1135" i="3"/>
  <c r="E1135" i="3"/>
  <c r="D1135" i="3"/>
  <c r="H1135" i="3" s="1"/>
  <c r="I1135" i="3" s="1"/>
  <c r="C1135" i="3"/>
  <c r="B1135" i="3"/>
  <c r="A1135" i="3"/>
  <c r="H1134" i="3"/>
  <c r="I1134" i="3" s="1"/>
  <c r="F1134" i="3"/>
  <c r="E1134" i="3"/>
  <c r="D1134" i="3"/>
  <c r="C1134" i="3"/>
  <c r="B1134" i="3"/>
  <c r="A1134" i="3"/>
  <c r="F1133" i="3"/>
  <c r="E1133" i="3"/>
  <c r="D1133" i="3"/>
  <c r="H1133" i="3" s="1"/>
  <c r="C1133" i="3"/>
  <c r="B1133" i="3"/>
  <c r="A1133" i="3"/>
  <c r="I1132" i="3"/>
  <c r="H1132" i="3"/>
  <c r="F1132" i="3"/>
  <c r="E1132" i="3"/>
  <c r="D1132" i="3"/>
  <c r="C1132" i="3"/>
  <c r="B1132" i="3"/>
  <c r="A1132" i="3"/>
  <c r="H1131" i="3"/>
  <c r="I1131" i="3" s="1"/>
  <c r="F1131" i="3"/>
  <c r="E1131" i="3"/>
  <c r="D1131" i="3"/>
  <c r="C1131" i="3"/>
  <c r="B1131" i="3"/>
  <c r="A1131" i="3"/>
  <c r="F1130" i="3"/>
  <c r="E1130" i="3"/>
  <c r="D1130" i="3"/>
  <c r="H1130" i="3" s="1"/>
  <c r="C1130" i="3"/>
  <c r="B1130" i="3"/>
  <c r="A1130" i="3"/>
  <c r="H1129" i="3"/>
  <c r="I1129" i="3" s="1"/>
  <c r="F1129" i="3"/>
  <c r="E1129" i="3"/>
  <c r="D1129" i="3"/>
  <c r="C1129" i="3"/>
  <c r="B1129" i="3"/>
  <c r="A1129" i="3"/>
  <c r="F1128" i="3"/>
  <c r="E1128" i="3"/>
  <c r="D1128" i="3"/>
  <c r="H1128" i="3" s="1"/>
  <c r="I1128" i="3" s="1"/>
  <c r="C1128" i="3"/>
  <c r="B1128" i="3"/>
  <c r="A1128" i="3"/>
  <c r="H1127" i="3"/>
  <c r="I1127" i="3" s="1"/>
  <c r="F1127" i="3"/>
  <c r="E1127" i="3"/>
  <c r="D1127" i="3"/>
  <c r="C1127" i="3"/>
  <c r="B1127" i="3"/>
  <c r="A1127" i="3"/>
  <c r="H1126" i="3"/>
  <c r="F1126" i="3"/>
  <c r="E1126" i="3"/>
  <c r="D1126" i="3"/>
  <c r="C1126" i="3"/>
  <c r="B1126" i="3"/>
  <c r="A1126" i="3"/>
  <c r="F1125" i="3"/>
  <c r="E1125" i="3"/>
  <c r="D1125" i="3"/>
  <c r="H1125" i="3" s="1"/>
  <c r="C1125" i="3"/>
  <c r="B1125" i="3"/>
  <c r="A1125" i="3"/>
  <c r="I1124" i="3"/>
  <c r="H1124" i="3"/>
  <c r="F1124" i="3"/>
  <c r="E1124" i="3"/>
  <c r="D1124" i="3"/>
  <c r="C1124" i="3"/>
  <c r="B1124" i="3"/>
  <c r="A1124" i="3"/>
  <c r="H1123" i="3"/>
  <c r="I1123" i="3" s="1"/>
  <c r="F1123" i="3"/>
  <c r="E1123" i="3"/>
  <c r="D1123" i="3"/>
  <c r="C1123" i="3"/>
  <c r="B1123" i="3"/>
  <c r="A1123" i="3"/>
  <c r="F1122" i="3"/>
  <c r="E1122" i="3"/>
  <c r="D1122" i="3"/>
  <c r="H1122" i="3" s="1"/>
  <c r="C1122" i="3"/>
  <c r="B1122" i="3"/>
  <c r="A1122" i="3"/>
  <c r="H1121" i="3"/>
  <c r="I1121" i="3" s="1"/>
  <c r="F1121" i="3"/>
  <c r="E1121" i="3"/>
  <c r="D1121" i="3"/>
  <c r="C1121" i="3"/>
  <c r="B1121" i="3"/>
  <c r="A1121" i="3"/>
  <c r="I1120" i="3"/>
  <c r="F1120" i="3"/>
  <c r="E1120" i="3"/>
  <c r="D1120" i="3"/>
  <c r="H1120" i="3" s="1"/>
  <c r="C1120" i="3"/>
  <c r="B1120" i="3"/>
  <c r="A1120" i="3"/>
  <c r="H1119" i="3"/>
  <c r="I1119" i="3" s="1"/>
  <c r="F1119" i="3"/>
  <c r="E1119" i="3"/>
  <c r="D1119" i="3"/>
  <c r="C1119" i="3"/>
  <c r="B1119" i="3"/>
  <c r="A1119" i="3"/>
  <c r="H1118" i="3"/>
  <c r="F1118" i="3"/>
  <c r="E1118" i="3"/>
  <c r="D1118" i="3"/>
  <c r="C1118" i="3"/>
  <c r="B1118" i="3"/>
  <c r="A1118" i="3"/>
  <c r="F1117" i="3"/>
  <c r="E1117" i="3"/>
  <c r="D1117" i="3"/>
  <c r="H1117" i="3" s="1"/>
  <c r="C1117" i="3"/>
  <c r="B1117" i="3"/>
  <c r="A1117" i="3"/>
  <c r="I1116" i="3"/>
  <c r="H1116" i="3"/>
  <c r="F1116" i="3"/>
  <c r="E1116" i="3"/>
  <c r="D1116" i="3"/>
  <c r="C1116" i="3"/>
  <c r="B1116" i="3"/>
  <c r="A1116" i="3"/>
  <c r="F1115" i="3"/>
  <c r="E1115" i="3"/>
  <c r="D1115" i="3"/>
  <c r="H1115" i="3" s="1"/>
  <c r="I1115" i="3" s="1"/>
  <c r="C1115" i="3"/>
  <c r="B1115" i="3"/>
  <c r="A1115" i="3"/>
  <c r="F1114" i="3"/>
  <c r="E1114" i="3"/>
  <c r="D1114" i="3"/>
  <c r="H1114" i="3" s="1"/>
  <c r="I1114" i="3" s="1"/>
  <c r="C1114" i="3"/>
  <c r="B1114" i="3"/>
  <c r="A1114" i="3"/>
  <c r="H1113" i="3"/>
  <c r="I1113" i="3" s="1"/>
  <c r="F1113" i="3"/>
  <c r="E1113" i="3"/>
  <c r="D1113" i="3"/>
  <c r="C1113" i="3"/>
  <c r="B1113" i="3"/>
  <c r="A1113" i="3"/>
  <c r="I1112" i="3"/>
  <c r="F1112" i="3"/>
  <c r="E1112" i="3"/>
  <c r="D1112" i="3"/>
  <c r="H1112" i="3" s="1"/>
  <c r="C1112" i="3"/>
  <c r="B1112" i="3"/>
  <c r="A1112" i="3"/>
  <c r="F1111" i="3"/>
  <c r="E1111" i="3"/>
  <c r="D1111" i="3"/>
  <c r="H1111" i="3" s="1"/>
  <c r="I1111" i="3" s="1"/>
  <c r="C1111" i="3"/>
  <c r="B1111" i="3"/>
  <c r="A1111" i="3"/>
  <c r="H1110" i="3"/>
  <c r="I1110" i="3" s="1"/>
  <c r="F1110" i="3"/>
  <c r="E1110" i="3"/>
  <c r="D1110" i="3"/>
  <c r="C1110" i="3"/>
  <c r="B1110" i="3"/>
  <c r="A1110" i="3"/>
  <c r="F1109" i="3"/>
  <c r="E1109" i="3"/>
  <c r="D1109" i="3"/>
  <c r="H1109" i="3" s="1"/>
  <c r="C1109" i="3"/>
  <c r="B1109" i="3"/>
  <c r="A1109" i="3"/>
  <c r="I1108" i="3"/>
  <c r="H1108" i="3"/>
  <c r="F1108" i="3"/>
  <c r="E1108" i="3"/>
  <c r="D1108" i="3"/>
  <c r="C1108" i="3"/>
  <c r="B1108" i="3"/>
  <c r="A1108" i="3"/>
  <c r="I1107" i="3"/>
  <c r="H1107" i="3"/>
  <c r="F1107" i="3"/>
  <c r="E1107" i="3"/>
  <c r="D1107" i="3"/>
  <c r="C1107" i="3"/>
  <c r="B1107" i="3"/>
  <c r="A1107" i="3"/>
  <c r="F1106" i="3"/>
  <c r="E1106" i="3"/>
  <c r="D1106" i="3"/>
  <c r="H1106" i="3" s="1"/>
  <c r="I1106" i="3" s="1"/>
  <c r="C1106" i="3"/>
  <c r="B1106" i="3"/>
  <c r="A1106" i="3"/>
  <c r="H1105" i="3"/>
  <c r="I1105" i="3" s="1"/>
  <c r="F1105" i="3"/>
  <c r="E1105" i="3"/>
  <c r="D1105" i="3"/>
  <c r="C1105" i="3"/>
  <c r="B1105" i="3"/>
  <c r="A1105" i="3"/>
  <c r="F1104" i="3"/>
  <c r="E1104" i="3"/>
  <c r="D1104" i="3"/>
  <c r="H1104" i="3" s="1"/>
  <c r="C1104" i="3"/>
  <c r="I1104" i="3" s="1"/>
  <c r="B1104" i="3"/>
  <c r="A1104" i="3"/>
  <c r="F1103" i="3"/>
  <c r="E1103" i="3"/>
  <c r="D1103" i="3"/>
  <c r="H1103" i="3" s="1"/>
  <c r="I1103" i="3" s="1"/>
  <c r="C1103" i="3"/>
  <c r="B1103" i="3"/>
  <c r="A1103" i="3"/>
  <c r="H1102" i="3"/>
  <c r="I1102" i="3" s="1"/>
  <c r="F1102" i="3"/>
  <c r="E1102" i="3"/>
  <c r="D1102" i="3"/>
  <c r="C1102" i="3"/>
  <c r="B1102" i="3"/>
  <c r="A1102" i="3"/>
  <c r="F1101" i="3"/>
  <c r="E1101" i="3"/>
  <c r="D1101" i="3"/>
  <c r="H1101" i="3" s="1"/>
  <c r="C1101" i="3"/>
  <c r="B1101" i="3"/>
  <c r="A1101" i="3"/>
  <c r="I1100" i="3"/>
  <c r="H1100" i="3"/>
  <c r="F1100" i="3"/>
  <c r="E1100" i="3"/>
  <c r="D1100" i="3"/>
  <c r="C1100" i="3"/>
  <c r="B1100" i="3"/>
  <c r="A1100" i="3"/>
  <c r="F1099" i="3"/>
  <c r="E1099" i="3"/>
  <c r="D1099" i="3"/>
  <c r="H1099" i="3" s="1"/>
  <c r="I1099" i="3" s="1"/>
  <c r="C1099" i="3"/>
  <c r="B1099" i="3"/>
  <c r="A1099" i="3"/>
  <c r="H1098" i="3"/>
  <c r="I1098" i="3" s="1"/>
  <c r="F1098" i="3"/>
  <c r="E1098" i="3"/>
  <c r="D1098" i="3"/>
  <c r="C1098" i="3"/>
  <c r="B1098" i="3"/>
  <c r="A1098" i="3"/>
  <c r="H1097" i="3"/>
  <c r="F1097" i="3"/>
  <c r="E1097" i="3"/>
  <c r="D1097" i="3"/>
  <c r="C1097" i="3"/>
  <c r="B1097" i="3"/>
  <c r="A1097" i="3"/>
  <c r="I1096" i="3"/>
  <c r="F1096" i="3"/>
  <c r="E1096" i="3"/>
  <c r="D1096" i="3"/>
  <c r="H1096" i="3" s="1"/>
  <c r="C1096" i="3"/>
  <c r="B1096" i="3"/>
  <c r="A1096" i="3"/>
  <c r="F1095" i="3"/>
  <c r="E1095" i="3"/>
  <c r="D1095" i="3"/>
  <c r="H1095" i="3" s="1"/>
  <c r="I1095" i="3" s="1"/>
  <c r="C1095" i="3"/>
  <c r="B1095" i="3"/>
  <c r="A1095" i="3"/>
  <c r="F1094" i="3"/>
  <c r="E1094" i="3"/>
  <c r="D1094" i="3"/>
  <c r="H1094" i="3" s="1"/>
  <c r="I1094" i="3" s="1"/>
  <c r="C1094" i="3"/>
  <c r="B1094" i="3"/>
  <c r="A1094" i="3"/>
  <c r="F1093" i="3"/>
  <c r="E1093" i="3"/>
  <c r="D1093" i="3"/>
  <c r="H1093" i="3" s="1"/>
  <c r="C1093" i="3"/>
  <c r="B1093" i="3"/>
  <c r="A1093" i="3"/>
  <c r="I1092" i="3"/>
  <c r="H1092" i="3"/>
  <c r="F1092" i="3"/>
  <c r="E1092" i="3"/>
  <c r="D1092" i="3"/>
  <c r="C1092" i="3"/>
  <c r="B1092" i="3"/>
  <c r="A1092" i="3"/>
  <c r="H1091" i="3"/>
  <c r="I1091" i="3" s="1"/>
  <c r="F1091" i="3"/>
  <c r="E1091" i="3"/>
  <c r="D1091" i="3"/>
  <c r="C1091" i="3"/>
  <c r="B1091" i="3"/>
  <c r="A1091" i="3"/>
  <c r="F1090" i="3"/>
  <c r="E1090" i="3"/>
  <c r="D1090" i="3"/>
  <c r="H1090" i="3" s="1"/>
  <c r="I1090" i="3" s="1"/>
  <c r="C1090" i="3"/>
  <c r="B1090" i="3"/>
  <c r="A1090" i="3"/>
  <c r="H1089" i="3"/>
  <c r="I1089" i="3" s="1"/>
  <c r="F1089" i="3"/>
  <c r="E1089" i="3"/>
  <c r="D1089" i="3"/>
  <c r="C1089" i="3"/>
  <c r="B1089" i="3"/>
  <c r="A1089" i="3"/>
  <c r="F1088" i="3"/>
  <c r="E1088" i="3"/>
  <c r="D1088" i="3"/>
  <c r="H1088" i="3" s="1"/>
  <c r="I1088" i="3" s="1"/>
  <c r="C1088" i="3"/>
  <c r="B1088" i="3"/>
  <c r="A1088" i="3"/>
  <c r="H1087" i="3"/>
  <c r="I1087" i="3" s="1"/>
  <c r="F1087" i="3"/>
  <c r="E1087" i="3"/>
  <c r="D1087" i="3"/>
  <c r="C1087" i="3"/>
  <c r="B1087" i="3"/>
  <c r="A1087" i="3"/>
  <c r="F1086" i="3"/>
  <c r="E1086" i="3"/>
  <c r="D1086" i="3"/>
  <c r="H1086" i="3" s="1"/>
  <c r="I1086" i="3" s="1"/>
  <c r="C1086" i="3"/>
  <c r="B1086" i="3"/>
  <c r="A1086" i="3"/>
  <c r="F1085" i="3"/>
  <c r="E1085" i="3"/>
  <c r="D1085" i="3"/>
  <c r="H1085" i="3" s="1"/>
  <c r="C1085" i="3"/>
  <c r="B1085" i="3"/>
  <c r="A1085" i="3"/>
  <c r="R1084" i="3"/>
  <c r="J1084" i="3"/>
  <c r="H1084" i="3"/>
  <c r="I1084" i="3" s="1"/>
  <c r="F1084" i="3"/>
  <c r="E1084" i="3"/>
  <c r="D1084" i="3"/>
  <c r="C1084" i="3"/>
  <c r="B1084" i="3"/>
  <c r="A1084" i="3"/>
  <c r="F1083" i="3"/>
  <c r="E1083" i="3"/>
  <c r="D1083" i="3"/>
  <c r="H1083" i="3" s="1"/>
  <c r="I1083" i="3" s="1"/>
  <c r="C1083" i="3"/>
  <c r="B1083" i="3"/>
  <c r="A1083" i="3"/>
  <c r="F1082" i="3"/>
  <c r="E1082" i="3"/>
  <c r="D1082" i="3"/>
  <c r="H1082" i="3" s="1"/>
  <c r="I1082" i="3" s="1"/>
  <c r="C1082" i="3"/>
  <c r="B1082" i="3"/>
  <c r="A1082" i="3"/>
  <c r="H1081" i="3"/>
  <c r="I1081" i="3" s="1"/>
  <c r="F1081" i="3"/>
  <c r="E1081" i="3"/>
  <c r="D1081" i="3"/>
  <c r="C1081" i="3"/>
  <c r="B1081" i="3"/>
  <c r="A1081" i="3"/>
  <c r="H1080" i="3"/>
  <c r="I1080" i="3" s="1"/>
  <c r="F1080" i="3"/>
  <c r="E1080" i="3"/>
  <c r="D1080" i="3"/>
  <c r="C1080" i="3"/>
  <c r="B1080" i="3"/>
  <c r="A1080" i="3"/>
  <c r="H1079" i="3"/>
  <c r="I1079" i="3" s="1"/>
  <c r="F1079" i="3"/>
  <c r="E1079" i="3"/>
  <c r="D1079" i="3"/>
  <c r="C1079" i="3"/>
  <c r="B1079" i="3"/>
  <c r="A1079" i="3"/>
  <c r="F1078" i="3"/>
  <c r="E1078" i="3"/>
  <c r="D1078" i="3"/>
  <c r="H1078" i="3" s="1"/>
  <c r="I1078" i="3" s="1"/>
  <c r="C1078" i="3"/>
  <c r="B1078" i="3"/>
  <c r="A1078" i="3"/>
  <c r="F1077" i="3"/>
  <c r="E1077" i="3"/>
  <c r="D1077" i="3"/>
  <c r="H1077" i="3" s="1"/>
  <c r="I1077" i="3" s="1"/>
  <c r="C1077" i="3"/>
  <c r="B1077" i="3"/>
  <c r="A1077" i="3"/>
  <c r="H1076" i="3"/>
  <c r="I1076" i="3" s="1"/>
  <c r="F1076" i="3"/>
  <c r="E1076" i="3"/>
  <c r="D1076" i="3"/>
  <c r="C1076" i="3"/>
  <c r="B1076" i="3"/>
  <c r="A1076" i="3"/>
  <c r="H1075" i="3"/>
  <c r="I1075" i="3" s="1"/>
  <c r="F1075" i="3"/>
  <c r="E1075" i="3"/>
  <c r="D1075" i="3"/>
  <c r="C1075" i="3"/>
  <c r="B1075" i="3"/>
  <c r="A1075" i="3"/>
  <c r="F1074" i="3"/>
  <c r="E1074" i="3"/>
  <c r="D1074" i="3"/>
  <c r="H1074" i="3" s="1"/>
  <c r="I1074" i="3" s="1"/>
  <c r="C1074" i="3"/>
  <c r="B1074" i="3"/>
  <c r="A1074" i="3"/>
  <c r="I1073" i="3"/>
  <c r="H1073" i="3"/>
  <c r="F1073" i="3"/>
  <c r="E1073" i="3"/>
  <c r="D1073" i="3"/>
  <c r="C1073" i="3"/>
  <c r="B1073" i="3"/>
  <c r="A1073" i="3"/>
  <c r="I1072" i="3"/>
  <c r="F1072" i="3"/>
  <c r="E1072" i="3"/>
  <c r="D1072" i="3"/>
  <c r="H1072" i="3" s="1"/>
  <c r="C1072" i="3"/>
  <c r="B1072" i="3"/>
  <c r="A1072" i="3"/>
  <c r="F1071" i="3"/>
  <c r="E1071" i="3"/>
  <c r="D1071" i="3"/>
  <c r="H1071" i="3" s="1"/>
  <c r="I1071" i="3" s="1"/>
  <c r="C1071" i="3"/>
  <c r="B1071" i="3"/>
  <c r="A1071" i="3"/>
  <c r="H1070" i="3"/>
  <c r="F1070" i="3"/>
  <c r="E1070" i="3"/>
  <c r="D1070" i="3"/>
  <c r="C1070" i="3"/>
  <c r="B1070" i="3"/>
  <c r="A1070" i="3"/>
  <c r="F1069" i="3"/>
  <c r="E1069" i="3"/>
  <c r="D1069" i="3"/>
  <c r="H1069" i="3" s="1"/>
  <c r="I1069" i="3" s="1"/>
  <c r="C1069" i="3"/>
  <c r="B1069" i="3"/>
  <c r="A1069" i="3"/>
  <c r="H1068" i="3"/>
  <c r="I1068" i="3" s="1"/>
  <c r="F1068" i="3"/>
  <c r="E1068" i="3"/>
  <c r="D1068" i="3"/>
  <c r="C1068" i="3"/>
  <c r="B1068" i="3"/>
  <c r="A1068" i="3"/>
  <c r="H1067" i="3"/>
  <c r="I1067" i="3" s="1"/>
  <c r="F1067" i="3"/>
  <c r="E1067" i="3"/>
  <c r="D1067" i="3"/>
  <c r="C1067" i="3"/>
  <c r="B1067" i="3"/>
  <c r="A1067" i="3"/>
  <c r="F1066" i="3"/>
  <c r="E1066" i="3"/>
  <c r="D1066" i="3"/>
  <c r="H1066" i="3" s="1"/>
  <c r="I1066" i="3" s="1"/>
  <c r="C1066" i="3"/>
  <c r="B1066" i="3"/>
  <c r="A1066" i="3"/>
  <c r="I1065" i="3"/>
  <c r="H1065" i="3"/>
  <c r="F1065" i="3"/>
  <c r="E1065" i="3"/>
  <c r="D1065" i="3"/>
  <c r="C1065" i="3"/>
  <c r="B1065" i="3"/>
  <c r="A1065" i="3"/>
  <c r="F1064" i="3"/>
  <c r="E1064" i="3"/>
  <c r="D1064" i="3"/>
  <c r="H1064" i="3" s="1"/>
  <c r="I1064" i="3" s="1"/>
  <c r="C1064" i="3"/>
  <c r="B1064" i="3"/>
  <c r="A1064" i="3"/>
  <c r="F1063" i="3"/>
  <c r="E1063" i="3"/>
  <c r="D1063" i="3"/>
  <c r="H1063" i="3" s="1"/>
  <c r="I1063" i="3" s="1"/>
  <c r="C1063" i="3"/>
  <c r="B1063" i="3"/>
  <c r="A1063" i="3"/>
  <c r="H1062" i="3"/>
  <c r="I1062" i="3" s="1"/>
  <c r="F1062" i="3"/>
  <c r="E1062" i="3"/>
  <c r="D1062" i="3"/>
  <c r="C1062" i="3"/>
  <c r="B1062" i="3"/>
  <c r="A1062" i="3"/>
  <c r="F1061" i="3"/>
  <c r="E1061" i="3"/>
  <c r="D1061" i="3"/>
  <c r="H1061" i="3" s="1"/>
  <c r="I1061" i="3" s="1"/>
  <c r="C1061" i="3"/>
  <c r="B1061" i="3"/>
  <c r="A1061" i="3"/>
  <c r="H1060" i="3"/>
  <c r="I1060" i="3" s="1"/>
  <c r="F1060" i="3"/>
  <c r="E1060" i="3"/>
  <c r="D1060" i="3"/>
  <c r="C1060" i="3"/>
  <c r="B1060" i="3"/>
  <c r="A1060" i="3"/>
  <c r="F1059" i="3"/>
  <c r="E1059" i="3"/>
  <c r="D1059" i="3"/>
  <c r="H1059" i="3" s="1"/>
  <c r="I1059" i="3" s="1"/>
  <c r="C1059" i="3"/>
  <c r="B1059" i="3"/>
  <c r="A1059" i="3"/>
  <c r="F1058" i="3"/>
  <c r="E1058" i="3"/>
  <c r="D1058" i="3"/>
  <c r="H1058" i="3" s="1"/>
  <c r="C1058" i="3"/>
  <c r="B1058" i="3"/>
  <c r="A1058" i="3"/>
  <c r="I1057" i="3"/>
  <c r="H1057" i="3"/>
  <c r="F1057" i="3"/>
  <c r="E1057" i="3"/>
  <c r="D1057" i="3"/>
  <c r="C1057" i="3"/>
  <c r="B1057" i="3"/>
  <c r="A1057" i="3"/>
  <c r="F1056" i="3"/>
  <c r="E1056" i="3"/>
  <c r="D1056" i="3"/>
  <c r="H1056" i="3" s="1"/>
  <c r="I1056" i="3" s="1"/>
  <c r="C1056" i="3"/>
  <c r="B1056" i="3"/>
  <c r="A1056" i="3"/>
  <c r="F1055" i="3"/>
  <c r="E1055" i="3"/>
  <c r="D1055" i="3"/>
  <c r="H1055" i="3" s="1"/>
  <c r="I1055" i="3" s="1"/>
  <c r="C1055" i="3"/>
  <c r="B1055" i="3"/>
  <c r="A1055" i="3"/>
  <c r="H1054" i="3"/>
  <c r="F1054" i="3"/>
  <c r="E1054" i="3"/>
  <c r="D1054" i="3"/>
  <c r="C1054" i="3"/>
  <c r="B1054" i="3"/>
  <c r="A1054" i="3"/>
  <c r="F1053" i="3"/>
  <c r="E1053" i="3"/>
  <c r="D1053" i="3"/>
  <c r="H1053" i="3" s="1"/>
  <c r="I1053" i="3" s="1"/>
  <c r="C1053" i="3"/>
  <c r="B1053" i="3"/>
  <c r="A1053" i="3"/>
  <c r="I1052" i="3"/>
  <c r="H1052" i="3"/>
  <c r="F1052" i="3"/>
  <c r="E1052" i="3"/>
  <c r="D1052" i="3"/>
  <c r="C1052" i="3"/>
  <c r="B1052" i="3"/>
  <c r="A1052" i="3"/>
  <c r="F1051" i="3"/>
  <c r="E1051" i="3"/>
  <c r="D1051" i="3"/>
  <c r="H1051" i="3" s="1"/>
  <c r="I1051" i="3" s="1"/>
  <c r="C1051" i="3"/>
  <c r="B1051" i="3"/>
  <c r="A1051" i="3"/>
  <c r="F1050" i="3"/>
  <c r="E1050" i="3"/>
  <c r="D1050" i="3"/>
  <c r="H1050" i="3" s="1"/>
  <c r="I1050" i="3" s="1"/>
  <c r="C1050" i="3"/>
  <c r="B1050" i="3"/>
  <c r="A1050" i="3"/>
  <c r="I1049" i="3"/>
  <c r="H1049" i="3"/>
  <c r="F1049" i="3"/>
  <c r="E1049" i="3"/>
  <c r="D1049" i="3"/>
  <c r="C1049" i="3"/>
  <c r="B1049" i="3"/>
  <c r="A1049" i="3"/>
  <c r="F1048" i="3"/>
  <c r="E1048" i="3"/>
  <c r="D1048" i="3"/>
  <c r="H1048" i="3" s="1"/>
  <c r="I1048" i="3" s="1"/>
  <c r="C1048" i="3"/>
  <c r="B1048" i="3"/>
  <c r="A1048" i="3"/>
  <c r="H1047" i="3"/>
  <c r="I1047" i="3" s="1"/>
  <c r="F1047" i="3"/>
  <c r="E1047" i="3"/>
  <c r="D1047" i="3"/>
  <c r="C1047" i="3"/>
  <c r="B1047" i="3"/>
  <c r="A1047" i="3"/>
  <c r="H1046" i="3"/>
  <c r="F1046" i="3"/>
  <c r="E1046" i="3"/>
  <c r="D1046" i="3"/>
  <c r="C1046" i="3"/>
  <c r="B1046" i="3"/>
  <c r="A1046" i="3"/>
  <c r="F1045" i="3"/>
  <c r="E1045" i="3"/>
  <c r="D1045" i="3"/>
  <c r="H1045" i="3" s="1"/>
  <c r="I1045" i="3" s="1"/>
  <c r="C1045" i="3"/>
  <c r="B1045" i="3"/>
  <c r="A1045" i="3"/>
  <c r="H1044" i="3"/>
  <c r="I1044" i="3" s="1"/>
  <c r="F1044" i="3"/>
  <c r="E1044" i="3"/>
  <c r="D1044" i="3"/>
  <c r="C1044" i="3"/>
  <c r="B1044" i="3"/>
  <c r="A1044" i="3"/>
  <c r="F1043" i="3"/>
  <c r="E1043" i="3"/>
  <c r="D1043" i="3"/>
  <c r="H1043" i="3" s="1"/>
  <c r="I1043" i="3" s="1"/>
  <c r="C1043" i="3"/>
  <c r="B1043" i="3"/>
  <c r="A1043" i="3"/>
  <c r="F1042" i="3"/>
  <c r="E1042" i="3"/>
  <c r="D1042" i="3"/>
  <c r="H1042" i="3" s="1"/>
  <c r="I1042" i="3" s="1"/>
  <c r="C1042" i="3"/>
  <c r="B1042" i="3"/>
  <c r="A1042" i="3"/>
  <c r="I1041" i="3"/>
  <c r="H1041" i="3"/>
  <c r="F1041" i="3"/>
  <c r="E1041" i="3"/>
  <c r="D1041" i="3"/>
  <c r="C1041" i="3"/>
  <c r="B1041" i="3"/>
  <c r="A1041" i="3"/>
  <c r="F1040" i="3"/>
  <c r="E1040" i="3"/>
  <c r="D1040" i="3"/>
  <c r="H1040" i="3" s="1"/>
  <c r="I1040" i="3" s="1"/>
  <c r="C1040" i="3"/>
  <c r="B1040" i="3"/>
  <c r="A1040" i="3"/>
  <c r="H1039" i="3"/>
  <c r="I1039" i="3" s="1"/>
  <c r="F1039" i="3"/>
  <c r="E1039" i="3"/>
  <c r="D1039" i="3"/>
  <c r="C1039" i="3"/>
  <c r="B1039" i="3"/>
  <c r="A1039" i="3"/>
  <c r="H1038" i="3"/>
  <c r="F1038" i="3"/>
  <c r="E1038" i="3"/>
  <c r="D1038" i="3"/>
  <c r="C1038" i="3"/>
  <c r="B1038" i="3"/>
  <c r="A1038" i="3"/>
  <c r="F1037" i="3"/>
  <c r="E1037" i="3"/>
  <c r="D1037" i="3"/>
  <c r="H1037" i="3" s="1"/>
  <c r="I1037" i="3" s="1"/>
  <c r="C1037" i="3"/>
  <c r="B1037" i="3"/>
  <c r="A1037" i="3"/>
  <c r="I1036" i="3"/>
  <c r="H1036" i="3"/>
  <c r="F1036" i="3"/>
  <c r="E1036" i="3"/>
  <c r="D1036" i="3"/>
  <c r="C1036" i="3"/>
  <c r="B1036" i="3"/>
  <c r="A1036" i="3"/>
  <c r="F1035" i="3"/>
  <c r="E1035" i="3"/>
  <c r="D1035" i="3"/>
  <c r="H1035" i="3" s="1"/>
  <c r="C1035" i="3"/>
  <c r="B1035" i="3"/>
  <c r="A1035" i="3"/>
  <c r="F1034" i="3"/>
  <c r="E1034" i="3"/>
  <c r="D1034" i="3"/>
  <c r="H1034" i="3" s="1"/>
  <c r="C1034" i="3"/>
  <c r="B1034" i="3"/>
  <c r="A1034" i="3"/>
  <c r="I1033" i="3"/>
  <c r="H1033" i="3"/>
  <c r="F1033" i="3"/>
  <c r="E1033" i="3"/>
  <c r="D1033" i="3"/>
  <c r="C1033" i="3"/>
  <c r="B1033" i="3"/>
  <c r="A1033" i="3"/>
  <c r="F1032" i="3"/>
  <c r="E1032" i="3"/>
  <c r="D1032" i="3"/>
  <c r="H1032" i="3" s="1"/>
  <c r="I1032" i="3" s="1"/>
  <c r="C1032" i="3"/>
  <c r="B1032" i="3"/>
  <c r="A1032" i="3"/>
  <c r="H1031" i="3"/>
  <c r="I1031" i="3" s="1"/>
  <c r="F1031" i="3"/>
  <c r="E1031" i="3"/>
  <c r="D1031" i="3"/>
  <c r="C1031" i="3"/>
  <c r="B1031" i="3"/>
  <c r="A1031" i="3"/>
  <c r="H1030" i="3"/>
  <c r="I1030" i="3" s="1"/>
  <c r="F1030" i="3"/>
  <c r="E1030" i="3"/>
  <c r="D1030" i="3"/>
  <c r="C1030" i="3"/>
  <c r="B1030" i="3"/>
  <c r="A1030" i="3"/>
  <c r="F1029" i="3"/>
  <c r="E1029" i="3"/>
  <c r="D1029" i="3"/>
  <c r="H1029" i="3" s="1"/>
  <c r="I1029" i="3" s="1"/>
  <c r="C1029" i="3"/>
  <c r="B1029" i="3"/>
  <c r="A1029" i="3"/>
  <c r="H1028" i="3"/>
  <c r="I1028" i="3" s="1"/>
  <c r="F1028" i="3"/>
  <c r="E1028" i="3"/>
  <c r="D1028" i="3"/>
  <c r="C1028" i="3"/>
  <c r="B1028" i="3"/>
  <c r="A1028" i="3"/>
  <c r="F1027" i="3"/>
  <c r="E1027" i="3"/>
  <c r="D1027" i="3"/>
  <c r="H1027" i="3" s="1"/>
  <c r="I1027" i="3" s="1"/>
  <c r="C1027" i="3"/>
  <c r="B1027" i="3"/>
  <c r="A1027" i="3"/>
  <c r="F1026" i="3"/>
  <c r="E1026" i="3"/>
  <c r="D1026" i="3"/>
  <c r="H1026" i="3" s="1"/>
  <c r="C1026" i="3"/>
  <c r="B1026" i="3"/>
  <c r="A1026" i="3"/>
  <c r="I1025" i="3"/>
  <c r="H1025" i="3"/>
  <c r="F1025" i="3"/>
  <c r="E1025" i="3"/>
  <c r="D1025" i="3"/>
  <c r="C1025" i="3"/>
  <c r="B1025" i="3"/>
  <c r="A1025" i="3"/>
  <c r="I1024" i="3"/>
  <c r="F1024" i="3"/>
  <c r="E1024" i="3"/>
  <c r="D1024" i="3"/>
  <c r="H1024" i="3" s="1"/>
  <c r="C1024" i="3"/>
  <c r="B1024" i="3"/>
  <c r="A1024" i="3"/>
  <c r="H1023" i="3"/>
  <c r="I1023" i="3" s="1"/>
  <c r="F1023" i="3"/>
  <c r="E1023" i="3"/>
  <c r="D1023" i="3"/>
  <c r="C1023" i="3"/>
  <c r="B1023" i="3"/>
  <c r="A1023" i="3"/>
  <c r="H1022" i="3"/>
  <c r="I1022" i="3" s="1"/>
  <c r="F1022" i="3"/>
  <c r="E1022" i="3"/>
  <c r="D1022" i="3"/>
  <c r="C1022" i="3"/>
  <c r="B1022" i="3"/>
  <c r="A1022" i="3"/>
  <c r="F1021" i="3"/>
  <c r="E1021" i="3"/>
  <c r="D1021" i="3"/>
  <c r="H1021" i="3" s="1"/>
  <c r="I1021" i="3" s="1"/>
  <c r="C1021" i="3"/>
  <c r="B1021" i="3"/>
  <c r="A1021" i="3"/>
  <c r="H1020" i="3"/>
  <c r="I1020" i="3" s="1"/>
  <c r="F1020" i="3"/>
  <c r="E1020" i="3"/>
  <c r="D1020" i="3"/>
  <c r="C1020" i="3"/>
  <c r="B1020" i="3"/>
  <c r="A1020" i="3"/>
  <c r="H1019" i="3"/>
  <c r="I1019" i="3" s="1"/>
  <c r="F1019" i="3"/>
  <c r="E1019" i="3"/>
  <c r="D1019" i="3"/>
  <c r="C1019" i="3"/>
  <c r="B1019" i="3"/>
  <c r="A1019" i="3"/>
  <c r="F1018" i="3"/>
  <c r="E1018" i="3"/>
  <c r="D1018" i="3"/>
  <c r="H1018" i="3" s="1"/>
  <c r="C1018" i="3"/>
  <c r="B1018" i="3"/>
  <c r="A1018" i="3"/>
  <c r="I1017" i="3"/>
  <c r="H1017" i="3"/>
  <c r="F1017" i="3"/>
  <c r="E1017" i="3"/>
  <c r="D1017" i="3"/>
  <c r="C1017" i="3"/>
  <c r="B1017" i="3"/>
  <c r="A1017" i="3"/>
  <c r="I1016" i="3"/>
  <c r="F1016" i="3"/>
  <c r="E1016" i="3"/>
  <c r="D1016" i="3"/>
  <c r="H1016" i="3" s="1"/>
  <c r="C1016" i="3"/>
  <c r="B1016" i="3"/>
  <c r="A1016" i="3"/>
  <c r="F1015" i="3"/>
  <c r="E1015" i="3"/>
  <c r="D1015" i="3"/>
  <c r="H1015" i="3" s="1"/>
  <c r="I1015" i="3" s="1"/>
  <c r="C1015" i="3"/>
  <c r="B1015" i="3"/>
  <c r="A1015" i="3"/>
  <c r="H1014" i="3"/>
  <c r="I1014" i="3" s="1"/>
  <c r="F1014" i="3"/>
  <c r="E1014" i="3"/>
  <c r="D1014" i="3"/>
  <c r="C1014" i="3"/>
  <c r="B1014" i="3"/>
  <c r="A1014" i="3"/>
  <c r="F1013" i="3"/>
  <c r="E1013" i="3"/>
  <c r="D1013" i="3"/>
  <c r="H1013" i="3" s="1"/>
  <c r="I1013" i="3" s="1"/>
  <c r="C1013" i="3"/>
  <c r="B1013" i="3"/>
  <c r="A1013" i="3"/>
  <c r="H1012" i="3"/>
  <c r="I1012" i="3" s="1"/>
  <c r="F1012" i="3"/>
  <c r="E1012" i="3"/>
  <c r="D1012" i="3"/>
  <c r="C1012" i="3"/>
  <c r="B1012" i="3"/>
  <c r="A1012" i="3"/>
  <c r="H1011" i="3"/>
  <c r="I1011" i="3" s="1"/>
  <c r="F1011" i="3"/>
  <c r="E1011" i="3"/>
  <c r="D1011" i="3"/>
  <c r="C1011" i="3"/>
  <c r="B1011" i="3"/>
  <c r="A1011" i="3"/>
  <c r="F1010" i="3"/>
  <c r="E1010" i="3"/>
  <c r="D1010" i="3"/>
  <c r="H1010" i="3" s="1"/>
  <c r="I1010" i="3" s="1"/>
  <c r="C1010" i="3"/>
  <c r="B1010" i="3"/>
  <c r="A1010" i="3"/>
  <c r="I1009" i="3"/>
  <c r="H1009" i="3"/>
  <c r="F1009" i="3"/>
  <c r="E1009" i="3"/>
  <c r="D1009" i="3"/>
  <c r="C1009" i="3"/>
  <c r="B1009" i="3"/>
  <c r="A1009" i="3"/>
  <c r="I1008" i="3"/>
  <c r="F1008" i="3"/>
  <c r="E1008" i="3"/>
  <c r="D1008" i="3"/>
  <c r="H1008" i="3" s="1"/>
  <c r="C1008" i="3"/>
  <c r="B1008" i="3"/>
  <c r="A1008" i="3"/>
  <c r="F1007" i="3"/>
  <c r="E1007" i="3"/>
  <c r="D1007" i="3"/>
  <c r="H1007" i="3" s="1"/>
  <c r="I1007" i="3" s="1"/>
  <c r="C1007" i="3"/>
  <c r="B1007" i="3"/>
  <c r="A1007" i="3"/>
  <c r="H1006" i="3"/>
  <c r="I1006" i="3" s="1"/>
  <c r="F1006" i="3"/>
  <c r="E1006" i="3"/>
  <c r="D1006" i="3"/>
  <c r="C1006" i="3"/>
  <c r="B1006" i="3"/>
  <c r="A1006" i="3"/>
  <c r="F1005" i="3"/>
  <c r="E1005" i="3"/>
  <c r="D1005" i="3"/>
  <c r="H1005" i="3" s="1"/>
  <c r="I1005" i="3" s="1"/>
  <c r="C1005" i="3"/>
  <c r="B1005" i="3"/>
  <c r="A1005" i="3"/>
  <c r="H1004" i="3"/>
  <c r="I1004" i="3" s="1"/>
  <c r="F1004" i="3"/>
  <c r="E1004" i="3"/>
  <c r="D1004" i="3"/>
  <c r="C1004" i="3"/>
  <c r="B1004" i="3"/>
  <c r="A1004" i="3"/>
  <c r="H1003" i="3"/>
  <c r="I1003" i="3" s="1"/>
  <c r="F1003" i="3"/>
  <c r="E1003" i="3"/>
  <c r="D1003" i="3"/>
  <c r="C1003" i="3"/>
  <c r="B1003" i="3"/>
  <c r="A1003" i="3"/>
  <c r="F1002" i="3"/>
  <c r="E1002" i="3"/>
  <c r="D1002" i="3"/>
  <c r="H1002" i="3" s="1"/>
  <c r="I1002" i="3" s="1"/>
  <c r="C1002" i="3"/>
  <c r="B1002" i="3"/>
  <c r="A1002" i="3"/>
  <c r="I1001" i="3"/>
  <c r="H1001" i="3"/>
  <c r="F1001" i="3"/>
  <c r="E1001" i="3"/>
  <c r="D1001" i="3"/>
  <c r="C1001" i="3"/>
  <c r="B1001" i="3"/>
  <c r="A1001" i="3"/>
  <c r="F1000" i="3"/>
  <c r="E1000" i="3"/>
  <c r="D1000" i="3"/>
  <c r="H1000" i="3" s="1"/>
  <c r="I1000" i="3" s="1"/>
  <c r="C1000" i="3"/>
  <c r="B1000" i="3"/>
  <c r="A1000" i="3"/>
  <c r="H999" i="3"/>
  <c r="I999" i="3" s="1"/>
  <c r="F999" i="3"/>
  <c r="E999" i="3"/>
  <c r="D999" i="3"/>
  <c r="C999" i="3"/>
  <c r="B999" i="3"/>
  <c r="A999" i="3"/>
  <c r="H998" i="3"/>
  <c r="I998" i="3" s="1"/>
  <c r="F998" i="3"/>
  <c r="E998" i="3"/>
  <c r="D998" i="3"/>
  <c r="C998" i="3"/>
  <c r="B998" i="3"/>
  <c r="A998" i="3"/>
  <c r="F997" i="3"/>
  <c r="E997" i="3"/>
  <c r="D997" i="3"/>
  <c r="H997" i="3" s="1"/>
  <c r="I997" i="3" s="1"/>
  <c r="C997" i="3"/>
  <c r="B997" i="3"/>
  <c r="A997" i="3"/>
  <c r="H996" i="3"/>
  <c r="I996" i="3" s="1"/>
  <c r="F996" i="3"/>
  <c r="E996" i="3"/>
  <c r="D996" i="3"/>
  <c r="C996" i="3"/>
  <c r="B996" i="3"/>
  <c r="A996" i="3"/>
  <c r="F995" i="3"/>
  <c r="E995" i="3"/>
  <c r="D995" i="3"/>
  <c r="H995" i="3" s="1"/>
  <c r="I995" i="3" s="1"/>
  <c r="C995" i="3"/>
  <c r="B995" i="3"/>
  <c r="A995" i="3"/>
  <c r="F994" i="3"/>
  <c r="E994" i="3"/>
  <c r="D994" i="3"/>
  <c r="H994" i="3" s="1"/>
  <c r="C994" i="3"/>
  <c r="B994" i="3"/>
  <c r="A994" i="3"/>
  <c r="I993" i="3"/>
  <c r="H993" i="3"/>
  <c r="F993" i="3"/>
  <c r="E993" i="3"/>
  <c r="D993" i="3"/>
  <c r="C993" i="3"/>
  <c r="B993" i="3"/>
  <c r="A993" i="3"/>
  <c r="F992" i="3"/>
  <c r="E992" i="3"/>
  <c r="D992" i="3"/>
  <c r="H992" i="3" s="1"/>
  <c r="I992" i="3" s="1"/>
  <c r="C992" i="3"/>
  <c r="B992" i="3"/>
  <c r="A992" i="3"/>
  <c r="F991" i="3"/>
  <c r="E991" i="3"/>
  <c r="D991" i="3"/>
  <c r="H991" i="3" s="1"/>
  <c r="I991" i="3" s="1"/>
  <c r="C991" i="3"/>
  <c r="B991" i="3"/>
  <c r="A991" i="3"/>
  <c r="H990" i="3"/>
  <c r="F990" i="3"/>
  <c r="E990" i="3"/>
  <c r="D990" i="3"/>
  <c r="C990" i="3"/>
  <c r="B990" i="3"/>
  <c r="A990" i="3"/>
  <c r="F989" i="3"/>
  <c r="E989" i="3"/>
  <c r="D989" i="3"/>
  <c r="H989" i="3" s="1"/>
  <c r="I989" i="3" s="1"/>
  <c r="C989" i="3"/>
  <c r="B989" i="3"/>
  <c r="A989" i="3"/>
  <c r="I988" i="3"/>
  <c r="H988" i="3"/>
  <c r="F988" i="3"/>
  <c r="E988" i="3"/>
  <c r="D988" i="3"/>
  <c r="C988" i="3"/>
  <c r="B988" i="3"/>
  <c r="A988" i="3"/>
  <c r="F987" i="3"/>
  <c r="E987" i="3"/>
  <c r="D987" i="3"/>
  <c r="H987" i="3" s="1"/>
  <c r="I987" i="3" s="1"/>
  <c r="C987" i="3"/>
  <c r="B987" i="3"/>
  <c r="A987" i="3"/>
  <c r="F986" i="3"/>
  <c r="E986" i="3"/>
  <c r="D986" i="3"/>
  <c r="H986" i="3" s="1"/>
  <c r="I986" i="3" s="1"/>
  <c r="C986" i="3"/>
  <c r="B986" i="3"/>
  <c r="A986" i="3"/>
  <c r="I985" i="3"/>
  <c r="H985" i="3"/>
  <c r="F985" i="3"/>
  <c r="E985" i="3"/>
  <c r="D985" i="3"/>
  <c r="C985" i="3"/>
  <c r="B985" i="3"/>
  <c r="A985" i="3"/>
  <c r="F984" i="3"/>
  <c r="E984" i="3"/>
  <c r="D984" i="3"/>
  <c r="H984" i="3" s="1"/>
  <c r="I984" i="3" s="1"/>
  <c r="C984" i="3"/>
  <c r="B984" i="3"/>
  <c r="A984" i="3"/>
  <c r="H983" i="3"/>
  <c r="I983" i="3" s="1"/>
  <c r="F983" i="3"/>
  <c r="E983" i="3"/>
  <c r="D983" i="3"/>
  <c r="C983" i="3"/>
  <c r="B983" i="3"/>
  <c r="A983" i="3"/>
  <c r="H982" i="3"/>
  <c r="F982" i="3"/>
  <c r="E982" i="3"/>
  <c r="D982" i="3"/>
  <c r="C982" i="3"/>
  <c r="B982" i="3"/>
  <c r="A982" i="3"/>
  <c r="F981" i="3"/>
  <c r="E981" i="3"/>
  <c r="D981" i="3"/>
  <c r="H981" i="3" s="1"/>
  <c r="I981" i="3" s="1"/>
  <c r="C981" i="3"/>
  <c r="B981" i="3"/>
  <c r="A981" i="3"/>
  <c r="H980" i="3"/>
  <c r="I980" i="3" s="1"/>
  <c r="F980" i="3"/>
  <c r="E980" i="3"/>
  <c r="D980" i="3"/>
  <c r="C980" i="3"/>
  <c r="B980" i="3"/>
  <c r="A980" i="3"/>
  <c r="F979" i="3"/>
  <c r="E979" i="3"/>
  <c r="D979" i="3"/>
  <c r="H979" i="3" s="1"/>
  <c r="I979" i="3" s="1"/>
  <c r="C979" i="3"/>
  <c r="B979" i="3"/>
  <c r="A979" i="3"/>
  <c r="F978" i="3"/>
  <c r="E978" i="3"/>
  <c r="D978" i="3"/>
  <c r="H978" i="3" s="1"/>
  <c r="I978" i="3" s="1"/>
  <c r="C978" i="3"/>
  <c r="B978" i="3"/>
  <c r="A978" i="3"/>
  <c r="I977" i="3"/>
  <c r="H977" i="3"/>
  <c r="F977" i="3"/>
  <c r="E977" i="3"/>
  <c r="D977" i="3"/>
  <c r="C977" i="3"/>
  <c r="B977" i="3"/>
  <c r="A977" i="3"/>
  <c r="F976" i="3"/>
  <c r="E976" i="3"/>
  <c r="D976" i="3"/>
  <c r="H976" i="3" s="1"/>
  <c r="I976" i="3" s="1"/>
  <c r="C976" i="3"/>
  <c r="B976" i="3"/>
  <c r="A976" i="3"/>
  <c r="H975" i="3"/>
  <c r="I975" i="3" s="1"/>
  <c r="F975" i="3"/>
  <c r="E975" i="3"/>
  <c r="D975" i="3"/>
  <c r="C975" i="3"/>
  <c r="B975" i="3"/>
  <c r="A975" i="3"/>
  <c r="H974" i="3"/>
  <c r="I974" i="3" s="1"/>
  <c r="F974" i="3"/>
  <c r="E974" i="3"/>
  <c r="D974" i="3"/>
  <c r="C974" i="3"/>
  <c r="B974" i="3"/>
  <c r="A974" i="3"/>
  <c r="F973" i="3"/>
  <c r="E973" i="3"/>
  <c r="D973" i="3"/>
  <c r="H973" i="3" s="1"/>
  <c r="I973" i="3" s="1"/>
  <c r="C973" i="3"/>
  <c r="B973" i="3"/>
  <c r="A973" i="3"/>
  <c r="I972" i="3"/>
  <c r="H972" i="3"/>
  <c r="F972" i="3"/>
  <c r="E972" i="3"/>
  <c r="D972" i="3"/>
  <c r="C972" i="3"/>
  <c r="B972" i="3"/>
  <c r="A972" i="3"/>
  <c r="F971" i="3"/>
  <c r="E971" i="3"/>
  <c r="D971" i="3"/>
  <c r="H971" i="3" s="1"/>
  <c r="I971" i="3" s="1"/>
  <c r="C971" i="3"/>
  <c r="B971" i="3"/>
  <c r="A971" i="3"/>
  <c r="F970" i="3"/>
  <c r="E970" i="3"/>
  <c r="D970" i="3"/>
  <c r="H970" i="3" s="1"/>
  <c r="C970" i="3"/>
  <c r="B970" i="3"/>
  <c r="A970" i="3"/>
  <c r="I969" i="3"/>
  <c r="H969" i="3"/>
  <c r="F969" i="3"/>
  <c r="E969" i="3"/>
  <c r="D969" i="3"/>
  <c r="C969" i="3"/>
  <c r="B969" i="3"/>
  <c r="A969" i="3"/>
  <c r="F968" i="3"/>
  <c r="E968" i="3"/>
  <c r="D968" i="3"/>
  <c r="H968" i="3" s="1"/>
  <c r="I968" i="3" s="1"/>
  <c r="C968" i="3"/>
  <c r="B968" i="3"/>
  <c r="A968" i="3"/>
  <c r="F967" i="3"/>
  <c r="E967" i="3"/>
  <c r="D967" i="3"/>
  <c r="H967" i="3" s="1"/>
  <c r="I967" i="3" s="1"/>
  <c r="C967" i="3"/>
  <c r="B967" i="3"/>
  <c r="A967" i="3"/>
  <c r="H966" i="3"/>
  <c r="F966" i="3"/>
  <c r="E966" i="3"/>
  <c r="D966" i="3"/>
  <c r="C966" i="3"/>
  <c r="B966" i="3"/>
  <c r="A966" i="3"/>
  <c r="F965" i="3"/>
  <c r="E965" i="3"/>
  <c r="D965" i="3"/>
  <c r="H965" i="3" s="1"/>
  <c r="C965" i="3"/>
  <c r="B965" i="3"/>
  <c r="A965" i="3"/>
  <c r="R964" i="3"/>
  <c r="J964" i="3"/>
  <c r="H964" i="3"/>
  <c r="I964" i="3" s="1"/>
  <c r="F964" i="3"/>
  <c r="E964" i="3"/>
  <c r="D964" i="3"/>
  <c r="C964" i="3"/>
  <c r="B964" i="3"/>
  <c r="A964" i="3"/>
  <c r="F963" i="3"/>
  <c r="E963" i="3"/>
  <c r="D963" i="3"/>
  <c r="H963" i="3" s="1"/>
  <c r="I963" i="3" s="1"/>
  <c r="C963" i="3"/>
  <c r="B963" i="3"/>
  <c r="A963" i="3"/>
  <c r="F962" i="3"/>
  <c r="E962" i="3"/>
  <c r="D962" i="3"/>
  <c r="H962" i="3" s="1"/>
  <c r="C962" i="3"/>
  <c r="B962" i="3"/>
  <c r="A962" i="3"/>
  <c r="F961" i="3"/>
  <c r="E961" i="3"/>
  <c r="D961" i="3"/>
  <c r="H961" i="3" s="1"/>
  <c r="I961" i="3" s="1"/>
  <c r="C961" i="3"/>
  <c r="B961" i="3"/>
  <c r="A961" i="3"/>
  <c r="F960" i="3"/>
  <c r="E960" i="3"/>
  <c r="D960" i="3"/>
  <c r="H960" i="3" s="1"/>
  <c r="I960" i="3" s="1"/>
  <c r="C960" i="3"/>
  <c r="B960" i="3"/>
  <c r="A960" i="3"/>
  <c r="H959" i="3"/>
  <c r="I959" i="3" s="1"/>
  <c r="F959" i="3"/>
  <c r="E959" i="3"/>
  <c r="D959" i="3"/>
  <c r="C959" i="3"/>
  <c r="B959" i="3"/>
  <c r="A959" i="3"/>
  <c r="H958" i="3"/>
  <c r="I958" i="3" s="1"/>
  <c r="F958" i="3"/>
  <c r="E958" i="3"/>
  <c r="D958" i="3"/>
  <c r="C958" i="3"/>
  <c r="B958" i="3"/>
  <c r="A958" i="3"/>
  <c r="H957" i="3"/>
  <c r="I957" i="3" s="1"/>
  <c r="F957" i="3"/>
  <c r="E957" i="3"/>
  <c r="D957" i="3"/>
  <c r="C957" i="3"/>
  <c r="B957" i="3"/>
  <c r="A957" i="3"/>
  <c r="H956" i="3"/>
  <c r="I956" i="3" s="1"/>
  <c r="F956" i="3"/>
  <c r="E956" i="3"/>
  <c r="D956" i="3"/>
  <c r="C956" i="3"/>
  <c r="B956" i="3"/>
  <c r="A956" i="3"/>
  <c r="F955" i="3"/>
  <c r="E955" i="3"/>
  <c r="D955" i="3"/>
  <c r="H955" i="3" s="1"/>
  <c r="I955" i="3" s="1"/>
  <c r="C955" i="3"/>
  <c r="B955" i="3"/>
  <c r="A955" i="3"/>
  <c r="I954" i="3"/>
  <c r="F954" i="3"/>
  <c r="E954" i="3"/>
  <c r="D954" i="3"/>
  <c r="H954" i="3" s="1"/>
  <c r="C954" i="3"/>
  <c r="B954" i="3"/>
  <c r="A954" i="3"/>
  <c r="F953" i="3"/>
  <c r="E953" i="3"/>
  <c r="D953" i="3"/>
  <c r="H953" i="3" s="1"/>
  <c r="I953" i="3" s="1"/>
  <c r="C953" i="3"/>
  <c r="B953" i="3"/>
  <c r="A953" i="3"/>
  <c r="F952" i="3"/>
  <c r="E952" i="3"/>
  <c r="D952" i="3"/>
  <c r="H952" i="3" s="1"/>
  <c r="I952" i="3" s="1"/>
  <c r="C952" i="3"/>
  <c r="B952" i="3"/>
  <c r="A952" i="3"/>
  <c r="H951" i="3"/>
  <c r="I951" i="3" s="1"/>
  <c r="F951" i="3"/>
  <c r="E951" i="3"/>
  <c r="D951" i="3"/>
  <c r="C951" i="3"/>
  <c r="B951" i="3"/>
  <c r="A951" i="3"/>
  <c r="H950" i="3"/>
  <c r="I950" i="3" s="1"/>
  <c r="F950" i="3"/>
  <c r="E950" i="3"/>
  <c r="D950" i="3"/>
  <c r="C950" i="3"/>
  <c r="B950" i="3"/>
  <c r="A950" i="3"/>
  <c r="H949" i="3"/>
  <c r="I949" i="3" s="1"/>
  <c r="F949" i="3"/>
  <c r="E949" i="3"/>
  <c r="D949" i="3"/>
  <c r="C949" i="3"/>
  <c r="B949" i="3"/>
  <c r="A949" i="3"/>
  <c r="H948" i="3"/>
  <c r="F948" i="3"/>
  <c r="E948" i="3"/>
  <c r="D948" i="3"/>
  <c r="C948" i="3"/>
  <c r="B948" i="3"/>
  <c r="A948" i="3"/>
  <c r="F947" i="3"/>
  <c r="E947" i="3"/>
  <c r="D947" i="3"/>
  <c r="H947" i="3" s="1"/>
  <c r="I947" i="3" s="1"/>
  <c r="C947" i="3"/>
  <c r="B947" i="3"/>
  <c r="A947" i="3"/>
  <c r="I946" i="3"/>
  <c r="F946" i="3"/>
  <c r="E946" i="3"/>
  <c r="D946" i="3"/>
  <c r="H946" i="3" s="1"/>
  <c r="C946" i="3"/>
  <c r="B946" i="3"/>
  <c r="A946" i="3"/>
  <c r="I945" i="3"/>
  <c r="F945" i="3"/>
  <c r="E945" i="3"/>
  <c r="D945" i="3"/>
  <c r="H945" i="3" s="1"/>
  <c r="C945" i="3"/>
  <c r="B945" i="3"/>
  <c r="A945" i="3"/>
  <c r="F944" i="3"/>
  <c r="E944" i="3"/>
  <c r="D944" i="3"/>
  <c r="H944" i="3" s="1"/>
  <c r="I944" i="3" s="1"/>
  <c r="C944" i="3"/>
  <c r="B944" i="3"/>
  <c r="A944" i="3"/>
  <c r="F943" i="3"/>
  <c r="E943" i="3"/>
  <c r="D943" i="3"/>
  <c r="H943" i="3" s="1"/>
  <c r="I943" i="3" s="1"/>
  <c r="C943" i="3"/>
  <c r="B943" i="3"/>
  <c r="A943" i="3"/>
  <c r="H942" i="3"/>
  <c r="I942" i="3" s="1"/>
  <c r="F942" i="3"/>
  <c r="E942" i="3"/>
  <c r="D942" i="3"/>
  <c r="C942" i="3"/>
  <c r="B942" i="3"/>
  <c r="A942" i="3"/>
  <c r="H941" i="3"/>
  <c r="I941" i="3" s="1"/>
  <c r="F941" i="3"/>
  <c r="E941" i="3"/>
  <c r="D941" i="3"/>
  <c r="C941" i="3"/>
  <c r="B941" i="3"/>
  <c r="A941" i="3"/>
  <c r="H940" i="3"/>
  <c r="I940" i="3" s="1"/>
  <c r="F940" i="3"/>
  <c r="E940" i="3"/>
  <c r="D940" i="3"/>
  <c r="C940" i="3"/>
  <c r="B940" i="3"/>
  <c r="A940" i="3"/>
  <c r="F939" i="3"/>
  <c r="E939" i="3"/>
  <c r="D939" i="3"/>
  <c r="H939" i="3" s="1"/>
  <c r="I939" i="3" s="1"/>
  <c r="C939" i="3"/>
  <c r="B939" i="3"/>
  <c r="A939" i="3"/>
  <c r="I938" i="3"/>
  <c r="F938" i="3"/>
  <c r="E938" i="3"/>
  <c r="D938" i="3"/>
  <c r="H938" i="3" s="1"/>
  <c r="C938" i="3"/>
  <c r="B938" i="3"/>
  <c r="A938" i="3"/>
  <c r="I937" i="3"/>
  <c r="F937" i="3"/>
  <c r="E937" i="3"/>
  <c r="D937" i="3"/>
  <c r="H937" i="3" s="1"/>
  <c r="C937" i="3"/>
  <c r="B937" i="3"/>
  <c r="A937" i="3"/>
  <c r="F936" i="3"/>
  <c r="E936" i="3"/>
  <c r="D936" i="3"/>
  <c r="H936" i="3" s="1"/>
  <c r="I936" i="3" s="1"/>
  <c r="C936" i="3"/>
  <c r="B936" i="3"/>
  <c r="A936" i="3"/>
  <c r="F935" i="3"/>
  <c r="E935" i="3"/>
  <c r="D935" i="3"/>
  <c r="H935" i="3" s="1"/>
  <c r="I935" i="3" s="1"/>
  <c r="C935" i="3"/>
  <c r="B935" i="3"/>
  <c r="A935" i="3"/>
  <c r="H934" i="3"/>
  <c r="F934" i="3"/>
  <c r="E934" i="3"/>
  <c r="D934" i="3"/>
  <c r="C934" i="3"/>
  <c r="B934" i="3"/>
  <c r="A934" i="3"/>
  <c r="H933" i="3"/>
  <c r="I933" i="3" s="1"/>
  <c r="F933" i="3"/>
  <c r="E933" i="3"/>
  <c r="D933" i="3"/>
  <c r="C933" i="3"/>
  <c r="B933" i="3"/>
  <c r="A933" i="3"/>
  <c r="I932" i="3"/>
  <c r="H932" i="3"/>
  <c r="F932" i="3"/>
  <c r="E932" i="3"/>
  <c r="D932" i="3"/>
  <c r="C932" i="3"/>
  <c r="B932" i="3"/>
  <c r="A932" i="3"/>
  <c r="H931" i="3"/>
  <c r="I931" i="3" s="1"/>
  <c r="F931" i="3"/>
  <c r="E931" i="3"/>
  <c r="D931" i="3"/>
  <c r="C931" i="3"/>
  <c r="B931" i="3"/>
  <c r="A931" i="3"/>
  <c r="I930" i="3"/>
  <c r="F930" i="3"/>
  <c r="E930" i="3"/>
  <c r="D930" i="3"/>
  <c r="H930" i="3" s="1"/>
  <c r="C930" i="3"/>
  <c r="B930" i="3"/>
  <c r="A930" i="3"/>
  <c r="H929" i="3"/>
  <c r="I929" i="3" s="1"/>
  <c r="F929" i="3"/>
  <c r="E929" i="3"/>
  <c r="D929" i="3"/>
  <c r="C929" i="3"/>
  <c r="B929" i="3"/>
  <c r="A929" i="3"/>
  <c r="I928" i="3"/>
  <c r="F928" i="3"/>
  <c r="E928" i="3"/>
  <c r="D928" i="3"/>
  <c r="H928" i="3" s="1"/>
  <c r="C928" i="3"/>
  <c r="B928" i="3"/>
  <c r="A928" i="3"/>
  <c r="H927" i="3"/>
  <c r="I927" i="3" s="1"/>
  <c r="F927" i="3"/>
  <c r="E927" i="3"/>
  <c r="D927" i="3"/>
  <c r="C927" i="3"/>
  <c r="B927" i="3"/>
  <c r="A927" i="3"/>
  <c r="I926" i="3"/>
  <c r="H926" i="3"/>
  <c r="F926" i="3"/>
  <c r="E926" i="3"/>
  <c r="D926" i="3"/>
  <c r="C926" i="3"/>
  <c r="B926" i="3"/>
  <c r="A926" i="3"/>
  <c r="F925" i="3"/>
  <c r="E925" i="3"/>
  <c r="D925" i="3"/>
  <c r="H925" i="3" s="1"/>
  <c r="I925" i="3" s="1"/>
  <c r="C925" i="3"/>
  <c r="B925" i="3"/>
  <c r="A925" i="3"/>
  <c r="F924" i="3"/>
  <c r="E924" i="3"/>
  <c r="D924" i="3"/>
  <c r="H924" i="3" s="1"/>
  <c r="I924" i="3" s="1"/>
  <c r="C924" i="3"/>
  <c r="B924" i="3"/>
  <c r="A924" i="3"/>
  <c r="H923" i="3"/>
  <c r="I923" i="3" s="1"/>
  <c r="F923" i="3"/>
  <c r="E923" i="3"/>
  <c r="D923" i="3"/>
  <c r="C923" i="3"/>
  <c r="B923" i="3"/>
  <c r="A923" i="3"/>
  <c r="I922" i="3"/>
  <c r="F922" i="3"/>
  <c r="E922" i="3"/>
  <c r="D922" i="3"/>
  <c r="H922" i="3" s="1"/>
  <c r="C922" i="3"/>
  <c r="B922" i="3"/>
  <c r="A922" i="3"/>
  <c r="I921" i="3"/>
  <c r="H921" i="3"/>
  <c r="F921" i="3"/>
  <c r="E921" i="3"/>
  <c r="D921" i="3"/>
  <c r="C921" i="3"/>
  <c r="B921" i="3"/>
  <c r="A921" i="3"/>
  <c r="I920" i="3"/>
  <c r="F920" i="3"/>
  <c r="E920" i="3"/>
  <c r="D920" i="3"/>
  <c r="H920" i="3" s="1"/>
  <c r="C920" i="3"/>
  <c r="B920" i="3"/>
  <c r="A920" i="3"/>
  <c r="F919" i="3"/>
  <c r="E919" i="3"/>
  <c r="D919" i="3"/>
  <c r="H919" i="3" s="1"/>
  <c r="I919" i="3" s="1"/>
  <c r="C919" i="3"/>
  <c r="B919" i="3"/>
  <c r="A919" i="3"/>
  <c r="H918" i="3"/>
  <c r="I918" i="3" s="1"/>
  <c r="F918" i="3"/>
  <c r="E918" i="3"/>
  <c r="D918" i="3"/>
  <c r="C918" i="3"/>
  <c r="B918" i="3"/>
  <c r="A918" i="3"/>
  <c r="H917" i="3"/>
  <c r="I917" i="3" s="1"/>
  <c r="F917" i="3"/>
  <c r="E917" i="3"/>
  <c r="D917" i="3"/>
  <c r="C917" i="3"/>
  <c r="B917" i="3"/>
  <c r="A917" i="3"/>
  <c r="H916" i="3"/>
  <c r="I916" i="3" s="1"/>
  <c r="F916" i="3"/>
  <c r="E916" i="3"/>
  <c r="D916" i="3"/>
  <c r="C916" i="3"/>
  <c r="B916" i="3"/>
  <c r="A916" i="3"/>
  <c r="F915" i="3"/>
  <c r="E915" i="3"/>
  <c r="D915" i="3"/>
  <c r="H915" i="3" s="1"/>
  <c r="I915" i="3" s="1"/>
  <c r="C915" i="3"/>
  <c r="B915" i="3"/>
  <c r="A915" i="3"/>
  <c r="F914" i="3"/>
  <c r="E914" i="3"/>
  <c r="D914" i="3"/>
  <c r="H914" i="3" s="1"/>
  <c r="I914" i="3" s="1"/>
  <c r="C914" i="3"/>
  <c r="B914" i="3"/>
  <c r="A914" i="3"/>
  <c r="I913" i="3"/>
  <c r="H913" i="3"/>
  <c r="F913" i="3"/>
  <c r="E913" i="3"/>
  <c r="D913" i="3"/>
  <c r="C913" i="3"/>
  <c r="B913" i="3"/>
  <c r="A913" i="3"/>
  <c r="F912" i="3"/>
  <c r="E912" i="3"/>
  <c r="D912" i="3"/>
  <c r="H912" i="3" s="1"/>
  <c r="I912" i="3" s="1"/>
  <c r="C912" i="3"/>
  <c r="B912" i="3"/>
  <c r="A912" i="3"/>
  <c r="H911" i="3"/>
  <c r="I911" i="3" s="1"/>
  <c r="F911" i="3"/>
  <c r="E911" i="3"/>
  <c r="D911" i="3"/>
  <c r="C911" i="3"/>
  <c r="B911" i="3"/>
  <c r="A911" i="3"/>
  <c r="H910" i="3"/>
  <c r="I910" i="3" s="1"/>
  <c r="F910" i="3"/>
  <c r="E910" i="3"/>
  <c r="D910" i="3"/>
  <c r="C910" i="3"/>
  <c r="B910" i="3"/>
  <c r="A910" i="3"/>
  <c r="F909" i="3"/>
  <c r="E909" i="3"/>
  <c r="D909" i="3"/>
  <c r="H909" i="3" s="1"/>
  <c r="I909" i="3" s="1"/>
  <c r="C909" i="3"/>
  <c r="B909" i="3"/>
  <c r="A909" i="3"/>
  <c r="H908" i="3"/>
  <c r="I908" i="3" s="1"/>
  <c r="F908" i="3"/>
  <c r="E908" i="3"/>
  <c r="D908" i="3"/>
  <c r="C908" i="3"/>
  <c r="B908" i="3"/>
  <c r="A908" i="3"/>
  <c r="I907" i="3"/>
  <c r="F907" i="3"/>
  <c r="E907" i="3"/>
  <c r="D907" i="3"/>
  <c r="H907" i="3" s="1"/>
  <c r="C907" i="3"/>
  <c r="B907" i="3"/>
  <c r="A907" i="3"/>
  <c r="F906" i="3"/>
  <c r="E906" i="3"/>
  <c r="D906" i="3"/>
  <c r="H906" i="3" s="1"/>
  <c r="I906" i="3" s="1"/>
  <c r="C906" i="3"/>
  <c r="B906" i="3"/>
  <c r="A906" i="3"/>
  <c r="I905" i="3"/>
  <c r="H905" i="3"/>
  <c r="F905" i="3"/>
  <c r="E905" i="3"/>
  <c r="D905" i="3"/>
  <c r="C905" i="3"/>
  <c r="B905" i="3"/>
  <c r="A905" i="3"/>
  <c r="F904" i="3"/>
  <c r="E904" i="3"/>
  <c r="D904" i="3"/>
  <c r="H904" i="3" s="1"/>
  <c r="I904" i="3" s="1"/>
  <c r="C904" i="3"/>
  <c r="B904" i="3"/>
  <c r="A904" i="3"/>
  <c r="H903" i="3"/>
  <c r="I903" i="3" s="1"/>
  <c r="F903" i="3"/>
  <c r="E903" i="3"/>
  <c r="D903" i="3"/>
  <c r="C903" i="3"/>
  <c r="B903" i="3"/>
  <c r="A903" i="3"/>
  <c r="H902" i="3"/>
  <c r="I902" i="3" s="1"/>
  <c r="F902" i="3"/>
  <c r="E902" i="3"/>
  <c r="D902" i="3"/>
  <c r="C902" i="3"/>
  <c r="B902" i="3"/>
  <c r="A902" i="3"/>
  <c r="F901" i="3"/>
  <c r="E901" i="3"/>
  <c r="D901" i="3"/>
  <c r="H901" i="3" s="1"/>
  <c r="C901" i="3"/>
  <c r="B901" i="3"/>
  <c r="A901" i="3"/>
  <c r="H900" i="3"/>
  <c r="I900" i="3" s="1"/>
  <c r="F900" i="3"/>
  <c r="E900" i="3"/>
  <c r="D900" i="3"/>
  <c r="C900" i="3"/>
  <c r="B900" i="3"/>
  <c r="A900" i="3"/>
  <c r="I899" i="3"/>
  <c r="F899" i="3"/>
  <c r="E899" i="3"/>
  <c r="D899" i="3"/>
  <c r="H899" i="3" s="1"/>
  <c r="C899" i="3"/>
  <c r="B899" i="3"/>
  <c r="A899" i="3"/>
  <c r="F898" i="3"/>
  <c r="E898" i="3"/>
  <c r="D898" i="3"/>
  <c r="H898" i="3" s="1"/>
  <c r="I898" i="3" s="1"/>
  <c r="C898" i="3"/>
  <c r="B898" i="3"/>
  <c r="A898" i="3"/>
  <c r="I897" i="3"/>
  <c r="H897" i="3"/>
  <c r="F897" i="3"/>
  <c r="E897" i="3"/>
  <c r="D897" i="3"/>
  <c r="C897" i="3"/>
  <c r="B897" i="3"/>
  <c r="A897" i="3"/>
  <c r="F896" i="3"/>
  <c r="E896" i="3"/>
  <c r="D896" i="3"/>
  <c r="H896" i="3" s="1"/>
  <c r="I896" i="3" s="1"/>
  <c r="C896" i="3"/>
  <c r="B896" i="3"/>
  <c r="A896" i="3"/>
  <c r="H895" i="3"/>
  <c r="I895" i="3" s="1"/>
  <c r="F895" i="3"/>
  <c r="E895" i="3"/>
  <c r="D895" i="3"/>
  <c r="C895" i="3"/>
  <c r="B895" i="3"/>
  <c r="A895" i="3"/>
  <c r="H894" i="3"/>
  <c r="I894" i="3" s="1"/>
  <c r="F894" i="3"/>
  <c r="E894" i="3"/>
  <c r="D894" i="3"/>
  <c r="C894" i="3"/>
  <c r="B894" i="3"/>
  <c r="A894" i="3"/>
  <c r="F893" i="3"/>
  <c r="E893" i="3"/>
  <c r="D893" i="3"/>
  <c r="H893" i="3" s="1"/>
  <c r="C893" i="3"/>
  <c r="B893" i="3"/>
  <c r="A893" i="3"/>
  <c r="H892" i="3"/>
  <c r="I892" i="3" s="1"/>
  <c r="F892" i="3"/>
  <c r="E892" i="3"/>
  <c r="D892" i="3"/>
  <c r="C892" i="3"/>
  <c r="B892" i="3"/>
  <c r="A892" i="3"/>
  <c r="I891" i="3"/>
  <c r="F891" i="3"/>
  <c r="E891" i="3"/>
  <c r="D891" i="3"/>
  <c r="H891" i="3" s="1"/>
  <c r="C891" i="3"/>
  <c r="B891" i="3"/>
  <c r="A891" i="3"/>
  <c r="F890" i="3"/>
  <c r="E890" i="3"/>
  <c r="D890" i="3"/>
  <c r="H890" i="3" s="1"/>
  <c r="I890" i="3" s="1"/>
  <c r="C890" i="3"/>
  <c r="B890" i="3"/>
  <c r="A890" i="3"/>
  <c r="I889" i="3"/>
  <c r="H889" i="3"/>
  <c r="F889" i="3"/>
  <c r="E889" i="3"/>
  <c r="D889" i="3"/>
  <c r="C889" i="3"/>
  <c r="B889" i="3"/>
  <c r="A889" i="3"/>
  <c r="F888" i="3"/>
  <c r="E888" i="3"/>
  <c r="D888" i="3"/>
  <c r="H888" i="3" s="1"/>
  <c r="I888" i="3" s="1"/>
  <c r="C888" i="3"/>
  <c r="B888" i="3"/>
  <c r="A888" i="3"/>
  <c r="H887" i="3"/>
  <c r="I887" i="3" s="1"/>
  <c r="F887" i="3"/>
  <c r="E887" i="3"/>
  <c r="D887" i="3"/>
  <c r="C887" i="3"/>
  <c r="B887" i="3"/>
  <c r="A887" i="3"/>
  <c r="H886" i="3"/>
  <c r="I886" i="3" s="1"/>
  <c r="F886" i="3"/>
  <c r="E886" i="3"/>
  <c r="D886" i="3"/>
  <c r="C886" i="3"/>
  <c r="B886" i="3"/>
  <c r="A886" i="3"/>
  <c r="F885" i="3"/>
  <c r="E885" i="3"/>
  <c r="D885" i="3"/>
  <c r="H885" i="3" s="1"/>
  <c r="I885" i="3" s="1"/>
  <c r="C885" i="3"/>
  <c r="B885" i="3"/>
  <c r="A885" i="3"/>
  <c r="H884" i="3"/>
  <c r="I884" i="3" s="1"/>
  <c r="F884" i="3"/>
  <c r="E884" i="3"/>
  <c r="D884" i="3"/>
  <c r="C884" i="3"/>
  <c r="B884" i="3"/>
  <c r="A884" i="3"/>
  <c r="F883" i="3"/>
  <c r="E883" i="3"/>
  <c r="D883" i="3"/>
  <c r="H883" i="3" s="1"/>
  <c r="I883" i="3" s="1"/>
  <c r="C883" i="3"/>
  <c r="B883" i="3"/>
  <c r="A883" i="3"/>
  <c r="F882" i="3"/>
  <c r="E882" i="3"/>
  <c r="D882" i="3"/>
  <c r="H882" i="3" s="1"/>
  <c r="I882" i="3" s="1"/>
  <c r="C882" i="3"/>
  <c r="B882" i="3"/>
  <c r="A882" i="3"/>
  <c r="I881" i="3"/>
  <c r="H881" i="3"/>
  <c r="F881" i="3"/>
  <c r="E881" i="3"/>
  <c r="D881" i="3"/>
  <c r="C881" i="3"/>
  <c r="B881" i="3"/>
  <c r="A881" i="3"/>
  <c r="F880" i="3"/>
  <c r="E880" i="3"/>
  <c r="D880" i="3"/>
  <c r="H880" i="3" s="1"/>
  <c r="I880" i="3" s="1"/>
  <c r="C880" i="3"/>
  <c r="B880" i="3"/>
  <c r="A880" i="3"/>
  <c r="H879" i="3"/>
  <c r="I879" i="3" s="1"/>
  <c r="F879" i="3"/>
  <c r="E879" i="3"/>
  <c r="D879" i="3"/>
  <c r="C879" i="3"/>
  <c r="B879" i="3"/>
  <c r="A879" i="3"/>
  <c r="H878" i="3"/>
  <c r="I878" i="3" s="1"/>
  <c r="F878" i="3"/>
  <c r="E878" i="3"/>
  <c r="D878" i="3"/>
  <c r="C878" i="3"/>
  <c r="B878" i="3"/>
  <c r="A878" i="3"/>
  <c r="F877" i="3"/>
  <c r="E877" i="3"/>
  <c r="D877" i="3"/>
  <c r="H877" i="3" s="1"/>
  <c r="C877" i="3"/>
  <c r="B877" i="3"/>
  <c r="A877" i="3"/>
  <c r="H876" i="3"/>
  <c r="I876" i="3" s="1"/>
  <c r="F876" i="3"/>
  <c r="E876" i="3"/>
  <c r="D876" i="3"/>
  <c r="C876" i="3"/>
  <c r="B876" i="3"/>
  <c r="A876" i="3"/>
  <c r="I875" i="3"/>
  <c r="F875" i="3"/>
  <c r="E875" i="3"/>
  <c r="D875" i="3"/>
  <c r="H875" i="3" s="1"/>
  <c r="C875" i="3"/>
  <c r="B875" i="3"/>
  <c r="A875" i="3"/>
  <c r="F874" i="3"/>
  <c r="E874" i="3"/>
  <c r="D874" i="3"/>
  <c r="H874" i="3" s="1"/>
  <c r="I874" i="3" s="1"/>
  <c r="C874" i="3"/>
  <c r="B874" i="3"/>
  <c r="A874" i="3"/>
  <c r="I873" i="3"/>
  <c r="H873" i="3"/>
  <c r="F873" i="3"/>
  <c r="E873" i="3"/>
  <c r="D873" i="3"/>
  <c r="C873" i="3"/>
  <c r="B873" i="3"/>
  <c r="A873" i="3"/>
  <c r="F872" i="3"/>
  <c r="E872" i="3"/>
  <c r="D872" i="3"/>
  <c r="H872" i="3" s="1"/>
  <c r="I872" i="3" s="1"/>
  <c r="C872" i="3"/>
  <c r="B872" i="3"/>
  <c r="A872" i="3"/>
  <c r="H871" i="3"/>
  <c r="I871" i="3" s="1"/>
  <c r="F871" i="3"/>
  <c r="E871" i="3"/>
  <c r="D871" i="3"/>
  <c r="C871" i="3"/>
  <c r="B871" i="3"/>
  <c r="A871" i="3"/>
  <c r="H870" i="3"/>
  <c r="I870" i="3" s="1"/>
  <c r="F870" i="3"/>
  <c r="E870" i="3"/>
  <c r="D870" i="3"/>
  <c r="C870" i="3"/>
  <c r="B870" i="3"/>
  <c r="A870" i="3"/>
  <c r="F869" i="3"/>
  <c r="E869" i="3"/>
  <c r="D869" i="3"/>
  <c r="H869" i="3" s="1"/>
  <c r="I869" i="3" s="1"/>
  <c r="C869" i="3"/>
  <c r="B869" i="3"/>
  <c r="A869" i="3"/>
  <c r="H868" i="3"/>
  <c r="I868" i="3" s="1"/>
  <c r="F868" i="3"/>
  <c r="E868" i="3"/>
  <c r="D868" i="3"/>
  <c r="C868" i="3"/>
  <c r="B868" i="3"/>
  <c r="A868" i="3"/>
  <c r="F867" i="3"/>
  <c r="E867" i="3"/>
  <c r="D867" i="3"/>
  <c r="H867" i="3" s="1"/>
  <c r="I867" i="3" s="1"/>
  <c r="C867" i="3"/>
  <c r="B867" i="3"/>
  <c r="A867" i="3"/>
  <c r="F866" i="3"/>
  <c r="E866" i="3"/>
  <c r="D866" i="3"/>
  <c r="H866" i="3" s="1"/>
  <c r="I866" i="3" s="1"/>
  <c r="C866" i="3"/>
  <c r="B866" i="3"/>
  <c r="A866" i="3"/>
  <c r="I865" i="3"/>
  <c r="H865" i="3"/>
  <c r="F865" i="3"/>
  <c r="E865" i="3"/>
  <c r="D865" i="3"/>
  <c r="C865" i="3"/>
  <c r="B865" i="3"/>
  <c r="A865" i="3"/>
  <c r="F864" i="3"/>
  <c r="E864" i="3"/>
  <c r="D864" i="3"/>
  <c r="H864" i="3" s="1"/>
  <c r="I864" i="3" s="1"/>
  <c r="C864" i="3"/>
  <c r="B864" i="3"/>
  <c r="A864" i="3"/>
  <c r="H863" i="3"/>
  <c r="I863" i="3" s="1"/>
  <c r="F863" i="3"/>
  <c r="E863" i="3"/>
  <c r="D863" i="3"/>
  <c r="C863" i="3"/>
  <c r="B863" i="3"/>
  <c r="A863" i="3"/>
  <c r="H862" i="3"/>
  <c r="I862" i="3" s="1"/>
  <c r="F862" i="3"/>
  <c r="E862" i="3"/>
  <c r="D862" i="3"/>
  <c r="C862" i="3"/>
  <c r="B862" i="3"/>
  <c r="A862" i="3"/>
  <c r="F861" i="3"/>
  <c r="E861" i="3"/>
  <c r="D861" i="3"/>
  <c r="H861" i="3" s="1"/>
  <c r="I861" i="3" s="1"/>
  <c r="C861" i="3"/>
  <c r="B861" i="3"/>
  <c r="A861" i="3"/>
  <c r="H860" i="3"/>
  <c r="I860" i="3" s="1"/>
  <c r="F860" i="3"/>
  <c r="E860" i="3"/>
  <c r="D860" i="3"/>
  <c r="C860" i="3"/>
  <c r="B860" i="3"/>
  <c r="A860" i="3"/>
  <c r="I859" i="3"/>
  <c r="F859" i="3"/>
  <c r="E859" i="3"/>
  <c r="D859" i="3"/>
  <c r="H859" i="3" s="1"/>
  <c r="C859" i="3"/>
  <c r="B859" i="3"/>
  <c r="A859" i="3"/>
  <c r="F858" i="3"/>
  <c r="E858" i="3"/>
  <c r="D858" i="3"/>
  <c r="H858" i="3" s="1"/>
  <c r="I858" i="3" s="1"/>
  <c r="C858" i="3"/>
  <c r="B858" i="3"/>
  <c r="A858" i="3"/>
  <c r="I857" i="3"/>
  <c r="H857" i="3"/>
  <c r="F857" i="3"/>
  <c r="E857" i="3"/>
  <c r="D857" i="3"/>
  <c r="C857" i="3"/>
  <c r="B857" i="3"/>
  <c r="A857" i="3"/>
  <c r="F856" i="3"/>
  <c r="E856" i="3"/>
  <c r="D856" i="3"/>
  <c r="H856" i="3" s="1"/>
  <c r="I856" i="3" s="1"/>
  <c r="C856" i="3"/>
  <c r="B856" i="3"/>
  <c r="A856" i="3"/>
  <c r="H855" i="3"/>
  <c r="I855" i="3" s="1"/>
  <c r="F855" i="3"/>
  <c r="E855" i="3"/>
  <c r="D855" i="3"/>
  <c r="C855" i="3"/>
  <c r="B855" i="3"/>
  <c r="A855" i="3"/>
  <c r="H854" i="3"/>
  <c r="I854" i="3" s="1"/>
  <c r="F854" i="3"/>
  <c r="E854" i="3"/>
  <c r="D854" i="3"/>
  <c r="C854" i="3"/>
  <c r="B854" i="3"/>
  <c r="A854" i="3"/>
  <c r="F853" i="3"/>
  <c r="E853" i="3"/>
  <c r="D853" i="3"/>
  <c r="H853" i="3" s="1"/>
  <c r="I853" i="3" s="1"/>
  <c r="C853" i="3"/>
  <c r="B853" i="3"/>
  <c r="A853" i="3"/>
  <c r="H852" i="3"/>
  <c r="I852" i="3" s="1"/>
  <c r="F852" i="3"/>
  <c r="E852" i="3"/>
  <c r="D852" i="3"/>
  <c r="C852" i="3"/>
  <c r="B852" i="3"/>
  <c r="A852" i="3"/>
  <c r="F851" i="3"/>
  <c r="E851" i="3"/>
  <c r="D851" i="3"/>
  <c r="H851" i="3" s="1"/>
  <c r="I851" i="3" s="1"/>
  <c r="C851" i="3"/>
  <c r="B851" i="3"/>
  <c r="A851" i="3"/>
  <c r="F850" i="3"/>
  <c r="E850" i="3"/>
  <c r="D850" i="3"/>
  <c r="H850" i="3" s="1"/>
  <c r="I850" i="3" s="1"/>
  <c r="C850" i="3"/>
  <c r="B850" i="3"/>
  <c r="A850" i="3"/>
  <c r="I849" i="3"/>
  <c r="H849" i="3"/>
  <c r="F849" i="3"/>
  <c r="E849" i="3"/>
  <c r="D849" i="3"/>
  <c r="C849" i="3"/>
  <c r="B849" i="3"/>
  <c r="A849" i="3"/>
  <c r="F848" i="3"/>
  <c r="E848" i="3"/>
  <c r="D848" i="3"/>
  <c r="H848" i="3" s="1"/>
  <c r="I848" i="3" s="1"/>
  <c r="C848" i="3"/>
  <c r="B848" i="3"/>
  <c r="A848" i="3"/>
  <c r="H847" i="3"/>
  <c r="I847" i="3" s="1"/>
  <c r="F847" i="3"/>
  <c r="E847" i="3"/>
  <c r="D847" i="3"/>
  <c r="C847" i="3"/>
  <c r="B847" i="3"/>
  <c r="A847" i="3"/>
  <c r="H846" i="3"/>
  <c r="I846" i="3" s="1"/>
  <c r="F846" i="3"/>
  <c r="E846" i="3"/>
  <c r="D846" i="3"/>
  <c r="C846" i="3"/>
  <c r="B846" i="3"/>
  <c r="A846" i="3"/>
  <c r="F845" i="3"/>
  <c r="E845" i="3"/>
  <c r="D845" i="3"/>
  <c r="H845" i="3" s="1"/>
  <c r="I845" i="3" s="1"/>
  <c r="C845" i="3"/>
  <c r="B845" i="3"/>
  <c r="A845" i="3"/>
  <c r="R844" i="3"/>
  <c r="J844" i="3"/>
  <c r="H844" i="3"/>
  <c r="I844" i="3" s="1"/>
  <c r="F844" i="3"/>
  <c r="E844" i="3"/>
  <c r="D844" i="3"/>
  <c r="C844" i="3"/>
  <c r="B844" i="3"/>
  <c r="A844" i="3"/>
  <c r="F843" i="3"/>
  <c r="E843" i="3"/>
  <c r="D843" i="3"/>
  <c r="H843" i="3" s="1"/>
  <c r="I843" i="3" s="1"/>
  <c r="C843" i="3"/>
  <c r="B843" i="3"/>
  <c r="A843" i="3"/>
  <c r="F842" i="3"/>
  <c r="E842" i="3"/>
  <c r="D842" i="3"/>
  <c r="H842" i="3" s="1"/>
  <c r="I842" i="3" s="1"/>
  <c r="C842" i="3"/>
  <c r="B842" i="3"/>
  <c r="A842" i="3"/>
  <c r="I841" i="3"/>
  <c r="H841" i="3"/>
  <c r="F841" i="3"/>
  <c r="E841" i="3"/>
  <c r="D841" i="3"/>
  <c r="C841" i="3"/>
  <c r="B841" i="3"/>
  <c r="A841" i="3"/>
  <c r="F840" i="3"/>
  <c r="E840" i="3"/>
  <c r="D840" i="3"/>
  <c r="H840" i="3" s="1"/>
  <c r="I840" i="3" s="1"/>
  <c r="C840" i="3"/>
  <c r="B840" i="3"/>
  <c r="A840" i="3"/>
  <c r="H839" i="3"/>
  <c r="I839" i="3" s="1"/>
  <c r="F839" i="3"/>
  <c r="E839" i="3"/>
  <c r="D839" i="3"/>
  <c r="C839" i="3"/>
  <c r="B839" i="3"/>
  <c r="A839" i="3"/>
  <c r="H838" i="3"/>
  <c r="I838" i="3" s="1"/>
  <c r="F838" i="3"/>
  <c r="E838" i="3"/>
  <c r="D838" i="3"/>
  <c r="C838" i="3"/>
  <c r="B838" i="3"/>
  <c r="A838" i="3"/>
  <c r="F837" i="3"/>
  <c r="E837" i="3"/>
  <c r="D837" i="3"/>
  <c r="H837" i="3" s="1"/>
  <c r="I837" i="3" s="1"/>
  <c r="C837" i="3"/>
  <c r="B837" i="3"/>
  <c r="A837" i="3"/>
  <c r="H836" i="3"/>
  <c r="I836" i="3" s="1"/>
  <c r="F836" i="3"/>
  <c r="E836" i="3"/>
  <c r="D836" i="3"/>
  <c r="C836" i="3"/>
  <c r="B836" i="3"/>
  <c r="A836" i="3"/>
  <c r="F835" i="3"/>
  <c r="E835" i="3"/>
  <c r="D835" i="3"/>
  <c r="H835" i="3" s="1"/>
  <c r="I835" i="3" s="1"/>
  <c r="C835" i="3"/>
  <c r="B835" i="3"/>
  <c r="A835" i="3"/>
  <c r="F834" i="3"/>
  <c r="E834" i="3"/>
  <c r="D834" i="3"/>
  <c r="H834" i="3" s="1"/>
  <c r="I834" i="3" s="1"/>
  <c r="C834" i="3"/>
  <c r="B834" i="3"/>
  <c r="A834" i="3"/>
  <c r="I833" i="3"/>
  <c r="H833" i="3"/>
  <c r="F833" i="3"/>
  <c r="E833" i="3"/>
  <c r="D833" i="3"/>
  <c r="C833" i="3"/>
  <c r="B833" i="3"/>
  <c r="A833" i="3"/>
  <c r="F832" i="3"/>
  <c r="E832" i="3"/>
  <c r="D832" i="3"/>
  <c r="H832" i="3" s="1"/>
  <c r="I832" i="3" s="1"/>
  <c r="C832" i="3"/>
  <c r="B832" i="3"/>
  <c r="A832" i="3"/>
  <c r="H831" i="3"/>
  <c r="I831" i="3" s="1"/>
  <c r="F831" i="3"/>
  <c r="E831" i="3"/>
  <c r="D831" i="3"/>
  <c r="C831" i="3"/>
  <c r="B831" i="3"/>
  <c r="A831" i="3"/>
  <c r="H830" i="3"/>
  <c r="I830" i="3" s="1"/>
  <c r="F830" i="3"/>
  <c r="E830" i="3"/>
  <c r="D830" i="3"/>
  <c r="C830" i="3"/>
  <c r="B830" i="3"/>
  <c r="A830" i="3"/>
  <c r="F829" i="3"/>
  <c r="E829" i="3"/>
  <c r="D829" i="3"/>
  <c r="H829" i="3" s="1"/>
  <c r="C829" i="3"/>
  <c r="B829" i="3"/>
  <c r="A829" i="3"/>
  <c r="H828" i="3"/>
  <c r="I828" i="3" s="1"/>
  <c r="F828" i="3"/>
  <c r="E828" i="3"/>
  <c r="D828" i="3"/>
  <c r="C828" i="3"/>
  <c r="B828" i="3"/>
  <c r="A828" i="3"/>
  <c r="F827" i="3"/>
  <c r="E827" i="3"/>
  <c r="D827" i="3"/>
  <c r="H827" i="3" s="1"/>
  <c r="I827" i="3" s="1"/>
  <c r="C827" i="3"/>
  <c r="B827" i="3"/>
  <c r="A827" i="3"/>
  <c r="F826" i="3"/>
  <c r="E826" i="3"/>
  <c r="D826" i="3"/>
  <c r="H826" i="3" s="1"/>
  <c r="I826" i="3" s="1"/>
  <c r="C826" i="3"/>
  <c r="B826" i="3"/>
  <c r="A826" i="3"/>
  <c r="I825" i="3"/>
  <c r="H825" i="3"/>
  <c r="F825" i="3"/>
  <c r="E825" i="3"/>
  <c r="D825" i="3"/>
  <c r="C825" i="3"/>
  <c r="B825" i="3"/>
  <c r="A825" i="3"/>
  <c r="F824" i="3"/>
  <c r="E824" i="3"/>
  <c r="D824" i="3"/>
  <c r="H824" i="3" s="1"/>
  <c r="I824" i="3" s="1"/>
  <c r="C824" i="3"/>
  <c r="B824" i="3"/>
  <c r="A824" i="3"/>
  <c r="H823" i="3"/>
  <c r="I823" i="3" s="1"/>
  <c r="F823" i="3"/>
  <c r="E823" i="3"/>
  <c r="D823" i="3"/>
  <c r="C823" i="3"/>
  <c r="B823" i="3"/>
  <c r="A823" i="3"/>
  <c r="H822" i="3"/>
  <c r="I822" i="3" s="1"/>
  <c r="F822" i="3"/>
  <c r="E822" i="3"/>
  <c r="D822" i="3"/>
  <c r="C822" i="3"/>
  <c r="B822" i="3"/>
  <c r="A822" i="3"/>
  <c r="F821" i="3"/>
  <c r="E821" i="3"/>
  <c r="D821" i="3"/>
  <c r="H821" i="3" s="1"/>
  <c r="I821" i="3" s="1"/>
  <c r="C821" i="3"/>
  <c r="B821" i="3"/>
  <c r="A821" i="3"/>
  <c r="H820" i="3"/>
  <c r="I820" i="3" s="1"/>
  <c r="F820" i="3"/>
  <c r="E820" i="3"/>
  <c r="D820" i="3"/>
  <c r="C820" i="3"/>
  <c r="B820" i="3"/>
  <c r="A820" i="3"/>
  <c r="F819" i="3"/>
  <c r="E819" i="3"/>
  <c r="D819" i="3"/>
  <c r="H819" i="3" s="1"/>
  <c r="I819" i="3" s="1"/>
  <c r="C819" i="3"/>
  <c r="B819" i="3"/>
  <c r="A819" i="3"/>
  <c r="F818" i="3"/>
  <c r="E818" i="3"/>
  <c r="D818" i="3"/>
  <c r="H818" i="3" s="1"/>
  <c r="I818" i="3" s="1"/>
  <c r="C818" i="3"/>
  <c r="B818" i="3"/>
  <c r="A818" i="3"/>
  <c r="I817" i="3"/>
  <c r="H817" i="3"/>
  <c r="F817" i="3"/>
  <c r="E817" i="3"/>
  <c r="D817" i="3"/>
  <c r="C817" i="3"/>
  <c r="B817" i="3"/>
  <c r="A817" i="3"/>
  <c r="F816" i="3"/>
  <c r="E816" i="3"/>
  <c r="D816" i="3"/>
  <c r="H816" i="3" s="1"/>
  <c r="I816" i="3" s="1"/>
  <c r="C816" i="3"/>
  <c r="B816" i="3"/>
  <c r="A816" i="3"/>
  <c r="H815" i="3"/>
  <c r="I815" i="3" s="1"/>
  <c r="F815" i="3"/>
  <c r="E815" i="3"/>
  <c r="D815" i="3"/>
  <c r="C815" i="3"/>
  <c r="B815" i="3"/>
  <c r="A815" i="3"/>
  <c r="H814" i="3"/>
  <c r="I814" i="3" s="1"/>
  <c r="F814" i="3"/>
  <c r="E814" i="3"/>
  <c r="D814" i="3"/>
  <c r="C814" i="3"/>
  <c r="B814" i="3"/>
  <c r="A814" i="3"/>
  <c r="F813" i="3"/>
  <c r="E813" i="3"/>
  <c r="D813" i="3"/>
  <c r="H813" i="3" s="1"/>
  <c r="I813" i="3" s="1"/>
  <c r="C813" i="3"/>
  <c r="B813" i="3"/>
  <c r="A813" i="3"/>
  <c r="H812" i="3"/>
  <c r="I812" i="3" s="1"/>
  <c r="F812" i="3"/>
  <c r="E812" i="3"/>
  <c r="D812" i="3"/>
  <c r="C812" i="3"/>
  <c r="B812" i="3"/>
  <c r="A812" i="3"/>
  <c r="I811" i="3"/>
  <c r="F811" i="3"/>
  <c r="E811" i="3"/>
  <c r="D811" i="3"/>
  <c r="H811" i="3" s="1"/>
  <c r="C811" i="3"/>
  <c r="B811" i="3"/>
  <c r="A811" i="3"/>
  <c r="F810" i="3"/>
  <c r="E810" i="3"/>
  <c r="D810" i="3"/>
  <c r="H810" i="3" s="1"/>
  <c r="I810" i="3" s="1"/>
  <c r="C810" i="3"/>
  <c r="B810" i="3"/>
  <c r="A810" i="3"/>
  <c r="I809" i="3"/>
  <c r="H809" i="3"/>
  <c r="F809" i="3"/>
  <c r="E809" i="3"/>
  <c r="D809" i="3"/>
  <c r="C809" i="3"/>
  <c r="B809" i="3"/>
  <c r="A809" i="3"/>
  <c r="F808" i="3"/>
  <c r="E808" i="3"/>
  <c r="D808" i="3"/>
  <c r="H808" i="3" s="1"/>
  <c r="I808" i="3" s="1"/>
  <c r="C808" i="3"/>
  <c r="B808" i="3"/>
  <c r="A808" i="3"/>
  <c r="H807" i="3"/>
  <c r="I807" i="3" s="1"/>
  <c r="F807" i="3"/>
  <c r="E807" i="3"/>
  <c r="D807" i="3"/>
  <c r="C807" i="3"/>
  <c r="B807" i="3"/>
  <c r="A807" i="3"/>
  <c r="H806" i="3"/>
  <c r="I806" i="3" s="1"/>
  <c r="F806" i="3"/>
  <c r="E806" i="3"/>
  <c r="D806" i="3"/>
  <c r="C806" i="3"/>
  <c r="B806" i="3"/>
  <c r="A806" i="3"/>
  <c r="F805" i="3"/>
  <c r="E805" i="3"/>
  <c r="D805" i="3"/>
  <c r="H805" i="3" s="1"/>
  <c r="I805" i="3" s="1"/>
  <c r="C805" i="3"/>
  <c r="B805" i="3"/>
  <c r="A805" i="3"/>
  <c r="H804" i="3"/>
  <c r="I804" i="3" s="1"/>
  <c r="F804" i="3"/>
  <c r="E804" i="3"/>
  <c r="D804" i="3"/>
  <c r="C804" i="3"/>
  <c r="B804" i="3"/>
  <c r="A804" i="3"/>
  <c r="F803" i="3"/>
  <c r="E803" i="3"/>
  <c r="D803" i="3"/>
  <c r="H803" i="3" s="1"/>
  <c r="I803" i="3" s="1"/>
  <c r="C803" i="3"/>
  <c r="B803" i="3"/>
  <c r="A803" i="3"/>
  <c r="F802" i="3"/>
  <c r="E802" i="3"/>
  <c r="D802" i="3"/>
  <c r="H802" i="3" s="1"/>
  <c r="I802" i="3" s="1"/>
  <c r="C802" i="3"/>
  <c r="B802" i="3"/>
  <c r="A802" i="3"/>
  <c r="I801" i="3"/>
  <c r="H801" i="3"/>
  <c r="F801" i="3"/>
  <c r="E801" i="3"/>
  <c r="D801" i="3"/>
  <c r="C801" i="3"/>
  <c r="B801" i="3"/>
  <c r="A801" i="3"/>
  <c r="F800" i="3"/>
  <c r="E800" i="3"/>
  <c r="D800" i="3"/>
  <c r="H800" i="3" s="1"/>
  <c r="I800" i="3" s="1"/>
  <c r="C800" i="3"/>
  <c r="B800" i="3"/>
  <c r="A800" i="3"/>
  <c r="H799" i="3"/>
  <c r="I799" i="3" s="1"/>
  <c r="F799" i="3"/>
  <c r="E799" i="3"/>
  <c r="D799" i="3"/>
  <c r="C799" i="3"/>
  <c r="B799" i="3"/>
  <c r="A799" i="3"/>
  <c r="H798" i="3"/>
  <c r="I798" i="3" s="1"/>
  <c r="F798" i="3"/>
  <c r="E798" i="3"/>
  <c r="D798" i="3"/>
  <c r="C798" i="3"/>
  <c r="B798" i="3"/>
  <c r="A798" i="3"/>
  <c r="F797" i="3"/>
  <c r="E797" i="3"/>
  <c r="D797" i="3"/>
  <c r="H797" i="3" s="1"/>
  <c r="I797" i="3" s="1"/>
  <c r="C797" i="3"/>
  <c r="B797" i="3"/>
  <c r="A797" i="3"/>
  <c r="H796" i="3"/>
  <c r="I796" i="3" s="1"/>
  <c r="F796" i="3"/>
  <c r="E796" i="3"/>
  <c r="D796" i="3"/>
  <c r="C796" i="3"/>
  <c r="B796" i="3"/>
  <c r="A796" i="3"/>
  <c r="I795" i="3"/>
  <c r="F795" i="3"/>
  <c r="E795" i="3"/>
  <c r="D795" i="3"/>
  <c r="H795" i="3" s="1"/>
  <c r="C795" i="3"/>
  <c r="B795" i="3"/>
  <c r="A795" i="3"/>
  <c r="F794" i="3"/>
  <c r="E794" i="3"/>
  <c r="D794" i="3"/>
  <c r="H794" i="3" s="1"/>
  <c r="I794" i="3" s="1"/>
  <c r="C794" i="3"/>
  <c r="B794" i="3"/>
  <c r="A794" i="3"/>
  <c r="I793" i="3"/>
  <c r="H793" i="3"/>
  <c r="F793" i="3"/>
  <c r="E793" i="3"/>
  <c r="D793" i="3"/>
  <c r="C793" i="3"/>
  <c r="B793" i="3"/>
  <c r="A793" i="3"/>
  <c r="F792" i="3"/>
  <c r="E792" i="3"/>
  <c r="D792" i="3"/>
  <c r="H792" i="3" s="1"/>
  <c r="I792" i="3" s="1"/>
  <c r="C792" i="3"/>
  <c r="B792" i="3"/>
  <c r="A792" i="3"/>
  <c r="H791" i="3"/>
  <c r="I791" i="3" s="1"/>
  <c r="F791" i="3"/>
  <c r="E791" i="3"/>
  <c r="D791" i="3"/>
  <c r="C791" i="3"/>
  <c r="B791" i="3"/>
  <c r="A791" i="3"/>
  <c r="H790" i="3"/>
  <c r="I790" i="3" s="1"/>
  <c r="F790" i="3"/>
  <c r="E790" i="3"/>
  <c r="D790" i="3"/>
  <c r="C790" i="3"/>
  <c r="B790" i="3"/>
  <c r="A790" i="3"/>
  <c r="F789" i="3"/>
  <c r="E789" i="3"/>
  <c r="D789" i="3"/>
  <c r="H789" i="3" s="1"/>
  <c r="C789" i="3"/>
  <c r="B789" i="3"/>
  <c r="A789" i="3"/>
  <c r="H788" i="3"/>
  <c r="I788" i="3" s="1"/>
  <c r="F788" i="3"/>
  <c r="E788" i="3"/>
  <c r="D788" i="3"/>
  <c r="C788" i="3"/>
  <c r="B788" i="3"/>
  <c r="A788" i="3"/>
  <c r="I787" i="3"/>
  <c r="F787" i="3"/>
  <c r="E787" i="3"/>
  <c r="D787" i="3"/>
  <c r="H787" i="3" s="1"/>
  <c r="C787" i="3"/>
  <c r="B787" i="3"/>
  <c r="A787" i="3"/>
  <c r="F786" i="3"/>
  <c r="E786" i="3"/>
  <c r="D786" i="3"/>
  <c r="H786" i="3" s="1"/>
  <c r="I786" i="3" s="1"/>
  <c r="C786" i="3"/>
  <c r="B786" i="3"/>
  <c r="A786" i="3"/>
  <c r="I785" i="3"/>
  <c r="H785" i="3"/>
  <c r="F785" i="3"/>
  <c r="E785" i="3"/>
  <c r="D785" i="3"/>
  <c r="C785" i="3"/>
  <c r="B785" i="3"/>
  <c r="A785" i="3"/>
  <c r="F784" i="3"/>
  <c r="E784" i="3"/>
  <c r="D784" i="3"/>
  <c r="H784" i="3" s="1"/>
  <c r="I784" i="3" s="1"/>
  <c r="C784" i="3"/>
  <c r="B784" i="3"/>
  <c r="A784" i="3"/>
  <c r="H783" i="3"/>
  <c r="I783" i="3" s="1"/>
  <c r="F783" i="3"/>
  <c r="E783" i="3"/>
  <c r="D783" i="3"/>
  <c r="C783" i="3"/>
  <c r="B783" i="3"/>
  <c r="A783" i="3"/>
  <c r="H782" i="3"/>
  <c r="I782" i="3" s="1"/>
  <c r="F782" i="3"/>
  <c r="E782" i="3"/>
  <c r="D782" i="3"/>
  <c r="C782" i="3"/>
  <c r="B782" i="3"/>
  <c r="A782" i="3"/>
  <c r="F781" i="3"/>
  <c r="E781" i="3"/>
  <c r="D781" i="3"/>
  <c r="H781" i="3" s="1"/>
  <c r="C781" i="3"/>
  <c r="B781" i="3"/>
  <c r="A781" i="3"/>
  <c r="H780" i="3"/>
  <c r="I780" i="3" s="1"/>
  <c r="F780" i="3"/>
  <c r="E780" i="3"/>
  <c r="D780" i="3"/>
  <c r="C780" i="3"/>
  <c r="B780" i="3"/>
  <c r="A780" i="3"/>
  <c r="F779" i="3"/>
  <c r="E779" i="3"/>
  <c r="D779" i="3"/>
  <c r="H779" i="3" s="1"/>
  <c r="I779" i="3" s="1"/>
  <c r="C779" i="3"/>
  <c r="B779" i="3"/>
  <c r="A779" i="3"/>
  <c r="F778" i="3"/>
  <c r="E778" i="3"/>
  <c r="D778" i="3"/>
  <c r="H778" i="3" s="1"/>
  <c r="I778" i="3" s="1"/>
  <c r="C778" i="3"/>
  <c r="B778" i="3"/>
  <c r="A778" i="3"/>
  <c r="I777" i="3"/>
  <c r="H777" i="3"/>
  <c r="F777" i="3"/>
  <c r="E777" i="3"/>
  <c r="D777" i="3"/>
  <c r="C777" i="3"/>
  <c r="B777" i="3"/>
  <c r="A777" i="3"/>
  <c r="F776" i="3"/>
  <c r="E776" i="3"/>
  <c r="D776" i="3"/>
  <c r="H776" i="3" s="1"/>
  <c r="I776" i="3" s="1"/>
  <c r="C776" i="3"/>
  <c r="B776" i="3"/>
  <c r="A776" i="3"/>
  <c r="H775" i="3"/>
  <c r="I775" i="3" s="1"/>
  <c r="F775" i="3"/>
  <c r="E775" i="3"/>
  <c r="D775" i="3"/>
  <c r="C775" i="3"/>
  <c r="B775" i="3"/>
  <c r="A775" i="3"/>
  <c r="H774" i="3"/>
  <c r="I774" i="3" s="1"/>
  <c r="F774" i="3"/>
  <c r="E774" i="3"/>
  <c r="D774" i="3"/>
  <c r="C774" i="3"/>
  <c r="B774" i="3"/>
  <c r="A774" i="3"/>
  <c r="F773" i="3"/>
  <c r="E773" i="3"/>
  <c r="D773" i="3"/>
  <c r="H773" i="3" s="1"/>
  <c r="I773" i="3" s="1"/>
  <c r="C773" i="3"/>
  <c r="B773" i="3"/>
  <c r="A773" i="3"/>
  <c r="H772" i="3"/>
  <c r="I772" i="3" s="1"/>
  <c r="F772" i="3"/>
  <c r="E772" i="3"/>
  <c r="D772" i="3"/>
  <c r="C772" i="3"/>
  <c r="B772" i="3"/>
  <c r="A772" i="3"/>
  <c r="I771" i="3"/>
  <c r="F771" i="3"/>
  <c r="E771" i="3"/>
  <c r="D771" i="3"/>
  <c r="H771" i="3" s="1"/>
  <c r="C771" i="3"/>
  <c r="B771" i="3"/>
  <c r="A771" i="3"/>
  <c r="F770" i="3"/>
  <c r="E770" i="3"/>
  <c r="D770" i="3"/>
  <c r="H770" i="3" s="1"/>
  <c r="I770" i="3" s="1"/>
  <c r="C770" i="3"/>
  <c r="B770" i="3"/>
  <c r="A770" i="3"/>
  <c r="I769" i="3"/>
  <c r="H769" i="3"/>
  <c r="F769" i="3"/>
  <c r="E769" i="3"/>
  <c r="D769" i="3"/>
  <c r="C769" i="3"/>
  <c r="B769" i="3"/>
  <c r="A769" i="3"/>
  <c r="F768" i="3"/>
  <c r="E768" i="3"/>
  <c r="D768" i="3"/>
  <c r="H768" i="3" s="1"/>
  <c r="I768" i="3" s="1"/>
  <c r="C768" i="3"/>
  <c r="B768" i="3"/>
  <c r="A768" i="3"/>
  <c r="H767" i="3"/>
  <c r="I767" i="3" s="1"/>
  <c r="F767" i="3"/>
  <c r="E767" i="3"/>
  <c r="D767" i="3"/>
  <c r="C767" i="3"/>
  <c r="B767" i="3"/>
  <c r="A767" i="3"/>
  <c r="H766" i="3"/>
  <c r="I766" i="3" s="1"/>
  <c r="F766" i="3"/>
  <c r="E766" i="3"/>
  <c r="D766" i="3"/>
  <c r="C766" i="3"/>
  <c r="B766" i="3"/>
  <c r="A766" i="3"/>
  <c r="F765" i="3"/>
  <c r="E765" i="3"/>
  <c r="D765" i="3"/>
  <c r="H765" i="3" s="1"/>
  <c r="C765" i="3"/>
  <c r="B765" i="3"/>
  <c r="A765" i="3"/>
  <c r="H764" i="3"/>
  <c r="I764" i="3" s="1"/>
  <c r="F764" i="3"/>
  <c r="E764" i="3"/>
  <c r="D764" i="3"/>
  <c r="C764" i="3"/>
  <c r="B764" i="3"/>
  <c r="A764" i="3"/>
  <c r="I763" i="3"/>
  <c r="F763" i="3"/>
  <c r="E763" i="3"/>
  <c r="D763" i="3"/>
  <c r="H763" i="3" s="1"/>
  <c r="C763" i="3"/>
  <c r="B763" i="3"/>
  <c r="A763" i="3"/>
  <c r="F762" i="3"/>
  <c r="E762" i="3"/>
  <c r="D762" i="3"/>
  <c r="H762" i="3" s="1"/>
  <c r="I762" i="3" s="1"/>
  <c r="C762" i="3"/>
  <c r="B762" i="3"/>
  <c r="A762" i="3"/>
  <c r="I761" i="3"/>
  <c r="H761" i="3"/>
  <c r="F761" i="3"/>
  <c r="E761" i="3"/>
  <c r="D761" i="3"/>
  <c r="C761" i="3"/>
  <c r="B761" i="3"/>
  <c r="A761" i="3"/>
  <c r="F760" i="3"/>
  <c r="E760" i="3"/>
  <c r="D760" i="3"/>
  <c r="H760" i="3" s="1"/>
  <c r="I760" i="3" s="1"/>
  <c r="C760" i="3"/>
  <c r="B760" i="3"/>
  <c r="A760" i="3"/>
  <c r="H759" i="3"/>
  <c r="I759" i="3" s="1"/>
  <c r="F759" i="3"/>
  <c r="E759" i="3"/>
  <c r="D759" i="3"/>
  <c r="C759" i="3"/>
  <c r="B759" i="3"/>
  <c r="A759" i="3"/>
  <c r="H758" i="3"/>
  <c r="I758" i="3" s="1"/>
  <c r="F758" i="3"/>
  <c r="E758" i="3"/>
  <c r="D758" i="3"/>
  <c r="C758" i="3"/>
  <c r="B758" i="3"/>
  <c r="A758" i="3"/>
  <c r="F757" i="3"/>
  <c r="E757" i="3"/>
  <c r="D757" i="3"/>
  <c r="H757" i="3" s="1"/>
  <c r="C757" i="3"/>
  <c r="B757" i="3"/>
  <c r="A757" i="3"/>
  <c r="H756" i="3"/>
  <c r="I756" i="3" s="1"/>
  <c r="F756" i="3"/>
  <c r="E756" i="3"/>
  <c r="D756" i="3"/>
  <c r="C756" i="3"/>
  <c r="B756" i="3"/>
  <c r="A756" i="3"/>
  <c r="I755" i="3"/>
  <c r="F755" i="3"/>
  <c r="E755" i="3"/>
  <c r="D755" i="3"/>
  <c r="H755" i="3" s="1"/>
  <c r="C755" i="3"/>
  <c r="B755" i="3"/>
  <c r="A755" i="3"/>
  <c r="F754" i="3"/>
  <c r="E754" i="3"/>
  <c r="D754" i="3"/>
  <c r="H754" i="3" s="1"/>
  <c r="I754" i="3" s="1"/>
  <c r="C754" i="3"/>
  <c r="B754" i="3"/>
  <c r="A754" i="3"/>
  <c r="I753" i="3"/>
  <c r="H753" i="3"/>
  <c r="F753" i="3"/>
  <c r="E753" i="3"/>
  <c r="D753" i="3"/>
  <c r="C753" i="3"/>
  <c r="B753" i="3"/>
  <c r="A753" i="3"/>
  <c r="F752" i="3"/>
  <c r="E752" i="3"/>
  <c r="D752" i="3"/>
  <c r="H752" i="3" s="1"/>
  <c r="I752" i="3" s="1"/>
  <c r="C752" i="3"/>
  <c r="B752" i="3"/>
  <c r="A752" i="3"/>
  <c r="H751" i="3"/>
  <c r="I751" i="3" s="1"/>
  <c r="F751" i="3"/>
  <c r="E751" i="3"/>
  <c r="D751" i="3"/>
  <c r="C751" i="3"/>
  <c r="B751" i="3"/>
  <c r="A751" i="3"/>
  <c r="H750" i="3"/>
  <c r="I750" i="3" s="1"/>
  <c r="F750" i="3"/>
  <c r="E750" i="3"/>
  <c r="D750" i="3"/>
  <c r="C750" i="3"/>
  <c r="B750" i="3"/>
  <c r="A750" i="3"/>
  <c r="F749" i="3"/>
  <c r="E749" i="3"/>
  <c r="D749" i="3"/>
  <c r="H749" i="3" s="1"/>
  <c r="C749" i="3"/>
  <c r="B749" i="3"/>
  <c r="A749" i="3"/>
  <c r="H748" i="3"/>
  <c r="I748" i="3" s="1"/>
  <c r="F748" i="3"/>
  <c r="E748" i="3"/>
  <c r="D748" i="3"/>
  <c r="C748" i="3"/>
  <c r="B748" i="3"/>
  <c r="A748" i="3"/>
  <c r="I747" i="3"/>
  <c r="F747" i="3"/>
  <c r="E747" i="3"/>
  <c r="D747" i="3"/>
  <c r="H747" i="3" s="1"/>
  <c r="C747" i="3"/>
  <c r="B747" i="3"/>
  <c r="A747" i="3"/>
  <c r="F746" i="3"/>
  <c r="E746" i="3"/>
  <c r="D746" i="3"/>
  <c r="H746" i="3" s="1"/>
  <c r="I746" i="3" s="1"/>
  <c r="C746" i="3"/>
  <c r="B746" i="3"/>
  <c r="A746" i="3"/>
  <c r="I745" i="3"/>
  <c r="H745" i="3"/>
  <c r="F745" i="3"/>
  <c r="E745" i="3"/>
  <c r="D745" i="3"/>
  <c r="C745" i="3"/>
  <c r="B745" i="3"/>
  <c r="A745" i="3"/>
  <c r="F744" i="3"/>
  <c r="E744" i="3"/>
  <c r="D744" i="3"/>
  <c r="H744" i="3" s="1"/>
  <c r="I744" i="3" s="1"/>
  <c r="C744" i="3"/>
  <c r="B744" i="3"/>
  <c r="A744" i="3"/>
  <c r="H743" i="3"/>
  <c r="I743" i="3" s="1"/>
  <c r="F743" i="3"/>
  <c r="E743" i="3"/>
  <c r="D743" i="3"/>
  <c r="C743" i="3"/>
  <c r="B743" i="3"/>
  <c r="A743" i="3"/>
  <c r="H742" i="3"/>
  <c r="I742" i="3" s="1"/>
  <c r="F742" i="3"/>
  <c r="E742" i="3"/>
  <c r="D742" i="3"/>
  <c r="C742" i="3"/>
  <c r="B742" i="3"/>
  <c r="A742" i="3"/>
  <c r="F741" i="3"/>
  <c r="E741" i="3"/>
  <c r="D741" i="3"/>
  <c r="H741" i="3" s="1"/>
  <c r="C741" i="3"/>
  <c r="B741" i="3"/>
  <c r="A741" i="3"/>
  <c r="H740" i="3"/>
  <c r="I740" i="3" s="1"/>
  <c r="F740" i="3"/>
  <c r="E740" i="3"/>
  <c r="D740" i="3"/>
  <c r="C740" i="3"/>
  <c r="B740" i="3"/>
  <c r="A740" i="3"/>
  <c r="I739" i="3"/>
  <c r="F739" i="3"/>
  <c r="E739" i="3"/>
  <c r="D739" i="3"/>
  <c r="H739" i="3" s="1"/>
  <c r="C739" i="3"/>
  <c r="B739" i="3"/>
  <c r="A739" i="3"/>
  <c r="F738" i="3"/>
  <c r="E738" i="3"/>
  <c r="D738" i="3"/>
  <c r="H738" i="3" s="1"/>
  <c r="I738" i="3" s="1"/>
  <c r="C738" i="3"/>
  <c r="B738" i="3"/>
  <c r="A738" i="3"/>
  <c r="I737" i="3"/>
  <c r="H737" i="3"/>
  <c r="F737" i="3"/>
  <c r="E737" i="3"/>
  <c r="D737" i="3"/>
  <c r="C737" i="3"/>
  <c r="B737" i="3"/>
  <c r="A737" i="3"/>
  <c r="F736" i="3"/>
  <c r="E736" i="3"/>
  <c r="D736" i="3"/>
  <c r="H736" i="3" s="1"/>
  <c r="I736" i="3" s="1"/>
  <c r="C736" i="3"/>
  <c r="B736" i="3"/>
  <c r="A736" i="3"/>
  <c r="H735" i="3"/>
  <c r="I735" i="3" s="1"/>
  <c r="F735" i="3"/>
  <c r="E735" i="3"/>
  <c r="D735" i="3"/>
  <c r="C735" i="3"/>
  <c r="B735" i="3"/>
  <c r="A735" i="3"/>
  <c r="H734" i="3"/>
  <c r="I734" i="3" s="1"/>
  <c r="F734" i="3"/>
  <c r="E734" i="3"/>
  <c r="D734" i="3"/>
  <c r="C734" i="3"/>
  <c r="B734" i="3"/>
  <c r="A734" i="3"/>
  <c r="F733" i="3"/>
  <c r="E733" i="3"/>
  <c r="D733" i="3"/>
  <c r="H733" i="3" s="1"/>
  <c r="C733" i="3"/>
  <c r="B733" i="3"/>
  <c r="A733" i="3"/>
  <c r="H732" i="3"/>
  <c r="I732" i="3" s="1"/>
  <c r="F732" i="3"/>
  <c r="E732" i="3"/>
  <c r="D732" i="3"/>
  <c r="C732" i="3"/>
  <c r="B732" i="3"/>
  <c r="A732" i="3"/>
  <c r="I731" i="3"/>
  <c r="F731" i="3"/>
  <c r="E731" i="3"/>
  <c r="D731" i="3"/>
  <c r="H731" i="3" s="1"/>
  <c r="C731" i="3"/>
  <c r="B731" i="3"/>
  <c r="A731" i="3"/>
  <c r="F730" i="3"/>
  <c r="E730" i="3"/>
  <c r="D730" i="3"/>
  <c r="H730" i="3" s="1"/>
  <c r="I730" i="3" s="1"/>
  <c r="C730" i="3"/>
  <c r="B730" i="3"/>
  <c r="A730" i="3"/>
  <c r="I729" i="3"/>
  <c r="H729" i="3"/>
  <c r="F729" i="3"/>
  <c r="E729" i="3"/>
  <c r="D729" i="3"/>
  <c r="C729" i="3"/>
  <c r="B729" i="3"/>
  <c r="A729" i="3"/>
  <c r="F728" i="3"/>
  <c r="E728" i="3"/>
  <c r="D728" i="3"/>
  <c r="H728" i="3" s="1"/>
  <c r="I728" i="3" s="1"/>
  <c r="C728" i="3"/>
  <c r="B728" i="3"/>
  <c r="A728" i="3"/>
  <c r="H727" i="3"/>
  <c r="I727" i="3" s="1"/>
  <c r="F727" i="3"/>
  <c r="E727" i="3"/>
  <c r="D727" i="3"/>
  <c r="C727" i="3"/>
  <c r="B727" i="3"/>
  <c r="A727" i="3"/>
  <c r="H726" i="3"/>
  <c r="I726" i="3" s="1"/>
  <c r="F726" i="3"/>
  <c r="E726" i="3"/>
  <c r="D726" i="3"/>
  <c r="C726" i="3"/>
  <c r="B726" i="3"/>
  <c r="A726" i="3"/>
  <c r="F725" i="3"/>
  <c r="E725" i="3"/>
  <c r="D725" i="3"/>
  <c r="H725" i="3" s="1"/>
  <c r="I725" i="3" s="1"/>
  <c r="C725" i="3"/>
  <c r="B725" i="3"/>
  <c r="A725" i="3"/>
  <c r="R724" i="3"/>
  <c r="J724" i="3"/>
  <c r="I724" i="3"/>
  <c r="H724" i="3"/>
  <c r="F724" i="3"/>
  <c r="E724" i="3"/>
  <c r="D724" i="3"/>
  <c r="C724" i="3"/>
  <c r="B724" i="3"/>
  <c r="A724" i="3"/>
  <c r="F723" i="3"/>
  <c r="E723" i="3"/>
  <c r="D723" i="3"/>
  <c r="H723" i="3" s="1"/>
  <c r="I723" i="3" s="1"/>
  <c r="C723" i="3"/>
  <c r="B723" i="3"/>
  <c r="A723" i="3"/>
  <c r="F722" i="3"/>
  <c r="E722" i="3"/>
  <c r="D722" i="3"/>
  <c r="H722" i="3" s="1"/>
  <c r="I722" i="3" s="1"/>
  <c r="C722" i="3"/>
  <c r="B722" i="3"/>
  <c r="A722" i="3"/>
  <c r="I721" i="3"/>
  <c r="H721" i="3"/>
  <c r="F721" i="3"/>
  <c r="E721" i="3"/>
  <c r="D721" i="3"/>
  <c r="C721" i="3"/>
  <c r="B721" i="3"/>
  <c r="A721" i="3"/>
  <c r="F720" i="3"/>
  <c r="E720" i="3"/>
  <c r="D720" i="3"/>
  <c r="H720" i="3" s="1"/>
  <c r="I720" i="3" s="1"/>
  <c r="C720" i="3"/>
  <c r="B720" i="3"/>
  <c r="A720" i="3"/>
  <c r="H719" i="3"/>
  <c r="I719" i="3" s="1"/>
  <c r="F719" i="3"/>
  <c r="E719" i="3"/>
  <c r="D719" i="3"/>
  <c r="C719" i="3"/>
  <c r="B719" i="3"/>
  <c r="A719" i="3"/>
  <c r="H718" i="3"/>
  <c r="F718" i="3"/>
  <c r="E718" i="3"/>
  <c r="D718" i="3"/>
  <c r="C718" i="3"/>
  <c r="B718" i="3"/>
  <c r="A718" i="3"/>
  <c r="F717" i="3"/>
  <c r="E717" i="3"/>
  <c r="D717" i="3"/>
  <c r="H717" i="3" s="1"/>
  <c r="C717" i="3"/>
  <c r="B717" i="3"/>
  <c r="A717" i="3"/>
  <c r="I716" i="3"/>
  <c r="H716" i="3"/>
  <c r="F716" i="3"/>
  <c r="E716" i="3"/>
  <c r="D716" i="3"/>
  <c r="C716" i="3"/>
  <c r="B716" i="3"/>
  <c r="A716" i="3"/>
  <c r="F715" i="3"/>
  <c r="E715" i="3"/>
  <c r="D715" i="3"/>
  <c r="H715" i="3" s="1"/>
  <c r="I715" i="3" s="1"/>
  <c r="C715" i="3"/>
  <c r="B715" i="3"/>
  <c r="A715" i="3"/>
  <c r="F714" i="3"/>
  <c r="E714" i="3"/>
  <c r="D714" i="3"/>
  <c r="H714" i="3" s="1"/>
  <c r="I714" i="3" s="1"/>
  <c r="C714" i="3"/>
  <c r="B714" i="3"/>
  <c r="A714" i="3"/>
  <c r="I713" i="3"/>
  <c r="H713" i="3"/>
  <c r="F713" i="3"/>
  <c r="E713" i="3"/>
  <c r="D713" i="3"/>
  <c r="C713" i="3"/>
  <c r="B713" i="3"/>
  <c r="A713" i="3"/>
  <c r="F712" i="3"/>
  <c r="E712" i="3"/>
  <c r="D712" i="3"/>
  <c r="H712" i="3" s="1"/>
  <c r="I712" i="3" s="1"/>
  <c r="C712" i="3"/>
  <c r="B712" i="3"/>
  <c r="A712" i="3"/>
  <c r="H711" i="3"/>
  <c r="I711" i="3" s="1"/>
  <c r="F711" i="3"/>
  <c r="E711" i="3"/>
  <c r="D711" i="3"/>
  <c r="C711" i="3"/>
  <c r="B711" i="3"/>
  <c r="A711" i="3"/>
  <c r="H710" i="3"/>
  <c r="F710" i="3"/>
  <c r="E710" i="3"/>
  <c r="D710" i="3"/>
  <c r="C710" i="3"/>
  <c r="B710" i="3"/>
  <c r="A710" i="3"/>
  <c r="F709" i="3"/>
  <c r="E709" i="3"/>
  <c r="D709" i="3"/>
  <c r="H709" i="3" s="1"/>
  <c r="I709" i="3" s="1"/>
  <c r="C709" i="3"/>
  <c r="B709" i="3"/>
  <c r="A709" i="3"/>
  <c r="I708" i="3"/>
  <c r="H708" i="3"/>
  <c r="F708" i="3"/>
  <c r="E708" i="3"/>
  <c r="D708" i="3"/>
  <c r="C708" i="3"/>
  <c r="B708" i="3"/>
  <c r="A708" i="3"/>
  <c r="F707" i="3"/>
  <c r="E707" i="3"/>
  <c r="D707" i="3"/>
  <c r="H707" i="3" s="1"/>
  <c r="I707" i="3" s="1"/>
  <c r="C707" i="3"/>
  <c r="B707" i="3"/>
  <c r="A707" i="3"/>
  <c r="F706" i="3"/>
  <c r="E706" i="3"/>
  <c r="D706" i="3"/>
  <c r="H706" i="3" s="1"/>
  <c r="I706" i="3" s="1"/>
  <c r="C706" i="3"/>
  <c r="B706" i="3"/>
  <c r="A706" i="3"/>
  <c r="I705" i="3"/>
  <c r="H705" i="3"/>
  <c r="F705" i="3"/>
  <c r="E705" i="3"/>
  <c r="D705" i="3"/>
  <c r="C705" i="3"/>
  <c r="B705" i="3"/>
  <c r="A705" i="3"/>
  <c r="F704" i="3"/>
  <c r="E704" i="3"/>
  <c r="D704" i="3"/>
  <c r="H704" i="3" s="1"/>
  <c r="C704" i="3"/>
  <c r="B704" i="3"/>
  <c r="A704" i="3"/>
  <c r="H703" i="3"/>
  <c r="I703" i="3" s="1"/>
  <c r="F703" i="3"/>
  <c r="E703" i="3"/>
  <c r="D703" i="3"/>
  <c r="C703" i="3"/>
  <c r="B703" i="3"/>
  <c r="A703" i="3"/>
  <c r="H702" i="3"/>
  <c r="I702" i="3" s="1"/>
  <c r="F702" i="3"/>
  <c r="E702" i="3"/>
  <c r="D702" i="3"/>
  <c r="C702" i="3"/>
  <c r="B702" i="3"/>
  <c r="A702" i="3"/>
  <c r="F701" i="3"/>
  <c r="E701" i="3"/>
  <c r="D701" i="3"/>
  <c r="H701" i="3" s="1"/>
  <c r="C701" i="3"/>
  <c r="B701" i="3"/>
  <c r="A701" i="3"/>
  <c r="H700" i="3"/>
  <c r="I700" i="3" s="1"/>
  <c r="F700" i="3"/>
  <c r="E700" i="3"/>
  <c r="D700" i="3"/>
  <c r="C700" i="3"/>
  <c r="B700" i="3"/>
  <c r="A700" i="3"/>
  <c r="F699" i="3"/>
  <c r="E699" i="3"/>
  <c r="D699" i="3"/>
  <c r="H699" i="3" s="1"/>
  <c r="I699" i="3" s="1"/>
  <c r="C699" i="3"/>
  <c r="B699" i="3"/>
  <c r="A699" i="3"/>
  <c r="F698" i="3"/>
  <c r="E698" i="3"/>
  <c r="D698" i="3"/>
  <c r="H698" i="3" s="1"/>
  <c r="I698" i="3" s="1"/>
  <c r="C698" i="3"/>
  <c r="B698" i="3"/>
  <c r="A698" i="3"/>
  <c r="H697" i="3"/>
  <c r="I697" i="3" s="1"/>
  <c r="F697" i="3"/>
  <c r="E697" i="3"/>
  <c r="D697" i="3"/>
  <c r="C697" i="3"/>
  <c r="B697" i="3"/>
  <c r="A697" i="3"/>
  <c r="F696" i="3"/>
  <c r="E696" i="3"/>
  <c r="D696" i="3"/>
  <c r="H696" i="3" s="1"/>
  <c r="I696" i="3" s="1"/>
  <c r="C696" i="3"/>
  <c r="B696" i="3"/>
  <c r="A696" i="3"/>
  <c r="H695" i="3"/>
  <c r="I695" i="3" s="1"/>
  <c r="F695" i="3"/>
  <c r="E695" i="3"/>
  <c r="D695" i="3"/>
  <c r="C695" i="3"/>
  <c r="B695" i="3"/>
  <c r="A695" i="3"/>
  <c r="H694" i="3"/>
  <c r="F694" i="3"/>
  <c r="E694" i="3"/>
  <c r="D694" i="3"/>
  <c r="C694" i="3"/>
  <c r="I694" i="3" s="1"/>
  <c r="B694" i="3"/>
  <c r="A694" i="3"/>
  <c r="F693" i="3"/>
  <c r="E693" i="3"/>
  <c r="D693" i="3"/>
  <c r="H693" i="3" s="1"/>
  <c r="I693" i="3" s="1"/>
  <c r="C693" i="3"/>
  <c r="B693" i="3"/>
  <c r="A693" i="3"/>
  <c r="I692" i="3"/>
  <c r="H692" i="3"/>
  <c r="F692" i="3"/>
  <c r="E692" i="3"/>
  <c r="D692" i="3"/>
  <c r="C692" i="3"/>
  <c r="B692" i="3"/>
  <c r="A692" i="3"/>
  <c r="F691" i="3"/>
  <c r="E691" i="3"/>
  <c r="D691" i="3"/>
  <c r="H691" i="3" s="1"/>
  <c r="I691" i="3" s="1"/>
  <c r="C691" i="3"/>
  <c r="B691" i="3"/>
  <c r="A691" i="3"/>
  <c r="F690" i="3"/>
  <c r="E690" i="3"/>
  <c r="D690" i="3"/>
  <c r="H690" i="3" s="1"/>
  <c r="I690" i="3" s="1"/>
  <c r="C690" i="3"/>
  <c r="B690" i="3"/>
  <c r="A690" i="3"/>
  <c r="I689" i="3"/>
  <c r="H689" i="3"/>
  <c r="F689" i="3"/>
  <c r="E689" i="3"/>
  <c r="D689" i="3"/>
  <c r="C689" i="3"/>
  <c r="B689" i="3"/>
  <c r="A689" i="3"/>
  <c r="F688" i="3"/>
  <c r="E688" i="3"/>
  <c r="D688" i="3"/>
  <c r="H688" i="3" s="1"/>
  <c r="C688" i="3"/>
  <c r="B688" i="3"/>
  <c r="A688" i="3"/>
  <c r="H687" i="3"/>
  <c r="I687" i="3" s="1"/>
  <c r="F687" i="3"/>
  <c r="E687" i="3"/>
  <c r="D687" i="3"/>
  <c r="C687" i="3"/>
  <c r="B687" i="3"/>
  <c r="A687" i="3"/>
  <c r="H686" i="3"/>
  <c r="I686" i="3" s="1"/>
  <c r="F686" i="3"/>
  <c r="E686" i="3"/>
  <c r="D686" i="3"/>
  <c r="C686" i="3"/>
  <c r="B686" i="3"/>
  <c r="A686" i="3"/>
  <c r="F685" i="3"/>
  <c r="E685" i="3"/>
  <c r="D685" i="3"/>
  <c r="H685" i="3" s="1"/>
  <c r="C685" i="3"/>
  <c r="B685" i="3"/>
  <c r="A685" i="3"/>
  <c r="H684" i="3"/>
  <c r="I684" i="3" s="1"/>
  <c r="F684" i="3"/>
  <c r="E684" i="3"/>
  <c r="D684" i="3"/>
  <c r="C684" i="3"/>
  <c r="B684" i="3"/>
  <c r="A684" i="3"/>
  <c r="F683" i="3"/>
  <c r="E683" i="3"/>
  <c r="D683" i="3"/>
  <c r="H683" i="3" s="1"/>
  <c r="I683" i="3" s="1"/>
  <c r="C683" i="3"/>
  <c r="B683" i="3"/>
  <c r="A683" i="3"/>
  <c r="F682" i="3"/>
  <c r="E682" i="3"/>
  <c r="D682" i="3"/>
  <c r="H682" i="3" s="1"/>
  <c r="I682" i="3" s="1"/>
  <c r="C682" i="3"/>
  <c r="B682" i="3"/>
  <c r="A682" i="3"/>
  <c r="H681" i="3"/>
  <c r="I681" i="3" s="1"/>
  <c r="F681" i="3"/>
  <c r="E681" i="3"/>
  <c r="D681" i="3"/>
  <c r="C681" i="3"/>
  <c r="B681" i="3"/>
  <c r="A681" i="3"/>
  <c r="F680" i="3"/>
  <c r="E680" i="3"/>
  <c r="D680" i="3"/>
  <c r="H680" i="3" s="1"/>
  <c r="I680" i="3" s="1"/>
  <c r="C680" i="3"/>
  <c r="B680" i="3"/>
  <c r="A680" i="3"/>
  <c r="H679" i="3"/>
  <c r="I679" i="3" s="1"/>
  <c r="F679" i="3"/>
  <c r="E679" i="3"/>
  <c r="D679" i="3"/>
  <c r="C679" i="3"/>
  <c r="B679" i="3"/>
  <c r="A679" i="3"/>
  <c r="H678" i="3"/>
  <c r="F678" i="3"/>
  <c r="E678" i="3"/>
  <c r="D678" i="3"/>
  <c r="C678" i="3"/>
  <c r="I678" i="3" s="1"/>
  <c r="B678" i="3"/>
  <c r="A678" i="3"/>
  <c r="F677" i="3"/>
  <c r="E677" i="3"/>
  <c r="D677" i="3"/>
  <c r="H677" i="3" s="1"/>
  <c r="I677" i="3" s="1"/>
  <c r="C677" i="3"/>
  <c r="B677" i="3"/>
  <c r="A677" i="3"/>
  <c r="I676" i="3"/>
  <c r="H676" i="3"/>
  <c r="F676" i="3"/>
  <c r="E676" i="3"/>
  <c r="D676" i="3"/>
  <c r="C676" i="3"/>
  <c r="B676" i="3"/>
  <c r="A676" i="3"/>
  <c r="F675" i="3"/>
  <c r="E675" i="3"/>
  <c r="D675" i="3"/>
  <c r="H675" i="3" s="1"/>
  <c r="I675" i="3" s="1"/>
  <c r="C675" i="3"/>
  <c r="B675" i="3"/>
  <c r="A675" i="3"/>
  <c r="F674" i="3"/>
  <c r="E674" i="3"/>
  <c r="D674" i="3"/>
  <c r="H674" i="3" s="1"/>
  <c r="I674" i="3" s="1"/>
  <c r="C674" i="3"/>
  <c r="B674" i="3"/>
  <c r="A674" i="3"/>
  <c r="I673" i="3"/>
  <c r="H673" i="3"/>
  <c r="F673" i="3"/>
  <c r="E673" i="3"/>
  <c r="D673" i="3"/>
  <c r="C673" i="3"/>
  <c r="B673" i="3"/>
  <c r="A673" i="3"/>
  <c r="F672" i="3"/>
  <c r="E672" i="3"/>
  <c r="D672" i="3"/>
  <c r="H672" i="3" s="1"/>
  <c r="C672" i="3"/>
  <c r="B672" i="3"/>
  <c r="A672" i="3"/>
  <c r="H671" i="3"/>
  <c r="I671" i="3" s="1"/>
  <c r="F671" i="3"/>
  <c r="E671" i="3"/>
  <c r="D671" i="3"/>
  <c r="C671" i="3"/>
  <c r="B671" i="3"/>
  <c r="A671" i="3"/>
  <c r="H670" i="3"/>
  <c r="I670" i="3" s="1"/>
  <c r="F670" i="3"/>
  <c r="E670" i="3"/>
  <c r="D670" i="3"/>
  <c r="C670" i="3"/>
  <c r="B670" i="3"/>
  <c r="A670" i="3"/>
  <c r="F669" i="3"/>
  <c r="E669" i="3"/>
  <c r="D669" i="3"/>
  <c r="H669" i="3" s="1"/>
  <c r="C669" i="3"/>
  <c r="B669" i="3"/>
  <c r="A669" i="3"/>
  <c r="H668" i="3"/>
  <c r="I668" i="3" s="1"/>
  <c r="F668" i="3"/>
  <c r="E668" i="3"/>
  <c r="D668" i="3"/>
  <c r="C668" i="3"/>
  <c r="B668" i="3"/>
  <c r="A668" i="3"/>
  <c r="F667" i="3"/>
  <c r="E667" i="3"/>
  <c r="D667" i="3"/>
  <c r="H667" i="3" s="1"/>
  <c r="I667" i="3" s="1"/>
  <c r="C667" i="3"/>
  <c r="B667" i="3"/>
  <c r="A667" i="3"/>
  <c r="F666" i="3"/>
  <c r="E666" i="3"/>
  <c r="D666" i="3"/>
  <c r="H666" i="3" s="1"/>
  <c r="I666" i="3" s="1"/>
  <c r="C666" i="3"/>
  <c r="B666" i="3"/>
  <c r="A666" i="3"/>
  <c r="H665" i="3"/>
  <c r="I665" i="3" s="1"/>
  <c r="F665" i="3"/>
  <c r="E665" i="3"/>
  <c r="D665" i="3"/>
  <c r="C665" i="3"/>
  <c r="B665" i="3"/>
  <c r="A665" i="3"/>
  <c r="F664" i="3"/>
  <c r="E664" i="3"/>
  <c r="D664" i="3"/>
  <c r="H664" i="3" s="1"/>
  <c r="I664" i="3" s="1"/>
  <c r="C664" i="3"/>
  <c r="B664" i="3"/>
  <c r="A664" i="3"/>
  <c r="H663" i="3"/>
  <c r="I663" i="3" s="1"/>
  <c r="F663" i="3"/>
  <c r="E663" i="3"/>
  <c r="D663" i="3"/>
  <c r="C663" i="3"/>
  <c r="B663" i="3"/>
  <c r="A663" i="3"/>
  <c r="H662" i="3"/>
  <c r="F662" i="3"/>
  <c r="E662" i="3"/>
  <c r="D662" i="3"/>
  <c r="C662" i="3"/>
  <c r="I662" i="3" s="1"/>
  <c r="B662" i="3"/>
  <c r="A662" i="3"/>
  <c r="F661" i="3"/>
  <c r="E661" i="3"/>
  <c r="D661" i="3"/>
  <c r="H661" i="3" s="1"/>
  <c r="I661" i="3" s="1"/>
  <c r="C661" i="3"/>
  <c r="B661" i="3"/>
  <c r="A661" i="3"/>
  <c r="I660" i="3"/>
  <c r="H660" i="3"/>
  <c r="F660" i="3"/>
  <c r="E660" i="3"/>
  <c r="D660" i="3"/>
  <c r="C660" i="3"/>
  <c r="B660" i="3"/>
  <c r="A660" i="3"/>
  <c r="F659" i="3"/>
  <c r="E659" i="3"/>
  <c r="D659" i="3"/>
  <c r="H659" i="3" s="1"/>
  <c r="I659" i="3" s="1"/>
  <c r="C659" i="3"/>
  <c r="B659" i="3"/>
  <c r="A659" i="3"/>
  <c r="I658" i="3"/>
  <c r="F658" i="3"/>
  <c r="E658" i="3"/>
  <c r="D658" i="3"/>
  <c r="H658" i="3" s="1"/>
  <c r="C658" i="3"/>
  <c r="B658" i="3"/>
  <c r="A658" i="3"/>
  <c r="F657" i="3"/>
  <c r="E657" i="3"/>
  <c r="D657" i="3"/>
  <c r="H657" i="3" s="1"/>
  <c r="I657" i="3" s="1"/>
  <c r="C657" i="3"/>
  <c r="B657" i="3"/>
  <c r="A657" i="3"/>
  <c r="F656" i="3"/>
  <c r="E656" i="3"/>
  <c r="D656" i="3"/>
  <c r="H656" i="3" s="1"/>
  <c r="C656" i="3"/>
  <c r="B656" i="3"/>
  <c r="A656" i="3"/>
  <c r="I655" i="3"/>
  <c r="H655" i="3"/>
  <c r="F655" i="3"/>
  <c r="E655" i="3"/>
  <c r="D655" i="3"/>
  <c r="C655" i="3"/>
  <c r="B655" i="3"/>
  <c r="A655" i="3"/>
  <c r="F654" i="3"/>
  <c r="E654" i="3"/>
  <c r="D654" i="3"/>
  <c r="H654" i="3" s="1"/>
  <c r="C654" i="3"/>
  <c r="B654" i="3"/>
  <c r="A654" i="3"/>
  <c r="H653" i="3"/>
  <c r="I653" i="3" s="1"/>
  <c r="F653" i="3"/>
  <c r="E653" i="3"/>
  <c r="D653" i="3"/>
  <c r="C653" i="3"/>
  <c r="B653" i="3"/>
  <c r="A653" i="3"/>
  <c r="I652" i="3"/>
  <c r="H652" i="3"/>
  <c r="F652" i="3"/>
  <c r="E652" i="3"/>
  <c r="D652" i="3"/>
  <c r="C652" i="3"/>
  <c r="B652" i="3"/>
  <c r="A652" i="3"/>
  <c r="F651" i="3"/>
  <c r="E651" i="3"/>
  <c r="D651" i="3"/>
  <c r="H651" i="3" s="1"/>
  <c r="I651" i="3" s="1"/>
  <c r="C651" i="3"/>
  <c r="B651" i="3"/>
  <c r="A651" i="3"/>
  <c r="I650" i="3"/>
  <c r="H650" i="3"/>
  <c r="F650" i="3"/>
  <c r="E650" i="3"/>
  <c r="D650" i="3"/>
  <c r="C650" i="3"/>
  <c r="B650" i="3"/>
  <c r="A650" i="3"/>
  <c r="H649" i="3"/>
  <c r="I649" i="3" s="1"/>
  <c r="F649" i="3"/>
  <c r="E649" i="3"/>
  <c r="D649" i="3"/>
  <c r="C649" i="3"/>
  <c r="B649" i="3"/>
  <c r="A649" i="3"/>
  <c r="F648" i="3"/>
  <c r="E648" i="3"/>
  <c r="D648" i="3"/>
  <c r="H648" i="3" s="1"/>
  <c r="C648" i="3"/>
  <c r="B648" i="3"/>
  <c r="A648" i="3"/>
  <c r="I647" i="3"/>
  <c r="H647" i="3"/>
  <c r="F647" i="3"/>
  <c r="E647" i="3"/>
  <c r="D647" i="3"/>
  <c r="C647" i="3"/>
  <c r="B647" i="3"/>
  <c r="A647" i="3"/>
  <c r="H646" i="3"/>
  <c r="I646" i="3" s="1"/>
  <c r="F646" i="3"/>
  <c r="E646" i="3"/>
  <c r="D646" i="3"/>
  <c r="C646" i="3"/>
  <c r="B646" i="3"/>
  <c r="A646" i="3"/>
  <c r="H645" i="3"/>
  <c r="I645" i="3" s="1"/>
  <c r="F645" i="3"/>
  <c r="E645" i="3"/>
  <c r="D645" i="3"/>
  <c r="C645" i="3"/>
  <c r="B645" i="3"/>
  <c r="A645" i="3"/>
  <c r="I644" i="3"/>
  <c r="H644" i="3"/>
  <c r="F644" i="3"/>
  <c r="E644" i="3"/>
  <c r="D644" i="3"/>
  <c r="C644" i="3"/>
  <c r="B644" i="3"/>
  <c r="A644" i="3"/>
  <c r="I643" i="3"/>
  <c r="F643" i="3"/>
  <c r="E643" i="3"/>
  <c r="D643" i="3"/>
  <c r="H643" i="3" s="1"/>
  <c r="C643" i="3"/>
  <c r="B643" i="3"/>
  <c r="A643" i="3"/>
  <c r="F642" i="3"/>
  <c r="E642" i="3"/>
  <c r="D642" i="3"/>
  <c r="H642" i="3" s="1"/>
  <c r="I642" i="3" s="1"/>
  <c r="C642" i="3"/>
  <c r="B642" i="3"/>
  <c r="A642" i="3"/>
  <c r="H641" i="3"/>
  <c r="I641" i="3" s="1"/>
  <c r="F641" i="3"/>
  <c r="E641" i="3"/>
  <c r="D641" i="3"/>
  <c r="C641" i="3"/>
  <c r="B641" i="3"/>
  <c r="A641" i="3"/>
  <c r="F640" i="3"/>
  <c r="E640" i="3"/>
  <c r="D640" i="3"/>
  <c r="H640" i="3" s="1"/>
  <c r="I640" i="3" s="1"/>
  <c r="C640" i="3"/>
  <c r="B640" i="3"/>
  <c r="A640" i="3"/>
  <c r="I639" i="3"/>
  <c r="H639" i="3"/>
  <c r="F639" i="3"/>
  <c r="E639" i="3"/>
  <c r="D639" i="3"/>
  <c r="C639" i="3"/>
  <c r="B639" i="3"/>
  <c r="A639" i="3"/>
  <c r="H638" i="3"/>
  <c r="I638" i="3" s="1"/>
  <c r="F638" i="3"/>
  <c r="E638" i="3"/>
  <c r="D638" i="3"/>
  <c r="C638" i="3"/>
  <c r="B638" i="3"/>
  <c r="A638" i="3"/>
  <c r="F637" i="3"/>
  <c r="E637" i="3"/>
  <c r="D637" i="3"/>
  <c r="H637" i="3" s="1"/>
  <c r="I637" i="3" s="1"/>
  <c r="C637" i="3"/>
  <c r="B637" i="3"/>
  <c r="A637" i="3"/>
  <c r="I636" i="3"/>
  <c r="H636" i="3"/>
  <c r="F636" i="3"/>
  <c r="E636" i="3"/>
  <c r="D636" i="3"/>
  <c r="C636" i="3"/>
  <c r="B636" i="3"/>
  <c r="A636" i="3"/>
  <c r="F635" i="3"/>
  <c r="E635" i="3"/>
  <c r="D635" i="3"/>
  <c r="H635" i="3" s="1"/>
  <c r="I635" i="3" s="1"/>
  <c r="C635" i="3"/>
  <c r="B635" i="3"/>
  <c r="A635" i="3"/>
  <c r="F634" i="3"/>
  <c r="E634" i="3"/>
  <c r="D634" i="3"/>
  <c r="H634" i="3" s="1"/>
  <c r="I634" i="3" s="1"/>
  <c r="C634" i="3"/>
  <c r="B634" i="3"/>
  <c r="A634" i="3"/>
  <c r="F633" i="3"/>
  <c r="E633" i="3"/>
  <c r="D633" i="3"/>
  <c r="H633" i="3" s="1"/>
  <c r="I633" i="3" s="1"/>
  <c r="C633" i="3"/>
  <c r="B633" i="3"/>
  <c r="A633" i="3"/>
  <c r="F632" i="3"/>
  <c r="E632" i="3"/>
  <c r="D632" i="3"/>
  <c r="H632" i="3" s="1"/>
  <c r="C632" i="3"/>
  <c r="B632" i="3"/>
  <c r="A632" i="3"/>
  <c r="H631" i="3"/>
  <c r="I631" i="3" s="1"/>
  <c r="F631" i="3"/>
  <c r="E631" i="3"/>
  <c r="D631" i="3"/>
  <c r="C631" i="3"/>
  <c r="B631" i="3"/>
  <c r="A631" i="3"/>
  <c r="H630" i="3"/>
  <c r="I630" i="3" s="1"/>
  <c r="F630" i="3"/>
  <c r="E630" i="3"/>
  <c r="D630" i="3"/>
  <c r="C630" i="3"/>
  <c r="B630" i="3"/>
  <c r="A630" i="3"/>
  <c r="F629" i="3"/>
  <c r="E629" i="3"/>
  <c r="D629" i="3"/>
  <c r="H629" i="3" s="1"/>
  <c r="I629" i="3" s="1"/>
  <c r="C629" i="3"/>
  <c r="B629" i="3"/>
  <c r="A629" i="3"/>
  <c r="H628" i="3"/>
  <c r="I628" i="3" s="1"/>
  <c r="F628" i="3"/>
  <c r="E628" i="3"/>
  <c r="D628" i="3"/>
  <c r="C628" i="3"/>
  <c r="B628" i="3"/>
  <c r="A628" i="3"/>
  <c r="F627" i="3"/>
  <c r="E627" i="3"/>
  <c r="D627" i="3"/>
  <c r="H627" i="3" s="1"/>
  <c r="I627" i="3" s="1"/>
  <c r="C627" i="3"/>
  <c r="B627" i="3"/>
  <c r="A627" i="3"/>
  <c r="I626" i="3"/>
  <c r="H626" i="3"/>
  <c r="F626" i="3"/>
  <c r="E626" i="3"/>
  <c r="D626" i="3"/>
  <c r="C626" i="3"/>
  <c r="B626" i="3"/>
  <c r="A626" i="3"/>
  <c r="F625" i="3"/>
  <c r="E625" i="3"/>
  <c r="D625" i="3"/>
  <c r="H625" i="3" s="1"/>
  <c r="I625" i="3" s="1"/>
  <c r="C625" i="3"/>
  <c r="B625" i="3"/>
  <c r="A625" i="3"/>
  <c r="F624" i="3"/>
  <c r="E624" i="3"/>
  <c r="D624" i="3"/>
  <c r="H624" i="3" s="1"/>
  <c r="C624" i="3"/>
  <c r="B624" i="3"/>
  <c r="A624" i="3"/>
  <c r="I623" i="3"/>
  <c r="H623" i="3"/>
  <c r="F623" i="3"/>
  <c r="E623" i="3"/>
  <c r="D623" i="3"/>
  <c r="C623" i="3"/>
  <c r="B623" i="3"/>
  <c r="A623" i="3"/>
  <c r="F622" i="3"/>
  <c r="E622" i="3"/>
  <c r="D622" i="3"/>
  <c r="H622" i="3" s="1"/>
  <c r="I622" i="3" s="1"/>
  <c r="C622" i="3"/>
  <c r="B622" i="3"/>
  <c r="A622" i="3"/>
  <c r="F621" i="3"/>
  <c r="E621" i="3"/>
  <c r="D621" i="3"/>
  <c r="H621" i="3" s="1"/>
  <c r="I621" i="3" s="1"/>
  <c r="C621" i="3"/>
  <c r="B621" i="3"/>
  <c r="A621" i="3"/>
  <c r="I620" i="3"/>
  <c r="H620" i="3"/>
  <c r="F620" i="3"/>
  <c r="E620" i="3"/>
  <c r="D620" i="3"/>
  <c r="C620" i="3"/>
  <c r="B620" i="3"/>
  <c r="A620" i="3"/>
  <c r="F619" i="3"/>
  <c r="E619" i="3"/>
  <c r="D619" i="3"/>
  <c r="H619" i="3" s="1"/>
  <c r="I619" i="3" s="1"/>
  <c r="C619" i="3"/>
  <c r="B619" i="3"/>
  <c r="A619" i="3"/>
  <c r="F618" i="3"/>
  <c r="E618" i="3"/>
  <c r="D618" i="3"/>
  <c r="H618" i="3" s="1"/>
  <c r="I618" i="3" s="1"/>
  <c r="C618" i="3"/>
  <c r="B618" i="3"/>
  <c r="A618" i="3"/>
  <c r="H617" i="3"/>
  <c r="I617" i="3" s="1"/>
  <c r="F617" i="3"/>
  <c r="E617" i="3"/>
  <c r="D617" i="3"/>
  <c r="C617" i="3"/>
  <c r="B617" i="3"/>
  <c r="A617" i="3"/>
  <c r="F616" i="3"/>
  <c r="E616" i="3"/>
  <c r="D616" i="3"/>
  <c r="H616" i="3" s="1"/>
  <c r="I616" i="3" s="1"/>
  <c r="C616" i="3"/>
  <c r="B616" i="3"/>
  <c r="A616" i="3"/>
  <c r="H615" i="3"/>
  <c r="I615" i="3" s="1"/>
  <c r="F615" i="3"/>
  <c r="E615" i="3"/>
  <c r="D615" i="3"/>
  <c r="C615" i="3"/>
  <c r="B615" i="3"/>
  <c r="A615" i="3"/>
  <c r="H614" i="3"/>
  <c r="F614" i="3"/>
  <c r="E614" i="3"/>
  <c r="D614" i="3"/>
  <c r="C614" i="3"/>
  <c r="I614" i="3" s="1"/>
  <c r="B614" i="3"/>
  <c r="A614" i="3"/>
  <c r="F613" i="3"/>
  <c r="E613" i="3"/>
  <c r="D613" i="3"/>
  <c r="H613" i="3" s="1"/>
  <c r="I613" i="3" s="1"/>
  <c r="C613" i="3"/>
  <c r="B613" i="3"/>
  <c r="A613" i="3"/>
  <c r="I612" i="3"/>
  <c r="H612" i="3"/>
  <c r="F612" i="3"/>
  <c r="E612" i="3"/>
  <c r="D612" i="3"/>
  <c r="C612" i="3"/>
  <c r="B612" i="3"/>
  <c r="A612" i="3"/>
  <c r="F611" i="3"/>
  <c r="E611" i="3"/>
  <c r="D611" i="3"/>
  <c r="H611" i="3" s="1"/>
  <c r="I611" i="3" s="1"/>
  <c r="C611" i="3"/>
  <c r="B611" i="3"/>
  <c r="A611" i="3"/>
  <c r="F610" i="3"/>
  <c r="E610" i="3"/>
  <c r="D610" i="3"/>
  <c r="H610" i="3" s="1"/>
  <c r="I610" i="3" s="1"/>
  <c r="C610" i="3"/>
  <c r="B610" i="3"/>
  <c r="A610" i="3"/>
  <c r="H609" i="3"/>
  <c r="I609" i="3" s="1"/>
  <c r="F609" i="3"/>
  <c r="E609" i="3"/>
  <c r="D609" i="3"/>
  <c r="C609" i="3"/>
  <c r="B609" i="3"/>
  <c r="A609" i="3"/>
  <c r="F608" i="3"/>
  <c r="E608" i="3"/>
  <c r="D608" i="3"/>
  <c r="H608" i="3" s="1"/>
  <c r="C608" i="3"/>
  <c r="B608" i="3"/>
  <c r="A608" i="3"/>
  <c r="H607" i="3"/>
  <c r="I607" i="3" s="1"/>
  <c r="F607" i="3"/>
  <c r="E607" i="3"/>
  <c r="D607" i="3"/>
  <c r="C607" i="3"/>
  <c r="B607" i="3"/>
  <c r="A607" i="3"/>
  <c r="I606" i="3"/>
  <c r="H606" i="3"/>
  <c r="F606" i="3"/>
  <c r="E606" i="3"/>
  <c r="D606" i="3"/>
  <c r="C606" i="3"/>
  <c r="B606" i="3"/>
  <c r="A606" i="3"/>
  <c r="F605" i="3"/>
  <c r="E605" i="3"/>
  <c r="D605" i="3"/>
  <c r="H605" i="3" s="1"/>
  <c r="I605" i="3" s="1"/>
  <c r="C605" i="3"/>
  <c r="B605" i="3"/>
  <c r="A605" i="3"/>
  <c r="R604" i="3"/>
  <c r="J604" i="3"/>
  <c r="I604" i="3"/>
  <c r="H604" i="3"/>
  <c r="F604" i="3"/>
  <c r="E604" i="3"/>
  <c r="D604" i="3"/>
  <c r="C604" i="3"/>
  <c r="B604" i="3"/>
  <c r="A604" i="3"/>
  <c r="F603" i="3"/>
  <c r="E603" i="3"/>
  <c r="D603" i="3"/>
  <c r="H603" i="3" s="1"/>
  <c r="I603" i="3" s="1"/>
  <c r="C603" i="3"/>
  <c r="B603" i="3"/>
  <c r="A603" i="3"/>
  <c r="F602" i="3"/>
  <c r="E602" i="3"/>
  <c r="D602" i="3"/>
  <c r="H602" i="3" s="1"/>
  <c r="I602" i="3" s="1"/>
  <c r="C602" i="3"/>
  <c r="B602" i="3"/>
  <c r="A602" i="3"/>
  <c r="H601" i="3"/>
  <c r="I601" i="3" s="1"/>
  <c r="F601" i="3"/>
  <c r="E601" i="3"/>
  <c r="D601" i="3"/>
  <c r="C601" i="3"/>
  <c r="B601" i="3"/>
  <c r="A601" i="3"/>
  <c r="F600" i="3"/>
  <c r="E600" i="3"/>
  <c r="D600" i="3"/>
  <c r="H600" i="3" s="1"/>
  <c r="I600" i="3" s="1"/>
  <c r="C600" i="3"/>
  <c r="B600" i="3"/>
  <c r="A600" i="3"/>
  <c r="H599" i="3"/>
  <c r="I599" i="3" s="1"/>
  <c r="F599" i="3"/>
  <c r="E599" i="3"/>
  <c r="D599" i="3"/>
  <c r="C599" i="3"/>
  <c r="B599" i="3"/>
  <c r="A599" i="3"/>
  <c r="I598" i="3"/>
  <c r="H598" i="3"/>
  <c r="F598" i="3"/>
  <c r="E598" i="3"/>
  <c r="D598" i="3"/>
  <c r="C598" i="3"/>
  <c r="B598" i="3"/>
  <c r="A598" i="3"/>
  <c r="F597" i="3"/>
  <c r="E597" i="3"/>
  <c r="D597" i="3"/>
  <c r="H597" i="3" s="1"/>
  <c r="I597" i="3" s="1"/>
  <c r="C597" i="3"/>
  <c r="B597" i="3"/>
  <c r="A597" i="3"/>
  <c r="I596" i="3"/>
  <c r="H596" i="3"/>
  <c r="F596" i="3"/>
  <c r="E596" i="3"/>
  <c r="D596" i="3"/>
  <c r="C596" i="3"/>
  <c r="B596" i="3"/>
  <c r="A596" i="3"/>
  <c r="F595" i="3"/>
  <c r="E595" i="3"/>
  <c r="D595" i="3"/>
  <c r="H595" i="3" s="1"/>
  <c r="I595" i="3" s="1"/>
  <c r="C595" i="3"/>
  <c r="B595" i="3"/>
  <c r="A595" i="3"/>
  <c r="F594" i="3"/>
  <c r="E594" i="3"/>
  <c r="D594" i="3"/>
  <c r="H594" i="3" s="1"/>
  <c r="I594" i="3" s="1"/>
  <c r="C594" i="3"/>
  <c r="B594" i="3"/>
  <c r="A594" i="3"/>
  <c r="H593" i="3"/>
  <c r="I593" i="3" s="1"/>
  <c r="F593" i="3"/>
  <c r="E593" i="3"/>
  <c r="D593" i="3"/>
  <c r="C593" i="3"/>
  <c r="B593" i="3"/>
  <c r="A593" i="3"/>
  <c r="F592" i="3"/>
  <c r="E592" i="3"/>
  <c r="D592" i="3"/>
  <c r="H592" i="3" s="1"/>
  <c r="I592" i="3" s="1"/>
  <c r="C592" i="3"/>
  <c r="B592" i="3"/>
  <c r="A592" i="3"/>
  <c r="H591" i="3"/>
  <c r="I591" i="3" s="1"/>
  <c r="F591" i="3"/>
  <c r="E591" i="3"/>
  <c r="D591" i="3"/>
  <c r="C591" i="3"/>
  <c r="B591" i="3"/>
  <c r="A591" i="3"/>
  <c r="H590" i="3"/>
  <c r="F590" i="3"/>
  <c r="E590" i="3"/>
  <c r="D590" i="3"/>
  <c r="C590" i="3"/>
  <c r="I590" i="3" s="1"/>
  <c r="B590" i="3"/>
  <c r="A590" i="3"/>
  <c r="F589" i="3"/>
  <c r="E589" i="3"/>
  <c r="D589" i="3"/>
  <c r="H589" i="3" s="1"/>
  <c r="I589" i="3" s="1"/>
  <c r="C589" i="3"/>
  <c r="B589" i="3"/>
  <c r="A589" i="3"/>
  <c r="I588" i="3"/>
  <c r="H588" i="3"/>
  <c r="F588" i="3"/>
  <c r="E588" i="3"/>
  <c r="D588" i="3"/>
  <c r="C588" i="3"/>
  <c r="B588" i="3"/>
  <c r="A588" i="3"/>
  <c r="F587" i="3"/>
  <c r="E587" i="3"/>
  <c r="D587" i="3"/>
  <c r="H587" i="3" s="1"/>
  <c r="I587" i="3" s="1"/>
  <c r="C587" i="3"/>
  <c r="B587" i="3"/>
  <c r="A587" i="3"/>
  <c r="F586" i="3"/>
  <c r="E586" i="3"/>
  <c r="D586" i="3"/>
  <c r="H586" i="3" s="1"/>
  <c r="I586" i="3" s="1"/>
  <c r="C586" i="3"/>
  <c r="B586" i="3"/>
  <c r="A586" i="3"/>
  <c r="H585" i="3"/>
  <c r="I585" i="3" s="1"/>
  <c r="F585" i="3"/>
  <c r="E585" i="3"/>
  <c r="D585" i="3"/>
  <c r="C585" i="3"/>
  <c r="B585" i="3"/>
  <c r="A585" i="3"/>
  <c r="F584" i="3"/>
  <c r="E584" i="3"/>
  <c r="D584" i="3"/>
  <c r="H584" i="3" s="1"/>
  <c r="I584" i="3" s="1"/>
  <c r="C584" i="3"/>
  <c r="B584" i="3"/>
  <c r="A584" i="3"/>
  <c r="H583" i="3"/>
  <c r="I583" i="3" s="1"/>
  <c r="F583" i="3"/>
  <c r="E583" i="3"/>
  <c r="D583" i="3"/>
  <c r="C583" i="3"/>
  <c r="B583" i="3"/>
  <c r="A583" i="3"/>
  <c r="I582" i="3"/>
  <c r="H582" i="3"/>
  <c r="F582" i="3"/>
  <c r="E582" i="3"/>
  <c r="D582" i="3"/>
  <c r="C582" i="3"/>
  <c r="B582" i="3"/>
  <c r="A582" i="3"/>
  <c r="F581" i="3"/>
  <c r="E581" i="3"/>
  <c r="D581" i="3"/>
  <c r="H581" i="3" s="1"/>
  <c r="I581" i="3" s="1"/>
  <c r="C581" i="3"/>
  <c r="B581" i="3"/>
  <c r="A581" i="3"/>
  <c r="I580" i="3"/>
  <c r="H580" i="3"/>
  <c r="F580" i="3"/>
  <c r="E580" i="3"/>
  <c r="D580" i="3"/>
  <c r="C580" i="3"/>
  <c r="B580" i="3"/>
  <c r="A580" i="3"/>
  <c r="F579" i="3"/>
  <c r="E579" i="3"/>
  <c r="D579" i="3"/>
  <c r="H579" i="3" s="1"/>
  <c r="I579" i="3" s="1"/>
  <c r="C579" i="3"/>
  <c r="B579" i="3"/>
  <c r="A579" i="3"/>
  <c r="F578" i="3"/>
  <c r="E578" i="3"/>
  <c r="D578" i="3"/>
  <c r="H578" i="3" s="1"/>
  <c r="I578" i="3" s="1"/>
  <c r="C578" i="3"/>
  <c r="B578" i="3"/>
  <c r="A578" i="3"/>
  <c r="H577" i="3"/>
  <c r="I577" i="3" s="1"/>
  <c r="F577" i="3"/>
  <c r="E577" i="3"/>
  <c r="D577" i="3"/>
  <c r="C577" i="3"/>
  <c r="B577" i="3"/>
  <c r="A577" i="3"/>
  <c r="F576" i="3"/>
  <c r="E576" i="3"/>
  <c r="D576" i="3"/>
  <c r="H576" i="3" s="1"/>
  <c r="I576" i="3" s="1"/>
  <c r="C576" i="3"/>
  <c r="B576" i="3"/>
  <c r="A576" i="3"/>
  <c r="H575" i="3"/>
  <c r="I575" i="3" s="1"/>
  <c r="F575" i="3"/>
  <c r="E575" i="3"/>
  <c r="D575" i="3"/>
  <c r="C575" i="3"/>
  <c r="B575" i="3"/>
  <c r="A575" i="3"/>
  <c r="I574" i="3"/>
  <c r="H574" i="3"/>
  <c r="F574" i="3"/>
  <c r="E574" i="3"/>
  <c r="D574" i="3"/>
  <c r="C574" i="3"/>
  <c r="B574" i="3"/>
  <c r="A574" i="3"/>
  <c r="F573" i="3"/>
  <c r="E573" i="3"/>
  <c r="D573" i="3"/>
  <c r="H573" i="3" s="1"/>
  <c r="I573" i="3" s="1"/>
  <c r="C573" i="3"/>
  <c r="B573" i="3"/>
  <c r="A573" i="3"/>
  <c r="I572" i="3"/>
  <c r="H572" i="3"/>
  <c r="F572" i="3"/>
  <c r="E572" i="3"/>
  <c r="D572" i="3"/>
  <c r="C572" i="3"/>
  <c r="B572" i="3"/>
  <c r="A572" i="3"/>
  <c r="F571" i="3"/>
  <c r="E571" i="3"/>
  <c r="D571" i="3"/>
  <c r="H571" i="3" s="1"/>
  <c r="I571" i="3" s="1"/>
  <c r="C571" i="3"/>
  <c r="B571" i="3"/>
  <c r="A571" i="3"/>
  <c r="F570" i="3"/>
  <c r="E570" i="3"/>
  <c r="D570" i="3"/>
  <c r="H570" i="3" s="1"/>
  <c r="I570" i="3" s="1"/>
  <c r="C570" i="3"/>
  <c r="B570" i="3"/>
  <c r="A570" i="3"/>
  <c r="H569" i="3"/>
  <c r="I569" i="3" s="1"/>
  <c r="F569" i="3"/>
  <c r="E569" i="3"/>
  <c r="D569" i="3"/>
  <c r="C569" i="3"/>
  <c r="B569" i="3"/>
  <c r="A569" i="3"/>
  <c r="F568" i="3"/>
  <c r="E568" i="3"/>
  <c r="D568" i="3"/>
  <c r="H568" i="3" s="1"/>
  <c r="I568" i="3" s="1"/>
  <c r="C568" i="3"/>
  <c r="B568" i="3"/>
  <c r="A568" i="3"/>
  <c r="H567" i="3"/>
  <c r="I567" i="3" s="1"/>
  <c r="F567" i="3"/>
  <c r="E567" i="3"/>
  <c r="D567" i="3"/>
  <c r="C567" i="3"/>
  <c r="B567" i="3"/>
  <c r="A567" i="3"/>
  <c r="I566" i="3"/>
  <c r="H566" i="3"/>
  <c r="F566" i="3"/>
  <c r="E566" i="3"/>
  <c r="D566" i="3"/>
  <c r="C566" i="3"/>
  <c r="B566" i="3"/>
  <c r="A566" i="3"/>
  <c r="F565" i="3"/>
  <c r="E565" i="3"/>
  <c r="D565" i="3"/>
  <c r="H565" i="3" s="1"/>
  <c r="I565" i="3" s="1"/>
  <c r="C565" i="3"/>
  <c r="B565" i="3"/>
  <c r="A565" i="3"/>
  <c r="I564" i="3"/>
  <c r="H564" i="3"/>
  <c r="F564" i="3"/>
  <c r="E564" i="3"/>
  <c r="D564" i="3"/>
  <c r="C564" i="3"/>
  <c r="B564" i="3"/>
  <c r="A564" i="3"/>
  <c r="F563" i="3"/>
  <c r="E563" i="3"/>
  <c r="D563" i="3"/>
  <c r="H563" i="3" s="1"/>
  <c r="I563" i="3" s="1"/>
  <c r="C563" i="3"/>
  <c r="B563" i="3"/>
  <c r="A563" i="3"/>
  <c r="F562" i="3"/>
  <c r="E562" i="3"/>
  <c r="D562" i="3"/>
  <c r="H562" i="3" s="1"/>
  <c r="I562" i="3" s="1"/>
  <c r="C562" i="3"/>
  <c r="B562" i="3"/>
  <c r="A562" i="3"/>
  <c r="H561" i="3"/>
  <c r="I561" i="3" s="1"/>
  <c r="F561" i="3"/>
  <c r="E561" i="3"/>
  <c r="D561" i="3"/>
  <c r="C561" i="3"/>
  <c r="B561" i="3"/>
  <c r="A561" i="3"/>
  <c r="F560" i="3"/>
  <c r="E560" i="3"/>
  <c r="D560" i="3"/>
  <c r="H560" i="3" s="1"/>
  <c r="I560" i="3" s="1"/>
  <c r="C560" i="3"/>
  <c r="B560" i="3"/>
  <c r="A560" i="3"/>
  <c r="H559" i="3"/>
  <c r="I559" i="3" s="1"/>
  <c r="F559" i="3"/>
  <c r="E559" i="3"/>
  <c r="D559" i="3"/>
  <c r="C559" i="3"/>
  <c r="B559" i="3"/>
  <c r="A559" i="3"/>
  <c r="I558" i="3"/>
  <c r="H558" i="3"/>
  <c r="F558" i="3"/>
  <c r="E558" i="3"/>
  <c r="D558" i="3"/>
  <c r="C558" i="3"/>
  <c r="B558" i="3"/>
  <c r="A558" i="3"/>
  <c r="F557" i="3"/>
  <c r="E557" i="3"/>
  <c r="D557" i="3"/>
  <c r="H557" i="3" s="1"/>
  <c r="I557" i="3" s="1"/>
  <c r="C557" i="3"/>
  <c r="B557" i="3"/>
  <c r="A557" i="3"/>
  <c r="I556" i="3"/>
  <c r="H556" i="3"/>
  <c r="F556" i="3"/>
  <c r="E556" i="3"/>
  <c r="D556" i="3"/>
  <c r="C556" i="3"/>
  <c r="B556" i="3"/>
  <c r="A556" i="3"/>
  <c r="F555" i="3"/>
  <c r="E555" i="3"/>
  <c r="D555" i="3"/>
  <c r="H555" i="3" s="1"/>
  <c r="I555" i="3" s="1"/>
  <c r="C555" i="3"/>
  <c r="B555" i="3"/>
  <c r="A555" i="3"/>
  <c r="F554" i="3"/>
  <c r="E554" i="3"/>
  <c r="D554" i="3"/>
  <c r="H554" i="3" s="1"/>
  <c r="I554" i="3" s="1"/>
  <c r="C554" i="3"/>
  <c r="B554" i="3"/>
  <c r="A554" i="3"/>
  <c r="H553" i="3"/>
  <c r="I553" i="3" s="1"/>
  <c r="F553" i="3"/>
  <c r="E553" i="3"/>
  <c r="D553" i="3"/>
  <c r="C553" i="3"/>
  <c r="B553" i="3"/>
  <c r="A553" i="3"/>
  <c r="F552" i="3"/>
  <c r="E552" i="3"/>
  <c r="D552" i="3"/>
  <c r="H552" i="3" s="1"/>
  <c r="I552" i="3" s="1"/>
  <c r="C552" i="3"/>
  <c r="B552" i="3"/>
  <c r="A552" i="3"/>
  <c r="H551" i="3"/>
  <c r="I551" i="3" s="1"/>
  <c r="F551" i="3"/>
  <c r="E551" i="3"/>
  <c r="D551" i="3"/>
  <c r="C551" i="3"/>
  <c r="B551" i="3"/>
  <c r="A551" i="3"/>
  <c r="I550" i="3"/>
  <c r="H550" i="3"/>
  <c r="F550" i="3"/>
  <c r="E550" i="3"/>
  <c r="D550" i="3"/>
  <c r="C550" i="3"/>
  <c r="B550" i="3"/>
  <c r="A550" i="3"/>
  <c r="F549" i="3"/>
  <c r="E549" i="3"/>
  <c r="D549" i="3"/>
  <c r="H549" i="3" s="1"/>
  <c r="I549" i="3" s="1"/>
  <c r="C549" i="3"/>
  <c r="B549" i="3"/>
  <c r="A549" i="3"/>
  <c r="I548" i="3"/>
  <c r="H548" i="3"/>
  <c r="F548" i="3"/>
  <c r="E548" i="3"/>
  <c r="D548" i="3"/>
  <c r="C548" i="3"/>
  <c r="B548" i="3"/>
  <c r="A548" i="3"/>
  <c r="F547" i="3"/>
  <c r="E547" i="3"/>
  <c r="D547" i="3"/>
  <c r="H547" i="3" s="1"/>
  <c r="I547" i="3" s="1"/>
  <c r="C547" i="3"/>
  <c r="B547" i="3"/>
  <c r="A547" i="3"/>
  <c r="F546" i="3"/>
  <c r="E546" i="3"/>
  <c r="D546" i="3"/>
  <c r="H546" i="3" s="1"/>
  <c r="I546" i="3" s="1"/>
  <c r="C546" i="3"/>
  <c r="B546" i="3"/>
  <c r="A546" i="3"/>
  <c r="H545" i="3"/>
  <c r="I545" i="3" s="1"/>
  <c r="F545" i="3"/>
  <c r="E545" i="3"/>
  <c r="D545" i="3"/>
  <c r="C545" i="3"/>
  <c r="B545" i="3"/>
  <c r="A545" i="3"/>
  <c r="F544" i="3"/>
  <c r="E544" i="3"/>
  <c r="D544" i="3"/>
  <c r="H544" i="3" s="1"/>
  <c r="I544" i="3" s="1"/>
  <c r="C544" i="3"/>
  <c r="B544" i="3"/>
  <c r="A544" i="3"/>
  <c r="H543" i="3"/>
  <c r="I543" i="3" s="1"/>
  <c r="F543" i="3"/>
  <c r="E543" i="3"/>
  <c r="D543" i="3"/>
  <c r="C543" i="3"/>
  <c r="B543" i="3"/>
  <c r="A543" i="3"/>
  <c r="I542" i="3"/>
  <c r="H542" i="3"/>
  <c r="F542" i="3"/>
  <c r="E542" i="3"/>
  <c r="D542" i="3"/>
  <c r="C542" i="3"/>
  <c r="B542" i="3"/>
  <c r="A542" i="3"/>
  <c r="F541" i="3"/>
  <c r="E541" i="3"/>
  <c r="D541" i="3"/>
  <c r="H541" i="3" s="1"/>
  <c r="I541" i="3" s="1"/>
  <c r="C541" i="3"/>
  <c r="B541" i="3"/>
  <c r="A541" i="3"/>
  <c r="I540" i="3"/>
  <c r="H540" i="3"/>
  <c r="F540" i="3"/>
  <c r="E540" i="3"/>
  <c r="D540" i="3"/>
  <c r="C540" i="3"/>
  <c r="B540" i="3"/>
  <c r="A540" i="3"/>
  <c r="F539" i="3"/>
  <c r="E539" i="3"/>
  <c r="D539" i="3"/>
  <c r="H539" i="3" s="1"/>
  <c r="I539" i="3" s="1"/>
  <c r="C539" i="3"/>
  <c r="B539" i="3"/>
  <c r="A539" i="3"/>
  <c r="F538" i="3"/>
  <c r="E538" i="3"/>
  <c r="D538" i="3"/>
  <c r="H538" i="3" s="1"/>
  <c r="I538" i="3" s="1"/>
  <c r="C538" i="3"/>
  <c r="B538" i="3"/>
  <c r="A538" i="3"/>
  <c r="H537" i="3"/>
  <c r="I537" i="3" s="1"/>
  <c r="F537" i="3"/>
  <c r="E537" i="3"/>
  <c r="D537" i="3"/>
  <c r="C537" i="3"/>
  <c r="B537" i="3"/>
  <c r="A537" i="3"/>
  <c r="F536" i="3"/>
  <c r="E536" i="3"/>
  <c r="D536" i="3"/>
  <c r="H536" i="3" s="1"/>
  <c r="I536" i="3" s="1"/>
  <c r="C536" i="3"/>
  <c r="B536" i="3"/>
  <c r="A536" i="3"/>
  <c r="H535" i="3"/>
  <c r="I535" i="3" s="1"/>
  <c r="F535" i="3"/>
  <c r="E535" i="3"/>
  <c r="D535" i="3"/>
  <c r="C535" i="3"/>
  <c r="B535" i="3"/>
  <c r="A535" i="3"/>
  <c r="I534" i="3"/>
  <c r="H534" i="3"/>
  <c r="F534" i="3"/>
  <c r="E534" i="3"/>
  <c r="D534" i="3"/>
  <c r="C534" i="3"/>
  <c r="B534" i="3"/>
  <c r="A534" i="3"/>
  <c r="F533" i="3"/>
  <c r="E533" i="3"/>
  <c r="D533" i="3"/>
  <c r="H533" i="3" s="1"/>
  <c r="I533" i="3" s="1"/>
  <c r="C533" i="3"/>
  <c r="B533" i="3"/>
  <c r="A533" i="3"/>
  <c r="I532" i="3"/>
  <c r="H532" i="3"/>
  <c r="F532" i="3"/>
  <c r="E532" i="3"/>
  <c r="D532" i="3"/>
  <c r="C532" i="3"/>
  <c r="B532" i="3"/>
  <c r="A532" i="3"/>
  <c r="F531" i="3"/>
  <c r="E531" i="3"/>
  <c r="D531" i="3"/>
  <c r="H531" i="3" s="1"/>
  <c r="I531" i="3" s="1"/>
  <c r="C531" i="3"/>
  <c r="B531" i="3"/>
  <c r="A531" i="3"/>
  <c r="F530" i="3"/>
  <c r="E530" i="3"/>
  <c r="D530" i="3"/>
  <c r="H530" i="3" s="1"/>
  <c r="I530" i="3" s="1"/>
  <c r="C530" i="3"/>
  <c r="B530" i="3"/>
  <c r="A530" i="3"/>
  <c r="I529" i="3"/>
  <c r="H529" i="3"/>
  <c r="F529" i="3"/>
  <c r="E529" i="3"/>
  <c r="D529" i="3"/>
  <c r="C529" i="3"/>
  <c r="B529" i="3"/>
  <c r="A529" i="3"/>
  <c r="F528" i="3"/>
  <c r="E528" i="3"/>
  <c r="D528" i="3"/>
  <c r="H528" i="3" s="1"/>
  <c r="I528" i="3" s="1"/>
  <c r="C528" i="3"/>
  <c r="B528" i="3"/>
  <c r="A528" i="3"/>
  <c r="H527" i="3"/>
  <c r="I527" i="3" s="1"/>
  <c r="F527" i="3"/>
  <c r="E527" i="3"/>
  <c r="D527" i="3"/>
  <c r="C527" i="3"/>
  <c r="B527" i="3"/>
  <c r="A527" i="3"/>
  <c r="I526" i="3"/>
  <c r="H526" i="3"/>
  <c r="F526" i="3"/>
  <c r="E526" i="3"/>
  <c r="D526" i="3"/>
  <c r="C526" i="3"/>
  <c r="B526" i="3"/>
  <c r="A526" i="3"/>
  <c r="F525" i="3"/>
  <c r="E525" i="3"/>
  <c r="D525" i="3"/>
  <c r="H525" i="3" s="1"/>
  <c r="I525" i="3" s="1"/>
  <c r="C525" i="3"/>
  <c r="B525" i="3"/>
  <c r="A525" i="3"/>
  <c r="I524" i="3"/>
  <c r="H524" i="3"/>
  <c r="F524" i="3"/>
  <c r="E524" i="3"/>
  <c r="D524" i="3"/>
  <c r="C524" i="3"/>
  <c r="B524" i="3"/>
  <c r="A524" i="3"/>
  <c r="F523" i="3"/>
  <c r="E523" i="3"/>
  <c r="D523" i="3"/>
  <c r="H523" i="3" s="1"/>
  <c r="I523" i="3" s="1"/>
  <c r="C523" i="3"/>
  <c r="B523" i="3"/>
  <c r="A523" i="3"/>
  <c r="F522" i="3"/>
  <c r="E522" i="3"/>
  <c r="D522" i="3"/>
  <c r="H522" i="3" s="1"/>
  <c r="I522" i="3" s="1"/>
  <c r="C522" i="3"/>
  <c r="B522" i="3"/>
  <c r="A522" i="3"/>
  <c r="I521" i="3"/>
  <c r="H521" i="3"/>
  <c r="F521" i="3"/>
  <c r="E521" i="3"/>
  <c r="D521" i="3"/>
  <c r="C521" i="3"/>
  <c r="B521" i="3"/>
  <c r="A521" i="3"/>
  <c r="F520" i="3"/>
  <c r="E520" i="3"/>
  <c r="D520" i="3"/>
  <c r="H520" i="3" s="1"/>
  <c r="I520" i="3" s="1"/>
  <c r="C520" i="3"/>
  <c r="B520" i="3"/>
  <c r="A520" i="3"/>
  <c r="H519" i="3"/>
  <c r="I519" i="3" s="1"/>
  <c r="F519" i="3"/>
  <c r="E519" i="3"/>
  <c r="D519" i="3"/>
  <c r="C519" i="3"/>
  <c r="B519" i="3"/>
  <c r="A519" i="3"/>
  <c r="H518" i="3"/>
  <c r="F518" i="3"/>
  <c r="E518" i="3"/>
  <c r="D518" i="3"/>
  <c r="C518" i="3"/>
  <c r="I518" i="3" s="1"/>
  <c r="B518" i="3"/>
  <c r="A518" i="3"/>
  <c r="F517" i="3"/>
  <c r="E517" i="3"/>
  <c r="D517" i="3"/>
  <c r="H517" i="3" s="1"/>
  <c r="I517" i="3" s="1"/>
  <c r="C517" i="3"/>
  <c r="B517" i="3"/>
  <c r="A517" i="3"/>
  <c r="H516" i="3"/>
  <c r="I516" i="3" s="1"/>
  <c r="F516" i="3"/>
  <c r="E516" i="3"/>
  <c r="D516" i="3"/>
  <c r="C516" i="3"/>
  <c r="B516" i="3"/>
  <c r="A516" i="3"/>
  <c r="F515" i="3"/>
  <c r="E515" i="3"/>
  <c r="D515" i="3"/>
  <c r="H515" i="3" s="1"/>
  <c r="I515" i="3" s="1"/>
  <c r="C515" i="3"/>
  <c r="B515" i="3"/>
  <c r="A515" i="3"/>
  <c r="I514" i="3"/>
  <c r="F514" i="3"/>
  <c r="E514" i="3"/>
  <c r="D514" i="3"/>
  <c r="H514" i="3" s="1"/>
  <c r="C514" i="3"/>
  <c r="B514" i="3"/>
  <c r="A514" i="3"/>
  <c r="H513" i="3"/>
  <c r="I513" i="3" s="1"/>
  <c r="F513" i="3"/>
  <c r="E513" i="3"/>
  <c r="D513" i="3"/>
  <c r="C513" i="3"/>
  <c r="B513" i="3"/>
  <c r="A513" i="3"/>
  <c r="F512" i="3"/>
  <c r="E512" i="3"/>
  <c r="D512" i="3"/>
  <c r="H512" i="3" s="1"/>
  <c r="C512" i="3"/>
  <c r="B512" i="3"/>
  <c r="A512" i="3"/>
  <c r="H511" i="3"/>
  <c r="I511" i="3" s="1"/>
  <c r="F511" i="3"/>
  <c r="E511" i="3"/>
  <c r="D511" i="3"/>
  <c r="C511" i="3"/>
  <c r="B511" i="3"/>
  <c r="A511" i="3"/>
  <c r="I510" i="3"/>
  <c r="H510" i="3"/>
  <c r="F510" i="3"/>
  <c r="E510" i="3"/>
  <c r="D510" i="3"/>
  <c r="C510" i="3"/>
  <c r="B510" i="3"/>
  <c r="A510" i="3"/>
  <c r="F509" i="3"/>
  <c r="E509" i="3"/>
  <c r="D509" i="3"/>
  <c r="H509" i="3" s="1"/>
  <c r="I509" i="3" s="1"/>
  <c r="C509" i="3"/>
  <c r="B509" i="3"/>
  <c r="A509" i="3"/>
  <c r="I508" i="3"/>
  <c r="H508" i="3"/>
  <c r="F508" i="3"/>
  <c r="E508" i="3"/>
  <c r="D508" i="3"/>
  <c r="C508" i="3"/>
  <c r="B508" i="3"/>
  <c r="A508" i="3"/>
  <c r="F507" i="3"/>
  <c r="E507" i="3"/>
  <c r="D507" i="3"/>
  <c r="H507" i="3" s="1"/>
  <c r="C507" i="3"/>
  <c r="B507" i="3"/>
  <c r="A507" i="3"/>
  <c r="F506" i="3"/>
  <c r="E506" i="3"/>
  <c r="D506" i="3"/>
  <c r="H506" i="3" s="1"/>
  <c r="I506" i="3" s="1"/>
  <c r="C506" i="3"/>
  <c r="B506" i="3"/>
  <c r="A506" i="3"/>
  <c r="H505" i="3"/>
  <c r="I505" i="3" s="1"/>
  <c r="F505" i="3"/>
  <c r="E505" i="3"/>
  <c r="D505" i="3"/>
  <c r="C505" i="3"/>
  <c r="B505" i="3"/>
  <c r="A505" i="3"/>
  <c r="F504" i="3"/>
  <c r="E504" i="3"/>
  <c r="D504" i="3"/>
  <c r="H504" i="3" s="1"/>
  <c r="C504" i="3"/>
  <c r="B504" i="3"/>
  <c r="A504" i="3"/>
  <c r="H503" i="3"/>
  <c r="I503" i="3" s="1"/>
  <c r="F503" i="3"/>
  <c r="E503" i="3"/>
  <c r="D503" i="3"/>
  <c r="C503" i="3"/>
  <c r="B503" i="3"/>
  <c r="A503" i="3"/>
  <c r="H502" i="3"/>
  <c r="F502" i="3"/>
  <c r="E502" i="3"/>
  <c r="D502" i="3"/>
  <c r="C502" i="3"/>
  <c r="I502" i="3" s="1"/>
  <c r="B502" i="3"/>
  <c r="A502" i="3"/>
  <c r="F501" i="3"/>
  <c r="E501" i="3"/>
  <c r="D501" i="3"/>
  <c r="H501" i="3" s="1"/>
  <c r="I501" i="3" s="1"/>
  <c r="C501" i="3"/>
  <c r="B501" i="3"/>
  <c r="A501" i="3"/>
  <c r="H500" i="3"/>
  <c r="F500" i="3"/>
  <c r="E500" i="3"/>
  <c r="D500" i="3"/>
  <c r="C500" i="3"/>
  <c r="I500" i="3" s="1"/>
  <c r="B500" i="3"/>
  <c r="A500" i="3"/>
  <c r="F499" i="3"/>
  <c r="E499" i="3"/>
  <c r="D499" i="3"/>
  <c r="H499" i="3" s="1"/>
  <c r="C499" i="3"/>
  <c r="B499" i="3"/>
  <c r="A499" i="3"/>
  <c r="F498" i="3"/>
  <c r="E498" i="3"/>
  <c r="D498" i="3"/>
  <c r="H498" i="3" s="1"/>
  <c r="I498" i="3" s="1"/>
  <c r="C498" i="3"/>
  <c r="B498" i="3"/>
  <c r="A498" i="3"/>
  <c r="F497" i="3"/>
  <c r="E497" i="3"/>
  <c r="D497" i="3"/>
  <c r="H497" i="3" s="1"/>
  <c r="I497" i="3" s="1"/>
  <c r="C497" i="3"/>
  <c r="B497" i="3"/>
  <c r="A497" i="3"/>
  <c r="F496" i="3"/>
  <c r="E496" i="3"/>
  <c r="D496" i="3"/>
  <c r="H496" i="3" s="1"/>
  <c r="C496" i="3"/>
  <c r="B496" i="3"/>
  <c r="A496" i="3"/>
  <c r="H495" i="3"/>
  <c r="I495" i="3" s="1"/>
  <c r="F495" i="3"/>
  <c r="E495" i="3"/>
  <c r="D495" i="3"/>
  <c r="C495" i="3"/>
  <c r="B495" i="3"/>
  <c r="A495" i="3"/>
  <c r="H494" i="3"/>
  <c r="F494" i="3"/>
  <c r="E494" i="3"/>
  <c r="D494" i="3"/>
  <c r="C494" i="3"/>
  <c r="I494" i="3" s="1"/>
  <c r="B494" i="3"/>
  <c r="A494" i="3"/>
  <c r="F493" i="3"/>
  <c r="E493" i="3"/>
  <c r="D493" i="3"/>
  <c r="H493" i="3" s="1"/>
  <c r="I493" i="3" s="1"/>
  <c r="C493" i="3"/>
  <c r="B493" i="3"/>
  <c r="A493" i="3"/>
  <c r="H492" i="3"/>
  <c r="F492" i="3"/>
  <c r="E492" i="3"/>
  <c r="D492" i="3"/>
  <c r="C492" i="3"/>
  <c r="I492" i="3" s="1"/>
  <c r="B492" i="3"/>
  <c r="A492" i="3"/>
  <c r="F491" i="3"/>
  <c r="E491" i="3"/>
  <c r="D491" i="3"/>
  <c r="H491" i="3" s="1"/>
  <c r="C491" i="3"/>
  <c r="B491" i="3"/>
  <c r="A491" i="3"/>
  <c r="F490" i="3"/>
  <c r="E490" i="3"/>
  <c r="D490" i="3"/>
  <c r="H490" i="3" s="1"/>
  <c r="I490" i="3" s="1"/>
  <c r="C490" i="3"/>
  <c r="B490" i="3"/>
  <c r="A490" i="3"/>
  <c r="F489" i="3"/>
  <c r="E489" i="3"/>
  <c r="D489" i="3"/>
  <c r="H489" i="3" s="1"/>
  <c r="I489" i="3" s="1"/>
  <c r="C489" i="3"/>
  <c r="B489" i="3"/>
  <c r="A489" i="3"/>
  <c r="F488" i="3"/>
  <c r="E488" i="3"/>
  <c r="D488" i="3"/>
  <c r="H488" i="3" s="1"/>
  <c r="I488" i="3" s="1"/>
  <c r="C488" i="3"/>
  <c r="B488" i="3"/>
  <c r="A488" i="3"/>
  <c r="H487" i="3"/>
  <c r="I487" i="3" s="1"/>
  <c r="F487" i="3"/>
  <c r="E487" i="3"/>
  <c r="D487" i="3"/>
  <c r="C487" i="3"/>
  <c r="B487" i="3"/>
  <c r="A487" i="3"/>
  <c r="H486" i="3"/>
  <c r="F486" i="3"/>
  <c r="E486" i="3"/>
  <c r="D486" i="3"/>
  <c r="C486" i="3"/>
  <c r="I486" i="3" s="1"/>
  <c r="B486" i="3"/>
  <c r="A486" i="3"/>
  <c r="H485" i="3"/>
  <c r="I485" i="3" s="1"/>
  <c r="F485" i="3"/>
  <c r="E485" i="3"/>
  <c r="D485" i="3"/>
  <c r="C485" i="3"/>
  <c r="B485" i="3"/>
  <c r="A485" i="3"/>
  <c r="R484" i="3"/>
  <c r="J484" i="3"/>
  <c r="H484" i="3"/>
  <c r="I484" i="3" s="1"/>
  <c r="F484" i="3"/>
  <c r="E484" i="3"/>
  <c r="D484" i="3"/>
  <c r="C484" i="3"/>
  <c r="B484" i="3"/>
  <c r="A484" i="3"/>
  <c r="F483" i="3"/>
  <c r="E483" i="3"/>
  <c r="D483" i="3"/>
  <c r="H483" i="3" s="1"/>
  <c r="I483" i="3" s="1"/>
  <c r="C483" i="3"/>
  <c r="B483" i="3"/>
  <c r="A483" i="3"/>
  <c r="I482" i="3"/>
  <c r="F482" i="3"/>
  <c r="E482" i="3"/>
  <c r="D482" i="3"/>
  <c r="H482" i="3" s="1"/>
  <c r="C482" i="3"/>
  <c r="B482" i="3"/>
  <c r="A482" i="3"/>
  <c r="I481" i="3"/>
  <c r="F481" i="3"/>
  <c r="E481" i="3"/>
  <c r="D481" i="3"/>
  <c r="H481" i="3" s="1"/>
  <c r="C481" i="3"/>
  <c r="B481" i="3"/>
  <c r="A481" i="3"/>
  <c r="F480" i="3"/>
  <c r="E480" i="3"/>
  <c r="D480" i="3"/>
  <c r="H480" i="3" s="1"/>
  <c r="I480" i="3" s="1"/>
  <c r="C480" i="3"/>
  <c r="B480" i="3"/>
  <c r="A480" i="3"/>
  <c r="H479" i="3"/>
  <c r="I479" i="3" s="1"/>
  <c r="F479" i="3"/>
  <c r="E479" i="3"/>
  <c r="D479" i="3"/>
  <c r="C479" i="3"/>
  <c r="B479" i="3"/>
  <c r="A479" i="3"/>
  <c r="H478" i="3"/>
  <c r="I478" i="3" s="1"/>
  <c r="F478" i="3"/>
  <c r="E478" i="3"/>
  <c r="D478" i="3"/>
  <c r="C478" i="3"/>
  <c r="B478" i="3"/>
  <c r="A478" i="3"/>
  <c r="F477" i="3"/>
  <c r="E477" i="3"/>
  <c r="D477" i="3"/>
  <c r="H477" i="3" s="1"/>
  <c r="I477" i="3" s="1"/>
  <c r="C477" i="3"/>
  <c r="B477" i="3"/>
  <c r="A477" i="3"/>
  <c r="H476" i="3"/>
  <c r="I476" i="3" s="1"/>
  <c r="F476" i="3"/>
  <c r="E476" i="3"/>
  <c r="D476" i="3"/>
  <c r="C476" i="3"/>
  <c r="B476" i="3"/>
  <c r="A476" i="3"/>
  <c r="F475" i="3"/>
  <c r="E475" i="3"/>
  <c r="D475" i="3"/>
  <c r="H475" i="3" s="1"/>
  <c r="I475" i="3" s="1"/>
  <c r="C475" i="3"/>
  <c r="B475" i="3"/>
  <c r="A475" i="3"/>
  <c r="I474" i="3"/>
  <c r="F474" i="3"/>
  <c r="E474" i="3"/>
  <c r="D474" i="3"/>
  <c r="H474" i="3" s="1"/>
  <c r="C474" i="3"/>
  <c r="B474" i="3"/>
  <c r="A474" i="3"/>
  <c r="I473" i="3"/>
  <c r="H473" i="3"/>
  <c r="F473" i="3"/>
  <c r="E473" i="3"/>
  <c r="D473" i="3"/>
  <c r="C473" i="3"/>
  <c r="B473" i="3"/>
  <c r="A473" i="3"/>
  <c r="F472" i="3"/>
  <c r="E472" i="3"/>
  <c r="D472" i="3"/>
  <c r="H472" i="3" s="1"/>
  <c r="C472" i="3"/>
  <c r="B472" i="3"/>
  <c r="A472" i="3"/>
  <c r="H471" i="3"/>
  <c r="I471" i="3" s="1"/>
  <c r="F471" i="3"/>
  <c r="E471" i="3"/>
  <c r="D471" i="3"/>
  <c r="C471" i="3"/>
  <c r="B471" i="3"/>
  <c r="A471" i="3"/>
  <c r="I470" i="3"/>
  <c r="H470" i="3"/>
  <c r="F470" i="3"/>
  <c r="E470" i="3"/>
  <c r="D470" i="3"/>
  <c r="C470" i="3"/>
  <c r="B470" i="3"/>
  <c r="A470" i="3"/>
  <c r="H469" i="3"/>
  <c r="I469" i="3" s="1"/>
  <c r="F469" i="3"/>
  <c r="E469" i="3"/>
  <c r="D469" i="3"/>
  <c r="C469" i="3"/>
  <c r="B469" i="3"/>
  <c r="A469" i="3"/>
  <c r="I468" i="3"/>
  <c r="H468" i="3"/>
  <c r="F468" i="3"/>
  <c r="E468" i="3"/>
  <c r="D468" i="3"/>
  <c r="C468" i="3"/>
  <c r="B468" i="3"/>
  <c r="A468" i="3"/>
  <c r="I467" i="3"/>
  <c r="F467" i="3"/>
  <c r="E467" i="3"/>
  <c r="D467" i="3"/>
  <c r="H467" i="3" s="1"/>
  <c r="C467" i="3"/>
  <c r="B467" i="3"/>
  <c r="A467" i="3"/>
  <c r="F466" i="3"/>
  <c r="E466" i="3"/>
  <c r="D466" i="3"/>
  <c r="H466" i="3" s="1"/>
  <c r="I466" i="3" s="1"/>
  <c r="C466" i="3"/>
  <c r="B466" i="3"/>
  <c r="A466" i="3"/>
  <c r="H465" i="3"/>
  <c r="I465" i="3" s="1"/>
  <c r="F465" i="3"/>
  <c r="E465" i="3"/>
  <c r="D465" i="3"/>
  <c r="C465" i="3"/>
  <c r="B465" i="3"/>
  <c r="A465" i="3"/>
  <c r="F464" i="3"/>
  <c r="E464" i="3"/>
  <c r="D464" i="3"/>
  <c r="H464" i="3" s="1"/>
  <c r="I464" i="3" s="1"/>
  <c r="C464" i="3"/>
  <c r="B464" i="3"/>
  <c r="A464" i="3"/>
  <c r="H463" i="3"/>
  <c r="I463" i="3" s="1"/>
  <c r="F463" i="3"/>
  <c r="E463" i="3"/>
  <c r="D463" i="3"/>
  <c r="C463" i="3"/>
  <c r="B463" i="3"/>
  <c r="A463" i="3"/>
  <c r="I462" i="3"/>
  <c r="H462" i="3"/>
  <c r="F462" i="3"/>
  <c r="E462" i="3"/>
  <c r="D462" i="3"/>
  <c r="C462" i="3"/>
  <c r="B462" i="3"/>
  <c r="A462" i="3"/>
  <c r="H461" i="3"/>
  <c r="I461" i="3" s="1"/>
  <c r="F461" i="3"/>
  <c r="E461" i="3"/>
  <c r="D461" i="3"/>
  <c r="C461" i="3"/>
  <c r="B461" i="3"/>
  <c r="A461" i="3"/>
  <c r="F460" i="3"/>
  <c r="E460" i="3"/>
  <c r="D460" i="3"/>
  <c r="H460" i="3" s="1"/>
  <c r="I460" i="3" s="1"/>
  <c r="C460" i="3"/>
  <c r="B460" i="3"/>
  <c r="A460" i="3"/>
  <c r="F459" i="3"/>
  <c r="E459" i="3"/>
  <c r="D459" i="3"/>
  <c r="H459" i="3" s="1"/>
  <c r="I459" i="3" s="1"/>
  <c r="C459" i="3"/>
  <c r="B459" i="3"/>
  <c r="A459" i="3"/>
  <c r="F458" i="3"/>
  <c r="E458" i="3"/>
  <c r="D458" i="3"/>
  <c r="H458" i="3" s="1"/>
  <c r="I458" i="3" s="1"/>
  <c r="C458" i="3"/>
  <c r="B458" i="3"/>
  <c r="A458" i="3"/>
  <c r="F457" i="3"/>
  <c r="E457" i="3"/>
  <c r="D457" i="3"/>
  <c r="H457" i="3" s="1"/>
  <c r="I457" i="3" s="1"/>
  <c r="C457" i="3"/>
  <c r="B457" i="3"/>
  <c r="A457" i="3"/>
  <c r="F456" i="3"/>
  <c r="E456" i="3"/>
  <c r="D456" i="3"/>
  <c r="H456" i="3" s="1"/>
  <c r="I456" i="3" s="1"/>
  <c r="C456" i="3"/>
  <c r="B456" i="3"/>
  <c r="A456" i="3"/>
  <c r="H455" i="3"/>
  <c r="F455" i="3"/>
  <c r="E455" i="3"/>
  <c r="D455" i="3"/>
  <c r="C455" i="3"/>
  <c r="B455" i="3"/>
  <c r="A455" i="3"/>
  <c r="H454" i="3"/>
  <c r="F454" i="3"/>
  <c r="E454" i="3"/>
  <c r="D454" i="3"/>
  <c r="C454" i="3"/>
  <c r="I454" i="3" s="1"/>
  <c r="B454" i="3"/>
  <c r="A454" i="3"/>
  <c r="I453" i="3"/>
  <c r="F453" i="3"/>
  <c r="E453" i="3"/>
  <c r="D453" i="3"/>
  <c r="H453" i="3" s="1"/>
  <c r="C453" i="3"/>
  <c r="B453" i="3"/>
  <c r="A453" i="3"/>
  <c r="H452" i="3"/>
  <c r="I452" i="3" s="1"/>
  <c r="F452" i="3"/>
  <c r="E452" i="3"/>
  <c r="D452" i="3"/>
  <c r="C452" i="3"/>
  <c r="B452" i="3"/>
  <c r="A452" i="3"/>
  <c r="I451" i="3"/>
  <c r="F451" i="3"/>
  <c r="E451" i="3"/>
  <c r="D451" i="3"/>
  <c r="H451" i="3" s="1"/>
  <c r="C451" i="3"/>
  <c r="B451" i="3"/>
  <c r="A451" i="3"/>
  <c r="F450" i="3"/>
  <c r="E450" i="3"/>
  <c r="D450" i="3"/>
  <c r="H450" i="3" s="1"/>
  <c r="I450" i="3" s="1"/>
  <c r="C450" i="3"/>
  <c r="B450" i="3"/>
  <c r="A450" i="3"/>
  <c r="F449" i="3"/>
  <c r="E449" i="3"/>
  <c r="D449" i="3"/>
  <c r="H449" i="3" s="1"/>
  <c r="I449" i="3" s="1"/>
  <c r="C449" i="3"/>
  <c r="B449" i="3"/>
  <c r="A449" i="3"/>
  <c r="F448" i="3"/>
  <c r="E448" i="3"/>
  <c r="D448" i="3"/>
  <c r="H448" i="3" s="1"/>
  <c r="I448" i="3" s="1"/>
  <c r="C448" i="3"/>
  <c r="B448" i="3"/>
  <c r="A448" i="3"/>
  <c r="I447" i="3"/>
  <c r="H447" i="3"/>
  <c r="F447" i="3"/>
  <c r="E447" i="3"/>
  <c r="D447" i="3"/>
  <c r="C447" i="3"/>
  <c r="B447" i="3"/>
  <c r="A447" i="3"/>
  <c r="H446" i="3"/>
  <c r="I446" i="3" s="1"/>
  <c r="F446" i="3"/>
  <c r="E446" i="3"/>
  <c r="D446" i="3"/>
  <c r="C446" i="3"/>
  <c r="B446" i="3"/>
  <c r="A446" i="3"/>
  <c r="H445" i="3"/>
  <c r="I445" i="3" s="1"/>
  <c r="F445" i="3"/>
  <c r="E445" i="3"/>
  <c r="D445" i="3"/>
  <c r="C445" i="3"/>
  <c r="B445" i="3"/>
  <c r="A445" i="3"/>
  <c r="H444" i="3"/>
  <c r="F444" i="3"/>
  <c r="E444" i="3"/>
  <c r="D444" i="3"/>
  <c r="C444" i="3"/>
  <c r="B444" i="3"/>
  <c r="A444" i="3"/>
  <c r="F443" i="3"/>
  <c r="E443" i="3"/>
  <c r="D443" i="3"/>
  <c r="H443" i="3" s="1"/>
  <c r="I443" i="3" s="1"/>
  <c r="C443" i="3"/>
  <c r="B443" i="3"/>
  <c r="A443" i="3"/>
  <c r="F442" i="3"/>
  <c r="E442" i="3"/>
  <c r="D442" i="3"/>
  <c r="H442" i="3" s="1"/>
  <c r="I442" i="3" s="1"/>
  <c r="C442" i="3"/>
  <c r="B442" i="3"/>
  <c r="A442" i="3"/>
  <c r="F441" i="3"/>
  <c r="E441" i="3"/>
  <c r="D441" i="3"/>
  <c r="H441" i="3" s="1"/>
  <c r="I441" i="3" s="1"/>
  <c r="C441" i="3"/>
  <c r="B441" i="3"/>
  <c r="A441" i="3"/>
  <c r="F440" i="3"/>
  <c r="E440" i="3"/>
  <c r="D440" i="3"/>
  <c r="H440" i="3" s="1"/>
  <c r="I440" i="3" s="1"/>
  <c r="C440" i="3"/>
  <c r="B440" i="3"/>
  <c r="A440" i="3"/>
  <c r="I439" i="3"/>
  <c r="H439" i="3"/>
  <c r="F439" i="3"/>
  <c r="E439" i="3"/>
  <c r="D439" i="3"/>
  <c r="C439" i="3"/>
  <c r="B439" i="3"/>
  <c r="A439" i="3"/>
  <c r="H438" i="3"/>
  <c r="I438" i="3" s="1"/>
  <c r="F438" i="3"/>
  <c r="E438" i="3"/>
  <c r="D438" i="3"/>
  <c r="C438" i="3"/>
  <c r="B438" i="3"/>
  <c r="A438" i="3"/>
  <c r="H437" i="3"/>
  <c r="I437" i="3" s="1"/>
  <c r="F437" i="3"/>
  <c r="E437" i="3"/>
  <c r="D437" i="3"/>
  <c r="C437" i="3"/>
  <c r="B437" i="3"/>
  <c r="A437" i="3"/>
  <c r="H436" i="3"/>
  <c r="F436" i="3"/>
  <c r="E436" i="3"/>
  <c r="D436" i="3"/>
  <c r="C436" i="3"/>
  <c r="B436" i="3"/>
  <c r="A436" i="3"/>
  <c r="I435" i="3"/>
  <c r="F435" i="3"/>
  <c r="E435" i="3"/>
  <c r="D435" i="3"/>
  <c r="H435" i="3" s="1"/>
  <c r="C435" i="3"/>
  <c r="B435" i="3"/>
  <c r="A435" i="3"/>
  <c r="F434" i="3"/>
  <c r="E434" i="3"/>
  <c r="D434" i="3"/>
  <c r="H434" i="3" s="1"/>
  <c r="I434" i="3" s="1"/>
  <c r="C434" i="3"/>
  <c r="B434" i="3"/>
  <c r="A434" i="3"/>
  <c r="F433" i="3"/>
  <c r="E433" i="3"/>
  <c r="D433" i="3"/>
  <c r="H433" i="3" s="1"/>
  <c r="I433" i="3" s="1"/>
  <c r="C433" i="3"/>
  <c r="B433" i="3"/>
  <c r="A433" i="3"/>
  <c r="F432" i="3"/>
  <c r="E432" i="3"/>
  <c r="D432" i="3"/>
  <c r="H432" i="3" s="1"/>
  <c r="I432" i="3" s="1"/>
  <c r="C432" i="3"/>
  <c r="B432" i="3"/>
  <c r="A432" i="3"/>
  <c r="I431" i="3"/>
  <c r="H431" i="3"/>
  <c r="F431" i="3"/>
  <c r="E431" i="3"/>
  <c r="D431" i="3"/>
  <c r="C431" i="3"/>
  <c r="B431" i="3"/>
  <c r="A431" i="3"/>
  <c r="H430" i="3"/>
  <c r="I430" i="3" s="1"/>
  <c r="F430" i="3"/>
  <c r="E430" i="3"/>
  <c r="D430" i="3"/>
  <c r="C430" i="3"/>
  <c r="B430" i="3"/>
  <c r="A430" i="3"/>
  <c r="H429" i="3"/>
  <c r="F429" i="3"/>
  <c r="E429" i="3"/>
  <c r="D429" i="3"/>
  <c r="C429" i="3"/>
  <c r="B429" i="3"/>
  <c r="A429" i="3"/>
  <c r="H428" i="3"/>
  <c r="F428" i="3"/>
  <c r="E428" i="3"/>
  <c r="D428" i="3"/>
  <c r="C428" i="3"/>
  <c r="B428" i="3"/>
  <c r="A428" i="3"/>
  <c r="I427" i="3"/>
  <c r="F427" i="3"/>
  <c r="E427" i="3"/>
  <c r="D427" i="3"/>
  <c r="H427" i="3" s="1"/>
  <c r="C427" i="3"/>
  <c r="B427" i="3"/>
  <c r="A427" i="3"/>
  <c r="I426" i="3"/>
  <c r="F426" i="3"/>
  <c r="E426" i="3"/>
  <c r="D426" i="3"/>
  <c r="H426" i="3" s="1"/>
  <c r="C426" i="3"/>
  <c r="B426" i="3"/>
  <c r="A426" i="3"/>
  <c r="F425" i="3"/>
  <c r="E425" i="3"/>
  <c r="D425" i="3"/>
  <c r="H425" i="3" s="1"/>
  <c r="I425" i="3" s="1"/>
  <c r="C425" i="3"/>
  <c r="B425" i="3"/>
  <c r="A425" i="3"/>
  <c r="F424" i="3"/>
  <c r="E424" i="3"/>
  <c r="D424" i="3"/>
  <c r="H424" i="3" s="1"/>
  <c r="I424" i="3" s="1"/>
  <c r="C424" i="3"/>
  <c r="B424" i="3"/>
  <c r="A424" i="3"/>
  <c r="I423" i="3"/>
  <c r="H423" i="3"/>
  <c r="F423" i="3"/>
  <c r="E423" i="3"/>
  <c r="D423" i="3"/>
  <c r="C423" i="3"/>
  <c r="B423" i="3"/>
  <c r="A423" i="3"/>
  <c r="H422" i="3"/>
  <c r="I422" i="3" s="1"/>
  <c r="F422" i="3"/>
  <c r="E422" i="3"/>
  <c r="D422" i="3"/>
  <c r="C422" i="3"/>
  <c r="B422" i="3"/>
  <c r="A422" i="3"/>
  <c r="H421" i="3"/>
  <c r="I421" i="3" s="1"/>
  <c r="F421" i="3"/>
  <c r="E421" i="3"/>
  <c r="D421" i="3"/>
  <c r="C421" i="3"/>
  <c r="B421" i="3"/>
  <c r="A421" i="3"/>
  <c r="H420" i="3"/>
  <c r="F420" i="3"/>
  <c r="E420" i="3"/>
  <c r="D420" i="3"/>
  <c r="C420" i="3"/>
  <c r="B420" i="3"/>
  <c r="A420" i="3"/>
  <c r="F419" i="3"/>
  <c r="E419" i="3"/>
  <c r="D419" i="3"/>
  <c r="H419" i="3" s="1"/>
  <c r="I419" i="3" s="1"/>
  <c r="C419" i="3"/>
  <c r="B419" i="3"/>
  <c r="A419" i="3"/>
  <c r="F418" i="3"/>
  <c r="E418" i="3"/>
  <c r="D418" i="3"/>
  <c r="H418" i="3" s="1"/>
  <c r="I418" i="3" s="1"/>
  <c r="C418" i="3"/>
  <c r="B418" i="3"/>
  <c r="A418" i="3"/>
  <c r="F417" i="3"/>
  <c r="E417" i="3"/>
  <c r="D417" i="3"/>
  <c r="H417" i="3" s="1"/>
  <c r="I417" i="3" s="1"/>
  <c r="C417" i="3"/>
  <c r="B417" i="3"/>
  <c r="A417" i="3"/>
  <c r="F416" i="3"/>
  <c r="E416" i="3"/>
  <c r="D416" i="3"/>
  <c r="H416" i="3" s="1"/>
  <c r="I416" i="3" s="1"/>
  <c r="C416" i="3"/>
  <c r="B416" i="3"/>
  <c r="A416" i="3"/>
  <c r="I415" i="3"/>
  <c r="H415" i="3"/>
  <c r="F415" i="3"/>
  <c r="E415" i="3"/>
  <c r="D415" i="3"/>
  <c r="C415" i="3"/>
  <c r="B415" i="3"/>
  <c r="A415" i="3"/>
  <c r="H414" i="3"/>
  <c r="I414" i="3" s="1"/>
  <c r="F414" i="3"/>
  <c r="E414" i="3"/>
  <c r="D414" i="3"/>
  <c r="C414" i="3"/>
  <c r="B414" i="3"/>
  <c r="A414" i="3"/>
  <c r="H413" i="3"/>
  <c r="F413" i="3"/>
  <c r="E413" i="3"/>
  <c r="D413" i="3"/>
  <c r="C413" i="3"/>
  <c r="B413" i="3"/>
  <c r="A413" i="3"/>
  <c r="H412" i="3"/>
  <c r="I412" i="3" s="1"/>
  <c r="F412" i="3"/>
  <c r="E412" i="3"/>
  <c r="D412" i="3"/>
  <c r="C412" i="3"/>
  <c r="B412" i="3"/>
  <c r="A412" i="3"/>
  <c r="F411" i="3"/>
  <c r="E411" i="3"/>
  <c r="D411" i="3"/>
  <c r="H411" i="3" s="1"/>
  <c r="I411" i="3" s="1"/>
  <c r="C411" i="3"/>
  <c r="B411" i="3"/>
  <c r="A411" i="3"/>
  <c r="I410" i="3"/>
  <c r="F410" i="3"/>
  <c r="E410" i="3"/>
  <c r="D410" i="3"/>
  <c r="H410" i="3" s="1"/>
  <c r="C410" i="3"/>
  <c r="B410" i="3"/>
  <c r="A410" i="3"/>
  <c r="F409" i="3"/>
  <c r="E409" i="3"/>
  <c r="D409" i="3"/>
  <c r="H409" i="3" s="1"/>
  <c r="I409" i="3" s="1"/>
  <c r="C409" i="3"/>
  <c r="B409" i="3"/>
  <c r="A409" i="3"/>
  <c r="F408" i="3"/>
  <c r="E408" i="3"/>
  <c r="D408" i="3"/>
  <c r="H408" i="3" s="1"/>
  <c r="I408" i="3" s="1"/>
  <c r="C408" i="3"/>
  <c r="B408" i="3"/>
  <c r="A408" i="3"/>
  <c r="I407" i="3"/>
  <c r="H407" i="3"/>
  <c r="F407" i="3"/>
  <c r="E407" i="3"/>
  <c r="D407" i="3"/>
  <c r="C407" i="3"/>
  <c r="B407" i="3"/>
  <c r="A407" i="3"/>
  <c r="H406" i="3"/>
  <c r="I406" i="3" s="1"/>
  <c r="F406" i="3"/>
  <c r="E406" i="3"/>
  <c r="D406" i="3"/>
  <c r="C406" i="3"/>
  <c r="B406" i="3"/>
  <c r="A406" i="3"/>
  <c r="H405" i="3"/>
  <c r="F405" i="3"/>
  <c r="E405" i="3"/>
  <c r="D405" i="3"/>
  <c r="C405" i="3"/>
  <c r="B405" i="3"/>
  <c r="A405" i="3"/>
  <c r="H404" i="3"/>
  <c r="F404" i="3"/>
  <c r="E404" i="3"/>
  <c r="D404" i="3"/>
  <c r="C404" i="3"/>
  <c r="B404" i="3"/>
  <c r="A404" i="3"/>
  <c r="F403" i="3"/>
  <c r="E403" i="3"/>
  <c r="D403" i="3"/>
  <c r="H403" i="3" s="1"/>
  <c r="I403" i="3" s="1"/>
  <c r="C403" i="3"/>
  <c r="B403" i="3"/>
  <c r="A403" i="3"/>
  <c r="I402" i="3"/>
  <c r="F402" i="3"/>
  <c r="E402" i="3"/>
  <c r="D402" i="3"/>
  <c r="H402" i="3" s="1"/>
  <c r="C402" i="3"/>
  <c r="B402" i="3"/>
  <c r="A402" i="3"/>
  <c r="F401" i="3"/>
  <c r="E401" i="3"/>
  <c r="D401" i="3"/>
  <c r="H401" i="3" s="1"/>
  <c r="I401" i="3" s="1"/>
  <c r="C401" i="3"/>
  <c r="B401" i="3"/>
  <c r="A401" i="3"/>
  <c r="F400" i="3"/>
  <c r="E400" i="3"/>
  <c r="D400" i="3"/>
  <c r="H400" i="3" s="1"/>
  <c r="I400" i="3" s="1"/>
  <c r="C400" i="3"/>
  <c r="B400" i="3"/>
  <c r="A400" i="3"/>
  <c r="I399" i="3"/>
  <c r="H399" i="3"/>
  <c r="F399" i="3"/>
  <c r="E399" i="3"/>
  <c r="D399" i="3"/>
  <c r="C399" i="3"/>
  <c r="B399" i="3"/>
  <c r="A399" i="3"/>
  <c r="H398" i="3"/>
  <c r="I398" i="3" s="1"/>
  <c r="F398" i="3"/>
  <c r="E398" i="3"/>
  <c r="D398" i="3"/>
  <c r="C398" i="3"/>
  <c r="B398" i="3"/>
  <c r="A398" i="3"/>
  <c r="H397" i="3"/>
  <c r="I397" i="3" s="1"/>
  <c r="F397" i="3"/>
  <c r="E397" i="3"/>
  <c r="D397" i="3"/>
  <c r="C397" i="3"/>
  <c r="B397" i="3"/>
  <c r="A397" i="3"/>
  <c r="H396" i="3"/>
  <c r="I396" i="3" s="1"/>
  <c r="F396" i="3"/>
  <c r="E396" i="3"/>
  <c r="D396" i="3"/>
  <c r="C396" i="3"/>
  <c r="B396" i="3"/>
  <c r="A396" i="3"/>
  <c r="F395" i="3"/>
  <c r="E395" i="3"/>
  <c r="D395" i="3"/>
  <c r="H395" i="3" s="1"/>
  <c r="I395" i="3" s="1"/>
  <c r="C395" i="3"/>
  <c r="B395" i="3"/>
  <c r="A395" i="3"/>
  <c r="F394" i="3"/>
  <c r="E394" i="3"/>
  <c r="D394" i="3"/>
  <c r="H394" i="3" s="1"/>
  <c r="I394" i="3" s="1"/>
  <c r="C394" i="3"/>
  <c r="B394" i="3"/>
  <c r="A394" i="3"/>
  <c r="F393" i="3"/>
  <c r="E393" i="3"/>
  <c r="D393" i="3"/>
  <c r="H393" i="3" s="1"/>
  <c r="I393" i="3" s="1"/>
  <c r="C393" i="3"/>
  <c r="B393" i="3"/>
  <c r="A393" i="3"/>
  <c r="F392" i="3"/>
  <c r="E392" i="3"/>
  <c r="D392" i="3"/>
  <c r="H392" i="3" s="1"/>
  <c r="I392" i="3" s="1"/>
  <c r="C392" i="3"/>
  <c r="B392" i="3"/>
  <c r="A392" i="3"/>
  <c r="I391" i="3"/>
  <c r="H391" i="3"/>
  <c r="F391" i="3"/>
  <c r="E391" i="3"/>
  <c r="D391" i="3"/>
  <c r="C391" i="3"/>
  <c r="B391" i="3"/>
  <c r="A391" i="3"/>
  <c r="H390" i="3"/>
  <c r="I390" i="3" s="1"/>
  <c r="F390" i="3"/>
  <c r="E390" i="3"/>
  <c r="D390" i="3"/>
  <c r="C390" i="3"/>
  <c r="B390" i="3"/>
  <c r="A390" i="3"/>
  <c r="H389" i="3"/>
  <c r="I389" i="3" s="1"/>
  <c r="F389" i="3"/>
  <c r="E389" i="3"/>
  <c r="D389" i="3"/>
  <c r="C389" i="3"/>
  <c r="B389" i="3"/>
  <c r="A389" i="3"/>
  <c r="H388" i="3"/>
  <c r="I388" i="3" s="1"/>
  <c r="F388" i="3"/>
  <c r="E388" i="3"/>
  <c r="D388" i="3"/>
  <c r="C388" i="3"/>
  <c r="B388" i="3"/>
  <c r="A388" i="3"/>
  <c r="I387" i="3"/>
  <c r="F387" i="3"/>
  <c r="E387" i="3"/>
  <c r="D387" i="3"/>
  <c r="H387" i="3" s="1"/>
  <c r="C387" i="3"/>
  <c r="B387" i="3"/>
  <c r="A387" i="3"/>
  <c r="F386" i="3"/>
  <c r="E386" i="3"/>
  <c r="D386" i="3"/>
  <c r="H386" i="3" s="1"/>
  <c r="I386" i="3" s="1"/>
  <c r="C386" i="3"/>
  <c r="B386" i="3"/>
  <c r="A386" i="3"/>
  <c r="F385" i="3"/>
  <c r="E385" i="3"/>
  <c r="D385" i="3"/>
  <c r="H385" i="3" s="1"/>
  <c r="I385" i="3" s="1"/>
  <c r="C385" i="3"/>
  <c r="B385" i="3"/>
  <c r="A385" i="3"/>
  <c r="F384" i="3"/>
  <c r="E384" i="3"/>
  <c r="D384" i="3"/>
  <c r="H384" i="3" s="1"/>
  <c r="I384" i="3" s="1"/>
  <c r="C384" i="3"/>
  <c r="B384" i="3"/>
  <c r="A384" i="3"/>
  <c r="I383" i="3"/>
  <c r="H383" i="3"/>
  <c r="F383" i="3"/>
  <c r="E383" i="3"/>
  <c r="D383" i="3"/>
  <c r="C383" i="3"/>
  <c r="B383" i="3"/>
  <c r="A383" i="3"/>
  <c r="H382" i="3"/>
  <c r="I382" i="3" s="1"/>
  <c r="F382" i="3"/>
  <c r="E382" i="3"/>
  <c r="D382" i="3"/>
  <c r="C382" i="3"/>
  <c r="B382" i="3"/>
  <c r="A382" i="3"/>
  <c r="H381" i="3"/>
  <c r="I381" i="3" s="1"/>
  <c r="F381" i="3"/>
  <c r="E381" i="3"/>
  <c r="D381" i="3"/>
  <c r="C381" i="3"/>
  <c r="B381" i="3"/>
  <c r="A381" i="3"/>
  <c r="H380" i="3"/>
  <c r="F380" i="3"/>
  <c r="E380" i="3"/>
  <c r="D380" i="3"/>
  <c r="C380" i="3"/>
  <c r="B380" i="3"/>
  <c r="A380" i="3"/>
  <c r="F379" i="3"/>
  <c r="E379" i="3"/>
  <c r="D379" i="3"/>
  <c r="H379" i="3" s="1"/>
  <c r="I379" i="3" s="1"/>
  <c r="C379" i="3"/>
  <c r="B379" i="3"/>
  <c r="A379" i="3"/>
  <c r="I378" i="3"/>
  <c r="F378" i="3"/>
  <c r="E378" i="3"/>
  <c r="D378" i="3"/>
  <c r="H378" i="3" s="1"/>
  <c r="C378" i="3"/>
  <c r="B378" i="3"/>
  <c r="A378" i="3"/>
  <c r="F377" i="3"/>
  <c r="E377" i="3"/>
  <c r="D377" i="3"/>
  <c r="H377" i="3" s="1"/>
  <c r="I377" i="3" s="1"/>
  <c r="C377" i="3"/>
  <c r="B377" i="3"/>
  <c r="A377" i="3"/>
  <c r="F376" i="3"/>
  <c r="E376" i="3"/>
  <c r="D376" i="3"/>
  <c r="H376" i="3" s="1"/>
  <c r="I376" i="3" s="1"/>
  <c r="C376" i="3"/>
  <c r="B376" i="3"/>
  <c r="A376" i="3"/>
  <c r="I375" i="3"/>
  <c r="H375" i="3"/>
  <c r="F375" i="3"/>
  <c r="E375" i="3"/>
  <c r="D375" i="3"/>
  <c r="C375" i="3"/>
  <c r="B375" i="3"/>
  <c r="A375" i="3"/>
  <c r="H374" i="3"/>
  <c r="I374" i="3" s="1"/>
  <c r="F374" i="3"/>
  <c r="E374" i="3"/>
  <c r="D374" i="3"/>
  <c r="C374" i="3"/>
  <c r="B374" i="3"/>
  <c r="A374" i="3"/>
  <c r="H373" i="3"/>
  <c r="I373" i="3" s="1"/>
  <c r="F373" i="3"/>
  <c r="E373" i="3"/>
  <c r="D373" i="3"/>
  <c r="C373" i="3"/>
  <c r="B373" i="3"/>
  <c r="A373" i="3"/>
  <c r="H372" i="3"/>
  <c r="F372" i="3"/>
  <c r="E372" i="3"/>
  <c r="D372" i="3"/>
  <c r="C372" i="3"/>
  <c r="B372" i="3"/>
  <c r="A372" i="3"/>
  <c r="I371" i="3"/>
  <c r="F371" i="3"/>
  <c r="E371" i="3"/>
  <c r="D371" i="3"/>
  <c r="H371" i="3" s="1"/>
  <c r="C371" i="3"/>
  <c r="B371" i="3"/>
  <c r="A371" i="3"/>
  <c r="F370" i="3"/>
  <c r="E370" i="3"/>
  <c r="D370" i="3"/>
  <c r="H370" i="3" s="1"/>
  <c r="I370" i="3" s="1"/>
  <c r="C370" i="3"/>
  <c r="B370" i="3"/>
  <c r="A370" i="3"/>
  <c r="F369" i="3"/>
  <c r="E369" i="3"/>
  <c r="D369" i="3"/>
  <c r="H369" i="3" s="1"/>
  <c r="I369" i="3" s="1"/>
  <c r="C369" i="3"/>
  <c r="B369" i="3"/>
  <c r="A369" i="3"/>
  <c r="F368" i="3"/>
  <c r="E368" i="3"/>
  <c r="D368" i="3"/>
  <c r="H368" i="3" s="1"/>
  <c r="I368" i="3" s="1"/>
  <c r="C368" i="3"/>
  <c r="B368" i="3"/>
  <c r="A368" i="3"/>
  <c r="H367" i="3"/>
  <c r="I367" i="3" s="1"/>
  <c r="F367" i="3"/>
  <c r="E367" i="3"/>
  <c r="D367" i="3"/>
  <c r="C367" i="3"/>
  <c r="B367" i="3"/>
  <c r="A367" i="3"/>
  <c r="H366" i="3"/>
  <c r="I366" i="3" s="1"/>
  <c r="F366" i="3"/>
  <c r="E366" i="3"/>
  <c r="D366" i="3"/>
  <c r="C366" i="3"/>
  <c r="B366" i="3"/>
  <c r="A366" i="3"/>
  <c r="H365" i="3"/>
  <c r="F365" i="3"/>
  <c r="E365" i="3"/>
  <c r="D365" i="3"/>
  <c r="C365" i="3"/>
  <c r="B365" i="3"/>
  <c r="A365" i="3"/>
  <c r="R364" i="3"/>
  <c r="J364" i="3"/>
  <c r="H364" i="3"/>
  <c r="I364" i="3" s="1"/>
  <c r="F364" i="3"/>
  <c r="E364" i="3"/>
  <c r="D364" i="3"/>
  <c r="C364" i="3"/>
  <c r="B364" i="3"/>
  <c r="A364" i="3"/>
  <c r="I363" i="3"/>
  <c r="F363" i="3"/>
  <c r="E363" i="3"/>
  <c r="D363" i="3"/>
  <c r="H363" i="3" s="1"/>
  <c r="C363" i="3"/>
  <c r="B363" i="3"/>
  <c r="A363" i="3"/>
  <c r="F362" i="3"/>
  <c r="E362" i="3"/>
  <c r="D362" i="3"/>
  <c r="H362" i="3" s="1"/>
  <c r="I362" i="3" s="1"/>
  <c r="C362" i="3"/>
  <c r="B362" i="3"/>
  <c r="A362" i="3"/>
  <c r="F361" i="3"/>
  <c r="E361" i="3"/>
  <c r="D361" i="3"/>
  <c r="H361" i="3" s="1"/>
  <c r="I361" i="3" s="1"/>
  <c r="C361" i="3"/>
  <c r="B361" i="3"/>
  <c r="A361" i="3"/>
  <c r="F360" i="3"/>
  <c r="E360" i="3"/>
  <c r="D360" i="3"/>
  <c r="H360" i="3" s="1"/>
  <c r="I360" i="3" s="1"/>
  <c r="C360" i="3"/>
  <c r="B360" i="3"/>
  <c r="A360" i="3"/>
  <c r="H359" i="3"/>
  <c r="I359" i="3" s="1"/>
  <c r="F359" i="3"/>
  <c r="E359" i="3"/>
  <c r="D359" i="3"/>
  <c r="C359" i="3"/>
  <c r="B359" i="3"/>
  <c r="A359" i="3"/>
  <c r="H358" i="3"/>
  <c r="I358" i="3" s="1"/>
  <c r="F358" i="3"/>
  <c r="E358" i="3"/>
  <c r="D358" i="3"/>
  <c r="C358" i="3"/>
  <c r="B358" i="3"/>
  <c r="A358" i="3"/>
  <c r="H357" i="3"/>
  <c r="F357" i="3"/>
  <c r="E357" i="3"/>
  <c r="D357" i="3"/>
  <c r="C357" i="3"/>
  <c r="B357" i="3"/>
  <c r="A357" i="3"/>
  <c r="H356" i="3"/>
  <c r="F356" i="3"/>
  <c r="E356" i="3"/>
  <c r="D356" i="3"/>
  <c r="C356" i="3"/>
  <c r="B356" i="3"/>
  <c r="A356" i="3"/>
  <c r="F355" i="3"/>
  <c r="E355" i="3"/>
  <c r="D355" i="3"/>
  <c r="H355" i="3" s="1"/>
  <c r="I355" i="3" s="1"/>
  <c r="C355" i="3"/>
  <c r="B355" i="3"/>
  <c r="A355" i="3"/>
  <c r="F354" i="3"/>
  <c r="E354" i="3"/>
  <c r="D354" i="3"/>
  <c r="H354" i="3" s="1"/>
  <c r="I354" i="3" s="1"/>
  <c r="C354" i="3"/>
  <c r="B354" i="3"/>
  <c r="A354" i="3"/>
  <c r="F353" i="3"/>
  <c r="E353" i="3"/>
  <c r="D353" i="3"/>
  <c r="H353" i="3" s="1"/>
  <c r="I353" i="3" s="1"/>
  <c r="C353" i="3"/>
  <c r="B353" i="3"/>
  <c r="A353" i="3"/>
  <c r="F352" i="3"/>
  <c r="E352" i="3"/>
  <c r="D352" i="3"/>
  <c r="H352" i="3" s="1"/>
  <c r="I352" i="3" s="1"/>
  <c r="C352" i="3"/>
  <c r="B352" i="3"/>
  <c r="A352" i="3"/>
  <c r="H351" i="3"/>
  <c r="I351" i="3" s="1"/>
  <c r="F351" i="3"/>
  <c r="E351" i="3"/>
  <c r="D351" i="3"/>
  <c r="C351" i="3"/>
  <c r="B351" i="3"/>
  <c r="A351" i="3"/>
  <c r="H350" i="3"/>
  <c r="I350" i="3" s="1"/>
  <c r="F350" i="3"/>
  <c r="E350" i="3"/>
  <c r="D350" i="3"/>
  <c r="C350" i="3"/>
  <c r="B350" i="3"/>
  <c r="A350" i="3"/>
  <c r="H349" i="3"/>
  <c r="I349" i="3" s="1"/>
  <c r="F349" i="3"/>
  <c r="E349" i="3"/>
  <c r="D349" i="3"/>
  <c r="C349" i="3"/>
  <c r="B349" i="3"/>
  <c r="A349" i="3"/>
  <c r="H348" i="3"/>
  <c r="I348" i="3" s="1"/>
  <c r="F348" i="3"/>
  <c r="E348" i="3"/>
  <c r="D348" i="3"/>
  <c r="C348" i="3"/>
  <c r="B348" i="3"/>
  <c r="A348" i="3"/>
  <c r="I347" i="3"/>
  <c r="F347" i="3"/>
  <c r="E347" i="3"/>
  <c r="D347" i="3"/>
  <c r="H347" i="3" s="1"/>
  <c r="C347" i="3"/>
  <c r="B347" i="3"/>
  <c r="A347" i="3"/>
  <c r="F346" i="3"/>
  <c r="E346" i="3"/>
  <c r="D346" i="3"/>
  <c r="H346" i="3" s="1"/>
  <c r="I346" i="3" s="1"/>
  <c r="C346" i="3"/>
  <c r="B346" i="3"/>
  <c r="A346" i="3"/>
  <c r="F345" i="3"/>
  <c r="E345" i="3"/>
  <c r="D345" i="3"/>
  <c r="H345" i="3" s="1"/>
  <c r="I345" i="3" s="1"/>
  <c r="C345" i="3"/>
  <c r="B345" i="3"/>
  <c r="A345" i="3"/>
  <c r="F344" i="3"/>
  <c r="E344" i="3"/>
  <c r="D344" i="3"/>
  <c r="H344" i="3" s="1"/>
  <c r="I344" i="3" s="1"/>
  <c r="C344" i="3"/>
  <c r="B344" i="3"/>
  <c r="A344" i="3"/>
  <c r="H343" i="3"/>
  <c r="I343" i="3" s="1"/>
  <c r="F343" i="3"/>
  <c r="E343" i="3"/>
  <c r="D343" i="3"/>
  <c r="C343" i="3"/>
  <c r="B343" i="3"/>
  <c r="A343" i="3"/>
  <c r="H342" i="3"/>
  <c r="I342" i="3" s="1"/>
  <c r="F342" i="3"/>
  <c r="E342" i="3"/>
  <c r="D342" i="3"/>
  <c r="C342" i="3"/>
  <c r="B342" i="3"/>
  <c r="A342" i="3"/>
  <c r="H341" i="3"/>
  <c r="F341" i="3"/>
  <c r="E341" i="3"/>
  <c r="D341" i="3"/>
  <c r="C341" i="3"/>
  <c r="B341" i="3"/>
  <c r="A341" i="3"/>
  <c r="H340" i="3"/>
  <c r="F340" i="3"/>
  <c r="E340" i="3"/>
  <c r="D340" i="3"/>
  <c r="C340" i="3"/>
  <c r="B340" i="3"/>
  <c r="A340" i="3"/>
  <c r="F339" i="3"/>
  <c r="E339" i="3"/>
  <c r="D339" i="3"/>
  <c r="H339" i="3" s="1"/>
  <c r="I339" i="3" s="1"/>
  <c r="C339" i="3"/>
  <c r="B339" i="3"/>
  <c r="A339" i="3"/>
  <c r="F338" i="3"/>
  <c r="E338" i="3"/>
  <c r="D338" i="3"/>
  <c r="H338" i="3" s="1"/>
  <c r="I338" i="3" s="1"/>
  <c r="C338" i="3"/>
  <c r="B338" i="3"/>
  <c r="A338" i="3"/>
  <c r="F337" i="3"/>
  <c r="E337" i="3"/>
  <c r="D337" i="3"/>
  <c r="H337" i="3" s="1"/>
  <c r="I337" i="3" s="1"/>
  <c r="C337" i="3"/>
  <c r="B337" i="3"/>
  <c r="A337" i="3"/>
  <c r="F336" i="3"/>
  <c r="E336" i="3"/>
  <c r="D336" i="3"/>
  <c r="H336" i="3" s="1"/>
  <c r="I336" i="3" s="1"/>
  <c r="C336" i="3"/>
  <c r="B336" i="3"/>
  <c r="A336" i="3"/>
  <c r="H335" i="3"/>
  <c r="I335" i="3" s="1"/>
  <c r="F335" i="3"/>
  <c r="E335" i="3"/>
  <c r="D335" i="3"/>
  <c r="C335" i="3"/>
  <c r="B335" i="3"/>
  <c r="A335" i="3"/>
  <c r="H334" i="3"/>
  <c r="I334" i="3" s="1"/>
  <c r="F334" i="3"/>
  <c r="E334" i="3"/>
  <c r="D334" i="3"/>
  <c r="C334" i="3"/>
  <c r="B334" i="3"/>
  <c r="A334" i="3"/>
  <c r="H333" i="3"/>
  <c r="I333" i="3" s="1"/>
  <c r="F333" i="3"/>
  <c r="E333" i="3"/>
  <c r="D333" i="3"/>
  <c r="C333" i="3"/>
  <c r="B333" i="3"/>
  <c r="A333" i="3"/>
  <c r="H332" i="3"/>
  <c r="I332" i="3" s="1"/>
  <c r="F332" i="3"/>
  <c r="E332" i="3"/>
  <c r="D332" i="3"/>
  <c r="C332" i="3"/>
  <c r="B332" i="3"/>
  <c r="A332" i="3"/>
  <c r="I331" i="3"/>
  <c r="F331" i="3"/>
  <c r="E331" i="3"/>
  <c r="D331" i="3"/>
  <c r="H331" i="3" s="1"/>
  <c r="C331" i="3"/>
  <c r="B331" i="3"/>
  <c r="A331" i="3"/>
  <c r="F330" i="3"/>
  <c r="E330" i="3"/>
  <c r="D330" i="3"/>
  <c r="H330" i="3" s="1"/>
  <c r="I330" i="3" s="1"/>
  <c r="C330" i="3"/>
  <c r="B330" i="3"/>
  <c r="A330" i="3"/>
  <c r="F329" i="3"/>
  <c r="E329" i="3"/>
  <c r="D329" i="3"/>
  <c r="H329" i="3" s="1"/>
  <c r="I329" i="3" s="1"/>
  <c r="C329" i="3"/>
  <c r="B329" i="3"/>
  <c r="A329" i="3"/>
  <c r="F328" i="3"/>
  <c r="E328" i="3"/>
  <c r="D328" i="3"/>
  <c r="H328" i="3" s="1"/>
  <c r="I328" i="3" s="1"/>
  <c r="C328" i="3"/>
  <c r="B328" i="3"/>
  <c r="A328" i="3"/>
  <c r="H327" i="3"/>
  <c r="I327" i="3" s="1"/>
  <c r="F327" i="3"/>
  <c r="E327" i="3"/>
  <c r="D327" i="3"/>
  <c r="C327" i="3"/>
  <c r="B327" i="3"/>
  <c r="A327" i="3"/>
  <c r="H326" i="3"/>
  <c r="I326" i="3" s="1"/>
  <c r="F326" i="3"/>
  <c r="E326" i="3"/>
  <c r="D326" i="3"/>
  <c r="C326" i="3"/>
  <c r="B326" i="3"/>
  <c r="A326" i="3"/>
  <c r="H325" i="3"/>
  <c r="F325" i="3"/>
  <c r="E325" i="3"/>
  <c r="D325" i="3"/>
  <c r="C325" i="3"/>
  <c r="B325" i="3"/>
  <c r="A325" i="3"/>
  <c r="H324" i="3"/>
  <c r="F324" i="3"/>
  <c r="E324" i="3"/>
  <c r="D324" i="3"/>
  <c r="C324" i="3"/>
  <c r="B324" i="3"/>
  <c r="A324" i="3"/>
  <c r="F323" i="3"/>
  <c r="E323" i="3"/>
  <c r="D323" i="3"/>
  <c r="H323" i="3" s="1"/>
  <c r="I323" i="3" s="1"/>
  <c r="C323" i="3"/>
  <c r="B323" i="3"/>
  <c r="A323" i="3"/>
  <c r="F322" i="3"/>
  <c r="E322" i="3"/>
  <c r="D322" i="3"/>
  <c r="H322" i="3" s="1"/>
  <c r="I322" i="3" s="1"/>
  <c r="C322" i="3"/>
  <c r="B322" i="3"/>
  <c r="A322" i="3"/>
  <c r="F321" i="3"/>
  <c r="E321" i="3"/>
  <c r="D321" i="3"/>
  <c r="H321" i="3" s="1"/>
  <c r="I321" i="3" s="1"/>
  <c r="C321" i="3"/>
  <c r="B321" i="3"/>
  <c r="A321" i="3"/>
  <c r="F320" i="3"/>
  <c r="E320" i="3"/>
  <c r="D320" i="3"/>
  <c r="H320" i="3" s="1"/>
  <c r="I320" i="3" s="1"/>
  <c r="C320" i="3"/>
  <c r="B320" i="3"/>
  <c r="A320" i="3"/>
  <c r="H319" i="3"/>
  <c r="I319" i="3" s="1"/>
  <c r="F319" i="3"/>
  <c r="E319" i="3"/>
  <c r="D319" i="3"/>
  <c r="C319" i="3"/>
  <c r="B319" i="3"/>
  <c r="A319" i="3"/>
  <c r="H318" i="3"/>
  <c r="I318" i="3" s="1"/>
  <c r="F318" i="3"/>
  <c r="E318" i="3"/>
  <c r="D318" i="3"/>
  <c r="C318" i="3"/>
  <c r="B318" i="3"/>
  <c r="A318" i="3"/>
  <c r="H317" i="3"/>
  <c r="I317" i="3" s="1"/>
  <c r="F317" i="3"/>
  <c r="E317" i="3"/>
  <c r="D317" i="3"/>
  <c r="C317" i="3"/>
  <c r="B317" i="3"/>
  <c r="A317" i="3"/>
  <c r="H316" i="3"/>
  <c r="I316" i="3" s="1"/>
  <c r="F316" i="3"/>
  <c r="E316" i="3"/>
  <c r="D316" i="3"/>
  <c r="C316" i="3"/>
  <c r="B316" i="3"/>
  <c r="A316" i="3"/>
  <c r="I315" i="3"/>
  <c r="F315" i="3"/>
  <c r="E315" i="3"/>
  <c r="D315" i="3"/>
  <c r="H315" i="3" s="1"/>
  <c r="C315" i="3"/>
  <c r="B315" i="3"/>
  <c r="A315" i="3"/>
  <c r="F314" i="3"/>
  <c r="E314" i="3"/>
  <c r="D314" i="3"/>
  <c r="H314" i="3" s="1"/>
  <c r="I314" i="3" s="1"/>
  <c r="C314" i="3"/>
  <c r="B314" i="3"/>
  <c r="A314" i="3"/>
  <c r="F313" i="3"/>
  <c r="E313" i="3"/>
  <c r="D313" i="3"/>
  <c r="H313" i="3" s="1"/>
  <c r="I313" i="3" s="1"/>
  <c r="C313" i="3"/>
  <c r="B313" i="3"/>
  <c r="A313" i="3"/>
  <c r="F312" i="3"/>
  <c r="E312" i="3"/>
  <c r="D312" i="3"/>
  <c r="H312" i="3" s="1"/>
  <c r="I312" i="3" s="1"/>
  <c r="C312" i="3"/>
  <c r="B312" i="3"/>
  <c r="A312" i="3"/>
  <c r="H311" i="3"/>
  <c r="I311" i="3" s="1"/>
  <c r="F311" i="3"/>
  <c r="E311" i="3"/>
  <c r="D311" i="3"/>
  <c r="C311" i="3"/>
  <c r="B311" i="3"/>
  <c r="A311" i="3"/>
  <c r="H310" i="3"/>
  <c r="I310" i="3" s="1"/>
  <c r="F310" i="3"/>
  <c r="E310" i="3"/>
  <c r="D310" i="3"/>
  <c r="C310" i="3"/>
  <c r="B310" i="3"/>
  <c r="A310" i="3"/>
  <c r="H309" i="3"/>
  <c r="F309" i="3"/>
  <c r="E309" i="3"/>
  <c r="D309" i="3"/>
  <c r="C309" i="3"/>
  <c r="B309" i="3"/>
  <c r="A309" i="3"/>
  <c r="H308" i="3"/>
  <c r="F308" i="3"/>
  <c r="E308" i="3"/>
  <c r="D308" i="3"/>
  <c r="C308" i="3"/>
  <c r="B308" i="3"/>
  <c r="A308" i="3"/>
  <c r="F307" i="3"/>
  <c r="E307" i="3"/>
  <c r="D307" i="3"/>
  <c r="H307" i="3" s="1"/>
  <c r="I307" i="3" s="1"/>
  <c r="C307" i="3"/>
  <c r="B307" i="3"/>
  <c r="A307" i="3"/>
  <c r="F306" i="3"/>
  <c r="E306" i="3"/>
  <c r="D306" i="3"/>
  <c r="H306" i="3" s="1"/>
  <c r="I306" i="3" s="1"/>
  <c r="C306" i="3"/>
  <c r="B306" i="3"/>
  <c r="A306" i="3"/>
  <c r="F305" i="3"/>
  <c r="E305" i="3"/>
  <c r="D305" i="3"/>
  <c r="H305" i="3" s="1"/>
  <c r="I305" i="3" s="1"/>
  <c r="C305" i="3"/>
  <c r="B305" i="3"/>
  <c r="A305" i="3"/>
  <c r="F304" i="3"/>
  <c r="E304" i="3"/>
  <c r="D304" i="3"/>
  <c r="H304" i="3" s="1"/>
  <c r="I304" i="3" s="1"/>
  <c r="C304" i="3"/>
  <c r="B304" i="3"/>
  <c r="A304" i="3"/>
  <c r="H303" i="3"/>
  <c r="I303" i="3" s="1"/>
  <c r="F303" i="3"/>
  <c r="E303" i="3"/>
  <c r="D303" i="3"/>
  <c r="C303" i="3"/>
  <c r="B303" i="3"/>
  <c r="A303" i="3"/>
  <c r="H302" i="3"/>
  <c r="I302" i="3" s="1"/>
  <c r="F302" i="3"/>
  <c r="E302" i="3"/>
  <c r="D302" i="3"/>
  <c r="C302" i="3"/>
  <c r="B302" i="3"/>
  <c r="A302" i="3"/>
  <c r="H301" i="3"/>
  <c r="I301" i="3" s="1"/>
  <c r="F301" i="3"/>
  <c r="E301" i="3"/>
  <c r="D301" i="3"/>
  <c r="C301" i="3"/>
  <c r="B301" i="3"/>
  <c r="A301" i="3"/>
  <c r="H300" i="3"/>
  <c r="I300" i="3" s="1"/>
  <c r="F300" i="3"/>
  <c r="E300" i="3"/>
  <c r="D300" i="3"/>
  <c r="C300" i="3"/>
  <c r="B300" i="3"/>
  <c r="A300" i="3"/>
  <c r="I299" i="3"/>
  <c r="F299" i="3"/>
  <c r="E299" i="3"/>
  <c r="D299" i="3"/>
  <c r="H299" i="3" s="1"/>
  <c r="C299" i="3"/>
  <c r="B299" i="3"/>
  <c r="A299" i="3"/>
  <c r="F298" i="3"/>
  <c r="E298" i="3"/>
  <c r="D298" i="3"/>
  <c r="H298" i="3" s="1"/>
  <c r="I298" i="3" s="1"/>
  <c r="C298" i="3"/>
  <c r="B298" i="3"/>
  <c r="A298" i="3"/>
  <c r="F297" i="3"/>
  <c r="E297" i="3"/>
  <c r="D297" i="3"/>
  <c r="H297" i="3" s="1"/>
  <c r="I297" i="3" s="1"/>
  <c r="C297" i="3"/>
  <c r="B297" i="3"/>
  <c r="A297" i="3"/>
  <c r="F296" i="3"/>
  <c r="E296" i="3"/>
  <c r="D296" i="3"/>
  <c r="H296" i="3" s="1"/>
  <c r="I296" i="3" s="1"/>
  <c r="C296" i="3"/>
  <c r="B296" i="3"/>
  <c r="A296" i="3"/>
  <c r="H295" i="3"/>
  <c r="I295" i="3" s="1"/>
  <c r="F295" i="3"/>
  <c r="E295" i="3"/>
  <c r="D295" i="3"/>
  <c r="C295" i="3"/>
  <c r="B295" i="3"/>
  <c r="A295" i="3"/>
  <c r="H294" i="3"/>
  <c r="I294" i="3" s="1"/>
  <c r="F294" i="3"/>
  <c r="E294" i="3"/>
  <c r="D294" i="3"/>
  <c r="C294" i="3"/>
  <c r="B294" i="3"/>
  <c r="A294" i="3"/>
  <c r="H293" i="3"/>
  <c r="F293" i="3"/>
  <c r="E293" i="3"/>
  <c r="D293" i="3"/>
  <c r="C293" i="3"/>
  <c r="B293" i="3"/>
  <c r="A293" i="3"/>
  <c r="H292" i="3"/>
  <c r="F292" i="3"/>
  <c r="E292" i="3"/>
  <c r="D292" i="3"/>
  <c r="C292" i="3"/>
  <c r="B292" i="3"/>
  <c r="A292" i="3"/>
  <c r="F291" i="3"/>
  <c r="E291" i="3"/>
  <c r="D291" i="3"/>
  <c r="H291" i="3" s="1"/>
  <c r="I291" i="3" s="1"/>
  <c r="C291" i="3"/>
  <c r="B291" i="3"/>
  <c r="A291" i="3"/>
  <c r="F290" i="3"/>
  <c r="E290" i="3"/>
  <c r="D290" i="3"/>
  <c r="H290" i="3" s="1"/>
  <c r="I290" i="3" s="1"/>
  <c r="C290" i="3"/>
  <c r="B290" i="3"/>
  <c r="A290" i="3"/>
  <c r="F289" i="3"/>
  <c r="E289" i="3"/>
  <c r="D289" i="3"/>
  <c r="H289" i="3" s="1"/>
  <c r="I289" i="3" s="1"/>
  <c r="C289" i="3"/>
  <c r="B289" i="3"/>
  <c r="A289" i="3"/>
  <c r="F288" i="3"/>
  <c r="E288" i="3"/>
  <c r="D288" i="3"/>
  <c r="H288" i="3" s="1"/>
  <c r="I288" i="3" s="1"/>
  <c r="C288" i="3"/>
  <c r="B288" i="3"/>
  <c r="A288" i="3"/>
  <c r="H287" i="3"/>
  <c r="I287" i="3" s="1"/>
  <c r="F287" i="3"/>
  <c r="E287" i="3"/>
  <c r="D287" i="3"/>
  <c r="C287" i="3"/>
  <c r="B287" i="3"/>
  <c r="A287" i="3"/>
  <c r="H286" i="3"/>
  <c r="I286" i="3" s="1"/>
  <c r="F286" i="3"/>
  <c r="E286" i="3"/>
  <c r="D286" i="3"/>
  <c r="C286" i="3"/>
  <c r="B286" i="3"/>
  <c r="A286" i="3"/>
  <c r="H285" i="3"/>
  <c r="I285" i="3" s="1"/>
  <c r="F285" i="3"/>
  <c r="E285" i="3"/>
  <c r="D285" i="3"/>
  <c r="C285" i="3"/>
  <c r="B285" i="3"/>
  <c r="A285" i="3"/>
  <c r="H284" i="3"/>
  <c r="I284" i="3" s="1"/>
  <c r="F284" i="3"/>
  <c r="E284" i="3"/>
  <c r="D284" i="3"/>
  <c r="C284" i="3"/>
  <c r="B284" i="3"/>
  <c r="A284" i="3"/>
  <c r="I283" i="3"/>
  <c r="F283" i="3"/>
  <c r="E283" i="3"/>
  <c r="D283" i="3"/>
  <c r="H283" i="3" s="1"/>
  <c r="C283" i="3"/>
  <c r="B283" i="3"/>
  <c r="A283" i="3"/>
  <c r="F282" i="3"/>
  <c r="E282" i="3"/>
  <c r="D282" i="3"/>
  <c r="H282" i="3" s="1"/>
  <c r="I282" i="3" s="1"/>
  <c r="C282" i="3"/>
  <c r="B282" i="3"/>
  <c r="A282" i="3"/>
  <c r="F281" i="3"/>
  <c r="E281" i="3"/>
  <c r="D281" i="3"/>
  <c r="H281" i="3" s="1"/>
  <c r="I281" i="3" s="1"/>
  <c r="C281" i="3"/>
  <c r="B281" i="3"/>
  <c r="A281" i="3"/>
  <c r="F280" i="3"/>
  <c r="E280" i="3"/>
  <c r="D280" i="3"/>
  <c r="H280" i="3" s="1"/>
  <c r="I280" i="3" s="1"/>
  <c r="C280" i="3"/>
  <c r="B280" i="3"/>
  <c r="A280" i="3"/>
  <c r="H279" i="3"/>
  <c r="I279" i="3" s="1"/>
  <c r="F279" i="3"/>
  <c r="E279" i="3"/>
  <c r="D279" i="3"/>
  <c r="C279" i="3"/>
  <c r="B279" i="3"/>
  <c r="A279" i="3"/>
  <c r="H278" i="3"/>
  <c r="I278" i="3" s="1"/>
  <c r="F278" i="3"/>
  <c r="E278" i="3"/>
  <c r="D278" i="3"/>
  <c r="C278" i="3"/>
  <c r="B278" i="3"/>
  <c r="A278" i="3"/>
  <c r="H277" i="3"/>
  <c r="F277" i="3"/>
  <c r="E277" i="3"/>
  <c r="D277" i="3"/>
  <c r="C277" i="3"/>
  <c r="B277" i="3"/>
  <c r="A277" i="3"/>
  <c r="H276" i="3"/>
  <c r="F276" i="3"/>
  <c r="E276" i="3"/>
  <c r="D276" i="3"/>
  <c r="C276" i="3"/>
  <c r="B276" i="3"/>
  <c r="A276" i="3"/>
  <c r="F275" i="3"/>
  <c r="E275" i="3"/>
  <c r="D275" i="3"/>
  <c r="H275" i="3" s="1"/>
  <c r="I275" i="3" s="1"/>
  <c r="C275" i="3"/>
  <c r="B275" i="3"/>
  <c r="A275" i="3"/>
  <c r="F274" i="3"/>
  <c r="E274" i="3"/>
  <c r="D274" i="3"/>
  <c r="H274" i="3" s="1"/>
  <c r="I274" i="3" s="1"/>
  <c r="C274" i="3"/>
  <c r="B274" i="3"/>
  <c r="A274" i="3"/>
  <c r="F273" i="3"/>
  <c r="E273" i="3"/>
  <c r="D273" i="3"/>
  <c r="H273" i="3" s="1"/>
  <c r="I273" i="3" s="1"/>
  <c r="C273" i="3"/>
  <c r="B273" i="3"/>
  <c r="A273" i="3"/>
  <c r="F272" i="3"/>
  <c r="E272" i="3"/>
  <c r="D272" i="3"/>
  <c r="H272" i="3" s="1"/>
  <c r="I272" i="3" s="1"/>
  <c r="C272" i="3"/>
  <c r="B272" i="3"/>
  <c r="A272" i="3"/>
  <c r="H271" i="3"/>
  <c r="I271" i="3" s="1"/>
  <c r="F271" i="3"/>
  <c r="E271" i="3"/>
  <c r="D271" i="3"/>
  <c r="C271" i="3"/>
  <c r="B271" i="3"/>
  <c r="A271" i="3"/>
  <c r="H270" i="3"/>
  <c r="I270" i="3" s="1"/>
  <c r="F270" i="3"/>
  <c r="E270" i="3"/>
  <c r="D270" i="3"/>
  <c r="C270" i="3"/>
  <c r="B270" i="3"/>
  <c r="A270" i="3"/>
  <c r="H269" i="3"/>
  <c r="I269" i="3" s="1"/>
  <c r="F269" i="3"/>
  <c r="E269" i="3"/>
  <c r="D269" i="3"/>
  <c r="C269" i="3"/>
  <c r="B269" i="3"/>
  <c r="A269" i="3"/>
  <c r="H268" i="3"/>
  <c r="I268" i="3" s="1"/>
  <c r="F268" i="3"/>
  <c r="E268" i="3"/>
  <c r="D268" i="3"/>
  <c r="C268" i="3"/>
  <c r="B268" i="3"/>
  <c r="A268" i="3"/>
  <c r="I267" i="3"/>
  <c r="F267" i="3"/>
  <c r="E267" i="3"/>
  <c r="D267" i="3"/>
  <c r="H267" i="3" s="1"/>
  <c r="C267" i="3"/>
  <c r="B267" i="3"/>
  <c r="A267" i="3"/>
  <c r="F266" i="3"/>
  <c r="E266" i="3"/>
  <c r="D266" i="3"/>
  <c r="H266" i="3" s="1"/>
  <c r="I266" i="3" s="1"/>
  <c r="C266" i="3"/>
  <c r="B266" i="3"/>
  <c r="A266" i="3"/>
  <c r="F265" i="3"/>
  <c r="E265" i="3"/>
  <c r="D265" i="3"/>
  <c r="H265" i="3" s="1"/>
  <c r="I265" i="3" s="1"/>
  <c r="C265" i="3"/>
  <c r="B265" i="3"/>
  <c r="A265" i="3"/>
  <c r="F264" i="3"/>
  <c r="E264" i="3"/>
  <c r="D264" i="3"/>
  <c r="H264" i="3" s="1"/>
  <c r="I264" i="3" s="1"/>
  <c r="C264" i="3"/>
  <c r="B264" i="3"/>
  <c r="A264" i="3"/>
  <c r="H263" i="3"/>
  <c r="I263" i="3" s="1"/>
  <c r="F263" i="3"/>
  <c r="E263" i="3"/>
  <c r="D263" i="3"/>
  <c r="C263" i="3"/>
  <c r="B263" i="3"/>
  <c r="A263" i="3"/>
  <c r="H262" i="3"/>
  <c r="I262" i="3" s="1"/>
  <c r="F262" i="3"/>
  <c r="E262" i="3"/>
  <c r="D262" i="3"/>
  <c r="C262" i="3"/>
  <c r="B262" i="3"/>
  <c r="A262" i="3"/>
  <c r="H261" i="3"/>
  <c r="F261" i="3"/>
  <c r="E261" i="3"/>
  <c r="D261" i="3"/>
  <c r="C261" i="3"/>
  <c r="B261" i="3"/>
  <c r="A261" i="3"/>
  <c r="H260" i="3"/>
  <c r="F260" i="3"/>
  <c r="E260" i="3"/>
  <c r="D260" i="3"/>
  <c r="C260" i="3"/>
  <c r="B260" i="3"/>
  <c r="A260" i="3"/>
  <c r="F259" i="3"/>
  <c r="E259" i="3"/>
  <c r="D259" i="3"/>
  <c r="H259" i="3" s="1"/>
  <c r="I259" i="3" s="1"/>
  <c r="C259" i="3"/>
  <c r="B259" i="3"/>
  <c r="A259" i="3"/>
  <c r="F258" i="3"/>
  <c r="E258" i="3"/>
  <c r="D258" i="3"/>
  <c r="H258" i="3" s="1"/>
  <c r="I258" i="3" s="1"/>
  <c r="C258" i="3"/>
  <c r="B258" i="3"/>
  <c r="A258" i="3"/>
  <c r="F257" i="3"/>
  <c r="E257" i="3"/>
  <c r="D257" i="3"/>
  <c r="H257" i="3" s="1"/>
  <c r="I257" i="3" s="1"/>
  <c r="C257" i="3"/>
  <c r="B257" i="3"/>
  <c r="A257" i="3"/>
  <c r="F256" i="3"/>
  <c r="E256" i="3"/>
  <c r="D256" i="3"/>
  <c r="H256" i="3" s="1"/>
  <c r="I256" i="3" s="1"/>
  <c r="C256" i="3"/>
  <c r="B256" i="3"/>
  <c r="A256" i="3"/>
  <c r="H255" i="3"/>
  <c r="I255" i="3" s="1"/>
  <c r="F255" i="3"/>
  <c r="E255" i="3"/>
  <c r="D255" i="3"/>
  <c r="C255" i="3"/>
  <c r="B255" i="3"/>
  <c r="A255" i="3"/>
  <c r="H254" i="3"/>
  <c r="I254" i="3" s="1"/>
  <c r="F254" i="3"/>
  <c r="E254" i="3"/>
  <c r="D254" i="3"/>
  <c r="C254" i="3"/>
  <c r="B254" i="3"/>
  <c r="A254" i="3"/>
  <c r="H253" i="3"/>
  <c r="I253" i="3" s="1"/>
  <c r="F253" i="3"/>
  <c r="E253" i="3"/>
  <c r="D253" i="3"/>
  <c r="C253" i="3"/>
  <c r="B253" i="3"/>
  <c r="A253" i="3"/>
  <c r="H252" i="3"/>
  <c r="I252" i="3" s="1"/>
  <c r="F252" i="3"/>
  <c r="E252" i="3"/>
  <c r="D252" i="3"/>
  <c r="C252" i="3"/>
  <c r="B252" i="3"/>
  <c r="A252" i="3"/>
  <c r="I251" i="3"/>
  <c r="F251" i="3"/>
  <c r="E251" i="3"/>
  <c r="D251" i="3"/>
  <c r="H251" i="3" s="1"/>
  <c r="C251" i="3"/>
  <c r="B251" i="3"/>
  <c r="A251" i="3"/>
  <c r="F250" i="3"/>
  <c r="E250" i="3"/>
  <c r="D250" i="3"/>
  <c r="H250" i="3" s="1"/>
  <c r="I250" i="3" s="1"/>
  <c r="C250" i="3"/>
  <c r="B250" i="3"/>
  <c r="A250" i="3"/>
  <c r="F249" i="3"/>
  <c r="E249" i="3"/>
  <c r="D249" i="3"/>
  <c r="H249" i="3" s="1"/>
  <c r="I249" i="3" s="1"/>
  <c r="C249" i="3"/>
  <c r="B249" i="3"/>
  <c r="A249" i="3"/>
  <c r="F248" i="3"/>
  <c r="E248" i="3"/>
  <c r="D248" i="3"/>
  <c r="H248" i="3" s="1"/>
  <c r="I248" i="3" s="1"/>
  <c r="C248" i="3"/>
  <c r="B248" i="3"/>
  <c r="A248" i="3"/>
  <c r="H247" i="3"/>
  <c r="I247" i="3" s="1"/>
  <c r="F247" i="3"/>
  <c r="E247" i="3"/>
  <c r="D247" i="3"/>
  <c r="C247" i="3"/>
  <c r="B247" i="3"/>
  <c r="A247" i="3"/>
  <c r="H246" i="3"/>
  <c r="I246" i="3" s="1"/>
  <c r="F246" i="3"/>
  <c r="E246" i="3"/>
  <c r="D246" i="3"/>
  <c r="C246" i="3"/>
  <c r="B246" i="3"/>
  <c r="A246" i="3"/>
  <c r="H245" i="3"/>
  <c r="F245" i="3"/>
  <c r="E245" i="3"/>
  <c r="D245" i="3"/>
  <c r="C245" i="3"/>
  <c r="B245" i="3"/>
  <c r="A245" i="3"/>
  <c r="R244" i="3"/>
  <c r="J244" i="3"/>
  <c r="H244" i="3"/>
  <c r="I244" i="3" s="1"/>
  <c r="F244" i="3"/>
  <c r="E244" i="3"/>
  <c r="D244" i="3"/>
  <c r="C244" i="3"/>
  <c r="B244" i="3"/>
  <c r="A244" i="3"/>
  <c r="F243" i="3"/>
  <c r="E243" i="3"/>
  <c r="D243" i="3"/>
  <c r="H243" i="3" s="1"/>
  <c r="I243" i="3" s="1"/>
  <c r="C243" i="3"/>
  <c r="B243" i="3"/>
  <c r="A243" i="3"/>
  <c r="I242" i="3"/>
  <c r="F242" i="3"/>
  <c r="E242" i="3"/>
  <c r="D242" i="3"/>
  <c r="H242" i="3" s="1"/>
  <c r="C242" i="3"/>
  <c r="B242" i="3"/>
  <c r="A242" i="3"/>
  <c r="F241" i="3"/>
  <c r="E241" i="3"/>
  <c r="D241" i="3"/>
  <c r="H241" i="3" s="1"/>
  <c r="I241" i="3" s="1"/>
  <c r="C241" i="3"/>
  <c r="B241" i="3"/>
  <c r="A241" i="3"/>
  <c r="F240" i="3"/>
  <c r="E240" i="3"/>
  <c r="D240" i="3"/>
  <c r="H240" i="3" s="1"/>
  <c r="I240" i="3" s="1"/>
  <c r="C240" i="3"/>
  <c r="B240" i="3"/>
  <c r="A240" i="3"/>
  <c r="H239" i="3"/>
  <c r="I239" i="3" s="1"/>
  <c r="F239" i="3"/>
  <c r="E239" i="3"/>
  <c r="D239" i="3"/>
  <c r="C239" i="3"/>
  <c r="B239" i="3"/>
  <c r="A239" i="3"/>
  <c r="H238" i="3"/>
  <c r="I238" i="3" s="1"/>
  <c r="F238" i="3"/>
  <c r="E238" i="3"/>
  <c r="D238" i="3"/>
  <c r="C238" i="3"/>
  <c r="B238" i="3"/>
  <c r="A238" i="3"/>
  <c r="H237" i="3"/>
  <c r="I237" i="3" s="1"/>
  <c r="F237" i="3"/>
  <c r="E237" i="3"/>
  <c r="D237" i="3"/>
  <c r="C237" i="3"/>
  <c r="B237" i="3"/>
  <c r="A237" i="3"/>
  <c r="H236" i="3"/>
  <c r="F236" i="3"/>
  <c r="E236" i="3"/>
  <c r="D236" i="3"/>
  <c r="C236" i="3"/>
  <c r="B236" i="3"/>
  <c r="A236" i="3"/>
  <c r="F235" i="3"/>
  <c r="E235" i="3"/>
  <c r="D235" i="3"/>
  <c r="H235" i="3" s="1"/>
  <c r="I235" i="3" s="1"/>
  <c r="C235" i="3"/>
  <c r="B235" i="3"/>
  <c r="A235" i="3"/>
  <c r="I234" i="3"/>
  <c r="F234" i="3"/>
  <c r="E234" i="3"/>
  <c r="D234" i="3"/>
  <c r="H234" i="3" s="1"/>
  <c r="C234" i="3"/>
  <c r="B234" i="3"/>
  <c r="A234" i="3"/>
  <c r="F233" i="3"/>
  <c r="E233" i="3"/>
  <c r="D233" i="3"/>
  <c r="H233" i="3" s="1"/>
  <c r="I233" i="3" s="1"/>
  <c r="C233" i="3"/>
  <c r="B233" i="3"/>
  <c r="A233" i="3"/>
  <c r="F232" i="3"/>
  <c r="E232" i="3"/>
  <c r="D232" i="3"/>
  <c r="H232" i="3" s="1"/>
  <c r="I232" i="3" s="1"/>
  <c r="C232" i="3"/>
  <c r="B232" i="3"/>
  <c r="A232" i="3"/>
  <c r="H231" i="3"/>
  <c r="I231" i="3" s="1"/>
  <c r="F231" i="3"/>
  <c r="E231" i="3"/>
  <c r="D231" i="3"/>
  <c r="C231" i="3"/>
  <c r="B231" i="3"/>
  <c r="A231" i="3"/>
  <c r="H230" i="3"/>
  <c r="I230" i="3" s="1"/>
  <c r="F230" i="3"/>
  <c r="E230" i="3"/>
  <c r="D230" i="3"/>
  <c r="C230" i="3"/>
  <c r="B230" i="3"/>
  <c r="A230" i="3"/>
  <c r="H229" i="3"/>
  <c r="F229" i="3"/>
  <c r="E229" i="3"/>
  <c r="D229" i="3"/>
  <c r="C229" i="3"/>
  <c r="B229" i="3"/>
  <c r="A229" i="3"/>
  <c r="H228" i="3"/>
  <c r="I228" i="3" s="1"/>
  <c r="F228" i="3"/>
  <c r="E228" i="3"/>
  <c r="D228" i="3"/>
  <c r="C228" i="3"/>
  <c r="B228" i="3"/>
  <c r="A228" i="3"/>
  <c r="F227" i="3"/>
  <c r="E227" i="3"/>
  <c r="D227" i="3"/>
  <c r="H227" i="3" s="1"/>
  <c r="I227" i="3" s="1"/>
  <c r="C227" i="3"/>
  <c r="B227" i="3"/>
  <c r="A227" i="3"/>
  <c r="I226" i="3"/>
  <c r="F226" i="3"/>
  <c r="E226" i="3"/>
  <c r="D226" i="3"/>
  <c r="H226" i="3" s="1"/>
  <c r="C226" i="3"/>
  <c r="B226" i="3"/>
  <c r="A226" i="3"/>
  <c r="F225" i="3"/>
  <c r="E225" i="3"/>
  <c r="D225" i="3"/>
  <c r="H225" i="3" s="1"/>
  <c r="I225" i="3" s="1"/>
  <c r="C225" i="3"/>
  <c r="B225" i="3"/>
  <c r="A225" i="3"/>
  <c r="F224" i="3"/>
  <c r="E224" i="3"/>
  <c r="D224" i="3"/>
  <c r="H224" i="3" s="1"/>
  <c r="I224" i="3" s="1"/>
  <c r="C224" i="3"/>
  <c r="B224" i="3"/>
  <c r="A224" i="3"/>
  <c r="H223" i="3"/>
  <c r="I223" i="3" s="1"/>
  <c r="F223" i="3"/>
  <c r="E223" i="3"/>
  <c r="D223" i="3"/>
  <c r="C223" i="3"/>
  <c r="B223" i="3"/>
  <c r="A223" i="3"/>
  <c r="H222" i="3"/>
  <c r="I222" i="3" s="1"/>
  <c r="F222" i="3"/>
  <c r="E222" i="3"/>
  <c r="D222" i="3"/>
  <c r="C222" i="3"/>
  <c r="B222" i="3"/>
  <c r="A222" i="3"/>
  <c r="H221" i="3"/>
  <c r="I221" i="3" s="1"/>
  <c r="F221" i="3"/>
  <c r="E221" i="3"/>
  <c r="D221" i="3"/>
  <c r="C221" i="3"/>
  <c r="B221" i="3"/>
  <c r="A221" i="3"/>
  <c r="H220" i="3"/>
  <c r="I220" i="3" s="1"/>
  <c r="F220" i="3"/>
  <c r="E220" i="3"/>
  <c r="D220" i="3"/>
  <c r="C220" i="3"/>
  <c r="B220" i="3"/>
  <c r="A220" i="3"/>
  <c r="F219" i="3"/>
  <c r="E219" i="3"/>
  <c r="D219" i="3"/>
  <c r="H219" i="3" s="1"/>
  <c r="C219" i="3"/>
  <c r="I219" i="3" s="1"/>
  <c r="B219" i="3"/>
  <c r="A219" i="3"/>
  <c r="F218" i="3"/>
  <c r="E218" i="3"/>
  <c r="D218" i="3"/>
  <c r="H218" i="3" s="1"/>
  <c r="I218" i="3" s="1"/>
  <c r="C218" i="3"/>
  <c r="B218" i="3"/>
  <c r="A218" i="3"/>
  <c r="I217" i="3"/>
  <c r="F217" i="3"/>
  <c r="E217" i="3"/>
  <c r="D217" i="3"/>
  <c r="H217" i="3" s="1"/>
  <c r="C217" i="3"/>
  <c r="B217" i="3"/>
  <c r="A217" i="3"/>
  <c r="F216" i="3"/>
  <c r="E216" i="3"/>
  <c r="D216" i="3"/>
  <c r="H216" i="3" s="1"/>
  <c r="I216" i="3" s="1"/>
  <c r="C216" i="3"/>
  <c r="B216" i="3"/>
  <c r="A216" i="3"/>
  <c r="H215" i="3"/>
  <c r="I215" i="3" s="1"/>
  <c r="F215" i="3"/>
  <c r="E215" i="3"/>
  <c r="D215" i="3"/>
  <c r="C215" i="3"/>
  <c r="B215" i="3"/>
  <c r="A215" i="3"/>
  <c r="H214" i="3"/>
  <c r="I214" i="3" s="1"/>
  <c r="F214" i="3"/>
  <c r="E214" i="3"/>
  <c r="D214" i="3"/>
  <c r="C214" i="3"/>
  <c r="B214" i="3"/>
  <c r="A214" i="3"/>
  <c r="H213" i="3"/>
  <c r="I213" i="3" s="1"/>
  <c r="F213" i="3"/>
  <c r="E213" i="3"/>
  <c r="D213" i="3"/>
  <c r="C213" i="3"/>
  <c r="B213" i="3"/>
  <c r="A213" i="3"/>
  <c r="H212" i="3"/>
  <c r="I212" i="3" s="1"/>
  <c r="F212" i="3"/>
  <c r="E212" i="3"/>
  <c r="D212" i="3"/>
  <c r="C212" i="3"/>
  <c r="B212" i="3"/>
  <c r="A212" i="3"/>
  <c r="F211" i="3"/>
  <c r="E211" i="3"/>
  <c r="D211" i="3"/>
  <c r="H211" i="3" s="1"/>
  <c r="C211" i="3"/>
  <c r="I211" i="3" s="1"/>
  <c r="B211" i="3"/>
  <c r="A211" i="3"/>
  <c r="F210" i="3"/>
  <c r="E210" i="3"/>
  <c r="D210" i="3"/>
  <c r="H210" i="3" s="1"/>
  <c r="I210" i="3" s="1"/>
  <c r="C210" i="3"/>
  <c r="B210" i="3"/>
  <c r="A210" i="3"/>
  <c r="I209" i="3"/>
  <c r="F209" i="3"/>
  <c r="E209" i="3"/>
  <c r="D209" i="3"/>
  <c r="H209" i="3" s="1"/>
  <c r="C209" i="3"/>
  <c r="B209" i="3"/>
  <c r="A209" i="3"/>
  <c r="F208" i="3"/>
  <c r="E208" i="3"/>
  <c r="D208" i="3"/>
  <c r="H208" i="3" s="1"/>
  <c r="I208" i="3" s="1"/>
  <c r="C208" i="3"/>
  <c r="B208" i="3"/>
  <c r="A208" i="3"/>
  <c r="H207" i="3"/>
  <c r="I207" i="3" s="1"/>
  <c r="F207" i="3"/>
  <c r="E207" i="3"/>
  <c r="D207" i="3"/>
  <c r="C207" i="3"/>
  <c r="B207" i="3"/>
  <c r="A207" i="3"/>
  <c r="H206" i="3"/>
  <c r="I206" i="3" s="1"/>
  <c r="F206" i="3"/>
  <c r="E206" i="3"/>
  <c r="D206" i="3"/>
  <c r="C206" i="3"/>
  <c r="B206" i="3"/>
  <c r="A206" i="3"/>
  <c r="H205" i="3"/>
  <c r="I205" i="3" s="1"/>
  <c r="F205" i="3"/>
  <c r="E205" i="3"/>
  <c r="D205" i="3"/>
  <c r="C205" i="3"/>
  <c r="B205" i="3"/>
  <c r="A205" i="3"/>
  <c r="H204" i="3"/>
  <c r="I204" i="3" s="1"/>
  <c r="F204" i="3"/>
  <c r="E204" i="3"/>
  <c r="D204" i="3"/>
  <c r="C204" i="3"/>
  <c r="B204" i="3"/>
  <c r="A204" i="3"/>
  <c r="F203" i="3"/>
  <c r="E203" i="3"/>
  <c r="D203" i="3"/>
  <c r="H203" i="3" s="1"/>
  <c r="C203" i="3"/>
  <c r="I203" i="3" s="1"/>
  <c r="B203" i="3"/>
  <c r="A203" i="3"/>
  <c r="F202" i="3"/>
  <c r="E202" i="3"/>
  <c r="D202" i="3"/>
  <c r="H202" i="3" s="1"/>
  <c r="I202" i="3" s="1"/>
  <c r="C202" i="3"/>
  <c r="B202" i="3"/>
  <c r="A202" i="3"/>
  <c r="I201" i="3"/>
  <c r="F201" i="3"/>
  <c r="E201" i="3"/>
  <c r="D201" i="3"/>
  <c r="H201" i="3" s="1"/>
  <c r="C201" i="3"/>
  <c r="B201" i="3"/>
  <c r="A201" i="3"/>
  <c r="F200" i="3"/>
  <c r="E200" i="3"/>
  <c r="D200" i="3"/>
  <c r="H200" i="3" s="1"/>
  <c r="I200" i="3" s="1"/>
  <c r="C200" i="3"/>
  <c r="B200" i="3"/>
  <c r="A200" i="3"/>
  <c r="H199" i="3"/>
  <c r="I199" i="3" s="1"/>
  <c r="F199" i="3"/>
  <c r="E199" i="3"/>
  <c r="D199" i="3"/>
  <c r="C199" i="3"/>
  <c r="B199" i="3"/>
  <c r="A199" i="3"/>
  <c r="H198" i="3"/>
  <c r="I198" i="3" s="1"/>
  <c r="F198" i="3"/>
  <c r="E198" i="3"/>
  <c r="D198" i="3"/>
  <c r="C198" i="3"/>
  <c r="B198" i="3"/>
  <c r="A198" i="3"/>
  <c r="H197" i="3"/>
  <c r="I197" i="3" s="1"/>
  <c r="F197" i="3"/>
  <c r="E197" i="3"/>
  <c r="D197" i="3"/>
  <c r="C197" i="3"/>
  <c r="B197" i="3"/>
  <c r="A197" i="3"/>
  <c r="H196" i="3"/>
  <c r="I196" i="3" s="1"/>
  <c r="F196" i="3"/>
  <c r="E196" i="3"/>
  <c r="D196" i="3"/>
  <c r="C196" i="3"/>
  <c r="B196" i="3"/>
  <c r="A196" i="3"/>
  <c r="F195" i="3"/>
  <c r="E195" i="3"/>
  <c r="D195" i="3"/>
  <c r="H195" i="3" s="1"/>
  <c r="C195" i="3"/>
  <c r="I195" i="3" s="1"/>
  <c r="B195" i="3"/>
  <c r="A195" i="3"/>
  <c r="F194" i="3"/>
  <c r="E194" i="3"/>
  <c r="D194" i="3"/>
  <c r="H194" i="3" s="1"/>
  <c r="I194" i="3" s="1"/>
  <c r="C194" i="3"/>
  <c r="B194" i="3"/>
  <c r="A194" i="3"/>
  <c r="I193" i="3"/>
  <c r="F193" i="3"/>
  <c r="E193" i="3"/>
  <c r="D193" i="3"/>
  <c r="H193" i="3" s="1"/>
  <c r="C193" i="3"/>
  <c r="B193" i="3"/>
  <c r="A193" i="3"/>
  <c r="F192" i="3"/>
  <c r="E192" i="3"/>
  <c r="D192" i="3"/>
  <c r="H192" i="3" s="1"/>
  <c r="I192" i="3" s="1"/>
  <c r="C192" i="3"/>
  <c r="B192" i="3"/>
  <c r="A192" i="3"/>
  <c r="H191" i="3"/>
  <c r="I191" i="3" s="1"/>
  <c r="F191" i="3"/>
  <c r="E191" i="3"/>
  <c r="D191" i="3"/>
  <c r="C191" i="3"/>
  <c r="B191" i="3"/>
  <c r="A191" i="3"/>
  <c r="H190" i="3"/>
  <c r="I190" i="3" s="1"/>
  <c r="F190" i="3"/>
  <c r="E190" i="3"/>
  <c r="D190" i="3"/>
  <c r="C190" i="3"/>
  <c r="B190" i="3"/>
  <c r="A190" i="3"/>
  <c r="H189" i="3"/>
  <c r="I189" i="3" s="1"/>
  <c r="F189" i="3"/>
  <c r="E189" i="3"/>
  <c r="D189" i="3"/>
  <c r="C189" i="3"/>
  <c r="B189" i="3"/>
  <c r="A189" i="3"/>
  <c r="H188" i="3"/>
  <c r="I188" i="3" s="1"/>
  <c r="F188" i="3"/>
  <c r="E188" i="3"/>
  <c r="D188" i="3"/>
  <c r="C188" i="3"/>
  <c r="B188" i="3"/>
  <c r="A188" i="3"/>
  <c r="F187" i="3"/>
  <c r="E187" i="3"/>
  <c r="D187" i="3"/>
  <c r="H187" i="3" s="1"/>
  <c r="C187" i="3"/>
  <c r="I187" i="3" s="1"/>
  <c r="B187" i="3"/>
  <c r="A187" i="3"/>
  <c r="F186" i="3"/>
  <c r="E186" i="3"/>
  <c r="D186" i="3"/>
  <c r="H186" i="3" s="1"/>
  <c r="I186" i="3" s="1"/>
  <c r="C186" i="3"/>
  <c r="B186" i="3"/>
  <c r="A186" i="3"/>
  <c r="I185" i="3"/>
  <c r="F185" i="3"/>
  <c r="E185" i="3"/>
  <c r="D185" i="3"/>
  <c r="H185" i="3" s="1"/>
  <c r="C185" i="3"/>
  <c r="B185" i="3"/>
  <c r="A185" i="3"/>
  <c r="F184" i="3"/>
  <c r="E184" i="3"/>
  <c r="D184" i="3"/>
  <c r="H184" i="3" s="1"/>
  <c r="I184" i="3" s="1"/>
  <c r="C184" i="3"/>
  <c r="B184" i="3"/>
  <c r="A184" i="3"/>
  <c r="H183" i="3"/>
  <c r="I183" i="3" s="1"/>
  <c r="F183" i="3"/>
  <c r="E183" i="3"/>
  <c r="D183" i="3"/>
  <c r="C183" i="3"/>
  <c r="B183" i="3"/>
  <c r="A183" i="3"/>
  <c r="H182" i="3"/>
  <c r="I182" i="3" s="1"/>
  <c r="F182" i="3"/>
  <c r="E182" i="3"/>
  <c r="D182" i="3"/>
  <c r="C182" i="3"/>
  <c r="B182" i="3"/>
  <c r="A182" i="3"/>
  <c r="H181" i="3"/>
  <c r="I181" i="3" s="1"/>
  <c r="F181" i="3"/>
  <c r="E181" i="3"/>
  <c r="D181" i="3"/>
  <c r="C181" i="3"/>
  <c r="B181" i="3"/>
  <c r="A181" i="3"/>
  <c r="H180" i="3"/>
  <c r="I180" i="3" s="1"/>
  <c r="F180" i="3"/>
  <c r="E180" i="3"/>
  <c r="D180" i="3"/>
  <c r="C180" i="3"/>
  <c r="B180" i="3"/>
  <c r="A180" i="3"/>
  <c r="F179" i="3"/>
  <c r="E179" i="3"/>
  <c r="D179" i="3"/>
  <c r="H179" i="3" s="1"/>
  <c r="C179" i="3"/>
  <c r="I179" i="3" s="1"/>
  <c r="B179" i="3"/>
  <c r="A179" i="3"/>
  <c r="F178" i="3"/>
  <c r="E178" i="3"/>
  <c r="D178" i="3"/>
  <c r="H178" i="3" s="1"/>
  <c r="I178" i="3" s="1"/>
  <c r="C178" i="3"/>
  <c r="B178" i="3"/>
  <c r="A178" i="3"/>
  <c r="I177" i="3"/>
  <c r="F177" i="3"/>
  <c r="E177" i="3"/>
  <c r="D177" i="3"/>
  <c r="H177" i="3" s="1"/>
  <c r="C177" i="3"/>
  <c r="B177" i="3"/>
  <c r="A177" i="3"/>
  <c r="F176" i="3"/>
  <c r="E176" i="3"/>
  <c r="D176" i="3"/>
  <c r="H176" i="3" s="1"/>
  <c r="I176" i="3" s="1"/>
  <c r="C176" i="3"/>
  <c r="B176" i="3"/>
  <c r="A176" i="3"/>
  <c r="H175" i="3"/>
  <c r="I175" i="3" s="1"/>
  <c r="F175" i="3"/>
  <c r="E175" i="3"/>
  <c r="D175" i="3"/>
  <c r="C175" i="3"/>
  <c r="B175" i="3"/>
  <c r="A175" i="3"/>
  <c r="H174" i="3"/>
  <c r="F174" i="3"/>
  <c r="E174" i="3"/>
  <c r="D174" i="3"/>
  <c r="C174" i="3"/>
  <c r="B174" i="3"/>
  <c r="A174" i="3"/>
  <c r="H173" i="3"/>
  <c r="I173" i="3" s="1"/>
  <c r="F173" i="3"/>
  <c r="E173" i="3"/>
  <c r="D173" i="3"/>
  <c r="C173" i="3"/>
  <c r="B173" i="3"/>
  <c r="A173" i="3"/>
  <c r="I172" i="3"/>
  <c r="H172" i="3"/>
  <c r="F172" i="3"/>
  <c r="E172" i="3"/>
  <c r="D172" i="3"/>
  <c r="C172" i="3"/>
  <c r="B172" i="3"/>
  <c r="A172" i="3"/>
  <c r="F171" i="3"/>
  <c r="E171" i="3"/>
  <c r="D171" i="3"/>
  <c r="H171" i="3" s="1"/>
  <c r="I171" i="3" s="1"/>
  <c r="C171" i="3"/>
  <c r="B171" i="3"/>
  <c r="A171" i="3"/>
  <c r="F170" i="3"/>
  <c r="E170" i="3"/>
  <c r="D170" i="3"/>
  <c r="H170" i="3" s="1"/>
  <c r="I170" i="3" s="1"/>
  <c r="C170" i="3"/>
  <c r="B170" i="3"/>
  <c r="A170" i="3"/>
  <c r="F169" i="3"/>
  <c r="E169" i="3"/>
  <c r="D169" i="3"/>
  <c r="H169" i="3" s="1"/>
  <c r="I169" i="3" s="1"/>
  <c r="C169" i="3"/>
  <c r="B169" i="3"/>
  <c r="A169" i="3"/>
  <c r="F168" i="3"/>
  <c r="E168" i="3"/>
  <c r="D168" i="3"/>
  <c r="H168" i="3" s="1"/>
  <c r="I168" i="3" s="1"/>
  <c r="C168" i="3"/>
  <c r="B168" i="3"/>
  <c r="A168" i="3"/>
  <c r="H167" i="3"/>
  <c r="I167" i="3" s="1"/>
  <c r="F167" i="3"/>
  <c r="E167" i="3"/>
  <c r="D167" i="3"/>
  <c r="C167" i="3"/>
  <c r="B167" i="3"/>
  <c r="A167" i="3"/>
  <c r="H166" i="3"/>
  <c r="I166" i="3" s="1"/>
  <c r="F166" i="3"/>
  <c r="E166" i="3"/>
  <c r="D166" i="3"/>
  <c r="C166" i="3"/>
  <c r="B166" i="3"/>
  <c r="A166" i="3"/>
  <c r="H165" i="3"/>
  <c r="F165" i="3"/>
  <c r="E165" i="3"/>
  <c r="D165" i="3"/>
  <c r="C165" i="3"/>
  <c r="B165" i="3"/>
  <c r="A165" i="3"/>
  <c r="I164" i="3"/>
  <c r="H164" i="3"/>
  <c r="F164" i="3"/>
  <c r="E164" i="3"/>
  <c r="D164" i="3"/>
  <c r="C164" i="3"/>
  <c r="B164" i="3"/>
  <c r="A164" i="3"/>
  <c r="F163" i="3"/>
  <c r="E163" i="3"/>
  <c r="D163" i="3"/>
  <c r="H163" i="3" s="1"/>
  <c r="I163" i="3" s="1"/>
  <c r="C163" i="3"/>
  <c r="B163" i="3"/>
  <c r="A163" i="3"/>
  <c r="I162" i="3"/>
  <c r="F162" i="3"/>
  <c r="E162" i="3"/>
  <c r="D162" i="3"/>
  <c r="H162" i="3" s="1"/>
  <c r="C162" i="3"/>
  <c r="B162" i="3"/>
  <c r="A162" i="3"/>
  <c r="I161" i="3"/>
  <c r="F161" i="3"/>
  <c r="E161" i="3"/>
  <c r="D161" i="3"/>
  <c r="H161" i="3" s="1"/>
  <c r="C161" i="3"/>
  <c r="B161" i="3"/>
  <c r="A161" i="3"/>
  <c r="F160" i="3"/>
  <c r="E160" i="3"/>
  <c r="D160" i="3"/>
  <c r="H160" i="3" s="1"/>
  <c r="I160" i="3" s="1"/>
  <c r="C160" i="3"/>
  <c r="B160" i="3"/>
  <c r="A160" i="3"/>
  <c r="H159" i="3"/>
  <c r="I159" i="3" s="1"/>
  <c r="F159" i="3"/>
  <c r="E159" i="3"/>
  <c r="D159" i="3"/>
  <c r="C159" i="3"/>
  <c r="B159" i="3"/>
  <c r="A159" i="3"/>
  <c r="H158" i="3"/>
  <c r="F158" i="3"/>
  <c r="E158" i="3"/>
  <c r="D158" i="3"/>
  <c r="C158" i="3"/>
  <c r="B158" i="3"/>
  <c r="A158" i="3"/>
  <c r="H157" i="3"/>
  <c r="I157" i="3" s="1"/>
  <c r="F157" i="3"/>
  <c r="E157" i="3"/>
  <c r="D157" i="3"/>
  <c r="C157" i="3"/>
  <c r="B157" i="3"/>
  <c r="A157" i="3"/>
  <c r="I156" i="3"/>
  <c r="H156" i="3"/>
  <c r="F156" i="3"/>
  <c r="E156" i="3"/>
  <c r="D156" i="3"/>
  <c r="C156" i="3"/>
  <c r="B156" i="3"/>
  <c r="A156" i="3"/>
  <c r="F155" i="3"/>
  <c r="E155" i="3"/>
  <c r="D155" i="3"/>
  <c r="H155" i="3" s="1"/>
  <c r="I155" i="3" s="1"/>
  <c r="C155" i="3"/>
  <c r="B155" i="3"/>
  <c r="A155" i="3"/>
  <c r="F154" i="3"/>
  <c r="E154" i="3"/>
  <c r="D154" i="3"/>
  <c r="H154" i="3" s="1"/>
  <c r="I154" i="3" s="1"/>
  <c r="C154" i="3"/>
  <c r="B154" i="3"/>
  <c r="A154" i="3"/>
  <c r="F153" i="3"/>
  <c r="E153" i="3"/>
  <c r="D153" i="3"/>
  <c r="H153" i="3" s="1"/>
  <c r="I153" i="3" s="1"/>
  <c r="C153" i="3"/>
  <c r="B153" i="3"/>
  <c r="A153" i="3"/>
  <c r="F152" i="3"/>
  <c r="E152" i="3"/>
  <c r="D152" i="3"/>
  <c r="H152" i="3" s="1"/>
  <c r="I152" i="3" s="1"/>
  <c r="C152" i="3"/>
  <c r="B152" i="3"/>
  <c r="A152" i="3"/>
  <c r="H151" i="3"/>
  <c r="I151" i="3" s="1"/>
  <c r="F151" i="3"/>
  <c r="E151" i="3"/>
  <c r="D151" i="3"/>
  <c r="C151" i="3"/>
  <c r="B151" i="3"/>
  <c r="A151" i="3"/>
  <c r="H150" i="3"/>
  <c r="I150" i="3" s="1"/>
  <c r="F150" i="3"/>
  <c r="E150" i="3"/>
  <c r="D150" i="3"/>
  <c r="C150" i="3"/>
  <c r="B150" i="3"/>
  <c r="A150" i="3"/>
  <c r="H149" i="3"/>
  <c r="I149" i="3" s="1"/>
  <c r="F149" i="3"/>
  <c r="E149" i="3"/>
  <c r="D149" i="3"/>
  <c r="C149" i="3"/>
  <c r="B149" i="3"/>
  <c r="A149" i="3"/>
  <c r="H148" i="3"/>
  <c r="F148" i="3"/>
  <c r="E148" i="3"/>
  <c r="D148" i="3"/>
  <c r="C148" i="3"/>
  <c r="I148" i="3" s="1"/>
  <c r="B148" i="3"/>
  <c r="A148" i="3"/>
  <c r="F147" i="3"/>
  <c r="E147" i="3"/>
  <c r="D147" i="3"/>
  <c r="H147" i="3" s="1"/>
  <c r="I147" i="3" s="1"/>
  <c r="C147" i="3"/>
  <c r="B147" i="3"/>
  <c r="A147" i="3"/>
  <c r="F146" i="3"/>
  <c r="E146" i="3"/>
  <c r="D146" i="3"/>
  <c r="H146" i="3" s="1"/>
  <c r="I146" i="3" s="1"/>
  <c r="C146" i="3"/>
  <c r="B146" i="3"/>
  <c r="A146" i="3"/>
  <c r="F145" i="3"/>
  <c r="E145" i="3"/>
  <c r="D145" i="3"/>
  <c r="H145" i="3" s="1"/>
  <c r="I145" i="3" s="1"/>
  <c r="C145" i="3"/>
  <c r="B145" i="3"/>
  <c r="A145" i="3"/>
  <c r="F144" i="3"/>
  <c r="E144" i="3"/>
  <c r="D144" i="3"/>
  <c r="H144" i="3" s="1"/>
  <c r="I144" i="3" s="1"/>
  <c r="C144" i="3"/>
  <c r="B144" i="3"/>
  <c r="A144" i="3"/>
  <c r="H143" i="3"/>
  <c r="I143" i="3" s="1"/>
  <c r="F143" i="3"/>
  <c r="E143" i="3"/>
  <c r="D143" i="3"/>
  <c r="C143" i="3"/>
  <c r="B143" i="3"/>
  <c r="A143" i="3"/>
  <c r="F142" i="3"/>
  <c r="E142" i="3"/>
  <c r="D142" i="3"/>
  <c r="H142" i="3" s="1"/>
  <c r="I142" i="3" s="1"/>
  <c r="C142" i="3"/>
  <c r="B142" i="3"/>
  <c r="A142" i="3"/>
  <c r="H141" i="3"/>
  <c r="I141" i="3" s="1"/>
  <c r="F141" i="3"/>
  <c r="E141" i="3"/>
  <c r="D141" i="3"/>
  <c r="C141" i="3"/>
  <c r="B141" i="3"/>
  <c r="A141" i="3"/>
  <c r="H140" i="3"/>
  <c r="I140" i="3" s="1"/>
  <c r="F140" i="3"/>
  <c r="E140" i="3"/>
  <c r="D140" i="3"/>
  <c r="C140" i="3"/>
  <c r="B140" i="3"/>
  <c r="A140" i="3"/>
  <c r="I139" i="3"/>
  <c r="F139" i="3"/>
  <c r="E139" i="3"/>
  <c r="D139" i="3"/>
  <c r="H139" i="3" s="1"/>
  <c r="C139" i="3"/>
  <c r="B139" i="3"/>
  <c r="A139" i="3"/>
  <c r="F138" i="3"/>
  <c r="E138" i="3"/>
  <c r="D138" i="3"/>
  <c r="H138" i="3" s="1"/>
  <c r="I138" i="3" s="1"/>
  <c r="C138" i="3"/>
  <c r="B138" i="3"/>
  <c r="A138" i="3"/>
  <c r="H137" i="3"/>
  <c r="I137" i="3" s="1"/>
  <c r="F137" i="3"/>
  <c r="E137" i="3"/>
  <c r="D137" i="3"/>
  <c r="C137" i="3"/>
  <c r="B137" i="3"/>
  <c r="A137" i="3"/>
  <c r="F136" i="3"/>
  <c r="E136" i="3"/>
  <c r="D136" i="3"/>
  <c r="H136" i="3" s="1"/>
  <c r="C136" i="3"/>
  <c r="B136" i="3"/>
  <c r="A136" i="3"/>
  <c r="I135" i="3"/>
  <c r="H135" i="3"/>
  <c r="F135" i="3"/>
  <c r="E135" i="3"/>
  <c r="D135" i="3"/>
  <c r="C135" i="3"/>
  <c r="B135" i="3"/>
  <c r="A135" i="3"/>
  <c r="H134" i="3"/>
  <c r="I134" i="3" s="1"/>
  <c r="F134" i="3"/>
  <c r="E134" i="3"/>
  <c r="D134" i="3"/>
  <c r="C134" i="3"/>
  <c r="B134" i="3"/>
  <c r="A134" i="3"/>
  <c r="H133" i="3"/>
  <c r="I133" i="3" s="1"/>
  <c r="F133" i="3"/>
  <c r="E133" i="3"/>
  <c r="D133" i="3"/>
  <c r="C133" i="3"/>
  <c r="B133" i="3"/>
  <c r="A133" i="3"/>
  <c r="H132" i="3"/>
  <c r="F132" i="3"/>
  <c r="E132" i="3"/>
  <c r="D132" i="3"/>
  <c r="C132" i="3"/>
  <c r="I132" i="3" s="1"/>
  <c r="B132" i="3"/>
  <c r="A132" i="3"/>
  <c r="F131" i="3"/>
  <c r="E131" i="3"/>
  <c r="D131" i="3"/>
  <c r="H131" i="3" s="1"/>
  <c r="I131" i="3" s="1"/>
  <c r="C131" i="3"/>
  <c r="B131" i="3"/>
  <c r="A131" i="3"/>
  <c r="F130" i="3"/>
  <c r="E130" i="3"/>
  <c r="D130" i="3"/>
  <c r="H130" i="3" s="1"/>
  <c r="I130" i="3" s="1"/>
  <c r="C130" i="3"/>
  <c r="B130" i="3"/>
  <c r="A130" i="3"/>
  <c r="I129" i="3"/>
  <c r="H129" i="3"/>
  <c r="F129" i="3"/>
  <c r="E129" i="3"/>
  <c r="D129" i="3"/>
  <c r="C129" i="3"/>
  <c r="B129" i="3"/>
  <c r="A129" i="3"/>
  <c r="F128" i="3"/>
  <c r="E128" i="3"/>
  <c r="D128" i="3"/>
  <c r="H128" i="3" s="1"/>
  <c r="I128" i="3" s="1"/>
  <c r="C128" i="3"/>
  <c r="B128" i="3"/>
  <c r="A128" i="3"/>
  <c r="H127" i="3"/>
  <c r="I127" i="3" s="1"/>
  <c r="F127" i="3"/>
  <c r="E127" i="3"/>
  <c r="D127" i="3"/>
  <c r="C127" i="3"/>
  <c r="B127" i="3"/>
  <c r="A127" i="3"/>
  <c r="F126" i="3"/>
  <c r="E126" i="3"/>
  <c r="D126" i="3"/>
  <c r="H126" i="3" s="1"/>
  <c r="I126" i="3" s="1"/>
  <c r="C126" i="3"/>
  <c r="B126" i="3"/>
  <c r="A126" i="3"/>
  <c r="F125" i="3"/>
  <c r="E125" i="3"/>
  <c r="D125" i="3"/>
  <c r="H125" i="3" s="1"/>
  <c r="I125" i="3" s="1"/>
  <c r="C125" i="3"/>
  <c r="B125" i="3"/>
  <c r="A125" i="3"/>
  <c r="R124" i="3"/>
  <c r="J124" i="3"/>
  <c r="H124" i="3"/>
  <c r="I124" i="3" s="1"/>
  <c r="F124" i="3"/>
  <c r="E124" i="3"/>
  <c r="D124" i="3"/>
  <c r="C124" i="3"/>
  <c r="B124" i="3"/>
  <c r="A124" i="3"/>
  <c r="F123" i="3"/>
  <c r="E123" i="3"/>
  <c r="D123" i="3"/>
  <c r="H123" i="3" s="1"/>
  <c r="I123" i="3" s="1"/>
  <c r="C123" i="3"/>
  <c r="B123" i="3"/>
  <c r="A123" i="3"/>
  <c r="H122" i="3"/>
  <c r="I122" i="3" s="1"/>
  <c r="F122" i="3"/>
  <c r="E122" i="3"/>
  <c r="D122" i="3"/>
  <c r="C122" i="3"/>
  <c r="B122" i="3"/>
  <c r="A122" i="3"/>
  <c r="F121" i="3"/>
  <c r="E121" i="3"/>
  <c r="D121" i="3"/>
  <c r="H121" i="3" s="1"/>
  <c r="I121" i="3" s="1"/>
  <c r="C121" i="3"/>
  <c r="B121" i="3"/>
  <c r="A121" i="3"/>
  <c r="H120" i="3"/>
  <c r="I120" i="3" s="1"/>
  <c r="F120" i="3"/>
  <c r="E120" i="3"/>
  <c r="D120" i="3"/>
  <c r="C120" i="3"/>
  <c r="B120" i="3"/>
  <c r="A120" i="3"/>
  <c r="H119" i="3"/>
  <c r="I119" i="3" s="1"/>
  <c r="F119" i="3"/>
  <c r="E119" i="3"/>
  <c r="D119" i="3"/>
  <c r="C119" i="3"/>
  <c r="B119" i="3"/>
  <c r="A119" i="3"/>
  <c r="I118" i="3"/>
  <c r="H118" i="3"/>
  <c r="F118" i="3"/>
  <c r="E118" i="3"/>
  <c r="D118" i="3"/>
  <c r="C118" i="3"/>
  <c r="B118" i="3"/>
  <c r="A118" i="3"/>
  <c r="H117" i="3"/>
  <c r="I117" i="3" s="1"/>
  <c r="F117" i="3"/>
  <c r="E117" i="3"/>
  <c r="D117" i="3"/>
  <c r="C117" i="3"/>
  <c r="B117" i="3"/>
  <c r="A117" i="3"/>
  <c r="F116" i="3"/>
  <c r="E116" i="3"/>
  <c r="D116" i="3"/>
  <c r="H116" i="3" s="1"/>
  <c r="I116" i="3" s="1"/>
  <c r="C116" i="3"/>
  <c r="B116" i="3"/>
  <c r="A116" i="3"/>
  <c r="F115" i="3"/>
  <c r="E115" i="3"/>
  <c r="D115" i="3"/>
  <c r="H115" i="3" s="1"/>
  <c r="I115" i="3" s="1"/>
  <c r="C115" i="3"/>
  <c r="B115" i="3"/>
  <c r="A115" i="3"/>
  <c r="F114" i="3"/>
  <c r="E114" i="3"/>
  <c r="D114" i="3"/>
  <c r="H114" i="3" s="1"/>
  <c r="I114" i="3" s="1"/>
  <c r="C114" i="3"/>
  <c r="B114" i="3"/>
  <c r="A114" i="3"/>
  <c r="F113" i="3"/>
  <c r="E113" i="3"/>
  <c r="D113" i="3"/>
  <c r="H113" i="3" s="1"/>
  <c r="I113" i="3" s="1"/>
  <c r="C113" i="3"/>
  <c r="B113" i="3"/>
  <c r="A113" i="3"/>
  <c r="H112" i="3"/>
  <c r="I112" i="3" s="1"/>
  <c r="F112" i="3"/>
  <c r="E112" i="3"/>
  <c r="D112" i="3"/>
  <c r="C112" i="3"/>
  <c r="B112" i="3"/>
  <c r="A112" i="3"/>
  <c r="H111" i="3"/>
  <c r="I111" i="3" s="1"/>
  <c r="F111" i="3"/>
  <c r="E111" i="3"/>
  <c r="D111" i="3"/>
  <c r="C111" i="3"/>
  <c r="B111" i="3"/>
  <c r="A111" i="3"/>
  <c r="I110" i="3"/>
  <c r="H110" i="3"/>
  <c r="F110" i="3"/>
  <c r="E110" i="3"/>
  <c r="D110" i="3"/>
  <c r="C110" i="3"/>
  <c r="B110" i="3"/>
  <c r="A110" i="3"/>
  <c r="H109" i="3"/>
  <c r="I109" i="3" s="1"/>
  <c r="F109" i="3"/>
  <c r="E109" i="3"/>
  <c r="D109" i="3"/>
  <c r="C109" i="3"/>
  <c r="B109" i="3"/>
  <c r="A109" i="3"/>
  <c r="F108" i="3"/>
  <c r="E108" i="3"/>
  <c r="D108" i="3"/>
  <c r="H108" i="3" s="1"/>
  <c r="I108" i="3" s="1"/>
  <c r="C108" i="3"/>
  <c r="B108" i="3"/>
  <c r="A108" i="3"/>
  <c r="F107" i="3"/>
  <c r="E107" i="3"/>
  <c r="D107" i="3"/>
  <c r="H107" i="3" s="1"/>
  <c r="I107" i="3" s="1"/>
  <c r="C107" i="3"/>
  <c r="B107" i="3"/>
  <c r="A107" i="3"/>
  <c r="F106" i="3"/>
  <c r="E106" i="3"/>
  <c r="D106" i="3"/>
  <c r="H106" i="3" s="1"/>
  <c r="I106" i="3" s="1"/>
  <c r="C106" i="3"/>
  <c r="B106" i="3"/>
  <c r="A106" i="3"/>
  <c r="F105" i="3"/>
  <c r="E105" i="3"/>
  <c r="D105" i="3"/>
  <c r="H105" i="3" s="1"/>
  <c r="I105" i="3" s="1"/>
  <c r="C105" i="3"/>
  <c r="B105" i="3"/>
  <c r="A105" i="3"/>
  <c r="H104" i="3"/>
  <c r="I104" i="3" s="1"/>
  <c r="F104" i="3"/>
  <c r="E104" i="3"/>
  <c r="D104" i="3"/>
  <c r="C104" i="3"/>
  <c r="B104" i="3"/>
  <c r="A104" i="3"/>
  <c r="H103" i="3"/>
  <c r="I103" i="3" s="1"/>
  <c r="F103" i="3"/>
  <c r="E103" i="3"/>
  <c r="D103" i="3"/>
  <c r="C103" i="3"/>
  <c r="B103" i="3"/>
  <c r="A103" i="3"/>
  <c r="I102" i="3"/>
  <c r="H102" i="3"/>
  <c r="F102" i="3"/>
  <c r="E102" i="3"/>
  <c r="D102" i="3"/>
  <c r="C102" i="3"/>
  <c r="B102" i="3"/>
  <c r="A102" i="3"/>
  <c r="H101" i="3"/>
  <c r="I101" i="3" s="1"/>
  <c r="F101" i="3"/>
  <c r="E101" i="3"/>
  <c r="D101" i="3"/>
  <c r="C101" i="3"/>
  <c r="B101" i="3"/>
  <c r="A101" i="3"/>
  <c r="F100" i="3"/>
  <c r="E100" i="3"/>
  <c r="D100" i="3"/>
  <c r="H100" i="3" s="1"/>
  <c r="I100" i="3" s="1"/>
  <c r="C100" i="3"/>
  <c r="B100" i="3"/>
  <c r="A100" i="3"/>
  <c r="F99" i="3"/>
  <c r="E99" i="3"/>
  <c r="D99" i="3"/>
  <c r="H99" i="3" s="1"/>
  <c r="I99" i="3" s="1"/>
  <c r="C99" i="3"/>
  <c r="B99" i="3"/>
  <c r="A99" i="3"/>
  <c r="F98" i="3"/>
  <c r="E98" i="3"/>
  <c r="D98" i="3"/>
  <c r="H98" i="3" s="1"/>
  <c r="I98" i="3" s="1"/>
  <c r="C98" i="3"/>
  <c r="B98" i="3"/>
  <c r="A98" i="3"/>
  <c r="F97" i="3"/>
  <c r="E97" i="3"/>
  <c r="D97" i="3"/>
  <c r="H97" i="3" s="1"/>
  <c r="I97" i="3" s="1"/>
  <c r="C97" i="3"/>
  <c r="B97" i="3"/>
  <c r="A97" i="3"/>
  <c r="H96" i="3"/>
  <c r="I96" i="3" s="1"/>
  <c r="F96" i="3"/>
  <c r="E96" i="3"/>
  <c r="D96" i="3"/>
  <c r="C96" i="3"/>
  <c r="B96" i="3"/>
  <c r="A96" i="3"/>
  <c r="H95" i="3"/>
  <c r="I95" i="3" s="1"/>
  <c r="F95" i="3"/>
  <c r="E95" i="3"/>
  <c r="D95" i="3"/>
  <c r="C95" i="3"/>
  <c r="B95" i="3"/>
  <c r="A95" i="3"/>
  <c r="I94" i="3"/>
  <c r="H94" i="3"/>
  <c r="F94" i="3"/>
  <c r="E94" i="3"/>
  <c r="D94" i="3"/>
  <c r="C94" i="3"/>
  <c r="B94" i="3"/>
  <c r="A94" i="3"/>
  <c r="H93" i="3"/>
  <c r="I93" i="3" s="1"/>
  <c r="F93" i="3"/>
  <c r="E93" i="3"/>
  <c r="D93" i="3"/>
  <c r="C93" i="3"/>
  <c r="B93" i="3"/>
  <c r="A93" i="3"/>
  <c r="F92" i="3"/>
  <c r="E92" i="3"/>
  <c r="D92" i="3"/>
  <c r="H92" i="3" s="1"/>
  <c r="I92" i="3" s="1"/>
  <c r="C92" i="3"/>
  <c r="B92" i="3"/>
  <c r="A92" i="3"/>
  <c r="F91" i="3"/>
  <c r="E91" i="3"/>
  <c r="D91" i="3"/>
  <c r="H91" i="3" s="1"/>
  <c r="I91" i="3" s="1"/>
  <c r="C91" i="3"/>
  <c r="B91" i="3"/>
  <c r="A91" i="3"/>
  <c r="F90" i="3"/>
  <c r="E90" i="3"/>
  <c r="D90" i="3"/>
  <c r="H90" i="3" s="1"/>
  <c r="I90" i="3" s="1"/>
  <c r="C90" i="3"/>
  <c r="B90" i="3"/>
  <c r="A90" i="3"/>
  <c r="F89" i="3"/>
  <c r="E89" i="3"/>
  <c r="D89" i="3"/>
  <c r="H89" i="3" s="1"/>
  <c r="I89" i="3" s="1"/>
  <c r="C89" i="3"/>
  <c r="B89" i="3"/>
  <c r="A89" i="3"/>
  <c r="H88" i="3"/>
  <c r="I88" i="3" s="1"/>
  <c r="F88" i="3"/>
  <c r="E88" i="3"/>
  <c r="D88" i="3"/>
  <c r="C88" i="3"/>
  <c r="B88" i="3"/>
  <c r="A88" i="3"/>
  <c r="H87" i="3"/>
  <c r="I87" i="3" s="1"/>
  <c r="F87" i="3"/>
  <c r="E87" i="3"/>
  <c r="D87" i="3"/>
  <c r="C87" i="3"/>
  <c r="B87" i="3"/>
  <c r="A87" i="3"/>
  <c r="I86" i="3"/>
  <c r="H86" i="3"/>
  <c r="F86" i="3"/>
  <c r="E86" i="3"/>
  <c r="D86" i="3"/>
  <c r="C86" i="3"/>
  <c r="B86" i="3"/>
  <c r="A86" i="3"/>
  <c r="H85" i="3"/>
  <c r="I85" i="3" s="1"/>
  <c r="F85" i="3"/>
  <c r="E85" i="3"/>
  <c r="D85" i="3"/>
  <c r="C85" i="3"/>
  <c r="B85" i="3"/>
  <c r="A85" i="3"/>
  <c r="F84" i="3"/>
  <c r="E84" i="3"/>
  <c r="D84" i="3"/>
  <c r="H84" i="3" s="1"/>
  <c r="I84" i="3" s="1"/>
  <c r="C84" i="3"/>
  <c r="B84" i="3"/>
  <c r="A84" i="3"/>
  <c r="F83" i="3"/>
  <c r="E83" i="3"/>
  <c r="D83" i="3"/>
  <c r="H83" i="3" s="1"/>
  <c r="I83" i="3" s="1"/>
  <c r="C83" i="3"/>
  <c r="B83" i="3"/>
  <c r="A83" i="3"/>
  <c r="F82" i="3"/>
  <c r="E82" i="3"/>
  <c r="D82" i="3"/>
  <c r="H82" i="3" s="1"/>
  <c r="I82" i="3" s="1"/>
  <c r="C82" i="3"/>
  <c r="B82" i="3"/>
  <c r="A82" i="3"/>
  <c r="F81" i="3"/>
  <c r="E81" i="3"/>
  <c r="D81" i="3"/>
  <c r="H81" i="3" s="1"/>
  <c r="I81" i="3" s="1"/>
  <c r="C81" i="3"/>
  <c r="B81" i="3"/>
  <c r="A81" i="3"/>
  <c r="H80" i="3"/>
  <c r="I80" i="3" s="1"/>
  <c r="F80" i="3"/>
  <c r="E80" i="3"/>
  <c r="D80" i="3"/>
  <c r="C80" i="3"/>
  <c r="B80" i="3"/>
  <c r="A80" i="3"/>
  <c r="H79" i="3"/>
  <c r="I79" i="3" s="1"/>
  <c r="F79" i="3"/>
  <c r="E79" i="3"/>
  <c r="D79" i="3"/>
  <c r="C79" i="3"/>
  <c r="B79" i="3"/>
  <c r="A79" i="3"/>
  <c r="I78" i="3"/>
  <c r="H78" i="3"/>
  <c r="F78" i="3"/>
  <c r="E78" i="3"/>
  <c r="D78" i="3"/>
  <c r="C78" i="3"/>
  <c r="B78" i="3"/>
  <c r="A78" i="3"/>
  <c r="H77" i="3"/>
  <c r="I77" i="3" s="1"/>
  <c r="F77" i="3"/>
  <c r="E77" i="3"/>
  <c r="D77" i="3"/>
  <c r="C77" i="3"/>
  <c r="B77" i="3"/>
  <c r="A77" i="3"/>
  <c r="F76" i="3"/>
  <c r="E76" i="3"/>
  <c r="D76" i="3"/>
  <c r="H76" i="3" s="1"/>
  <c r="I76" i="3" s="1"/>
  <c r="C76" i="3"/>
  <c r="B76" i="3"/>
  <c r="A76" i="3"/>
  <c r="F75" i="3"/>
  <c r="E75" i="3"/>
  <c r="D75" i="3"/>
  <c r="H75" i="3" s="1"/>
  <c r="I75" i="3" s="1"/>
  <c r="C75" i="3"/>
  <c r="B75" i="3"/>
  <c r="A75" i="3"/>
  <c r="F74" i="3"/>
  <c r="E74" i="3"/>
  <c r="D74" i="3"/>
  <c r="H74" i="3" s="1"/>
  <c r="I74" i="3" s="1"/>
  <c r="C74" i="3"/>
  <c r="B74" i="3"/>
  <c r="A74" i="3"/>
  <c r="F73" i="3"/>
  <c r="E73" i="3"/>
  <c r="D73" i="3"/>
  <c r="H73" i="3" s="1"/>
  <c r="I73" i="3" s="1"/>
  <c r="C73" i="3"/>
  <c r="B73" i="3"/>
  <c r="A73" i="3"/>
  <c r="H72" i="3"/>
  <c r="I72" i="3" s="1"/>
  <c r="F72" i="3"/>
  <c r="E72" i="3"/>
  <c r="D72" i="3"/>
  <c r="C72" i="3"/>
  <c r="B72" i="3"/>
  <c r="A72" i="3"/>
  <c r="H71" i="3"/>
  <c r="I71" i="3" s="1"/>
  <c r="F71" i="3"/>
  <c r="E71" i="3"/>
  <c r="D71" i="3"/>
  <c r="C71" i="3"/>
  <c r="B71" i="3"/>
  <c r="A71" i="3"/>
  <c r="I70" i="3"/>
  <c r="H70" i="3"/>
  <c r="F70" i="3"/>
  <c r="E70" i="3"/>
  <c r="D70" i="3"/>
  <c r="C70" i="3"/>
  <c r="B70" i="3"/>
  <c r="A70" i="3"/>
  <c r="H69" i="3"/>
  <c r="I69" i="3" s="1"/>
  <c r="F69" i="3"/>
  <c r="E69" i="3"/>
  <c r="D69" i="3"/>
  <c r="C69" i="3"/>
  <c r="B69" i="3"/>
  <c r="A69" i="3"/>
  <c r="F68" i="3"/>
  <c r="E68" i="3"/>
  <c r="D68" i="3"/>
  <c r="H68" i="3" s="1"/>
  <c r="I68" i="3" s="1"/>
  <c r="C68" i="3"/>
  <c r="B68" i="3"/>
  <c r="A68" i="3"/>
  <c r="F67" i="3"/>
  <c r="E67" i="3"/>
  <c r="D67" i="3"/>
  <c r="H67" i="3" s="1"/>
  <c r="I67" i="3" s="1"/>
  <c r="C67" i="3"/>
  <c r="B67" i="3"/>
  <c r="A67" i="3"/>
  <c r="F66" i="3"/>
  <c r="E66" i="3"/>
  <c r="D66" i="3"/>
  <c r="H66" i="3" s="1"/>
  <c r="I66" i="3" s="1"/>
  <c r="C66" i="3"/>
  <c r="B66" i="3"/>
  <c r="A66" i="3"/>
  <c r="F65" i="3"/>
  <c r="E65" i="3"/>
  <c r="D65" i="3"/>
  <c r="H65" i="3" s="1"/>
  <c r="I65" i="3" s="1"/>
  <c r="C65" i="3"/>
  <c r="B65" i="3"/>
  <c r="A65" i="3"/>
  <c r="H64" i="3"/>
  <c r="I64" i="3" s="1"/>
  <c r="F64" i="3"/>
  <c r="E64" i="3"/>
  <c r="D64" i="3"/>
  <c r="C64" i="3"/>
  <c r="B64" i="3"/>
  <c r="A64" i="3"/>
  <c r="H63" i="3"/>
  <c r="I63" i="3" s="1"/>
  <c r="F63" i="3"/>
  <c r="E63" i="3"/>
  <c r="D63" i="3"/>
  <c r="C63" i="3"/>
  <c r="B63" i="3"/>
  <c r="A63" i="3"/>
  <c r="I62" i="3"/>
  <c r="H62" i="3"/>
  <c r="F62" i="3"/>
  <c r="E62" i="3"/>
  <c r="D62" i="3"/>
  <c r="C62" i="3"/>
  <c r="B62" i="3"/>
  <c r="A62" i="3"/>
  <c r="H61" i="3"/>
  <c r="I61" i="3" s="1"/>
  <c r="F61" i="3"/>
  <c r="E61" i="3"/>
  <c r="D61" i="3"/>
  <c r="C61" i="3"/>
  <c r="B61" i="3"/>
  <c r="A61" i="3"/>
  <c r="F60" i="3"/>
  <c r="E60" i="3"/>
  <c r="D60" i="3"/>
  <c r="H60" i="3" s="1"/>
  <c r="I60" i="3" s="1"/>
  <c r="C60" i="3"/>
  <c r="B60" i="3"/>
  <c r="A60" i="3"/>
  <c r="F59" i="3"/>
  <c r="E59" i="3"/>
  <c r="D59" i="3"/>
  <c r="H59" i="3" s="1"/>
  <c r="I59" i="3" s="1"/>
  <c r="C59" i="3"/>
  <c r="B59" i="3"/>
  <c r="A59" i="3"/>
  <c r="F58" i="3"/>
  <c r="E58" i="3"/>
  <c r="D58" i="3"/>
  <c r="H58" i="3" s="1"/>
  <c r="I58" i="3" s="1"/>
  <c r="C58" i="3"/>
  <c r="B58" i="3"/>
  <c r="A58" i="3"/>
  <c r="F57" i="3"/>
  <c r="E57" i="3"/>
  <c r="D57" i="3"/>
  <c r="H57" i="3" s="1"/>
  <c r="I57" i="3" s="1"/>
  <c r="C57" i="3"/>
  <c r="B57" i="3"/>
  <c r="A57" i="3"/>
  <c r="H56" i="3"/>
  <c r="I56" i="3" s="1"/>
  <c r="F56" i="3"/>
  <c r="E56" i="3"/>
  <c r="D56" i="3"/>
  <c r="C56" i="3"/>
  <c r="B56" i="3"/>
  <c r="A56" i="3"/>
  <c r="H55" i="3"/>
  <c r="I55" i="3" s="1"/>
  <c r="F55" i="3"/>
  <c r="E55" i="3"/>
  <c r="D55" i="3"/>
  <c r="C55" i="3"/>
  <c r="B55" i="3"/>
  <c r="A55" i="3"/>
  <c r="I54" i="3"/>
  <c r="H54" i="3"/>
  <c r="F54" i="3"/>
  <c r="E54" i="3"/>
  <c r="D54" i="3"/>
  <c r="C54" i="3"/>
  <c r="B54" i="3"/>
  <c r="A54" i="3"/>
  <c r="H53" i="3"/>
  <c r="I53" i="3" s="1"/>
  <c r="F53" i="3"/>
  <c r="E53" i="3"/>
  <c r="D53" i="3"/>
  <c r="C53" i="3"/>
  <c r="B53" i="3"/>
  <c r="A53" i="3"/>
  <c r="F52" i="3"/>
  <c r="E52" i="3"/>
  <c r="D52" i="3"/>
  <c r="H52" i="3" s="1"/>
  <c r="I52" i="3" s="1"/>
  <c r="C52" i="3"/>
  <c r="B52" i="3"/>
  <c r="A52" i="3"/>
  <c r="F51" i="3"/>
  <c r="E51" i="3"/>
  <c r="D51" i="3"/>
  <c r="H51" i="3" s="1"/>
  <c r="I51" i="3" s="1"/>
  <c r="C51" i="3"/>
  <c r="B51" i="3"/>
  <c r="A51" i="3"/>
  <c r="F50" i="3"/>
  <c r="E50" i="3"/>
  <c r="D50" i="3"/>
  <c r="H50" i="3" s="1"/>
  <c r="I50" i="3" s="1"/>
  <c r="C50" i="3"/>
  <c r="B50" i="3"/>
  <c r="A50" i="3"/>
  <c r="F49" i="3"/>
  <c r="E49" i="3"/>
  <c r="D49" i="3"/>
  <c r="H49" i="3" s="1"/>
  <c r="I49" i="3" s="1"/>
  <c r="C49" i="3"/>
  <c r="B49" i="3"/>
  <c r="A49" i="3"/>
  <c r="H48" i="3"/>
  <c r="I48" i="3" s="1"/>
  <c r="F48" i="3"/>
  <c r="E48" i="3"/>
  <c r="D48" i="3"/>
  <c r="C48" i="3"/>
  <c r="B48" i="3"/>
  <c r="A48" i="3"/>
  <c r="H47" i="3"/>
  <c r="I47" i="3" s="1"/>
  <c r="F47" i="3"/>
  <c r="E47" i="3"/>
  <c r="D47" i="3"/>
  <c r="C47" i="3"/>
  <c r="B47" i="3"/>
  <c r="A47" i="3"/>
  <c r="I46" i="3"/>
  <c r="H46" i="3"/>
  <c r="F46" i="3"/>
  <c r="E46" i="3"/>
  <c r="D46" i="3"/>
  <c r="C46" i="3"/>
  <c r="B46" i="3"/>
  <c r="A46" i="3"/>
  <c r="H45" i="3"/>
  <c r="I45" i="3" s="1"/>
  <c r="F45" i="3"/>
  <c r="E45" i="3"/>
  <c r="D45" i="3"/>
  <c r="C45" i="3"/>
  <c r="B45" i="3"/>
  <c r="A45" i="3"/>
  <c r="F44" i="3"/>
  <c r="E44" i="3"/>
  <c r="D44" i="3"/>
  <c r="H44" i="3" s="1"/>
  <c r="I44" i="3" s="1"/>
  <c r="C44" i="3"/>
  <c r="B44" i="3"/>
  <c r="A44" i="3"/>
  <c r="F43" i="3"/>
  <c r="E43" i="3"/>
  <c r="D43" i="3"/>
  <c r="H43" i="3" s="1"/>
  <c r="I43" i="3" s="1"/>
  <c r="C43" i="3"/>
  <c r="B43" i="3"/>
  <c r="A43" i="3"/>
  <c r="F42" i="3"/>
  <c r="E42" i="3"/>
  <c r="D42" i="3"/>
  <c r="H42" i="3" s="1"/>
  <c r="I42" i="3" s="1"/>
  <c r="C42" i="3"/>
  <c r="B42" i="3"/>
  <c r="A42" i="3"/>
  <c r="F41" i="3"/>
  <c r="E41" i="3"/>
  <c r="D41" i="3"/>
  <c r="H41" i="3" s="1"/>
  <c r="I41" i="3" s="1"/>
  <c r="C41" i="3"/>
  <c r="B41" i="3"/>
  <c r="A41" i="3"/>
  <c r="H40" i="3"/>
  <c r="I40" i="3" s="1"/>
  <c r="F40" i="3"/>
  <c r="E40" i="3"/>
  <c r="D40" i="3"/>
  <c r="C40" i="3"/>
  <c r="B40" i="3"/>
  <c r="A40" i="3"/>
  <c r="H39" i="3"/>
  <c r="I39" i="3" s="1"/>
  <c r="F39" i="3"/>
  <c r="E39" i="3"/>
  <c r="D39" i="3"/>
  <c r="C39" i="3"/>
  <c r="B39" i="3"/>
  <c r="A39" i="3"/>
  <c r="I38" i="3"/>
  <c r="H38" i="3"/>
  <c r="F38" i="3"/>
  <c r="E38" i="3"/>
  <c r="D38" i="3"/>
  <c r="C38" i="3"/>
  <c r="B38" i="3"/>
  <c r="A38" i="3"/>
  <c r="H37" i="3"/>
  <c r="I37" i="3" s="1"/>
  <c r="F37" i="3"/>
  <c r="E37" i="3"/>
  <c r="D37" i="3"/>
  <c r="C37" i="3"/>
  <c r="B37" i="3"/>
  <c r="A37" i="3"/>
  <c r="F36" i="3"/>
  <c r="E36" i="3"/>
  <c r="D36" i="3"/>
  <c r="H36" i="3" s="1"/>
  <c r="I36" i="3" s="1"/>
  <c r="C36" i="3"/>
  <c r="B36" i="3"/>
  <c r="A36" i="3"/>
  <c r="F35" i="3"/>
  <c r="E35" i="3"/>
  <c r="D35" i="3"/>
  <c r="H35" i="3" s="1"/>
  <c r="I35" i="3" s="1"/>
  <c r="C35" i="3"/>
  <c r="B35" i="3"/>
  <c r="A35" i="3"/>
  <c r="F34" i="3"/>
  <c r="E34" i="3"/>
  <c r="D34" i="3"/>
  <c r="H34" i="3" s="1"/>
  <c r="I34" i="3" s="1"/>
  <c r="C34" i="3"/>
  <c r="B34" i="3"/>
  <c r="A34" i="3"/>
  <c r="F33" i="3"/>
  <c r="E33" i="3"/>
  <c r="D33" i="3"/>
  <c r="H33" i="3" s="1"/>
  <c r="I33" i="3" s="1"/>
  <c r="C33" i="3"/>
  <c r="B33" i="3"/>
  <c r="A33" i="3"/>
  <c r="H32" i="3"/>
  <c r="I32" i="3" s="1"/>
  <c r="F32" i="3"/>
  <c r="E32" i="3"/>
  <c r="D32" i="3"/>
  <c r="C32" i="3"/>
  <c r="B32" i="3"/>
  <c r="A32" i="3"/>
  <c r="H31" i="3"/>
  <c r="I31" i="3" s="1"/>
  <c r="F31" i="3"/>
  <c r="E31" i="3"/>
  <c r="D31" i="3"/>
  <c r="C31" i="3"/>
  <c r="B31" i="3"/>
  <c r="A31" i="3"/>
  <c r="I30" i="3"/>
  <c r="H30" i="3"/>
  <c r="F30" i="3"/>
  <c r="E30" i="3"/>
  <c r="D30" i="3"/>
  <c r="C30" i="3"/>
  <c r="B30" i="3"/>
  <c r="A30" i="3"/>
  <c r="H29" i="3"/>
  <c r="I29" i="3" s="1"/>
  <c r="F29" i="3"/>
  <c r="E29" i="3"/>
  <c r="D29" i="3"/>
  <c r="C29" i="3"/>
  <c r="B29" i="3"/>
  <c r="A29" i="3"/>
  <c r="F28" i="3"/>
  <c r="E28" i="3"/>
  <c r="D28" i="3"/>
  <c r="H28" i="3" s="1"/>
  <c r="I28" i="3" s="1"/>
  <c r="C28" i="3"/>
  <c r="B28" i="3"/>
  <c r="A28" i="3"/>
  <c r="F27" i="3"/>
  <c r="E27" i="3"/>
  <c r="D27" i="3"/>
  <c r="H27" i="3" s="1"/>
  <c r="I27" i="3" s="1"/>
  <c r="C27" i="3"/>
  <c r="B27" i="3"/>
  <c r="A27" i="3"/>
  <c r="F26" i="3"/>
  <c r="E26" i="3"/>
  <c r="D26" i="3"/>
  <c r="H26" i="3" s="1"/>
  <c r="I26" i="3" s="1"/>
  <c r="C26" i="3"/>
  <c r="B26" i="3"/>
  <c r="A26" i="3"/>
  <c r="F25" i="3"/>
  <c r="E25" i="3"/>
  <c r="D25" i="3"/>
  <c r="H25" i="3" s="1"/>
  <c r="I25" i="3" s="1"/>
  <c r="C25" i="3"/>
  <c r="B25" i="3"/>
  <c r="A25" i="3"/>
  <c r="H24" i="3"/>
  <c r="I24" i="3" s="1"/>
  <c r="F24" i="3"/>
  <c r="E24" i="3"/>
  <c r="D24" i="3"/>
  <c r="C24" i="3"/>
  <c r="B24" i="3"/>
  <c r="A24" i="3"/>
  <c r="H23" i="3"/>
  <c r="I23" i="3" s="1"/>
  <c r="F23" i="3"/>
  <c r="E23" i="3"/>
  <c r="D23" i="3"/>
  <c r="C23" i="3"/>
  <c r="B23" i="3"/>
  <c r="A23" i="3"/>
  <c r="I22" i="3"/>
  <c r="H22" i="3"/>
  <c r="F22" i="3"/>
  <c r="E22" i="3"/>
  <c r="D22" i="3"/>
  <c r="C22" i="3"/>
  <c r="B22" i="3"/>
  <c r="A22" i="3"/>
  <c r="H21" i="3"/>
  <c r="I21" i="3" s="1"/>
  <c r="F21" i="3"/>
  <c r="E21" i="3"/>
  <c r="D21" i="3"/>
  <c r="C21" i="3"/>
  <c r="B21" i="3"/>
  <c r="A21" i="3"/>
  <c r="F20" i="3"/>
  <c r="E20" i="3"/>
  <c r="D20" i="3"/>
  <c r="H20" i="3" s="1"/>
  <c r="I20" i="3" s="1"/>
  <c r="C20" i="3"/>
  <c r="B20" i="3"/>
  <c r="A20" i="3"/>
  <c r="F19" i="3"/>
  <c r="E19" i="3"/>
  <c r="D19" i="3"/>
  <c r="H19" i="3" s="1"/>
  <c r="I19" i="3" s="1"/>
  <c r="C19" i="3"/>
  <c r="B19" i="3"/>
  <c r="A19" i="3"/>
  <c r="F18" i="3"/>
  <c r="E18" i="3"/>
  <c r="D18" i="3"/>
  <c r="H18" i="3" s="1"/>
  <c r="I18" i="3" s="1"/>
  <c r="C18" i="3"/>
  <c r="B18" i="3"/>
  <c r="A18" i="3"/>
  <c r="F17" i="3"/>
  <c r="E17" i="3"/>
  <c r="D17" i="3"/>
  <c r="H17" i="3" s="1"/>
  <c r="I17" i="3" s="1"/>
  <c r="C17" i="3"/>
  <c r="B17" i="3"/>
  <c r="A17" i="3"/>
  <c r="H16" i="3"/>
  <c r="I16" i="3" s="1"/>
  <c r="F16" i="3"/>
  <c r="E16" i="3"/>
  <c r="D16" i="3"/>
  <c r="C16" i="3"/>
  <c r="B16" i="3"/>
  <c r="A16" i="3"/>
  <c r="H15" i="3"/>
  <c r="I15" i="3" s="1"/>
  <c r="F15" i="3"/>
  <c r="E15" i="3"/>
  <c r="D15" i="3"/>
  <c r="C15" i="3"/>
  <c r="B15" i="3"/>
  <c r="A15" i="3"/>
  <c r="I14" i="3"/>
  <c r="H14" i="3"/>
  <c r="F14" i="3"/>
  <c r="E14" i="3"/>
  <c r="D14" i="3"/>
  <c r="C14" i="3"/>
  <c r="B14" i="3"/>
  <c r="A14" i="3"/>
  <c r="H13" i="3"/>
  <c r="I13" i="3" s="1"/>
  <c r="F13" i="3"/>
  <c r="E13" i="3"/>
  <c r="D13" i="3"/>
  <c r="C13" i="3"/>
  <c r="B13" i="3"/>
  <c r="A13" i="3"/>
  <c r="F12" i="3"/>
  <c r="E12" i="3"/>
  <c r="D12" i="3"/>
  <c r="H12" i="3" s="1"/>
  <c r="I12" i="3" s="1"/>
  <c r="C12" i="3"/>
  <c r="B12" i="3"/>
  <c r="A12" i="3"/>
  <c r="F11" i="3"/>
  <c r="E11" i="3"/>
  <c r="D11" i="3"/>
  <c r="H11" i="3" s="1"/>
  <c r="I11" i="3" s="1"/>
  <c r="C11" i="3"/>
  <c r="B11" i="3"/>
  <c r="A11" i="3"/>
  <c r="F10" i="3"/>
  <c r="E10" i="3"/>
  <c r="D10" i="3"/>
  <c r="H10" i="3" s="1"/>
  <c r="I10" i="3" s="1"/>
  <c r="C10" i="3"/>
  <c r="B10" i="3"/>
  <c r="A10" i="3"/>
  <c r="F9" i="3"/>
  <c r="E9" i="3"/>
  <c r="D9" i="3"/>
  <c r="H9" i="3" s="1"/>
  <c r="I9" i="3" s="1"/>
  <c r="C9" i="3"/>
  <c r="B9" i="3"/>
  <c r="A9" i="3"/>
  <c r="H8" i="3"/>
  <c r="I8" i="3" s="1"/>
  <c r="F8" i="3"/>
  <c r="E8" i="3"/>
  <c r="D8" i="3"/>
  <c r="C8" i="3"/>
  <c r="B8" i="3"/>
  <c r="A8" i="3"/>
  <c r="H7" i="3"/>
  <c r="I7" i="3" s="1"/>
  <c r="F7" i="3"/>
  <c r="E7" i="3"/>
  <c r="D7" i="3"/>
  <c r="C7" i="3"/>
  <c r="B7" i="3"/>
  <c r="A7" i="3"/>
  <c r="I6" i="3"/>
  <c r="H6" i="3"/>
  <c r="F6" i="3"/>
  <c r="E6" i="3"/>
  <c r="D6" i="3"/>
  <c r="C6" i="3"/>
  <c r="B6" i="3"/>
  <c r="A6" i="3"/>
  <c r="H5" i="3"/>
  <c r="I5" i="3" s="1"/>
  <c r="F5" i="3"/>
  <c r="E5" i="3"/>
  <c r="D5" i="3"/>
  <c r="C5" i="3"/>
  <c r="B5" i="3"/>
  <c r="A5" i="3"/>
  <c r="R4" i="3"/>
  <c r="J4" i="3"/>
  <c r="F4" i="3"/>
  <c r="E4" i="3"/>
  <c r="D4" i="3"/>
  <c r="H4" i="3" s="1"/>
  <c r="I4" i="3" s="1"/>
  <c r="C4" i="3"/>
  <c r="B4" i="3"/>
  <c r="A4" i="3"/>
  <c r="C40" i="2"/>
  <c r="B40" i="2"/>
  <c r="A40" i="2"/>
  <c r="C39" i="2"/>
  <c r="B39" i="2"/>
  <c r="A39" i="2"/>
  <c r="C38" i="2"/>
  <c r="B38" i="2"/>
  <c r="A38" i="2"/>
  <c r="C37" i="2"/>
  <c r="B37" i="2"/>
  <c r="A37" i="2"/>
  <c r="C36" i="2"/>
  <c r="B36" i="2"/>
  <c r="A36" i="2"/>
  <c r="C35" i="2"/>
  <c r="B35" i="2"/>
  <c r="A35" i="2"/>
  <c r="C34" i="2"/>
  <c r="B34" i="2"/>
  <c r="A34" i="2"/>
  <c r="C33" i="2"/>
  <c r="B33" i="2"/>
  <c r="A33" i="2"/>
  <c r="C32" i="2"/>
  <c r="B32" i="2"/>
  <c r="A32" i="2"/>
  <c r="C31" i="2"/>
  <c r="B31" i="2"/>
  <c r="A31" i="2"/>
  <c r="C30" i="2"/>
  <c r="B30" i="2"/>
  <c r="A30" i="2"/>
  <c r="C29" i="2"/>
  <c r="B29" i="2"/>
  <c r="A29" i="2"/>
  <c r="C28" i="2"/>
  <c r="B28" i="2"/>
  <c r="A28" i="2"/>
  <c r="C27" i="2"/>
  <c r="B27" i="2"/>
  <c r="A27" i="2"/>
  <c r="C26" i="2"/>
  <c r="B26" i="2"/>
  <c r="A26" i="2"/>
  <c r="C25" i="2"/>
  <c r="B25" i="2"/>
  <c r="A25" i="2"/>
  <c r="C24" i="2"/>
  <c r="B24" i="2"/>
  <c r="A24" i="2"/>
  <c r="C23" i="2"/>
  <c r="B23" i="2"/>
  <c r="A23" i="2"/>
  <c r="H13" i="2"/>
  <c r="H12" i="2"/>
  <c r="H11" i="2"/>
  <c r="H10" i="2"/>
  <c r="H9" i="2"/>
  <c r="H8" i="2"/>
  <c r="L384" i="1"/>
  <c r="G384" i="1"/>
  <c r="F384" i="1"/>
  <c r="H384" i="1" s="1"/>
  <c r="E384" i="1"/>
  <c r="L383" i="1"/>
  <c r="G383" i="1"/>
  <c r="H383" i="1" s="1"/>
  <c r="F383" i="1"/>
  <c r="E383" i="1"/>
  <c r="L382" i="1"/>
  <c r="G382" i="1"/>
  <c r="F382" i="1"/>
  <c r="E382" i="1"/>
  <c r="H382" i="1" s="1"/>
  <c r="L381" i="1"/>
  <c r="G381" i="1"/>
  <c r="F381" i="1"/>
  <c r="E381" i="1"/>
  <c r="H381" i="1" s="1"/>
  <c r="L380" i="1"/>
  <c r="H380" i="1"/>
  <c r="G380" i="1"/>
  <c r="F380" i="1"/>
  <c r="E380" i="1"/>
  <c r="L379" i="1"/>
  <c r="G379" i="1"/>
  <c r="F379" i="1"/>
  <c r="E379" i="1"/>
  <c r="H379" i="1" s="1"/>
  <c r="L378" i="1"/>
  <c r="G378" i="1"/>
  <c r="F378" i="1"/>
  <c r="E378" i="1"/>
  <c r="L377" i="1"/>
  <c r="H377" i="1"/>
  <c r="G377" i="1"/>
  <c r="F377" i="1"/>
  <c r="E377" i="1"/>
  <c r="L376" i="1"/>
  <c r="G376" i="1"/>
  <c r="F376" i="1"/>
  <c r="E376" i="1"/>
  <c r="L375" i="1"/>
  <c r="H375" i="1"/>
  <c r="G375" i="1"/>
  <c r="F375" i="1"/>
  <c r="E375" i="1"/>
  <c r="L374" i="1"/>
  <c r="G374" i="1"/>
  <c r="F374" i="1"/>
  <c r="E374" i="1"/>
  <c r="H374" i="1" s="1"/>
  <c r="L373" i="1"/>
  <c r="G373" i="1"/>
  <c r="F373" i="1"/>
  <c r="H373" i="1" s="1"/>
  <c r="E373" i="1"/>
  <c r="L372" i="1"/>
  <c r="G372" i="1"/>
  <c r="F372" i="1"/>
  <c r="E372" i="1"/>
  <c r="H372" i="1" s="1"/>
  <c r="L371" i="1"/>
  <c r="G371" i="1"/>
  <c r="F371" i="1"/>
  <c r="E371" i="1"/>
  <c r="H371" i="1" s="1"/>
  <c r="L370" i="1"/>
  <c r="H370" i="1"/>
  <c r="G370" i="1"/>
  <c r="F370" i="1"/>
  <c r="E370" i="1"/>
  <c r="L369" i="1"/>
  <c r="G369" i="1"/>
  <c r="F369" i="1"/>
  <c r="E369" i="1"/>
  <c r="H369" i="1" s="1"/>
  <c r="L368" i="1"/>
  <c r="G368" i="1"/>
  <c r="F368" i="1"/>
  <c r="H368" i="1" s="1"/>
  <c r="E368" i="1"/>
  <c r="L367" i="1"/>
  <c r="G367" i="1"/>
  <c r="F367" i="1"/>
  <c r="E367" i="1"/>
  <c r="H367" i="1" s="1"/>
  <c r="L366" i="1"/>
  <c r="G366" i="1"/>
  <c r="F366" i="1"/>
  <c r="E366" i="1"/>
  <c r="L365" i="1"/>
  <c r="G365" i="1"/>
  <c r="F365" i="1"/>
  <c r="E365" i="1"/>
  <c r="L364" i="1"/>
  <c r="G364" i="1"/>
  <c r="F364" i="1"/>
  <c r="E364" i="1"/>
  <c r="H364" i="1" s="1"/>
  <c r="L363" i="1"/>
  <c r="G363" i="1"/>
  <c r="F363" i="1"/>
  <c r="E363" i="1"/>
  <c r="L362" i="1"/>
  <c r="G362" i="1"/>
  <c r="F362" i="1"/>
  <c r="E362" i="1"/>
  <c r="H362" i="1" s="1"/>
  <c r="L361" i="1"/>
  <c r="G361" i="1"/>
  <c r="F361" i="1"/>
  <c r="E361" i="1"/>
  <c r="H361" i="1" s="1"/>
  <c r="L360" i="1"/>
  <c r="H360" i="1"/>
  <c r="G360" i="1"/>
  <c r="F360" i="1"/>
  <c r="E360" i="1"/>
  <c r="L359" i="1"/>
  <c r="G359" i="1"/>
  <c r="F359" i="1"/>
  <c r="E359" i="1"/>
  <c r="L358" i="1"/>
  <c r="G358" i="1"/>
  <c r="F358" i="1"/>
  <c r="E358" i="1"/>
  <c r="L357" i="1"/>
  <c r="H357" i="1"/>
  <c r="G357" i="1"/>
  <c r="F357" i="1"/>
  <c r="E357" i="1"/>
  <c r="L356" i="1"/>
  <c r="G356" i="1"/>
  <c r="F356" i="1"/>
  <c r="E356" i="1"/>
  <c r="L355" i="1"/>
  <c r="G355" i="1"/>
  <c r="F355" i="1"/>
  <c r="E355" i="1"/>
  <c r="L354" i="1"/>
  <c r="G354" i="1"/>
  <c r="F354" i="1"/>
  <c r="E354" i="1"/>
  <c r="H354" i="1" s="1"/>
  <c r="L353" i="1"/>
  <c r="G353" i="1"/>
  <c r="H353" i="1" s="1"/>
  <c r="F353" i="1"/>
  <c r="E353" i="1"/>
  <c r="L352" i="1"/>
  <c r="G352" i="1"/>
  <c r="F352" i="1"/>
  <c r="H352" i="1" s="1"/>
  <c r="E352" i="1"/>
  <c r="L351" i="1"/>
  <c r="G351" i="1"/>
  <c r="F351" i="1"/>
  <c r="H351" i="1" s="1"/>
  <c r="E351" i="1"/>
  <c r="L350" i="1"/>
  <c r="H350" i="1"/>
  <c r="G350" i="1"/>
  <c r="F350" i="1"/>
  <c r="E350" i="1"/>
  <c r="L349" i="1"/>
  <c r="G349" i="1"/>
  <c r="F349" i="1"/>
  <c r="E349" i="1"/>
  <c r="H349" i="1" s="1"/>
  <c r="L348" i="1"/>
  <c r="G348" i="1"/>
  <c r="F348" i="1"/>
  <c r="E348" i="1"/>
  <c r="L347" i="1"/>
  <c r="G347" i="1"/>
  <c r="F347" i="1"/>
  <c r="E347" i="1"/>
  <c r="H347" i="1" s="1"/>
  <c r="L346" i="1"/>
  <c r="G346" i="1"/>
  <c r="F346" i="1"/>
  <c r="H346" i="1" s="1"/>
  <c r="E346" i="1"/>
  <c r="L345" i="1"/>
  <c r="H345" i="1"/>
  <c r="G345" i="1"/>
  <c r="F345" i="1"/>
  <c r="E345" i="1"/>
  <c r="L344" i="1"/>
  <c r="G344" i="1"/>
  <c r="F344" i="1"/>
  <c r="H344" i="1" s="1"/>
  <c r="E344" i="1"/>
  <c r="L343" i="1"/>
  <c r="H343" i="1"/>
  <c r="G343" i="1"/>
  <c r="F343" i="1"/>
  <c r="E343" i="1"/>
  <c r="L342" i="1"/>
  <c r="G342" i="1"/>
  <c r="F342" i="1"/>
  <c r="H342" i="1" s="1"/>
  <c r="E342" i="1"/>
  <c r="L341" i="1"/>
  <c r="G341" i="1"/>
  <c r="F341" i="1"/>
  <c r="E341" i="1"/>
  <c r="L340" i="1"/>
  <c r="H340" i="1"/>
  <c r="G340" i="1"/>
  <c r="F340" i="1"/>
  <c r="E340" i="1"/>
  <c r="L339" i="1"/>
  <c r="G339" i="1"/>
  <c r="F339" i="1"/>
  <c r="E339" i="1"/>
  <c r="H339" i="1" s="1"/>
  <c r="L338" i="1"/>
  <c r="G338" i="1"/>
  <c r="F338" i="1"/>
  <c r="H338" i="1" s="1"/>
  <c r="E338" i="1"/>
  <c r="L337" i="1"/>
  <c r="G337" i="1"/>
  <c r="F337" i="1"/>
  <c r="E337" i="1"/>
  <c r="H337" i="1" s="1"/>
  <c r="L336" i="1"/>
  <c r="H336" i="1"/>
  <c r="G336" i="1"/>
  <c r="F336" i="1"/>
  <c r="E336" i="1"/>
  <c r="L335" i="1"/>
  <c r="H335" i="1"/>
  <c r="G335" i="1"/>
  <c r="F335" i="1"/>
  <c r="E335" i="1"/>
  <c r="L334" i="1"/>
  <c r="G334" i="1"/>
  <c r="F334" i="1"/>
  <c r="E334" i="1"/>
  <c r="L333" i="1"/>
  <c r="G333" i="1"/>
  <c r="H333" i="1" s="1"/>
  <c r="F333" i="1"/>
  <c r="E333" i="1"/>
  <c r="L332" i="1"/>
  <c r="G332" i="1"/>
  <c r="F332" i="1"/>
  <c r="H332" i="1" s="1"/>
  <c r="E332" i="1"/>
  <c r="L331" i="1"/>
  <c r="G331" i="1"/>
  <c r="F331" i="1"/>
  <c r="E331" i="1"/>
  <c r="L330" i="1"/>
  <c r="H330" i="1"/>
  <c r="G330" i="1"/>
  <c r="F330" i="1"/>
  <c r="E330" i="1"/>
  <c r="L329" i="1"/>
  <c r="G329" i="1"/>
  <c r="H329" i="1" s="1"/>
  <c r="F329" i="1"/>
  <c r="E329" i="1"/>
  <c r="L328" i="1"/>
  <c r="H328" i="1"/>
  <c r="G328" i="1"/>
  <c r="F328" i="1"/>
  <c r="E328" i="1"/>
  <c r="L327" i="1"/>
  <c r="G327" i="1"/>
  <c r="F327" i="1"/>
  <c r="E327" i="1"/>
  <c r="L326" i="1"/>
  <c r="H326" i="1"/>
  <c r="G326" i="1"/>
  <c r="F326" i="1"/>
  <c r="E326" i="1"/>
  <c r="L325" i="1"/>
  <c r="Z50" i="1" s="1"/>
  <c r="H325" i="1"/>
  <c r="G325" i="1"/>
  <c r="F325" i="1"/>
  <c r="E325" i="1"/>
  <c r="L324" i="1"/>
  <c r="G324" i="1"/>
  <c r="F324" i="1"/>
  <c r="E324" i="1"/>
  <c r="H324" i="1" s="1"/>
  <c r="L323" i="1"/>
  <c r="G323" i="1"/>
  <c r="F323" i="1"/>
  <c r="E323" i="1"/>
  <c r="L322" i="1"/>
  <c r="G322" i="1"/>
  <c r="F322" i="1"/>
  <c r="H322" i="1" s="1"/>
  <c r="E322" i="1"/>
  <c r="L321" i="1"/>
  <c r="G321" i="1"/>
  <c r="H321" i="1" s="1"/>
  <c r="F321" i="1"/>
  <c r="E321" i="1"/>
  <c r="L320" i="1"/>
  <c r="G320" i="1"/>
  <c r="F320" i="1"/>
  <c r="H320" i="1" s="1"/>
  <c r="E320" i="1"/>
  <c r="L319" i="1"/>
  <c r="H319" i="1"/>
  <c r="G319" i="1"/>
  <c r="F319" i="1"/>
  <c r="E319" i="1"/>
  <c r="L318" i="1"/>
  <c r="G318" i="1"/>
  <c r="F318" i="1"/>
  <c r="E318" i="1"/>
  <c r="H318" i="1" s="1"/>
  <c r="L317" i="1"/>
  <c r="G317" i="1"/>
  <c r="F317" i="1"/>
  <c r="E317" i="1"/>
  <c r="H317" i="1" s="1"/>
  <c r="L316" i="1"/>
  <c r="H316" i="1"/>
  <c r="G316" i="1"/>
  <c r="F316" i="1"/>
  <c r="E316" i="1"/>
  <c r="L315" i="1"/>
  <c r="G315" i="1"/>
  <c r="F315" i="1"/>
  <c r="E315" i="1"/>
  <c r="H315" i="1" s="1"/>
  <c r="L314" i="1"/>
  <c r="G314" i="1"/>
  <c r="F314" i="1"/>
  <c r="E314" i="1"/>
  <c r="H314" i="1" s="1"/>
  <c r="L313" i="1"/>
  <c r="H313" i="1"/>
  <c r="G313" i="1"/>
  <c r="F313" i="1"/>
  <c r="E313" i="1"/>
  <c r="L312" i="1"/>
  <c r="G312" i="1"/>
  <c r="F312" i="1"/>
  <c r="E312" i="1"/>
  <c r="L311" i="1"/>
  <c r="G311" i="1"/>
  <c r="F311" i="1"/>
  <c r="E311" i="1"/>
  <c r="H311" i="1" s="1"/>
  <c r="L310" i="1"/>
  <c r="G310" i="1"/>
  <c r="F310" i="1"/>
  <c r="E310" i="1"/>
  <c r="H310" i="1" s="1"/>
  <c r="L309" i="1"/>
  <c r="G309" i="1"/>
  <c r="F309" i="1"/>
  <c r="E309" i="1"/>
  <c r="L308" i="1"/>
  <c r="G308" i="1"/>
  <c r="F308" i="1"/>
  <c r="E308" i="1"/>
  <c r="H308" i="1" s="1"/>
  <c r="L307" i="1"/>
  <c r="G307" i="1"/>
  <c r="F307" i="1"/>
  <c r="E307" i="1"/>
  <c r="H307" i="1" s="1"/>
  <c r="L306" i="1"/>
  <c r="H306" i="1"/>
  <c r="G306" i="1"/>
  <c r="F306" i="1"/>
  <c r="E306" i="1"/>
  <c r="L305" i="1"/>
  <c r="G305" i="1"/>
  <c r="F305" i="1"/>
  <c r="E305" i="1"/>
  <c r="H305" i="1" s="1"/>
  <c r="L304" i="1"/>
  <c r="G304" i="1"/>
  <c r="F304" i="1"/>
  <c r="E304" i="1"/>
  <c r="L303" i="1"/>
  <c r="G303" i="1"/>
  <c r="F303" i="1"/>
  <c r="E303" i="1"/>
  <c r="H303" i="1" s="1"/>
  <c r="L302" i="1"/>
  <c r="G302" i="1"/>
  <c r="F302" i="1"/>
  <c r="H302" i="1" s="1"/>
  <c r="E302" i="1"/>
  <c r="L301" i="1"/>
  <c r="G301" i="1"/>
  <c r="F301" i="1"/>
  <c r="H301" i="1" s="1"/>
  <c r="E301" i="1"/>
  <c r="L300" i="1"/>
  <c r="G300" i="1"/>
  <c r="F300" i="1"/>
  <c r="E300" i="1"/>
  <c r="H300" i="1" s="1"/>
  <c r="L299" i="1"/>
  <c r="G299" i="1"/>
  <c r="F299" i="1"/>
  <c r="E299" i="1"/>
  <c r="L298" i="1"/>
  <c r="G298" i="1"/>
  <c r="F298" i="1"/>
  <c r="E298" i="1"/>
  <c r="H298" i="1" s="1"/>
  <c r="L297" i="1"/>
  <c r="G297" i="1"/>
  <c r="F297" i="1"/>
  <c r="E297" i="1"/>
  <c r="H297" i="1" s="1"/>
  <c r="L296" i="1"/>
  <c r="H296" i="1"/>
  <c r="G296" i="1"/>
  <c r="F296" i="1"/>
  <c r="E296" i="1"/>
  <c r="L295" i="1"/>
  <c r="G295" i="1"/>
  <c r="F295" i="1"/>
  <c r="H295" i="1" s="1"/>
  <c r="E295" i="1"/>
  <c r="L294" i="1"/>
  <c r="G294" i="1"/>
  <c r="F294" i="1"/>
  <c r="H294" i="1" s="1"/>
  <c r="E294" i="1"/>
  <c r="L293" i="1"/>
  <c r="H293" i="1"/>
  <c r="G293" i="1"/>
  <c r="F293" i="1"/>
  <c r="E293" i="1"/>
  <c r="L292" i="1"/>
  <c r="G292" i="1"/>
  <c r="F292" i="1"/>
  <c r="H292" i="1" s="1"/>
  <c r="E292" i="1"/>
  <c r="L291" i="1"/>
  <c r="G291" i="1"/>
  <c r="F291" i="1"/>
  <c r="E291" i="1"/>
  <c r="L290" i="1"/>
  <c r="G290" i="1"/>
  <c r="F290" i="1"/>
  <c r="E290" i="1"/>
  <c r="H290" i="1" s="1"/>
  <c r="L289" i="1"/>
  <c r="H289" i="1"/>
  <c r="G289" i="1"/>
  <c r="F289" i="1"/>
  <c r="E289" i="1"/>
  <c r="L288" i="1"/>
  <c r="G288" i="1"/>
  <c r="F288" i="1"/>
  <c r="H288" i="1" s="1"/>
  <c r="E288" i="1"/>
  <c r="L287" i="1"/>
  <c r="G287" i="1"/>
  <c r="F287" i="1"/>
  <c r="E287" i="1"/>
  <c r="L286" i="1"/>
  <c r="H286" i="1"/>
  <c r="G286" i="1"/>
  <c r="F286" i="1"/>
  <c r="E286" i="1"/>
  <c r="L285" i="1"/>
  <c r="H285" i="1"/>
  <c r="G285" i="1"/>
  <c r="F285" i="1"/>
  <c r="E285" i="1"/>
  <c r="L284" i="1"/>
  <c r="G284" i="1"/>
  <c r="F284" i="1"/>
  <c r="H284" i="1" s="1"/>
  <c r="E284" i="1"/>
  <c r="L283" i="1"/>
  <c r="G283" i="1"/>
  <c r="F283" i="1"/>
  <c r="E283" i="1"/>
  <c r="H283" i="1" s="1"/>
  <c r="L282" i="1"/>
  <c r="G282" i="1"/>
  <c r="F282" i="1"/>
  <c r="H282" i="1" s="1"/>
  <c r="E282" i="1"/>
  <c r="L281" i="1"/>
  <c r="G281" i="1"/>
  <c r="F281" i="1"/>
  <c r="E281" i="1"/>
  <c r="H281" i="1" s="1"/>
  <c r="L280" i="1"/>
  <c r="G280" i="1"/>
  <c r="F280" i="1"/>
  <c r="H280" i="1" s="1"/>
  <c r="E280" i="1"/>
  <c r="L279" i="1"/>
  <c r="H279" i="1"/>
  <c r="G279" i="1"/>
  <c r="F279" i="1"/>
  <c r="E279" i="1"/>
  <c r="L278" i="1"/>
  <c r="G278" i="1"/>
  <c r="F278" i="1"/>
  <c r="H278" i="1" s="1"/>
  <c r="E278" i="1"/>
  <c r="L277" i="1"/>
  <c r="G277" i="1"/>
  <c r="F277" i="1"/>
  <c r="E277" i="1"/>
  <c r="L276" i="1"/>
  <c r="H276" i="1"/>
  <c r="G276" i="1"/>
  <c r="F276" i="1"/>
  <c r="E276" i="1"/>
  <c r="L275" i="1"/>
  <c r="G275" i="1"/>
  <c r="F275" i="1"/>
  <c r="E275" i="1"/>
  <c r="L274" i="1"/>
  <c r="G274" i="1"/>
  <c r="F274" i="1"/>
  <c r="H274" i="1" s="1"/>
  <c r="E274" i="1"/>
  <c r="L273" i="1"/>
  <c r="G273" i="1"/>
  <c r="F273" i="1"/>
  <c r="E273" i="1"/>
  <c r="H273" i="1" s="1"/>
  <c r="L272" i="1"/>
  <c r="G272" i="1"/>
  <c r="H272" i="1" s="1"/>
  <c r="F272" i="1"/>
  <c r="E272" i="1"/>
  <c r="L271" i="1"/>
  <c r="G271" i="1"/>
  <c r="F271" i="1"/>
  <c r="E271" i="1"/>
  <c r="H271" i="1" s="1"/>
  <c r="L270" i="1"/>
  <c r="G270" i="1"/>
  <c r="F270" i="1"/>
  <c r="E270" i="1"/>
  <c r="H270" i="1" s="1"/>
  <c r="L269" i="1"/>
  <c r="H269" i="1"/>
  <c r="G269" i="1"/>
  <c r="F269" i="1"/>
  <c r="E269" i="1"/>
  <c r="L268" i="1"/>
  <c r="G268" i="1"/>
  <c r="F268" i="1"/>
  <c r="E268" i="1"/>
  <c r="H268" i="1" s="1"/>
  <c r="L267" i="1"/>
  <c r="G267" i="1"/>
  <c r="F267" i="1"/>
  <c r="E267" i="1"/>
  <c r="L266" i="1"/>
  <c r="H266" i="1"/>
  <c r="G266" i="1"/>
  <c r="F266" i="1"/>
  <c r="E266" i="1"/>
  <c r="L265" i="1"/>
  <c r="G265" i="1"/>
  <c r="H265" i="1" s="1"/>
  <c r="F265" i="1"/>
  <c r="E265" i="1"/>
  <c r="L264" i="1"/>
  <c r="G264" i="1"/>
  <c r="H264" i="1" s="1"/>
  <c r="F264" i="1"/>
  <c r="E264" i="1"/>
  <c r="L263" i="1"/>
  <c r="G263" i="1"/>
  <c r="F263" i="1"/>
  <c r="E263" i="1"/>
  <c r="L262" i="1"/>
  <c r="G262" i="1"/>
  <c r="H262" i="1" s="1"/>
  <c r="F262" i="1"/>
  <c r="E262" i="1"/>
  <c r="L261" i="1"/>
  <c r="G261" i="1"/>
  <c r="F261" i="1"/>
  <c r="E261" i="1"/>
  <c r="H261" i="1" s="1"/>
  <c r="L260" i="1"/>
  <c r="G260" i="1"/>
  <c r="F260" i="1"/>
  <c r="E260" i="1"/>
  <c r="H260" i="1" s="1"/>
  <c r="L259" i="1"/>
  <c r="G259" i="1"/>
  <c r="F259" i="1"/>
  <c r="E259" i="1"/>
  <c r="L258" i="1"/>
  <c r="G258" i="1"/>
  <c r="F258" i="1"/>
  <c r="E258" i="1"/>
  <c r="H258" i="1" s="1"/>
  <c r="L257" i="1"/>
  <c r="G257" i="1"/>
  <c r="H257" i="1" s="1"/>
  <c r="F257" i="1"/>
  <c r="E257" i="1"/>
  <c r="L256" i="1"/>
  <c r="G256" i="1"/>
  <c r="F256" i="1"/>
  <c r="H256" i="1" s="1"/>
  <c r="E256" i="1"/>
  <c r="L255" i="1"/>
  <c r="G255" i="1"/>
  <c r="H255" i="1" s="1"/>
  <c r="F255" i="1"/>
  <c r="E255" i="1"/>
  <c r="L254" i="1"/>
  <c r="H254" i="1"/>
  <c r="G254" i="1"/>
  <c r="F254" i="1"/>
  <c r="E254" i="1"/>
  <c r="L253" i="1"/>
  <c r="G253" i="1"/>
  <c r="F253" i="1"/>
  <c r="E253" i="1"/>
  <c r="H253" i="1" s="1"/>
  <c r="L252" i="1"/>
  <c r="H252" i="1"/>
  <c r="G252" i="1"/>
  <c r="F252" i="1"/>
  <c r="E252" i="1"/>
  <c r="L251" i="1"/>
  <c r="G251" i="1"/>
  <c r="F251" i="1"/>
  <c r="E251" i="1"/>
  <c r="H251" i="1" s="1"/>
  <c r="L250" i="1"/>
  <c r="G250" i="1"/>
  <c r="F250" i="1"/>
  <c r="E250" i="1"/>
  <c r="L249" i="1"/>
  <c r="H249" i="1"/>
  <c r="G249" i="1"/>
  <c r="F249" i="1"/>
  <c r="E249" i="1"/>
  <c r="L248" i="1"/>
  <c r="G248" i="1"/>
  <c r="F248" i="1"/>
  <c r="E248" i="1"/>
  <c r="L247" i="1"/>
  <c r="H247" i="1"/>
  <c r="G247" i="1"/>
  <c r="F247" i="1"/>
  <c r="E247" i="1"/>
  <c r="L246" i="1"/>
  <c r="G246" i="1"/>
  <c r="F246" i="1"/>
  <c r="E246" i="1"/>
  <c r="H246" i="1" s="1"/>
  <c r="L245" i="1"/>
  <c r="G245" i="1"/>
  <c r="F245" i="1"/>
  <c r="H245" i="1" s="1"/>
  <c r="E245" i="1"/>
  <c r="L244" i="1"/>
  <c r="G244" i="1"/>
  <c r="F244" i="1"/>
  <c r="E244" i="1"/>
  <c r="H244" i="1" s="1"/>
  <c r="L243" i="1"/>
  <c r="G243" i="1"/>
  <c r="F243" i="1"/>
  <c r="E243" i="1"/>
  <c r="L242" i="1"/>
  <c r="H242" i="1"/>
  <c r="G242" i="1"/>
  <c r="F242" i="1"/>
  <c r="E242" i="1"/>
  <c r="L241" i="1"/>
  <c r="G241" i="1"/>
  <c r="F241" i="1"/>
  <c r="E241" i="1"/>
  <c r="H241" i="1" s="1"/>
  <c r="L240" i="1"/>
  <c r="G240" i="1"/>
  <c r="F240" i="1"/>
  <c r="H240" i="1" s="1"/>
  <c r="E240" i="1"/>
  <c r="L239" i="1"/>
  <c r="G239" i="1"/>
  <c r="F239" i="1"/>
  <c r="E239" i="1"/>
  <c r="H239" i="1" s="1"/>
  <c r="L238" i="1"/>
  <c r="G238" i="1"/>
  <c r="F238" i="1"/>
  <c r="H238" i="1" s="1"/>
  <c r="E238" i="1"/>
  <c r="L237" i="1"/>
  <c r="H237" i="1"/>
  <c r="G237" i="1"/>
  <c r="F237" i="1"/>
  <c r="E237" i="1"/>
  <c r="L236" i="1"/>
  <c r="G236" i="1"/>
  <c r="F236" i="1"/>
  <c r="E236" i="1"/>
  <c r="L235" i="1"/>
  <c r="G235" i="1"/>
  <c r="F235" i="1"/>
  <c r="E235" i="1"/>
  <c r="L234" i="1"/>
  <c r="G234" i="1"/>
  <c r="F234" i="1"/>
  <c r="E234" i="1"/>
  <c r="H234" i="1" s="1"/>
  <c r="L233" i="1"/>
  <c r="G233" i="1"/>
  <c r="F233" i="1"/>
  <c r="E233" i="1"/>
  <c r="L232" i="1"/>
  <c r="H232" i="1"/>
  <c r="G232" i="1"/>
  <c r="F232" i="1"/>
  <c r="E232" i="1"/>
  <c r="L231" i="1"/>
  <c r="G231" i="1"/>
  <c r="F231" i="1"/>
  <c r="E231" i="1"/>
  <c r="L230" i="1"/>
  <c r="G230" i="1"/>
  <c r="F230" i="1"/>
  <c r="H230" i="1" s="1"/>
  <c r="E230" i="1"/>
  <c r="L229" i="1"/>
  <c r="H229" i="1"/>
  <c r="G229" i="1"/>
  <c r="F229" i="1"/>
  <c r="E229" i="1"/>
  <c r="L228" i="1"/>
  <c r="G228" i="1"/>
  <c r="F228" i="1"/>
  <c r="H228" i="1" s="1"/>
  <c r="E228" i="1"/>
  <c r="L227" i="1"/>
  <c r="G227" i="1"/>
  <c r="F227" i="1"/>
  <c r="E227" i="1"/>
  <c r="L226" i="1"/>
  <c r="G226" i="1"/>
  <c r="F226" i="1"/>
  <c r="E226" i="1"/>
  <c r="H226" i="1" s="1"/>
  <c r="L225" i="1"/>
  <c r="H225" i="1"/>
  <c r="G225" i="1"/>
  <c r="F225" i="1"/>
  <c r="E225" i="1"/>
  <c r="L224" i="1"/>
  <c r="G224" i="1"/>
  <c r="F224" i="1"/>
  <c r="H224" i="1" s="1"/>
  <c r="E224" i="1"/>
  <c r="L223" i="1"/>
  <c r="G223" i="1"/>
  <c r="F223" i="1"/>
  <c r="H223" i="1" s="1"/>
  <c r="E223" i="1"/>
  <c r="L222" i="1"/>
  <c r="H222" i="1"/>
  <c r="G222" i="1"/>
  <c r="F222" i="1"/>
  <c r="E222" i="1"/>
  <c r="L221" i="1"/>
  <c r="G221" i="1"/>
  <c r="F221" i="1"/>
  <c r="E221" i="1"/>
  <c r="H221" i="1" s="1"/>
  <c r="L220" i="1"/>
  <c r="G220" i="1"/>
  <c r="F220" i="1"/>
  <c r="H220" i="1" s="1"/>
  <c r="E220" i="1"/>
  <c r="L219" i="1"/>
  <c r="G219" i="1"/>
  <c r="F219" i="1"/>
  <c r="E219" i="1"/>
  <c r="H219" i="1" s="1"/>
  <c r="L218" i="1"/>
  <c r="G218" i="1"/>
  <c r="F218" i="1"/>
  <c r="H218" i="1" s="1"/>
  <c r="E218" i="1"/>
  <c r="L217" i="1"/>
  <c r="G217" i="1"/>
  <c r="F217" i="1"/>
  <c r="E217" i="1"/>
  <c r="H217" i="1" s="1"/>
  <c r="L216" i="1"/>
  <c r="G216" i="1"/>
  <c r="F216" i="1"/>
  <c r="E216" i="1"/>
  <c r="L215" i="1"/>
  <c r="G215" i="1"/>
  <c r="F215" i="1"/>
  <c r="E215" i="1"/>
  <c r="H215" i="1" s="1"/>
  <c r="L214" i="1"/>
  <c r="H214" i="1"/>
  <c r="G214" i="1"/>
  <c r="F214" i="1"/>
  <c r="E214" i="1"/>
  <c r="L213" i="1"/>
  <c r="G213" i="1"/>
  <c r="F213" i="1"/>
  <c r="E213" i="1"/>
  <c r="L212" i="1"/>
  <c r="G212" i="1"/>
  <c r="F212" i="1"/>
  <c r="E212" i="1"/>
  <c r="H212" i="1" s="1"/>
  <c r="L211" i="1"/>
  <c r="G211" i="1"/>
  <c r="F211" i="1"/>
  <c r="E211" i="1"/>
  <c r="H211" i="1" s="1"/>
  <c r="L210" i="1"/>
  <c r="G210" i="1"/>
  <c r="F210" i="1"/>
  <c r="H210" i="1" s="1"/>
  <c r="E210" i="1"/>
  <c r="L209" i="1"/>
  <c r="G209" i="1"/>
  <c r="F209" i="1"/>
  <c r="E209" i="1"/>
  <c r="H209" i="1" s="1"/>
  <c r="L208" i="1"/>
  <c r="G208" i="1"/>
  <c r="H208" i="1" s="1"/>
  <c r="F208" i="1"/>
  <c r="E208" i="1"/>
  <c r="L207" i="1"/>
  <c r="G207" i="1"/>
  <c r="F207" i="1"/>
  <c r="E207" i="1"/>
  <c r="H207" i="1" s="1"/>
  <c r="L206" i="1"/>
  <c r="G206" i="1"/>
  <c r="F206" i="1"/>
  <c r="E206" i="1"/>
  <c r="L205" i="1"/>
  <c r="G205" i="1"/>
  <c r="H205" i="1" s="1"/>
  <c r="F205" i="1"/>
  <c r="E205" i="1"/>
  <c r="L204" i="1"/>
  <c r="G204" i="1"/>
  <c r="F204" i="1"/>
  <c r="E204" i="1"/>
  <c r="H204" i="1" s="1"/>
  <c r="L203" i="1"/>
  <c r="G203" i="1"/>
  <c r="F203" i="1"/>
  <c r="E203" i="1"/>
  <c r="H203" i="1" s="1"/>
  <c r="L202" i="1"/>
  <c r="H202" i="1"/>
  <c r="G202" i="1"/>
  <c r="F202" i="1"/>
  <c r="E202" i="1"/>
  <c r="L201" i="1"/>
  <c r="G201" i="1"/>
  <c r="H201" i="1" s="1"/>
  <c r="F201" i="1"/>
  <c r="E201" i="1"/>
  <c r="L200" i="1"/>
  <c r="G200" i="1"/>
  <c r="H200" i="1" s="1"/>
  <c r="F200" i="1"/>
  <c r="E200" i="1"/>
  <c r="L199" i="1"/>
  <c r="G199" i="1"/>
  <c r="F199" i="1"/>
  <c r="E199" i="1"/>
  <c r="H199" i="1" s="1"/>
  <c r="L198" i="1"/>
  <c r="G198" i="1"/>
  <c r="H198" i="1" s="1"/>
  <c r="F198" i="1"/>
  <c r="E198" i="1"/>
  <c r="L197" i="1"/>
  <c r="G197" i="1"/>
  <c r="F197" i="1"/>
  <c r="E197" i="1"/>
  <c r="H197" i="1" s="1"/>
  <c r="L196" i="1"/>
  <c r="G196" i="1"/>
  <c r="F196" i="1"/>
  <c r="E196" i="1"/>
  <c r="L195" i="1"/>
  <c r="G195" i="1"/>
  <c r="F195" i="1"/>
  <c r="E195" i="1"/>
  <c r="L194" i="1"/>
  <c r="H194" i="1"/>
  <c r="G194" i="1"/>
  <c r="F194" i="1"/>
  <c r="E194" i="1"/>
  <c r="L193" i="1"/>
  <c r="G193" i="1"/>
  <c r="H193" i="1" s="1"/>
  <c r="F193" i="1"/>
  <c r="E193" i="1"/>
  <c r="L192" i="1"/>
  <c r="G192" i="1"/>
  <c r="F192" i="1"/>
  <c r="H192" i="1" s="1"/>
  <c r="E192" i="1"/>
  <c r="L191" i="1"/>
  <c r="G191" i="1"/>
  <c r="H191" i="1" s="1"/>
  <c r="F191" i="1"/>
  <c r="E191" i="1"/>
  <c r="L190" i="1"/>
  <c r="H190" i="1"/>
  <c r="G190" i="1"/>
  <c r="F190" i="1"/>
  <c r="E190" i="1"/>
  <c r="L189" i="1"/>
  <c r="G189" i="1"/>
  <c r="F189" i="1"/>
  <c r="E189" i="1"/>
  <c r="H189" i="1" s="1"/>
  <c r="L188" i="1"/>
  <c r="H188" i="1"/>
  <c r="G188" i="1"/>
  <c r="F188" i="1"/>
  <c r="E188" i="1"/>
  <c r="L187" i="1"/>
  <c r="G187" i="1"/>
  <c r="F187" i="1"/>
  <c r="E187" i="1"/>
  <c r="L186" i="1"/>
  <c r="G186" i="1"/>
  <c r="F186" i="1"/>
  <c r="E186" i="1"/>
  <c r="L185" i="1"/>
  <c r="G185" i="1"/>
  <c r="F185" i="1"/>
  <c r="E185" i="1"/>
  <c r="L184" i="1"/>
  <c r="G184" i="1"/>
  <c r="F184" i="1"/>
  <c r="E184" i="1"/>
  <c r="H184" i="1" s="1"/>
  <c r="L183" i="1"/>
  <c r="G183" i="1"/>
  <c r="H183" i="1" s="1"/>
  <c r="F183" i="1"/>
  <c r="E183" i="1"/>
  <c r="L182" i="1"/>
  <c r="G182" i="1"/>
  <c r="F182" i="1"/>
  <c r="E182" i="1"/>
  <c r="L181" i="1"/>
  <c r="H181" i="1"/>
  <c r="G181" i="1"/>
  <c r="F181" i="1"/>
  <c r="E181" i="1"/>
  <c r="L180" i="1"/>
  <c r="G180" i="1"/>
  <c r="F180" i="1"/>
  <c r="E180" i="1"/>
  <c r="H180" i="1" s="1"/>
  <c r="L179" i="1"/>
  <c r="H179" i="1"/>
  <c r="G179" i="1"/>
  <c r="F179" i="1"/>
  <c r="E179" i="1"/>
  <c r="L178" i="1"/>
  <c r="G178" i="1"/>
  <c r="F178" i="1"/>
  <c r="E178" i="1"/>
  <c r="L177" i="1"/>
  <c r="G177" i="1"/>
  <c r="F177" i="1"/>
  <c r="E177" i="1"/>
  <c r="H177" i="1" s="1"/>
  <c r="L176" i="1"/>
  <c r="G176" i="1"/>
  <c r="F176" i="1"/>
  <c r="E176" i="1"/>
  <c r="H176" i="1" s="1"/>
  <c r="L175" i="1"/>
  <c r="H175" i="1"/>
  <c r="G175" i="1"/>
  <c r="F175" i="1"/>
  <c r="E175" i="1"/>
  <c r="L174" i="1"/>
  <c r="G174" i="1"/>
  <c r="F174" i="1"/>
  <c r="E174" i="1"/>
  <c r="L173" i="1"/>
  <c r="G173" i="1"/>
  <c r="F173" i="1"/>
  <c r="E173" i="1"/>
  <c r="H173" i="1" s="1"/>
  <c r="L172" i="1"/>
  <c r="H172" i="1"/>
  <c r="G172" i="1"/>
  <c r="F172" i="1"/>
  <c r="E172" i="1"/>
  <c r="L171" i="1"/>
  <c r="G171" i="1"/>
  <c r="F171" i="1"/>
  <c r="H171" i="1" s="1"/>
  <c r="E171" i="1"/>
  <c r="L170" i="1"/>
  <c r="G170" i="1"/>
  <c r="F170" i="1"/>
  <c r="E170" i="1"/>
  <c r="L169" i="1"/>
  <c r="G169" i="1"/>
  <c r="F169" i="1"/>
  <c r="E169" i="1"/>
  <c r="L168" i="1"/>
  <c r="H168" i="1"/>
  <c r="G168" i="1"/>
  <c r="F168" i="1"/>
  <c r="E168" i="1"/>
  <c r="L167" i="1"/>
  <c r="G167" i="1"/>
  <c r="H167" i="1" s="1"/>
  <c r="F167" i="1"/>
  <c r="E167" i="1"/>
  <c r="L166" i="1"/>
  <c r="G166" i="1"/>
  <c r="F166" i="1"/>
  <c r="H166" i="1" s="1"/>
  <c r="E166" i="1"/>
  <c r="L165" i="1"/>
  <c r="G165" i="1"/>
  <c r="F165" i="1"/>
  <c r="E165" i="1"/>
  <c r="H165" i="1" s="1"/>
  <c r="L164" i="1"/>
  <c r="G164" i="1"/>
  <c r="H164" i="1" s="1"/>
  <c r="F164" i="1"/>
  <c r="E164" i="1"/>
  <c r="L163" i="1"/>
  <c r="G163" i="1"/>
  <c r="F163" i="1"/>
  <c r="H163" i="1" s="1"/>
  <c r="E163" i="1"/>
  <c r="L162" i="1"/>
  <c r="G162" i="1"/>
  <c r="F162" i="1"/>
  <c r="E162" i="1"/>
  <c r="H162" i="1" s="1"/>
  <c r="L161" i="1"/>
  <c r="G161" i="1"/>
  <c r="F161" i="1"/>
  <c r="E161" i="1"/>
  <c r="H161" i="1" s="1"/>
  <c r="L160" i="1"/>
  <c r="H160" i="1"/>
  <c r="G160" i="1"/>
  <c r="F160" i="1"/>
  <c r="E160" i="1"/>
  <c r="L159" i="1"/>
  <c r="G159" i="1"/>
  <c r="H159" i="1" s="1"/>
  <c r="F159" i="1"/>
  <c r="E159" i="1"/>
  <c r="L158" i="1"/>
  <c r="G158" i="1"/>
  <c r="F158" i="1"/>
  <c r="E158" i="1"/>
  <c r="L157" i="1"/>
  <c r="G157" i="1"/>
  <c r="F157" i="1"/>
  <c r="E157" i="1"/>
  <c r="H157" i="1" s="1"/>
  <c r="L156" i="1"/>
  <c r="G156" i="1"/>
  <c r="F156" i="1"/>
  <c r="E156" i="1"/>
  <c r="H156" i="1" s="1"/>
  <c r="L155" i="1"/>
  <c r="G155" i="1"/>
  <c r="H155" i="1" s="1"/>
  <c r="F155" i="1"/>
  <c r="E155" i="1"/>
  <c r="L154" i="1"/>
  <c r="G154" i="1"/>
  <c r="F154" i="1"/>
  <c r="E154" i="1"/>
  <c r="H154" i="1" s="1"/>
  <c r="L153" i="1"/>
  <c r="G153" i="1"/>
  <c r="F153" i="1"/>
  <c r="E153" i="1"/>
  <c r="L152" i="1"/>
  <c r="G152" i="1"/>
  <c r="F152" i="1"/>
  <c r="E152" i="1"/>
  <c r="H152" i="1" s="1"/>
  <c r="L151" i="1"/>
  <c r="H151" i="1"/>
  <c r="G151" i="1"/>
  <c r="F151" i="1"/>
  <c r="E151" i="1"/>
  <c r="L150" i="1"/>
  <c r="G150" i="1"/>
  <c r="F150" i="1"/>
  <c r="H150" i="1" s="1"/>
  <c r="E150" i="1"/>
  <c r="L149" i="1"/>
  <c r="G149" i="1"/>
  <c r="F149" i="1"/>
  <c r="E149" i="1"/>
  <c r="H149" i="1" s="1"/>
  <c r="L148" i="1"/>
  <c r="G148" i="1"/>
  <c r="F148" i="1"/>
  <c r="E148" i="1"/>
  <c r="H148" i="1" s="1"/>
  <c r="L147" i="1"/>
  <c r="H147" i="1"/>
  <c r="G147" i="1"/>
  <c r="F147" i="1"/>
  <c r="E147" i="1"/>
  <c r="L146" i="1"/>
  <c r="G146" i="1"/>
  <c r="F146" i="1"/>
  <c r="E146" i="1"/>
  <c r="L145" i="1"/>
  <c r="G145" i="1"/>
  <c r="F145" i="1"/>
  <c r="E145" i="1"/>
  <c r="H145" i="1" s="1"/>
  <c r="L144" i="1"/>
  <c r="H144" i="1"/>
  <c r="G144" i="1"/>
  <c r="F144" i="1"/>
  <c r="E144" i="1"/>
  <c r="L143" i="1"/>
  <c r="H143" i="1"/>
  <c r="G143" i="1"/>
  <c r="F143" i="1"/>
  <c r="E143" i="1"/>
  <c r="L142" i="1"/>
  <c r="G142" i="1"/>
  <c r="F142" i="1"/>
  <c r="E142" i="1"/>
  <c r="L141" i="1"/>
  <c r="G141" i="1"/>
  <c r="F141" i="1"/>
  <c r="H141" i="1" s="1"/>
  <c r="E141" i="1"/>
  <c r="L140" i="1"/>
  <c r="G140" i="1"/>
  <c r="F140" i="1"/>
  <c r="E140" i="1"/>
  <c r="H140" i="1" s="1"/>
  <c r="L139" i="1"/>
  <c r="G139" i="1"/>
  <c r="H139" i="1" s="1"/>
  <c r="F139" i="1"/>
  <c r="E139" i="1"/>
  <c r="L138" i="1"/>
  <c r="G138" i="1"/>
  <c r="F138" i="1"/>
  <c r="E138" i="1"/>
  <c r="L137" i="1"/>
  <c r="G137" i="1"/>
  <c r="F137" i="1"/>
  <c r="E137" i="1"/>
  <c r="H137" i="1" s="1"/>
  <c r="L136" i="1"/>
  <c r="H136" i="1"/>
  <c r="G136" i="1"/>
  <c r="F136" i="1"/>
  <c r="E136" i="1"/>
  <c r="L135" i="1"/>
  <c r="G135" i="1"/>
  <c r="H135" i="1" s="1"/>
  <c r="F135" i="1"/>
  <c r="E135" i="1"/>
  <c r="L134" i="1"/>
  <c r="G134" i="1"/>
  <c r="F134" i="1"/>
  <c r="H134" i="1" s="1"/>
  <c r="E134" i="1"/>
  <c r="L133" i="1"/>
  <c r="Z34" i="1" s="1"/>
  <c r="G133" i="1"/>
  <c r="F133" i="1"/>
  <c r="E133" i="1"/>
  <c r="H133" i="1" s="1"/>
  <c r="L132" i="1"/>
  <c r="G132" i="1"/>
  <c r="F132" i="1"/>
  <c r="E132" i="1"/>
  <c r="H132" i="1" s="1"/>
  <c r="L131" i="1"/>
  <c r="G131" i="1"/>
  <c r="F131" i="1"/>
  <c r="H131" i="1" s="1"/>
  <c r="E131" i="1"/>
  <c r="L130" i="1"/>
  <c r="G130" i="1"/>
  <c r="F130" i="1"/>
  <c r="E130" i="1"/>
  <c r="H130" i="1" s="1"/>
  <c r="L129" i="1"/>
  <c r="G129" i="1"/>
  <c r="F129" i="1"/>
  <c r="E129" i="1"/>
  <c r="L128" i="1"/>
  <c r="G128" i="1"/>
  <c r="F128" i="1"/>
  <c r="E128" i="1"/>
  <c r="H128" i="1" s="1"/>
  <c r="L127" i="1"/>
  <c r="H127" i="1"/>
  <c r="G127" i="1"/>
  <c r="F127" i="1"/>
  <c r="E127" i="1"/>
  <c r="L126" i="1"/>
  <c r="G126" i="1"/>
  <c r="F126" i="1"/>
  <c r="H126" i="1" s="1"/>
  <c r="E126" i="1"/>
  <c r="L125" i="1"/>
  <c r="H125" i="1"/>
  <c r="G125" i="1"/>
  <c r="F125" i="1"/>
  <c r="E125" i="1"/>
  <c r="L124" i="1"/>
  <c r="H124" i="1"/>
  <c r="G124" i="1"/>
  <c r="F124" i="1"/>
  <c r="E124" i="1"/>
  <c r="L123" i="1"/>
  <c r="G123" i="1"/>
  <c r="F123" i="1"/>
  <c r="H123" i="1" s="1"/>
  <c r="E123" i="1"/>
  <c r="L122" i="1"/>
  <c r="G122" i="1"/>
  <c r="F122" i="1"/>
  <c r="E122" i="1"/>
  <c r="L121" i="1"/>
  <c r="G121" i="1"/>
  <c r="F121" i="1"/>
  <c r="E121" i="1"/>
  <c r="L120" i="1"/>
  <c r="G120" i="1"/>
  <c r="F120" i="1"/>
  <c r="E120" i="1"/>
  <c r="H120" i="1" s="1"/>
  <c r="L119" i="1"/>
  <c r="G119" i="1"/>
  <c r="H119" i="1" s="1"/>
  <c r="F119" i="1"/>
  <c r="E119" i="1"/>
  <c r="L118" i="1"/>
  <c r="G118" i="1"/>
  <c r="F118" i="1"/>
  <c r="E118" i="1"/>
  <c r="L117" i="1"/>
  <c r="H117" i="1"/>
  <c r="G117" i="1"/>
  <c r="F117" i="1"/>
  <c r="E117" i="1"/>
  <c r="L116" i="1"/>
  <c r="G116" i="1"/>
  <c r="F116" i="1"/>
  <c r="E116" i="1"/>
  <c r="H116" i="1" s="1"/>
  <c r="L115" i="1"/>
  <c r="H115" i="1"/>
  <c r="G115" i="1"/>
  <c r="F115" i="1"/>
  <c r="E115" i="1"/>
  <c r="L114" i="1"/>
  <c r="G114" i="1"/>
  <c r="F114" i="1"/>
  <c r="E114" i="1"/>
  <c r="L113" i="1"/>
  <c r="G113" i="1"/>
  <c r="F113" i="1"/>
  <c r="E113" i="1"/>
  <c r="H113" i="1" s="1"/>
  <c r="L112" i="1"/>
  <c r="G112" i="1"/>
  <c r="F112" i="1"/>
  <c r="E112" i="1"/>
  <c r="H112" i="1" s="1"/>
  <c r="L111" i="1"/>
  <c r="H111" i="1"/>
  <c r="G111" i="1"/>
  <c r="F111" i="1"/>
  <c r="E111" i="1"/>
  <c r="L110" i="1"/>
  <c r="G110" i="1"/>
  <c r="F110" i="1"/>
  <c r="E110" i="1"/>
  <c r="L109" i="1"/>
  <c r="G109" i="1"/>
  <c r="F109" i="1"/>
  <c r="E109" i="1"/>
  <c r="H109" i="1" s="1"/>
  <c r="L108" i="1"/>
  <c r="H108" i="1"/>
  <c r="G108" i="1"/>
  <c r="F108" i="1"/>
  <c r="E108" i="1"/>
  <c r="L107" i="1"/>
  <c r="G107" i="1"/>
  <c r="F107" i="1"/>
  <c r="H107" i="1" s="1"/>
  <c r="E107" i="1"/>
  <c r="L106" i="1"/>
  <c r="G106" i="1"/>
  <c r="F106" i="1"/>
  <c r="E106" i="1"/>
  <c r="L105" i="1"/>
  <c r="G105" i="1"/>
  <c r="F105" i="1"/>
  <c r="E105" i="1"/>
  <c r="L104" i="1"/>
  <c r="H104" i="1"/>
  <c r="G104" i="1"/>
  <c r="F104" i="1"/>
  <c r="E104" i="1"/>
  <c r="L103" i="1"/>
  <c r="G103" i="1"/>
  <c r="H103" i="1" s="1"/>
  <c r="F103" i="1"/>
  <c r="E103" i="1"/>
  <c r="L102" i="1"/>
  <c r="G102" i="1"/>
  <c r="F102" i="1"/>
  <c r="H102" i="1" s="1"/>
  <c r="E102" i="1"/>
  <c r="L101" i="1"/>
  <c r="G101" i="1"/>
  <c r="F101" i="1"/>
  <c r="E101" i="1"/>
  <c r="H101" i="1" s="1"/>
  <c r="L100" i="1"/>
  <c r="G100" i="1"/>
  <c r="H100" i="1" s="1"/>
  <c r="F100" i="1"/>
  <c r="E100" i="1"/>
  <c r="L99" i="1"/>
  <c r="G99" i="1"/>
  <c r="F99" i="1"/>
  <c r="H99" i="1" s="1"/>
  <c r="E99" i="1"/>
  <c r="L98" i="1"/>
  <c r="G98" i="1"/>
  <c r="F98" i="1"/>
  <c r="E98" i="1"/>
  <c r="H98" i="1" s="1"/>
  <c r="L97" i="1"/>
  <c r="G97" i="1"/>
  <c r="F97" i="1"/>
  <c r="E97" i="1"/>
  <c r="H97" i="1" s="1"/>
  <c r="L96" i="1"/>
  <c r="H96" i="1"/>
  <c r="G96" i="1"/>
  <c r="F96" i="1"/>
  <c r="E96" i="1"/>
  <c r="L95" i="1"/>
  <c r="G95" i="1"/>
  <c r="H95" i="1" s="1"/>
  <c r="F95" i="1"/>
  <c r="E95" i="1"/>
  <c r="L94" i="1"/>
  <c r="G94" i="1"/>
  <c r="F94" i="1"/>
  <c r="E94" i="1"/>
  <c r="L93" i="1"/>
  <c r="G93" i="1"/>
  <c r="F93" i="1"/>
  <c r="E93" i="1"/>
  <c r="H93" i="1" s="1"/>
  <c r="L92" i="1"/>
  <c r="G92" i="1"/>
  <c r="F92" i="1"/>
  <c r="E92" i="1"/>
  <c r="H92" i="1" s="1"/>
  <c r="L91" i="1"/>
  <c r="G91" i="1"/>
  <c r="H91" i="1" s="1"/>
  <c r="F91" i="1"/>
  <c r="E91" i="1"/>
  <c r="L90" i="1"/>
  <c r="G90" i="1"/>
  <c r="F90" i="1"/>
  <c r="E90" i="1"/>
  <c r="H90" i="1" s="1"/>
  <c r="L89" i="1"/>
  <c r="G89" i="1"/>
  <c r="F89" i="1"/>
  <c r="E89" i="1"/>
  <c r="L88" i="1"/>
  <c r="G88" i="1"/>
  <c r="F88" i="1"/>
  <c r="E88" i="1"/>
  <c r="H88" i="1" s="1"/>
  <c r="L87" i="1"/>
  <c r="H87" i="1"/>
  <c r="G87" i="1"/>
  <c r="F87" i="1"/>
  <c r="E87" i="1"/>
  <c r="L86" i="1"/>
  <c r="G86" i="1"/>
  <c r="F86" i="1"/>
  <c r="H86" i="1" s="1"/>
  <c r="E86" i="1"/>
  <c r="L85" i="1"/>
  <c r="G85" i="1"/>
  <c r="F85" i="1"/>
  <c r="H85" i="1" s="1"/>
  <c r="E85" i="1"/>
  <c r="L84" i="1"/>
  <c r="G84" i="1"/>
  <c r="F84" i="1"/>
  <c r="E84" i="1"/>
  <c r="H84" i="1" s="1"/>
  <c r="L83" i="1"/>
  <c r="H83" i="1"/>
  <c r="G83" i="1"/>
  <c r="F83" i="1"/>
  <c r="E83" i="1"/>
  <c r="L82" i="1"/>
  <c r="G82" i="1"/>
  <c r="F82" i="1"/>
  <c r="E82" i="1"/>
  <c r="L81" i="1"/>
  <c r="G81" i="1"/>
  <c r="F81" i="1"/>
  <c r="E81" i="1"/>
  <c r="H81" i="1" s="1"/>
  <c r="L80" i="1"/>
  <c r="H80" i="1"/>
  <c r="G80" i="1"/>
  <c r="F80" i="1"/>
  <c r="E80" i="1"/>
  <c r="L79" i="1"/>
  <c r="H79" i="1"/>
  <c r="G79" i="1"/>
  <c r="F79" i="1"/>
  <c r="E79" i="1"/>
  <c r="L78" i="1"/>
  <c r="G78" i="1"/>
  <c r="F78" i="1"/>
  <c r="E78" i="1"/>
  <c r="L77" i="1"/>
  <c r="G77" i="1"/>
  <c r="F77" i="1"/>
  <c r="H77" i="1" s="1"/>
  <c r="E77" i="1"/>
  <c r="L76" i="1"/>
  <c r="G76" i="1"/>
  <c r="F76" i="1"/>
  <c r="E76" i="1"/>
  <c r="H76" i="1" s="1"/>
  <c r="L75" i="1"/>
  <c r="G75" i="1"/>
  <c r="H75" i="1" s="1"/>
  <c r="F75" i="1"/>
  <c r="E75" i="1"/>
  <c r="L74" i="1"/>
  <c r="G74" i="1"/>
  <c r="F74" i="1"/>
  <c r="E74" i="1"/>
  <c r="L73" i="1"/>
  <c r="G73" i="1"/>
  <c r="F73" i="1"/>
  <c r="E73" i="1"/>
  <c r="H73" i="1" s="1"/>
  <c r="L72" i="1"/>
  <c r="H72" i="1"/>
  <c r="G72" i="1"/>
  <c r="F72" i="1"/>
  <c r="E72" i="1"/>
  <c r="L71" i="1"/>
  <c r="G71" i="1"/>
  <c r="H71" i="1" s="1"/>
  <c r="F71" i="1"/>
  <c r="E71" i="1"/>
  <c r="L70" i="1"/>
  <c r="G70" i="1"/>
  <c r="F70" i="1"/>
  <c r="H70" i="1" s="1"/>
  <c r="E70" i="1"/>
  <c r="L69" i="1"/>
  <c r="Z28" i="1" s="1"/>
  <c r="G69" i="1"/>
  <c r="F69" i="1"/>
  <c r="E69" i="1"/>
  <c r="H69" i="1" s="1"/>
  <c r="L68" i="1"/>
  <c r="G68" i="1"/>
  <c r="H68" i="1" s="1"/>
  <c r="F68" i="1"/>
  <c r="E68" i="1"/>
  <c r="L67" i="1"/>
  <c r="G67" i="1"/>
  <c r="F67" i="1"/>
  <c r="H67" i="1" s="1"/>
  <c r="E67" i="1"/>
  <c r="L66" i="1"/>
  <c r="G66" i="1"/>
  <c r="F66" i="1"/>
  <c r="E66" i="1"/>
  <c r="H66" i="1" s="1"/>
  <c r="L65" i="1"/>
  <c r="G65" i="1"/>
  <c r="F65" i="1"/>
  <c r="E65" i="1"/>
  <c r="L64" i="1"/>
  <c r="G64" i="1"/>
  <c r="F64" i="1"/>
  <c r="E64" i="1"/>
  <c r="H64" i="1" s="1"/>
  <c r="L63" i="1"/>
  <c r="H63" i="1"/>
  <c r="G63" i="1"/>
  <c r="F63" i="1"/>
  <c r="E63" i="1"/>
  <c r="L62" i="1"/>
  <c r="G62" i="1"/>
  <c r="F62" i="1"/>
  <c r="H62" i="1" s="1"/>
  <c r="E62" i="1"/>
  <c r="L61" i="1"/>
  <c r="H61" i="1"/>
  <c r="G61" i="1"/>
  <c r="F61" i="1"/>
  <c r="E61" i="1"/>
  <c r="L60" i="1"/>
  <c r="H60" i="1"/>
  <c r="G60" i="1"/>
  <c r="F60" i="1"/>
  <c r="E60" i="1"/>
  <c r="L59" i="1"/>
  <c r="G59" i="1"/>
  <c r="F59" i="1"/>
  <c r="H59" i="1" s="1"/>
  <c r="E59" i="1"/>
  <c r="L58" i="1"/>
  <c r="G58" i="1"/>
  <c r="F58" i="1"/>
  <c r="E58" i="1"/>
  <c r="L57" i="1"/>
  <c r="G57" i="1"/>
  <c r="F57" i="1"/>
  <c r="E57" i="1"/>
  <c r="L56" i="1"/>
  <c r="G56" i="1"/>
  <c r="F56" i="1"/>
  <c r="E56" i="1"/>
  <c r="H56" i="1" s="1"/>
  <c r="L55" i="1"/>
  <c r="G55" i="1"/>
  <c r="H55" i="1" s="1"/>
  <c r="F55" i="1"/>
  <c r="E55" i="1"/>
  <c r="Z54" i="1"/>
  <c r="L54" i="1"/>
  <c r="G54" i="1"/>
  <c r="F54" i="1"/>
  <c r="E54" i="1"/>
  <c r="Z53" i="1"/>
  <c r="L53" i="1"/>
  <c r="G53" i="1"/>
  <c r="F53" i="1"/>
  <c r="E53" i="1"/>
  <c r="H53" i="1" s="1"/>
  <c r="Z52" i="1"/>
  <c r="L52" i="1"/>
  <c r="G52" i="1"/>
  <c r="F52" i="1"/>
  <c r="E52" i="1"/>
  <c r="H52" i="1" s="1"/>
  <c r="L51" i="1"/>
  <c r="H51" i="1"/>
  <c r="G51" i="1"/>
  <c r="F51" i="1"/>
  <c r="E51" i="1"/>
  <c r="L50" i="1"/>
  <c r="G50" i="1"/>
  <c r="H50" i="1" s="1"/>
  <c r="F50" i="1"/>
  <c r="E50" i="1"/>
  <c r="Z49" i="1"/>
  <c r="L49" i="1"/>
  <c r="G49" i="1"/>
  <c r="F49" i="1"/>
  <c r="E49" i="1"/>
  <c r="Z48" i="1"/>
  <c r="L48" i="1"/>
  <c r="G48" i="1"/>
  <c r="F48" i="1"/>
  <c r="E48" i="1"/>
  <c r="H48" i="1" s="1"/>
  <c r="L47" i="1"/>
  <c r="G47" i="1"/>
  <c r="H47" i="1" s="1"/>
  <c r="F47" i="1"/>
  <c r="E47" i="1"/>
  <c r="Z46" i="1"/>
  <c r="L46" i="1"/>
  <c r="G46" i="1"/>
  <c r="F46" i="1"/>
  <c r="E46" i="1"/>
  <c r="H46" i="1" s="1"/>
  <c r="Z45" i="1"/>
  <c r="L45" i="1"/>
  <c r="G45" i="1"/>
  <c r="F45" i="1"/>
  <c r="H45" i="1" s="1"/>
  <c r="E45" i="1"/>
  <c r="Z44" i="1"/>
  <c r="L44" i="1"/>
  <c r="G44" i="1"/>
  <c r="F44" i="1"/>
  <c r="E44" i="1"/>
  <c r="H44" i="1" s="1"/>
  <c r="Z43" i="1"/>
  <c r="L43" i="1"/>
  <c r="G43" i="1"/>
  <c r="F43" i="1"/>
  <c r="E43" i="1"/>
  <c r="H43" i="1" s="1"/>
  <c r="L42" i="1"/>
  <c r="G42" i="1"/>
  <c r="H42" i="1" s="1"/>
  <c r="F42" i="1"/>
  <c r="E42" i="1"/>
  <c r="Z41" i="1"/>
  <c r="L41" i="1"/>
  <c r="G41" i="1"/>
  <c r="F41" i="1"/>
  <c r="E41" i="1"/>
  <c r="Z40" i="1"/>
  <c r="L40" i="1"/>
  <c r="G40" i="1"/>
  <c r="H40" i="1" s="1"/>
  <c r="F40" i="1"/>
  <c r="E40" i="1"/>
  <c r="L39" i="1"/>
  <c r="G39" i="1"/>
  <c r="H39" i="1" s="1"/>
  <c r="F39" i="1"/>
  <c r="E39" i="1"/>
  <c r="Z38" i="1"/>
  <c r="L38" i="1"/>
  <c r="G38" i="1"/>
  <c r="F38" i="1"/>
  <c r="E38" i="1"/>
  <c r="Z37" i="1"/>
  <c r="L37" i="1"/>
  <c r="G37" i="1"/>
  <c r="F37" i="1"/>
  <c r="E37" i="1"/>
  <c r="H37" i="1" s="1"/>
  <c r="Z36" i="1"/>
  <c r="L36" i="1"/>
  <c r="G36" i="1"/>
  <c r="F36" i="1"/>
  <c r="E36" i="1"/>
  <c r="H36" i="1" s="1"/>
  <c r="Z35" i="1"/>
  <c r="L35" i="1"/>
  <c r="G35" i="1"/>
  <c r="F35" i="1"/>
  <c r="E35" i="1"/>
  <c r="H35" i="1" s="1"/>
  <c r="L34" i="1"/>
  <c r="G34" i="1"/>
  <c r="F34" i="1"/>
  <c r="H34" i="1" s="1"/>
  <c r="E34" i="1"/>
  <c r="Z33" i="1"/>
  <c r="L33" i="1"/>
  <c r="G33" i="1"/>
  <c r="F33" i="1"/>
  <c r="E33" i="1"/>
  <c r="H33" i="1" s="1"/>
  <c r="Z32" i="1"/>
  <c r="L32" i="1"/>
  <c r="G32" i="1"/>
  <c r="F32" i="1"/>
  <c r="E32" i="1"/>
  <c r="H32" i="1" s="1"/>
  <c r="L31" i="1"/>
  <c r="H31" i="1"/>
  <c r="G31" i="1"/>
  <c r="F31" i="1"/>
  <c r="E31" i="1"/>
  <c r="Z30" i="1"/>
  <c r="L30" i="1"/>
  <c r="G30" i="1"/>
  <c r="F30" i="1"/>
  <c r="E30" i="1"/>
  <c r="Z29" i="1"/>
  <c r="L29" i="1"/>
  <c r="G29" i="1"/>
  <c r="H29" i="1" s="1"/>
  <c r="F29" i="1"/>
  <c r="E29" i="1"/>
  <c r="L28" i="1"/>
  <c r="H28" i="1"/>
  <c r="G28" i="1"/>
  <c r="F28" i="1"/>
  <c r="E28" i="1"/>
  <c r="L27" i="1"/>
  <c r="G27" i="1"/>
  <c r="F27" i="1"/>
  <c r="H27" i="1" s="1"/>
  <c r="E27" i="1"/>
  <c r="L26" i="1"/>
  <c r="G26" i="1"/>
  <c r="F26" i="1"/>
  <c r="H26" i="1" s="1"/>
  <c r="E26" i="1"/>
  <c r="U25" i="1"/>
  <c r="M25" i="1"/>
  <c r="L25" i="1"/>
  <c r="G25" i="1"/>
  <c r="F25" i="1"/>
  <c r="E25" i="1"/>
  <c r="H25" i="1" s="1"/>
  <c r="AF10" i="1"/>
  <c r="AC10" i="1"/>
  <c r="Z10" i="1"/>
  <c r="K10" i="1"/>
  <c r="P9" i="1"/>
  <c r="L9" i="1"/>
  <c r="P8" i="1"/>
  <c r="L8" i="1"/>
  <c r="G2567" i="3" l="1"/>
  <c r="G2447" i="3"/>
  <c r="G2327" i="3"/>
  <c r="G2207" i="3"/>
  <c r="G2087" i="3"/>
  <c r="G1967" i="3"/>
  <c r="G1727" i="3"/>
  <c r="G1847" i="3"/>
  <c r="G1607" i="3"/>
  <c r="G1367" i="3"/>
  <c r="G1487" i="3"/>
  <c r="G1247" i="3"/>
  <c r="G1127" i="3"/>
  <c r="G1007" i="3"/>
  <c r="G887" i="3"/>
  <c r="G767" i="3"/>
  <c r="G527" i="3"/>
  <c r="G407" i="3"/>
  <c r="G287" i="3"/>
  <c r="G647" i="3"/>
  <c r="G167" i="3"/>
  <c r="G47" i="3"/>
  <c r="G2615" i="3"/>
  <c r="G2495" i="3"/>
  <c r="G2375" i="3"/>
  <c r="G2255" i="3"/>
  <c r="G2135" i="3"/>
  <c r="G2015" i="3"/>
  <c r="G1775" i="3"/>
  <c r="G1895" i="3"/>
  <c r="G1655" i="3"/>
  <c r="G1535" i="3"/>
  <c r="G1415" i="3"/>
  <c r="G1295" i="3"/>
  <c r="G1175" i="3"/>
  <c r="G935" i="3"/>
  <c r="G1055" i="3"/>
  <c r="G815" i="3"/>
  <c r="G575" i="3"/>
  <c r="G695" i="3"/>
  <c r="G335" i="3"/>
  <c r="G455" i="3"/>
  <c r="G95" i="3"/>
  <c r="G215" i="3"/>
  <c r="G2526" i="3"/>
  <c r="G2406" i="3"/>
  <c r="G2286" i="3"/>
  <c r="G2166" i="3"/>
  <c r="G2046" i="3"/>
  <c r="G1926" i="3"/>
  <c r="G1806" i="3"/>
  <c r="G1686" i="3"/>
  <c r="G1566" i="3"/>
  <c r="G1446" i="3"/>
  <c r="G1326" i="3"/>
  <c r="G1206" i="3"/>
  <c r="G1086" i="3"/>
  <c r="G846" i="3"/>
  <c r="G726" i="3"/>
  <c r="G966" i="3"/>
  <c r="G606" i="3"/>
  <c r="G486" i="3"/>
  <c r="G366" i="3"/>
  <c r="G246" i="3"/>
  <c r="G126" i="3"/>
  <c r="G6" i="3"/>
  <c r="G2543" i="3"/>
  <c r="G2423" i="3"/>
  <c r="G2303" i="3"/>
  <c r="G2183" i="3"/>
  <c r="G2063" i="3"/>
  <c r="G1943" i="3"/>
  <c r="G1823" i="3"/>
  <c r="G1583" i="3"/>
  <c r="G1703" i="3"/>
  <c r="G1463" i="3"/>
  <c r="G1343" i="3"/>
  <c r="G1223" i="3"/>
  <c r="G1103" i="3"/>
  <c r="G983" i="3"/>
  <c r="G863" i="3"/>
  <c r="G743" i="3"/>
  <c r="G623" i="3"/>
  <c r="G383" i="3"/>
  <c r="G263" i="3"/>
  <c r="G503" i="3"/>
  <c r="G143" i="3"/>
  <c r="G23" i="3"/>
  <c r="G2583" i="3"/>
  <c r="G2463" i="3"/>
  <c r="G2343" i="3"/>
  <c r="G2223" i="3"/>
  <c r="G2103" i="3"/>
  <c r="G1983" i="3"/>
  <c r="G1863" i="3"/>
  <c r="G1743" i="3"/>
  <c r="G1623" i="3"/>
  <c r="G1503" i="3"/>
  <c r="G1383" i="3"/>
  <c r="G1263" i="3"/>
  <c r="G1143" i="3"/>
  <c r="G1023" i="3"/>
  <c r="G903" i="3"/>
  <c r="G783" i="3"/>
  <c r="G543" i="3"/>
  <c r="G663" i="3"/>
  <c r="G423" i="3"/>
  <c r="G303" i="3"/>
  <c r="G63" i="3"/>
  <c r="G183" i="3"/>
  <c r="G2602" i="3"/>
  <c r="G2482" i="3"/>
  <c r="G2362" i="3"/>
  <c r="G2242" i="3"/>
  <c r="G2122" i="3"/>
  <c r="G2002" i="3"/>
  <c r="G1882" i="3"/>
  <c r="G1762" i="3"/>
  <c r="G1642" i="3"/>
  <c r="G1522" i="3"/>
  <c r="G1402" i="3"/>
  <c r="G1162" i="3"/>
  <c r="G1282" i="3"/>
  <c r="G802" i="3"/>
  <c r="G1042" i="3"/>
  <c r="G922" i="3"/>
  <c r="G682" i="3"/>
  <c r="G562" i="3"/>
  <c r="G442" i="3"/>
  <c r="G322" i="3"/>
  <c r="G202" i="3"/>
  <c r="G82" i="3"/>
  <c r="G2606" i="3"/>
  <c r="G2486" i="3"/>
  <c r="G2366" i="3"/>
  <c r="G2246" i="3"/>
  <c r="G2126" i="3"/>
  <c r="G2006" i="3"/>
  <c r="G1886" i="3"/>
  <c r="G1766" i="3"/>
  <c r="G1646" i="3"/>
  <c r="G1526" i="3"/>
  <c r="G1406" i="3"/>
  <c r="G1286" i="3"/>
  <c r="G1166" i="3"/>
  <c r="G806" i="3"/>
  <c r="G686" i="3"/>
  <c r="G926" i="3"/>
  <c r="G1046" i="3"/>
  <c r="G566" i="3"/>
  <c r="G446" i="3"/>
  <c r="G326" i="3"/>
  <c r="G206" i="3"/>
  <c r="G86" i="3"/>
  <c r="G2634" i="3"/>
  <c r="G2514" i="3"/>
  <c r="G2394" i="3"/>
  <c r="G2274" i="3"/>
  <c r="G2154" i="3"/>
  <c r="G2034" i="3"/>
  <c r="G1914" i="3"/>
  <c r="G1794" i="3"/>
  <c r="G1554" i="3"/>
  <c r="G1674" i="3"/>
  <c r="G1434" i="3"/>
  <c r="G1194" i="3"/>
  <c r="G1314" i="3"/>
  <c r="G1074" i="3"/>
  <c r="G834" i="3"/>
  <c r="G954" i="3"/>
  <c r="G714" i="3"/>
  <c r="G594" i="3"/>
  <c r="G474" i="3"/>
  <c r="G354" i="3"/>
  <c r="G234" i="3"/>
  <c r="G114" i="3"/>
  <c r="G2640" i="3"/>
  <c r="G2520" i="3"/>
  <c r="G2400" i="3"/>
  <c r="G2280" i="3"/>
  <c r="G2160" i="3"/>
  <c r="G2040" i="3"/>
  <c r="G1920" i="3"/>
  <c r="G1800" i="3"/>
  <c r="G1440" i="3"/>
  <c r="G1560" i="3"/>
  <c r="G1680" i="3"/>
  <c r="G1320" i="3"/>
  <c r="G1200" i="3"/>
  <c r="G1080" i="3"/>
  <c r="G960" i="3"/>
  <c r="G840" i="3"/>
  <c r="G720" i="3"/>
  <c r="G600" i="3"/>
  <c r="G240" i="3"/>
  <c r="G360" i="3"/>
  <c r="G480" i="3"/>
  <c r="G120" i="3"/>
  <c r="G2541" i="3"/>
  <c r="G2421" i="3"/>
  <c r="G2301" i="3"/>
  <c r="G2181" i="3"/>
  <c r="G2061" i="3"/>
  <c r="G1941" i="3"/>
  <c r="G1821" i="3"/>
  <c r="G1701" i="3"/>
  <c r="G1581" i="3"/>
  <c r="G1341" i="3"/>
  <c r="G1461" i="3"/>
  <c r="G1221" i="3"/>
  <c r="G981" i="3"/>
  <c r="G1101" i="3"/>
  <c r="G861" i="3"/>
  <c r="G741" i="3"/>
  <c r="G621" i="3"/>
  <c r="G501" i="3"/>
  <c r="G381" i="3"/>
  <c r="G261" i="3"/>
  <c r="G21" i="3"/>
  <c r="G141" i="3"/>
  <c r="G2546" i="3"/>
  <c r="G2426" i="3"/>
  <c r="G2306" i="3"/>
  <c r="G2186" i="3"/>
  <c r="G2066" i="3"/>
  <c r="G1946" i="3"/>
  <c r="G1826" i="3"/>
  <c r="G1706" i="3"/>
  <c r="G1586" i="3"/>
  <c r="G1466" i="3"/>
  <c r="G1226" i="3"/>
  <c r="G1346" i="3"/>
  <c r="G1106" i="3"/>
  <c r="G986" i="3"/>
  <c r="G866" i="3"/>
  <c r="G746" i="3"/>
  <c r="G626" i="3"/>
  <c r="G506" i="3"/>
  <c r="G386" i="3"/>
  <c r="G266" i="3"/>
  <c r="G146" i="3"/>
  <c r="G26" i="3"/>
  <c r="G2555" i="3"/>
  <c r="G2435" i="3"/>
  <c r="G2315" i="3"/>
  <c r="G2195" i="3"/>
  <c r="G2075" i="3"/>
  <c r="G1835" i="3"/>
  <c r="G1955" i="3"/>
  <c r="G1715" i="3"/>
  <c r="G1595" i="3"/>
  <c r="G1475" i="3"/>
  <c r="G1355" i="3"/>
  <c r="G1235" i="3"/>
  <c r="G1115" i="3"/>
  <c r="G995" i="3"/>
  <c r="G875" i="3"/>
  <c r="G755" i="3"/>
  <c r="G635" i="3"/>
  <c r="G515" i="3"/>
  <c r="G395" i="3"/>
  <c r="G275" i="3"/>
  <c r="G155" i="3"/>
  <c r="G35" i="3"/>
  <c r="G2566" i="3"/>
  <c r="G2446" i="3"/>
  <c r="G2326" i="3"/>
  <c r="G2206" i="3"/>
  <c r="G2086" i="3"/>
  <c r="G1966" i="3"/>
  <c r="G1846" i="3"/>
  <c r="G1726" i="3"/>
  <c r="G1606" i="3"/>
  <c r="G1486" i="3"/>
  <c r="G1366" i="3"/>
  <c r="G1246" i="3"/>
  <c r="G1126" i="3"/>
  <c r="G886" i="3"/>
  <c r="G766" i="3"/>
  <c r="G646" i="3"/>
  <c r="G526" i="3"/>
  <c r="G1006" i="3"/>
  <c r="G406" i="3"/>
  <c r="G286" i="3"/>
  <c r="G166" i="3"/>
  <c r="G46" i="3"/>
  <c r="G2587" i="3"/>
  <c r="G2467" i="3"/>
  <c r="G2347" i="3"/>
  <c r="G2227" i="3"/>
  <c r="G2107" i="3"/>
  <c r="G1987" i="3"/>
  <c r="G1867" i="3"/>
  <c r="G1747" i="3"/>
  <c r="G1627" i="3"/>
  <c r="G1507" i="3"/>
  <c r="G1387" i="3"/>
  <c r="G1267" i="3"/>
  <c r="G1147" i="3"/>
  <c r="G1027" i="3"/>
  <c r="G907" i="3"/>
  <c r="G787" i="3"/>
  <c r="G667" i="3"/>
  <c r="G547" i="3"/>
  <c r="G427" i="3"/>
  <c r="G307" i="3"/>
  <c r="G187" i="3"/>
  <c r="G67" i="3"/>
  <c r="G2591" i="3"/>
  <c r="G2471" i="3"/>
  <c r="G2351" i="3"/>
  <c r="G2231" i="3"/>
  <c r="G2111" i="3"/>
  <c r="G1991" i="3"/>
  <c r="G1871" i="3"/>
  <c r="G1751" i="3"/>
  <c r="G1631" i="3"/>
  <c r="G1511" i="3"/>
  <c r="G1391" i="3"/>
  <c r="G1271" i="3"/>
  <c r="G1151" i="3"/>
  <c r="G911" i="3"/>
  <c r="G791" i="3"/>
  <c r="G551" i="3"/>
  <c r="G1031" i="3"/>
  <c r="G671" i="3"/>
  <c r="G431" i="3"/>
  <c r="G311" i="3"/>
  <c r="G71" i="3"/>
  <c r="G191" i="3"/>
  <c r="G2638" i="3"/>
  <c r="G2518" i="3"/>
  <c r="G2278" i="3"/>
  <c r="G2398" i="3"/>
  <c r="G2158" i="3"/>
  <c r="G2038" i="3"/>
  <c r="G1918" i="3"/>
  <c r="G1798" i="3"/>
  <c r="G1678" i="3"/>
  <c r="G1558" i="3"/>
  <c r="G1318" i="3"/>
  <c r="G1438" i="3"/>
  <c r="G1078" i="3"/>
  <c r="G1198" i="3"/>
  <c r="G838" i="3"/>
  <c r="G718" i="3"/>
  <c r="G958" i="3"/>
  <c r="G598" i="3"/>
  <c r="G478" i="3"/>
  <c r="G358" i="3"/>
  <c r="G238" i="3"/>
  <c r="G118" i="3"/>
  <c r="G2600" i="3"/>
  <c r="G2480" i="3"/>
  <c r="G2360" i="3"/>
  <c r="G2240" i="3"/>
  <c r="G2120" i="3"/>
  <c r="G2000" i="3"/>
  <c r="G1880" i="3"/>
  <c r="G1760" i="3"/>
  <c r="G1640" i="3"/>
  <c r="G1520" i="3"/>
  <c r="G1400" i="3"/>
  <c r="G1280" i="3"/>
  <c r="G1160" i="3"/>
  <c r="G1040" i="3"/>
  <c r="G920" i="3"/>
  <c r="G800" i="3"/>
  <c r="G680" i="3"/>
  <c r="G560" i="3"/>
  <c r="G440" i="3"/>
  <c r="G200" i="3"/>
  <c r="G320" i="3"/>
  <c r="G80" i="3"/>
  <c r="G2632" i="3"/>
  <c r="G2512" i="3"/>
  <c r="G2392" i="3"/>
  <c r="G2272" i="3"/>
  <c r="G2152" i="3"/>
  <c r="G2032" i="3"/>
  <c r="G1912" i="3"/>
  <c r="G1792" i="3"/>
  <c r="G1672" i="3"/>
  <c r="G1432" i="3"/>
  <c r="G1552" i="3"/>
  <c r="G1312" i="3"/>
  <c r="G1192" i="3"/>
  <c r="G1072" i="3"/>
  <c r="G952" i="3"/>
  <c r="G832" i="3"/>
  <c r="G712" i="3"/>
  <c r="G592" i="3"/>
  <c r="G472" i="3"/>
  <c r="G232" i="3"/>
  <c r="G352" i="3"/>
  <c r="G112" i="3"/>
  <c r="G2528" i="3"/>
  <c r="G2408" i="3"/>
  <c r="G2288" i="3"/>
  <c r="G2168" i="3"/>
  <c r="G2048" i="3"/>
  <c r="G1928" i="3"/>
  <c r="G1808" i="3"/>
  <c r="G1688" i="3"/>
  <c r="G1448" i="3"/>
  <c r="G1568" i="3"/>
  <c r="G1328" i="3"/>
  <c r="G1208" i="3"/>
  <c r="G1088" i="3"/>
  <c r="G968" i="3"/>
  <c r="G848" i="3"/>
  <c r="G728" i="3"/>
  <c r="G608" i="3"/>
  <c r="G488" i="3"/>
  <c r="G248" i="3"/>
  <c r="G128" i="3"/>
  <c r="G368" i="3"/>
  <c r="G8" i="3"/>
  <c r="G2533" i="3"/>
  <c r="G2413" i="3"/>
  <c r="G2293" i="3"/>
  <c r="G2173" i="3"/>
  <c r="G2053" i="3"/>
  <c r="G1933" i="3"/>
  <c r="G1813" i="3"/>
  <c r="G1693" i="3"/>
  <c r="G1573" i="3"/>
  <c r="G1333" i="3"/>
  <c r="G1453" i="3"/>
  <c r="G1213" i="3"/>
  <c r="G1093" i="3"/>
  <c r="G973" i="3"/>
  <c r="G853" i="3"/>
  <c r="G733" i="3"/>
  <c r="G613" i="3"/>
  <c r="G493" i="3"/>
  <c r="G373" i="3"/>
  <c r="G253" i="3"/>
  <c r="G13" i="3"/>
  <c r="G133" i="3"/>
  <c r="G2535" i="3"/>
  <c r="G2415" i="3"/>
  <c r="G2295" i="3"/>
  <c r="G2175" i="3"/>
  <c r="G1935" i="3"/>
  <c r="G2055" i="3"/>
  <c r="G1815" i="3"/>
  <c r="G1695" i="3"/>
  <c r="G1575" i="3"/>
  <c r="G1335" i="3"/>
  <c r="G1455" i="3"/>
  <c r="G1215" i="3"/>
  <c r="G1095" i="3"/>
  <c r="G855" i="3"/>
  <c r="G615" i="3"/>
  <c r="G975" i="3"/>
  <c r="G735" i="3"/>
  <c r="G375" i="3"/>
  <c r="G255" i="3"/>
  <c r="G495" i="3"/>
  <c r="G15" i="3"/>
  <c r="G135" i="3"/>
  <c r="G2570" i="3"/>
  <c r="G2450" i="3"/>
  <c r="G2330" i="3"/>
  <c r="G2210" i="3"/>
  <c r="G1970" i="3"/>
  <c r="G2090" i="3"/>
  <c r="G1850" i="3"/>
  <c r="G1730" i="3"/>
  <c r="G1610" i="3"/>
  <c r="G1490" i="3"/>
  <c r="G1370" i="3"/>
  <c r="G1250" i="3"/>
  <c r="G1130" i="3"/>
  <c r="G1010" i="3"/>
  <c r="G890" i="3"/>
  <c r="G770" i="3"/>
  <c r="G530" i="3"/>
  <c r="G650" i="3"/>
  <c r="G410" i="3"/>
  <c r="G290" i="3"/>
  <c r="G50" i="3"/>
  <c r="G170" i="3"/>
  <c r="G2576" i="3"/>
  <c r="G2456" i="3"/>
  <c r="G2336" i="3"/>
  <c r="G2216" i="3"/>
  <c r="G2096" i="3"/>
  <c r="G1856" i="3"/>
  <c r="G1976" i="3"/>
  <c r="G1616" i="3"/>
  <c r="G1736" i="3"/>
  <c r="G1496" i="3"/>
  <c r="G1376" i="3"/>
  <c r="G1256" i="3"/>
  <c r="G1136" i="3"/>
  <c r="G1016" i="3"/>
  <c r="G896" i="3"/>
  <c r="G776" i="3"/>
  <c r="G656" i="3"/>
  <c r="G536" i="3"/>
  <c r="G176" i="3"/>
  <c r="G296" i="3"/>
  <c r="G416" i="3"/>
  <c r="G56" i="3"/>
  <c r="G2627" i="3"/>
  <c r="G2507" i="3"/>
  <c r="G2387" i="3"/>
  <c r="G2267" i="3"/>
  <c r="G2147" i="3"/>
  <c r="G2027" i="3"/>
  <c r="G1907" i="3"/>
  <c r="G1787" i="3"/>
  <c r="G1667" i="3"/>
  <c r="G1547" i="3"/>
  <c r="G1427" i="3"/>
  <c r="G1307" i="3"/>
  <c r="G1187" i="3"/>
  <c r="G1067" i="3"/>
  <c r="G947" i="3"/>
  <c r="G827" i="3"/>
  <c r="G707" i="3"/>
  <c r="G587" i="3"/>
  <c r="G467" i="3"/>
  <c r="G347" i="3"/>
  <c r="G227" i="3"/>
  <c r="G107" i="3"/>
  <c r="G2631" i="3"/>
  <c r="G2511" i="3"/>
  <c r="G2391" i="3"/>
  <c r="G2271" i="3"/>
  <c r="G2151" i="3"/>
  <c r="G2031" i="3"/>
  <c r="G1791" i="3"/>
  <c r="G1911" i="3"/>
  <c r="G1551" i="3"/>
  <c r="G1671" i="3"/>
  <c r="G1311" i="3"/>
  <c r="G1431" i="3"/>
  <c r="G1191" i="3"/>
  <c r="G951" i="3"/>
  <c r="G1071" i="3"/>
  <c r="G831" i="3"/>
  <c r="G591" i="3"/>
  <c r="G711" i="3"/>
  <c r="G351" i="3"/>
  <c r="G231" i="3"/>
  <c r="G471" i="3"/>
  <c r="G111" i="3"/>
  <c r="G2574" i="3"/>
  <c r="G2454" i="3"/>
  <c r="G2334" i="3"/>
  <c r="G2214" i="3"/>
  <c r="G2094" i="3"/>
  <c r="G1974" i="3"/>
  <c r="G1854" i="3"/>
  <c r="G1734" i="3"/>
  <c r="G1614" i="3"/>
  <c r="G1494" i="3"/>
  <c r="G1374" i="3"/>
  <c r="G1254" i="3"/>
  <c r="G1134" i="3"/>
  <c r="G894" i="3"/>
  <c r="G774" i="3"/>
  <c r="G654" i="3"/>
  <c r="G1014" i="3"/>
  <c r="G534" i="3"/>
  <c r="G414" i="3"/>
  <c r="G294" i="3"/>
  <c r="G174" i="3"/>
  <c r="G54" i="3"/>
  <c r="G2639" i="3"/>
  <c r="G2399" i="3"/>
  <c r="G2519" i="3"/>
  <c r="G2279" i="3"/>
  <c r="G2039" i="3"/>
  <c r="G2159" i="3"/>
  <c r="G1919" i="3"/>
  <c r="G1799" i="3"/>
  <c r="G1559" i="3"/>
  <c r="G1679" i="3"/>
  <c r="G1319" i="3"/>
  <c r="G1439" i="3"/>
  <c r="G1199" i="3"/>
  <c r="G839" i="3"/>
  <c r="G599" i="3"/>
  <c r="G1079" i="3"/>
  <c r="G719" i="3"/>
  <c r="G359" i="3"/>
  <c r="G239" i="3"/>
  <c r="G479" i="3"/>
  <c r="G959" i="3"/>
  <c r="G119" i="3"/>
  <c r="G2544" i="3"/>
  <c r="G2424" i="3"/>
  <c r="G2304" i="3"/>
  <c r="G2184" i="3"/>
  <c r="G1944" i="3"/>
  <c r="G2064" i="3"/>
  <c r="G1824" i="3"/>
  <c r="G1704" i="3"/>
  <c r="G1464" i="3"/>
  <c r="G1584" i="3"/>
  <c r="G1344" i="3"/>
  <c r="G1224" i="3"/>
  <c r="G1104" i="3"/>
  <c r="G984" i="3"/>
  <c r="G864" i="3"/>
  <c r="G744" i="3"/>
  <c r="G624" i="3"/>
  <c r="G504" i="3"/>
  <c r="G144" i="3"/>
  <c r="G384" i="3"/>
  <c r="G264" i="3"/>
  <c r="G24" i="3"/>
  <c r="G2542" i="3"/>
  <c r="G2422" i="3"/>
  <c r="G2302" i="3"/>
  <c r="G2182" i="3"/>
  <c r="G2062" i="3"/>
  <c r="G1942" i="3"/>
  <c r="G1822" i="3"/>
  <c r="G1702" i="3"/>
  <c r="G1582" i="3"/>
  <c r="G1462" i="3"/>
  <c r="G1342" i="3"/>
  <c r="G1102" i="3"/>
  <c r="G1222" i="3"/>
  <c r="G862" i="3"/>
  <c r="G742" i="3"/>
  <c r="G622" i="3"/>
  <c r="G982" i="3"/>
  <c r="G502" i="3"/>
  <c r="G382" i="3"/>
  <c r="G262" i="3"/>
  <c r="G142" i="3"/>
  <c r="G22" i="3"/>
  <c r="G2525" i="3"/>
  <c r="G2405" i="3"/>
  <c r="G2285" i="3"/>
  <c r="G2165" i="3"/>
  <c r="G2045" i="3"/>
  <c r="G1805" i="3"/>
  <c r="G1925" i="3"/>
  <c r="G1565" i="3"/>
  <c r="G1685" i="3"/>
  <c r="G1445" i="3"/>
  <c r="G1325" i="3"/>
  <c r="G1205" i="3"/>
  <c r="G1085" i="3"/>
  <c r="G965" i="3"/>
  <c r="G845" i="3"/>
  <c r="G725" i="3"/>
  <c r="G605" i="3"/>
  <c r="G485" i="3"/>
  <c r="G365" i="3"/>
  <c r="G245" i="3"/>
  <c r="G5" i="3"/>
  <c r="G125" i="3"/>
  <c r="G2563" i="3"/>
  <c r="G2443" i="3"/>
  <c r="G2323" i="3"/>
  <c r="G2203" i="3"/>
  <c r="G2083" i="3"/>
  <c r="G1963" i="3"/>
  <c r="G1843" i="3"/>
  <c r="G1723" i="3"/>
  <c r="G1603" i="3"/>
  <c r="G1483" i="3"/>
  <c r="G1363" i="3"/>
  <c r="G1243" i="3"/>
  <c r="G1123" i="3"/>
  <c r="G1003" i="3"/>
  <c r="G883" i="3"/>
  <c r="G763" i="3"/>
  <c r="G643" i="3"/>
  <c r="G523" i="3"/>
  <c r="G403" i="3"/>
  <c r="G283" i="3"/>
  <c r="G163" i="3"/>
  <c r="G43" i="3"/>
  <c r="G2599" i="3"/>
  <c r="G2479" i="3"/>
  <c r="G2359" i="3"/>
  <c r="G2239" i="3"/>
  <c r="G1999" i="3"/>
  <c r="G2119" i="3"/>
  <c r="G1879" i="3"/>
  <c r="G1759" i="3"/>
  <c r="G1639" i="3"/>
  <c r="G1519" i="3"/>
  <c r="G1399" i="3"/>
  <c r="G1279" i="3"/>
  <c r="G1159" i="3"/>
  <c r="G919" i="3"/>
  <c r="G799" i="3"/>
  <c r="G1039" i="3"/>
  <c r="G559" i="3"/>
  <c r="G679" i="3"/>
  <c r="G439" i="3"/>
  <c r="G319" i="3"/>
  <c r="G79" i="3"/>
  <c r="G199" i="3"/>
  <c r="G2622" i="3"/>
  <c r="G2502" i="3"/>
  <c r="G2382" i="3"/>
  <c r="G2262" i="3"/>
  <c r="G2142" i="3"/>
  <c r="G2022" i="3"/>
  <c r="G1902" i="3"/>
  <c r="G1782" i="3"/>
  <c r="G1662" i="3"/>
  <c r="G1542" i="3"/>
  <c r="G1422" i="3"/>
  <c r="G1302" i="3"/>
  <c r="G1182" i="3"/>
  <c r="G1062" i="3"/>
  <c r="G942" i="3"/>
  <c r="G822" i="3"/>
  <c r="G702" i="3"/>
  <c r="G582" i="3"/>
  <c r="G462" i="3"/>
  <c r="G342" i="3"/>
  <c r="G222" i="3"/>
  <c r="G102" i="3"/>
  <c r="G2558" i="3"/>
  <c r="G2438" i="3"/>
  <c r="G2318" i="3"/>
  <c r="G2198" i="3"/>
  <c r="G2078" i="3"/>
  <c r="G1958" i="3"/>
  <c r="G1838" i="3"/>
  <c r="G1718" i="3"/>
  <c r="G1598" i="3"/>
  <c r="G1478" i="3"/>
  <c r="G1358" i="3"/>
  <c r="G1238" i="3"/>
  <c r="G1118" i="3"/>
  <c r="G998" i="3"/>
  <c r="G878" i="3"/>
  <c r="G758" i="3"/>
  <c r="G638" i="3"/>
  <c r="G518" i="3"/>
  <c r="G398" i="3"/>
  <c r="G278" i="3"/>
  <c r="G158" i="3"/>
  <c r="G38" i="3"/>
  <c r="G2538" i="3"/>
  <c r="G2418" i="3"/>
  <c r="G2298" i="3"/>
  <c r="G2178" i="3"/>
  <c r="G2058" i="3"/>
  <c r="G1938" i="3"/>
  <c r="G1818" i="3"/>
  <c r="G1578" i="3"/>
  <c r="G1698" i="3"/>
  <c r="G1458" i="3"/>
  <c r="G1338" i="3"/>
  <c r="G1218" i="3"/>
  <c r="G1098" i="3"/>
  <c r="G858" i="3"/>
  <c r="G978" i="3"/>
  <c r="G738" i="3"/>
  <c r="G618" i="3"/>
  <c r="G378" i="3"/>
  <c r="G258" i="3"/>
  <c r="G498" i="3"/>
  <c r="G18" i="3"/>
  <c r="G138" i="3"/>
  <c r="G2547" i="3"/>
  <c r="G2427" i="3"/>
  <c r="G2307" i="3"/>
  <c r="G2187" i="3"/>
  <c r="G2067" i="3"/>
  <c r="G1947" i="3"/>
  <c r="G1827" i="3"/>
  <c r="G1707" i="3"/>
  <c r="G1587" i="3"/>
  <c r="G1467" i="3"/>
  <c r="G1347" i="3"/>
  <c r="G1227" i="3"/>
  <c r="G1107" i="3"/>
  <c r="G987" i="3"/>
  <c r="G867" i="3"/>
  <c r="G747" i="3"/>
  <c r="G627" i="3"/>
  <c r="G507" i="3"/>
  <c r="G387" i="3"/>
  <c r="G267" i="3"/>
  <c r="G147" i="3"/>
  <c r="G27" i="3"/>
  <c r="G2552" i="3"/>
  <c r="G2432" i="3"/>
  <c r="G2312" i="3"/>
  <c r="G2192" i="3"/>
  <c r="G1952" i="3"/>
  <c r="G2072" i="3"/>
  <c r="G1832" i="3"/>
  <c r="G1712" i="3"/>
  <c r="G1592" i="3"/>
  <c r="G1472" i="3"/>
  <c r="G1352" i="3"/>
  <c r="G1232" i="3"/>
  <c r="G1112" i="3"/>
  <c r="G992" i="3"/>
  <c r="G872" i="3"/>
  <c r="G752" i="3"/>
  <c r="G632" i="3"/>
  <c r="G512" i="3"/>
  <c r="G152" i="3"/>
  <c r="G392" i="3"/>
  <c r="G272" i="3"/>
  <c r="G32" i="3"/>
  <c r="G2534" i="3"/>
  <c r="G2414" i="3"/>
  <c r="G2294" i="3"/>
  <c r="G2174" i="3"/>
  <c r="G2054" i="3"/>
  <c r="G1934" i="3"/>
  <c r="G1814" i="3"/>
  <c r="G1694" i="3"/>
  <c r="G1574" i="3"/>
  <c r="G1454" i="3"/>
  <c r="G1334" i="3"/>
  <c r="G1094" i="3"/>
  <c r="G1214" i="3"/>
  <c r="G854" i="3"/>
  <c r="G734" i="3"/>
  <c r="G974" i="3"/>
  <c r="G614" i="3"/>
  <c r="G494" i="3"/>
  <c r="G374" i="3"/>
  <c r="G254" i="3"/>
  <c r="G134" i="3"/>
  <c r="G14" i="3"/>
  <c r="G2575" i="3"/>
  <c r="G2455" i="3"/>
  <c r="G2335" i="3"/>
  <c r="G2215" i="3"/>
  <c r="G1975" i="3"/>
  <c r="G2095" i="3"/>
  <c r="G1735" i="3"/>
  <c r="G1855" i="3"/>
  <c r="G1615" i="3"/>
  <c r="G1495" i="3"/>
  <c r="G1375" i="3"/>
  <c r="G1255" i="3"/>
  <c r="G1135" i="3"/>
  <c r="G1015" i="3"/>
  <c r="G895" i="3"/>
  <c r="G775" i="3"/>
  <c r="G535" i="3"/>
  <c r="G655" i="3"/>
  <c r="G415" i="3"/>
  <c r="G295" i="3"/>
  <c r="G55" i="3"/>
  <c r="G175" i="3"/>
  <c r="G2584" i="3"/>
  <c r="G2464" i="3"/>
  <c r="G2344" i="3"/>
  <c r="G2224" i="3"/>
  <c r="G2104" i="3"/>
  <c r="G1864" i="3"/>
  <c r="G1984" i="3"/>
  <c r="G1744" i="3"/>
  <c r="G1624" i="3"/>
  <c r="G1504" i="3"/>
  <c r="G1384" i="3"/>
  <c r="G1264" i="3"/>
  <c r="G1144" i="3"/>
  <c r="G1024" i="3"/>
  <c r="G904" i="3"/>
  <c r="G784" i="3"/>
  <c r="G664" i="3"/>
  <c r="G544" i="3"/>
  <c r="G424" i="3"/>
  <c r="G184" i="3"/>
  <c r="G304" i="3"/>
  <c r="G64" i="3"/>
  <c r="G2592" i="3"/>
  <c r="G2472" i="3"/>
  <c r="G2352" i="3"/>
  <c r="G2232" i="3"/>
  <c r="G2112" i="3"/>
  <c r="G1872" i="3"/>
  <c r="G1992" i="3"/>
  <c r="G1632" i="3"/>
  <c r="G1752" i="3"/>
  <c r="G1512" i="3"/>
  <c r="G1392" i="3"/>
  <c r="G1272" i="3"/>
  <c r="G1152" i="3"/>
  <c r="G1032" i="3"/>
  <c r="G912" i="3"/>
  <c r="G792" i="3"/>
  <c r="G672" i="3"/>
  <c r="G552" i="3"/>
  <c r="G192" i="3"/>
  <c r="G312" i="3"/>
  <c r="G432" i="3"/>
  <c r="G72" i="3"/>
  <c r="G2611" i="3"/>
  <c r="G2491" i="3"/>
  <c r="G2371" i="3"/>
  <c r="G2251" i="3"/>
  <c r="G2131" i="3"/>
  <c r="G2011" i="3"/>
  <c r="G1891" i="3"/>
  <c r="G1771" i="3"/>
  <c r="G1651" i="3"/>
  <c r="G1531" i="3"/>
  <c r="G1411" i="3"/>
  <c r="G1291" i="3"/>
  <c r="G1171" i="3"/>
  <c r="G1051" i="3"/>
  <c r="G931" i="3"/>
  <c r="G811" i="3"/>
  <c r="G691" i="3"/>
  <c r="G571" i="3"/>
  <c r="G451" i="3"/>
  <c r="G331" i="3"/>
  <c r="G211" i="3"/>
  <c r="G91" i="3"/>
  <c r="G2618" i="3"/>
  <c r="G2498" i="3"/>
  <c r="G2378" i="3"/>
  <c r="G2258" i="3"/>
  <c r="G2138" i="3"/>
  <c r="G2018" i="3"/>
  <c r="G1898" i="3"/>
  <c r="G1778" i="3"/>
  <c r="G1658" i="3"/>
  <c r="G1538" i="3"/>
  <c r="G1418" i="3"/>
  <c r="G1178" i="3"/>
  <c r="G1298" i="3"/>
  <c r="G938" i="3"/>
  <c r="G1058" i="3"/>
  <c r="G818" i="3"/>
  <c r="G698" i="3"/>
  <c r="G578" i="3"/>
  <c r="G458" i="3"/>
  <c r="G338" i="3"/>
  <c r="G218" i="3"/>
  <c r="G98" i="3"/>
  <c r="G2551" i="3"/>
  <c r="G2431" i="3"/>
  <c r="G2311" i="3"/>
  <c r="G2191" i="3"/>
  <c r="G1951" i="3"/>
  <c r="G2071" i="3"/>
  <c r="G1831" i="3"/>
  <c r="G1711" i="3"/>
  <c r="G1591" i="3"/>
  <c r="G1351" i="3"/>
  <c r="G1471" i="3"/>
  <c r="G1231" i="3"/>
  <c r="G1111" i="3"/>
  <c r="G991" i="3"/>
  <c r="G871" i="3"/>
  <c r="G751" i="3"/>
  <c r="G631" i="3"/>
  <c r="G391" i="3"/>
  <c r="G271" i="3"/>
  <c r="G511" i="3"/>
  <c r="G31" i="3"/>
  <c r="G151" i="3"/>
  <c r="G2531" i="3"/>
  <c r="G2411" i="3"/>
  <c r="G2291" i="3"/>
  <c r="G2171" i="3"/>
  <c r="G2051" i="3"/>
  <c r="G1811" i="3"/>
  <c r="G1931" i="3"/>
  <c r="G1691" i="3"/>
  <c r="G1571" i="3"/>
  <c r="G1451" i="3"/>
  <c r="G1331" i="3"/>
  <c r="G1211" i="3"/>
  <c r="G1091" i="3"/>
  <c r="G971" i="3"/>
  <c r="G851" i="3"/>
  <c r="G731" i="3"/>
  <c r="G611" i="3"/>
  <c r="G491" i="3"/>
  <c r="G371" i="3"/>
  <c r="G251" i="3"/>
  <c r="G131" i="3"/>
  <c r="G11" i="3"/>
  <c r="G2536" i="3"/>
  <c r="G2416" i="3"/>
  <c r="G2296" i="3"/>
  <c r="G2176" i="3"/>
  <c r="G2056" i="3"/>
  <c r="G1936" i="3"/>
  <c r="G1816" i="3"/>
  <c r="G1696" i="3"/>
  <c r="G1456" i="3"/>
  <c r="G1576" i="3"/>
  <c r="G1336" i="3"/>
  <c r="G1216" i="3"/>
  <c r="G1096" i="3"/>
  <c r="G976" i="3"/>
  <c r="G856" i="3"/>
  <c r="G736" i="3"/>
  <c r="G616" i="3"/>
  <c r="G496" i="3"/>
  <c r="G376" i="3"/>
  <c r="G136" i="3"/>
  <c r="G256" i="3"/>
  <c r="G16" i="3"/>
  <c r="G2539" i="3"/>
  <c r="G2419" i="3"/>
  <c r="G2299" i="3"/>
  <c r="G2179" i="3"/>
  <c r="G2059" i="3"/>
  <c r="G1939" i="3"/>
  <c r="G1819" i="3"/>
  <c r="G1699" i="3"/>
  <c r="G1579" i="3"/>
  <c r="G1459" i="3"/>
  <c r="G1339" i="3"/>
  <c r="G1219" i="3"/>
  <c r="G1099" i="3"/>
  <c r="G979" i="3"/>
  <c r="G859" i="3"/>
  <c r="G739" i="3"/>
  <c r="G619" i="3"/>
  <c r="G499" i="3"/>
  <c r="G379" i="3"/>
  <c r="G259" i="3"/>
  <c r="G139" i="3"/>
  <c r="G19" i="3"/>
  <c r="G2549" i="3"/>
  <c r="G2429" i="3"/>
  <c r="G2309" i="3"/>
  <c r="G2189" i="3"/>
  <c r="G2069" i="3"/>
  <c r="G1829" i="3"/>
  <c r="G1949" i="3"/>
  <c r="G1709" i="3"/>
  <c r="G1589" i="3"/>
  <c r="G1349" i="3"/>
  <c r="G1469" i="3"/>
  <c r="G1229" i="3"/>
  <c r="G1109" i="3"/>
  <c r="G989" i="3"/>
  <c r="G869" i="3"/>
  <c r="G749" i="3"/>
  <c r="G629" i="3"/>
  <c r="G509" i="3"/>
  <c r="G389" i="3"/>
  <c r="G269" i="3"/>
  <c r="G149" i="3"/>
  <c r="G29" i="3"/>
  <c r="G2554" i="3"/>
  <c r="G2434" i="3"/>
  <c r="G2314" i="3"/>
  <c r="G2194" i="3"/>
  <c r="G2074" i="3"/>
  <c r="G1834" i="3"/>
  <c r="G1954" i="3"/>
  <c r="G1714" i="3"/>
  <c r="G1594" i="3"/>
  <c r="G1474" i="3"/>
  <c r="G1354" i="3"/>
  <c r="G1234" i="3"/>
  <c r="G1114" i="3"/>
  <c r="G994" i="3"/>
  <c r="G874" i="3"/>
  <c r="G754" i="3"/>
  <c r="G634" i="3"/>
  <c r="G514" i="3"/>
  <c r="G394" i="3"/>
  <c r="G274" i="3"/>
  <c r="G34" i="3"/>
  <c r="G154" i="3"/>
  <c r="G2590" i="3"/>
  <c r="G2470" i="3"/>
  <c r="G2350" i="3"/>
  <c r="G2230" i="3"/>
  <c r="G2110" i="3"/>
  <c r="G1990" i="3"/>
  <c r="G1870" i="3"/>
  <c r="G1750" i="3"/>
  <c r="G1630" i="3"/>
  <c r="G1510" i="3"/>
  <c r="G1390" i="3"/>
  <c r="G1270" i="3"/>
  <c r="G1150" i="3"/>
  <c r="G910" i="3"/>
  <c r="G790" i="3"/>
  <c r="G670" i="3"/>
  <c r="G1030" i="3"/>
  <c r="G550" i="3"/>
  <c r="G430" i="3"/>
  <c r="G310" i="3"/>
  <c r="G190" i="3"/>
  <c r="G70" i="3"/>
  <c r="G2594" i="3"/>
  <c r="G2474" i="3"/>
  <c r="G2354" i="3"/>
  <c r="G2234" i="3"/>
  <c r="G1874" i="3"/>
  <c r="G1754" i="3"/>
  <c r="G1994" i="3"/>
  <c r="G2114" i="3"/>
  <c r="G1634" i="3"/>
  <c r="G1514" i="3"/>
  <c r="G1394" i="3"/>
  <c r="G1154" i="3"/>
  <c r="G1274" i="3"/>
  <c r="G914" i="3"/>
  <c r="G794" i="3"/>
  <c r="G1034" i="3"/>
  <c r="G674" i="3"/>
  <c r="G554" i="3"/>
  <c r="G434" i="3"/>
  <c r="G314" i="3"/>
  <c r="G194" i="3"/>
  <c r="G74" i="3"/>
  <c r="G2598" i="3"/>
  <c r="G2478" i="3"/>
  <c r="G2358" i="3"/>
  <c r="G2238" i="3"/>
  <c r="G2118" i="3"/>
  <c r="G1998" i="3"/>
  <c r="G1878" i="3"/>
  <c r="G1758" i="3"/>
  <c r="G1638" i="3"/>
  <c r="G1518" i="3"/>
  <c r="G1398" i="3"/>
  <c r="G1278" i="3"/>
  <c r="G1158" i="3"/>
  <c r="G798" i="3"/>
  <c r="G678" i="3"/>
  <c r="G1038" i="3"/>
  <c r="G918" i="3"/>
  <c r="G558" i="3"/>
  <c r="G438" i="3"/>
  <c r="G318" i="3"/>
  <c r="G198" i="3"/>
  <c r="G78" i="3"/>
  <c r="G2619" i="3"/>
  <c r="G2499" i="3"/>
  <c r="G2379" i="3"/>
  <c r="G2259" i="3"/>
  <c r="G2139" i="3"/>
  <c r="G2019" i="3"/>
  <c r="G1899" i="3"/>
  <c r="G1779" i="3"/>
  <c r="G1659" i="3"/>
  <c r="G1539" i="3"/>
  <c r="G1419" i="3"/>
  <c r="G1299" i="3"/>
  <c r="G1179" i="3"/>
  <c r="G1059" i="3"/>
  <c r="G939" i="3"/>
  <c r="G819" i="3"/>
  <c r="G699" i="3"/>
  <c r="G579" i="3"/>
  <c r="G339" i="3"/>
  <c r="G219" i="3"/>
  <c r="G459" i="3"/>
  <c r="G99" i="3"/>
  <c r="G2630" i="3"/>
  <c r="G2510" i="3"/>
  <c r="G2270" i="3"/>
  <c r="G2390" i="3"/>
  <c r="G2150" i="3"/>
  <c r="G2030" i="3"/>
  <c r="G1910" i="3"/>
  <c r="G1790" i="3"/>
  <c r="G1670" i="3"/>
  <c r="G1550" i="3"/>
  <c r="G1430" i="3"/>
  <c r="G1310" i="3"/>
  <c r="G1190" i="3"/>
  <c r="G830" i="3"/>
  <c r="G710" i="3"/>
  <c r="G590" i="3"/>
  <c r="G470" i="3"/>
  <c r="G950" i="3"/>
  <c r="G1070" i="3"/>
  <c r="G350" i="3"/>
  <c r="G230" i="3"/>
  <c r="G110" i="3"/>
  <c r="G2568" i="3"/>
  <c r="G2448" i="3"/>
  <c r="G2328" i="3"/>
  <c r="G2208" i="3"/>
  <c r="G2088" i="3"/>
  <c r="G1968" i="3"/>
  <c r="G1848" i="3"/>
  <c r="G1728" i="3"/>
  <c r="G1608" i="3"/>
  <c r="G1488" i="3"/>
  <c r="G1368" i="3"/>
  <c r="G1248" i="3"/>
  <c r="G1128" i="3"/>
  <c r="G1008" i="3"/>
  <c r="G888" i="3"/>
  <c r="G768" i="3"/>
  <c r="G528" i="3"/>
  <c r="G648" i="3"/>
  <c r="G408" i="3"/>
  <c r="G168" i="3"/>
  <c r="G288" i="3"/>
  <c r="G48" i="3"/>
  <c r="G2608" i="3"/>
  <c r="G2488" i="3"/>
  <c r="G2368" i="3"/>
  <c r="G2248" i="3"/>
  <c r="G2128" i="3"/>
  <c r="G2008" i="3"/>
  <c r="G1888" i="3"/>
  <c r="G1768" i="3"/>
  <c r="G1648" i="3"/>
  <c r="G1528" i="3"/>
  <c r="G1408" i="3"/>
  <c r="G1288" i="3"/>
  <c r="G1168" i="3"/>
  <c r="G1048" i="3"/>
  <c r="G808" i="3"/>
  <c r="G688" i="3"/>
  <c r="G928" i="3"/>
  <c r="G568" i="3"/>
  <c r="G208" i="3"/>
  <c r="G448" i="3"/>
  <c r="G328" i="3"/>
  <c r="G88" i="3"/>
  <c r="W8" i="1"/>
  <c r="Z27" i="1"/>
  <c r="Z25" i="1"/>
  <c r="H54" i="1"/>
  <c r="G2559" i="3"/>
  <c r="G2439" i="3"/>
  <c r="G2319" i="3"/>
  <c r="G2199" i="3"/>
  <c r="G2079" i="3"/>
  <c r="G1959" i="3"/>
  <c r="G1839" i="3"/>
  <c r="G1719" i="3"/>
  <c r="G1599" i="3"/>
  <c r="G1359" i="3"/>
  <c r="G1479" i="3"/>
  <c r="G1239" i="3"/>
  <c r="G1119" i="3"/>
  <c r="G999" i="3"/>
  <c r="G879" i="3"/>
  <c r="G759" i="3"/>
  <c r="G519" i="3"/>
  <c r="G399" i="3"/>
  <c r="G279" i="3"/>
  <c r="G639" i="3"/>
  <c r="G39" i="3"/>
  <c r="G159" i="3"/>
  <c r="G2562" i="3"/>
  <c r="G2442" i="3"/>
  <c r="G2322" i="3"/>
  <c r="G2202" i="3"/>
  <c r="G2082" i="3"/>
  <c r="G1842" i="3"/>
  <c r="G1962" i="3"/>
  <c r="G1722" i="3"/>
  <c r="G1602" i="3"/>
  <c r="G1482" i="3"/>
  <c r="G1242" i="3"/>
  <c r="G1362" i="3"/>
  <c r="G1122" i="3"/>
  <c r="G1002" i="3"/>
  <c r="G882" i="3"/>
  <c r="G762" i="3"/>
  <c r="G642" i="3"/>
  <c r="G522" i="3"/>
  <c r="G402" i="3"/>
  <c r="G282" i="3"/>
  <c r="G162" i="3"/>
  <c r="G42" i="3"/>
  <c r="G2585" i="3"/>
  <c r="G2465" i="3"/>
  <c r="G2345" i="3"/>
  <c r="G2225" i="3"/>
  <c r="G2105" i="3"/>
  <c r="G1985" i="3"/>
  <c r="G1865" i="3"/>
  <c r="G1745" i="3"/>
  <c r="G1625" i="3"/>
  <c r="G1505" i="3"/>
  <c r="G1385" i="3"/>
  <c r="G1265" i="3"/>
  <c r="G1145" i="3"/>
  <c r="G1025" i="3"/>
  <c r="G905" i="3"/>
  <c r="G785" i="3"/>
  <c r="G545" i="3"/>
  <c r="G665" i="3"/>
  <c r="G425" i="3"/>
  <c r="G65" i="3"/>
  <c r="G305" i="3"/>
  <c r="G185" i="3"/>
  <c r="G2595" i="3"/>
  <c r="G2475" i="3"/>
  <c r="G2355" i="3"/>
  <c r="G2235" i="3"/>
  <c r="G2115" i="3"/>
  <c r="G1995" i="3"/>
  <c r="G1875" i="3"/>
  <c r="G1755" i="3"/>
  <c r="G1635" i="3"/>
  <c r="G1515" i="3"/>
  <c r="G1395" i="3"/>
  <c r="G1275" i="3"/>
  <c r="G1155" i="3"/>
  <c r="G1035" i="3"/>
  <c r="G915" i="3"/>
  <c r="G795" i="3"/>
  <c r="G675" i="3"/>
  <c r="G555" i="3"/>
  <c r="G435" i="3"/>
  <c r="G315" i="3"/>
  <c r="G195" i="3"/>
  <c r="G75" i="3"/>
  <c r="G2596" i="3"/>
  <c r="G2476" i="3"/>
  <c r="G2356" i="3"/>
  <c r="G2236" i="3"/>
  <c r="G2116" i="3"/>
  <c r="G1996" i="3"/>
  <c r="G1876" i="3"/>
  <c r="G1756" i="3"/>
  <c r="G1636" i="3"/>
  <c r="G1516" i="3"/>
  <c r="G1396" i="3"/>
  <c r="G1156" i="3"/>
  <c r="G1276" i="3"/>
  <c r="G1036" i="3"/>
  <c r="G916" i="3"/>
  <c r="G796" i="3"/>
  <c r="G676" i="3"/>
  <c r="G436" i="3"/>
  <c r="G316" i="3"/>
  <c r="G196" i="3"/>
  <c r="G556" i="3"/>
  <c r="G76" i="3"/>
  <c r="H114" i="1"/>
  <c r="G2623" i="3"/>
  <c r="G2503" i="3"/>
  <c r="G2383" i="3"/>
  <c r="G2263" i="3"/>
  <c r="G2143" i="3"/>
  <c r="G2023" i="3"/>
  <c r="G1903" i="3"/>
  <c r="G1783" i="3"/>
  <c r="G1663" i="3"/>
  <c r="G1543" i="3"/>
  <c r="G1423" i="3"/>
  <c r="G1303" i="3"/>
  <c r="G1183" i="3"/>
  <c r="G943" i="3"/>
  <c r="G1063" i="3"/>
  <c r="G823" i="3"/>
  <c r="G583" i="3"/>
  <c r="G343" i="3"/>
  <c r="G703" i="3"/>
  <c r="G463" i="3"/>
  <c r="G103" i="3"/>
  <c r="G223" i="3"/>
  <c r="G2626" i="3"/>
  <c r="G2506" i="3"/>
  <c r="G2386" i="3"/>
  <c r="G2266" i="3"/>
  <c r="G2146" i="3"/>
  <c r="G2026" i="3"/>
  <c r="G1906" i="3"/>
  <c r="G1786" i="3"/>
  <c r="G1666" i="3"/>
  <c r="G1546" i="3"/>
  <c r="G1426" i="3"/>
  <c r="G1186" i="3"/>
  <c r="G1306" i="3"/>
  <c r="G1066" i="3"/>
  <c r="G826" i="3"/>
  <c r="G706" i="3"/>
  <c r="G946" i="3"/>
  <c r="G586" i="3"/>
  <c r="G346" i="3"/>
  <c r="G226" i="3"/>
  <c r="G106" i="3"/>
  <c r="G466" i="3"/>
  <c r="H178" i="1"/>
  <c r="H206" i="1"/>
  <c r="Y40" i="1" s="1"/>
  <c r="N25" i="1"/>
  <c r="O25" i="1" s="1"/>
  <c r="H38" i="1"/>
  <c r="Y26" i="1" s="1"/>
  <c r="H49" i="1"/>
  <c r="H78" i="1"/>
  <c r="H89" i="1"/>
  <c r="Y30" i="1" s="1"/>
  <c r="H106" i="1"/>
  <c r="H142" i="1"/>
  <c r="H153" i="1"/>
  <c r="H170" i="1"/>
  <c r="H187" i="1"/>
  <c r="H248" i="1"/>
  <c r="H267" i="1"/>
  <c r="H277" i="1"/>
  <c r="H327" i="1"/>
  <c r="Y50" i="1" s="1"/>
  <c r="H376" i="1"/>
  <c r="Y54" i="1" s="1"/>
  <c r="G2550" i="3"/>
  <c r="G2430" i="3"/>
  <c r="G2310" i="3"/>
  <c r="G2190" i="3"/>
  <c r="G2070" i="3"/>
  <c r="G1950" i="3"/>
  <c r="G1830" i="3"/>
  <c r="G1710" i="3"/>
  <c r="G1590" i="3"/>
  <c r="G1470" i="3"/>
  <c r="G1350" i="3"/>
  <c r="G1110" i="3"/>
  <c r="G1230" i="3"/>
  <c r="G870" i="3"/>
  <c r="G750" i="3"/>
  <c r="G630" i="3"/>
  <c r="G990" i="3"/>
  <c r="G510" i="3"/>
  <c r="G390" i="3"/>
  <c r="G270" i="3"/>
  <c r="G150" i="3"/>
  <c r="G30" i="3"/>
  <c r="G2560" i="3"/>
  <c r="G2440" i="3"/>
  <c r="G2320" i="3"/>
  <c r="G2200" i="3"/>
  <c r="G1960" i="3"/>
  <c r="G2080" i="3"/>
  <c r="G1840" i="3"/>
  <c r="G1720" i="3"/>
  <c r="G1600" i="3"/>
  <c r="G1480" i="3"/>
  <c r="G1360" i="3"/>
  <c r="G1240" i="3"/>
  <c r="G1120" i="3"/>
  <c r="G1000" i="3"/>
  <c r="G880" i="3"/>
  <c r="G760" i="3"/>
  <c r="G520" i="3"/>
  <c r="G640" i="3"/>
  <c r="G400" i="3"/>
  <c r="G160" i="3"/>
  <c r="G280" i="3"/>
  <c r="G40" i="3"/>
  <c r="G2569" i="3"/>
  <c r="G2449" i="3"/>
  <c r="G2329" i="3"/>
  <c r="G2209" i="3"/>
  <c r="G2089" i="3"/>
  <c r="G1969" i="3"/>
  <c r="G1849" i="3"/>
  <c r="G1729" i="3"/>
  <c r="G1609" i="3"/>
  <c r="G1489" i="3"/>
  <c r="G1369" i="3"/>
  <c r="G1249" i="3"/>
  <c r="G1129" i="3"/>
  <c r="G1009" i="3"/>
  <c r="G889" i="3"/>
  <c r="G649" i="3"/>
  <c r="G529" i="3"/>
  <c r="G769" i="3"/>
  <c r="G169" i="3"/>
  <c r="G409" i="3"/>
  <c r="G49" i="3"/>
  <c r="G289" i="3"/>
  <c r="G2579" i="3"/>
  <c r="G2459" i="3"/>
  <c r="G2339" i="3"/>
  <c r="G2219" i="3"/>
  <c r="G2099" i="3"/>
  <c r="G1979" i="3"/>
  <c r="G1859" i="3"/>
  <c r="G1739" i="3"/>
  <c r="G1499" i="3"/>
  <c r="G1619" i="3"/>
  <c r="G1379" i="3"/>
  <c r="G1259" i="3"/>
  <c r="G1139" i="3"/>
  <c r="G1019" i="3"/>
  <c r="G899" i="3"/>
  <c r="G779" i="3"/>
  <c r="G659" i="3"/>
  <c r="G539" i="3"/>
  <c r="G419" i="3"/>
  <c r="G299" i="3"/>
  <c r="G179" i="3"/>
  <c r="G59" i="3"/>
  <c r="G2580" i="3"/>
  <c r="G2460" i="3"/>
  <c r="G2340" i="3"/>
  <c r="G2220" i="3"/>
  <c r="G2100" i="3"/>
  <c r="G1860" i="3"/>
  <c r="G1980" i="3"/>
  <c r="G1620" i="3"/>
  <c r="G1740" i="3"/>
  <c r="G1500" i="3"/>
  <c r="G1380" i="3"/>
  <c r="G1260" i="3"/>
  <c r="G1140" i="3"/>
  <c r="G1020" i="3"/>
  <c r="G900" i="3"/>
  <c r="G780" i="3"/>
  <c r="G660" i="3"/>
  <c r="G420" i="3"/>
  <c r="G300" i="3"/>
  <c r="G180" i="3"/>
  <c r="G540" i="3"/>
  <c r="G60" i="3"/>
  <c r="G2582" i="3"/>
  <c r="G2462" i="3"/>
  <c r="G2342" i="3"/>
  <c r="G2222" i="3"/>
  <c r="G2102" i="3"/>
  <c r="G1982" i="3"/>
  <c r="G1862" i="3"/>
  <c r="G1742" i="3"/>
  <c r="G1622" i="3"/>
  <c r="G1502" i="3"/>
  <c r="G1382" i="3"/>
  <c r="G1142" i="3"/>
  <c r="G1262" i="3"/>
  <c r="G902" i="3"/>
  <c r="G782" i="3"/>
  <c r="G662" i="3"/>
  <c r="G1022" i="3"/>
  <c r="G542" i="3"/>
  <c r="G422" i="3"/>
  <c r="G302" i="3"/>
  <c r="G182" i="3"/>
  <c r="G62" i="3"/>
  <c r="G2597" i="3"/>
  <c r="G2477" i="3"/>
  <c r="G2357" i="3"/>
  <c r="G2237" i="3"/>
  <c r="G2117" i="3"/>
  <c r="G1997" i="3"/>
  <c r="G1877" i="3"/>
  <c r="G1757" i="3"/>
  <c r="G1637" i="3"/>
  <c r="G1517" i="3"/>
  <c r="G1397" i="3"/>
  <c r="G1157" i="3"/>
  <c r="G1037" i="3"/>
  <c r="G917" i="3"/>
  <c r="G1277" i="3"/>
  <c r="G797" i="3"/>
  <c r="G677" i="3"/>
  <c r="G557" i="3"/>
  <c r="G437" i="3"/>
  <c r="G317" i="3"/>
  <c r="G197" i="3"/>
  <c r="G77" i="3"/>
  <c r="G2607" i="3"/>
  <c r="G2487" i="3"/>
  <c r="G2367" i="3"/>
  <c r="G2247" i="3"/>
  <c r="G2127" i="3"/>
  <c r="G2007" i="3"/>
  <c r="G1887" i="3"/>
  <c r="G1767" i="3"/>
  <c r="G1647" i="3"/>
  <c r="G1527" i="3"/>
  <c r="G1407" i="3"/>
  <c r="G1287" i="3"/>
  <c r="G1167" i="3"/>
  <c r="G1047" i="3"/>
  <c r="G807" i="3"/>
  <c r="G567" i="3"/>
  <c r="G927" i="3"/>
  <c r="G447" i="3"/>
  <c r="G327" i="3"/>
  <c r="G687" i="3"/>
  <c r="G87" i="3"/>
  <c r="G207" i="3"/>
  <c r="G2610" i="3"/>
  <c r="G2490" i="3"/>
  <c r="G2370" i="3"/>
  <c r="G2250" i="3"/>
  <c r="G2130" i="3"/>
  <c r="G1890" i="3"/>
  <c r="G1770" i="3"/>
  <c r="G2010" i="3"/>
  <c r="G1650" i="3"/>
  <c r="G1530" i="3"/>
  <c r="G1410" i="3"/>
  <c r="G1290" i="3"/>
  <c r="G1170" i="3"/>
  <c r="G1050" i="3"/>
  <c r="G810" i="3"/>
  <c r="G930" i="3"/>
  <c r="G690" i="3"/>
  <c r="G570" i="3"/>
  <c r="G450" i="3"/>
  <c r="G330" i="3"/>
  <c r="G210" i="3"/>
  <c r="G90" i="3"/>
  <c r="G2624" i="3"/>
  <c r="G2504" i="3"/>
  <c r="G2384" i="3"/>
  <c r="G2264" i="3"/>
  <c r="G2144" i="3"/>
  <c r="G2024" i="3"/>
  <c r="G1904" i="3"/>
  <c r="G1784" i="3"/>
  <c r="G1664" i="3"/>
  <c r="G1424" i="3"/>
  <c r="G1544" i="3"/>
  <c r="G1304" i="3"/>
  <c r="G1184" i="3"/>
  <c r="G1064" i="3"/>
  <c r="G824" i="3"/>
  <c r="G704" i="3"/>
  <c r="G944" i="3"/>
  <c r="G584" i="3"/>
  <c r="G464" i="3"/>
  <c r="G224" i="3"/>
  <c r="G344" i="3"/>
  <c r="G104" i="3"/>
  <c r="G2633" i="3"/>
  <c r="G2513" i="3"/>
  <c r="G2393" i="3"/>
  <c r="G2273" i="3"/>
  <c r="G2153" i="3"/>
  <c r="G2033" i="3"/>
  <c r="G1793" i="3"/>
  <c r="G1913" i="3"/>
  <c r="G1673" i="3"/>
  <c r="G1553" i="3"/>
  <c r="G1433" i="3"/>
  <c r="G1313" i="3"/>
  <c r="G1193" i="3"/>
  <c r="G1073" i="3"/>
  <c r="G953" i="3"/>
  <c r="G713" i="3"/>
  <c r="G593" i="3"/>
  <c r="G833" i="3"/>
  <c r="G473" i="3"/>
  <c r="G233" i="3"/>
  <c r="G113" i="3"/>
  <c r="G353" i="3"/>
  <c r="G2643" i="3"/>
  <c r="G2523" i="3"/>
  <c r="G2403" i="3"/>
  <c r="G2283" i="3"/>
  <c r="G2043" i="3"/>
  <c r="G2163" i="3"/>
  <c r="G1923" i="3"/>
  <c r="G1803" i="3"/>
  <c r="G1683" i="3"/>
  <c r="G1563" i="3"/>
  <c r="G1443" i="3"/>
  <c r="G1323" i="3"/>
  <c r="G1203" i="3"/>
  <c r="G963" i="3"/>
  <c r="G1083" i="3"/>
  <c r="G843" i="3"/>
  <c r="G723" i="3"/>
  <c r="G603" i="3"/>
  <c r="G483" i="3"/>
  <c r="G363" i="3"/>
  <c r="G243" i="3"/>
  <c r="G123" i="3"/>
  <c r="H250" i="1"/>
  <c r="H287" i="1"/>
  <c r="H356" i="1"/>
  <c r="H365" i="1"/>
  <c r="H366" i="1"/>
  <c r="H378" i="1"/>
  <c r="G2545" i="3"/>
  <c r="G2425" i="3"/>
  <c r="G2305" i="3"/>
  <c r="G2185" i="3"/>
  <c r="G2065" i="3"/>
  <c r="G1945" i="3"/>
  <c r="G1825" i="3"/>
  <c r="G1705" i="3"/>
  <c r="G1585" i="3"/>
  <c r="G1465" i="3"/>
  <c r="G1225" i="3"/>
  <c r="G1345" i="3"/>
  <c r="G1105" i="3"/>
  <c r="G985" i="3"/>
  <c r="G505" i="3"/>
  <c r="G625" i="3"/>
  <c r="G865" i="3"/>
  <c r="G745" i="3"/>
  <c r="G385" i="3"/>
  <c r="G265" i="3"/>
  <c r="G145" i="3"/>
  <c r="G25" i="3"/>
  <c r="G2561" i="3"/>
  <c r="G2441" i="3"/>
  <c r="G2321" i="3"/>
  <c r="G2201" i="3"/>
  <c r="G2081" i="3"/>
  <c r="G1841" i="3"/>
  <c r="G1961" i="3"/>
  <c r="G1721" i="3"/>
  <c r="G1601" i="3"/>
  <c r="G1481" i="3"/>
  <c r="G1241" i="3"/>
  <c r="G1361" i="3"/>
  <c r="G1121" i="3"/>
  <c r="G1001" i="3"/>
  <c r="G641" i="3"/>
  <c r="G521" i="3"/>
  <c r="G881" i="3"/>
  <c r="G761" i="3"/>
  <c r="G281" i="3"/>
  <c r="G41" i="3"/>
  <c r="G161" i="3"/>
  <c r="G401" i="3"/>
  <c r="G2571" i="3"/>
  <c r="G2451" i="3"/>
  <c r="G2331" i="3"/>
  <c r="G2211" i="3"/>
  <c r="G2091" i="3"/>
  <c r="G1971" i="3"/>
  <c r="G1851" i="3"/>
  <c r="G1731" i="3"/>
  <c r="G1611" i="3"/>
  <c r="G1491" i="3"/>
  <c r="G1371" i="3"/>
  <c r="G1251" i="3"/>
  <c r="G1131" i="3"/>
  <c r="G1011" i="3"/>
  <c r="G891" i="3"/>
  <c r="G771" i="3"/>
  <c r="G651" i="3"/>
  <c r="G531" i="3"/>
  <c r="G411" i="3"/>
  <c r="G291" i="3"/>
  <c r="G171" i="3"/>
  <c r="G51" i="3"/>
  <c r="G2572" i="3"/>
  <c r="G2452" i="3"/>
  <c r="G2332" i="3"/>
  <c r="G2212" i="3"/>
  <c r="G2092" i="3"/>
  <c r="G1972" i="3"/>
  <c r="G1852" i="3"/>
  <c r="G1732" i="3"/>
  <c r="G1612" i="3"/>
  <c r="G1372" i="3"/>
  <c r="G1492" i="3"/>
  <c r="G1252" i="3"/>
  <c r="G1132" i="3"/>
  <c r="G1012" i="3"/>
  <c r="G892" i="3"/>
  <c r="G772" i="3"/>
  <c r="G652" i="3"/>
  <c r="G412" i="3"/>
  <c r="G292" i="3"/>
  <c r="G172" i="3"/>
  <c r="G532" i="3"/>
  <c r="G52" i="3"/>
  <c r="Y29" i="1"/>
  <c r="G2589" i="3"/>
  <c r="G2469" i="3"/>
  <c r="G2349" i="3"/>
  <c r="G2229" i="3"/>
  <c r="G2109" i="3"/>
  <c r="G1989" i="3"/>
  <c r="G1869" i="3"/>
  <c r="G1749" i="3"/>
  <c r="G1629" i="3"/>
  <c r="G1509" i="3"/>
  <c r="G1389" i="3"/>
  <c r="G1149" i="3"/>
  <c r="G1269" i="3"/>
  <c r="G1029" i="3"/>
  <c r="G909" i="3"/>
  <c r="G789" i="3"/>
  <c r="G669" i="3"/>
  <c r="G549" i="3"/>
  <c r="G429" i="3"/>
  <c r="G309" i="3"/>
  <c r="G189" i="3"/>
  <c r="G69" i="3"/>
  <c r="Z31" i="1"/>
  <c r="G2616" i="3"/>
  <c r="G2496" i="3"/>
  <c r="G2376" i="3"/>
  <c r="G2256" i="3"/>
  <c r="G2136" i="3"/>
  <c r="G2016" i="3"/>
  <c r="G1896" i="3"/>
  <c r="G1776" i="3"/>
  <c r="G1656" i="3"/>
  <c r="G1536" i="3"/>
  <c r="G1416" i="3"/>
  <c r="G1296" i="3"/>
  <c r="G1176" i="3"/>
  <c r="G1056" i="3"/>
  <c r="G816" i="3"/>
  <c r="G696" i="3"/>
  <c r="G936" i="3"/>
  <c r="G576" i="3"/>
  <c r="G456" i="3"/>
  <c r="G216" i="3"/>
  <c r="G336" i="3"/>
  <c r="G96" i="3"/>
  <c r="G2625" i="3"/>
  <c r="G2505" i="3"/>
  <c r="G2385" i="3"/>
  <c r="G2265" i="3"/>
  <c r="G2145" i="3"/>
  <c r="G2025" i="3"/>
  <c r="G1905" i="3"/>
  <c r="G1785" i="3"/>
  <c r="G1665" i="3"/>
  <c r="G1545" i="3"/>
  <c r="G1425" i="3"/>
  <c r="G1185" i="3"/>
  <c r="G1305" i="3"/>
  <c r="G1065" i="3"/>
  <c r="G945" i="3"/>
  <c r="G585" i="3"/>
  <c r="G825" i="3"/>
  <c r="G465" i="3"/>
  <c r="G705" i="3"/>
  <c r="G345" i="3"/>
  <c r="G105" i="3"/>
  <c r="G225" i="3"/>
  <c r="G2635" i="3"/>
  <c r="G2515" i="3"/>
  <c r="G2395" i="3"/>
  <c r="G2275" i="3"/>
  <c r="G2035" i="3"/>
  <c r="G2155" i="3"/>
  <c r="G1915" i="3"/>
  <c r="G1795" i="3"/>
  <c r="G1675" i="3"/>
  <c r="G1555" i="3"/>
  <c r="G1435" i="3"/>
  <c r="G1315" i="3"/>
  <c r="G1195" i="3"/>
  <c r="G1075" i="3"/>
  <c r="G955" i="3"/>
  <c r="G835" i="3"/>
  <c r="G715" i="3"/>
  <c r="G595" i="3"/>
  <c r="G475" i="3"/>
  <c r="G355" i="3"/>
  <c r="G235" i="3"/>
  <c r="G115" i="3"/>
  <c r="G2636" i="3"/>
  <c r="G2516" i="3"/>
  <c r="G2396" i="3"/>
  <c r="G2276" i="3"/>
  <c r="G2156" i="3"/>
  <c r="G2036" i="3"/>
  <c r="G1916" i="3"/>
  <c r="G1796" i="3"/>
  <c r="G1676" i="3"/>
  <c r="G1556" i="3"/>
  <c r="G1316" i="3"/>
  <c r="G1436" i="3"/>
  <c r="G1196" i="3"/>
  <c r="G1076" i="3"/>
  <c r="G956" i="3"/>
  <c r="G836" i="3"/>
  <c r="G716" i="3"/>
  <c r="G356" i="3"/>
  <c r="G236" i="3"/>
  <c r="G596" i="3"/>
  <c r="G476" i="3"/>
  <c r="G116" i="3"/>
  <c r="Z42" i="1"/>
  <c r="G2527" i="3"/>
  <c r="G2407" i="3"/>
  <c r="G2287" i="3"/>
  <c r="G2167" i="3"/>
  <c r="G2047" i="3"/>
  <c r="G1927" i="3"/>
  <c r="G1807" i="3"/>
  <c r="G1687" i="3"/>
  <c r="G1567" i="3"/>
  <c r="G1447" i="3"/>
  <c r="G1327" i="3"/>
  <c r="G1207" i="3"/>
  <c r="G1087" i="3"/>
  <c r="G967" i="3"/>
  <c r="G847" i="3"/>
  <c r="G607" i="3"/>
  <c r="G727" i="3"/>
  <c r="G487" i="3"/>
  <c r="G367" i="3"/>
  <c r="G247" i="3"/>
  <c r="G7" i="3"/>
  <c r="G127" i="3"/>
  <c r="H65" i="1"/>
  <c r="H82" i="1"/>
  <c r="H118" i="1"/>
  <c r="H129" i="1"/>
  <c r="H146" i="1"/>
  <c r="Y35" i="1" s="1"/>
  <c r="H182" i="1"/>
  <c r="Z39" i="1"/>
  <c r="H196" i="1"/>
  <c r="H231" i="1"/>
  <c r="H243" i="1"/>
  <c r="Y43" i="1" s="1"/>
  <c r="H309" i="1"/>
  <c r="H348" i="1"/>
  <c r="H358" i="1"/>
  <c r="H359" i="1"/>
  <c r="G2530" i="3"/>
  <c r="G2410" i="3"/>
  <c r="G2290" i="3"/>
  <c r="G2170" i="3"/>
  <c r="G2050" i="3"/>
  <c r="G1930" i="3"/>
  <c r="G1810" i="3"/>
  <c r="G1690" i="3"/>
  <c r="G1570" i="3"/>
  <c r="G1450" i="3"/>
  <c r="G1210" i="3"/>
  <c r="G1330" i="3"/>
  <c r="G1090" i="3"/>
  <c r="G850" i="3"/>
  <c r="G970" i="3"/>
  <c r="G730" i="3"/>
  <c r="G610" i="3"/>
  <c r="G370" i="3"/>
  <c r="G250" i="3"/>
  <c r="G10" i="3"/>
  <c r="G490" i="3"/>
  <c r="G130" i="3"/>
  <c r="G2532" i="3"/>
  <c r="G2412" i="3"/>
  <c r="G2292" i="3"/>
  <c r="G2172" i="3"/>
  <c r="G2052" i="3"/>
  <c r="G1812" i="3"/>
  <c r="G1932" i="3"/>
  <c r="G1692" i="3"/>
  <c r="G1572" i="3"/>
  <c r="G1452" i="3"/>
  <c r="G1332" i="3"/>
  <c r="G1212" i="3"/>
  <c r="G972" i="3"/>
  <c r="G1092" i="3"/>
  <c r="G852" i="3"/>
  <c r="G732" i="3"/>
  <c r="G372" i="3"/>
  <c r="G252" i="3"/>
  <c r="G612" i="3"/>
  <c r="G492" i="3"/>
  <c r="G12" i="3"/>
  <c r="G132" i="3"/>
  <c r="H57" i="1"/>
  <c r="H74" i="1"/>
  <c r="G2586" i="3"/>
  <c r="G2466" i="3"/>
  <c r="G2346" i="3"/>
  <c r="G2226" i="3"/>
  <c r="G2106" i="3"/>
  <c r="G1986" i="3"/>
  <c r="G1866" i="3"/>
  <c r="G1746" i="3"/>
  <c r="G1626" i="3"/>
  <c r="G1506" i="3"/>
  <c r="G1386" i="3"/>
  <c r="G1146" i="3"/>
  <c r="G1266" i="3"/>
  <c r="G906" i="3"/>
  <c r="G786" i="3"/>
  <c r="G666" i="3"/>
  <c r="G1026" i="3"/>
  <c r="G546" i="3"/>
  <c r="G426" i="3"/>
  <c r="G306" i="3"/>
  <c r="G186" i="3"/>
  <c r="G66" i="3"/>
  <c r="H110" i="1"/>
  <c r="H121" i="1"/>
  <c r="H138" i="1"/>
  <c r="H174" i="1"/>
  <c r="H185" i="1"/>
  <c r="H216" i="1"/>
  <c r="H236" i="1"/>
  <c r="Y42" i="1" s="1"/>
  <c r="H263" i="1"/>
  <c r="H312" i="1"/>
  <c r="H331" i="1"/>
  <c r="Z51" i="1"/>
  <c r="H341" i="1"/>
  <c r="Y51" i="1" s="1"/>
  <c r="Z26" i="1"/>
  <c r="G2565" i="3"/>
  <c r="G2445" i="3"/>
  <c r="G2325" i="3"/>
  <c r="G2205" i="3"/>
  <c r="G2085" i="3"/>
  <c r="G1845" i="3"/>
  <c r="G1965" i="3"/>
  <c r="G1725" i="3"/>
  <c r="G1605" i="3"/>
  <c r="G1485" i="3"/>
  <c r="G1365" i="3"/>
  <c r="G1245" i="3"/>
  <c r="G1125" i="3"/>
  <c r="G1005" i="3"/>
  <c r="G885" i="3"/>
  <c r="G765" i="3"/>
  <c r="G645" i="3"/>
  <c r="G525" i="3"/>
  <c r="G405" i="3"/>
  <c r="G285" i="3"/>
  <c r="G165" i="3"/>
  <c r="G45" i="3"/>
  <c r="G2578" i="3"/>
  <c r="G2458" i="3"/>
  <c r="G2338" i="3"/>
  <c r="G2218" i="3"/>
  <c r="G2098" i="3"/>
  <c r="G1978" i="3"/>
  <c r="G1858" i="3"/>
  <c r="G1738" i="3"/>
  <c r="G1618" i="3"/>
  <c r="G1498" i="3"/>
  <c r="G1378" i="3"/>
  <c r="G1258" i="3"/>
  <c r="G1138" i="3"/>
  <c r="G1018" i="3"/>
  <c r="G898" i="3"/>
  <c r="G778" i="3"/>
  <c r="G658" i="3"/>
  <c r="G538" i="3"/>
  <c r="G418" i="3"/>
  <c r="G298" i="3"/>
  <c r="G178" i="3"/>
  <c r="G58" i="3"/>
  <c r="G2601" i="3"/>
  <c r="G2481" i="3"/>
  <c r="G2361" i="3"/>
  <c r="G2241" i="3"/>
  <c r="G2121" i="3"/>
  <c r="G2001" i="3"/>
  <c r="G1881" i="3"/>
  <c r="G1761" i="3"/>
  <c r="G1641" i="3"/>
  <c r="G1521" i="3"/>
  <c r="G1401" i="3"/>
  <c r="G1281" i="3"/>
  <c r="G1161" i="3"/>
  <c r="G1041" i="3"/>
  <c r="G561" i="3"/>
  <c r="G681" i="3"/>
  <c r="G801" i="3"/>
  <c r="G921" i="3"/>
  <c r="G81" i="3"/>
  <c r="G321" i="3"/>
  <c r="G441" i="3"/>
  <c r="G201" i="3"/>
  <c r="G2612" i="3"/>
  <c r="G2492" i="3"/>
  <c r="G2372" i="3"/>
  <c r="G2252" i="3"/>
  <c r="G2132" i="3"/>
  <c r="G2012" i="3"/>
  <c r="G1892" i="3"/>
  <c r="G1772" i="3"/>
  <c r="G1652" i="3"/>
  <c r="G1532" i="3"/>
  <c r="G1412" i="3"/>
  <c r="G1292" i="3"/>
  <c r="G1172" i="3"/>
  <c r="G1052" i="3"/>
  <c r="G812" i="3"/>
  <c r="G692" i="3"/>
  <c r="G932" i="3"/>
  <c r="G332" i="3"/>
  <c r="G212" i="3"/>
  <c r="G572" i="3"/>
  <c r="G452" i="3"/>
  <c r="G92" i="3"/>
  <c r="G2614" i="3"/>
  <c r="G2494" i="3"/>
  <c r="G2374" i="3"/>
  <c r="G2254" i="3"/>
  <c r="G2134" i="3"/>
  <c r="G2014" i="3"/>
  <c r="G1894" i="3"/>
  <c r="G1774" i="3"/>
  <c r="G1654" i="3"/>
  <c r="G1534" i="3"/>
  <c r="G1414" i="3"/>
  <c r="G1294" i="3"/>
  <c r="G1174" i="3"/>
  <c r="G814" i="3"/>
  <c r="G694" i="3"/>
  <c r="G1054" i="3"/>
  <c r="G934" i="3"/>
  <c r="G574" i="3"/>
  <c r="G454" i="3"/>
  <c r="G334" i="3"/>
  <c r="G214" i="3"/>
  <c r="G94" i="3"/>
  <c r="G2629" i="3"/>
  <c r="G2509" i="3"/>
  <c r="G2389" i="3"/>
  <c r="G2269" i="3"/>
  <c r="G2149" i="3"/>
  <c r="G1909" i="3"/>
  <c r="G1789" i="3"/>
  <c r="G2029" i="3"/>
  <c r="G1549" i="3"/>
  <c r="G1669" i="3"/>
  <c r="G1309" i="3"/>
  <c r="G1429" i="3"/>
  <c r="G1189" i="3"/>
  <c r="G1069" i="3"/>
  <c r="G949" i="3"/>
  <c r="G829" i="3"/>
  <c r="G709" i="3"/>
  <c r="G589" i="3"/>
  <c r="G469" i="3"/>
  <c r="G349" i="3"/>
  <c r="G229" i="3"/>
  <c r="G109" i="3"/>
  <c r="G2642" i="3"/>
  <c r="G2522" i="3"/>
  <c r="G2402" i="3"/>
  <c r="G2282" i="3"/>
  <c r="G2162" i="3"/>
  <c r="G2042" i="3"/>
  <c r="G1922" i="3"/>
  <c r="G1802" i="3"/>
  <c r="G1562" i="3"/>
  <c r="G1442" i="3"/>
  <c r="G1682" i="3"/>
  <c r="G1202" i="3"/>
  <c r="G1322" i="3"/>
  <c r="G1082" i="3"/>
  <c r="G842" i="3"/>
  <c r="G962" i="3"/>
  <c r="G722" i="3"/>
  <c r="G482" i="3"/>
  <c r="G602" i="3"/>
  <c r="G362" i="3"/>
  <c r="G242" i="3"/>
  <c r="G122" i="3"/>
  <c r="G2524" i="3"/>
  <c r="G2404" i="3"/>
  <c r="G2284" i="3"/>
  <c r="G2164" i="3"/>
  <c r="G2044" i="3"/>
  <c r="K2044" i="3" s="1"/>
  <c r="G1804" i="3"/>
  <c r="G1684" i="3"/>
  <c r="G1924" i="3"/>
  <c r="G1564" i="3"/>
  <c r="G1324" i="3"/>
  <c r="G1444" i="3"/>
  <c r="G1204" i="3"/>
  <c r="G1084" i="3"/>
  <c r="G964" i="3"/>
  <c r="G844" i="3"/>
  <c r="K844" i="3" s="1"/>
  <c r="G724" i="3"/>
  <c r="K724" i="3" s="1"/>
  <c r="G484" i="3"/>
  <c r="G364" i="3"/>
  <c r="K364" i="3" s="1"/>
  <c r="G244" i="3"/>
  <c r="K244" i="3" s="1"/>
  <c r="G604" i="3"/>
  <c r="G4" i="3"/>
  <c r="G124" i="3"/>
  <c r="H30" i="1"/>
  <c r="H41" i="1"/>
  <c r="H58" i="1"/>
  <c r="H94" i="1"/>
  <c r="G2603" i="3"/>
  <c r="G2483" i="3"/>
  <c r="G2363" i="3"/>
  <c r="G2243" i="3"/>
  <c r="G2123" i="3"/>
  <c r="G2003" i="3"/>
  <c r="G1883" i="3"/>
  <c r="G1763" i="3"/>
  <c r="G1643" i="3"/>
  <c r="G1523" i="3"/>
  <c r="G1403" i="3"/>
  <c r="G1283" i="3"/>
  <c r="G1163" i="3"/>
  <c r="G1043" i="3"/>
  <c r="G803" i="3"/>
  <c r="G683" i="3"/>
  <c r="G923" i="3"/>
  <c r="G563" i="3"/>
  <c r="G443" i="3"/>
  <c r="G323" i="3"/>
  <c r="G203" i="3"/>
  <c r="G83" i="3"/>
  <c r="H105" i="1"/>
  <c r="Y31" i="1" s="1"/>
  <c r="H122" i="1"/>
  <c r="H158" i="1"/>
  <c r="Y36" i="1" s="1"/>
  <c r="H169" i="1"/>
  <c r="Y37" i="1" s="1"/>
  <c r="H186" i="1"/>
  <c r="H213" i="1"/>
  <c r="H233" i="1"/>
  <c r="H275" i="1"/>
  <c r="Y45" i="1" s="1"/>
  <c r="H304" i="1"/>
  <c r="Y48" i="1" s="1"/>
  <c r="H334" i="1"/>
  <c r="Z47" i="1"/>
  <c r="H195" i="1"/>
  <c r="Y39" i="1" s="1"/>
  <c r="H259" i="1"/>
  <c r="Y44" i="1" s="1"/>
  <c r="H323" i="1"/>
  <c r="Y49" i="1" s="1"/>
  <c r="H235" i="1"/>
  <c r="H299" i="1"/>
  <c r="H363" i="1"/>
  <c r="Y53" i="1" s="1"/>
  <c r="H227" i="1"/>
  <c r="Y41" i="1" s="1"/>
  <c r="H291" i="1"/>
  <c r="Y47" i="1" s="1"/>
  <c r="H355" i="1"/>
  <c r="Y52" i="1" s="1"/>
  <c r="M364" i="3"/>
  <c r="Q364" i="3" s="1"/>
  <c r="L364" i="3"/>
  <c r="I413" i="3"/>
  <c r="I428" i="3"/>
  <c r="I404" i="3"/>
  <c r="I158" i="3"/>
  <c r="I165" i="3"/>
  <c r="I174" i="3"/>
  <c r="L244" i="3"/>
  <c r="I380" i="3"/>
  <c r="I429" i="3"/>
  <c r="I444" i="3"/>
  <c r="I229" i="3"/>
  <c r="I260" i="3"/>
  <c r="I276" i="3"/>
  <c r="I292" i="3"/>
  <c r="I308" i="3"/>
  <c r="I324" i="3"/>
  <c r="I340" i="3"/>
  <c r="I356" i="3"/>
  <c r="I365" i="3"/>
  <c r="I405" i="3"/>
  <c r="I420" i="3"/>
  <c r="I136" i="3"/>
  <c r="K124" i="3"/>
  <c r="L124" i="3" s="1"/>
  <c r="I236" i="3"/>
  <c r="I245" i="3"/>
  <c r="I261" i="3"/>
  <c r="I277" i="3"/>
  <c r="I293" i="3"/>
  <c r="I309" i="3"/>
  <c r="I325" i="3"/>
  <c r="I341" i="3"/>
  <c r="I357" i="3"/>
  <c r="I372" i="3"/>
  <c r="I436" i="3"/>
  <c r="I507" i="3"/>
  <c r="I512" i="3"/>
  <c r="I499" i="3"/>
  <c r="I504" i="3"/>
  <c r="I608" i="3"/>
  <c r="I654" i="3"/>
  <c r="I455" i="3"/>
  <c r="I472" i="3"/>
  <c r="I491" i="3"/>
  <c r="I496" i="3"/>
  <c r="I624" i="3"/>
  <c r="I656" i="3"/>
  <c r="I672" i="3"/>
  <c r="I688" i="3"/>
  <c r="I704" i="3"/>
  <c r="I717" i="3"/>
  <c r="I829" i="3"/>
  <c r="I877" i="3"/>
  <c r="I648" i="3"/>
  <c r="L724" i="3"/>
  <c r="I733" i="3"/>
  <c r="I741" i="3"/>
  <c r="I749" i="3"/>
  <c r="I757" i="3"/>
  <c r="I765" i="3"/>
  <c r="I781" i="3"/>
  <c r="I893" i="3"/>
  <c r="I948" i="3"/>
  <c r="I669" i="3"/>
  <c r="I685" i="3"/>
  <c r="I701" i="3"/>
  <c r="I789" i="3"/>
  <c r="I901" i="3"/>
  <c r="I1035" i="3"/>
  <c r="I710" i="3"/>
  <c r="I718" i="3"/>
  <c r="I632" i="3"/>
  <c r="L844" i="3"/>
  <c r="M844" i="3" s="1"/>
  <c r="I994" i="3"/>
  <c r="I1058" i="3"/>
  <c r="I1070" i="3"/>
  <c r="I1018" i="3"/>
  <c r="K964" i="3"/>
  <c r="I1026" i="3"/>
  <c r="I1038" i="3"/>
  <c r="I965" i="3"/>
  <c r="I966" i="3"/>
  <c r="I970" i="3"/>
  <c r="I982" i="3"/>
  <c r="I1034" i="3"/>
  <c r="I1046" i="3"/>
  <c r="I934" i="3"/>
  <c r="I962" i="3"/>
  <c r="I990" i="3"/>
  <c r="I1054" i="3"/>
  <c r="I1097" i="3"/>
  <c r="I1109" i="3"/>
  <c r="I1194" i="3"/>
  <c r="I1242" i="3"/>
  <c r="I1294" i="3"/>
  <c r="L1084" i="3"/>
  <c r="K1084" i="3"/>
  <c r="I1293" i="3"/>
  <c r="I1085" i="3"/>
  <c r="I1301" i="3"/>
  <c r="I1093" i="3"/>
  <c r="I1118" i="3"/>
  <c r="I1157" i="3"/>
  <c r="I1162" i="3"/>
  <c r="I1210" i="3"/>
  <c r="I1117" i="3"/>
  <c r="I1122" i="3"/>
  <c r="I1126" i="3"/>
  <c r="I1133" i="3"/>
  <c r="I1138" i="3"/>
  <c r="I1218" i="3"/>
  <c r="I1101" i="3"/>
  <c r="I1125" i="3"/>
  <c r="I1130" i="3"/>
  <c r="I1226" i="3"/>
  <c r="K1204" i="3"/>
  <c r="L1204" i="3" s="1"/>
  <c r="I1289" i="3"/>
  <c r="K1324" i="3"/>
  <c r="I1304" i="3"/>
  <c r="I1326" i="3"/>
  <c r="I1333" i="3"/>
  <c r="I1342" i="3"/>
  <c r="I1349" i="3"/>
  <c r="I1365" i="3"/>
  <c r="I1273" i="3"/>
  <c r="I1274" i="3"/>
  <c r="I1298" i="3"/>
  <c r="I1350" i="3"/>
  <c r="I1357" i="3"/>
  <c r="I1366" i="3"/>
  <c r="I1373" i="3"/>
  <c r="I1442" i="3"/>
  <c r="I1501" i="3"/>
  <c r="I1434" i="3"/>
  <c r="K1444" i="3"/>
  <c r="I1472" i="3"/>
  <c r="I1477" i="3"/>
  <c r="I1492" i="3"/>
  <c r="I1504" i="3"/>
  <c r="I1464" i="3"/>
  <c r="I1469" i="3"/>
  <c r="I1499" i="3"/>
  <c r="I1536" i="3"/>
  <c r="I1500" i="3"/>
  <c r="I1512" i="3"/>
  <c r="I1516" i="3"/>
  <c r="I1527" i="3"/>
  <c r="I1528" i="3"/>
  <c r="I1532" i="3"/>
  <c r="I1567" i="3"/>
  <c r="I1665" i="3"/>
  <c r="I1503" i="3"/>
  <c r="I1548" i="3"/>
  <c r="I1572" i="3"/>
  <c r="I1623" i="3"/>
  <c r="I1655" i="3"/>
  <c r="I1543" i="3"/>
  <c r="I1544" i="3"/>
  <c r="I1551" i="3"/>
  <c r="I1575" i="3"/>
  <c r="I1599" i="3"/>
  <c r="I1608" i="3"/>
  <c r="I1676" i="3"/>
  <c r="I1559" i="3"/>
  <c r="I1583" i="3"/>
  <c r="I1615" i="3"/>
  <c r="I1686" i="3"/>
  <c r="I1691" i="3"/>
  <c r="I1702" i="3"/>
  <c r="I1707" i="3"/>
  <c r="M1684" i="3"/>
  <c r="L1684" i="3"/>
  <c r="K1684" i="3"/>
  <c r="I1728" i="3"/>
  <c r="I1790" i="3"/>
  <c r="I1761" i="3"/>
  <c r="I1720" i="3"/>
  <c r="I1791" i="3"/>
  <c r="I1760" i="3"/>
  <c r="I1804" i="3"/>
  <c r="I1814" i="3"/>
  <c r="I1854" i="3"/>
  <c r="I1929" i="3"/>
  <c r="I1961" i="3"/>
  <c r="I2004" i="3"/>
  <c r="I2094" i="3"/>
  <c r="I2070" i="3"/>
  <c r="K1924" i="3"/>
  <c r="I1969" i="3"/>
  <c r="I1974" i="3"/>
  <c r="I1945" i="3"/>
  <c r="I1946" i="3"/>
  <c r="I1937" i="3"/>
  <c r="I1938" i="3"/>
  <c r="I1968" i="3"/>
  <c r="I2000" i="3"/>
  <c r="I2019" i="3"/>
  <c r="I2032" i="3"/>
  <c r="I2083" i="3"/>
  <c r="I2091" i="3"/>
  <c r="I2099" i="3"/>
  <c r="I2115" i="3"/>
  <c r="I2137" i="3"/>
  <c r="I1992" i="3"/>
  <c r="I2035" i="3"/>
  <c r="I2048" i="3"/>
  <c r="I2139" i="3"/>
  <c r="I2148" i="3"/>
  <c r="I2043" i="3"/>
  <c r="I2056" i="3"/>
  <c r="I2118" i="3"/>
  <c r="I2152" i="3"/>
  <c r="I1976" i="3"/>
  <c r="I2008" i="3"/>
  <c r="I2016" i="3"/>
  <c r="L2044" i="3"/>
  <c r="I2067" i="3"/>
  <c r="I2080" i="3"/>
  <c r="I2147" i="3"/>
  <c r="I2143" i="3"/>
  <c r="K2404" i="3"/>
  <c r="K2524" i="3"/>
  <c r="O124" i="3" l="1"/>
  <c r="N124" i="3"/>
  <c r="J125" i="3" s="1"/>
  <c r="M124" i="3"/>
  <c r="Q844" i="3"/>
  <c r="P844" i="3"/>
  <c r="M1204" i="3"/>
  <c r="O1084" i="3"/>
  <c r="Q1684" i="3"/>
  <c r="P1684" i="3"/>
  <c r="M1084" i="3"/>
  <c r="R25" i="1"/>
  <c r="P25" i="1"/>
  <c r="Q25" i="1"/>
  <c r="G2557" i="3"/>
  <c r="G2437" i="3"/>
  <c r="G2317" i="3"/>
  <c r="G2197" i="3"/>
  <c r="G1837" i="3"/>
  <c r="G1957" i="3"/>
  <c r="G2077" i="3"/>
  <c r="G1717" i="3"/>
  <c r="G1597" i="3"/>
  <c r="G1477" i="3"/>
  <c r="G1357" i="3"/>
  <c r="G1237" i="3"/>
  <c r="G1117" i="3"/>
  <c r="G997" i="3"/>
  <c r="G877" i="3"/>
  <c r="G757" i="3"/>
  <c r="G637" i="3"/>
  <c r="G517" i="3"/>
  <c r="G397" i="3"/>
  <c r="G277" i="3"/>
  <c r="G157" i="3"/>
  <c r="G37" i="3"/>
  <c r="L964" i="3"/>
  <c r="K1804" i="3"/>
  <c r="L1804" i="3"/>
  <c r="M1804" i="3" s="1"/>
  <c r="G2564" i="3"/>
  <c r="G2444" i="3"/>
  <c r="G2324" i="3"/>
  <c r="G2204" i="3"/>
  <c r="G2084" i="3"/>
  <c r="G1964" i="3"/>
  <c r="G1844" i="3"/>
  <c r="G1724" i="3"/>
  <c r="G1604" i="3"/>
  <c r="G1484" i="3"/>
  <c r="G1364" i="3"/>
  <c r="G1244" i="3"/>
  <c r="G1124" i="3"/>
  <c r="G1004" i="3"/>
  <c r="G884" i="3"/>
  <c r="G764" i="3"/>
  <c r="G404" i="3"/>
  <c r="G284" i="3"/>
  <c r="G164" i="3"/>
  <c r="G524" i="3"/>
  <c r="G644" i="3"/>
  <c r="G44" i="3"/>
  <c r="N2044" i="3"/>
  <c r="J2045" i="3" s="1"/>
  <c r="O2044" i="3"/>
  <c r="L4" i="3"/>
  <c r="K4" i="3"/>
  <c r="Y46" i="1"/>
  <c r="S364" i="3"/>
  <c r="K604" i="3"/>
  <c r="L604" i="3" s="1"/>
  <c r="L2164" i="3"/>
  <c r="K2164" i="3"/>
  <c r="G2637" i="3"/>
  <c r="G2517" i="3"/>
  <c r="G2397" i="3"/>
  <c r="G2277" i="3"/>
  <c r="G2157" i="3"/>
  <c r="G2037" i="3"/>
  <c r="G1797" i="3"/>
  <c r="G1917" i="3"/>
  <c r="G1557" i="3"/>
  <c r="G1677" i="3"/>
  <c r="G1317" i="3"/>
  <c r="G1437" i="3"/>
  <c r="G1197" i="3"/>
  <c r="G1077" i="3"/>
  <c r="G957" i="3"/>
  <c r="G837" i="3"/>
  <c r="G717" i="3"/>
  <c r="G597" i="3"/>
  <c r="G477" i="3"/>
  <c r="G357" i="3"/>
  <c r="G237" i="3"/>
  <c r="G117" i="3"/>
  <c r="G2641" i="3"/>
  <c r="G2521" i="3"/>
  <c r="G2401" i="3"/>
  <c r="G2281" i="3"/>
  <c r="G2161" i="3"/>
  <c r="G2041" i="3"/>
  <c r="G1801" i="3"/>
  <c r="G1921" i="3"/>
  <c r="G1681" i="3"/>
  <c r="G1561" i="3"/>
  <c r="G1441" i="3"/>
  <c r="G1201" i="3"/>
  <c r="G1321" i="3"/>
  <c r="G1081" i="3"/>
  <c r="G961" i="3"/>
  <c r="G721" i="3"/>
  <c r="G841" i="3"/>
  <c r="G601" i="3"/>
  <c r="G481" i="3"/>
  <c r="G361" i="3"/>
  <c r="G121" i="3"/>
  <c r="G241" i="3"/>
  <c r="G2588" i="3"/>
  <c r="G2468" i="3"/>
  <c r="G2348" i="3"/>
  <c r="G2228" i="3"/>
  <c r="G2108" i="3"/>
  <c r="G1868" i="3"/>
  <c r="G1988" i="3"/>
  <c r="G1748" i="3"/>
  <c r="G1628" i="3"/>
  <c r="G1508" i="3"/>
  <c r="G1388" i="3"/>
  <c r="G1268" i="3"/>
  <c r="G1148" i="3"/>
  <c r="G1028" i="3"/>
  <c r="G908" i="3"/>
  <c r="G788" i="3"/>
  <c r="G668" i="3"/>
  <c r="G428" i="3"/>
  <c r="G308" i="3"/>
  <c r="G188" i="3"/>
  <c r="G548" i="3"/>
  <c r="G68" i="3"/>
  <c r="Y34" i="1"/>
  <c r="M2044" i="3"/>
  <c r="N724" i="3"/>
  <c r="J725" i="3" s="1"/>
  <c r="P364" i="3"/>
  <c r="G2621" i="3"/>
  <c r="G2501" i="3"/>
  <c r="G2381" i="3"/>
  <c r="G2261" i="3"/>
  <c r="G2141" i="3"/>
  <c r="G2021" i="3"/>
  <c r="G1901" i="3"/>
  <c r="G1781" i="3"/>
  <c r="G1661" i="3"/>
  <c r="G1541" i="3"/>
  <c r="G1301" i="3"/>
  <c r="G1421" i="3"/>
  <c r="G1181" i="3"/>
  <c r="G1061" i="3"/>
  <c r="G941" i="3"/>
  <c r="G821" i="3"/>
  <c r="G701" i="3"/>
  <c r="G581" i="3"/>
  <c r="G461" i="3"/>
  <c r="G341" i="3"/>
  <c r="G221" i="3"/>
  <c r="G101" i="3"/>
  <c r="G2540" i="3"/>
  <c r="G2420" i="3"/>
  <c r="G2300" i="3"/>
  <c r="G2180" i="3"/>
  <c r="G2060" i="3"/>
  <c r="G1940" i="3"/>
  <c r="G1820" i="3"/>
  <c r="G1700" i="3"/>
  <c r="G1580" i="3"/>
  <c r="G1340" i="3"/>
  <c r="G1460" i="3"/>
  <c r="G1220" i="3"/>
  <c r="G1100" i="3"/>
  <c r="G980" i="3"/>
  <c r="G860" i="3"/>
  <c r="G740" i="3"/>
  <c r="G620" i="3"/>
  <c r="G380" i="3"/>
  <c r="G260" i="3"/>
  <c r="G140" i="3"/>
  <c r="G500" i="3"/>
  <c r="G20" i="3"/>
  <c r="L1444" i="3"/>
  <c r="K2284" i="3"/>
  <c r="L2284" i="3" s="1"/>
  <c r="G2573" i="3"/>
  <c r="G2453" i="3"/>
  <c r="G2333" i="3"/>
  <c r="G2213" i="3"/>
  <c r="G2093" i="3"/>
  <c r="G1973" i="3"/>
  <c r="G1853" i="3"/>
  <c r="G1733" i="3"/>
  <c r="G1613" i="3"/>
  <c r="G1493" i="3"/>
  <c r="G1373" i="3"/>
  <c r="G1253" i="3"/>
  <c r="G1133" i="3"/>
  <c r="G1013" i="3"/>
  <c r="G893" i="3"/>
  <c r="G773" i="3"/>
  <c r="G653" i="3"/>
  <c r="G533" i="3"/>
  <c r="G413" i="3"/>
  <c r="G293" i="3"/>
  <c r="G173" i="3"/>
  <c r="G53" i="3"/>
  <c r="G2577" i="3"/>
  <c r="G2457" i="3"/>
  <c r="G2337" i="3"/>
  <c r="G2217" i="3"/>
  <c r="G2097" i="3"/>
  <c r="G1977" i="3"/>
  <c r="G1857" i="3"/>
  <c r="G1737" i="3"/>
  <c r="G1617" i="3"/>
  <c r="G1497" i="3"/>
  <c r="G1377" i="3"/>
  <c r="G1257" i="3"/>
  <c r="G1137" i="3"/>
  <c r="G1017" i="3"/>
  <c r="G897" i="3"/>
  <c r="G777" i="3"/>
  <c r="G537" i="3"/>
  <c r="G657" i="3"/>
  <c r="G297" i="3"/>
  <c r="G57" i="3"/>
  <c r="G417" i="3"/>
  <c r="G177" i="3"/>
  <c r="G2613" i="3"/>
  <c r="G2493" i="3"/>
  <c r="G2373" i="3"/>
  <c r="G2253" i="3"/>
  <c r="G2133" i="3"/>
  <c r="G1893" i="3"/>
  <c r="G2013" i="3"/>
  <c r="G1773" i="3"/>
  <c r="G1653" i="3"/>
  <c r="G1533" i="3"/>
  <c r="G1413" i="3"/>
  <c r="G1173" i="3"/>
  <c r="G1293" i="3"/>
  <c r="G1053" i="3"/>
  <c r="G933" i="3"/>
  <c r="G813" i="3"/>
  <c r="G693" i="3"/>
  <c r="G573" i="3"/>
  <c r="G453" i="3"/>
  <c r="G333" i="3"/>
  <c r="G213" i="3"/>
  <c r="G93" i="3"/>
  <c r="O844" i="3"/>
  <c r="N844" i="3"/>
  <c r="J845" i="3" s="1"/>
  <c r="M724" i="3"/>
  <c r="O724" i="3" s="1"/>
  <c r="G2529" i="3"/>
  <c r="G2409" i="3"/>
  <c r="G2169" i="3"/>
  <c r="G2289" i="3"/>
  <c r="G2049" i="3"/>
  <c r="G1929" i="3"/>
  <c r="G1809" i="3"/>
  <c r="G1689" i="3"/>
  <c r="G1569" i="3"/>
  <c r="G1449" i="3"/>
  <c r="G1209" i="3"/>
  <c r="G1329" i="3"/>
  <c r="G1089" i="3"/>
  <c r="G969" i="3"/>
  <c r="G609" i="3"/>
  <c r="G489" i="3"/>
  <c r="G729" i="3"/>
  <c r="G849" i="3"/>
  <c r="G249" i="3"/>
  <c r="G369" i="3"/>
  <c r="G9" i="3"/>
  <c r="G129" i="3"/>
  <c r="L1324" i="3"/>
  <c r="L2404" i="3"/>
  <c r="Y38" i="1"/>
  <c r="G2581" i="3"/>
  <c r="G2461" i="3"/>
  <c r="G2341" i="3"/>
  <c r="G2221" i="3"/>
  <c r="G2101" i="3"/>
  <c r="G1981" i="3"/>
  <c r="G1861" i="3"/>
  <c r="G1621" i="3"/>
  <c r="G1501" i="3"/>
  <c r="G1741" i="3"/>
  <c r="G1381" i="3"/>
  <c r="G1261" i="3"/>
  <c r="G1141" i="3"/>
  <c r="G1021" i="3"/>
  <c r="G901" i="3"/>
  <c r="G781" i="3"/>
  <c r="G661" i="3"/>
  <c r="G541" i="3"/>
  <c r="G421" i="3"/>
  <c r="G301" i="3"/>
  <c r="G181" i="3"/>
  <c r="G61" i="3"/>
  <c r="O1684" i="3"/>
  <c r="N1684" i="3"/>
  <c r="J1685" i="3" s="1"/>
  <c r="G2593" i="3"/>
  <c r="G2473" i="3"/>
  <c r="G2353" i="3"/>
  <c r="G2233" i="3"/>
  <c r="G2113" i="3"/>
  <c r="G1993" i="3"/>
  <c r="G1873" i="3"/>
  <c r="G1753" i="3"/>
  <c r="G1633" i="3"/>
  <c r="G1513" i="3"/>
  <c r="G1393" i="3"/>
  <c r="G1273" i="3"/>
  <c r="G1153" i="3"/>
  <c r="G1033" i="3"/>
  <c r="G793" i="3"/>
  <c r="G553" i="3"/>
  <c r="G673" i="3"/>
  <c r="G913" i="3"/>
  <c r="G313" i="3"/>
  <c r="G433" i="3"/>
  <c r="G73" i="3"/>
  <c r="G193" i="3"/>
  <c r="Y25" i="1"/>
  <c r="L484" i="3"/>
  <c r="K484" i="3"/>
  <c r="K1564" i="3"/>
  <c r="L1564" i="3" s="1"/>
  <c r="L2524" i="3"/>
  <c r="G2548" i="3"/>
  <c r="G2428" i="3"/>
  <c r="G2308" i="3"/>
  <c r="G2188" i="3"/>
  <c r="G2068" i="3"/>
  <c r="G1948" i="3"/>
  <c r="G1828" i="3"/>
  <c r="G1708" i="3"/>
  <c r="G1588" i="3"/>
  <c r="G1468" i="3"/>
  <c r="G1348" i="3"/>
  <c r="G1228" i="3"/>
  <c r="G1108" i="3"/>
  <c r="G988" i="3"/>
  <c r="G868" i="3"/>
  <c r="G748" i="3"/>
  <c r="G628" i="3"/>
  <c r="G508" i="3"/>
  <c r="G388" i="3"/>
  <c r="G268" i="3"/>
  <c r="G28" i="3"/>
  <c r="G148" i="3"/>
  <c r="Y27" i="1"/>
  <c r="Y28" i="1"/>
  <c r="G2604" i="3"/>
  <c r="G2484" i="3"/>
  <c r="G2364" i="3"/>
  <c r="G2244" i="3"/>
  <c r="G2124" i="3"/>
  <c r="G1884" i="3"/>
  <c r="G2004" i="3"/>
  <c r="G1764" i="3"/>
  <c r="G1644" i="3"/>
  <c r="G1524" i="3"/>
  <c r="G1404" i="3"/>
  <c r="G1164" i="3"/>
  <c r="G1284" i="3"/>
  <c r="G1044" i="3"/>
  <c r="G924" i="3"/>
  <c r="G804" i="3"/>
  <c r="G684" i="3"/>
  <c r="G444" i="3"/>
  <c r="G324" i="3"/>
  <c r="G204" i="3"/>
  <c r="G564" i="3"/>
  <c r="G84" i="3"/>
  <c r="L1924" i="3"/>
  <c r="G2620" i="3"/>
  <c r="G2500" i="3"/>
  <c r="G2380" i="3"/>
  <c r="G2260" i="3"/>
  <c r="G2140" i="3"/>
  <c r="G2020" i="3"/>
  <c r="G1900" i="3"/>
  <c r="G1780" i="3"/>
  <c r="G1660" i="3"/>
  <c r="G1540" i="3"/>
  <c r="G1420" i="3"/>
  <c r="G1180" i="3"/>
  <c r="G1300" i="3"/>
  <c r="G1060" i="3"/>
  <c r="G940" i="3"/>
  <c r="G820" i="3"/>
  <c r="G700" i="3"/>
  <c r="G340" i="3"/>
  <c r="G220" i="3"/>
  <c r="G580" i="3"/>
  <c r="G460" i="3"/>
  <c r="G100" i="3"/>
  <c r="Y33" i="1"/>
  <c r="G2628" i="3"/>
  <c r="G2508" i="3"/>
  <c r="G2388" i="3"/>
  <c r="G2268" i="3"/>
  <c r="G2148" i="3"/>
  <c r="G2028" i="3"/>
  <c r="G1908" i="3"/>
  <c r="G1788" i="3"/>
  <c r="G1668" i="3"/>
  <c r="G1548" i="3"/>
  <c r="G1428" i="3"/>
  <c r="G1308" i="3"/>
  <c r="G1188" i="3"/>
  <c r="G1068" i="3"/>
  <c r="G948" i="3"/>
  <c r="G828" i="3"/>
  <c r="G708" i="3"/>
  <c r="G348" i="3"/>
  <c r="G228" i="3"/>
  <c r="G588" i="3"/>
  <c r="G468" i="3"/>
  <c r="G108" i="3"/>
  <c r="G2605" i="3"/>
  <c r="G2485" i="3"/>
  <c r="G2365" i="3"/>
  <c r="G2245" i="3"/>
  <c r="G2125" i="3"/>
  <c r="G2005" i="3"/>
  <c r="G1885" i="3"/>
  <c r="G1765" i="3"/>
  <c r="G1645" i="3"/>
  <c r="G1525" i="3"/>
  <c r="G1405" i="3"/>
  <c r="G1165" i="3"/>
  <c r="G1285" i="3"/>
  <c r="G1045" i="3"/>
  <c r="G925" i="3"/>
  <c r="G805" i="3"/>
  <c r="G685" i="3"/>
  <c r="G565" i="3"/>
  <c r="G445" i="3"/>
  <c r="G325" i="3"/>
  <c r="G205" i="3"/>
  <c r="G85" i="3"/>
  <c r="G2537" i="3"/>
  <c r="G2417" i="3"/>
  <c r="G2297" i="3"/>
  <c r="G2177" i="3"/>
  <c r="G2057" i="3"/>
  <c r="G1937" i="3"/>
  <c r="G1817" i="3"/>
  <c r="G1697" i="3"/>
  <c r="G1577" i="3"/>
  <c r="G1457" i="3"/>
  <c r="G1337" i="3"/>
  <c r="G1217" i="3"/>
  <c r="G1097" i="3"/>
  <c r="G977" i="3"/>
  <c r="G617" i="3"/>
  <c r="G497" i="3"/>
  <c r="G857" i="3"/>
  <c r="G737" i="3"/>
  <c r="G17" i="3"/>
  <c r="G257" i="3"/>
  <c r="G377" i="3"/>
  <c r="G137" i="3"/>
  <c r="G2553" i="3"/>
  <c r="G2433" i="3"/>
  <c r="G2313" i="3"/>
  <c r="G2193" i="3"/>
  <c r="G2073" i="3"/>
  <c r="G1833" i="3"/>
  <c r="G1953" i="3"/>
  <c r="G1713" i="3"/>
  <c r="G1593" i="3"/>
  <c r="G1473" i="3"/>
  <c r="G1353" i="3"/>
  <c r="G1233" i="3"/>
  <c r="G1113" i="3"/>
  <c r="G993" i="3"/>
  <c r="G513" i="3"/>
  <c r="G873" i="3"/>
  <c r="G753" i="3"/>
  <c r="G633" i="3"/>
  <c r="G153" i="3"/>
  <c r="G393" i="3"/>
  <c r="G33" i="3"/>
  <c r="G273" i="3"/>
  <c r="O244" i="3"/>
  <c r="N244" i="3"/>
  <c r="J245" i="3" s="1"/>
  <c r="M244" i="3"/>
  <c r="O364" i="3"/>
  <c r="N364" i="3"/>
  <c r="J365" i="3" s="1"/>
  <c r="T8" i="1"/>
  <c r="G2609" i="3"/>
  <c r="G2489" i="3"/>
  <c r="G2369" i="3"/>
  <c r="G2249" i="3"/>
  <c r="G2129" i="3"/>
  <c r="G2009" i="3"/>
  <c r="G1889" i="3"/>
  <c r="G1769" i="3"/>
  <c r="G1649" i="3"/>
  <c r="G1529" i="3"/>
  <c r="G1409" i="3"/>
  <c r="G1289" i="3"/>
  <c r="G1169" i="3"/>
  <c r="G1049" i="3"/>
  <c r="G929" i="3"/>
  <c r="G569" i="3"/>
  <c r="G809" i="3"/>
  <c r="G689" i="3"/>
  <c r="G449" i="3"/>
  <c r="G329" i="3"/>
  <c r="G89" i="3"/>
  <c r="G209" i="3"/>
  <c r="G2556" i="3"/>
  <c r="G2436" i="3"/>
  <c r="G2196" i="3"/>
  <c r="G2316" i="3"/>
  <c r="G1836" i="3"/>
  <c r="G2076" i="3"/>
  <c r="G1956" i="3"/>
  <c r="G1716" i="3"/>
  <c r="G1596" i="3"/>
  <c r="G1356" i="3"/>
  <c r="G1476" i="3"/>
  <c r="G1236" i="3"/>
  <c r="G1116" i="3"/>
  <c r="G996" i="3"/>
  <c r="G876" i="3"/>
  <c r="G756" i="3"/>
  <c r="G636" i="3"/>
  <c r="G396" i="3"/>
  <c r="G276" i="3"/>
  <c r="G156" i="3"/>
  <c r="G516" i="3"/>
  <c r="G36" i="3"/>
  <c r="G2617" i="3"/>
  <c r="G2497" i="3"/>
  <c r="G2377" i="3"/>
  <c r="G2257" i="3"/>
  <c r="G2137" i="3"/>
  <c r="G2017" i="3"/>
  <c r="G1897" i="3"/>
  <c r="G1777" i="3"/>
  <c r="G1657" i="3"/>
  <c r="G1537" i="3"/>
  <c r="G1417" i="3"/>
  <c r="G1177" i="3"/>
  <c r="G1297" i="3"/>
  <c r="G1057" i="3"/>
  <c r="G937" i="3"/>
  <c r="G577" i="3"/>
  <c r="G697" i="3"/>
  <c r="G817" i="3"/>
  <c r="G457" i="3"/>
  <c r="G97" i="3"/>
  <c r="G337" i="3"/>
  <c r="G217" i="3"/>
  <c r="Y32" i="1"/>
  <c r="M2284" i="3" l="1"/>
  <c r="Q1804" i="3"/>
  <c r="P1804" i="3"/>
  <c r="N604" i="3"/>
  <c r="J605" i="3" s="1"/>
  <c r="O604" i="3"/>
  <c r="M604" i="3"/>
  <c r="M1564" i="3"/>
  <c r="O2164" i="3"/>
  <c r="M2164" i="3"/>
  <c r="O1324" i="3"/>
  <c r="M1324" i="3"/>
  <c r="K725" i="3"/>
  <c r="L725" i="3" s="1"/>
  <c r="K2045" i="3"/>
  <c r="L2045" i="3"/>
  <c r="Q1204" i="3"/>
  <c r="P1204" i="3"/>
  <c r="S844" i="3"/>
  <c r="L365" i="3"/>
  <c r="K365" i="3"/>
  <c r="M964" i="3"/>
  <c r="Q1084" i="3"/>
  <c r="P1084" i="3"/>
  <c r="N1204" i="3"/>
  <c r="J1205" i="3" s="1"/>
  <c r="Q124" i="3"/>
  <c r="P124" i="3"/>
  <c r="M2404" i="3"/>
  <c r="O1204" i="3"/>
  <c r="K125" i="3"/>
  <c r="L125" i="3" s="1"/>
  <c r="K1685" i="3"/>
  <c r="L1685" i="3" s="1"/>
  <c r="K845" i="3"/>
  <c r="L845" i="3" s="1"/>
  <c r="O1444" i="3"/>
  <c r="N1444" i="3"/>
  <c r="J1445" i="3" s="1"/>
  <c r="M1444" i="3"/>
  <c r="M26" i="1"/>
  <c r="N1924" i="3"/>
  <c r="J1925" i="3" s="1"/>
  <c r="O1924" i="3"/>
  <c r="M1924" i="3"/>
  <c r="N484" i="3"/>
  <c r="J485" i="3" s="1"/>
  <c r="O484" i="3"/>
  <c r="M484" i="3"/>
  <c r="Q244" i="3"/>
  <c r="P244" i="3"/>
  <c r="Q724" i="3"/>
  <c r="P724" i="3"/>
  <c r="T25" i="1"/>
  <c r="S25" i="1"/>
  <c r="K245" i="3"/>
  <c r="L245" i="3" s="1"/>
  <c r="N2524" i="3"/>
  <c r="J2525" i="3" s="1"/>
  <c r="M2524" i="3"/>
  <c r="O2524" i="3" s="1"/>
  <c r="Q2044" i="3"/>
  <c r="P2044" i="3"/>
  <c r="M4" i="3"/>
  <c r="N4" i="3" s="1"/>
  <c r="J5" i="3" s="1"/>
  <c r="N1084" i="3"/>
  <c r="J1085" i="3" s="1"/>
  <c r="O1804" i="3"/>
  <c r="N1804" i="3"/>
  <c r="J1805" i="3" s="1"/>
  <c r="S1684" i="3"/>
  <c r="L5" i="3" l="1"/>
  <c r="K5" i="3"/>
  <c r="M245" i="3"/>
  <c r="M125" i="3"/>
  <c r="O845" i="3"/>
  <c r="M845" i="3"/>
  <c r="M1685" i="3"/>
  <c r="N725" i="3"/>
  <c r="J726" i="3" s="1"/>
  <c r="M725" i="3"/>
  <c r="O725" i="3" s="1"/>
  <c r="Q1924" i="3"/>
  <c r="P1924" i="3"/>
  <c r="Q1444" i="3"/>
  <c r="P1444" i="3"/>
  <c r="S124" i="3"/>
  <c r="S1204" i="3"/>
  <c r="Q2164" i="3"/>
  <c r="P2164" i="3"/>
  <c r="K605" i="3"/>
  <c r="L605" i="3"/>
  <c r="L1445" i="3"/>
  <c r="K1445" i="3"/>
  <c r="L1205" i="3"/>
  <c r="K1205" i="3"/>
  <c r="M365" i="3"/>
  <c r="M2045" i="3"/>
  <c r="O2045" i="3"/>
  <c r="N2045" i="3"/>
  <c r="J2046" i="3" s="1"/>
  <c r="S724" i="3"/>
  <c r="L1925" i="3"/>
  <c r="K1925" i="3"/>
  <c r="N2164" i="3"/>
  <c r="J2165" i="3" s="1"/>
  <c r="S1804" i="3"/>
  <c r="S1084" i="3"/>
  <c r="Q1564" i="3"/>
  <c r="P1564" i="3"/>
  <c r="S244" i="3"/>
  <c r="N26" i="1"/>
  <c r="O26" i="1" s="1"/>
  <c r="Q2404" i="3"/>
  <c r="P2404" i="3"/>
  <c r="Q964" i="3"/>
  <c r="P964" i="3"/>
  <c r="O1564" i="3"/>
  <c r="Q2284" i="3"/>
  <c r="P2284" i="3"/>
  <c r="Q4" i="3"/>
  <c r="P4" i="3"/>
  <c r="L1805" i="3"/>
  <c r="K1805" i="3"/>
  <c r="O4" i="3"/>
  <c r="S2044" i="3"/>
  <c r="Q484" i="3"/>
  <c r="P484" i="3"/>
  <c r="N2404" i="3"/>
  <c r="J2405" i="3" s="1"/>
  <c r="N964" i="3"/>
  <c r="J965" i="3" s="1"/>
  <c r="Q1324" i="3"/>
  <c r="P1324" i="3"/>
  <c r="N1564" i="3"/>
  <c r="J1565" i="3" s="1"/>
  <c r="N2284" i="3"/>
  <c r="J2285" i="3" s="1"/>
  <c r="K2525" i="3"/>
  <c r="L2525" i="3" s="1"/>
  <c r="V25" i="1"/>
  <c r="K485" i="3"/>
  <c r="L485" i="3"/>
  <c r="K1085" i="3"/>
  <c r="L1085" i="3" s="1"/>
  <c r="Q2524" i="3"/>
  <c r="P2524" i="3"/>
  <c r="O2404" i="3"/>
  <c r="O964" i="3"/>
  <c r="N1324" i="3"/>
  <c r="J1325" i="3" s="1"/>
  <c r="Q604" i="3"/>
  <c r="P604" i="3"/>
  <c r="O2284" i="3"/>
  <c r="M1085" i="3" l="1"/>
  <c r="O2525" i="3"/>
  <c r="N2525" i="3"/>
  <c r="J2526" i="3" s="1"/>
  <c r="M2525" i="3"/>
  <c r="R26" i="1"/>
  <c r="Q26" i="1"/>
  <c r="P26" i="1"/>
  <c r="K726" i="3"/>
  <c r="L726" i="3" s="1"/>
  <c r="Q125" i="3"/>
  <c r="P125" i="3"/>
  <c r="K1325" i="3"/>
  <c r="L1325" i="3" s="1"/>
  <c r="N485" i="3"/>
  <c r="J486" i="3" s="1"/>
  <c r="M485" i="3"/>
  <c r="L2405" i="3"/>
  <c r="K2405" i="3"/>
  <c r="Q2045" i="3"/>
  <c r="P2045" i="3"/>
  <c r="N125" i="3"/>
  <c r="J126" i="3" s="1"/>
  <c r="K2285" i="3"/>
  <c r="L2285" i="3" s="1"/>
  <c r="S2284" i="3"/>
  <c r="K2165" i="3"/>
  <c r="L2165" i="3"/>
  <c r="Q365" i="3"/>
  <c r="P365" i="3"/>
  <c r="S1444" i="3"/>
  <c r="Q1685" i="3"/>
  <c r="P1685" i="3"/>
  <c r="O125" i="3"/>
  <c r="M1445" i="3"/>
  <c r="K1565" i="3"/>
  <c r="L1565" i="3"/>
  <c r="S484" i="3"/>
  <c r="O1805" i="3"/>
  <c r="M1805" i="3"/>
  <c r="N365" i="3"/>
  <c r="J366" i="3" s="1"/>
  <c r="O605" i="3"/>
  <c r="N605" i="3"/>
  <c r="J606" i="3" s="1"/>
  <c r="M605" i="3"/>
  <c r="N1685" i="3"/>
  <c r="J1686" i="3" s="1"/>
  <c r="Q245" i="3"/>
  <c r="P245" i="3"/>
  <c r="S2524" i="3"/>
  <c r="S604" i="3"/>
  <c r="L965" i="3"/>
  <c r="K965" i="3"/>
  <c r="O365" i="3"/>
  <c r="S1924" i="3"/>
  <c r="O1685" i="3"/>
  <c r="N245" i="3"/>
  <c r="J246" i="3" s="1"/>
  <c r="S1324" i="3"/>
  <c r="S4" i="3"/>
  <c r="S964" i="3"/>
  <c r="Q845" i="3"/>
  <c r="P845" i="3"/>
  <c r="O245" i="3"/>
  <c r="S1564" i="3"/>
  <c r="M1925" i="3"/>
  <c r="M1205" i="3"/>
  <c r="S2164" i="3"/>
  <c r="N845" i="3"/>
  <c r="J846" i="3" s="1"/>
  <c r="S2404" i="3"/>
  <c r="K2046" i="3"/>
  <c r="L2046" i="3" s="1"/>
  <c r="Q725" i="3"/>
  <c r="P725" i="3"/>
  <c r="M5" i="3"/>
  <c r="O2046" i="3" l="1"/>
  <c r="M2046" i="3"/>
  <c r="M726" i="3"/>
  <c r="N1325" i="3"/>
  <c r="J1326" i="3" s="1"/>
  <c r="M1325" i="3"/>
  <c r="O1325" i="3" s="1"/>
  <c r="M2285" i="3"/>
  <c r="Q1205" i="3"/>
  <c r="P1205" i="3"/>
  <c r="L246" i="3"/>
  <c r="K246" i="3"/>
  <c r="Q1445" i="3"/>
  <c r="P1445" i="3"/>
  <c r="M2165" i="3"/>
  <c r="N1205" i="3"/>
  <c r="J1206" i="3" s="1"/>
  <c r="S725" i="3"/>
  <c r="R725" i="3"/>
  <c r="O1205" i="3"/>
  <c r="S245" i="3"/>
  <c r="R245" i="3"/>
  <c r="K366" i="3"/>
  <c r="L366" i="3" s="1"/>
  <c r="O1445" i="3"/>
  <c r="Q2525" i="3"/>
  <c r="P2525" i="3"/>
  <c r="L1686" i="3"/>
  <c r="K1686" i="3"/>
  <c r="N1445" i="3"/>
  <c r="J1446" i="3" s="1"/>
  <c r="S125" i="3"/>
  <c r="R125" i="3"/>
  <c r="L2526" i="3"/>
  <c r="K2526" i="3"/>
  <c r="K126" i="3"/>
  <c r="L126" i="3" s="1"/>
  <c r="N2405" i="3"/>
  <c r="J2406" i="3" s="1"/>
  <c r="O2405" i="3"/>
  <c r="M2405" i="3"/>
  <c r="Q1925" i="3"/>
  <c r="P1925" i="3"/>
  <c r="K846" i="3"/>
  <c r="L846" i="3" s="1"/>
  <c r="N1925" i="3"/>
  <c r="J1926" i="3" s="1"/>
  <c r="Q5" i="3"/>
  <c r="P5" i="3"/>
  <c r="Q485" i="3"/>
  <c r="P485" i="3"/>
  <c r="Q1085" i="3"/>
  <c r="P1085" i="3"/>
  <c r="O1925" i="3"/>
  <c r="N5" i="3"/>
  <c r="J6" i="3" s="1"/>
  <c r="Q1805" i="3"/>
  <c r="P1805" i="3"/>
  <c r="O1565" i="3"/>
  <c r="N1565" i="3"/>
  <c r="J1566" i="3" s="1"/>
  <c r="M1565" i="3"/>
  <c r="S365" i="3"/>
  <c r="R365" i="3"/>
  <c r="K486" i="3"/>
  <c r="L486" i="3" s="1"/>
  <c r="N1085" i="3"/>
  <c r="J1086" i="3" s="1"/>
  <c r="S845" i="3"/>
  <c r="R845" i="3"/>
  <c r="O5" i="3"/>
  <c r="Q605" i="3"/>
  <c r="P605" i="3"/>
  <c r="N1805" i="3"/>
  <c r="J1806" i="3" s="1"/>
  <c r="S1685" i="3"/>
  <c r="R1685" i="3"/>
  <c r="S2045" i="3"/>
  <c r="R2045" i="3"/>
  <c r="O485" i="3"/>
  <c r="T26" i="1"/>
  <c r="S26" i="1"/>
  <c r="O1085" i="3"/>
  <c r="M965" i="3"/>
  <c r="O965" i="3" s="1"/>
  <c r="L606" i="3"/>
  <c r="K606" i="3"/>
  <c r="M27" i="1"/>
  <c r="O126" i="3" l="1"/>
  <c r="M126" i="3"/>
  <c r="M846" i="3"/>
  <c r="O486" i="3"/>
  <c r="N486" i="3"/>
  <c r="J487" i="3" s="1"/>
  <c r="M486" i="3"/>
  <c r="M366" i="3"/>
  <c r="N965" i="3"/>
  <c r="J966" i="3" s="1"/>
  <c r="Q2165" i="3"/>
  <c r="P2165" i="3"/>
  <c r="M246" i="3"/>
  <c r="L1326" i="3"/>
  <c r="K1326" i="3"/>
  <c r="N2165" i="3"/>
  <c r="J2166" i="3" s="1"/>
  <c r="S605" i="3"/>
  <c r="R605" i="3"/>
  <c r="S1805" i="3"/>
  <c r="R1805" i="3"/>
  <c r="O2165" i="3"/>
  <c r="Q726" i="3"/>
  <c r="P726" i="3"/>
  <c r="K1086" i="3"/>
  <c r="L1086" i="3"/>
  <c r="L6" i="3"/>
  <c r="K6" i="3"/>
  <c r="S1085" i="3"/>
  <c r="R1085" i="3"/>
  <c r="S1925" i="3"/>
  <c r="R1925" i="3"/>
  <c r="S1205" i="3"/>
  <c r="R1205" i="3"/>
  <c r="N726" i="3"/>
  <c r="J727" i="3" s="1"/>
  <c r="O606" i="3"/>
  <c r="M606" i="3"/>
  <c r="Q965" i="3"/>
  <c r="P965" i="3"/>
  <c r="V26" i="1"/>
  <c r="U26" i="1"/>
  <c r="O27" i="1"/>
  <c r="N27" i="1"/>
  <c r="S5" i="3"/>
  <c r="R5" i="3"/>
  <c r="K1446" i="3"/>
  <c r="L1446" i="3"/>
  <c r="S1445" i="3"/>
  <c r="R1445" i="3"/>
  <c r="Q2285" i="3"/>
  <c r="P2285" i="3"/>
  <c r="O726" i="3"/>
  <c r="S2525" i="3"/>
  <c r="R2525" i="3"/>
  <c r="L1806" i="3"/>
  <c r="K1806" i="3"/>
  <c r="S485" i="3"/>
  <c r="R485" i="3"/>
  <c r="Q2405" i="3"/>
  <c r="P2405" i="3"/>
  <c r="N2526" i="3"/>
  <c r="J2527" i="3" s="1"/>
  <c r="O2526" i="3"/>
  <c r="M2526" i="3"/>
  <c r="L1206" i="3"/>
  <c r="K1206" i="3"/>
  <c r="N2285" i="3"/>
  <c r="J2286" i="3" s="1"/>
  <c r="Q2046" i="3"/>
  <c r="P2046" i="3"/>
  <c r="Q1565" i="3"/>
  <c r="P1565" i="3"/>
  <c r="M1686" i="3"/>
  <c r="O2285" i="3"/>
  <c r="N2046" i="3"/>
  <c r="J2047" i="3" s="1"/>
  <c r="L1566" i="3"/>
  <c r="K1566" i="3"/>
  <c r="L1926" i="3"/>
  <c r="K1926" i="3"/>
  <c r="K2406" i="3"/>
  <c r="L2406" i="3" s="1"/>
  <c r="Q1325" i="3"/>
  <c r="P1325" i="3"/>
  <c r="M2406" i="3" l="1"/>
  <c r="K2527" i="3"/>
  <c r="L2527" i="3" s="1"/>
  <c r="L2166" i="3"/>
  <c r="K2166" i="3"/>
  <c r="K966" i="3"/>
  <c r="L966" i="3" s="1"/>
  <c r="M1086" i="3"/>
  <c r="N1326" i="3"/>
  <c r="J1327" i="3" s="1"/>
  <c r="M1326" i="3"/>
  <c r="Q846" i="3"/>
  <c r="P846" i="3"/>
  <c r="O1566" i="3"/>
  <c r="N1566" i="3"/>
  <c r="J1567" i="3" s="1"/>
  <c r="M1566" i="3"/>
  <c r="S1565" i="3"/>
  <c r="R1565" i="3"/>
  <c r="L2047" i="3"/>
  <c r="K2047" i="3"/>
  <c r="Q1686" i="3"/>
  <c r="P1686" i="3"/>
  <c r="S2046" i="3"/>
  <c r="R2046" i="3"/>
  <c r="S2405" i="3"/>
  <c r="R2405" i="3"/>
  <c r="O1806" i="3"/>
  <c r="N1806" i="3"/>
  <c r="J1807" i="3" s="1"/>
  <c r="M1806" i="3"/>
  <c r="N1686" i="3"/>
  <c r="J1687" i="3" s="1"/>
  <c r="K2286" i="3"/>
  <c r="L2286" i="3" s="1"/>
  <c r="S2285" i="3"/>
  <c r="R2285" i="3"/>
  <c r="M1446" i="3"/>
  <c r="Q246" i="3"/>
  <c r="P246" i="3"/>
  <c r="Q366" i="3"/>
  <c r="P366" i="3"/>
  <c r="N846" i="3"/>
  <c r="J847" i="3" s="1"/>
  <c r="O1686" i="3"/>
  <c r="Q606" i="3"/>
  <c r="P606" i="3"/>
  <c r="N246" i="3"/>
  <c r="J247" i="3" s="1"/>
  <c r="N366" i="3"/>
  <c r="J367" i="3" s="1"/>
  <c r="O846" i="3"/>
  <c r="O1926" i="3"/>
  <c r="N1926" i="3"/>
  <c r="J1927" i="3" s="1"/>
  <c r="M1926" i="3"/>
  <c r="N606" i="3"/>
  <c r="J607" i="3" s="1"/>
  <c r="O246" i="3"/>
  <c r="O366" i="3"/>
  <c r="Q126" i="3"/>
  <c r="P126" i="3"/>
  <c r="S1325" i="3"/>
  <c r="R1325" i="3"/>
  <c r="N1206" i="3"/>
  <c r="J1207" i="3" s="1"/>
  <c r="O1206" i="3"/>
  <c r="M1206" i="3"/>
  <c r="Q2526" i="3"/>
  <c r="P2526" i="3"/>
  <c r="P27" i="1"/>
  <c r="Q486" i="3"/>
  <c r="P486" i="3"/>
  <c r="N126" i="3"/>
  <c r="J127" i="3" s="1"/>
  <c r="S965" i="3"/>
  <c r="R965" i="3"/>
  <c r="K727" i="3"/>
  <c r="L727" i="3" s="1"/>
  <c r="M6" i="3"/>
  <c r="N6" i="3" s="1"/>
  <c r="J7" i="3" s="1"/>
  <c r="S726" i="3"/>
  <c r="R726" i="3"/>
  <c r="S2165" i="3"/>
  <c r="R2165" i="3"/>
  <c r="K487" i="3"/>
  <c r="L487" i="3" s="1"/>
  <c r="O487" i="3" l="1"/>
  <c r="M487" i="3"/>
  <c r="M2286" i="3"/>
  <c r="O966" i="3"/>
  <c r="M966" i="3"/>
  <c r="N966" i="3" s="1"/>
  <c r="J967" i="3" s="1"/>
  <c r="M2527" i="3"/>
  <c r="N727" i="3"/>
  <c r="J728" i="3" s="1"/>
  <c r="O727" i="3"/>
  <c r="M727" i="3"/>
  <c r="L7" i="3"/>
  <c r="K7" i="3"/>
  <c r="Q1086" i="3"/>
  <c r="P1086" i="3"/>
  <c r="M2166" i="3"/>
  <c r="O2166" i="3" s="1"/>
  <c r="Q1206" i="3"/>
  <c r="P1206" i="3"/>
  <c r="Q1926" i="3"/>
  <c r="P1926" i="3"/>
  <c r="S366" i="3"/>
  <c r="R366" i="3"/>
  <c r="O1086" i="3"/>
  <c r="K1927" i="3"/>
  <c r="L1927" i="3" s="1"/>
  <c r="S846" i="3"/>
  <c r="R846" i="3"/>
  <c r="N1086" i="3"/>
  <c r="J1087" i="3" s="1"/>
  <c r="Q6" i="3"/>
  <c r="P6" i="3"/>
  <c r="T27" i="1"/>
  <c r="S27" i="1"/>
  <c r="K1207" i="3"/>
  <c r="L1207" i="3" s="1"/>
  <c r="S126" i="3"/>
  <c r="R126" i="3"/>
  <c r="S246" i="3"/>
  <c r="R246" i="3"/>
  <c r="Q1326" i="3"/>
  <c r="P1326" i="3"/>
  <c r="S2526" i="3"/>
  <c r="R2526" i="3"/>
  <c r="O6" i="3"/>
  <c r="K127" i="3"/>
  <c r="L127" i="3" s="1"/>
  <c r="Q27" i="1"/>
  <c r="S606" i="3"/>
  <c r="R606" i="3"/>
  <c r="Q1446" i="3"/>
  <c r="P1446" i="3"/>
  <c r="S1686" i="3"/>
  <c r="R1686" i="3"/>
  <c r="L1327" i="3"/>
  <c r="K1327" i="3"/>
  <c r="Q2406" i="3"/>
  <c r="P2406" i="3"/>
  <c r="L607" i="3"/>
  <c r="K607" i="3"/>
  <c r="R27" i="1"/>
  <c r="L367" i="3"/>
  <c r="K367" i="3"/>
  <c r="N1446" i="3"/>
  <c r="J1447" i="3" s="1"/>
  <c r="K1687" i="3"/>
  <c r="L1687" i="3" s="1"/>
  <c r="O1326" i="3"/>
  <c r="N2406" i="3"/>
  <c r="J2407" i="3" s="1"/>
  <c r="S486" i="3"/>
  <c r="R486" i="3"/>
  <c r="L247" i="3"/>
  <c r="K247" i="3"/>
  <c r="O1446" i="3"/>
  <c r="Q1806" i="3"/>
  <c r="P1806" i="3"/>
  <c r="Q1566" i="3"/>
  <c r="P1566" i="3"/>
  <c r="O2406" i="3"/>
  <c r="L847" i="3"/>
  <c r="K847" i="3"/>
  <c r="K1807" i="3"/>
  <c r="L1807" i="3" s="1"/>
  <c r="O2047" i="3"/>
  <c r="M2047" i="3"/>
  <c r="K1567" i="3"/>
  <c r="L1567" i="3" s="1"/>
  <c r="O127" i="3" l="1"/>
  <c r="M127" i="3"/>
  <c r="K967" i="3"/>
  <c r="L967" i="3"/>
  <c r="M1807" i="3"/>
  <c r="N1807" i="3" s="1"/>
  <c r="J1808" i="3" s="1"/>
  <c r="O1207" i="3"/>
  <c r="M1207" i="3"/>
  <c r="M1927" i="3"/>
  <c r="N1567" i="3"/>
  <c r="J1568" i="3" s="1"/>
  <c r="M1567" i="3"/>
  <c r="O1567" i="3" s="1"/>
  <c r="M1687" i="3"/>
  <c r="M367" i="3"/>
  <c r="O367" i="3" s="1"/>
  <c r="O1327" i="3"/>
  <c r="N1327" i="3"/>
  <c r="J1328" i="3" s="1"/>
  <c r="M1327" i="3"/>
  <c r="S1326" i="3"/>
  <c r="R1326" i="3"/>
  <c r="K1087" i="3"/>
  <c r="L1087" i="3"/>
  <c r="N2166" i="3"/>
  <c r="J2167" i="3" s="1"/>
  <c r="Q727" i="3"/>
  <c r="P727" i="3"/>
  <c r="O607" i="3"/>
  <c r="N607" i="3"/>
  <c r="J608" i="3" s="1"/>
  <c r="M607" i="3"/>
  <c r="Q2286" i="3"/>
  <c r="P2286" i="3"/>
  <c r="S6" i="3"/>
  <c r="R6" i="3"/>
  <c r="Q2166" i="3"/>
  <c r="P2166" i="3"/>
  <c r="O7" i="3"/>
  <c r="N7" i="3"/>
  <c r="J8" i="3" s="1"/>
  <c r="M7" i="3"/>
  <c r="S1806" i="3"/>
  <c r="R1806" i="3"/>
  <c r="L1447" i="3"/>
  <c r="K1447" i="3"/>
  <c r="S2406" i="3"/>
  <c r="R2406" i="3"/>
  <c r="K728" i="3"/>
  <c r="L728" i="3" s="1"/>
  <c r="N2286" i="3"/>
  <c r="J2287" i="3" s="1"/>
  <c r="V27" i="1"/>
  <c r="U27" i="1"/>
  <c r="S1086" i="3"/>
  <c r="R1086" i="3"/>
  <c r="Q2527" i="3"/>
  <c r="P2527" i="3"/>
  <c r="O2286" i="3"/>
  <c r="M28" i="1"/>
  <c r="S1926" i="3"/>
  <c r="R1926" i="3"/>
  <c r="O2527" i="3"/>
  <c r="Q487" i="3"/>
  <c r="P487" i="3"/>
  <c r="N847" i="3"/>
  <c r="J848" i="3" s="1"/>
  <c r="M847" i="3"/>
  <c r="M247" i="3"/>
  <c r="K2407" i="3"/>
  <c r="L2407" i="3" s="1"/>
  <c r="S1446" i="3"/>
  <c r="R1446" i="3"/>
  <c r="N2527" i="3"/>
  <c r="J2528" i="3" s="1"/>
  <c r="N487" i="3"/>
  <c r="J488" i="3" s="1"/>
  <c r="Q2047" i="3"/>
  <c r="P2047" i="3"/>
  <c r="N2047" i="3"/>
  <c r="J2048" i="3" s="1"/>
  <c r="S1566" i="3"/>
  <c r="R1566" i="3"/>
  <c r="S1206" i="3"/>
  <c r="R1206" i="3"/>
  <c r="Q966" i="3"/>
  <c r="P966" i="3"/>
  <c r="N2407" i="3" l="1"/>
  <c r="J2408" i="3" s="1"/>
  <c r="M2407" i="3"/>
  <c r="K1808" i="3"/>
  <c r="L1808" i="3"/>
  <c r="M728" i="3"/>
  <c r="N367" i="3"/>
  <c r="J368" i="3" s="1"/>
  <c r="O1807" i="3"/>
  <c r="Q247" i="3"/>
  <c r="P247" i="3"/>
  <c r="S2166" i="3"/>
  <c r="R2166" i="3"/>
  <c r="S727" i="3"/>
  <c r="R727" i="3"/>
  <c r="Q1927" i="3"/>
  <c r="P1927" i="3"/>
  <c r="N28" i="1"/>
  <c r="O28" i="1" s="1"/>
  <c r="S2047" i="3"/>
  <c r="R2047" i="3"/>
  <c r="Q847" i="3"/>
  <c r="P847" i="3"/>
  <c r="L2167" i="3"/>
  <c r="K2167" i="3"/>
  <c r="Q1687" i="3"/>
  <c r="P1687" i="3"/>
  <c r="N1927" i="3"/>
  <c r="J1928" i="3" s="1"/>
  <c r="O967" i="3"/>
  <c r="M967" i="3"/>
  <c r="N967" i="3" s="1"/>
  <c r="J968" i="3" s="1"/>
  <c r="O247" i="3"/>
  <c r="K488" i="3"/>
  <c r="L488" i="3" s="1"/>
  <c r="K848" i="3"/>
  <c r="L848" i="3" s="1"/>
  <c r="M1087" i="3"/>
  <c r="O1687" i="3"/>
  <c r="O1927" i="3"/>
  <c r="Q367" i="3"/>
  <c r="P367" i="3"/>
  <c r="L1568" i="3"/>
  <c r="K1568" i="3"/>
  <c r="Q1807" i="3"/>
  <c r="P1807" i="3"/>
  <c r="K2048" i="3"/>
  <c r="L2048" i="3"/>
  <c r="S966" i="3"/>
  <c r="R966" i="3"/>
  <c r="K2528" i="3"/>
  <c r="L2528" i="3" s="1"/>
  <c r="O847" i="3"/>
  <c r="S2286" i="3"/>
  <c r="R2286" i="3"/>
  <c r="Q1327" i="3"/>
  <c r="P1327" i="3"/>
  <c r="N1687" i="3"/>
  <c r="J1688" i="3" s="1"/>
  <c r="Q1207" i="3"/>
  <c r="P1207" i="3"/>
  <c r="Q127" i="3"/>
  <c r="P127" i="3"/>
  <c r="N247" i="3"/>
  <c r="J248" i="3" s="1"/>
  <c r="L2287" i="3"/>
  <c r="K2287" i="3"/>
  <c r="Q7" i="3"/>
  <c r="P7" i="3"/>
  <c r="Q607" i="3"/>
  <c r="P607" i="3"/>
  <c r="K1328" i="3"/>
  <c r="L1328" i="3" s="1"/>
  <c r="N1207" i="3"/>
  <c r="J1208" i="3" s="1"/>
  <c r="N127" i="3"/>
  <c r="J128" i="3" s="1"/>
  <c r="S487" i="3"/>
  <c r="R487" i="3"/>
  <c r="S2527" i="3"/>
  <c r="R2527" i="3"/>
  <c r="M1447" i="3"/>
  <c r="K8" i="3"/>
  <c r="L8" i="3" s="1"/>
  <c r="K608" i="3"/>
  <c r="L608" i="3" s="1"/>
  <c r="Q1567" i="3"/>
  <c r="P1567" i="3"/>
  <c r="O608" i="3" l="1"/>
  <c r="M608" i="3"/>
  <c r="M8" i="3"/>
  <c r="N2528" i="3"/>
  <c r="J2529" i="3" s="1"/>
  <c r="M2528" i="3"/>
  <c r="O2528" i="3" s="1"/>
  <c r="P28" i="1"/>
  <c r="O848" i="3"/>
  <c r="N848" i="3"/>
  <c r="J849" i="3" s="1"/>
  <c r="M848" i="3"/>
  <c r="K968" i="3"/>
  <c r="L968" i="3" s="1"/>
  <c r="M1328" i="3"/>
  <c r="N488" i="3"/>
  <c r="J489" i="3" s="1"/>
  <c r="O488" i="3"/>
  <c r="M488" i="3"/>
  <c r="K248" i="3"/>
  <c r="L248" i="3" s="1"/>
  <c r="S7" i="3"/>
  <c r="R7" i="3"/>
  <c r="S847" i="3"/>
  <c r="R847" i="3"/>
  <c r="S247" i="3"/>
  <c r="R247" i="3"/>
  <c r="Q728" i="3"/>
  <c r="P728" i="3"/>
  <c r="L128" i="3"/>
  <c r="K128" i="3"/>
  <c r="S127" i="3"/>
  <c r="R127" i="3"/>
  <c r="S367" i="3"/>
  <c r="R367" i="3"/>
  <c r="N728" i="3"/>
  <c r="J729" i="3" s="1"/>
  <c r="K1928" i="3"/>
  <c r="L1928" i="3" s="1"/>
  <c r="S1927" i="3"/>
  <c r="R1927" i="3"/>
  <c r="O728" i="3"/>
  <c r="S1207" i="3"/>
  <c r="R1207" i="3"/>
  <c r="N1808" i="3"/>
  <c r="J1809" i="3" s="1"/>
  <c r="O1808" i="3"/>
  <c r="M1808" i="3"/>
  <c r="K1208" i="3"/>
  <c r="L1208" i="3" s="1"/>
  <c r="M2287" i="3"/>
  <c r="O2287" i="3" s="1"/>
  <c r="O2048" i="3"/>
  <c r="N2048" i="3"/>
  <c r="J2049" i="3" s="1"/>
  <c r="M2048" i="3"/>
  <c r="Q1447" i="3"/>
  <c r="P1447" i="3"/>
  <c r="K1688" i="3"/>
  <c r="L1688" i="3"/>
  <c r="Q1087" i="3"/>
  <c r="P1087" i="3"/>
  <c r="S1687" i="3"/>
  <c r="R1687" i="3"/>
  <c r="L368" i="3"/>
  <c r="K368" i="3"/>
  <c r="S1807" i="3"/>
  <c r="R1807" i="3"/>
  <c r="N1087" i="3"/>
  <c r="J1088" i="3" s="1"/>
  <c r="Q2407" i="3"/>
  <c r="P2407" i="3"/>
  <c r="N1447" i="3"/>
  <c r="J1448" i="3" s="1"/>
  <c r="O1447" i="3"/>
  <c r="S1327" i="3"/>
  <c r="R1327" i="3"/>
  <c r="O1087" i="3"/>
  <c r="M2167" i="3"/>
  <c r="N2167" i="3" s="1"/>
  <c r="J2168" i="3" s="1"/>
  <c r="O2407" i="3"/>
  <c r="S607" i="3"/>
  <c r="R607" i="3"/>
  <c r="S1567" i="3"/>
  <c r="R1567" i="3"/>
  <c r="M1568" i="3"/>
  <c r="O1568" i="3" s="1"/>
  <c r="Q967" i="3"/>
  <c r="P967" i="3"/>
  <c r="K2408" i="3"/>
  <c r="L2408" i="3"/>
  <c r="M1208" i="3" l="1"/>
  <c r="M248" i="3"/>
  <c r="K2168" i="3"/>
  <c r="L2168" i="3" s="1"/>
  <c r="M1928" i="3"/>
  <c r="M968" i="3"/>
  <c r="K2529" i="3"/>
  <c r="L2529" i="3" s="1"/>
  <c r="K1809" i="3"/>
  <c r="L1809" i="3"/>
  <c r="Q488" i="3"/>
  <c r="P488" i="3"/>
  <c r="Q848" i="3"/>
  <c r="P848" i="3"/>
  <c r="L2049" i="3"/>
  <c r="K2049" i="3"/>
  <c r="K729" i="3"/>
  <c r="L729" i="3" s="1"/>
  <c r="S728" i="3"/>
  <c r="R728" i="3"/>
  <c r="L849" i="3"/>
  <c r="K849" i="3"/>
  <c r="Q8" i="3"/>
  <c r="P8" i="3"/>
  <c r="Q1568" i="3"/>
  <c r="P1568" i="3"/>
  <c r="O1688" i="3"/>
  <c r="N1688" i="3"/>
  <c r="J1689" i="3" s="1"/>
  <c r="M1688" i="3"/>
  <c r="N2287" i="3"/>
  <c r="J2288" i="3" s="1"/>
  <c r="K489" i="3"/>
  <c r="L489" i="3"/>
  <c r="O8" i="3"/>
  <c r="Q1328" i="3"/>
  <c r="P1328" i="3"/>
  <c r="S28" i="1"/>
  <c r="T28" i="1"/>
  <c r="N8" i="3"/>
  <c r="J9" i="3" s="1"/>
  <c r="N1568" i="3"/>
  <c r="J1569" i="3" s="1"/>
  <c r="Q2167" i="3"/>
  <c r="P2167" i="3"/>
  <c r="K1088" i="3"/>
  <c r="L1088" i="3" s="1"/>
  <c r="O368" i="3"/>
  <c r="M368" i="3"/>
  <c r="N368" i="3" s="1"/>
  <c r="J369" i="3" s="1"/>
  <c r="S1087" i="3"/>
  <c r="R1087" i="3"/>
  <c r="Q2287" i="3"/>
  <c r="P2287" i="3"/>
  <c r="O2167" i="3"/>
  <c r="M2408" i="3"/>
  <c r="N2408" i="3" s="1"/>
  <c r="J2409" i="3" s="1"/>
  <c r="K1448" i="3"/>
  <c r="L1448" i="3" s="1"/>
  <c r="O1328" i="3"/>
  <c r="Q28" i="1"/>
  <c r="Q608" i="3"/>
  <c r="P608" i="3"/>
  <c r="S1447" i="3"/>
  <c r="R1447" i="3"/>
  <c r="N1328" i="3"/>
  <c r="J1329" i="3" s="1"/>
  <c r="R28" i="1"/>
  <c r="N608" i="3"/>
  <c r="J609" i="3" s="1"/>
  <c r="N128" i="3"/>
  <c r="J129" i="3" s="1"/>
  <c r="M128" i="3"/>
  <c r="O128" i="3" s="1"/>
  <c r="S967" i="3"/>
  <c r="R967" i="3"/>
  <c r="S2407" i="3"/>
  <c r="R2407" i="3"/>
  <c r="Q2048" i="3"/>
  <c r="P2048" i="3"/>
  <c r="Q1808" i="3"/>
  <c r="P1808" i="3"/>
  <c r="Q2528" i="3"/>
  <c r="P2528" i="3"/>
  <c r="O1448" i="3" l="1"/>
  <c r="M1448" i="3"/>
  <c r="M2529" i="3"/>
  <c r="K2409" i="3"/>
  <c r="L2409" i="3" s="1"/>
  <c r="N2168" i="3"/>
  <c r="J2169" i="3" s="1"/>
  <c r="M2168" i="3"/>
  <c r="M1088" i="3"/>
  <c r="O729" i="3"/>
  <c r="M729" i="3"/>
  <c r="N729" i="3" s="1"/>
  <c r="J730" i="3" s="1"/>
  <c r="K369" i="3"/>
  <c r="L369" i="3" s="1"/>
  <c r="M489" i="3"/>
  <c r="S848" i="3"/>
  <c r="R848" i="3"/>
  <c r="V28" i="1"/>
  <c r="U28" i="1"/>
  <c r="S1568" i="3"/>
  <c r="R1568" i="3"/>
  <c r="Q968" i="3"/>
  <c r="P968" i="3"/>
  <c r="Q248" i="3"/>
  <c r="P248" i="3"/>
  <c r="K129" i="3"/>
  <c r="L129" i="3" s="1"/>
  <c r="S2287" i="3"/>
  <c r="R2287" i="3"/>
  <c r="S2528" i="3"/>
  <c r="R2528" i="3"/>
  <c r="S488" i="3"/>
  <c r="R488" i="3"/>
  <c r="N968" i="3"/>
  <c r="J969" i="3" s="1"/>
  <c r="O248" i="3"/>
  <c r="K1329" i="3"/>
  <c r="L1329" i="3" s="1"/>
  <c r="S8" i="3"/>
  <c r="R8" i="3"/>
  <c r="O1809" i="3"/>
  <c r="M1809" i="3"/>
  <c r="O968" i="3"/>
  <c r="N248" i="3"/>
  <c r="J249" i="3" s="1"/>
  <c r="Q2408" i="3"/>
  <c r="P2408" i="3"/>
  <c r="S1808" i="3"/>
  <c r="R1808" i="3"/>
  <c r="O2408" i="3"/>
  <c r="S2167" i="3"/>
  <c r="R2167" i="3"/>
  <c r="S1328" i="3"/>
  <c r="R1328" i="3"/>
  <c r="K2288" i="3"/>
  <c r="L2288" i="3" s="1"/>
  <c r="Q1928" i="3"/>
  <c r="P1928" i="3"/>
  <c r="Q1208" i="3"/>
  <c r="P1208" i="3"/>
  <c r="S2048" i="3"/>
  <c r="R2048" i="3"/>
  <c r="K609" i="3"/>
  <c r="L609" i="3" s="1"/>
  <c r="S608" i="3"/>
  <c r="R608" i="3"/>
  <c r="K1569" i="3"/>
  <c r="L1569" i="3"/>
  <c r="Q1688" i="3"/>
  <c r="P1688" i="3"/>
  <c r="M849" i="3"/>
  <c r="O849" i="3" s="1"/>
  <c r="N1928" i="3"/>
  <c r="J1929" i="3" s="1"/>
  <c r="O1208" i="3"/>
  <c r="Q128" i="3"/>
  <c r="P128" i="3"/>
  <c r="M29" i="1"/>
  <c r="Q368" i="3"/>
  <c r="P368" i="3"/>
  <c r="K9" i="3"/>
  <c r="L9" i="3" s="1"/>
  <c r="K1689" i="3"/>
  <c r="L1689" i="3" s="1"/>
  <c r="O2049" i="3"/>
  <c r="M2049" i="3"/>
  <c r="O1928" i="3"/>
  <c r="N1208" i="3"/>
  <c r="J1209" i="3" s="1"/>
  <c r="M1689" i="3" l="1"/>
  <c r="M1329" i="3"/>
  <c r="N129" i="3"/>
  <c r="J130" i="3" s="1"/>
  <c r="O129" i="3"/>
  <c r="M129" i="3"/>
  <c r="M9" i="3"/>
  <c r="O2409" i="3"/>
  <c r="N2409" i="3"/>
  <c r="J2410" i="3" s="1"/>
  <c r="M2409" i="3"/>
  <c r="N369" i="3"/>
  <c r="J370" i="3" s="1"/>
  <c r="M369" i="3"/>
  <c r="M2288" i="3"/>
  <c r="M609" i="3"/>
  <c r="K730" i="3"/>
  <c r="L730" i="3" s="1"/>
  <c r="S248" i="3"/>
  <c r="R248" i="3"/>
  <c r="K1209" i="3"/>
  <c r="L1209" i="3"/>
  <c r="Q2049" i="3"/>
  <c r="P2049" i="3"/>
  <c r="S368" i="3"/>
  <c r="R368" i="3"/>
  <c r="Q1809" i="3"/>
  <c r="P1809" i="3"/>
  <c r="Q489" i="3"/>
  <c r="P489" i="3"/>
  <c r="Q1088" i="3"/>
  <c r="P1088" i="3"/>
  <c r="Q2529" i="3"/>
  <c r="P2529" i="3"/>
  <c r="K249" i="3"/>
  <c r="L249" i="3"/>
  <c r="Q849" i="3"/>
  <c r="P849" i="3"/>
  <c r="N2049" i="3"/>
  <c r="J2050" i="3" s="1"/>
  <c r="N849" i="3"/>
  <c r="J850" i="3" s="1"/>
  <c r="S1208" i="3"/>
  <c r="R1208" i="3"/>
  <c r="N1809" i="3"/>
  <c r="J1810" i="3" s="1"/>
  <c r="S968" i="3"/>
  <c r="R968" i="3"/>
  <c r="N489" i="3"/>
  <c r="J490" i="3" s="1"/>
  <c r="N1088" i="3"/>
  <c r="J1089" i="3" s="1"/>
  <c r="N2529" i="3"/>
  <c r="J2530" i="3" s="1"/>
  <c r="O489" i="3"/>
  <c r="O1088" i="3"/>
  <c r="O2529" i="3"/>
  <c r="Q2168" i="3"/>
  <c r="P2168" i="3"/>
  <c r="Q1448" i="3"/>
  <c r="P1448" i="3"/>
  <c r="L1929" i="3"/>
  <c r="K1929" i="3"/>
  <c r="N29" i="1"/>
  <c r="O29" i="1" s="1"/>
  <c r="S1928" i="3"/>
  <c r="R1928" i="3"/>
  <c r="S128" i="3"/>
  <c r="R128" i="3"/>
  <c r="M1569" i="3"/>
  <c r="O2168" i="3"/>
  <c r="N1448" i="3"/>
  <c r="J1449" i="3" s="1"/>
  <c r="L969" i="3"/>
  <c r="K969" i="3"/>
  <c r="S1688" i="3"/>
  <c r="R1688" i="3"/>
  <c r="S2408" i="3"/>
  <c r="R2408" i="3"/>
  <c r="Q729" i="3"/>
  <c r="P729" i="3"/>
  <c r="K2169" i="3"/>
  <c r="L2169" i="3"/>
  <c r="O730" i="3" l="1"/>
  <c r="N730" i="3"/>
  <c r="J731" i="3" s="1"/>
  <c r="M730" i="3"/>
  <c r="P29" i="1"/>
  <c r="Q609" i="3"/>
  <c r="P609" i="3"/>
  <c r="K370" i="3"/>
  <c r="L370" i="3" s="1"/>
  <c r="S489" i="3"/>
  <c r="R489" i="3"/>
  <c r="N609" i="3"/>
  <c r="J610" i="3" s="1"/>
  <c r="Q2409" i="3"/>
  <c r="P2409" i="3"/>
  <c r="K130" i="3"/>
  <c r="L130" i="3" s="1"/>
  <c r="S729" i="3"/>
  <c r="R729" i="3"/>
  <c r="Q1569" i="3"/>
  <c r="P1569" i="3"/>
  <c r="O1929" i="3"/>
  <c r="N1929" i="3"/>
  <c r="J1930" i="3" s="1"/>
  <c r="M1929" i="3"/>
  <c r="K2530" i="3"/>
  <c r="L2530" i="3" s="1"/>
  <c r="K1089" i="3"/>
  <c r="L1089" i="3" s="1"/>
  <c r="O1569" i="3"/>
  <c r="S1448" i="3"/>
  <c r="R1448" i="3"/>
  <c r="K490" i="3"/>
  <c r="L490" i="3" s="1"/>
  <c r="N249" i="3"/>
  <c r="J250" i="3" s="1"/>
  <c r="O249" i="3"/>
  <c r="M249" i="3"/>
  <c r="O609" i="3"/>
  <c r="K2410" i="3"/>
  <c r="L2410" i="3" s="1"/>
  <c r="Q1329" i="3"/>
  <c r="P1329" i="3"/>
  <c r="N1569" i="3"/>
  <c r="J1570" i="3" s="1"/>
  <c r="N969" i="3"/>
  <c r="J970" i="3" s="1"/>
  <c r="O969" i="3"/>
  <c r="M969" i="3"/>
  <c r="S1809" i="3"/>
  <c r="R1809" i="3"/>
  <c r="S2049" i="3"/>
  <c r="R2049" i="3"/>
  <c r="Q2288" i="3"/>
  <c r="P2288" i="3"/>
  <c r="O1329" i="3"/>
  <c r="O2288" i="3"/>
  <c r="Q9" i="3"/>
  <c r="P9" i="3"/>
  <c r="N1329" i="3"/>
  <c r="J1330" i="3" s="1"/>
  <c r="S849" i="3"/>
  <c r="R849" i="3"/>
  <c r="K1449" i="3"/>
  <c r="L1449" i="3" s="1"/>
  <c r="O1209" i="3"/>
  <c r="N1209" i="3"/>
  <c r="J1210" i="3" s="1"/>
  <c r="M1209" i="3"/>
  <c r="N2288" i="3"/>
  <c r="J2289" i="3" s="1"/>
  <c r="N9" i="3"/>
  <c r="J10" i="3" s="1"/>
  <c r="Q1689" i="3"/>
  <c r="P1689" i="3"/>
  <c r="S2168" i="3"/>
  <c r="R2168" i="3"/>
  <c r="M2169" i="3"/>
  <c r="K850" i="3"/>
  <c r="L850" i="3" s="1"/>
  <c r="S2529" i="3"/>
  <c r="R2529" i="3"/>
  <c r="K2050" i="3"/>
  <c r="L2050" i="3" s="1"/>
  <c r="Q369" i="3"/>
  <c r="P369" i="3"/>
  <c r="O9" i="3"/>
  <c r="N1689" i="3"/>
  <c r="J1690" i="3" s="1"/>
  <c r="K1810" i="3"/>
  <c r="L1810" i="3"/>
  <c r="S1088" i="3"/>
  <c r="R1088" i="3"/>
  <c r="O369" i="3"/>
  <c r="Q129" i="3"/>
  <c r="P129" i="3"/>
  <c r="O1689" i="3"/>
  <c r="N370" i="3" l="1"/>
  <c r="J371" i="3" s="1"/>
  <c r="O370" i="3"/>
  <c r="M370" i="3"/>
  <c r="M130" i="3"/>
  <c r="O130" i="3" s="1"/>
  <c r="M1089" i="3"/>
  <c r="O1449" i="3"/>
  <c r="N1449" i="3"/>
  <c r="J1450" i="3" s="1"/>
  <c r="M1449" i="3"/>
  <c r="O2050" i="3"/>
  <c r="N2050" i="3"/>
  <c r="J2051" i="3" s="1"/>
  <c r="M2050" i="3"/>
  <c r="O2410" i="3"/>
  <c r="N2410" i="3"/>
  <c r="J2411" i="3" s="1"/>
  <c r="M2410" i="3"/>
  <c r="M850" i="3"/>
  <c r="O2530" i="3"/>
  <c r="M2530" i="3"/>
  <c r="O490" i="3"/>
  <c r="M490" i="3"/>
  <c r="K1570" i="3"/>
  <c r="L1570" i="3" s="1"/>
  <c r="K250" i="3"/>
  <c r="L250" i="3" s="1"/>
  <c r="S2409" i="3"/>
  <c r="R2409" i="3"/>
  <c r="S609" i="3"/>
  <c r="R609" i="3"/>
  <c r="S1569" i="3"/>
  <c r="R1569" i="3"/>
  <c r="L610" i="3"/>
  <c r="K610" i="3"/>
  <c r="T29" i="1"/>
  <c r="S29" i="1"/>
  <c r="K970" i="3"/>
  <c r="L970" i="3" s="1"/>
  <c r="S1329" i="3"/>
  <c r="R1329" i="3"/>
  <c r="R29" i="1"/>
  <c r="Q29" i="1"/>
  <c r="S9" i="3"/>
  <c r="R9" i="3"/>
  <c r="S369" i="3"/>
  <c r="R369" i="3"/>
  <c r="Q2169" i="3"/>
  <c r="P2169" i="3"/>
  <c r="S1689" i="3"/>
  <c r="R1689" i="3"/>
  <c r="Q730" i="3"/>
  <c r="P730" i="3"/>
  <c r="L1690" i="3"/>
  <c r="K1690" i="3"/>
  <c r="N2169" i="3"/>
  <c r="J2170" i="3" s="1"/>
  <c r="K10" i="3"/>
  <c r="L10" i="3" s="1"/>
  <c r="S129" i="3"/>
  <c r="R129" i="3"/>
  <c r="M1810" i="3"/>
  <c r="O2169" i="3"/>
  <c r="K2289" i="3"/>
  <c r="L2289" i="3"/>
  <c r="Q1209" i="3"/>
  <c r="P1209" i="3"/>
  <c r="K1330" i="3"/>
  <c r="L1330" i="3"/>
  <c r="S2288" i="3"/>
  <c r="R2288" i="3"/>
  <c r="Q969" i="3"/>
  <c r="P969" i="3"/>
  <c r="Q1929" i="3"/>
  <c r="P1929" i="3"/>
  <c r="L731" i="3"/>
  <c r="K731" i="3"/>
  <c r="K1210" i="3"/>
  <c r="L1210" i="3" s="1"/>
  <c r="Q249" i="3"/>
  <c r="P249" i="3"/>
  <c r="K1930" i="3"/>
  <c r="L1930" i="3" s="1"/>
  <c r="O1570" i="3" l="1"/>
  <c r="M1570" i="3"/>
  <c r="M1930" i="3"/>
  <c r="M1210" i="3"/>
  <c r="O1210" i="3" s="1"/>
  <c r="M970" i="3"/>
  <c r="N250" i="3"/>
  <c r="J251" i="3" s="1"/>
  <c r="O250" i="3"/>
  <c r="M250" i="3"/>
  <c r="O10" i="3"/>
  <c r="N10" i="3"/>
  <c r="J11" i="3" s="1"/>
  <c r="M10" i="3"/>
  <c r="M2289" i="3"/>
  <c r="N610" i="3"/>
  <c r="J611" i="3" s="1"/>
  <c r="M610" i="3"/>
  <c r="K2411" i="3"/>
  <c r="L2411" i="3" s="1"/>
  <c r="Q1089" i="3"/>
  <c r="P1089" i="3"/>
  <c r="K371" i="3"/>
  <c r="L371" i="3"/>
  <c r="Q2530" i="3"/>
  <c r="P2530" i="3"/>
  <c r="O1089" i="3"/>
  <c r="N2530" i="3"/>
  <c r="J2531" i="3" s="1"/>
  <c r="Q2050" i="3"/>
  <c r="P2050" i="3"/>
  <c r="N1089" i="3"/>
  <c r="J1090" i="3" s="1"/>
  <c r="O731" i="3"/>
  <c r="M731" i="3"/>
  <c r="Q1810" i="3"/>
  <c r="P1810" i="3"/>
  <c r="M1330" i="3"/>
  <c r="N1810" i="3"/>
  <c r="J1811" i="3" s="1"/>
  <c r="M30" i="1"/>
  <c r="Q850" i="3"/>
  <c r="P850" i="3"/>
  <c r="N130" i="3"/>
  <c r="J131" i="3" s="1"/>
  <c r="S1929" i="3"/>
  <c r="R1929" i="3"/>
  <c r="O1810" i="3"/>
  <c r="S2169" i="3"/>
  <c r="R2169" i="3"/>
  <c r="N850" i="3"/>
  <c r="J851" i="3" s="1"/>
  <c r="Q1449" i="3"/>
  <c r="P1449" i="3"/>
  <c r="K2170" i="3"/>
  <c r="L2170" i="3" s="1"/>
  <c r="Q130" i="3"/>
  <c r="P130" i="3"/>
  <c r="M1690" i="3"/>
  <c r="N1690" i="3" s="1"/>
  <c r="J1691" i="3" s="1"/>
  <c r="V29" i="1"/>
  <c r="U29" i="1"/>
  <c r="Q490" i="3"/>
  <c r="P490" i="3"/>
  <c r="O850" i="3"/>
  <c r="K1450" i="3"/>
  <c r="L1450" i="3" s="1"/>
  <c r="Q370" i="3"/>
  <c r="P370" i="3"/>
  <c r="S730" i="3"/>
  <c r="R730" i="3"/>
  <c r="K2051" i="3"/>
  <c r="L2051" i="3"/>
  <c r="S249" i="3"/>
  <c r="R249" i="3"/>
  <c r="S969" i="3"/>
  <c r="R969" i="3"/>
  <c r="S1209" i="3"/>
  <c r="R1209" i="3"/>
  <c r="N490" i="3"/>
  <c r="J491" i="3" s="1"/>
  <c r="Q2410" i="3"/>
  <c r="P2410" i="3"/>
  <c r="K1691" i="3" l="1"/>
  <c r="L1691" i="3" s="1"/>
  <c r="M2170" i="3"/>
  <c r="O2170" i="3"/>
  <c r="M2411" i="3"/>
  <c r="O1450" i="3"/>
  <c r="M1450" i="3"/>
  <c r="M2051" i="3"/>
  <c r="Q731" i="3"/>
  <c r="P731" i="3"/>
  <c r="Q610" i="3"/>
  <c r="P610" i="3"/>
  <c r="N1210" i="3"/>
  <c r="J1211" i="3" s="1"/>
  <c r="N30" i="1"/>
  <c r="O30" i="1" s="1"/>
  <c r="N731" i="3"/>
  <c r="J732" i="3" s="1"/>
  <c r="S2530" i="3"/>
  <c r="R2530" i="3"/>
  <c r="O610" i="3"/>
  <c r="Q250" i="3"/>
  <c r="P250" i="3"/>
  <c r="Q1930" i="3"/>
  <c r="P1930" i="3"/>
  <c r="S1810" i="3"/>
  <c r="R1810" i="3"/>
  <c r="S1449" i="3"/>
  <c r="R1449" i="3"/>
  <c r="S490" i="3"/>
  <c r="R490" i="3"/>
  <c r="O1690" i="3"/>
  <c r="L851" i="3"/>
  <c r="K851" i="3"/>
  <c r="Q1330" i="3"/>
  <c r="P1330" i="3"/>
  <c r="K1090" i="3"/>
  <c r="L1090" i="3" s="1"/>
  <c r="Q2289" i="3"/>
  <c r="P2289" i="3"/>
  <c r="K251" i="3"/>
  <c r="L251" i="3" s="1"/>
  <c r="O1930" i="3"/>
  <c r="S850" i="3"/>
  <c r="R850" i="3"/>
  <c r="Q1210" i="3"/>
  <c r="P1210" i="3"/>
  <c r="K611" i="3"/>
  <c r="L611" i="3" s="1"/>
  <c r="O1330" i="3"/>
  <c r="O2289" i="3"/>
  <c r="Q970" i="3"/>
  <c r="P970" i="3"/>
  <c r="N1930" i="3"/>
  <c r="J1931" i="3" s="1"/>
  <c r="K11" i="3"/>
  <c r="L11" i="3" s="1"/>
  <c r="S2410" i="3"/>
  <c r="R2410" i="3"/>
  <c r="K131" i="3"/>
  <c r="L131" i="3" s="1"/>
  <c r="N1330" i="3"/>
  <c r="J1331" i="3" s="1"/>
  <c r="S2050" i="3"/>
  <c r="R2050" i="3"/>
  <c r="S1089" i="3"/>
  <c r="R1089" i="3"/>
  <c r="N2289" i="3"/>
  <c r="J2290" i="3" s="1"/>
  <c r="N970" i="3"/>
  <c r="J971" i="3" s="1"/>
  <c r="Q1570" i="3"/>
  <c r="P1570" i="3"/>
  <c r="Q1690" i="3"/>
  <c r="P1690" i="3"/>
  <c r="K1811" i="3"/>
  <c r="L1811" i="3"/>
  <c r="M371" i="3"/>
  <c r="L491" i="3"/>
  <c r="K491" i="3"/>
  <c r="S370" i="3"/>
  <c r="R370" i="3"/>
  <c r="S130" i="3"/>
  <c r="R130" i="3"/>
  <c r="L2531" i="3"/>
  <c r="K2531" i="3"/>
  <c r="Q10" i="3"/>
  <c r="P10" i="3"/>
  <c r="O970" i="3"/>
  <c r="N1570" i="3"/>
  <c r="J1571" i="3" s="1"/>
  <c r="Q30" i="1" l="1"/>
  <c r="M31" i="1" s="1"/>
  <c r="P30" i="1"/>
  <c r="R30" i="1" s="1"/>
  <c r="M131" i="3"/>
  <c r="N11" i="3"/>
  <c r="J12" i="3" s="1"/>
  <c r="M11" i="3"/>
  <c r="O11" i="3" s="1"/>
  <c r="M611" i="3"/>
  <c r="O251" i="3"/>
  <c r="N251" i="3"/>
  <c r="J252" i="3" s="1"/>
  <c r="M251" i="3"/>
  <c r="N1090" i="3"/>
  <c r="J1091" i="3" s="1"/>
  <c r="O1090" i="3"/>
  <c r="M1090" i="3"/>
  <c r="M1691" i="3"/>
  <c r="Q371" i="3"/>
  <c r="P371" i="3"/>
  <c r="Q2411" i="3"/>
  <c r="P2411" i="3"/>
  <c r="N371" i="3"/>
  <c r="J372" i="3" s="1"/>
  <c r="K971" i="3"/>
  <c r="L971" i="3" s="1"/>
  <c r="K1331" i="3"/>
  <c r="L1331" i="3"/>
  <c r="K1931" i="3"/>
  <c r="L1931" i="3"/>
  <c r="S1210" i="3"/>
  <c r="R1210" i="3"/>
  <c r="S2289" i="3"/>
  <c r="R2289" i="3"/>
  <c r="S731" i="3"/>
  <c r="R731" i="3"/>
  <c r="O2411" i="3"/>
  <c r="K2290" i="3"/>
  <c r="L2290" i="3" s="1"/>
  <c r="K732" i="3"/>
  <c r="L732" i="3" s="1"/>
  <c r="Q2051" i="3"/>
  <c r="P2051" i="3"/>
  <c r="N2411" i="3"/>
  <c r="J2412" i="3" s="1"/>
  <c r="O851" i="3"/>
  <c r="N851" i="3"/>
  <c r="J852" i="3" s="1"/>
  <c r="M851" i="3"/>
  <c r="S1930" i="3"/>
  <c r="R1930" i="3"/>
  <c r="N2051" i="3"/>
  <c r="J2052" i="3" s="1"/>
  <c r="O491" i="3"/>
  <c r="M491" i="3"/>
  <c r="K1571" i="3"/>
  <c r="L1571" i="3" s="1"/>
  <c r="O371" i="3"/>
  <c r="M1811" i="3"/>
  <c r="O1811" i="3" s="1"/>
  <c r="O2051" i="3"/>
  <c r="Q2170" i="3"/>
  <c r="P2170" i="3"/>
  <c r="S970" i="3"/>
  <c r="R970" i="3"/>
  <c r="S10" i="3"/>
  <c r="R10" i="3"/>
  <c r="S1330" i="3"/>
  <c r="R1330" i="3"/>
  <c r="S250" i="3"/>
  <c r="R250" i="3"/>
  <c r="L1211" i="3"/>
  <c r="K1211" i="3"/>
  <c r="Q1450" i="3"/>
  <c r="P1450" i="3"/>
  <c r="N2170" i="3"/>
  <c r="J2171" i="3" s="1"/>
  <c r="M2531" i="3"/>
  <c r="N2531" i="3" s="1"/>
  <c r="J2532" i="3" s="1"/>
  <c r="S1570" i="3"/>
  <c r="R1570" i="3"/>
  <c r="S1690" i="3"/>
  <c r="R1690" i="3"/>
  <c r="N1450" i="3"/>
  <c r="J1451" i="3" s="1"/>
  <c r="S610" i="3"/>
  <c r="R610" i="3"/>
  <c r="O2290" i="3" l="1"/>
  <c r="M2290" i="3"/>
  <c r="K2532" i="3"/>
  <c r="L2532" i="3"/>
  <c r="M1571" i="3"/>
  <c r="O732" i="3"/>
  <c r="M732" i="3"/>
  <c r="M971" i="3"/>
  <c r="N1811" i="3"/>
  <c r="J1812" i="3" s="1"/>
  <c r="L12" i="3"/>
  <c r="K12" i="3"/>
  <c r="K1451" i="3"/>
  <c r="L1451" i="3" s="1"/>
  <c r="O2531" i="3"/>
  <c r="S2051" i="3"/>
  <c r="R2051" i="3"/>
  <c r="Q251" i="3"/>
  <c r="P251" i="3"/>
  <c r="S371" i="3"/>
  <c r="R371" i="3"/>
  <c r="K252" i="3"/>
  <c r="L252" i="3" s="1"/>
  <c r="Q131" i="3"/>
  <c r="P131" i="3"/>
  <c r="S2411" i="3"/>
  <c r="R2411" i="3"/>
  <c r="Q1691" i="3"/>
  <c r="P1691" i="3"/>
  <c r="N131" i="3"/>
  <c r="J132" i="3" s="1"/>
  <c r="N1211" i="3"/>
  <c r="J1212" i="3" s="1"/>
  <c r="M1211" i="3"/>
  <c r="O1211" i="3" s="1"/>
  <c r="K2052" i="3"/>
  <c r="L2052" i="3" s="1"/>
  <c r="K1091" i="3"/>
  <c r="L1091" i="3"/>
  <c r="K2171" i="3"/>
  <c r="L2171" i="3" s="1"/>
  <c r="Q851" i="3"/>
  <c r="P851" i="3"/>
  <c r="N1691" i="3"/>
  <c r="J1692" i="3" s="1"/>
  <c r="Q611" i="3"/>
  <c r="P611" i="3"/>
  <c r="O131" i="3"/>
  <c r="M1931" i="3"/>
  <c r="O1931" i="3" s="1"/>
  <c r="S1450" i="3"/>
  <c r="R1450" i="3"/>
  <c r="S2170" i="3"/>
  <c r="R2170" i="3"/>
  <c r="Q491" i="3"/>
  <c r="P491" i="3"/>
  <c r="L852" i="3"/>
  <c r="K852" i="3"/>
  <c r="O1691" i="3"/>
  <c r="N611" i="3"/>
  <c r="J612" i="3" s="1"/>
  <c r="Q2531" i="3"/>
  <c r="P2531" i="3"/>
  <c r="M1331" i="3"/>
  <c r="N1331" i="3" s="1"/>
  <c r="J1332" i="3" s="1"/>
  <c r="N491" i="3"/>
  <c r="J492" i="3" s="1"/>
  <c r="K372" i="3"/>
  <c r="L372" i="3" s="1"/>
  <c r="Q1090" i="3"/>
  <c r="P1090" i="3"/>
  <c r="O611" i="3"/>
  <c r="T30" i="1"/>
  <c r="S30" i="1"/>
  <c r="Q1811" i="3"/>
  <c r="P1811" i="3"/>
  <c r="K2412" i="3"/>
  <c r="L2412" i="3"/>
  <c r="Q11" i="3"/>
  <c r="P11" i="3"/>
  <c r="N31" i="1"/>
  <c r="O31" i="1" s="1"/>
  <c r="O372" i="3" l="1"/>
  <c r="M372" i="3"/>
  <c r="M2171" i="3"/>
  <c r="N2171" i="3" s="1"/>
  <c r="J2172" i="3" s="1"/>
  <c r="K1332" i="3"/>
  <c r="L1332" i="3" s="1"/>
  <c r="N1451" i="3"/>
  <c r="J1452" i="3" s="1"/>
  <c r="M1451" i="3"/>
  <c r="P31" i="1"/>
  <c r="Q31" i="1" s="1"/>
  <c r="M32" i="1" s="1"/>
  <c r="M2052" i="3"/>
  <c r="N2052" i="3" s="1"/>
  <c r="J2053" i="3" s="1"/>
  <c r="M252" i="3"/>
  <c r="Q1571" i="3"/>
  <c r="P1571" i="3"/>
  <c r="O1331" i="3"/>
  <c r="S491" i="3"/>
  <c r="R491" i="3"/>
  <c r="S131" i="3"/>
  <c r="R131" i="3"/>
  <c r="L1812" i="3"/>
  <c r="K1812" i="3"/>
  <c r="N1571" i="3"/>
  <c r="J1572" i="3" s="1"/>
  <c r="V30" i="1"/>
  <c r="U30" i="1"/>
  <c r="Q971" i="3"/>
  <c r="P971" i="3"/>
  <c r="O1571" i="3"/>
  <c r="S851" i="3"/>
  <c r="R851" i="3"/>
  <c r="M1091" i="3"/>
  <c r="N971" i="3"/>
  <c r="J972" i="3" s="1"/>
  <c r="M2532" i="3"/>
  <c r="Q1931" i="3"/>
  <c r="P1931" i="3"/>
  <c r="M12" i="3"/>
  <c r="N1931" i="3"/>
  <c r="J1932" i="3" s="1"/>
  <c r="S2531" i="3"/>
  <c r="R2531" i="3"/>
  <c r="S1691" i="3"/>
  <c r="R1691" i="3"/>
  <c r="O971" i="3"/>
  <c r="L1212" i="3"/>
  <c r="K1212" i="3"/>
  <c r="S11" i="3"/>
  <c r="R11" i="3"/>
  <c r="K132" i="3"/>
  <c r="L132" i="3" s="1"/>
  <c r="O2412" i="3"/>
  <c r="N2412" i="3"/>
  <c r="J2413" i="3" s="1"/>
  <c r="M2412" i="3"/>
  <c r="S611" i="3"/>
  <c r="R611" i="3"/>
  <c r="Q732" i="3"/>
  <c r="P732" i="3"/>
  <c r="Q2290" i="3"/>
  <c r="P2290" i="3"/>
  <c r="S251" i="3"/>
  <c r="R251" i="3"/>
  <c r="S1090" i="3"/>
  <c r="R1090" i="3"/>
  <c r="K612" i="3"/>
  <c r="L612" i="3" s="1"/>
  <c r="S1811" i="3"/>
  <c r="R1811" i="3"/>
  <c r="K492" i="3"/>
  <c r="L492" i="3" s="1"/>
  <c r="K1692" i="3"/>
  <c r="L1692" i="3" s="1"/>
  <c r="N732" i="3"/>
  <c r="J733" i="3" s="1"/>
  <c r="N2290" i="3"/>
  <c r="J2291" i="3" s="1"/>
  <c r="Q1331" i="3"/>
  <c r="P1331" i="3"/>
  <c r="M852" i="3"/>
  <c r="N852" i="3" s="1"/>
  <c r="J853" i="3" s="1"/>
  <c r="Q1211" i="3"/>
  <c r="P1211" i="3"/>
  <c r="K2053" i="3" l="1"/>
  <c r="L2053" i="3" s="1"/>
  <c r="M1332" i="3"/>
  <c r="M612" i="3"/>
  <c r="O1692" i="3"/>
  <c r="N1692" i="3"/>
  <c r="J1693" i="3" s="1"/>
  <c r="M1692" i="3"/>
  <c r="M492" i="3"/>
  <c r="O492" i="3" s="1"/>
  <c r="M132" i="3"/>
  <c r="O132" i="3" s="1"/>
  <c r="L2172" i="3"/>
  <c r="K2172" i="3"/>
  <c r="N32" i="1"/>
  <c r="O32" i="1"/>
  <c r="L853" i="3"/>
  <c r="K853" i="3"/>
  <c r="Q2532" i="3"/>
  <c r="P2532" i="3"/>
  <c r="K1572" i="3"/>
  <c r="L1572" i="3" s="1"/>
  <c r="O2052" i="3"/>
  <c r="K2291" i="3"/>
  <c r="L2291" i="3"/>
  <c r="Q2412" i="3"/>
  <c r="P2412" i="3"/>
  <c r="N2532" i="3"/>
  <c r="J2533" i="3" s="1"/>
  <c r="S1331" i="3"/>
  <c r="R1331" i="3"/>
  <c r="S1571" i="3"/>
  <c r="R1571" i="3"/>
  <c r="R31" i="1"/>
  <c r="Q2052" i="3"/>
  <c r="P2052" i="3"/>
  <c r="M1212" i="3"/>
  <c r="O2532" i="3"/>
  <c r="Q2171" i="3"/>
  <c r="P2171" i="3"/>
  <c r="Q12" i="3"/>
  <c r="P12" i="3"/>
  <c r="N12" i="3"/>
  <c r="J13" i="3" s="1"/>
  <c r="Q1091" i="3"/>
  <c r="P1091" i="3"/>
  <c r="S971" i="3"/>
  <c r="R971" i="3"/>
  <c r="Q252" i="3"/>
  <c r="P252" i="3"/>
  <c r="O2171" i="3"/>
  <c r="S1931" i="3"/>
  <c r="R1931" i="3"/>
  <c r="K1452" i="3"/>
  <c r="L1452" i="3"/>
  <c r="L2413" i="3"/>
  <c r="K2413" i="3"/>
  <c r="T31" i="1"/>
  <c r="S31" i="1"/>
  <c r="S1211" i="3"/>
  <c r="R1211" i="3"/>
  <c r="S732" i="3"/>
  <c r="R732" i="3"/>
  <c r="O12" i="3"/>
  <c r="N1091" i="3"/>
  <c r="J1092" i="3" s="1"/>
  <c r="N252" i="3"/>
  <c r="J253" i="3" s="1"/>
  <c r="Q1451" i="3"/>
  <c r="P1451" i="3"/>
  <c r="Q372" i="3"/>
  <c r="P372" i="3"/>
  <c r="K733" i="3"/>
  <c r="L733" i="3" s="1"/>
  <c r="K1932" i="3"/>
  <c r="L1932" i="3"/>
  <c r="M1812" i="3"/>
  <c r="N1812" i="3" s="1"/>
  <c r="J1813" i="3" s="1"/>
  <c r="S2290" i="3"/>
  <c r="R2290" i="3"/>
  <c r="K972" i="3"/>
  <c r="L972" i="3" s="1"/>
  <c r="Q852" i="3"/>
  <c r="P852" i="3"/>
  <c r="O852" i="3"/>
  <c r="O1091" i="3"/>
  <c r="O252" i="3"/>
  <c r="O1451" i="3"/>
  <c r="N372" i="3"/>
  <c r="J373" i="3" s="1"/>
  <c r="M1572" i="3" l="1"/>
  <c r="K1813" i="3"/>
  <c r="L1813" i="3" s="1"/>
  <c r="M733" i="3"/>
  <c r="M972" i="3"/>
  <c r="M2053" i="3"/>
  <c r="S2052" i="3"/>
  <c r="R2052" i="3"/>
  <c r="S2532" i="3"/>
  <c r="R2532" i="3"/>
  <c r="N132" i="3"/>
  <c r="J133" i="3" s="1"/>
  <c r="Q612" i="3"/>
  <c r="P612" i="3"/>
  <c r="S2171" i="3"/>
  <c r="R2171" i="3"/>
  <c r="S2412" i="3"/>
  <c r="R2412" i="3"/>
  <c r="O612" i="3"/>
  <c r="S12" i="3"/>
  <c r="R12" i="3"/>
  <c r="Q132" i="3"/>
  <c r="P132" i="3"/>
  <c r="Q1812" i="3"/>
  <c r="P1812" i="3"/>
  <c r="M1452" i="3"/>
  <c r="O1452" i="3" s="1"/>
  <c r="L253" i="3"/>
  <c r="K253" i="3"/>
  <c r="Q1212" i="3"/>
  <c r="P1212" i="3"/>
  <c r="R32" i="1"/>
  <c r="Q32" i="1"/>
  <c r="M33" i="1" s="1"/>
  <c r="P32" i="1"/>
  <c r="Q1332" i="3"/>
  <c r="P1332" i="3"/>
  <c r="K2533" i="3"/>
  <c r="L2533" i="3" s="1"/>
  <c r="S372" i="3"/>
  <c r="R372" i="3"/>
  <c r="S1451" i="3"/>
  <c r="R1451" i="3"/>
  <c r="Q492" i="3"/>
  <c r="P492" i="3"/>
  <c r="M1932" i="3"/>
  <c r="S1091" i="3"/>
  <c r="R1091" i="3"/>
  <c r="N1212" i="3"/>
  <c r="J1213" i="3" s="1"/>
  <c r="N492" i="3"/>
  <c r="J493" i="3" s="1"/>
  <c r="N1332" i="3"/>
  <c r="J1333" i="3" s="1"/>
  <c r="S252" i="3"/>
  <c r="R252" i="3"/>
  <c r="O1812" i="3"/>
  <c r="O853" i="3"/>
  <c r="N853" i="3"/>
  <c r="J854" i="3" s="1"/>
  <c r="M853" i="3"/>
  <c r="K1092" i="3"/>
  <c r="L1092" i="3" s="1"/>
  <c r="V31" i="1"/>
  <c r="U31" i="1"/>
  <c r="L13" i="3"/>
  <c r="K13" i="3"/>
  <c r="O1212" i="3"/>
  <c r="Q1692" i="3"/>
  <c r="P1692" i="3"/>
  <c r="O1332" i="3"/>
  <c r="N2413" i="3"/>
  <c r="J2414" i="3" s="1"/>
  <c r="M2413" i="3"/>
  <c r="O2413" i="3" s="1"/>
  <c r="S852" i="3"/>
  <c r="R852" i="3"/>
  <c r="N2291" i="3"/>
  <c r="J2292" i="3" s="1"/>
  <c r="M2291" i="3"/>
  <c r="N612" i="3"/>
  <c r="J613" i="3" s="1"/>
  <c r="L373" i="3"/>
  <c r="K373" i="3"/>
  <c r="M2172" i="3"/>
  <c r="N2172" i="3" s="1"/>
  <c r="J2173" i="3" s="1"/>
  <c r="L1693" i="3"/>
  <c r="K1693" i="3"/>
  <c r="O1092" i="3" l="1"/>
  <c r="M1092" i="3"/>
  <c r="K2173" i="3"/>
  <c r="L2173" i="3"/>
  <c r="O2533" i="3"/>
  <c r="M2533" i="3"/>
  <c r="O1813" i="3"/>
  <c r="M1813" i="3"/>
  <c r="K2414" i="3"/>
  <c r="L2414" i="3" s="1"/>
  <c r="Q733" i="3"/>
  <c r="P733" i="3"/>
  <c r="Q2291" i="3"/>
  <c r="P2291" i="3"/>
  <c r="T32" i="1"/>
  <c r="S32" i="1"/>
  <c r="N1452" i="3"/>
  <c r="J1453" i="3" s="1"/>
  <c r="N733" i="3"/>
  <c r="J734" i="3" s="1"/>
  <c r="Q1932" i="3"/>
  <c r="P1932" i="3"/>
  <c r="Q2053" i="3"/>
  <c r="P2053" i="3"/>
  <c r="O733" i="3"/>
  <c r="N33" i="1"/>
  <c r="O33" i="1" s="1"/>
  <c r="N1932" i="3"/>
  <c r="J1933" i="3" s="1"/>
  <c r="L133" i="3"/>
  <c r="K133" i="3"/>
  <c r="O2053" i="3"/>
  <c r="K2292" i="3"/>
  <c r="L2292" i="3" s="1"/>
  <c r="O2291" i="3"/>
  <c r="S1692" i="3"/>
  <c r="R1692" i="3"/>
  <c r="K1333" i="3"/>
  <c r="L1333" i="3" s="1"/>
  <c r="O1932" i="3"/>
  <c r="S1812" i="3"/>
  <c r="R1812" i="3"/>
  <c r="N2053" i="3"/>
  <c r="J2054" i="3" s="1"/>
  <c r="S612" i="3"/>
  <c r="R612" i="3"/>
  <c r="Q853" i="3"/>
  <c r="P853" i="3"/>
  <c r="K493" i="3"/>
  <c r="L493" i="3"/>
  <c r="S1212" i="3"/>
  <c r="R1212" i="3"/>
  <c r="Q972" i="3"/>
  <c r="P972" i="3"/>
  <c r="Q1572" i="3"/>
  <c r="P1572" i="3"/>
  <c r="K613" i="3"/>
  <c r="L613" i="3"/>
  <c r="S1332" i="3"/>
  <c r="R1332" i="3"/>
  <c r="O1693" i="3"/>
  <c r="N1693" i="3"/>
  <c r="J1694" i="3" s="1"/>
  <c r="M1693" i="3"/>
  <c r="Q2172" i="3"/>
  <c r="P2172" i="3"/>
  <c r="O2172" i="3"/>
  <c r="K854" i="3"/>
  <c r="L854" i="3" s="1"/>
  <c r="L1213" i="3"/>
  <c r="K1213" i="3"/>
  <c r="S492" i="3"/>
  <c r="R492" i="3"/>
  <c r="S132" i="3"/>
  <c r="R132" i="3"/>
  <c r="N972" i="3"/>
  <c r="J973" i="3" s="1"/>
  <c r="O1572" i="3"/>
  <c r="Q1452" i="3"/>
  <c r="P1452" i="3"/>
  <c r="O373" i="3"/>
  <c r="N373" i="3"/>
  <c r="J374" i="3" s="1"/>
  <c r="M373" i="3"/>
  <c r="Q2413" i="3"/>
  <c r="P2413" i="3"/>
  <c r="M13" i="3"/>
  <c r="N13" i="3" s="1"/>
  <c r="J14" i="3" s="1"/>
  <c r="O253" i="3"/>
  <c r="N253" i="3"/>
  <c r="J254" i="3" s="1"/>
  <c r="M253" i="3"/>
  <c r="O972" i="3"/>
  <c r="N1572" i="3"/>
  <c r="J1573" i="3" s="1"/>
  <c r="P33" i="1" l="1"/>
  <c r="M2292" i="3"/>
  <c r="O854" i="3"/>
  <c r="N854" i="3"/>
  <c r="J855" i="3" s="1"/>
  <c r="M854" i="3"/>
  <c r="M1333" i="3"/>
  <c r="K14" i="3"/>
  <c r="L14" i="3" s="1"/>
  <c r="O2414" i="3"/>
  <c r="N2414" i="3"/>
  <c r="J2415" i="3" s="1"/>
  <c r="M2414" i="3"/>
  <c r="K1573" i="3"/>
  <c r="L1573" i="3" s="1"/>
  <c r="S853" i="3"/>
  <c r="R853" i="3"/>
  <c r="S2413" i="3"/>
  <c r="R2413" i="3"/>
  <c r="S972" i="3"/>
  <c r="R972" i="3"/>
  <c r="S2053" i="3"/>
  <c r="R2053" i="3"/>
  <c r="S2291" i="3"/>
  <c r="R2291" i="3"/>
  <c r="Q2533" i="3"/>
  <c r="P2533" i="3"/>
  <c r="Q253" i="3"/>
  <c r="P253" i="3"/>
  <c r="Q373" i="3"/>
  <c r="P373" i="3"/>
  <c r="N2533" i="3"/>
  <c r="J2534" i="3" s="1"/>
  <c r="M1213" i="3"/>
  <c r="K374" i="3"/>
  <c r="L374" i="3" s="1"/>
  <c r="O133" i="3"/>
  <c r="M133" i="3"/>
  <c r="N133" i="3" s="1"/>
  <c r="J134" i="3" s="1"/>
  <c r="L1933" i="3"/>
  <c r="K1933" i="3"/>
  <c r="K734" i="3"/>
  <c r="L734" i="3" s="1"/>
  <c r="M2173" i="3"/>
  <c r="N2173" i="3" s="1"/>
  <c r="J2174" i="3" s="1"/>
  <c r="L254" i="3"/>
  <c r="K254" i="3"/>
  <c r="S1932" i="3"/>
  <c r="R1932" i="3"/>
  <c r="M613" i="3"/>
  <c r="N613" i="3" s="1"/>
  <c r="J614" i="3" s="1"/>
  <c r="S2172" i="3"/>
  <c r="R2172" i="3"/>
  <c r="M493" i="3"/>
  <c r="O493" i="3" s="1"/>
  <c r="K1453" i="3"/>
  <c r="L1453" i="3" s="1"/>
  <c r="S733" i="3"/>
  <c r="R733" i="3"/>
  <c r="S1452" i="3"/>
  <c r="R1452" i="3"/>
  <c r="Q1693" i="3"/>
  <c r="P1693" i="3"/>
  <c r="Q1813" i="3"/>
  <c r="P1813" i="3"/>
  <c r="Q1092" i="3"/>
  <c r="P1092" i="3"/>
  <c r="K973" i="3"/>
  <c r="L973" i="3" s="1"/>
  <c r="K2054" i="3"/>
  <c r="L2054" i="3" s="1"/>
  <c r="Q13" i="3"/>
  <c r="P13" i="3"/>
  <c r="O13" i="3"/>
  <c r="K1694" i="3"/>
  <c r="L1694" i="3" s="1"/>
  <c r="S1572" i="3"/>
  <c r="R1572" i="3"/>
  <c r="V32" i="1"/>
  <c r="U32" i="1"/>
  <c r="N1813" i="3"/>
  <c r="J1814" i="3" s="1"/>
  <c r="N1092" i="3"/>
  <c r="J1093" i="3" s="1"/>
  <c r="O973" i="3" l="1"/>
  <c r="M973" i="3"/>
  <c r="M14" i="3"/>
  <c r="O14" i="3" s="1"/>
  <c r="K134" i="3"/>
  <c r="L134" i="3" s="1"/>
  <c r="L2174" i="3"/>
  <c r="K2174" i="3"/>
  <c r="M2054" i="3"/>
  <c r="O1694" i="3"/>
  <c r="M1694" i="3"/>
  <c r="N1453" i="3"/>
  <c r="J1454" i="3" s="1"/>
  <c r="O1453" i="3"/>
  <c r="M1453" i="3"/>
  <c r="M734" i="3"/>
  <c r="N734" i="3" s="1"/>
  <c r="J735" i="3" s="1"/>
  <c r="M1573" i="3"/>
  <c r="K614" i="3"/>
  <c r="L614" i="3" s="1"/>
  <c r="M374" i="3"/>
  <c r="N374" i="3" s="1"/>
  <c r="J375" i="3" s="1"/>
  <c r="K2415" i="3"/>
  <c r="L2415" i="3" s="1"/>
  <c r="L855" i="3"/>
  <c r="K855" i="3"/>
  <c r="S1693" i="3"/>
  <c r="R1693" i="3"/>
  <c r="S373" i="3"/>
  <c r="R373" i="3"/>
  <c r="Q2292" i="3"/>
  <c r="P2292" i="3"/>
  <c r="S253" i="3"/>
  <c r="R253" i="3"/>
  <c r="N2292" i="3"/>
  <c r="J2293" i="3" s="1"/>
  <c r="K1814" i="3"/>
  <c r="L1814" i="3" s="1"/>
  <c r="Q1213" i="3"/>
  <c r="P1213" i="3"/>
  <c r="Q1333" i="3"/>
  <c r="P1333" i="3"/>
  <c r="O2292" i="3"/>
  <c r="Q2173" i="3"/>
  <c r="P2173" i="3"/>
  <c r="O2173" i="3"/>
  <c r="S1092" i="3"/>
  <c r="R1092" i="3"/>
  <c r="N1213" i="3"/>
  <c r="J1214" i="3" s="1"/>
  <c r="S2533" i="3"/>
  <c r="R2533" i="3"/>
  <c r="N1333" i="3"/>
  <c r="J1334" i="3" s="1"/>
  <c r="T33" i="1"/>
  <c r="S33" i="1"/>
  <c r="S13" i="3"/>
  <c r="R13" i="3"/>
  <c r="Q613" i="3"/>
  <c r="P613" i="3"/>
  <c r="Q493" i="3"/>
  <c r="P493" i="3"/>
  <c r="O613" i="3"/>
  <c r="K1093" i="3"/>
  <c r="L1093" i="3" s="1"/>
  <c r="N493" i="3"/>
  <c r="J494" i="3" s="1"/>
  <c r="M1933" i="3"/>
  <c r="O1213" i="3"/>
  <c r="O1333" i="3"/>
  <c r="Q33" i="1"/>
  <c r="M34" i="1" s="1"/>
  <c r="S1813" i="3"/>
  <c r="R1813" i="3"/>
  <c r="M254" i="3"/>
  <c r="O254" i="3" s="1"/>
  <c r="Q133" i="3"/>
  <c r="P133" i="3"/>
  <c r="K2534" i="3"/>
  <c r="L2534" i="3" s="1"/>
  <c r="Q2414" i="3"/>
  <c r="P2414" i="3"/>
  <c r="Q854" i="3"/>
  <c r="P854" i="3"/>
  <c r="R33" i="1"/>
  <c r="M614" i="3" l="1"/>
  <c r="M2534" i="3"/>
  <c r="O134" i="3"/>
  <c r="N134" i="3"/>
  <c r="J135" i="3" s="1"/>
  <c r="M134" i="3"/>
  <c r="M1093" i="3"/>
  <c r="K735" i="3"/>
  <c r="L735" i="3" s="1"/>
  <c r="K375" i="3"/>
  <c r="L375" i="3" s="1"/>
  <c r="O1814" i="3"/>
  <c r="M1814" i="3"/>
  <c r="M2415" i="3"/>
  <c r="N2415" i="3" s="1"/>
  <c r="J2416" i="3" s="1"/>
  <c r="Q1573" i="3"/>
  <c r="P1573" i="3"/>
  <c r="O2174" i="3"/>
  <c r="M2174" i="3"/>
  <c r="Q1933" i="3"/>
  <c r="P1933" i="3"/>
  <c r="S493" i="3"/>
  <c r="R493" i="3"/>
  <c r="L1334" i="3"/>
  <c r="K1334" i="3"/>
  <c r="N1573" i="3"/>
  <c r="J1574" i="3" s="1"/>
  <c r="Q1694" i="3"/>
  <c r="P1694" i="3"/>
  <c r="N1933" i="3"/>
  <c r="J1934" i="3" s="1"/>
  <c r="O1573" i="3"/>
  <c r="N1694" i="3"/>
  <c r="J1695" i="3" s="1"/>
  <c r="Q254" i="3"/>
  <c r="P254" i="3"/>
  <c r="S1213" i="3"/>
  <c r="R1213" i="3"/>
  <c r="S2414" i="3"/>
  <c r="R2414" i="3"/>
  <c r="L494" i="3"/>
  <c r="K494" i="3"/>
  <c r="Q2054" i="3"/>
  <c r="P2054" i="3"/>
  <c r="N14" i="3"/>
  <c r="J15" i="3" s="1"/>
  <c r="S2292" i="3"/>
  <c r="R2292" i="3"/>
  <c r="S2173" i="3"/>
  <c r="R2173" i="3"/>
  <c r="Q374" i="3"/>
  <c r="P374" i="3"/>
  <c r="Q734" i="3"/>
  <c r="P734" i="3"/>
  <c r="L1214" i="3"/>
  <c r="K1214" i="3"/>
  <c r="O374" i="3"/>
  <c r="O734" i="3"/>
  <c r="N2054" i="3"/>
  <c r="J2055" i="3" s="1"/>
  <c r="K1454" i="3"/>
  <c r="L1454" i="3"/>
  <c r="S854" i="3"/>
  <c r="R854" i="3"/>
  <c r="N254" i="3"/>
  <c r="J255" i="3" s="1"/>
  <c r="S613" i="3"/>
  <c r="R613" i="3"/>
  <c r="L2293" i="3"/>
  <c r="K2293" i="3"/>
  <c r="N34" i="1"/>
  <c r="O34" i="1" s="1"/>
  <c r="S1333" i="3"/>
  <c r="R1333" i="3"/>
  <c r="Q1453" i="3"/>
  <c r="P1453" i="3"/>
  <c r="O2054" i="3"/>
  <c r="Q973" i="3"/>
  <c r="P973" i="3"/>
  <c r="V33" i="1"/>
  <c r="U33" i="1"/>
  <c r="O855" i="3"/>
  <c r="N855" i="3"/>
  <c r="J856" i="3" s="1"/>
  <c r="M855" i="3"/>
  <c r="O1933" i="3"/>
  <c r="Q14" i="3"/>
  <c r="P14" i="3"/>
  <c r="S133" i="3"/>
  <c r="R133" i="3"/>
  <c r="N973" i="3"/>
  <c r="J974" i="3" s="1"/>
  <c r="M375" i="3" l="1"/>
  <c r="P34" i="1"/>
  <c r="N735" i="3"/>
  <c r="J736" i="3" s="1"/>
  <c r="O735" i="3"/>
  <c r="M735" i="3"/>
  <c r="K2416" i="3"/>
  <c r="L2416" i="3"/>
  <c r="K135" i="3"/>
  <c r="L135" i="3" s="1"/>
  <c r="Q855" i="3"/>
  <c r="P855" i="3"/>
  <c r="S1573" i="3"/>
  <c r="R1573" i="3"/>
  <c r="S973" i="3"/>
  <c r="R973" i="3"/>
  <c r="Q2534" i="3"/>
  <c r="P2534" i="3"/>
  <c r="S734" i="3"/>
  <c r="R734" i="3"/>
  <c r="K15" i="3"/>
  <c r="L15" i="3" s="1"/>
  <c r="O2415" i="3"/>
  <c r="N2534" i="3"/>
  <c r="J2535" i="3" s="1"/>
  <c r="N1214" i="3"/>
  <c r="J1215" i="3" s="1"/>
  <c r="O1214" i="3"/>
  <c r="M1214" i="3"/>
  <c r="K1695" i="3"/>
  <c r="L1695" i="3" s="1"/>
  <c r="K1934" i="3"/>
  <c r="L1934" i="3" s="1"/>
  <c r="L2055" i="3"/>
  <c r="K2055" i="3"/>
  <c r="S374" i="3"/>
  <c r="R374" i="3"/>
  <c r="S1694" i="3"/>
  <c r="R1694" i="3"/>
  <c r="S1933" i="3"/>
  <c r="R1933" i="3"/>
  <c r="Q1093" i="3"/>
  <c r="P1093" i="3"/>
  <c r="O2534" i="3"/>
  <c r="K856" i="3"/>
  <c r="L856" i="3" s="1"/>
  <c r="M1454" i="3"/>
  <c r="N1454" i="3" s="1"/>
  <c r="J1455" i="3" s="1"/>
  <c r="Q2415" i="3"/>
  <c r="P2415" i="3"/>
  <c r="S2054" i="3"/>
  <c r="R2054" i="3"/>
  <c r="L1574" i="3"/>
  <c r="K1574" i="3"/>
  <c r="Q2174" i="3"/>
  <c r="P2174" i="3"/>
  <c r="Q1814" i="3"/>
  <c r="P1814" i="3"/>
  <c r="N1093" i="3"/>
  <c r="J1094" i="3" s="1"/>
  <c r="Q614" i="3"/>
  <c r="P614" i="3"/>
  <c r="S14" i="3"/>
  <c r="R14" i="3"/>
  <c r="K974" i="3"/>
  <c r="L974" i="3" s="1"/>
  <c r="M2293" i="3"/>
  <c r="O2293" i="3" s="1"/>
  <c r="S1453" i="3"/>
  <c r="R1453" i="3"/>
  <c r="K255" i="3"/>
  <c r="L255" i="3" s="1"/>
  <c r="N2174" i="3"/>
  <c r="J2175" i="3" s="1"/>
  <c r="N1814" i="3"/>
  <c r="J1815" i="3" s="1"/>
  <c r="O1093" i="3"/>
  <c r="N614" i="3"/>
  <c r="J615" i="3" s="1"/>
  <c r="O494" i="3"/>
  <c r="M494" i="3"/>
  <c r="S254" i="3"/>
  <c r="R254" i="3"/>
  <c r="M1334" i="3"/>
  <c r="Q134" i="3"/>
  <c r="P134" i="3"/>
  <c r="O614" i="3"/>
  <c r="N974" i="3" l="1"/>
  <c r="J975" i="3" s="1"/>
  <c r="M974" i="3"/>
  <c r="M135" i="3"/>
  <c r="N15" i="3"/>
  <c r="J16" i="3" s="1"/>
  <c r="M15" i="3"/>
  <c r="O15" i="3" s="1"/>
  <c r="M856" i="3"/>
  <c r="O1934" i="3"/>
  <c r="N1934" i="3"/>
  <c r="J1935" i="3" s="1"/>
  <c r="M1934" i="3"/>
  <c r="L1455" i="3"/>
  <c r="K1455" i="3"/>
  <c r="M255" i="3"/>
  <c r="N1695" i="3"/>
  <c r="J1696" i="3" s="1"/>
  <c r="O1695" i="3"/>
  <c r="M1695" i="3"/>
  <c r="Q1334" i="3"/>
  <c r="P1334" i="3"/>
  <c r="N1334" i="3"/>
  <c r="J1335" i="3" s="1"/>
  <c r="K615" i="3"/>
  <c r="L615" i="3" s="1"/>
  <c r="K1215" i="3"/>
  <c r="L1215" i="3"/>
  <c r="K736" i="3"/>
  <c r="L736" i="3"/>
  <c r="O1574" i="3"/>
  <c r="M1574" i="3"/>
  <c r="S855" i="3"/>
  <c r="R855" i="3"/>
  <c r="T34" i="1"/>
  <c r="S34" i="1"/>
  <c r="Q1454" i="3"/>
  <c r="P1454" i="3"/>
  <c r="O1334" i="3"/>
  <c r="R34" i="1"/>
  <c r="K2535" i="3"/>
  <c r="L2535" i="3" s="1"/>
  <c r="S614" i="3"/>
  <c r="R614" i="3"/>
  <c r="K2175" i="3"/>
  <c r="L2175" i="3" s="1"/>
  <c r="K1094" i="3"/>
  <c r="L1094" i="3" s="1"/>
  <c r="Q34" i="1"/>
  <c r="M35" i="1" s="1"/>
  <c r="N2055" i="3"/>
  <c r="J2056" i="3" s="1"/>
  <c r="M2055" i="3"/>
  <c r="O2055" i="3" s="1"/>
  <c r="M2416" i="3"/>
  <c r="Q375" i="3"/>
  <c r="P375" i="3"/>
  <c r="Q2293" i="3"/>
  <c r="P2293" i="3"/>
  <c r="O1454" i="3"/>
  <c r="S2534" i="3"/>
  <c r="R2534" i="3"/>
  <c r="N2293" i="3"/>
  <c r="J2294" i="3" s="1"/>
  <c r="Q494" i="3"/>
  <c r="P494" i="3"/>
  <c r="S1814" i="3"/>
  <c r="R1814" i="3"/>
  <c r="N375" i="3"/>
  <c r="J376" i="3" s="1"/>
  <c r="S2174" i="3"/>
  <c r="R2174" i="3"/>
  <c r="K1815" i="3"/>
  <c r="L1815" i="3" s="1"/>
  <c r="S134" i="3"/>
  <c r="R134" i="3"/>
  <c r="N494" i="3"/>
  <c r="J495" i="3" s="1"/>
  <c r="S2415" i="3"/>
  <c r="R2415" i="3"/>
  <c r="S1093" i="3"/>
  <c r="R1093" i="3"/>
  <c r="Q1214" i="3"/>
  <c r="P1214" i="3"/>
  <c r="Q735" i="3"/>
  <c r="P735" i="3"/>
  <c r="O375" i="3"/>
  <c r="N1094" i="3" l="1"/>
  <c r="J1095" i="3" s="1"/>
  <c r="M1094" i="3"/>
  <c r="M615" i="3"/>
  <c r="O615" i="3" s="1"/>
  <c r="M2175" i="3"/>
  <c r="O2175" i="3" s="1"/>
  <c r="M1815" i="3"/>
  <c r="O2535" i="3"/>
  <c r="M2535" i="3"/>
  <c r="K2056" i="3"/>
  <c r="L2056" i="3" s="1"/>
  <c r="K16" i="3"/>
  <c r="L16" i="3" s="1"/>
  <c r="S2293" i="3"/>
  <c r="R2293" i="3"/>
  <c r="V34" i="1"/>
  <c r="U34" i="1"/>
  <c r="Q1695" i="3"/>
  <c r="P1695" i="3"/>
  <c r="Q1934" i="3"/>
  <c r="P1934" i="3"/>
  <c r="O35" i="1"/>
  <c r="N35" i="1"/>
  <c r="K1935" i="3"/>
  <c r="L1935" i="3"/>
  <c r="Q135" i="3"/>
  <c r="P135" i="3"/>
  <c r="M1455" i="3"/>
  <c r="N1455" i="3" s="1"/>
  <c r="J1456" i="3" s="1"/>
  <c r="S735" i="3"/>
  <c r="R735" i="3"/>
  <c r="K1696" i="3"/>
  <c r="L1696" i="3" s="1"/>
  <c r="N135" i="3"/>
  <c r="J136" i="3" s="1"/>
  <c r="S1334" i="3"/>
  <c r="R1334" i="3"/>
  <c r="S494" i="3"/>
  <c r="R494" i="3"/>
  <c r="K495" i="3"/>
  <c r="L495" i="3" s="1"/>
  <c r="Q2416" i="3"/>
  <c r="P2416" i="3"/>
  <c r="Q255" i="3"/>
  <c r="P255" i="3"/>
  <c r="Q856" i="3"/>
  <c r="P856" i="3"/>
  <c r="O135" i="3"/>
  <c r="M736" i="3"/>
  <c r="O736" i="3" s="1"/>
  <c r="M1215" i="3"/>
  <c r="L2294" i="3"/>
  <c r="K2294" i="3"/>
  <c r="S1214" i="3"/>
  <c r="R1214" i="3"/>
  <c r="K376" i="3"/>
  <c r="L376" i="3" s="1"/>
  <c r="N2416" i="3"/>
  <c r="J2417" i="3" s="1"/>
  <c r="Q1574" i="3"/>
  <c r="P1574" i="3"/>
  <c r="N255" i="3"/>
  <c r="J256" i="3" s="1"/>
  <c r="N856" i="3"/>
  <c r="J857" i="3" s="1"/>
  <c r="Q974" i="3"/>
  <c r="P974" i="3"/>
  <c r="S375" i="3"/>
  <c r="R375" i="3"/>
  <c r="O2416" i="3"/>
  <c r="N1574" i="3"/>
  <c r="J1575" i="3" s="1"/>
  <c r="K1335" i="3"/>
  <c r="L1335" i="3" s="1"/>
  <c r="O255" i="3"/>
  <c r="O856" i="3"/>
  <c r="O974" i="3"/>
  <c r="Q2055" i="3"/>
  <c r="P2055" i="3"/>
  <c r="S1454" i="3"/>
  <c r="R1454" i="3"/>
  <c r="Q15" i="3"/>
  <c r="P15" i="3"/>
  <c r="K975" i="3"/>
  <c r="L975" i="3" s="1"/>
  <c r="L1456" i="3" l="1"/>
  <c r="K1456" i="3"/>
  <c r="M376" i="3"/>
  <c r="M2056" i="3"/>
  <c r="N975" i="3"/>
  <c r="J976" i="3" s="1"/>
  <c r="O975" i="3"/>
  <c r="M975" i="3"/>
  <c r="M1335" i="3"/>
  <c r="O1335" i="3" s="1"/>
  <c r="N1696" i="3"/>
  <c r="J1697" i="3" s="1"/>
  <c r="M1696" i="3"/>
  <c r="O1696" i="3" s="1"/>
  <c r="M495" i="3"/>
  <c r="N16" i="3"/>
  <c r="J17" i="3" s="1"/>
  <c r="O16" i="3"/>
  <c r="M16" i="3"/>
  <c r="Q1215" i="3"/>
  <c r="P1215" i="3"/>
  <c r="K1095" i="3"/>
  <c r="L1095" i="3" s="1"/>
  <c r="N2175" i="3"/>
  <c r="J2176" i="3" s="1"/>
  <c r="S15" i="3"/>
  <c r="R15" i="3"/>
  <c r="O1215" i="3"/>
  <c r="S255" i="3"/>
  <c r="R255" i="3"/>
  <c r="Q2535" i="3"/>
  <c r="P2535" i="3"/>
  <c r="S856" i="3"/>
  <c r="R856" i="3"/>
  <c r="S974" i="3"/>
  <c r="R974" i="3"/>
  <c r="K857" i="3"/>
  <c r="L857" i="3" s="1"/>
  <c r="N736" i="3"/>
  <c r="J737" i="3" s="1"/>
  <c r="S2416" i="3"/>
  <c r="R2416" i="3"/>
  <c r="N2535" i="3"/>
  <c r="J2536" i="3" s="1"/>
  <c r="N615" i="3"/>
  <c r="J616" i="3" s="1"/>
  <c r="Q2175" i="3"/>
  <c r="P2175" i="3"/>
  <c r="N1215" i="3"/>
  <c r="J1216" i="3" s="1"/>
  <c r="Q1455" i="3"/>
  <c r="P1455" i="3"/>
  <c r="L1575" i="3"/>
  <c r="K1575" i="3"/>
  <c r="K136" i="3"/>
  <c r="L136" i="3" s="1"/>
  <c r="O1455" i="3"/>
  <c r="S1934" i="3"/>
  <c r="R1934" i="3"/>
  <c r="Q1815" i="3"/>
  <c r="P1815" i="3"/>
  <c r="P35" i="1"/>
  <c r="Q615" i="3"/>
  <c r="P615" i="3"/>
  <c r="K256" i="3"/>
  <c r="L256" i="3" s="1"/>
  <c r="O1815" i="3"/>
  <c r="Q1094" i="3"/>
  <c r="P1094" i="3"/>
  <c r="K2417" i="3"/>
  <c r="L2417" i="3" s="1"/>
  <c r="M1935" i="3"/>
  <c r="O1935" i="3" s="1"/>
  <c r="Q736" i="3"/>
  <c r="P736" i="3"/>
  <c r="S2055" i="3"/>
  <c r="R2055" i="3"/>
  <c r="S1574" i="3"/>
  <c r="R1574" i="3"/>
  <c r="M2294" i="3"/>
  <c r="N2294" i="3"/>
  <c r="J2295" i="3" s="1"/>
  <c r="S135" i="3"/>
  <c r="R135" i="3"/>
  <c r="S1695" i="3"/>
  <c r="R1695" i="3"/>
  <c r="N1815" i="3"/>
  <c r="J1816" i="3" s="1"/>
  <c r="O1094" i="3"/>
  <c r="O1095" i="3" l="1"/>
  <c r="M1095" i="3"/>
  <c r="M256" i="3"/>
  <c r="O256" i="3" s="1"/>
  <c r="M2417" i="3"/>
  <c r="N2417" i="3"/>
  <c r="J2418" i="3" s="1"/>
  <c r="M857" i="3"/>
  <c r="O136" i="3"/>
  <c r="N136" i="3"/>
  <c r="J137" i="3" s="1"/>
  <c r="M136" i="3"/>
  <c r="S1815" i="3"/>
  <c r="R1815" i="3"/>
  <c r="N1935" i="3"/>
  <c r="J1936" i="3" s="1"/>
  <c r="K1697" i="3"/>
  <c r="L1697" i="3" s="1"/>
  <c r="Q2056" i="3"/>
  <c r="P2056" i="3"/>
  <c r="S1455" i="3"/>
  <c r="R1455" i="3"/>
  <c r="Q16" i="3"/>
  <c r="P16" i="3"/>
  <c r="N2056" i="3"/>
  <c r="J2057" i="3" s="1"/>
  <c r="O2056" i="3"/>
  <c r="Q1935" i="3"/>
  <c r="P1935" i="3"/>
  <c r="S1215" i="3"/>
  <c r="R1215" i="3"/>
  <c r="K17" i="3"/>
  <c r="L17" i="3"/>
  <c r="N1335" i="3"/>
  <c r="J1336" i="3" s="1"/>
  <c r="Q376" i="3"/>
  <c r="P376" i="3"/>
  <c r="T35" i="1"/>
  <c r="S35" i="1"/>
  <c r="R35" i="1"/>
  <c r="S2175" i="3"/>
  <c r="R2175" i="3"/>
  <c r="S2535" i="3"/>
  <c r="R2535" i="3"/>
  <c r="K2176" i="3"/>
  <c r="L2176" i="3" s="1"/>
  <c r="Q495" i="3"/>
  <c r="P495" i="3"/>
  <c r="O376" i="3"/>
  <c r="K1216" i="3"/>
  <c r="L1216" i="3" s="1"/>
  <c r="Q1335" i="3"/>
  <c r="P1335" i="3"/>
  <c r="K1816" i="3"/>
  <c r="L1816" i="3" s="1"/>
  <c r="Q2294" i="3"/>
  <c r="P2294" i="3"/>
  <c r="S1094" i="3"/>
  <c r="R1094" i="3"/>
  <c r="Q35" i="1"/>
  <c r="M36" i="1" s="1"/>
  <c r="L616" i="3"/>
  <c r="K616" i="3"/>
  <c r="O495" i="3"/>
  <c r="Q975" i="3"/>
  <c r="P975" i="3"/>
  <c r="N376" i="3"/>
  <c r="J377" i="3" s="1"/>
  <c r="S615" i="3"/>
  <c r="R615" i="3"/>
  <c r="K737" i="3"/>
  <c r="L737" i="3" s="1"/>
  <c r="L2295" i="3"/>
  <c r="K2295" i="3"/>
  <c r="O2294" i="3"/>
  <c r="S736" i="3"/>
  <c r="R736" i="3"/>
  <c r="K2536" i="3"/>
  <c r="L2536" i="3"/>
  <c r="N495" i="3"/>
  <c r="J496" i="3" s="1"/>
  <c r="M1575" i="3"/>
  <c r="O1575" i="3" s="1"/>
  <c r="Q1696" i="3"/>
  <c r="P1696" i="3"/>
  <c r="K976" i="3"/>
  <c r="L976" i="3"/>
  <c r="M1456" i="3"/>
  <c r="M2176" i="3" l="1"/>
  <c r="O2176" i="3" s="1"/>
  <c r="M1697" i="3"/>
  <c r="N737" i="3"/>
  <c r="J738" i="3" s="1"/>
  <c r="O737" i="3"/>
  <c r="M737" i="3"/>
  <c r="M1816" i="3"/>
  <c r="O1216" i="3"/>
  <c r="M1216" i="3"/>
  <c r="V35" i="1"/>
  <c r="U35" i="1"/>
  <c r="Q1456" i="3"/>
  <c r="P1456" i="3"/>
  <c r="N1575" i="3"/>
  <c r="J1576" i="3" s="1"/>
  <c r="Q2417" i="3"/>
  <c r="P2417" i="3"/>
  <c r="N1456" i="3"/>
  <c r="J1457" i="3" s="1"/>
  <c r="S376" i="3"/>
  <c r="R376" i="3"/>
  <c r="S1935" i="3"/>
  <c r="R1935" i="3"/>
  <c r="Q136" i="3"/>
  <c r="P136" i="3"/>
  <c r="O2417" i="3"/>
  <c r="Q1575" i="3"/>
  <c r="P1575" i="3"/>
  <c r="K2418" i="3"/>
  <c r="L2418" i="3" s="1"/>
  <c r="S975" i="3"/>
  <c r="R975" i="3"/>
  <c r="L1336" i="3"/>
  <c r="K1336" i="3"/>
  <c r="M17" i="3"/>
  <c r="K2057" i="3"/>
  <c r="L2057" i="3" s="1"/>
  <c r="S1335" i="3"/>
  <c r="R1335" i="3"/>
  <c r="O1456" i="3"/>
  <c r="M2295" i="3"/>
  <c r="N2295" i="3"/>
  <c r="J2296" i="3" s="1"/>
  <c r="Q256" i="3"/>
  <c r="P256" i="3"/>
  <c r="S2294" i="3"/>
  <c r="R2294" i="3"/>
  <c r="S495" i="3"/>
  <c r="R495" i="3"/>
  <c r="Q857" i="3"/>
  <c r="P857" i="3"/>
  <c r="N256" i="3"/>
  <c r="J257" i="3" s="1"/>
  <c r="K377" i="3"/>
  <c r="L377" i="3" s="1"/>
  <c r="S2056" i="3"/>
  <c r="R2056" i="3"/>
  <c r="M2536" i="3"/>
  <c r="O2536" i="3" s="1"/>
  <c r="O616" i="3"/>
  <c r="N616" i="3"/>
  <c r="J617" i="3" s="1"/>
  <c r="M616" i="3"/>
  <c r="S16" i="3"/>
  <c r="R16" i="3"/>
  <c r="K1936" i="3"/>
  <c r="L1936" i="3" s="1"/>
  <c r="O857" i="3"/>
  <c r="Q1095" i="3"/>
  <c r="P1095" i="3"/>
  <c r="K496" i="3"/>
  <c r="L496" i="3" s="1"/>
  <c r="K137" i="3"/>
  <c r="L137" i="3" s="1"/>
  <c r="O976" i="3"/>
  <c r="M976" i="3"/>
  <c r="S1696" i="3"/>
  <c r="R1696" i="3"/>
  <c r="N36" i="1"/>
  <c r="O36" i="1" s="1"/>
  <c r="N857" i="3"/>
  <c r="J858" i="3" s="1"/>
  <c r="N1095" i="3"/>
  <c r="J1096" i="3" s="1"/>
  <c r="O2057" i="3" l="1"/>
  <c r="M2057" i="3"/>
  <c r="M1936" i="3"/>
  <c r="O1936" i="3" s="1"/>
  <c r="M496" i="3"/>
  <c r="N496" i="3" s="1"/>
  <c r="J497" i="3" s="1"/>
  <c r="M377" i="3"/>
  <c r="R36" i="1"/>
  <c r="Q36" i="1"/>
  <c r="M37" i="1" s="1"/>
  <c r="P36" i="1"/>
  <c r="O2418" i="3"/>
  <c r="N2418" i="3"/>
  <c r="J2419" i="3" s="1"/>
  <c r="M2418" i="3"/>
  <c r="M137" i="3"/>
  <c r="K858" i="3"/>
  <c r="L858" i="3" s="1"/>
  <c r="K1457" i="3"/>
  <c r="L1457" i="3" s="1"/>
  <c r="S857" i="3"/>
  <c r="R857" i="3"/>
  <c r="S256" i="3"/>
  <c r="R256" i="3"/>
  <c r="S136" i="3"/>
  <c r="R136" i="3"/>
  <c r="Q1216" i="3"/>
  <c r="P1216" i="3"/>
  <c r="K738" i="3"/>
  <c r="L738" i="3"/>
  <c r="K257" i="3"/>
  <c r="L257" i="3"/>
  <c r="Q1697" i="3"/>
  <c r="P1697" i="3"/>
  <c r="Q2536" i="3"/>
  <c r="P2536" i="3"/>
  <c r="K2296" i="3"/>
  <c r="L2296" i="3" s="1"/>
  <c r="K1576" i="3"/>
  <c r="L1576" i="3" s="1"/>
  <c r="N1216" i="3"/>
  <c r="J1217" i="3" s="1"/>
  <c r="N1697" i="3"/>
  <c r="J1698" i="3" s="1"/>
  <c r="Q2295" i="3"/>
  <c r="P2295" i="3"/>
  <c r="Q17" i="3"/>
  <c r="P17" i="3"/>
  <c r="Q616" i="3"/>
  <c r="P616" i="3"/>
  <c r="O2295" i="3"/>
  <c r="N17" i="3"/>
  <c r="J18" i="3" s="1"/>
  <c r="Q1816" i="3"/>
  <c r="P1816" i="3"/>
  <c r="O1697" i="3"/>
  <c r="N2536" i="3"/>
  <c r="J2537" i="3" s="1"/>
  <c r="S2417" i="3"/>
  <c r="R2417" i="3"/>
  <c r="Q976" i="3"/>
  <c r="P976" i="3"/>
  <c r="S1095" i="3"/>
  <c r="R1095" i="3"/>
  <c r="K617" i="3"/>
  <c r="L617" i="3" s="1"/>
  <c r="O17" i="3"/>
  <c r="S1456" i="3"/>
  <c r="R1456" i="3"/>
  <c r="O1816" i="3"/>
  <c r="L1096" i="3"/>
  <c r="K1096" i="3"/>
  <c r="N976" i="3"/>
  <c r="J977" i="3" s="1"/>
  <c r="S1575" i="3"/>
  <c r="R1575" i="3"/>
  <c r="N1816" i="3"/>
  <c r="J1817" i="3" s="1"/>
  <c r="Q2176" i="3"/>
  <c r="P2176" i="3"/>
  <c r="M1336" i="3"/>
  <c r="N1336" i="3" s="1"/>
  <c r="J1337" i="3" s="1"/>
  <c r="Q737" i="3"/>
  <c r="P737" i="3"/>
  <c r="N2176" i="3"/>
  <c r="J2177" i="3" s="1"/>
  <c r="O617" i="3" l="1"/>
  <c r="M617" i="3"/>
  <c r="M2296" i="3"/>
  <c r="O1457" i="3"/>
  <c r="M1457" i="3"/>
  <c r="N1457" i="3" s="1"/>
  <c r="J1458" i="3" s="1"/>
  <c r="K497" i="3"/>
  <c r="L497" i="3" s="1"/>
  <c r="M1576" i="3"/>
  <c r="N858" i="3"/>
  <c r="J859" i="3" s="1"/>
  <c r="M858" i="3"/>
  <c r="O858" i="3" s="1"/>
  <c r="K1337" i="3"/>
  <c r="L1337" i="3" s="1"/>
  <c r="K977" i="3"/>
  <c r="L977" i="3" s="1"/>
  <c r="M257" i="3"/>
  <c r="O496" i="3"/>
  <c r="S616" i="3"/>
  <c r="R616" i="3"/>
  <c r="T36" i="1"/>
  <c r="S36" i="1"/>
  <c r="Q137" i="3"/>
  <c r="P137" i="3"/>
  <c r="N1936" i="3"/>
  <c r="J1937" i="3" s="1"/>
  <c r="S1697" i="3"/>
  <c r="R1697" i="3"/>
  <c r="Q496" i="3"/>
  <c r="P496" i="3"/>
  <c r="S17" i="3"/>
  <c r="R17" i="3"/>
  <c r="K2177" i="3"/>
  <c r="L2177" i="3"/>
  <c r="K1817" i="3"/>
  <c r="L1817" i="3"/>
  <c r="O137" i="3"/>
  <c r="Q377" i="3"/>
  <c r="P377" i="3"/>
  <c r="K2419" i="3"/>
  <c r="L2419" i="3" s="1"/>
  <c r="K2537" i="3"/>
  <c r="L2537" i="3" s="1"/>
  <c r="O738" i="3"/>
  <c r="N738" i="3"/>
  <c r="J739" i="3" s="1"/>
  <c r="M738" i="3"/>
  <c r="S2176" i="3"/>
  <c r="R2176" i="3"/>
  <c r="S1816" i="3"/>
  <c r="R1816" i="3"/>
  <c r="S2295" i="3"/>
  <c r="R2295" i="3"/>
  <c r="S2536" i="3"/>
  <c r="R2536" i="3"/>
  <c r="S1216" i="3"/>
  <c r="R1216" i="3"/>
  <c r="N137" i="3"/>
  <c r="J138" i="3" s="1"/>
  <c r="O377" i="3"/>
  <c r="Q2057" i="3"/>
  <c r="P2057" i="3"/>
  <c r="Q1336" i="3"/>
  <c r="P1336" i="3"/>
  <c r="K1217" i="3"/>
  <c r="L1217" i="3"/>
  <c r="O1336" i="3"/>
  <c r="O1096" i="3"/>
  <c r="N1096" i="3"/>
  <c r="J1097" i="3" s="1"/>
  <c r="M1096" i="3"/>
  <c r="N37" i="1"/>
  <c r="O37" i="1" s="1"/>
  <c r="Q1936" i="3"/>
  <c r="P1936" i="3"/>
  <c r="S737" i="3"/>
  <c r="R737" i="3"/>
  <c r="S976" i="3"/>
  <c r="R976" i="3"/>
  <c r="K18" i="3"/>
  <c r="L18" i="3" s="1"/>
  <c r="K1698" i="3"/>
  <c r="L1698" i="3" s="1"/>
  <c r="Q2418" i="3"/>
  <c r="P2418" i="3"/>
  <c r="N377" i="3"/>
  <c r="J378" i="3" s="1"/>
  <c r="N2057" i="3"/>
  <c r="J2058" i="3" s="1"/>
  <c r="O497" i="3" l="1"/>
  <c r="M497" i="3"/>
  <c r="M1698" i="3"/>
  <c r="N18" i="3"/>
  <c r="J19" i="3" s="1"/>
  <c r="M18" i="3"/>
  <c r="O18" i="3" s="1"/>
  <c r="K1458" i="3"/>
  <c r="L1458" i="3" s="1"/>
  <c r="M2537" i="3"/>
  <c r="N977" i="3"/>
  <c r="J978" i="3" s="1"/>
  <c r="M977" i="3"/>
  <c r="O977" i="3" s="1"/>
  <c r="P37" i="1"/>
  <c r="N2419" i="3"/>
  <c r="J2420" i="3" s="1"/>
  <c r="O2419" i="3"/>
  <c r="M2419" i="3"/>
  <c r="N1337" i="3"/>
  <c r="J1338" i="3" s="1"/>
  <c r="O1337" i="3"/>
  <c r="M1337" i="3"/>
  <c r="K1097" i="3"/>
  <c r="L1097" i="3" s="1"/>
  <c r="Q257" i="3"/>
  <c r="P257" i="3"/>
  <c r="K859" i="3"/>
  <c r="L859" i="3" s="1"/>
  <c r="K138" i="3"/>
  <c r="L138" i="3" s="1"/>
  <c r="Q738" i="3"/>
  <c r="P738" i="3"/>
  <c r="S377" i="3"/>
  <c r="R377" i="3"/>
  <c r="S137" i="3"/>
  <c r="R137" i="3"/>
  <c r="O257" i="3"/>
  <c r="N257" i="3"/>
  <c r="J258" i="3" s="1"/>
  <c r="Q1576" i="3"/>
  <c r="P1576" i="3"/>
  <c r="Q2296" i="3"/>
  <c r="P2296" i="3"/>
  <c r="S1936" i="3"/>
  <c r="R1936" i="3"/>
  <c r="S496" i="3"/>
  <c r="R496" i="3"/>
  <c r="V36" i="1"/>
  <c r="U36" i="1"/>
  <c r="O1576" i="3"/>
  <c r="O2296" i="3"/>
  <c r="M1217" i="3"/>
  <c r="K739" i="3"/>
  <c r="L739" i="3" s="1"/>
  <c r="N1576" i="3"/>
  <c r="J1577" i="3" s="1"/>
  <c r="N2296" i="3"/>
  <c r="J2297" i="3" s="1"/>
  <c r="S2057" i="3"/>
  <c r="R2057" i="3"/>
  <c r="L2058" i="3"/>
  <c r="K2058" i="3"/>
  <c r="S1336" i="3"/>
  <c r="R1336" i="3"/>
  <c r="M2177" i="3"/>
  <c r="N2177" i="3" s="1"/>
  <c r="J2178" i="3" s="1"/>
  <c r="Q617" i="3"/>
  <c r="P617" i="3"/>
  <c r="O1817" i="3"/>
  <c r="N1817" i="3"/>
  <c r="J1818" i="3" s="1"/>
  <c r="M1817" i="3"/>
  <c r="K378" i="3"/>
  <c r="L378" i="3"/>
  <c r="Q1096" i="3"/>
  <c r="P1096" i="3"/>
  <c r="N617" i="3"/>
  <c r="J618" i="3" s="1"/>
  <c r="S2418" i="3"/>
  <c r="R2418" i="3"/>
  <c r="K1937" i="3"/>
  <c r="L1937" i="3" s="1"/>
  <c r="Q858" i="3"/>
  <c r="P858" i="3"/>
  <c r="Q1457" i="3"/>
  <c r="P1457" i="3"/>
  <c r="O1937" i="3" l="1"/>
  <c r="M1937" i="3"/>
  <c r="K2178" i="3"/>
  <c r="L2178" i="3" s="1"/>
  <c r="M1458" i="3"/>
  <c r="O739" i="3"/>
  <c r="M739" i="3"/>
  <c r="M1097" i="3"/>
  <c r="N1097" i="3" s="1"/>
  <c r="J1098" i="3" s="1"/>
  <c r="M138" i="3"/>
  <c r="N138" i="3" s="1"/>
  <c r="J139" i="3" s="1"/>
  <c r="M859" i="3"/>
  <c r="K1577" i="3"/>
  <c r="L1577" i="3"/>
  <c r="K19" i="3"/>
  <c r="L19" i="3" s="1"/>
  <c r="S1457" i="3"/>
  <c r="R1457" i="3"/>
  <c r="K618" i="3"/>
  <c r="L618" i="3" s="1"/>
  <c r="S2296" i="3"/>
  <c r="R2296" i="3"/>
  <c r="Q2419" i="3"/>
  <c r="P2419" i="3"/>
  <c r="Q1217" i="3"/>
  <c r="P1217" i="3"/>
  <c r="Q2537" i="3"/>
  <c r="P2537" i="3"/>
  <c r="Q1698" i="3"/>
  <c r="P1698" i="3"/>
  <c r="L978" i="3"/>
  <c r="K978" i="3"/>
  <c r="S1576" i="3"/>
  <c r="R1576" i="3"/>
  <c r="S257" i="3"/>
  <c r="R257" i="3"/>
  <c r="K2420" i="3"/>
  <c r="L2420" i="3" s="1"/>
  <c r="N2537" i="3"/>
  <c r="J2538" i="3" s="1"/>
  <c r="N1698" i="3"/>
  <c r="J1699" i="3" s="1"/>
  <c r="S617" i="3"/>
  <c r="R617" i="3"/>
  <c r="S1096" i="3"/>
  <c r="R1096" i="3"/>
  <c r="O1217" i="3"/>
  <c r="K258" i="3"/>
  <c r="L258" i="3"/>
  <c r="S37" i="1"/>
  <c r="T37" i="1"/>
  <c r="O2537" i="3"/>
  <c r="O1698" i="3"/>
  <c r="Q2177" i="3"/>
  <c r="P2177" i="3"/>
  <c r="N1217" i="3"/>
  <c r="J1218" i="3" s="1"/>
  <c r="M378" i="3"/>
  <c r="O378" i="3" s="1"/>
  <c r="O2177" i="3"/>
  <c r="S738" i="3"/>
  <c r="R738" i="3"/>
  <c r="Q37" i="1"/>
  <c r="M38" i="1" s="1"/>
  <c r="Q497" i="3"/>
  <c r="P497" i="3"/>
  <c r="K1818" i="3"/>
  <c r="L1818" i="3" s="1"/>
  <c r="K1338" i="3"/>
  <c r="L1338" i="3" s="1"/>
  <c r="M2058" i="3"/>
  <c r="N2058" i="3" s="1"/>
  <c r="J2059" i="3" s="1"/>
  <c r="O2058" i="3"/>
  <c r="S858" i="3"/>
  <c r="R858" i="3"/>
  <c r="Q1817" i="3"/>
  <c r="P1817" i="3"/>
  <c r="K2297" i="3"/>
  <c r="L2297" i="3"/>
  <c r="Q1337" i="3"/>
  <c r="P1337" i="3"/>
  <c r="R37" i="1"/>
  <c r="N497" i="3"/>
  <c r="J498" i="3" s="1"/>
  <c r="Q977" i="3"/>
  <c r="P977" i="3"/>
  <c r="Q18" i="3"/>
  <c r="P18" i="3"/>
  <c r="N1338" i="3" l="1"/>
  <c r="J1339" i="3" s="1"/>
  <c r="M1338" i="3"/>
  <c r="K139" i="3"/>
  <c r="L139" i="3" s="1"/>
  <c r="M19" i="3"/>
  <c r="O19" i="3" s="1"/>
  <c r="N1818" i="3"/>
  <c r="J1819" i="3" s="1"/>
  <c r="M1818" i="3"/>
  <c r="K1098" i="3"/>
  <c r="L1098" i="3" s="1"/>
  <c r="N2178" i="3"/>
  <c r="J2179" i="3" s="1"/>
  <c r="M2178" i="3"/>
  <c r="O2178" i="3"/>
  <c r="O2420" i="3"/>
  <c r="M2420" i="3"/>
  <c r="M618" i="3"/>
  <c r="K2059" i="3"/>
  <c r="L2059" i="3" s="1"/>
  <c r="O978" i="3"/>
  <c r="M978" i="3"/>
  <c r="Q1458" i="3"/>
  <c r="P1458" i="3"/>
  <c r="S1698" i="3"/>
  <c r="R1698" i="3"/>
  <c r="O138" i="3"/>
  <c r="N1458" i="3"/>
  <c r="J1459" i="3" s="1"/>
  <c r="Q378" i="3"/>
  <c r="P378" i="3"/>
  <c r="O1577" i="3"/>
  <c r="N1577" i="3"/>
  <c r="J1578" i="3" s="1"/>
  <c r="M1577" i="3"/>
  <c r="N258" i="3"/>
  <c r="J259" i="3" s="1"/>
  <c r="O258" i="3"/>
  <c r="M258" i="3"/>
  <c r="K498" i="3"/>
  <c r="L498" i="3" s="1"/>
  <c r="V37" i="1"/>
  <c r="U37" i="1"/>
  <c r="S497" i="3"/>
  <c r="R497" i="3"/>
  <c r="N38" i="1"/>
  <c r="O38" i="1" s="1"/>
  <c r="S2537" i="3"/>
  <c r="R2537" i="3"/>
  <c r="S18" i="3"/>
  <c r="R18" i="3"/>
  <c r="K1699" i="3"/>
  <c r="L1699" i="3" s="1"/>
  <c r="Q859" i="3"/>
  <c r="P859" i="3"/>
  <c r="O1097" i="3"/>
  <c r="O1458" i="3"/>
  <c r="Q2058" i="3"/>
  <c r="P2058" i="3"/>
  <c r="S2177" i="3"/>
  <c r="R2177" i="3"/>
  <c r="K2538" i="3"/>
  <c r="L2538" i="3" s="1"/>
  <c r="S1217" i="3"/>
  <c r="R1217" i="3"/>
  <c r="N859" i="3"/>
  <c r="J860" i="3" s="1"/>
  <c r="Q739" i="3"/>
  <c r="P739" i="3"/>
  <c r="Q1937" i="3"/>
  <c r="P1937" i="3"/>
  <c r="S2419" i="3"/>
  <c r="R2419" i="3"/>
  <c r="Q138" i="3"/>
  <c r="P138" i="3"/>
  <c r="S1337" i="3"/>
  <c r="R1337" i="3"/>
  <c r="N378" i="3"/>
  <c r="J379" i="3" s="1"/>
  <c r="Q1097" i="3"/>
  <c r="P1097" i="3"/>
  <c r="M2297" i="3"/>
  <c r="K1218" i="3"/>
  <c r="L1218" i="3" s="1"/>
  <c r="S977" i="3"/>
  <c r="R977" i="3"/>
  <c r="S1817" i="3"/>
  <c r="R1817" i="3"/>
  <c r="O859" i="3"/>
  <c r="N739" i="3"/>
  <c r="J740" i="3" s="1"/>
  <c r="N1937" i="3"/>
  <c r="J1938" i="3" s="1"/>
  <c r="N1098" i="3" l="1"/>
  <c r="J1099" i="3" s="1"/>
  <c r="M1098" i="3"/>
  <c r="M498" i="3"/>
  <c r="O498" i="3" s="1"/>
  <c r="M2059" i="3"/>
  <c r="O2059" i="3" s="1"/>
  <c r="M1218" i="3"/>
  <c r="O139" i="3"/>
  <c r="N139" i="3"/>
  <c r="J140" i="3" s="1"/>
  <c r="M139" i="3"/>
  <c r="O1699" i="3"/>
  <c r="N1699" i="3"/>
  <c r="J1700" i="3" s="1"/>
  <c r="M1699" i="3"/>
  <c r="P38" i="1"/>
  <c r="O2538" i="3"/>
  <c r="M2538" i="3"/>
  <c r="K259" i="3"/>
  <c r="L259" i="3" s="1"/>
  <c r="Q1577" i="3"/>
  <c r="P1577" i="3"/>
  <c r="Q2178" i="3"/>
  <c r="P2178" i="3"/>
  <c r="N19" i="3"/>
  <c r="J20" i="3" s="1"/>
  <c r="Q618" i="3"/>
  <c r="P618" i="3"/>
  <c r="K2179" i="3"/>
  <c r="L2179" i="3"/>
  <c r="S1937" i="3"/>
  <c r="R1937" i="3"/>
  <c r="Q2297" i="3"/>
  <c r="P2297" i="3"/>
  <c r="O618" i="3"/>
  <c r="K1938" i="3"/>
  <c r="L1938" i="3"/>
  <c r="Q19" i="3"/>
  <c r="P19" i="3"/>
  <c r="L1578" i="3"/>
  <c r="K1578" i="3"/>
  <c r="O2297" i="3"/>
  <c r="S739" i="3"/>
  <c r="R739" i="3"/>
  <c r="S138" i="3"/>
  <c r="R138" i="3"/>
  <c r="K860" i="3"/>
  <c r="L860" i="3" s="1"/>
  <c r="S1458" i="3"/>
  <c r="R1458" i="3"/>
  <c r="N618" i="3"/>
  <c r="J619" i="3" s="1"/>
  <c r="K740" i="3"/>
  <c r="L740" i="3" s="1"/>
  <c r="S378" i="3"/>
  <c r="R378" i="3"/>
  <c r="Q978" i="3"/>
  <c r="P978" i="3"/>
  <c r="Q2420" i="3"/>
  <c r="P2420" i="3"/>
  <c r="Q1818" i="3"/>
  <c r="P1818" i="3"/>
  <c r="Q1338" i="3"/>
  <c r="P1338" i="3"/>
  <c r="S859" i="3"/>
  <c r="R859" i="3"/>
  <c r="N2297" i="3"/>
  <c r="J2298" i="3" s="1"/>
  <c r="S1097" i="3"/>
  <c r="R1097" i="3"/>
  <c r="S2058" i="3"/>
  <c r="R2058" i="3"/>
  <c r="Q258" i="3"/>
  <c r="P258" i="3"/>
  <c r="L1459" i="3"/>
  <c r="K1459" i="3"/>
  <c r="N978" i="3"/>
  <c r="J979" i="3" s="1"/>
  <c r="N2420" i="3"/>
  <c r="J2421" i="3" s="1"/>
  <c r="O1818" i="3"/>
  <c r="O1338" i="3"/>
  <c r="K379" i="3"/>
  <c r="L379" i="3"/>
  <c r="L1819" i="3"/>
  <c r="K1819" i="3"/>
  <c r="K1339" i="3"/>
  <c r="L1339" i="3"/>
  <c r="O259" i="3" l="1"/>
  <c r="M259" i="3"/>
  <c r="M740" i="3"/>
  <c r="O860" i="3"/>
  <c r="N860" i="3"/>
  <c r="J861" i="3" s="1"/>
  <c r="M860" i="3"/>
  <c r="S1338" i="3"/>
  <c r="R1338" i="3"/>
  <c r="S618" i="3"/>
  <c r="R618" i="3"/>
  <c r="Q2538" i="3"/>
  <c r="P2538" i="3"/>
  <c r="N2059" i="3"/>
  <c r="J2060" i="3" s="1"/>
  <c r="S2297" i="3"/>
  <c r="R2297" i="3"/>
  <c r="L20" i="3"/>
  <c r="K20" i="3"/>
  <c r="N2538" i="3"/>
  <c r="J2539" i="3" s="1"/>
  <c r="Q139" i="3"/>
  <c r="P139" i="3"/>
  <c r="K2421" i="3"/>
  <c r="L2421" i="3" s="1"/>
  <c r="K1700" i="3"/>
  <c r="L1700" i="3" s="1"/>
  <c r="S1818" i="3"/>
  <c r="R1818" i="3"/>
  <c r="K2298" i="3"/>
  <c r="L2298" i="3"/>
  <c r="S2178" i="3"/>
  <c r="R2178" i="3"/>
  <c r="T38" i="1"/>
  <c r="S38" i="1"/>
  <c r="N498" i="3"/>
  <c r="J499" i="3" s="1"/>
  <c r="K979" i="3"/>
  <c r="L979" i="3" s="1"/>
  <c r="S258" i="3"/>
  <c r="R258" i="3"/>
  <c r="S2420" i="3"/>
  <c r="R2420" i="3"/>
  <c r="K619" i="3"/>
  <c r="L619" i="3"/>
  <c r="S19" i="3"/>
  <c r="R19" i="3"/>
  <c r="Q38" i="1"/>
  <c r="M39" i="1" s="1"/>
  <c r="Q1218" i="3"/>
  <c r="P1218" i="3"/>
  <c r="M1339" i="3"/>
  <c r="O1339" i="3" s="1"/>
  <c r="K1099" i="3"/>
  <c r="L1099" i="3" s="1"/>
  <c r="N1459" i="3"/>
  <c r="J1460" i="3" s="1"/>
  <c r="O1459" i="3"/>
  <c r="M1459" i="3"/>
  <c r="M1578" i="3"/>
  <c r="N1578" i="3" s="1"/>
  <c r="J1579" i="3" s="1"/>
  <c r="K140" i="3"/>
  <c r="L140" i="3" s="1"/>
  <c r="O379" i="3"/>
  <c r="N379" i="3"/>
  <c r="J380" i="3" s="1"/>
  <c r="M379" i="3"/>
  <c r="M1938" i="3"/>
  <c r="M2179" i="3"/>
  <c r="S1577" i="3"/>
  <c r="R1577" i="3"/>
  <c r="R38" i="1"/>
  <c r="N1218" i="3"/>
  <c r="J1219" i="3" s="1"/>
  <c r="Q1098" i="3"/>
  <c r="P1098" i="3"/>
  <c r="Q2059" i="3"/>
  <c r="P2059" i="3"/>
  <c r="M1819" i="3"/>
  <c r="Q498" i="3"/>
  <c r="P498" i="3"/>
  <c r="S978" i="3"/>
  <c r="R978" i="3"/>
  <c r="Q1699" i="3"/>
  <c r="P1699" i="3"/>
  <c r="O1218" i="3"/>
  <c r="O1098" i="3"/>
  <c r="L1579" i="3" l="1"/>
  <c r="K1579" i="3"/>
  <c r="M1099" i="3"/>
  <c r="M979" i="3"/>
  <c r="N979" i="3" s="1"/>
  <c r="J980" i="3" s="1"/>
  <c r="O1700" i="3"/>
  <c r="M1700" i="3"/>
  <c r="M2421" i="3"/>
  <c r="N2421" i="3" s="1"/>
  <c r="J2422" i="3" s="1"/>
  <c r="M140" i="3"/>
  <c r="N140" i="3" s="1"/>
  <c r="J141" i="3" s="1"/>
  <c r="S2059" i="3"/>
  <c r="R2059" i="3"/>
  <c r="V38" i="1"/>
  <c r="U38" i="1"/>
  <c r="Q2179" i="3"/>
  <c r="P2179" i="3"/>
  <c r="M20" i="3"/>
  <c r="Q740" i="3"/>
  <c r="P740" i="3"/>
  <c r="S1218" i="3"/>
  <c r="R1218" i="3"/>
  <c r="Q1938" i="3"/>
  <c r="P1938" i="3"/>
  <c r="N740" i="3"/>
  <c r="J741" i="3" s="1"/>
  <c r="L380" i="3"/>
  <c r="K380" i="3"/>
  <c r="K1460" i="3"/>
  <c r="L1460" i="3"/>
  <c r="K2539" i="3"/>
  <c r="L2539" i="3" s="1"/>
  <c r="N1339" i="3"/>
  <c r="J1340" i="3" s="1"/>
  <c r="N619" i="3"/>
  <c r="J620" i="3" s="1"/>
  <c r="M619" i="3"/>
  <c r="O740" i="3"/>
  <c r="N39" i="1"/>
  <c r="O39" i="1" s="1"/>
  <c r="K861" i="3"/>
  <c r="L861" i="3" s="1"/>
  <c r="S1098" i="3"/>
  <c r="R1098" i="3"/>
  <c r="O2179" i="3"/>
  <c r="S498" i="3"/>
  <c r="R498" i="3"/>
  <c r="Q1578" i="3"/>
  <c r="P1578" i="3"/>
  <c r="Q1819" i="3"/>
  <c r="P1819" i="3"/>
  <c r="O1938" i="3"/>
  <c r="O1819" i="3"/>
  <c r="N1938" i="3"/>
  <c r="J1939" i="3" s="1"/>
  <c r="O1578" i="3"/>
  <c r="M2298" i="3"/>
  <c r="O2298" i="3" s="1"/>
  <c r="Q259" i="3"/>
  <c r="P259" i="3"/>
  <c r="S2538" i="3"/>
  <c r="R2538" i="3"/>
  <c r="N2179" i="3"/>
  <c r="J2180" i="3" s="1"/>
  <c r="K1219" i="3"/>
  <c r="L1219" i="3" s="1"/>
  <c r="Q1339" i="3"/>
  <c r="P1339" i="3"/>
  <c r="S1699" i="3"/>
  <c r="R1699" i="3"/>
  <c r="N1819" i="3"/>
  <c r="J1820" i="3" s="1"/>
  <c r="Q379" i="3"/>
  <c r="P379" i="3"/>
  <c r="Q1459" i="3"/>
  <c r="P1459" i="3"/>
  <c r="K499" i="3"/>
  <c r="L499" i="3" s="1"/>
  <c r="L2060" i="3"/>
  <c r="K2060" i="3"/>
  <c r="N259" i="3"/>
  <c r="J260" i="3" s="1"/>
  <c r="S139" i="3"/>
  <c r="R139" i="3"/>
  <c r="Q860" i="3"/>
  <c r="P860" i="3"/>
  <c r="M499" i="3" l="1"/>
  <c r="K141" i="3"/>
  <c r="L141" i="3" s="1"/>
  <c r="L980" i="3"/>
  <c r="K980" i="3"/>
  <c r="Q39" i="1"/>
  <c r="M40" i="1" s="1"/>
  <c r="P39" i="1"/>
  <c r="K2422" i="3"/>
  <c r="L2422" i="3"/>
  <c r="O1219" i="3"/>
  <c r="N1219" i="3"/>
  <c r="J1220" i="3" s="1"/>
  <c r="M1219" i="3"/>
  <c r="N2539" i="3"/>
  <c r="J2540" i="3" s="1"/>
  <c r="M2539" i="3"/>
  <c r="M861" i="3"/>
  <c r="M1579" i="3"/>
  <c r="O1579" i="3" s="1"/>
  <c r="S1459" i="3"/>
  <c r="R1459" i="3"/>
  <c r="S1339" i="3"/>
  <c r="R1339" i="3"/>
  <c r="S259" i="3"/>
  <c r="R259" i="3"/>
  <c r="Q619" i="3"/>
  <c r="P619" i="3"/>
  <c r="O140" i="3"/>
  <c r="S1819" i="3"/>
  <c r="R1819" i="3"/>
  <c r="S379" i="3"/>
  <c r="R379" i="3"/>
  <c r="K741" i="3"/>
  <c r="L741" i="3" s="1"/>
  <c r="Q1099" i="3"/>
  <c r="P1099" i="3"/>
  <c r="S2179" i="3"/>
  <c r="R2179" i="3"/>
  <c r="L620" i="3"/>
  <c r="K620" i="3"/>
  <c r="M380" i="3"/>
  <c r="O380" i="3" s="1"/>
  <c r="Q2421" i="3"/>
  <c r="P2421" i="3"/>
  <c r="O619" i="3"/>
  <c r="Q20" i="3"/>
  <c r="P20" i="3"/>
  <c r="K1820" i="3"/>
  <c r="L1820" i="3" s="1"/>
  <c r="K2180" i="3"/>
  <c r="L2180" i="3" s="1"/>
  <c r="S1578" i="3"/>
  <c r="R1578" i="3"/>
  <c r="K1340" i="3"/>
  <c r="L1340" i="3" s="1"/>
  <c r="N20" i="3"/>
  <c r="J21" i="3" s="1"/>
  <c r="O2421" i="3"/>
  <c r="N1099" i="3"/>
  <c r="J1100" i="3" s="1"/>
  <c r="S860" i="3"/>
  <c r="R860" i="3"/>
  <c r="M1460" i="3"/>
  <c r="Q979" i="3"/>
  <c r="P979" i="3"/>
  <c r="Q2298" i="3"/>
  <c r="P2298" i="3"/>
  <c r="S740" i="3"/>
  <c r="R740" i="3"/>
  <c r="O979" i="3"/>
  <c r="M2060" i="3"/>
  <c r="S1938" i="3"/>
  <c r="R1938" i="3"/>
  <c r="O20" i="3"/>
  <c r="Q1700" i="3"/>
  <c r="P1700" i="3"/>
  <c r="O1099" i="3"/>
  <c r="Q140" i="3"/>
  <c r="P140" i="3"/>
  <c r="L260" i="3"/>
  <c r="K260" i="3"/>
  <c r="N2298" i="3"/>
  <c r="J2299" i="3" s="1"/>
  <c r="K1939" i="3"/>
  <c r="L1939" i="3"/>
  <c r="N1700" i="3"/>
  <c r="J1701" i="3" s="1"/>
  <c r="M1340" i="3" l="1"/>
  <c r="M141" i="3"/>
  <c r="O741" i="3"/>
  <c r="N741" i="3"/>
  <c r="J742" i="3" s="1"/>
  <c r="M741" i="3"/>
  <c r="M2180" i="3"/>
  <c r="M1820" i="3"/>
  <c r="Q2060" i="3"/>
  <c r="P2060" i="3"/>
  <c r="K2540" i="3"/>
  <c r="L2540" i="3"/>
  <c r="K1100" i="3"/>
  <c r="L1100" i="3" s="1"/>
  <c r="S2421" i="3"/>
  <c r="R2421" i="3"/>
  <c r="N1579" i="3"/>
  <c r="J1580" i="3" s="1"/>
  <c r="Q1219" i="3"/>
  <c r="P1219" i="3"/>
  <c r="K1220" i="3"/>
  <c r="L1220" i="3" s="1"/>
  <c r="M980" i="3"/>
  <c r="N980" i="3" s="1"/>
  <c r="J981" i="3" s="1"/>
  <c r="N2060" i="3"/>
  <c r="J2061" i="3" s="1"/>
  <c r="Q1460" i="3"/>
  <c r="P1460" i="3"/>
  <c r="N380" i="3"/>
  <c r="J381" i="3" s="1"/>
  <c r="Q861" i="3"/>
  <c r="P861" i="3"/>
  <c r="S140" i="3"/>
  <c r="R140" i="3"/>
  <c r="Q1579" i="3"/>
  <c r="P1579" i="3"/>
  <c r="O1939" i="3"/>
  <c r="M1939" i="3"/>
  <c r="K21" i="3"/>
  <c r="L21" i="3" s="1"/>
  <c r="L2299" i="3"/>
  <c r="K2299" i="3"/>
  <c r="N1460" i="3"/>
  <c r="J1461" i="3" s="1"/>
  <c r="N861" i="3"/>
  <c r="J862" i="3" s="1"/>
  <c r="O2422" i="3"/>
  <c r="N2422" i="3"/>
  <c r="J2423" i="3" s="1"/>
  <c r="M2422" i="3"/>
  <c r="S2298" i="3"/>
  <c r="R2298" i="3"/>
  <c r="K1701" i="3"/>
  <c r="L1701" i="3" s="1"/>
  <c r="S979" i="3"/>
  <c r="R979" i="3"/>
  <c r="S1700" i="3"/>
  <c r="R1700" i="3"/>
  <c r="S1099" i="3"/>
  <c r="R1099" i="3"/>
  <c r="O1460" i="3"/>
  <c r="O861" i="3"/>
  <c r="Q499" i="3"/>
  <c r="P499" i="3"/>
  <c r="N40" i="1"/>
  <c r="O40" i="1" s="1"/>
  <c r="O2060" i="3"/>
  <c r="Q380" i="3"/>
  <c r="P380" i="3"/>
  <c r="O260" i="3"/>
  <c r="N260" i="3"/>
  <c r="J261" i="3" s="1"/>
  <c r="M260" i="3"/>
  <c r="S20" i="3"/>
  <c r="R20" i="3"/>
  <c r="M620" i="3"/>
  <c r="S619" i="3"/>
  <c r="R619" i="3"/>
  <c r="Q2539" i="3"/>
  <c r="P2539" i="3"/>
  <c r="T39" i="1"/>
  <c r="S39" i="1"/>
  <c r="N499" i="3"/>
  <c r="J500" i="3" s="1"/>
  <c r="O2539" i="3"/>
  <c r="R39" i="1"/>
  <c r="O499" i="3"/>
  <c r="P40" i="1" l="1"/>
  <c r="R40" i="1"/>
  <c r="K981" i="3"/>
  <c r="L981" i="3" s="1"/>
  <c r="M1220" i="3"/>
  <c r="O1220" i="3" s="1"/>
  <c r="M21" i="3"/>
  <c r="M1100" i="3"/>
  <c r="M1701" i="3"/>
  <c r="O1701" i="3" s="1"/>
  <c r="S499" i="3"/>
  <c r="R499" i="3"/>
  <c r="S2060" i="3"/>
  <c r="R2060" i="3"/>
  <c r="Q620" i="3"/>
  <c r="P620" i="3"/>
  <c r="Q2422" i="3"/>
  <c r="P2422" i="3"/>
  <c r="Q1820" i="3"/>
  <c r="P1820" i="3"/>
  <c r="Q980" i="3"/>
  <c r="P980" i="3"/>
  <c r="L2423" i="3"/>
  <c r="K2423" i="3"/>
  <c r="Q1939" i="3"/>
  <c r="P1939" i="3"/>
  <c r="O980" i="3"/>
  <c r="N1820" i="3"/>
  <c r="J1821" i="3" s="1"/>
  <c r="Q141" i="3"/>
  <c r="P141" i="3"/>
  <c r="S380" i="3"/>
  <c r="R380" i="3"/>
  <c r="S861" i="3"/>
  <c r="R861" i="3"/>
  <c r="O1820" i="3"/>
  <c r="N141" i="3"/>
  <c r="J142" i="3" s="1"/>
  <c r="L500" i="3"/>
  <c r="K500" i="3"/>
  <c r="K862" i="3"/>
  <c r="L862" i="3" s="1"/>
  <c r="N1939" i="3"/>
  <c r="J1940" i="3" s="1"/>
  <c r="K381" i="3"/>
  <c r="L381" i="3" s="1"/>
  <c r="Q2180" i="3"/>
  <c r="P2180" i="3"/>
  <c r="O141" i="3"/>
  <c r="K742" i="3"/>
  <c r="L742" i="3" s="1"/>
  <c r="O620" i="3"/>
  <c r="S2539" i="3"/>
  <c r="R2539" i="3"/>
  <c r="L1461" i="3"/>
  <c r="K1461" i="3"/>
  <c r="M2540" i="3"/>
  <c r="O2180" i="3"/>
  <c r="Q1340" i="3"/>
  <c r="P1340" i="3"/>
  <c r="L261" i="3"/>
  <c r="K261" i="3"/>
  <c r="V39" i="1"/>
  <c r="U39" i="1"/>
  <c r="S1579" i="3"/>
  <c r="R1579" i="3"/>
  <c r="S1460" i="3"/>
  <c r="R1460" i="3"/>
  <c r="S1219" i="3"/>
  <c r="R1219" i="3"/>
  <c r="N2180" i="3"/>
  <c r="J2181" i="3" s="1"/>
  <c r="N1340" i="3"/>
  <c r="J1341" i="3" s="1"/>
  <c r="N620" i="3"/>
  <c r="J621" i="3" s="1"/>
  <c r="Q260" i="3"/>
  <c r="P260" i="3"/>
  <c r="M2299" i="3"/>
  <c r="K2061" i="3"/>
  <c r="L2061" i="3"/>
  <c r="K1580" i="3"/>
  <c r="L1580" i="3" s="1"/>
  <c r="Q741" i="3"/>
  <c r="P741" i="3"/>
  <c r="O1340" i="3"/>
  <c r="M381" i="3" l="1"/>
  <c r="M862" i="3"/>
  <c r="O981" i="3"/>
  <c r="N981" i="3"/>
  <c r="J982" i="3" s="1"/>
  <c r="M981" i="3"/>
  <c r="M1580" i="3"/>
  <c r="M742" i="3"/>
  <c r="O742" i="3" s="1"/>
  <c r="S620" i="3"/>
  <c r="R620" i="3"/>
  <c r="K2181" i="3"/>
  <c r="L2181" i="3"/>
  <c r="S2180" i="3"/>
  <c r="R2180" i="3"/>
  <c r="L142" i="3"/>
  <c r="K142" i="3"/>
  <c r="N1220" i="3"/>
  <c r="J1221" i="3" s="1"/>
  <c r="K1341" i="3"/>
  <c r="L1341" i="3" s="1"/>
  <c r="Q1701" i="3"/>
  <c r="P1701" i="3"/>
  <c r="S141" i="3"/>
  <c r="R141" i="3"/>
  <c r="S980" i="3"/>
  <c r="R980" i="3"/>
  <c r="Q1100" i="3"/>
  <c r="P1100" i="3"/>
  <c r="O2061" i="3"/>
  <c r="N2061" i="3"/>
  <c r="J2062" i="3" s="1"/>
  <c r="M2061" i="3"/>
  <c r="M500" i="3"/>
  <c r="Q1220" i="3"/>
  <c r="P1220" i="3"/>
  <c r="Q2299" i="3"/>
  <c r="P2299" i="3"/>
  <c r="K1821" i="3"/>
  <c r="L1821" i="3" s="1"/>
  <c r="O1100" i="3"/>
  <c r="M261" i="3"/>
  <c r="N261" i="3" s="1"/>
  <c r="J262" i="3" s="1"/>
  <c r="N2423" i="3"/>
  <c r="J2424" i="3" s="1"/>
  <c r="O2423" i="3"/>
  <c r="M2423" i="3"/>
  <c r="S1340" i="3"/>
  <c r="R1340" i="3"/>
  <c r="N2299" i="3"/>
  <c r="J2300" i="3" s="1"/>
  <c r="Q2540" i="3"/>
  <c r="P2540" i="3"/>
  <c r="K1940" i="3"/>
  <c r="L1940" i="3" s="1"/>
  <c r="S1820" i="3"/>
  <c r="R1820" i="3"/>
  <c r="N1100" i="3"/>
  <c r="J1101" i="3" s="1"/>
  <c r="N2540" i="3"/>
  <c r="J2541" i="3" s="1"/>
  <c r="Q21" i="3"/>
  <c r="P21" i="3"/>
  <c r="S260" i="3"/>
  <c r="R260" i="3"/>
  <c r="O2540" i="3"/>
  <c r="S1939" i="3"/>
  <c r="R1939" i="3"/>
  <c r="S2422" i="3"/>
  <c r="R2422" i="3"/>
  <c r="N21" i="3"/>
  <c r="J22" i="3" s="1"/>
  <c r="T40" i="1"/>
  <c r="S40" i="1"/>
  <c r="N1461" i="3"/>
  <c r="J1462" i="3" s="1"/>
  <c r="O1461" i="3"/>
  <c r="M1461" i="3"/>
  <c r="O2299" i="3"/>
  <c r="S741" i="3"/>
  <c r="R741" i="3"/>
  <c r="K621" i="3"/>
  <c r="L621" i="3"/>
  <c r="N1701" i="3"/>
  <c r="J1702" i="3" s="1"/>
  <c r="O21" i="3"/>
  <c r="Q40" i="1"/>
  <c r="M41" i="1" s="1"/>
  <c r="M1940" i="3" l="1"/>
  <c r="N1821" i="3"/>
  <c r="J1822" i="3" s="1"/>
  <c r="M1821" i="3"/>
  <c r="K262" i="3"/>
  <c r="L262" i="3" s="1"/>
  <c r="M1341" i="3"/>
  <c r="N742" i="3"/>
  <c r="J743" i="3" s="1"/>
  <c r="Q862" i="3"/>
  <c r="P862" i="3"/>
  <c r="K1462" i="3"/>
  <c r="L1462" i="3"/>
  <c r="S1220" i="3"/>
  <c r="R1220" i="3"/>
  <c r="S1100" i="3"/>
  <c r="R1100" i="3"/>
  <c r="S1701" i="3"/>
  <c r="R1701" i="3"/>
  <c r="N862" i="3"/>
  <c r="J863" i="3" s="1"/>
  <c r="O261" i="3"/>
  <c r="Q500" i="3"/>
  <c r="P500" i="3"/>
  <c r="M2181" i="3"/>
  <c r="O2181" i="3" s="1"/>
  <c r="Q1580" i="3"/>
  <c r="P1580" i="3"/>
  <c r="O862" i="3"/>
  <c r="K982" i="3"/>
  <c r="L982" i="3" s="1"/>
  <c r="S2299" i="3"/>
  <c r="R2299" i="3"/>
  <c r="Q742" i="3"/>
  <c r="P742" i="3"/>
  <c r="K2541" i="3"/>
  <c r="L2541" i="3" s="1"/>
  <c r="K2300" i="3"/>
  <c r="L2300" i="3" s="1"/>
  <c r="O500" i="3"/>
  <c r="O1580" i="3"/>
  <c r="Q381" i="3"/>
  <c r="P381" i="3"/>
  <c r="M142" i="3"/>
  <c r="O142" i="3" s="1"/>
  <c r="M621" i="3"/>
  <c r="O621" i="3" s="1"/>
  <c r="K2424" i="3"/>
  <c r="L2424" i="3" s="1"/>
  <c r="Q261" i="3"/>
  <c r="P261" i="3"/>
  <c r="L22" i="3"/>
  <c r="K22" i="3"/>
  <c r="N500" i="3"/>
  <c r="J501" i="3" s="1"/>
  <c r="L1221" i="3"/>
  <c r="K1221" i="3"/>
  <c r="N1580" i="3"/>
  <c r="J1581" i="3" s="1"/>
  <c r="N381" i="3"/>
  <c r="J382" i="3" s="1"/>
  <c r="K1702" i="3"/>
  <c r="L1702" i="3" s="1"/>
  <c r="K2062" i="3"/>
  <c r="L2062" i="3" s="1"/>
  <c r="S21" i="3"/>
  <c r="R21" i="3"/>
  <c r="S2540" i="3"/>
  <c r="R2540" i="3"/>
  <c r="K1101" i="3"/>
  <c r="L1101" i="3" s="1"/>
  <c r="V40" i="1"/>
  <c r="U40" i="1"/>
  <c r="N41" i="1"/>
  <c r="O41" i="1" s="1"/>
  <c r="Q1461" i="3"/>
  <c r="P1461" i="3"/>
  <c r="Q2423" i="3"/>
  <c r="P2423" i="3"/>
  <c r="Q2061" i="3"/>
  <c r="P2061" i="3"/>
  <c r="Q981" i="3"/>
  <c r="P981" i="3"/>
  <c r="O381" i="3"/>
  <c r="M1702" i="3" l="1"/>
  <c r="M2300" i="3"/>
  <c r="O2424" i="3"/>
  <c r="N2424" i="3"/>
  <c r="J2425" i="3" s="1"/>
  <c r="M2424" i="3"/>
  <c r="M262" i="3"/>
  <c r="M1101" i="3"/>
  <c r="O2541" i="3"/>
  <c r="M2541" i="3"/>
  <c r="P41" i="1"/>
  <c r="M2062" i="3"/>
  <c r="O2062" i="3" s="1"/>
  <c r="M982" i="3"/>
  <c r="S2423" i="3"/>
  <c r="R2423" i="3"/>
  <c r="O1221" i="3"/>
  <c r="N1221" i="3"/>
  <c r="J1222" i="3" s="1"/>
  <c r="M1221" i="3"/>
  <c r="M1462" i="3"/>
  <c r="K501" i="3"/>
  <c r="L501" i="3" s="1"/>
  <c r="N621" i="3"/>
  <c r="J622" i="3" s="1"/>
  <c r="N2181" i="3"/>
  <c r="J2182" i="3" s="1"/>
  <c r="S1461" i="3"/>
  <c r="R1461" i="3"/>
  <c r="Q1821" i="3"/>
  <c r="P1821" i="3"/>
  <c r="M22" i="3"/>
  <c r="O22" i="3" s="1"/>
  <c r="K1822" i="3"/>
  <c r="L1822" i="3" s="1"/>
  <c r="Q621" i="3"/>
  <c r="P621" i="3"/>
  <c r="Q2181" i="3"/>
  <c r="P2181" i="3"/>
  <c r="S981" i="3"/>
  <c r="R981" i="3"/>
  <c r="N142" i="3"/>
  <c r="J143" i="3" s="1"/>
  <c r="S500" i="3"/>
  <c r="R500" i="3"/>
  <c r="K743" i="3"/>
  <c r="L743" i="3" s="1"/>
  <c r="O1821" i="3"/>
  <c r="K382" i="3"/>
  <c r="L382" i="3" s="1"/>
  <c r="S261" i="3"/>
  <c r="R261" i="3"/>
  <c r="Q1341" i="3"/>
  <c r="P1341" i="3"/>
  <c r="Q1940" i="3"/>
  <c r="P1940" i="3"/>
  <c r="Q142" i="3"/>
  <c r="P142" i="3"/>
  <c r="S862" i="3"/>
  <c r="R862" i="3"/>
  <c r="S2061" i="3"/>
  <c r="R2061" i="3"/>
  <c r="K1581" i="3"/>
  <c r="L1581" i="3"/>
  <c r="K863" i="3"/>
  <c r="L863" i="3" s="1"/>
  <c r="N1341" i="3"/>
  <c r="J1342" i="3" s="1"/>
  <c r="N1940" i="3"/>
  <c r="J1941" i="3" s="1"/>
  <c r="S381" i="3"/>
  <c r="R381" i="3"/>
  <c r="S742" i="3"/>
  <c r="R742" i="3"/>
  <c r="S1580" i="3"/>
  <c r="R1580" i="3"/>
  <c r="O1341" i="3"/>
  <c r="O1940" i="3"/>
  <c r="M743" i="3" l="1"/>
  <c r="M382" i="3"/>
  <c r="O863" i="3"/>
  <c r="N863" i="3"/>
  <c r="J864" i="3" s="1"/>
  <c r="M863" i="3"/>
  <c r="M1822" i="3"/>
  <c r="M501" i="3"/>
  <c r="L2182" i="3"/>
  <c r="K2182" i="3"/>
  <c r="K1941" i="3"/>
  <c r="L1941" i="3" s="1"/>
  <c r="N22" i="3"/>
  <c r="J23" i="3" s="1"/>
  <c r="K622" i="3"/>
  <c r="L622" i="3"/>
  <c r="N2062" i="3"/>
  <c r="J2063" i="3" s="1"/>
  <c r="Q1101" i="3"/>
  <c r="P1101" i="3"/>
  <c r="K1222" i="3"/>
  <c r="L1222" i="3" s="1"/>
  <c r="S1341" i="3"/>
  <c r="R1341" i="3"/>
  <c r="N1101" i="3"/>
  <c r="J1102" i="3" s="1"/>
  <c r="Q2300" i="3"/>
  <c r="P2300" i="3"/>
  <c r="K2425" i="3"/>
  <c r="L2425" i="3" s="1"/>
  <c r="T41" i="1"/>
  <c r="S41" i="1"/>
  <c r="O1101" i="3"/>
  <c r="O2300" i="3"/>
  <c r="S1940" i="3"/>
  <c r="R1940" i="3"/>
  <c r="Q22" i="3"/>
  <c r="P22" i="3"/>
  <c r="S1821" i="3"/>
  <c r="R1821" i="3"/>
  <c r="Q1462" i="3"/>
  <c r="P1462" i="3"/>
  <c r="Q41" i="1"/>
  <c r="M42" i="1" s="1"/>
  <c r="Q262" i="3"/>
  <c r="P262" i="3"/>
  <c r="N2300" i="3"/>
  <c r="J2301" i="3" s="1"/>
  <c r="S2181" i="3"/>
  <c r="R2181" i="3"/>
  <c r="M1581" i="3"/>
  <c r="S621" i="3"/>
  <c r="R621" i="3"/>
  <c r="N1462" i="3"/>
  <c r="J1463" i="3" s="1"/>
  <c r="Q982" i="3"/>
  <c r="P982" i="3"/>
  <c r="R41" i="1"/>
  <c r="N262" i="3"/>
  <c r="J263" i="3" s="1"/>
  <c r="Q1702" i="3"/>
  <c r="P1702" i="3"/>
  <c r="Q2062" i="3"/>
  <c r="P2062" i="3"/>
  <c r="S142" i="3"/>
  <c r="R142" i="3"/>
  <c r="K143" i="3"/>
  <c r="L143" i="3" s="1"/>
  <c r="O1462" i="3"/>
  <c r="O982" i="3"/>
  <c r="Q2541" i="3"/>
  <c r="P2541" i="3"/>
  <c r="O262" i="3"/>
  <c r="N1702" i="3"/>
  <c r="J1703" i="3" s="1"/>
  <c r="K1342" i="3"/>
  <c r="L1342" i="3" s="1"/>
  <c r="Q1221" i="3"/>
  <c r="P1221" i="3"/>
  <c r="N982" i="3"/>
  <c r="J983" i="3" s="1"/>
  <c r="N2541" i="3"/>
  <c r="J2542" i="3" s="1"/>
  <c r="Q2424" i="3"/>
  <c r="P2424" i="3"/>
  <c r="O1702" i="3"/>
  <c r="M143" i="3" l="1"/>
  <c r="M1342" i="3"/>
  <c r="N2425" i="3"/>
  <c r="J2426" i="3" s="1"/>
  <c r="O2425" i="3"/>
  <c r="M2425" i="3"/>
  <c r="M1941" i="3"/>
  <c r="O1222" i="3"/>
  <c r="M1222" i="3"/>
  <c r="S2300" i="3"/>
  <c r="R2300" i="3"/>
  <c r="K1102" i="3"/>
  <c r="L1102" i="3" s="1"/>
  <c r="K2063" i="3"/>
  <c r="L2063" i="3" s="1"/>
  <c r="Q501" i="3"/>
  <c r="P501" i="3"/>
  <c r="N622" i="3"/>
  <c r="J623" i="3" s="1"/>
  <c r="M622" i="3"/>
  <c r="N501" i="3"/>
  <c r="J502" i="3" s="1"/>
  <c r="Q382" i="3"/>
  <c r="P382" i="3"/>
  <c r="S2541" i="3"/>
  <c r="R2541" i="3"/>
  <c r="L864" i="3"/>
  <c r="K864" i="3"/>
  <c r="O501" i="3"/>
  <c r="N382" i="3"/>
  <c r="J383" i="3" s="1"/>
  <c r="K1463" i="3"/>
  <c r="L1463" i="3" s="1"/>
  <c r="S1101" i="3"/>
  <c r="R1101" i="3"/>
  <c r="S262" i="3"/>
  <c r="R262" i="3"/>
  <c r="V41" i="1"/>
  <c r="U41" i="1"/>
  <c r="L23" i="3"/>
  <c r="K23" i="3"/>
  <c r="Q1822" i="3"/>
  <c r="P1822" i="3"/>
  <c r="O382" i="3"/>
  <c r="S1221" i="3"/>
  <c r="R1221" i="3"/>
  <c r="L263" i="3"/>
  <c r="K263" i="3"/>
  <c r="N42" i="1"/>
  <c r="O42" i="1" s="1"/>
  <c r="N1822" i="3"/>
  <c r="J1823" i="3" s="1"/>
  <c r="Q743" i="3"/>
  <c r="P743" i="3"/>
  <c r="K983" i="3"/>
  <c r="L983" i="3" s="1"/>
  <c r="S2062" i="3"/>
  <c r="R2062" i="3"/>
  <c r="S1702" i="3"/>
  <c r="R1702" i="3"/>
  <c r="Q1581" i="3"/>
  <c r="P1581" i="3"/>
  <c r="O1581" i="3"/>
  <c r="O1822" i="3"/>
  <c r="O743" i="3"/>
  <c r="M2182" i="3"/>
  <c r="O2182" i="3" s="1"/>
  <c r="K2301" i="3"/>
  <c r="L2301" i="3" s="1"/>
  <c r="S22" i="3"/>
  <c r="R22" i="3"/>
  <c r="K1703" i="3"/>
  <c r="L1703" i="3" s="1"/>
  <c r="N1581" i="3"/>
  <c r="J1582" i="3" s="1"/>
  <c r="S2424" i="3"/>
  <c r="R2424" i="3"/>
  <c r="K2542" i="3"/>
  <c r="L2542" i="3" s="1"/>
  <c r="S982" i="3"/>
  <c r="R982" i="3"/>
  <c r="S1462" i="3"/>
  <c r="R1462" i="3"/>
  <c r="Q863" i="3"/>
  <c r="P863" i="3"/>
  <c r="N743" i="3"/>
  <c r="J744" i="3" s="1"/>
  <c r="M2542" i="3" l="1"/>
  <c r="M1102" i="3"/>
  <c r="N983" i="3"/>
  <c r="J984" i="3" s="1"/>
  <c r="O983" i="3"/>
  <c r="M983" i="3"/>
  <c r="M2063" i="3"/>
  <c r="M1463" i="3"/>
  <c r="N1703" i="3"/>
  <c r="J1704" i="3" s="1"/>
  <c r="M1703" i="3"/>
  <c r="Q42" i="1"/>
  <c r="M43" i="1" s="1"/>
  <c r="P42" i="1"/>
  <c r="M2301" i="3"/>
  <c r="O2301" i="3" s="1"/>
  <c r="S743" i="3"/>
  <c r="R743" i="3"/>
  <c r="S501" i="3"/>
  <c r="R501" i="3"/>
  <c r="Q1222" i="3"/>
  <c r="P1222" i="3"/>
  <c r="K2426" i="3"/>
  <c r="L2426" i="3" s="1"/>
  <c r="K1823" i="3"/>
  <c r="L1823" i="3" s="1"/>
  <c r="Q1342" i="3"/>
  <c r="P1342" i="3"/>
  <c r="N2182" i="3"/>
  <c r="J2183" i="3" s="1"/>
  <c r="L383" i="3"/>
  <c r="K383" i="3"/>
  <c r="S382" i="3"/>
  <c r="R382" i="3"/>
  <c r="N1222" i="3"/>
  <c r="J1223" i="3" s="1"/>
  <c r="N1342" i="3"/>
  <c r="J1343" i="3" s="1"/>
  <c r="S1822" i="3"/>
  <c r="R1822" i="3"/>
  <c r="K502" i="3"/>
  <c r="L502" i="3" s="1"/>
  <c r="Q1941" i="3"/>
  <c r="P1941" i="3"/>
  <c r="O1342" i="3"/>
  <c r="K744" i="3"/>
  <c r="L744" i="3"/>
  <c r="S863" i="3"/>
  <c r="R863" i="3"/>
  <c r="Q622" i="3"/>
  <c r="P622" i="3"/>
  <c r="N1941" i="3"/>
  <c r="J1942" i="3" s="1"/>
  <c r="Q143" i="3"/>
  <c r="P143" i="3"/>
  <c r="Q2182" i="3"/>
  <c r="P2182" i="3"/>
  <c r="M263" i="3"/>
  <c r="O263" i="3" s="1"/>
  <c r="M23" i="3"/>
  <c r="N23" i="3" s="1"/>
  <c r="J24" i="3" s="1"/>
  <c r="O864" i="3"/>
  <c r="M864" i="3"/>
  <c r="K623" i="3"/>
  <c r="L623" i="3" s="1"/>
  <c r="O1941" i="3"/>
  <c r="N143" i="3"/>
  <c r="J144" i="3" s="1"/>
  <c r="L1582" i="3"/>
  <c r="K1582" i="3"/>
  <c r="S1581" i="3"/>
  <c r="R1581" i="3"/>
  <c r="O622" i="3"/>
  <c r="Q2425" i="3"/>
  <c r="P2425" i="3"/>
  <c r="O143" i="3"/>
  <c r="M502" i="3" l="1"/>
  <c r="K24" i="3"/>
  <c r="L24" i="3" s="1"/>
  <c r="M1823" i="3"/>
  <c r="N1823" i="3" s="1"/>
  <c r="J1824" i="3" s="1"/>
  <c r="M623" i="3"/>
  <c r="M2426" i="3"/>
  <c r="K2183" i="3"/>
  <c r="L2183" i="3" s="1"/>
  <c r="S1222" i="3"/>
  <c r="R1222" i="3"/>
  <c r="N2301" i="3"/>
  <c r="J2302" i="3" s="1"/>
  <c r="Q1463" i="3"/>
  <c r="P1463" i="3"/>
  <c r="K984" i="3"/>
  <c r="L984" i="3"/>
  <c r="M744" i="3"/>
  <c r="K144" i="3"/>
  <c r="L144" i="3" s="1"/>
  <c r="K1942" i="3"/>
  <c r="L1942" i="3" s="1"/>
  <c r="L1343" i="3"/>
  <c r="K1343" i="3"/>
  <c r="N1463" i="3"/>
  <c r="J1464" i="3" s="1"/>
  <c r="Q1102" i="3"/>
  <c r="P1102" i="3"/>
  <c r="M383" i="3"/>
  <c r="K1223" i="3"/>
  <c r="L1223" i="3" s="1"/>
  <c r="S1342" i="3"/>
  <c r="R1342" i="3"/>
  <c r="T42" i="1"/>
  <c r="S42" i="1"/>
  <c r="O1463" i="3"/>
  <c r="O1102" i="3"/>
  <c r="K1704" i="3"/>
  <c r="L1704" i="3"/>
  <c r="N263" i="3"/>
  <c r="J264" i="3" s="1"/>
  <c r="N43" i="1"/>
  <c r="O43" i="1" s="1"/>
  <c r="Q2063" i="3"/>
  <c r="P2063" i="3"/>
  <c r="N1102" i="3"/>
  <c r="J1103" i="3" s="1"/>
  <c r="Q23" i="3"/>
  <c r="P23" i="3"/>
  <c r="Q2301" i="3"/>
  <c r="P2301" i="3"/>
  <c r="S143" i="3"/>
  <c r="R143" i="3"/>
  <c r="S1941" i="3"/>
  <c r="R1941" i="3"/>
  <c r="R42" i="1"/>
  <c r="N2063" i="3"/>
  <c r="J2064" i="3" s="1"/>
  <c r="Q2542" i="3"/>
  <c r="P2542" i="3"/>
  <c r="S2425" i="3"/>
  <c r="R2425" i="3"/>
  <c r="O23" i="3"/>
  <c r="Q864" i="3"/>
  <c r="P864" i="3"/>
  <c r="N864" i="3"/>
  <c r="J865" i="3" s="1"/>
  <c r="Q1703" i="3"/>
  <c r="P1703" i="3"/>
  <c r="O2063" i="3"/>
  <c r="N2542" i="3"/>
  <c r="J2543" i="3" s="1"/>
  <c r="M1582" i="3"/>
  <c r="Q263" i="3"/>
  <c r="P263" i="3"/>
  <c r="S622" i="3"/>
  <c r="R622" i="3"/>
  <c r="S2182" i="3"/>
  <c r="R2182" i="3"/>
  <c r="O1703" i="3"/>
  <c r="Q983" i="3"/>
  <c r="P983" i="3"/>
  <c r="O2542" i="3"/>
  <c r="M144" i="3" l="1"/>
  <c r="K1824" i="3"/>
  <c r="L1824" i="3" s="1"/>
  <c r="M1223" i="3"/>
  <c r="O1223" i="3" s="1"/>
  <c r="M24" i="3"/>
  <c r="M1942" i="3"/>
  <c r="O2183" i="3"/>
  <c r="N2183" i="3"/>
  <c r="J2184" i="3" s="1"/>
  <c r="M2183" i="3"/>
  <c r="P43" i="1"/>
  <c r="Q383" i="3"/>
  <c r="P383" i="3"/>
  <c r="O1823" i="3"/>
  <c r="O984" i="3"/>
  <c r="M984" i="3"/>
  <c r="S2063" i="3"/>
  <c r="R2063" i="3"/>
  <c r="N383" i="3"/>
  <c r="J384" i="3" s="1"/>
  <c r="Q2426" i="3"/>
  <c r="P2426" i="3"/>
  <c r="V42" i="1"/>
  <c r="U42" i="1"/>
  <c r="O383" i="3"/>
  <c r="S1463" i="3"/>
  <c r="R1463" i="3"/>
  <c r="N2426" i="3"/>
  <c r="J2427" i="3" s="1"/>
  <c r="S983" i="3"/>
  <c r="R983" i="3"/>
  <c r="S2542" i="3"/>
  <c r="R2542" i="3"/>
  <c r="K2302" i="3"/>
  <c r="L2302" i="3" s="1"/>
  <c r="O2426" i="3"/>
  <c r="M1343" i="3"/>
  <c r="O1343" i="3" s="1"/>
  <c r="S1703" i="3"/>
  <c r="R1703" i="3"/>
  <c r="Q1582" i="3"/>
  <c r="P1582" i="3"/>
  <c r="S864" i="3"/>
  <c r="R864" i="3"/>
  <c r="S2301" i="3"/>
  <c r="R2301" i="3"/>
  <c r="L264" i="3"/>
  <c r="K264" i="3"/>
  <c r="S1102" i="3"/>
  <c r="R1102" i="3"/>
  <c r="Q744" i="3"/>
  <c r="P744" i="3"/>
  <c r="Q623" i="3"/>
  <c r="P623" i="3"/>
  <c r="Q502" i="3"/>
  <c r="P502" i="3"/>
  <c r="K865" i="3"/>
  <c r="L865" i="3" s="1"/>
  <c r="N1582" i="3"/>
  <c r="J1583" i="3" s="1"/>
  <c r="M1704" i="3"/>
  <c r="K1464" i="3"/>
  <c r="L1464" i="3" s="1"/>
  <c r="N744" i="3"/>
  <c r="J745" i="3" s="1"/>
  <c r="N623" i="3"/>
  <c r="J624" i="3" s="1"/>
  <c r="N502" i="3"/>
  <c r="J503" i="3" s="1"/>
  <c r="K1103" i="3"/>
  <c r="L1103" i="3" s="1"/>
  <c r="Q1823" i="3"/>
  <c r="P1823" i="3"/>
  <c r="S263" i="3"/>
  <c r="R263" i="3"/>
  <c r="K2064" i="3"/>
  <c r="L2064" i="3"/>
  <c r="O1582" i="3"/>
  <c r="L2543" i="3"/>
  <c r="K2543" i="3"/>
  <c r="S23" i="3"/>
  <c r="R23" i="3"/>
  <c r="O744" i="3"/>
  <c r="O623" i="3"/>
  <c r="O502" i="3"/>
  <c r="M865" i="3" l="1"/>
  <c r="M1464" i="3"/>
  <c r="O1103" i="3"/>
  <c r="N1103" i="3"/>
  <c r="J1104" i="3" s="1"/>
  <c r="M1103" i="3"/>
  <c r="M2302" i="3"/>
  <c r="O1824" i="3"/>
  <c r="M1824" i="3"/>
  <c r="N2543" i="3"/>
  <c r="J2544" i="3" s="1"/>
  <c r="O2543" i="3"/>
  <c r="M2543" i="3"/>
  <c r="S2426" i="3"/>
  <c r="R2426" i="3"/>
  <c r="N1223" i="3"/>
  <c r="J1224" i="3" s="1"/>
  <c r="Q1704" i="3"/>
  <c r="P1704" i="3"/>
  <c r="O1704" i="3"/>
  <c r="K384" i="3"/>
  <c r="L384" i="3" s="1"/>
  <c r="Q1942" i="3"/>
  <c r="P1942" i="3"/>
  <c r="S1582" i="3"/>
  <c r="R1582" i="3"/>
  <c r="S623" i="3"/>
  <c r="R623" i="3"/>
  <c r="K1583" i="3"/>
  <c r="L1583" i="3" s="1"/>
  <c r="S744" i="3"/>
  <c r="R744" i="3"/>
  <c r="S383" i="3"/>
  <c r="R383" i="3"/>
  <c r="N1942" i="3"/>
  <c r="J1943" i="3" s="1"/>
  <c r="K2184" i="3"/>
  <c r="L2184" i="3" s="1"/>
  <c r="T43" i="1"/>
  <c r="S43" i="1"/>
  <c r="O1942" i="3"/>
  <c r="S1823" i="3"/>
  <c r="R1823" i="3"/>
  <c r="K2427" i="3"/>
  <c r="L2427" i="3"/>
  <c r="N1704" i="3"/>
  <c r="J1705" i="3" s="1"/>
  <c r="L503" i="3"/>
  <c r="K503" i="3"/>
  <c r="K745" i="3"/>
  <c r="L745" i="3" s="1"/>
  <c r="N1343" i="3"/>
  <c r="J1344" i="3" s="1"/>
  <c r="Q43" i="1"/>
  <c r="M44" i="1" s="1"/>
  <c r="Q24" i="3"/>
  <c r="P24" i="3"/>
  <c r="Q144" i="3"/>
  <c r="P144" i="3"/>
  <c r="M264" i="3"/>
  <c r="Q1223" i="3"/>
  <c r="P1223" i="3"/>
  <c r="Q984" i="3"/>
  <c r="P984" i="3"/>
  <c r="R43" i="1"/>
  <c r="O24" i="3"/>
  <c r="N144" i="3"/>
  <c r="J145" i="3" s="1"/>
  <c r="M2064" i="3"/>
  <c r="K624" i="3"/>
  <c r="L624" i="3" s="1"/>
  <c r="Q1343" i="3"/>
  <c r="P1343" i="3"/>
  <c r="S502" i="3"/>
  <c r="R502" i="3"/>
  <c r="N984" i="3"/>
  <c r="J985" i="3" s="1"/>
  <c r="Q2183" i="3"/>
  <c r="P2183" i="3"/>
  <c r="N24" i="3"/>
  <c r="J25" i="3" s="1"/>
  <c r="O144" i="3"/>
  <c r="M2184" i="3" l="1"/>
  <c r="M624" i="3"/>
  <c r="N745" i="3"/>
  <c r="J746" i="3" s="1"/>
  <c r="O745" i="3"/>
  <c r="M745" i="3"/>
  <c r="M384" i="3"/>
  <c r="M1583" i="3"/>
  <c r="V43" i="1"/>
  <c r="U43" i="1"/>
  <c r="S1704" i="3"/>
  <c r="R1704" i="3"/>
  <c r="Q1824" i="3"/>
  <c r="P1824" i="3"/>
  <c r="O503" i="3"/>
  <c r="M503" i="3"/>
  <c r="K1224" i="3"/>
  <c r="L1224" i="3" s="1"/>
  <c r="Q1464" i="3"/>
  <c r="P1464" i="3"/>
  <c r="S144" i="3"/>
  <c r="R144" i="3"/>
  <c r="S2183" i="3"/>
  <c r="R2183" i="3"/>
  <c r="Q2064" i="3"/>
  <c r="P2064" i="3"/>
  <c r="N44" i="1"/>
  <c r="O44" i="1"/>
  <c r="N1824" i="3"/>
  <c r="J1825" i="3" s="1"/>
  <c r="N1464" i="3"/>
  <c r="J1465" i="3" s="1"/>
  <c r="K1705" i="3"/>
  <c r="L1705" i="3" s="1"/>
  <c r="K1344" i="3"/>
  <c r="L1344" i="3" s="1"/>
  <c r="K1943" i="3"/>
  <c r="L1943" i="3"/>
  <c r="S1942" i="3"/>
  <c r="R1942" i="3"/>
  <c r="Q2302" i="3"/>
  <c r="P2302" i="3"/>
  <c r="O1464" i="3"/>
  <c r="K1104" i="3"/>
  <c r="L1104" i="3" s="1"/>
  <c r="N2427" i="3"/>
  <c r="J2428" i="3" s="1"/>
  <c r="O2427" i="3"/>
  <c r="M2427" i="3"/>
  <c r="S1223" i="3"/>
  <c r="R1223" i="3"/>
  <c r="O2064" i="3"/>
  <c r="Q264" i="3"/>
  <c r="P264" i="3"/>
  <c r="L145" i="3"/>
  <c r="K145" i="3"/>
  <c r="N2302" i="3"/>
  <c r="J2303" i="3" s="1"/>
  <c r="Q865" i="3"/>
  <c r="P865" i="3"/>
  <c r="K2544" i="3"/>
  <c r="L2544" i="3" s="1"/>
  <c r="K985" i="3"/>
  <c r="L985" i="3" s="1"/>
  <c r="O264" i="3"/>
  <c r="N264" i="3"/>
  <c r="J265" i="3" s="1"/>
  <c r="Q2543" i="3"/>
  <c r="P2543" i="3"/>
  <c r="O2302" i="3"/>
  <c r="O865" i="3"/>
  <c r="S984" i="3"/>
  <c r="R984" i="3"/>
  <c r="S24" i="3"/>
  <c r="R24" i="3"/>
  <c r="N2064" i="3"/>
  <c r="J2065" i="3" s="1"/>
  <c r="K25" i="3"/>
  <c r="L25" i="3" s="1"/>
  <c r="S1343" i="3"/>
  <c r="R1343" i="3"/>
  <c r="Q1103" i="3"/>
  <c r="P1103" i="3"/>
  <c r="N865" i="3"/>
  <c r="J866" i="3" s="1"/>
  <c r="M1104" i="3" l="1"/>
  <c r="M2544" i="3"/>
  <c r="N2544" i="3" s="1"/>
  <c r="J2545" i="3" s="1"/>
  <c r="N1224" i="3"/>
  <c r="J1225" i="3" s="1"/>
  <c r="O1224" i="3"/>
  <c r="M1224" i="3"/>
  <c r="M1344" i="3"/>
  <c r="N985" i="3"/>
  <c r="J986" i="3" s="1"/>
  <c r="M985" i="3"/>
  <c r="O1705" i="3"/>
  <c r="M1705" i="3"/>
  <c r="M25" i="3"/>
  <c r="R44" i="1"/>
  <c r="Q44" i="1"/>
  <c r="M45" i="1" s="1"/>
  <c r="P44" i="1"/>
  <c r="Q1583" i="3"/>
  <c r="P1583" i="3"/>
  <c r="K746" i="3"/>
  <c r="L746" i="3"/>
  <c r="S1824" i="3"/>
  <c r="R1824" i="3"/>
  <c r="N1583" i="3"/>
  <c r="J1584" i="3" s="1"/>
  <c r="Q624" i="3"/>
  <c r="P624" i="3"/>
  <c r="K866" i="3"/>
  <c r="L866" i="3"/>
  <c r="S865" i="3"/>
  <c r="R865" i="3"/>
  <c r="S2064" i="3"/>
  <c r="R2064" i="3"/>
  <c r="S1464" i="3"/>
  <c r="R1464" i="3"/>
  <c r="O1583" i="3"/>
  <c r="N624" i="3"/>
  <c r="J625" i="3" s="1"/>
  <c r="S1103" i="3"/>
  <c r="R1103" i="3"/>
  <c r="S2302" i="3"/>
  <c r="R2302" i="3"/>
  <c r="Q384" i="3"/>
  <c r="P384" i="3"/>
  <c r="O624" i="3"/>
  <c r="K265" i="3"/>
  <c r="L265" i="3"/>
  <c r="Q2427" i="3"/>
  <c r="P2427" i="3"/>
  <c r="O384" i="3"/>
  <c r="Q2184" i="3"/>
  <c r="P2184" i="3"/>
  <c r="O1943" i="3"/>
  <c r="M1943" i="3"/>
  <c r="K2065" i="3"/>
  <c r="L2065" i="3" s="1"/>
  <c r="M145" i="3"/>
  <c r="L1465" i="3"/>
  <c r="K1465" i="3"/>
  <c r="Q503" i="3"/>
  <c r="P503" i="3"/>
  <c r="N384" i="3"/>
  <c r="J385" i="3" s="1"/>
  <c r="O2184" i="3"/>
  <c r="S264" i="3"/>
  <c r="R264" i="3"/>
  <c r="S2543" i="3"/>
  <c r="R2543" i="3"/>
  <c r="K2303" i="3"/>
  <c r="L2303" i="3" s="1"/>
  <c r="K2428" i="3"/>
  <c r="L2428" i="3" s="1"/>
  <c r="K1825" i="3"/>
  <c r="L1825" i="3" s="1"/>
  <c r="N503" i="3"/>
  <c r="J504" i="3" s="1"/>
  <c r="Q745" i="3"/>
  <c r="P745" i="3"/>
  <c r="N2184" i="3"/>
  <c r="J2185" i="3" s="1"/>
  <c r="M1825" i="3" l="1"/>
  <c r="M2303" i="3"/>
  <c r="O2065" i="3"/>
  <c r="N2065" i="3"/>
  <c r="J2066" i="3" s="1"/>
  <c r="M2065" i="3"/>
  <c r="M2428" i="3"/>
  <c r="K2545" i="3"/>
  <c r="L2545" i="3" s="1"/>
  <c r="N1465" i="3"/>
  <c r="J1466" i="3" s="1"/>
  <c r="O1465" i="3"/>
  <c r="M1465" i="3"/>
  <c r="K1584" i="3"/>
  <c r="L1584" i="3" s="1"/>
  <c r="T44" i="1"/>
  <c r="S44" i="1"/>
  <c r="N45" i="1"/>
  <c r="O45" i="1" s="1"/>
  <c r="Q985" i="3"/>
  <c r="P985" i="3"/>
  <c r="K1225" i="3"/>
  <c r="L1225" i="3"/>
  <c r="Q145" i="3"/>
  <c r="P145" i="3"/>
  <c r="S2184" i="3"/>
  <c r="R2184" i="3"/>
  <c r="K986" i="3"/>
  <c r="L986" i="3" s="1"/>
  <c r="Q25" i="3"/>
  <c r="P25" i="3"/>
  <c r="O985" i="3"/>
  <c r="K625" i="3"/>
  <c r="L625" i="3"/>
  <c r="S384" i="3"/>
  <c r="R384" i="3"/>
  <c r="Q2544" i="3"/>
  <c r="P2544" i="3"/>
  <c r="M866" i="3"/>
  <c r="N866" i="3" s="1"/>
  <c r="J867" i="3" s="1"/>
  <c r="O746" i="3"/>
  <c r="M746" i="3"/>
  <c r="N25" i="3"/>
  <c r="J26" i="3" s="1"/>
  <c r="Q1344" i="3"/>
  <c r="P1344" i="3"/>
  <c r="O2544" i="3"/>
  <c r="S2427" i="3"/>
  <c r="R2427" i="3"/>
  <c r="O25" i="3"/>
  <c r="O1344" i="3"/>
  <c r="Q1104" i="3"/>
  <c r="P1104" i="3"/>
  <c r="O145" i="3"/>
  <c r="N145" i="3"/>
  <c r="J146" i="3" s="1"/>
  <c r="K385" i="3"/>
  <c r="L385" i="3" s="1"/>
  <c r="S503" i="3"/>
  <c r="R503" i="3"/>
  <c r="Q1943" i="3"/>
  <c r="P1943" i="3"/>
  <c r="N265" i="3"/>
  <c r="J266" i="3" s="1"/>
  <c r="O265" i="3"/>
  <c r="M265" i="3"/>
  <c r="Q1705" i="3"/>
  <c r="P1705" i="3"/>
  <c r="N1344" i="3"/>
  <c r="J1345" i="3" s="1"/>
  <c r="O1104" i="3"/>
  <c r="K2185" i="3"/>
  <c r="L2185" i="3"/>
  <c r="S745" i="3"/>
  <c r="R745" i="3"/>
  <c r="K504" i="3"/>
  <c r="L504" i="3"/>
  <c r="N1943" i="3"/>
  <c r="J1944" i="3" s="1"/>
  <c r="S624" i="3"/>
  <c r="R624" i="3"/>
  <c r="S1583" i="3"/>
  <c r="R1583" i="3"/>
  <c r="N1705" i="3"/>
  <c r="J1706" i="3" s="1"/>
  <c r="Q1224" i="3"/>
  <c r="P1224" i="3"/>
  <c r="N1104" i="3"/>
  <c r="J1105" i="3" s="1"/>
  <c r="M986" i="3" l="1"/>
  <c r="M2545" i="3"/>
  <c r="N1584" i="3"/>
  <c r="J1585" i="3" s="1"/>
  <c r="O1584" i="3"/>
  <c r="M1584" i="3"/>
  <c r="M385" i="3"/>
  <c r="P45" i="1"/>
  <c r="R45" i="1" s="1"/>
  <c r="L867" i="3"/>
  <c r="K867" i="3"/>
  <c r="K1105" i="3"/>
  <c r="L1105" i="3"/>
  <c r="M625" i="3"/>
  <c r="Q2303" i="3"/>
  <c r="P2303" i="3"/>
  <c r="K2066" i="3"/>
  <c r="L2066" i="3" s="1"/>
  <c r="K266" i="3"/>
  <c r="L266" i="3"/>
  <c r="Q866" i="3"/>
  <c r="P866" i="3"/>
  <c r="K1944" i="3"/>
  <c r="L1944" i="3" s="1"/>
  <c r="O866" i="3"/>
  <c r="N2303" i="3"/>
  <c r="J2304" i="3" s="1"/>
  <c r="M2185" i="3"/>
  <c r="K1466" i="3"/>
  <c r="L1466" i="3"/>
  <c r="L1706" i="3"/>
  <c r="K1706" i="3"/>
  <c r="S1104" i="3"/>
  <c r="R1104" i="3"/>
  <c r="S145" i="3"/>
  <c r="R145" i="3"/>
  <c r="V44" i="1"/>
  <c r="U44" i="1"/>
  <c r="Q2428" i="3"/>
  <c r="P2428" i="3"/>
  <c r="O2303" i="3"/>
  <c r="S1943" i="3"/>
  <c r="R1943" i="3"/>
  <c r="O504" i="3"/>
  <c r="M504" i="3"/>
  <c r="K26" i="3"/>
  <c r="L26" i="3" s="1"/>
  <c r="S2544" i="3"/>
  <c r="R2544" i="3"/>
  <c r="S25" i="3"/>
  <c r="R25" i="3"/>
  <c r="M1225" i="3"/>
  <c r="O1225" i="3" s="1"/>
  <c r="N2428" i="3"/>
  <c r="J2429" i="3" s="1"/>
  <c r="Q1825" i="3"/>
  <c r="P1825" i="3"/>
  <c r="S985" i="3"/>
  <c r="R985" i="3"/>
  <c r="K146" i="3"/>
  <c r="L146" i="3"/>
  <c r="S1224" i="3"/>
  <c r="R1224" i="3"/>
  <c r="K1345" i="3"/>
  <c r="L1345" i="3" s="1"/>
  <c r="S1344" i="3"/>
  <c r="R1344" i="3"/>
  <c r="S1705" i="3"/>
  <c r="R1705" i="3"/>
  <c r="Q746" i="3"/>
  <c r="P746" i="3"/>
  <c r="O2428" i="3"/>
  <c r="N1825" i="3"/>
  <c r="J1826" i="3" s="1"/>
  <c r="Q265" i="3"/>
  <c r="P265" i="3"/>
  <c r="N746" i="3"/>
  <c r="J747" i="3" s="1"/>
  <c r="Q1465" i="3"/>
  <c r="P1465" i="3"/>
  <c r="Q2065" i="3"/>
  <c r="P2065" i="3"/>
  <c r="O1825" i="3"/>
  <c r="M1345" i="3" l="1"/>
  <c r="M1944" i="3"/>
  <c r="O2066" i="3"/>
  <c r="N2066" i="3"/>
  <c r="J2067" i="3" s="1"/>
  <c r="M2066" i="3"/>
  <c r="M26" i="3"/>
  <c r="S1825" i="3"/>
  <c r="R1825" i="3"/>
  <c r="Q625" i="3"/>
  <c r="P625" i="3"/>
  <c r="Q45" i="1"/>
  <c r="M46" i="1" s="1"/>
  <c r="Q2545" i="3"/>
  <c r="P2545" i="3"/>
  <c r="S2303" i="3"/>
  <c r="R2303" i="3"/>
  <c r="O146" i="3"/>
  <c r="M146" i="3"/>
  <c r="Q2185" i="3"/>
  <c r="P2185" i="3"/>
  <c r="S866" i="3"/>
  <c r="R866" i="3"/>
  <c r="O625" i="3"/>
  <c r="O2545" i="3"/>
  <c r="T45" i="1"/>
  <c r="S45" i="1"/>
  <c r="N2185" i="3"/>
  <c r="J2186" i="3" s="1"/>
  <c r="M266" i="3"/>
  <c r="N266" i="3" s="1"/>
  <c r="J267" i="3" s="1"/>
  <c r="N625" i="3"/>
  <c r="J626" i="3" s="1"/>
  <c r="Q385" i="3"/>
  <c r="P385" i="3"/>
  <c r="N2545" i="3"/>
  <c r="J2546" i="3" s="1"/>
  <c r="O1706" i="3"/>
  <c r="M1706" i="3"/>
  <c r="S2065" i="3"/>
  <c r="R2065" i="3"/>
  <c r="Q504" i="3"/>
  <c r="P504" i="3"/>
  <c r="S2428" i="3"/>
  <c r="R2428" i="3"/>
  <c r="O2185" i="3"/>
  <c r="O1105" i="3"/>
  <c r="M1105" i="3"/>
  <c r="O385" i="3"/>
  <c r="Q986" i="3"/>
  <c r="P986" i="3"/>
  <c r="K2429" i="3"/>
  <c r="L2429" i="3" s="1"/>
  <c r="K1585" i="3"/>
  <c r="L1585" i="3" s="1"/>
  <c r="Q1225" i="3"/>
  <c r="P1225" i="3"/>
  <c r="S746" i="3"/>
  <c r="R746" i="3"/>
  <c r="K2304" i="3"/>
  <c r="L2304" i="3"/>
  <c r="N385" i="3"/>
  <c r="J386" i="3" s="1"/>
  <c r="N986" i="3"/>
  <c r="J987" i="3" s="1"/>
  <c r="K747" i="3"/>
  <c r="L747" i="3" s="1"/>
  <c r="M867" i="3"/>
  <c r="O1466" i="3"/>
  <c r="M1466" i="3"/>
  <c r="S265" i="3"/>
  <c r="R265" i="3"/>
  <c r="K1826" i="3"/>
  <c r="L1826" i="3" s="1"/>
  <c r="N1225" i="3"/>
  <c r="J1226" i="3" s="1"/>
  <c r="S1465" i="3"/>
  <c r="R1465" i="3"/>
  <c r="N504" i="3"/>
  <c r="J505" i="3" s="1"/>
  <c r="Q1584" i="3"/>
  <c r="P1584" i="3"/>
  <c r="O986" i="3"/>
  <c r="M2429" i="3" l="1"/>
  <c r="M747" i="3"/>
  <c r="O1585" i="3"/>
  <c r="N1585" i="3"/>
  <c r="J1586" i="3" s="1"/>
  <c r="M1585" i="3"/>
  <c r="M1826" i="3"/>
  <c r="K267" i="3"/>
  <c r="L267" i="3"/>
  <c r="Q1706" i="3"/>
  <c r="P1706" i="3"/>
  <c r="O266" i="3"/>
  <c r="Q1944" i="3"/>
  <c r="P1944" i="3"/>
  <c r="M2304" i="3"/>
  <c r="Q867" i="3"/>
  <c r="P867" i="3"/>
  <c r="N1944" i="3"/>
  <c r="J1945" i="3" s="1"/>
  <c r="K626" i="3"/>
  <c r="L626" i="3"/>
  <c r="N1706" i="3"/>
  <c r="J1707" i="3" s="1"/>
  <c r="K2186" i="3"/>
  <c r="L2186" i="3" s="1"/>
  <c r="Q26" i="3"/>
  <c r="P26" i="3"/>
  <c r="O1944" i="3"/>
  <c r="K1226" i="3"/>
  <c r="L1226" i="3" s="1"/>
  <c r="K2067" i="3"/>
  <c r="L2067" i="3" s="1"/>
  <c r="Q266" i="3"/>
  <c r="P266" i="3"/>
  <c r="S1584" i="3"/>
  <c r="R1584" i="3"/>
  <c r="K2546" i="3"/>
  <c r="L2546" i="3"/>
  <c r="S2185" i="3"/>
  <c r="R2185" i="3"/>
  <c r="S2545" i="3"/>
  <c r="R2545" i="3"/>
  <c r="N26" i="3"/>
  <c r="J27" i="3" s="1"/>
  <c r="Q1345" i="3"/>
  <c r="P1345" i="3"/>
  <c r="N867" i="3"/>
  <c r="J868" i="3" s="1"/>
  <c r="K505" i="3"/>
  <c r="L505" i="3"/>
  <c r="S986" i="3"/>
  <c r="R986" i="3"/>
  <c r="K987" i="3"/>
  <c r="L987" i="3"/>
  <c r="Q1105" i="3"/>
  <c r="P1105" i="3"/>
  <c r="V45" i="1"/>
  <c r="U45" i="1"/>
  <c r="Q146" i="3"/>
  <c r="P146" i="3"/>
  <c r="N46" i="1"/>
  <c r="O46" i="1" s="1"/>
  <c r="O26" i="3"/>
  <c r="O1345" i="3"/>
  <c r="S625" i="3"/>
  <c r="R625" i="3"/>
  <c r="O867" i="3"/>
  <c r="Q1466" i="3"/>
  <c r="P1466" i="3"/>
  <c r="S1225" i="3"/>
  <c r="R1225" i="3"/>
  <c r="S504" i="3"/>
  <c r="R504" i="3"/>
  <c r="N1466" i="3"/>
  <c r="J1467" i="3" s="1"/>
  <c r="K386" i="3"/>
  <c r="L386" i="3"/>
  <c r="N1105" i="3"/>
  <c r="J1106" i="3" s="1"/>
  <c r="S385" i="3"/>
  <c r="R385" i="3"/>
  <c r="N146" i="3"/>
  <c r="J147" i="3" s="1"/>
  <c r="Q2066" i="3"/>
  <c r="P2066" i="3"/>
  <c r="N1345" i="3"/>
  <c r="J1346" i="3" s="1"/>
  <c r="M2186" i="3" l="1"/>
  <c r="M2067" i="3"/>
  <c r="R46" i="1"/>
  <c r="Q46" i="1"/>
  <c r="M47" i="1" s="1"/>
  <c r="P46" i="1"/>
  <c r="M1226" i="3"/>
  <c r="K1106" i="3"/>
  <c r="L1106" i="3" s="1"/>
  <c r="K1346" i="3"/>
  <c r="L1346" i="3"/>
  <c r="S26" i="3"/>
  <c r="R26" i="3"/>
  <c r="S867" i="3"/>
  <c r="R867" i="3"/>
  <c r="S1706" i="3"/>
  <c r="R1706" i="3"/>
  <c r="S266" i="3"/>
  <c r="R266" i="3"/>
  <c r="Q2304" i="3"/>
  <c r="P2304" i="3"/>
  <c r="O267" i="3"/>
  <c r="N267" i="3"/>
  <c r="J268" i="3" s="1"/>
  <c r="M267" i="3"/>
  <c r="Q747" i="3"/>
  <c r="P747" i="3"/>
  <c r="M386" i="3"/>
  <c r="S2066" i="3"/>
  <c r="R2066" i="3"/>
  <c r="M987" i="3"/>
  <c r="O2304" i="3"/>
  <c r="N747" i="3"/>
  <c r="J748" i="3" s="1"/>
  <c r="O505" i="3"/>
  <c r="N505" i="3"/>
  <c r="J506" i="3" s="1"/>
  <c r="M505" i="3"/>
  <c r="S1345" i="3"/>
  <c r="R1345" i="3"/>
  <c r="M2546" i="3"/>
  <c r="N2546" i="3" s="1"/>
  <c r="J2547" i="3" s="1"/>
  <c r="K1707" i="3"/>
  <c r="L1707" i="3" s="1"/>
  <c r="N2304" i="3"/>
  <c r="J2305" i="3" s="1"/>
  <c r="Q1826" i="3"/>
  <c r="P1826" i="3"/>
  <c r="O747" i="3"/>
  <c r="K868" i="3"/>
  <c r="L868" i="3" s="1"/>
  <c r="S146" i="3"/>
  <c r="R146" i="3"/>
  <c r="K27" i="3"/>
  <c r="L27" i="3" s="1"/>
  <c r="M626" i="3"/>
  <c r="N1826" i="3"/>
  <c r="J1827" i="3" s="1"/>
  <c r="Q2429" i="3"/>
  <c r="P2429" i="3"/>
  <c r="K1586" i="3"/>
  <c r="L1586" i="3" s="1"/>
  <c r="K1467" i="3"/>
  <c r="L1467" i="3" s="1"/>
  <c r="S1944" i="3"/>
  <c r="R1944" i="3"/>
  <c r="O1826" i="3"/>
  <c r="N2429" i="3"/>
  <c r="J2430" i="3" s="1"/>
  <c r="S1105" i="3"/>
  <c r="R1105" i="3"/>
  <c r="S1466" i="3"/>
  <c r="R1466" i="3"/>
  <c r="K147" i="3"/>
  <c r="L147" i="3" s="1"/>
  <c r="K1945" i="3"/>
  <c r="L1945" i="3" s="1"/>
  <c r="Q1585" i="3"/>
  <c r="P1585" i="3"/>
  <c r="O2429" i="3"/>
  <c r="M1106" i="3" l="1"/>
  <c r="K2547" i="3"/>
  <c r="L2547" i="3" s="1"/>
  <c r="M1586" i="3"/>
  <c r="O1586" i="3" s="1"/>
  <c r="M1945" i="3"/>
  <c r="M27" i="3"/>
  <c r="O1707" i="3"/>
  <c r="N1707" i="3"/>
  <c r="J1708" i="3" s="1"/>
  <c r="M1707" i="3"/>
  <c r="M147" i="3"/>
  <c r="M1467" i="3"/>
  <c r="O868" i="3"/>
  <c r="M868" i="3"/>
  <c r="S1585" i="3"/>
  <c r="R1585" i="3"/>
  <c r="Q386" i="3"/>
  <c r="P386" i="3"/>
  <c r="Q2067" i="3"/>
  <c r="P2067" i="3"/>
  <c r="K506" i="3"/>
  <c r="L506" i="3" s="1"/>
  <c r="O386" i="3"/>
  <c r="S2304" i="3"/>
  <c r="R2304" i="3"/>
  <c r="N2067" i="3"/>
  <c r="J2068" i="3" s="1"/>
  <c r="K268" i="3"/>
  <c r="L268" i="3" s="1"/>
  <c r="Q987" i="3"/>
  <c r="P987" i="3"/>
  <c r="N386" i="3"/>
  <c r="J387" i="3" s="1"/>
  <c r="Q1226" i="3"/>
  <c r="P1226" i="3"/>
  <c r="O2067" i="3"/>
  <c r="K1827" i="3"/>
  <c r="L1827" i="3" s="1"/>
  <c r="M1346" i="3"/>
  <c r="Q626" i="3"/>
  <c r="P626" i="3"/>
  <c r="Q2546" i="3"/>
  <c r="P2546" i="3"/>
  <c r="O2546" i="3"/>
  <c r="O626" i="3"/>
  <c r="S1826" i="3"/>
  <c r="R1826" i="3"/>
  <c r="N987" i="3"/>
  <c r="J988" i="3" s="1"/>
  <c r="N1226" i="3"/>
  <c r="J1227" i="3" s="1"/>
  <c r="Q2186" i="3"/>
  <c r="P2186" i="3"/>
  <c r="N47" i="1"/>
  <c r="O47" i="1" s="1"/>
  <c r="K748" i="3"/>
  <c r="L748" i="3" s="1"/>
  <c r="K2430" i="3"/>
  <c r="L2430" i="3" s="1"/>
  <c r="K2305" i="3"/>
  <c r="L2305" i="3"/>
  <c r="O987" i="3"/>
  <c r="S747" i="3"/>
  <c r="R747" i="3"/>
  <c r="O1226" i="3"/>
  <c r="N2186" i="3"/>
  <c r="J2187" i="3" s="1"/>
  <c r="N626" i="3"/>
  <c r="J627" i="3" s="1"/>
  <c r="S2429" i="3"/>
  <c r="R2429" i="3"/>
  <c r="Q505" i="3"/>
  <c r="P505" i="3"/>
  <c r="Q267" i="3"/>
  <c r="P267" i="3"/>
  <c r="T46" i="1"/>
  <c r="S46" i="1"/>
  <c r="O2186" i="3"/>
  <c r="M268" i="3" l="1"/>
  <c r="M748" i="3"/>
  <c r="O748" i="3" s="1"/>
  <c r="Q47" i="1"/>
  <c r="M48" i="1" s="1"/>
  <c r="R47" i="1"/>
  <c r="P47" i="1"/>
  <c r="M2430" i="3"/>
  <c r="N1827" i="3"/>
  <c r="J1828" i="3" s="1"/>
  <c r="M1827" i="3"/>
  <c r="O506" i="3"/>
  <c r="N506" i="3"/>
  <c r="J507" i="3" s="1"/>
  <c r="M506" i="3"/>
  <c r="M2547" i="3"/>
  <c r="S2546" i="3"/>
  <c r="R2546" i="3"/>
  <c r="Q1467" i="3"/>
  <c r="P1467" i="3"/>
  <c r="N1586" i="3"/>
  <c r="J1587" i="3" s="1"/>
  <c r="K2187" i="3"/>
  <c r="L2187" i="3" s="1"/>
  <c r="S2067" i="3"/>
  <c r="R2067" i="3"/>
  <c r="S1226" i="3"/>
  <c r="R1226" i="3"/>
  <c r="S386" i="3"/>
  <c r="R386" i="3"/>
  <c r="O1467" i="3"/>
  <c r="Q27" i="3"/>
  <c r="P27" i="3"/>
  <c r="K1227" i="3"/>
  <c r="L1227" i="3" s="1"/>
  <c r="N1467" i="3"/>
  <c r="J1468" i="3" s="1"/>
  <c r="N27" i="3"/>
  <c r="J28" i="3" s="1"/>
  <c r="K1708" i="3"/>
  <c r="L1708" i="3" s="1"/>
  <c r="Q147" i="3"/>
  <c r="P147" i="3"/>
  <c r="O27" i="3"/>
  <c r="K2068" i="3"/>
  <c r="L2068" i="3" s="1"/>
  <c r="K988" i="3"/>
  <c r="L988" i="3" s="1"/>
  <c r="S626" i="3"/>
  <c r="R626" i="3"/>
  <c r="Q1346" i="3"/>
  <c r="P1346" i="3"/>
  <c r="O1346" i="3"/>
  <c r="N147" i="3"/>
  <c r="J148" i="3" s="1"/>
  <c r="Q1945" i="3"/>
  <c r="P1945" i="3"/>
  <c r="Q1106" i="3"/>
  <c r="P1106" i="3"/>
  <c r="Q1586" i="3"/>
  <c r="P1586" i="3"/>
  <c r="N1346" i="3"/>
  <c r="J1347" i="3" s="1"/>
  <c r="M2305" i="3"/>
  <c r="N2305" i="3" s="1"/>
  <c r="J2306" i="3" s="1"/>
  <c r="Q868" i="3"/>
  <c r="P868" i="3"/>
  <c r="O147" i="3"/>
  <c r="O1945" i="3"/>
  <c r="O1106" i="3"/>
  <c r="S267" i="3"/>
  <c r="R267" i="3"/>
  <c r="S505" i="3"/>
  <c r="R505" i="3"/>
  <c r="K387" i="3"/>
  <c r="L387" i="3"/>
  <c r="S987" i="3"/>
  <c r="R987" i="3"/>
  <c r="V46" i="1"/>
  <c r="U46" i="1"/>
  <c r="K627" i="3"/>
  <c r="L627" i="3"/>
  <c r="S2186" i="3"/>
  <c r="R2186" i="3"/>
  <c r="N868" i="3"/>
  <c r="J869" i="3" s="1"/>
  <c r="Q1707" i="3"/>
  <c r="P1707" i="3"/>
  <c r="N1945" i="3"/>
  <c r="J1946" i="3" s="1"/>
  <c r="N1106" i="3"/>
  <c r="J1107" i="3" s="1"/>
  <c r="M1708" i="3" l="1"/>
  <c r="M2068" i="3"/>
  <c r="O2068" i="3" s="1"/>
  <c r="O988" i="3"/>
  <c r="N988" i="3"/>
  <c r="J989" i="3" s="1"/>
  <c r="M988" i="3"/>
  <c r="M1227" i="3"/>
  <c r="O1227" i="3" s="1"/>
  <c r="K2306" i="3"/>
  <c r="L2306" i="3"/>
  <c r="N2187" i="3"/>
  <c r="J2188" i="3" s="1"/>
  <c r="O2187" i="3"/>
  <c r="M2187" i="3"/>
  <c r="S27" i="3"/>
  <c r="R27" i="3"/>
  <c r="Q1827" i="3"/>
  <c r="P1827" i="3"/>
  <c r="N48" i="1"/>
  <c r="O48" i="1"/>
  <c r="S868" i="3"/>
  <c r="R868" i="3"/>
  <c r="K28" i="3"/>
  <c r="L28" i="3" s="1"/>
  <c r="Q2547" i="3"/>
  <c r="P2547" i="3"/>
  <c r="O1827" i="3"/>
  <c r="N748" i="3"/>
  <c r="J749" i="3" s="1"/>
  <c r="Q2305" i="3"/>
  <c r="P2305" i="3"/>
  <c r="M387" i="3"/>
  <c r="O387" i="3" s="1"/>
  <c r="K1347" i="3"/>
  <c r="L1347" i="3"/>
  <c r="K1468" i="3"/>
  <c r="L1468" i="3"/>
  <c r="O2547" i="3"/>
  <c r="Q2430" i="3"/>
  <c r="P2430" i="3"/>
  <c r="O2305" i="3"/>
  <c r="K148" i="3"/>
  <c r="L148" i="3" s="1"/>
  <c r="K1946" i="3"/>
  <c r="L1946" i="3"/>
  <c r="K1587" i="3"/>
  <c r="L1587" i="3" s="1"/>
  <c r="N2547" i="3"/>
  <c r="J2548" i="3" s="1"/>
  <c r="N2430" i="3"/>
  <c r="J2431" i="3" s="1"/>
  <c r="Q268" i="3"/>
  <c r="P268" i="3"/>
  <c r="K869" i="3"/>
  <c r="L869" i="3" s="1"/>
  <c r="S1106" i="3"/>
  <c r="R1106" i="3"/>
  <c r="K1828" i="3"/>
  <c r="L1828" i="3" s="1"/>
  <c r="O627" i="3"/>
  <c r="M627" i="3"/>
  <c r="S1586" i="3"/>
  <c r="R1586" i="3"/>
  <c r="S1346" i="3"/>
  <c r="R1346" i="3"/>
  <c r="Q506" i="3"/>
  <c r="P506" i="3"/>
  <c r="O2430" i="3"/>
  <c r="N268" i="3"/>
  <c r="J269" i="3" s="1"/>
  <c r="S147" i="3"/>
  <c r="R147" i="3"/>
  <c r="S1945" i="3"/>
  <c r="R1945" i="3"/>
  <c r="Q748" i="3"/>
  <c r="P748" i="3"/>
  <c r="K1107" i="3"/>
  <c r="L1107" i="3"/>
  <c r="S1707" i="3"/>
  <c r="R1707" i="3"/>
  <c r="S1467" i="3"/>
  <c r="R1467" i="3"/>
  <c r="K507" i="3"/>
  <c r="L507" i="3" s="1"/>
  <c r="T47" i="1"/>
  <c r="S47" i="1"/>
  <c r="O268" i="3"/>
  <c r="M507" i="3" l="1"/>
  <c r="M28" i="3"/>
  <c r="O148" i="3"/>
  <c r="N148" i="3"/>
  <c r="J149" i="3" s="1"/>
  <c r="M148" i="3"/>
  <c r="M1587" i="3"/>
  <c r="M869" i="3"/>
  <c r="O1828" i="3"/>
  <c r="M1828" i="3"/>
  <c r="N1347" i="3"/>
  <c r="J1348" i="3" s="1"/>
  <c r="M1347" i="3"/>
  <c r="K989" i="3"/>
  <c r="L989" i="3" s="1"/>
  <c r="L2431" i="3"/>
  <c r="K2431" i="3"/>
  <c r="S2547" i="3"/>
  <c r="R2547" i="3"/>
  <c r="M2306" i="3"/>
  <c r="K2548" i="3"/>
  <c r="L2548" i="3" s="1"/>
  <c r="K269" i="3"/>
  <c r="L269" i="3" s="1"/>
  <c r="S2430" i="3"/>
  <c r="R2430" i="3"/>
  <c r="S748" i="3"/>
  <c r="R748" i="3"/>
  <c r="Q1708" i="3"/>
  <c r="P1708" i="3"/>
  <c r="Q627" i="3"/>
  <c r="P627" i="3"/>
  <c r="M1946" i="3"/>
  <c r="N1946" i="3" s="1"/>
  <c r="J1947" i="3" s="1"/>
  <c r="M1468" i="3"/>
  <c r="S2305" i="3"/>
  <c r="R2305" i="3"/>
  <c r="N1708" i="3"/>
  <c r="J1709" i="3" s="1"/>
  <c r="R48" i="1"/>
  <c r="Q48" i="1"/>
  <c r="M49" i="1" s="1"/>
  <c r="P48" i="1"/>
  <c r="V47" i="1"/>
  <c r="U47" i="1"/>
  <c r="S268" i="3"/>
  <c r="R268" i="3"/>
  <c r="K2188" i="3"/>
  <c r="L2188" i="3" s="1"/>
  <c r="N1107" i="3"/>
  <c r="J1108" i="3" s="1"/>
  <c r="M1107" i="3"/>
  <c r="Q387" i="3"/>
  <c r="P387" i="3"/>
  <c r="Q2068" i="3"/>
  <c r="P2068" i="3"/>
  <c r="N387" i="3"/>
  <c r="J388" i="3" s="1"/>
  <c r="S1827" i="3"/>
  <c r="R1827" i="3"/>
  <c r="Q1227" i="3"/>
  <c r="P1227" i="3"/>
  <c r="N2068" i="3"/>
  <c r="J2069" i="3" s="1"/>
  <c r="N1227" i="3"/>
  <c r="J1228" i="3" s="1"/>
  <c r="S506" i="3"/>
  <c r="R506" i="3"/>
  <c r="N627" i="3"/>
  <c r="J628" i="3" s="1"/>
  <c r="L749" i="3"/>
  <c r="K749" i="3"/>
  <c r="Q2187" i="3"/>
  <c r="P2187" i="3"/>
  <c r="Q988" i="3"/>
  <c r="P988" i="3"/>
  <c r="O1708" i="3"/>
  <c r="M989" i="3" l="1"/>
  <c r="M2188" i="3"/>
  <c r="K1947" i="3"/>
  <c r="L1947" i="3" s="1"/>
  <c r="M2548" i="3"/>
  <c r="M269" i="3"/>
  <c r="S2068" i="3"/>
  <c r="R2068" i="3"/>
  <c r="K149" i="3"/>
  <c r="L149" i="3" s="1"/>
  <c r="K1709" i="3"/>
  <c r="L1709" i="3" s="1"/>
  <c r="O1946" i="3"/>
  <c r="Q2306" i="3"/>
  <c r="P2306" i="3"/>
  <c r="Q869" i="3"/>
  <c r="P869" i="3"/>
  <c r="S1227" i="3"/>
  <c r="R1227" i="3"/>
  <c r="S387" i="3"/>
  <c r="R387" i="3"/>
  <c r="N2306" i="3"/>
  <c r="J2307" i="3" s="1"/>
  <c r="N869" i="3"/>
  <c r="J870" i="3" s="1"/>
  <c r="Q28" i="3"/>
  <c r="P28" i="3"/>
  <c r="S2187" i="3"/>
  <c r="R2187" i="3"/>
  <c r="Q1946" i="3"/>
  <c r="P1946" i="3"/>
  <c r="M2431" i="3"/>
  <c r="M749" i="3"/>
  <c r="N749" i="3" s="1"/>
  <c r="J750" i="3" s="1"/>
  <c r="L628" i="3"/>
  <c r="K628" i="3"/>
  <c r="Q1107" i="3"/>
  <c r="P1107" i="3"/>
  <c r="O2306" i="3"/>
  <c r="Q1347" i="3"/>
  <c r="P1347" i="3"/>
  <c r="O869" i="3"/>
  <c r="N28" i="3"/>
  <c r="J29" i="3" s="1"/>
  <c r="S627" i="3"/>
  <c r="R627" i="3"/>
  <c r="K1348" i="3"/>
  <c r="L1348" i="3" s="1"/>
  <c r="Q1587" i="3"/>
  <c r="P1587" i="3"/>
  <c r="O28" i="3"/>
  <c r="K2069" i="3"/>
  <c r="L2069" i="3"/>
  <c r="O1107" i="3"/>
  <c r="Q1468" i="3"/>
  <c r="P1468" i="3"/>
  <c r="O1347" i="3"/>
  <c r="N1587" i="3"/>
  <c r="J1588" i="3" s="1"/>
  <c r="Q507" i="3"/>
  <c r="P507" i="3"/>
  <c r="K1108" i="3"/>
  <c r="L1108" i="3" s="1"/>
  <c r="S988" i="3"/>
  <c r="R988" i="3"/>
  <c r="K388" i="3"/>
  <c r="L388" i="3" s="1"/>
  <c r="T48" i="1"/>
  <c r="S48" i="1"/>
  <c r="N1468" i="3"/>
  <c r="J1469" i="3" s="1"/>
  <c r="S1708" i="3"/>
  <c r="R1708" i="3"/>
  <c r="Q1828" i="3"/>
  <c r="P1828" i="3"/>
  <c r="O1587" i="3"/>
  <c r="N507" i="3"/>
  <c r="J508" i="3" s="1"/>
  <c r="K1228" i="3"/>
  <c r="L1228" i="3" s="1"/>
  <c r="N49" i="1"/>
  <c r="O49" i="1" s="1"/>
  <c r="O1468" i="3"/>
  <c r="N1828" i="3"/>
  <c r="J1829" i="3" s="1"/>
  <c r="Q148" i="3"/>
  <c r="P148" i="3"/>
  <c r="O507" i="3"/>
  <c r="M388" i="3" l="1"/>
  <c r="N1108" i="3"/>
  <c r="J1109" i="3" s="1"/>
  <c r="M1108" i="3"/>
  <c r="O149" i="3"/>
  <c r="N149" i="3"/>
  <c r="J150" i="3" s="1"/>
  <c r="M149" i="3"/>
  <c r="P49" i="1"/>
  <c r="M1348" i="3"/>
  <c r="L750" i="3"/>
  <c r="K750" i="3"/>
  <c r="M1947" i="3"/>
  <c r="M1228" i="3"/>
  <c r="O1709" i="3"/>
  <c r="M1709" i="3"/>
  <c r="K29" i="3"/>
  <c r="L29" i="3" s="1"/>
  <c r="M628" i="3"/>
  <c r="S1946" i="3"/>
  <c r="R1946" i="3"/>
  <c r="S2306" i="3"/>
  <c r="R2306" i="3"/>
  <c r="Q269" i="3"/>
  <c r="P269" i="3"/>
  <c r="Q2188" i="3"/>
  <c r="P2188" i="3"/>
  <c r="N269" i="3"/>
  <c r="J270" i="3" s="1"/>
  <c r="N2188" i="3"/>
  <c r="J2189" i="3" s="1"/>
  <c r="Q749" i="3"/>
  <c r="P749" i="3"/>
  <c r="Q2431" i="3"/>
  <c r="P2431" i="3"/>
  <c r="O269" i="3"/>
  <c r="O2188" i="3"/>
  <c r="K1829" i="3"/>
  <c r="L1829" i="3" s="1"/>
  <c r="S1828" i="3"/>
  <c r="R1828" i="3"/>
  <c r="K1469" i="3"/>
  <c r="L1469" i="3" s="1"/>
  <c r="O2431" i="3"/>
  <c r="S28" i="3"/>
  <c r="R28" i="3"/>
  <c r="Q2548" i="3"/>
  <c r="P2548" i="3"/>
  <c r="Q989" i="3"/>
  <c r="P989" i="3"/>
  <c r="S507" i="3"/>
  <c r="R507" i="3"/>
  <c r="S1347" i="3"/>
  <c r="R1347" i="3"/>
  <c r="S1468" i="3"/>
  <c r="R1468" i="3"/>
  <c r="K508" i="3"/>
  <c r="L508" i="3" s="1"/>
  <c r="M2069" i="3"/>
  <c r="O2069" i="3" s="1"/>
  <c r="S1107" i="3"/>
  <c r="R1107" i="3"/>
  <c r="N2431" i="3"/>
  <c r="J2432" i="3" s="1"/>
  <c r="K870" i="3"/>
  <c r="L870" i="3" s="1"/>
  <c r="N2548" i="3"/>
  <c r="J2549" i="3" s="1"/>
  <c r="N989" i="3"/>
  <c r="J990" i="3" s="1"/>
  <c r="K1588" i="3"/>
  <c r="L1588" i="3" s="1"/>
  <c r="S1587" i="3"/>
  <c r="R1587" i="3"/>
  <c r="O749" i="3"/>
  <c r="S148" i="3"/>
  <c r="R148" i="3"/>
  <c r="V48" i="1"/>
  <c r="U48" i="1"/>
  <c r="K2307" i="3"/>
  <c r="L2307" i="3" s="1"/>
  <c r="S869" i="3"/>
  <c r="R869" i="3"/>
  <c r="O2548" i="3"/>
  <c r="O989" i="3"/>
  <c r="M29" i="3" l="1"/>
  <c r="M1469" i="3"/>
  <c r="N508" i="3"/>
  <c r="J509" i="3" s="1"/>
  <c r="O508" i="3"/>
  <c r="M508" i="3"/>
  <c r="M870" i="3"/>
  <c r="M2307" i="3"/>
  <c r="N1588" i="3"/>
  <c r="J1589" i="3" s="1"/>
  <c r="M1588" i="3"/>
  <c r="M1829" i="3"/>
  <c r="S989" i="3"/>
  <c r="R989" i="3"/>
  <c r="Q628" i="3"/>
  <c r="P628" i="3"/>
  <c r="Q1228" i="3"/>
  <c r="P1228" i="3"/>
  <c r="Q1348" i="3"/>
  <c r="P1348" i="3"/>
  <c r="S2431" i="3"/>
  <c r="R2431" i="3"/>
  <c r="S269" i="3"/>
  <c r="R269" i="3"/>
  <c r="O628" i="3"/>
  <c r="N1228" i="3"/>
  <c r="J1229" i="3" s="1"/>
  <c r="N1348" i="3"/>
  <c r="J1349" i="3" s="1"/>
  <c r="Q1108" i="3"/>
  <c r="P1108" i="3"/>
  <c r="M750" i="3"/>
  <c r="N628" i="3"/>
  <c r="J629" i="3" s="1"/>
  <c r="O1228" i="3"/>
  <c r="O1348" i="3"/>
  <c r="L1109" i="3"/>
  <c r="K1109" i="3"/>
  <c r="S2188" i="3"/>
  <c r="R2188" i="3"/>
  <c r="K2549" i="3"/>
  <c r="L2549" i="3"/>
  <c r="S749" i="3"/>
  <c r="R749" i="3"/>
  <c r="Q1947" i="3"/>
  <c r="P1947" i="3"/>
  <c r="T49" i="1"/>
  <c r="S49" i="1"/>
  <c r="O1108" i="3"/>
  <c r="L150" i="3"/>
  <c r="K150" i="3"/>
  <c r="S2548" i="3"/>
  <c r="R2548" i="3"/>
  <c r="K2189" i="3"/>
  <c r="L2189" i="3" s="1"/>
  <c r="O1947" i="3"/>
  <c r="Q49" i="1"/>
  <c r="M50" i="1" s="1"/>
  <c r="Q388" i="3"/>
  <c r="P388" i="3"/>
  <c r="K990" i="3"/>
  <c r="L990" i="3" s="1"/>
  <c r="K2432" i="3"/>
  <c r="L2432" i="3"/>
  <c r="K270" i="3"/>
  <c r="L270" i="3" s="1"/>
  <c r="Q1709" i="3"/>
  <c r="P1709" i="3"/>
  <c r="N1947" i="3"/>
  <c r="J1948" i="3" s="1"/>
  <c r="R49" i="1"/>
  <c r="N388" i="3"/>
  <c r="J389" i="3" s="1"/>
  <c r="Q2069" i="3"/>
  <c r="P2069" i="3"/>
  <c r="N2069" i="3"/>
  <c r="J2070" i="3" s="1"/>
  <c r="N1709" i="3"/>
  <c r="J1710" i="3" s="1"/>
  <c r="Q149" i="3"/>
  <c r="P149" i="3"/>
  <c r="O388" i="3"/>
  <c r="M990" i="3" l="1"/>
  <c r="N270" i="3"/>
  <c r="J271" i="3" s="1"/>
  <c r="M270" i="3"/>
  <c r="O2189" i="3"/>
  <c r="N2189" i="3"/>
  <c r="J2190" i="3" s="1"/>
  <c r="M2189" i="3"/>
  <c r="K1349" i="3"/>
  <c r="L1349" i="3" s="1"/>
  <c r="Q2307" i="3"/>
  <c r="P2307" i="3"/>
  <c r="K509" i="3"/>
  <c r="L509" i="3"/>
  <c r="S2069" i="3"/>
  <c r="R2069" i="3"/>
  <c r="M2549" i="3"/>
  <c r="K1229" i="3"/>
  <c r="L1229" i="3" s="1"/>
  <c r="N2307" i="3"/>
  <c r="J2308" i="3" s="1"/>
  <c r="Q1469" i="3"/>
  <c r="P1469" i="3"/>
  <c r="N50" i="1"/>
  <c r="O50" i="1" s="1"/>
  <c r="M1109" i="3"/>
  <c r="K629" i="3"/>
  <c r="L629" i="3" s="1"/>
  <c r="S1348" i="3"/>
  <c r="R1348" i="3"/>
  <c r="Q1829" i="3"/>
  <c r="P1829" i="3"/>
  <c r="O2307" i="3"/>
  <c r="O1469" i="3"/>
  <c r="M150" i="3"/>
  <c r="Q750" i="3"/>
  <c r="P750" i="3"/>
  <c r="N1829" i="3"/>
  <c r="J1830" i="3" s="1"/>
  <c r="Q870" i="3"/>
  <c r="P870" i="3"/>
  <c r="N1469" i="3"/>
  <c r="J1470" i="3" s="1"/>
  <c r="N750" i="3"/>
  <c r="J751" i="3" s="1"/>
  <c r="S1228" i="3"/>
  <c r="R1228" i="3"/>
  <c r="O1829" i="3"/>
  <c r="N870" i="3"/>
  <c r="J871" i="3" s="1"/>
  <c r="Q29" i="3"/>
  <c r="P29" i="3"/>
  <c r="K1589" i="3"/>
  <c r="L1589" i="3"/>
  <c r="N2432" i="3"/>
  <c r="J2433" i="3" s="1"/>
  <c r="M2432" i="3"/>
  <c r="K389" i="3"/>
  <c r="L389" i="3" s="1"/>
  <c r="S149" i="3"/>
  <c r="R149" i="3"/>
  <c r="S1947" i="3"/>
  <c r="R1947" i="3"/>
  <c r="O750" i="3"/>
  <c r="Q1588" i="3"/>
  <c r="P1588" i="3"/>
  <c r="O870" i="3"/>
  <c r="N29" i="3"/>
  <c r="J30" i="3" s="1"/>
  <c r="K2070" i="3"/>
  <c r="L2070" i="3" s="1"/>
  <c r="S1108" i="3"/>
  <c r="R1108" i="3"/>
  <c r="V49" i="1"/>
  <c r="U49" i="1"/>
  <c r="K1948" i="3"/>
  <c r="L1948" i="3" s="1"/>
  <c r="K1710" i="3"/>
  <c r="L1710" i="3" s="1"/>
  <c r="S1709" i="3"/>
  <c r="R1709" i="3"/>
  <c r="S388" i="3"/>
  <c r="R388" i="3"/>
  <c r="S628" i="3"/>
  <c r="R628" i="3"/>
  <c r="O1588" i="3"/>
  <c r="Q508" i="3"/>
  <c r="P508" i="3"/>
  <c r="O29" i="3"/>
  <c r="M1710" i="3" l="1"/>
  <c r="M389" i="3"/>
  <c r="O1349" i="3"/>
  <c r="N1349" i="3"/>
  <c r="J1350" i="3" s="1"/>
  <c r="M1349" i="3"/>
  <c r="M629" i="3"/>
  <c r="M2070" i="3"/>
  <c r="O1229" i="3"/>
  <c r="M1229" i="3"/>
  <c r="M1948" i="3"/>
  <c r="R50" i="1"/>
  <c r="P50" i="1"/>
  <c r="S29" i="3"/>
  <c r="R29" i="3"/>
  <c r="K2308" i="3"/>
  <c r="L2308" i="3" s="1"/>
  <c r="K2190" i="3"/>
  <c r="L2190" i="3" s="1"/>
  <c r="L871" i="3"/>
  <c r="K871" i="3"/>
  <c r="S870" i="3"/>
  <c r="R870" i="3"/>
  <c r="Q1109" i="3"/>
  <c r="P1109" i="3"/>
  <c r="O509" i="3"/>
  <c r="N509" i="3"/>
  <c r="J510" i="3" s="1"/>
  <c r="M509" i="3"/>
  <c r="Q2432" i="3"/>
  <c r="P2432" i="3"/>
  <c r="K1830" i="3"/>
  <c r="L1830" i="3" s="1"/>
  <c r="N1109" i="3"/>
  <c r="J1110" i="3" s="1"/>
  <c r="Q270" i="3"/>
  <c r="P270" i="3"/>
  <c r="S1829" i="3"/>
  <c r="R1829" i="3"/>
  <c r="O1109" i="3"/>
  <c r="Q2549" i="3"/>
  <c r="P2549" i="3"/>
  <c r="K271" i="3"/>
  <c r="L271" i="3" s="1"/>
  <c r="S1588" i="3"/>
  <c r="R1588" i="3"/>
  <c r="K2433" i="3"/>
  <c r="L2433" i="3" s="1"/>
  <c r="O2432" i="3"/>
  <c r="S750" i="3"/>
  <c r="R750" i="3"/>
  <c r="N2549" i="3"/>
  <c r="J2550" i="3" s="1"/>
  <c r="S2307" i="3"/>
  <c r="R2307" i="3"/>
  <c r="O270" i="3"/>
  <c r="K30" i="3"/>
  <c r="L30" i="3" s="1"/>
  <c r="M1589" i="3"/>
  <c r="Q150" i="3"/>
  <c r="P150" i="3"/>
  <c r="O2549" i="3"/>
  <c r="Q990" i="3"/>
  <c r="P990" i="3"/>
  <c r="S508" i="3"/>
  <c r="R508" i="3"/>
  <c r="K751" i="3"/>
  <c r="L751" i="3" s="1"/>
  <c r="N150" i="3"/>
  <c r="J151" i="3" s="1"/>
  <c r="O990" i="3"/>
  <c r="K1470" i="3"/>
  <c r="L1470" i="3" s="1"/>
  <c r="O150" i="3"/>
  <c r="S1469" i="3"/>
  <c r="R1469" i="3"/>
  <c r="Q2189" i="3"/>
  <c r="P2189" i="3"/>
  <c r="N990" i="3"/>
  <c r="J991" i="3" s="1"/>
  <c r="M2190" i="3" l="1"/>
  <c r="M30" i="3"/>
  <c r="N2308" i="3"/>
  <c r="J2309" i="3" s="1"/>
  <c r="O2308" i="3"/>
  <c r="M2308" i="3"/>
  <c r="M1830" i="3"/>
  <c r="M2433" i="3"/>
  <c r="O271" i="3"/>
  <c r="M271" i="3"/>
  <c r="N1470" i="3"/>
  <c r="J1471" i="3" s="1"/>
  <c r="M1470" i="3"/>
  <c r="O751" i="3"/>
  <c r="M751" i="3"/>
  <c r="K510" i="3"/>
  <c r="L510" i="3" s="1"/>
  <c r="N871" i="3"/>
  <c r="J872" i="3" s="1"/>
  <c r="M871" i="3"/>
  <c r="T50" i="1"/>
  <c r="S50" i="1"/>
  <c r="K1350" i="3"/>
  <c r="L1350" i="3" s="1"/>
  <c r="Q2070" i="3"/>
  <c r="P2070" i="3"/>
  <c r="S270" i="3"/>
  <c r="R270" i="3"/>
  <c r="L1110" i="3"/>
  <c r="K1110" i="3"/>
  <c r="Q50" i="1"/>
  <c r="M51" i="1" s="1"/>
  <c r="N2070" i="3"/>
  <c r="J2071" i="3" s="1"/>
  <c r="Q389" i="3"/>
  <c r="P389" i="3"/>
  <c r="S1109" i="3"/>
  <c r="R1109" i="3"/>
  <c r="Q1948" i="3"/>
  <c r="P1948" i="3"/>
  <c r="O2070" i="3"/>
  <c r="N389" i="3"/>
  <c r="J390" i="3" s="1"/>
  <c r="O1948" i="3"/>
  <c r="Q629" i="3"/>
  <c r="P629" i="3"/>
  <c r="O389" i="3"/>
  <c r="S2189" i="3"/>
  <c r="R2189" i="3"/>
  <c r="Q1589" i="3"/>
  <c r="P1589" i="3"/>
  <c r="N1948" i="3"/>
  <c r="J1949" i="3" s="1"/>
  <c r="N629" i="3"/>
  <c r="J630" i="3" s="1"/>
  <c r="Q1710" i="3"/>
  <c r="P1710" i="3"/>
  <c r="K991" i="3"/>
  <c r="L991" i="3"/>
  <c r="S2549" i="3"/>
  <c r="R2549" i="3"/>
  <c r="S150" i="3"/>
  <c r="R150" i="3"/>
  <c r="K2550" i="3"/>
  <c r="L2550" i="3"/>
  <c r="S2432" i="3"/>
  <c r="R2432" i="3"/>
  <c r="Q1229" i="3"/>
  <c r="P1229" i="3"/>
  <c r="O629" i="3"/>
  <c r="N1710" i="3"/>
  <c r="J1711" i="3" s="1"/>
  <c r="S990" i="3"/>
  <c r="R990" i="3"/>
  <c r="K151" i="3"/>
  <c r="L151" i="3" s="1"/>
  <c r="N1589" i="3"/>
  <c r="J1590" i="3" s="1"/>
  <c r="O1589" i="3"/>
  <c r="Q509" i="3"/>
  <c r="P509" i="3"/>
  <c r="N1229" i="3"/>
  <c r="J1230" i="3" s="1"/>
  <c r="Q1349" i="3"/>
  <c r="P1349" i="3"/>
  <c r="O1710" i="3"/>
  <c r="M510" i="3" l="1"/>
  <c r="M151" i="3"/>
  <c r="O1350" i="3"/>
  <c r="N1350" i="3"/>
  <c r="J1351" i="3" s="1"/>
  <c r="M1350" i="3"/>
  <c r="Q751" i="3"/>
  <c r="P751" i="3"/>
  <c r="Q2433" i="3"/>
  <c r="P2433" i="3"/>
  <c r="K2309" i="3"/>
  <c r="L2309" i="3" s="1"/>
  <c r="S629" i="3"/>
  <c r="R629" i="3"/>
  <c r="V50" i="1"/>
  <c r="U50" i="1"/>
  <c r="N751" i="3"/>
  <c r="J752" i="3" s="1"/>
  <c r="O2433" i="3"/>
  <c r="Q30" i="3"/>
  <c r="P30" i="3"/>
  <c r="Q871" i="3"/>
  <c r="P871" i="3"/>
  <c r="Q1470" i="3"/>
  <c r="P1470" i="3"/>
  <c r="N2433" i="3"/>
  <c r="J2434" i="3" s="1"/>
  <c r="N30" i="3"/>
  <c r="J31" i="3" s="1"/>
  <c r="K1590" i="3"/>
  <c r="L1590" i="3" s="1"/>
  <c r="K390" i="3"/>
  <c r="L390" i="3" s="1"/>
  <c r="S389" i="3"/>
  <c r="R389" i="3"/>
  <c r="L872" i="3"/>
  <c r="K872" i="3"/>
  <c r="K1471" i="3"/>
  <c r="L1471" i="3" s="1"/>
  <c r="Q1830" i="3"/>
  <c r="P1830" i="3"/>
  <c r="O30" i="3"/>
  <c r="S1710" i="3"/>
  <c r="R1710" i="3"/>
  <c r="K630" i="3"/>
  <c r="L630" i="3"/>
  <c r="K1949" i="3"/>
  <c r="L1949" i="3" s="1"/>
  <c r="K1230" i="3"/>
  <c r="L1230" i="3" s="1"/>
  <c r="S1589" i="3"/>
  <c r="R1589" i="3"/>
  <c r="M2550" i="3"/>
  <c r="M991" i="3"/>
  <c r="K2071" i="3"/>
  <c r="L2071" i="3" s="1"/>
  <c r="S2070" i="3"/>
  <c r="R2070" i="3"/>
  <c r="O871" i="3"/>
  <c r="O1470" i="3"/>
  <c r="N1830" i="3"/>
  <c r="J1831" i="3" s="1"/>
  <c r="Q2190" i="3"/>
  <c r="P2190" i="3"/>
  <c r="S1229" i="3"/>
  <c r="R1229" i="3"/>
  <c r="S509" i="3"/>
  <c r="R509" i="3"/>
  <c r="K1711" i="3"/>
  <c r="L1711" i="3" s="1"/>
  <c r="N51" i="1"/>
  <c r="O51" i="1" s="1"/>
  <c r="Q271" i="3"/>
  <c r="P271" i="3"/>
  <c r="O1830" i="3"/>
  <c r="N2190" i="3"/>
  <c r="J2191" i="3" s="1"/>
  <c r="M1110" i="3"/>
  <c r="O1110" i="3" s="1"/>
  <c r="S1349" i="3"/>
  <c r="R1349" i="3"/>
  <c r="S1948" i="3"/>
  <c r="R1948" i="3"/>
  <c r="N271" i="3"/>
  <c r="J272" i="3" s="1"/>
  <c r="Q2308" i="3"/>
  <c r="P2308" i="3"/>
  <c r="O2190" i="3"/>
  <c r="M1471" i="3" l="1"/>
  <c r="M1230" i="3"/>
  <c r="O2071" i="3"/>
  <c r="N2071" i="3"/>
  <c r="J2072" i="3" s="1"/>
  <c r="M2071" i="3"/>
  <c r="M2309" i="3"/>
  <c r="O1949" i="3"/>
  <c r="N1949" i="3"/>
  <c r="J1950" i="3" s="1"/>
  <c r="M1949" i="3"/>
  <c r="Q51" i="1"/>
  <c r="M52" i="1" s="1"/>
  <c r="P51" i="1"/>
  <c r="R51" i="1"/>
  <c r="M390" i="3"/>
  <c r="M1711" i="3"/>
  <c r="O1711" i="3" s="1"/>
  <c r="M1590" i="3"/>
  <c r="Q991" i="3"/>
  <c r="P991" i="3"/>
  <c r="M872" i="3"/>
  <c r="O872" i="3" s="1"/>
  <c r="K31" i="3"/>
  <c r="L31" i="3" s="1"/>
  <c r="K1351" i="3"/>
  <c r="L1351" i="3" s="1"/>
  <c r="K2434" i="3"/>
  <c r="L2434" i="3" s="1"/>
  <c r="K752" i="3"/>
  <c r="L752" i="3"/>
  <c r="N991" i="3"/>
  <c r="J992" i="3" s="1"/>
  <c r="Q151" i="3"/>
  <c r="P151" i="3"/>
  <c r="K1831" i="3"/>
  <c r="L1831" i="3" s="1"/>
  <c r="N151" i="3"/>
  <c r="J152" i="3" s="1"/>
  <c r="O991" i="3"/>
  <c r="Q2550" i="3"/>
  <c r="P2550" i="3"/>
  <c r="S2433" i="3"/>
  <c r="R2433" i="3"/>
  <c r="O151" i="3"/>
  <c r="L2191" i="3"/>
  <c r="K2191" i="3"/>
  <c r="S1470" i="3"/>
  <c r="R1470" i="3"/>
  <c r="S1830" i="3"/>
  <c r="R1830" i="3"/>
  <c r="M630" i="3"/>
  <c r="N630" i="3" s="1"/>
  <c r="J631" i="3" s="1"/>
  <c r="S871" i="3"/>
  <c r="R871" i="3"/>
  <c r="Q510" i="3"/>
  <c r="P510" i="3"/>
  <c r="S271" i="3"/>
  <c r="R271" i="3"/>
  <c r="N2550" i="3"/>
  <c r="J2551" i="3" s="1"/>
  <c r="S751" i="3"/>
  <c r="R751" i="3"/>
  <c r="N510" i="3"/>
  <c r="J511" i="3" s="1"/>
  <c r="S2308" i="3"/>
  <c r="R2308" i="3"/>
  <c r="Q1110" i="3"/>
  <c r="P1110" i="3"/>
  <c r="O2550" i="3"/>
  <c r="K272" i="3"/>
  <c r="L272" i="3" s="1"/>
  <c r="N1110" i="3"/>
  <c r="J1111" i="3" s="1"/>
  <c r="S2190" i="3"/>
  <c r="R2190" i="3"/>
  <c r="S30" i="3"/>
  <c r="R30" i="3"/>
  <c r="Q1350" i="3"/>
  <c r="P1350" i="3"/>
  <c r="O510" i="3"/>
  <c r="M1831" i="3" l="1"/>
  <c r="M2434" i="3"/>
  <c r="O1351" i="3"/>
  <c r="N1351" i="3"/>
  <c r="J1352" i="3" s="1"/>
  <c r="M1351" i="3"/>
  <c r="M31" i="3"/>
  <c r="O272" i="3"/>
  <c r="M272" i="3"/>
  <c r="L631" i="3"/>
  <c r="K631" i="3"/>
  <c r="N872" i="3"/>
  <c r="J873" i="3" s="1"/>
  <c r="N1711" i="3"/>
  <c r="J1712" i="3" s="1"/>
  <c r="Q1949" i="3"/>
  <c r="P1949" i="3"/>
  <c r="M2191" i="3"/>
  <c r="N2191" i="3" s="1"/>
  <c r="J2192" i="3" s="1"/>
  <c r="K152" i="3"/>
  <c r="L152" i="3"/>
  <c r="K1950" i="3"/>
  <c r="L1950" i="3" s="1"/>
  <c r="Q1230" i="3"/>
  <c r="P1230" i="3"/>
  <c r="O752" i="3"/>
  <c r="N752" i="3"/>
  <c r="J753" i="3" s="1"/>
  <c r="M752" i="3"/>
  <c r="Q390" i="3"/>
  <c r="P390" i="3"/>
  <c r="O1230" i="3"/>
  <c r="Q630" i="3"/>
  <c r="P630" i="3"/>
  <c r="Q1711" i="3"/>
  <c r="P1711" i="3"/>
  <c r="K1111" i="3"/>
  <c r="L1111" i="3"/>
  <c r="S991" i="3"/>
  <c r="R991" i="3"/>
  <c r="N390" i="3"/>
  <c r="J391" i="3" s="1"/>
  <c r="Q2309" i="3"/>
  <c r="P2309" i="3"/>
  <c r="N1230" i="3"/>
  <c r="J1231" i="3" s="1"/>
  <c r="N52" i="1"/>
  <c r="O52" i="1" s="1"/>
  <c r="O630" i="3"/>
  <c r="Q1590" i="3"/>
  <c r="P1590" i="3"/>
  <c r="O390" i="3"/>
  <c r="N2309" i="3"/>
  <c r="J2310" i="3" s="1"/>
  <c r="Q1471" i="3"/>
  <c r="P1471" i="3"/>
  <c r="S2550" i="3"/>
  <c r="R2550" i="3"/>
  <c r="Q872" i="3"/>
  <c r="P872" i="3"/>
  <c r="L511" i="3"/>
  <c r="K511" i="3"/>
  <c r="S510" i="3"/>
  <c r="R510" i="3"/>
  <c r="S151" i="3"/>
  <c r="R151" i="3"/>
  <c r="N1590" i="3"/>
  <c r="J1591" i="3" s="1"/>
  <c r="O2309" i="3"/>
  <c r="N1471" i="3"/>
  <c r="J1472" i="3" s="1"/>
  <c r="K2072" i="3"/>
  <c r="L2072" i="3" s="1"/>
  <c r="S1350" i="3"/>
  <c r="R1350" i="3"/>
  <c r="S1110" i="3"/>
  <c r="R1110" i="3"/>
  <c r="K2551" i="3"/>
  <c r="L2551" i="3" s="1"/>
  <c r="K992" i="3"/>
  <c r="L992" i="3"/>
  <c r="O1590" i="3"/>
  <c r="T51" i="1"/>
  <c r="S51" i="1"/>
  <c r="Q2071" i="3"/>
  <c r="P2071" i="3"/>
  <c r="O1471" i="3"/>
  <c r="P52" i="1" l="1"/>
  <c r="M1950" i="3"/>
  <c r="K2192" i="3"/>
  <c r="L2192" i="3" s="1"/>
  <c r="M2072" i="3"/>
  <c r="M2551" i="3"/>
  <c r="K1352" i="3"/>
  <c r="L1352" i="3" s="1"/>
  <c r="S2309" i="3"/>
  <c r="R2309" i="3"/>
  <c r="S1711" i="3"/>
  <c r="R1711" i="3"/>
  <c r="O2191" i="3"/>
  <c r="Q272" i="3"/>
  <c r="P272" i="3"/>
  <c r="S872" i="3"/>
  <c r="R872" i="3"/>
  <c r="K391" i="3"/>
  <c r="L391" i="3" s="1"/>
  <c r="Q2434" i="3"/>
  <c r="P2434" i="3"/>
  <c r="M511" i="3"/>
  <c r="S630" i="3"/>
  <c r="R630" i="3"/>
  <c r="S1230" i="3"/>
  <c r="R1230" i="3"/>
  <c r="N272" i="3"/>
  <c r="J273" i="3" s="1"/>
  <c r="O2434" i="3"/>
  <c r="K753" i="3"/>
  <c r="L753" i="3" s="1"/>
  <c r="S1949" i="3"/>
  <c r="R1949" i="3"/>
  <c r="Q31" i="3"/>
  <c r="P31" i="3"/>
  <c r="N2434" i="3"/>
  <c r="J2435" i="3" s="1"/>
  <c r="K2310" i="3"/>
  <c r="L2310" i="3" s="1"/>
  <c r="M631" i="3"/>
  <c r="O631" i="3"/>
  <c r="M992" i="3"/>
  <c r="S1590" i="3"/>
  <c r="R1590" i="3"/>
  <c r="S2071" i="3"/>
  <c r="R2071" i="3"/>
  <c r="K1712" i="3"/>
  <c r="L1712" i="3" s="1"/>
  <c r="N31" i="3"/>
  <c r="J32" i="3" s="1"/>
  <c r="Q1831" i="3"/>
  <c r="P1831" i="3"/>
  <c r="V51" i="1"/>
  <c r="U51" i="1"/>
  <c r="Q2191" i="3"/>
  <c r="P2191" i="3"/>
  <c r="K1472" i="3"/>
  <c r="L1472" i="3" s="1"/>
  <c r="O1111" i="3"/>
  <c r="N1111" i="3"/>
  <c r="J1112" i="3" s="1"/>
  <c r="M1111" i="3"/>
  <c r="S390" i="3"/>
  <c r="R390" i="3"/>
  <c r="M152" i="3"/>
  <c r="L873" i="3"/>
  <c r="K873" i="3"/>
  <c r="O31" i="3"/>
  <c r="O1831" i="3"/>
  <c r="K1591" i="3"/>
  <c r="L1591" i="3" s="1"/>
  <c r="S1471" i="3"/>
  <c r="R1471" i="3"/>
  <c r="K1231" i="3"/>
  <c r="L1231" i="3"/>
  <c r="Q752" i="3"/>
  <c r="P752" i="3"/>
  <c r="Q1351" i="3"/>
  <c r="P1351" i="3"/>
  <c r="N1831" i="3"/>
  <c r="J1832" i="3" s="1"/>
  <c r="M1712" i="3" l="1"/>
  <c r="M1472" i="3"/>
  <c r="O2192" i="3"/>
  <c r="N2192" i="3"/>
  <c r="J2193" i="3" s="1"/>
  <c r="M2192" i="3"/>
  <c r="M2310" i="3"/>
  <c r="N391" i="3"/>
  <c r="J392" i="3" s="1"/>
  <c r="M391" i="3"/>
  <c r="N1352" i="3"/>
  <c r="J1353" i="3" s="1"/>
  <c r="M1352" i="3"/>
  <c r="M1591" i="3"/>
  <c r="M753" i="3"/>
  <c r="O753" i="3" s="1"/>
  <c r="K1112" i="3"/>
  <c r="L1112" i="3" s="1"/>
  <c r="Q631" i="3"/>
  <c r="P631" i="3"/>
  <c r="S2434" i="3"/>
  <c r="R2434" i="3"/>
  <c r="S272" i="3"/>
  <c r="R272" i="3"/>
  <c r="Q152" i="3"/>
  <c r="P152" i="3"/>
  <c r="O152" i="3"/>
  <c r="N631" i="3"/>
  <c r="J632" i="3" s="1"/>
  <c r="Q2551" i="3"/>
  <c r="P2551" i="3"/>
  <c r="Q1950" i="3"/>
  <c r="P1950" i="3"/>
  <c r="M873" i="3"/>
  <c r="N152" i="3"/>
  <c r="J153" i="3" s="1"/>
  <c r="N2551" i="3"/>
  <c r="J2552" i="3" s="1"/>
  <c r="N1950" i="3"/>
  <c r="J1951" i="3" s="1"/>
  <c r="K1832" i="3"/>
  <c r="L1832" i="3"/>
  <c r="S1351" i="3"/>
  <c r="R1351" i="3"/>
  <c r="K32" i="3"/>
  <c r="L32" i="3" s="1"/>
  <c r="O2551" i="3"/>
  <c r="O1950" i="3"/>
  <c r="S1831" i="3"/>
  <c r="R1831" i="3"/>
  <c r="S752" i="3"/>
  <c r="R752" i="3"/>
  <c r="S2191" i="3"/>
  <c r="R2191" i="3"/>
  <c r="Q992" i="3"/>
  <c r="P992" i="3"/>
  <c r="K2435" i="3"/>
  <c r="L2435" i="3"/>
  <c r="Q511" i="3"/>
  <c r="P511" i="3"/>
  <c r="Q2072" i="3"/>
  <c r="P2072" i="3"/>
  <c r="T52" i="1"/>
  <c r="S52" i="1"/>
  <c r="N992" i="3"/>
  <c r="J993" i="3" s="1"/>
  <c r="K273" i="3"/>
  <c r="L273" i="3"/>
  <c r="N511" i="3"/>
  <c r="J512" i="3" s="1"/>
  <c r="N2072" i="3"/>
  <c r="J2073" i="3" s="1"/>
  <c r="Q52" i="1"/>
  <c r="M53" i="1" s="1"/>
  <c r="M1231" i="3"/>
  <c r="Q1111" i="3"/>
  <c r="P1111" i="3"/>
  <c r="O992" i="3"/>
  <c r="S31" i="3"/>
  <c r="R31" i="3"/>
  <c r="O511" i="3"/>
  <c r="O2072" i="3"/>
  <c r="R52" i="1"/>
  <c r="M32" i="3" l="1"/>
  <c r="M1112" i="3"/>
  <c r="K2552" i="3"/>
  <c r="L2552" i="3" s="1"/>
  <c r="S2551" i="3"/>
  <c r="R2551" i="3"/>
  <c r="Q391" i="3"/>
  <c r="P391" i="3"/>
  <c r="Q753" i="3"/>
  <c r="P753" i="3"/>
  <c r="N2435" i="3"/>
  <c r="J2436" i="3" s="1"/>
  <c r="M2435" i="3"/>
  <c r="K632" i="3"/>
  <c r="L632" i="3" s="1"/>
  <c r="N753" i="3"/>
  <c r="J754" i="3" s="1"/>
  <c r="L392" i="3"/>
  <c r="K392" i="3"/>
  <c r="Q1472" i="3"/>
  <c r="P1472" i="3"/>
  <c r="K1951" i="3"/>
  <c r="L1951" i="3" s="1"/>
  <c r="S1111" i="3"/>
  <c r="R1111" i="3"/>
  <c r="K993" i="3"/>
  <c r="L993" i="3" s="1"/>
  <c r="Q873" i="3"/>
  <c r="P873" i="3"/>
  <c r="Q1591" i="3"/>
  <c r="P1591" i="3"/>
  <c r="O391" i="3"/>
  <c r="N1472" i="3"/>
  <c r="J1473" i="3" s="1"/>
  <c r="O873" i="3"/>
  <c r="N1591" i="3"/>
  <c r="J1592" i="3" s="1"/>
  <c r="Q2310" i="3"/>
  <c r="P2310" i="3"/>
  <c r="O1472" i="3"/>
  <c r="N53" i="1"/>
  <c r="O53" i="1" s="1"/>
  <c r="N873" i="3"/>
  <c r="J874" i="3" s="1"/>
  <c r="S152" i="3"/>
  <c r="R152" i="3"/>
  <c r="S631" i="3"/>
  <c r="R631" i="3"/>
  <c r="O1591" i="3"/>
  <c r="N2310" i="3"/>
  <c r="J2311" i="3" s="1"/>
  <c r="Q1712" i="3"/>
  <c r="P1712" i="3"/>
  <c r="K2193" i="3"/>
  <c r="L2193" i="3" s="1"/>
  <c r="Q1231" i="3"/>
  <c r="P1231" i="3"/>
  <c r="N1231" i="3"/>
  <c r="J1232" i="3" s="1"/>
  <c r="O1231" i="3"/>
  <c r="V52" i="1"/>
  <c r="U52" i="1"/>
  <c r="M1832" i="3"/>
  <c r="Q1352" i="3"/>
  <c r="P1352" i="3"/>
  <c r="O2310" i="3"/>
  <c r="N1712" i="3"/>
  <c r="J1713" i="3" s="1"/>
  <c r="M273" i="3"/>
  <c r="K1353" i="3"/>
  <c r="L1353" i="3"/>
  <c r="S511" i="3"/>
  <c r="R511" i="3"/>
  <c r="K153" i="3"/>
  <c r="L153" i="3"/>
  <c r="S992" i="3"/>
  <c r="R992" i="3"/>
  <c r="K2073" i="3"/>
  <c r="L2073" i="3"/>
  <c r="L512" i="3"/>
  <c r="K512" i="3"/>
  <c r="S2072" i="3"/>
  <c r="R2072" i="3"/>
  <c r="S1950" i="3"/>
  <c r="R1950" i="3"/>
  <c r="O1352" i="3"/>
  <c r="Q2192" i="3"/>
  <c r="P2192" i="3"/>
  <c r="O1712" i="3"/>
  <c r="M632" i="3" l="1"/>
  <c r="M2193" i="3"/>
  <c r="O993" i="3"/>
  <c r="N993" i="3"/>
  <c r="J994" i="3" s="1"/>
  <c r="M993" i="3"/>
  <c r="M2552" i="3"/>
  <c r="O1951" i="3"/>
  <c r="N1951" i="3"/>
  <c r="J1952" i="3" s="1"/>
  <c r="M1951" i="3"/>
  <c r="R53" i="1"/>
  <c r="P53" i="1"/>
  <c r="S1712" i="3"/>
  <c r="R1712" i="3"/>
  <c r="M1353" i="3"/>
  <c r="N1353" i="3" s="1"/>
  <c r="J1354" i="3" s="1"/>
  <c r="K2311" i="3"/>
  <c r="L2311" i="3" s="1"/>
  <c r="K874" i="3"/>
  <c r="L874" i="3"/>
  <c r="K1473" i="3"/>
  <c r="L1473" i="3" s="1"/>
  <c r="N392" i="3"/>
  <c r="J393" i="3" s="1"/>
  <c r="O392" i="3"/>
  <c r="M392" i="3"/>
  <c r="S753" i="3"/>
  <c r="R753" i="3"/>
  <c r="Q1112" i="3"/>
  <c r="P1112" i="3"/>
  <c r="K754" i="3"/>
  <c r="L754" i="3"/>
  <c r="O1112" i="3"/>
  <c r="S1472" i="3"/>
  <c r="R1472" i="3"/>
  <c r="K1232" i="3"/>
  <c r="L1232" i="3" s="1"/>
  <c r="S391" i="3"/>
  <c r="R391" i="3"/>
  <c r="N1112" i="3"/>
  <c r="J1113" i="3" s="1"/>
  <c r="K2436" i="3"/>
  <c r="L2436" i="3"/>
  <c r="S1352" i="3"/>
  <c r="R1352" i="3"/>
  <c r="Q1832" i="3"/>
  <c r="P1832" i="3"/>
  <c r="Q273" i="3"/>
  <c r="P273" i="3"/>
  <c r="O1832" i="3"/>
  <c r="O153" i="3"/>
  <c r="M153" i="3"/>
  <c r="O273" i="3"/>
  <c r="N1832" i="3"/>
  <c r="J1833" i="3" s="1"/>
  <c r="S1231" i="3"/>
  <c r="R1231" i="3"/>
  <c r="S1591" i="3"/>
  <c r="R1591" i="3"/>
  <c r="Q32" i="3"/>
  <c r="P32" i="3"/>
  <c r="S2192" i="3"/>
  <c r="R2192" i="3"/>
  <c r="N273" i="3"/>
  <c r="J274" i="3" s="1"/>
  <c r="Q2435" i="3"/>
  <c r="P2435" i="3"/>
  <c r="O32" i="3"/>
  <c r="M2073" i="3"/>
  <c r="K1592" i="3"/>
  <c r="L1592" i="3" s="1"/>
  <c r="M512" i="3"/>
  <c r="K1713" i="3"/>
  <c r="L1713" i="3" s="1"/>
  <c r="S2310" i="3"/>
  <c r="R2310" i="3"/>
  <c r="S873" i="3"/>
  <c r="R873" i="3"/>
  <c r="O2435" i="3"/>
  <c r="N32" i="3"/>
  <c r="J33" i="3" s="1"/>
  <c r="K1354" i="3" l="1"/>
  <c r="L1354" i="3"/>
  <c r="M2311" i="3"/>
  <c r="M1713" i="3"/>
  <c r="O1713" i="3" s="1"/>
  <c r="M1232" i="3"/>
  <c r="M1592" i="3"/>
  <c r="N1473" i="3"/>
  <c r="J1474" i="3" s="1"/>
  <c r="O1473" i="3"/>
  <c r="M1473" i="3"/>
  <c r="Q512" i="3"/>
  <c r="P512" i="3"/>
  <c r="M754" i="3"/>
  <c r="Q153" i="3"/>
  <c r="P153" i="3"/>
  <c r="K393" i="3"/>
  <c r="L393" i="3"/>
  <c r="O1353" i="3"/>
  <c r="Q1951" i="3"/>
  <c r="P1951" i="3"/>
  <c r="K1952" i="3"/>
  <c r="L1952" i="3" s="1"/>
  <c r="Q2193" i="3"/>
  <c r="P2193" i="3"/>
  <c r="O2193" i="3"/>
  <c r="S1832" i="3"/>
  <c r="R1832" i="3"/>
  <c r="O512" i="3"/>
  <c r="O874" i="3"/>
  <c r="N874" i="3"/>
  <c r="J875" i="3" s="1"/>
  <c r="M874" i="3"/>
  <c r="Q2552" i="3"/>
  <c r="P2552" i="3"/>
  <c r="N2193" i="3"/>
  <c r="J2194" i="3" s="1"/>
  <c r="K994" i="3"/>
  <c r="L994" i="3" s="1"/>
  <c r="Q2073" i="3"/>
  <c r="P2073" i="3"/>
  <c r="N2552" i="3"/>
  <c r="J2553" i="3" s="1"/>
  <c r="Q632" i="3"/>
  <c r="P632" i="3"/>
  <c r="S32" i="3"/>
  <c r="R32" i="3"/>
  <c r="Q1353" i="3"/>
  <c r="P1353" i="3"/>
  <c r="S2435" i="3"/>
  <c r="R2435" i="3"/>
  <c r="S1112" i="3"/>
  <c r="R1112" i="3"/>
  <c r="O2436" i="3"/>
  <c r="N2436" i="3"/>
  <c r="J2437" i="3" s="1"/>
  <c r="M2436" i="3"/>
  <c r="K33" i="3"/>
  <c r="L33" i="3" s="1"/>
  <c r="N2073" i="3"/>
  <c r="J2074" i="3" s="1"/>
  <c r="K1113" i="3"/>
  <c r="L1113" i="3"/>
  <c r="T53" i="1"/>
  <c r="S53" i="1"/>
  <c r="O2552" i="3"/>
  <c r="O632" i="3"/>
  <c r="N512" i="3"/>
  <c r="J513" i="3" s="1"/>
  <c r="K274" i="3"/>
  <c r="L274" i="3"/>
  <c r="N153" i="3"/>
  <c r="J154" i="3" s="1"/>
  <c r="S273" i="3"/>
  <c r="R273" i="3"/>
  <c r="O2073" i="3"/>
  <c r="K1833" i="3"/>
  <c r="L1833" i="3"/>
  <c r="Q392" i="3"/>
  <c r="P392" i="3"/>
  <c r="Q53" i="1"/>
  <c r="M54" i="1" s="1"/>
  <c r="Q993" i="3"/>
  <c r="P993" i="3"/>
  <c r="N632" i="3"/>
  <c r="J633" i="3" s="1"/>
  <c r="M1952" i="3" l="1"/>
  <c r="M33" i="3"/>
  <c r="O994" i="3"/>
  <c r="N994" i="3"/>
  <c r="J995" i="3" s="1"/>
  <c r="M994" i="3"/>
  <c r="N54" i="1"/>
  <c r="O54" i="1" s="1"/>
  <c r="V53" i="1"/>
  <c r="U53" i="1"/>
  <c r="S1353" i="3"/>
  <c r="R1353" i="3"/>
  <c r="S2073" i="3"/>
  <c r="R2073" i="3"/>
  <c r="S153" i="3"/>
  <c r="R153" i="3"/>
  <c r="K1474" i="3"/>
  <c r="L1474" i="3"/>
  <c r="S2193" i="3"/>
  <c r="R2193" i="3"/>
  <c r="Q1713" i="3"/>
  <c r="P1713" i="3"/>
  <c r="Q754" i="3"/>
  <c r="P754" i="3"/>
  <c r="Q1592" i="3"/>
  <c r="P1592" i="3"/>
  <c r="N1713" i="3"/>
  <c r="J1714" i="3" s="1"/>
  <c r="K875" i="3"/>
  <c r="L875" i="3" s="1"/>
  <c r="S392" i="3"/>
  <c r="R392" i="3"/>
  <c r="N754" i="3"/>
  <c r="J755" i="3" s="1"/>
  <c r="N1592" i="3"/>
  <c r="J1593" i="3" s="1"/>
  <c r="Q2311" i="3"/>
  <c r="P2311" i="3"/>
  <c r="M274" i="3"/>
  <c r="O274" i="3" s="1"/>
  <c r="M1833" i="3"/>
  <c r="K2074" i="3"/>
  <c r="L2074" i="3" s="1"/>
  <c r="K2194" i="3"/>
  <c r="L2194" i="3" s="1"/>
  <c r="S1951" i="3"/>
  <c r="R1951" i="3"/>
  <c r="O754" i="3"/>
  <c r="O1592" i="3"/>
  <c r="N2311" i="3"/>
  <c r="J2312" i="3" s="1"/>
  <c r="K2437" i="3"/>
  <c r="L2437" i="3" s="1"/>
  <c r="K154" i="3"/>
  <c r="L154" i="3" s="1"/>
  <c r="M1113" i="3"/>
  <c r="N1113" i="3" s="1"/>
  <c r="J1114" i="3" s="1"/>
  <c r="K513" i="3"/>
  <c r="L513" i="3"/>
  <c r="K633" i="3"/>
  <c r="L633" i="3"/>
  <c r="Q1232" i="3"/>
  <c r="P1232" i="3"/>
  <c r="O2311" i="3"/>
  <c r="M393" i="3"/>
  <c r="N393" i="3" s="1"/>
  <c r="J394" i="3" s="1"/>
  <c r="S512" i="3"/>
  <c r="R512" i="3"/>
  <c r="O1232" i="3"/>
  <c r="M1354" i="3"/>
  <c r="N1354" i="3" s="1"/>
  <c r="J1355" i="3" s="1"/>
  <c r="S632" i="3"/>
  <c r="R632" i="3"/>
  <c r="S2552" i="3"/>
  <c r="R2552" i="3"/>
  <c r="S993" i="3"/>
  <c r="R993" i="3"/>
  <c r="Q2436" i="3"/>
  <c r="P2436" i="3"/>
  <c r="K2553" i="3"/>
  <c r="L2553" i="3" s="1"/>
  <c r="Q874" i="3"/>
  <c r="P874" i="3"/>
  <c r="Q1473" i="3"/>
  <c r="P1473" i="3"/>
  <c r="N1232" i="3"/>
  <c r="J1233" i="3" s="1"/>
  <c r="K1355" i="3" l="1"/>
  <c r="L1355" i="3"/>
  <c r="P54" i="1"/>
  <c r="R54" i="1"/>
  <c r="M154" i="3"/>
  <c r="O154" i="3" s="1"/>
  <c r="K394" i="3"/>
  <c r="L394" i="3"/>
  <c r="M875" i="3"/>
  <c r="K1114" i="3"/>
  <c r="L1114" i="3" s="1"/>
  <c r="N2194" i="3"/>
  <c r="J2195" i="3" s="1"/>
  <c r="M2194" i="3"/>
  <c r="M2074" i="3"/>
  <c r="N2074" i="3" s="1"/>
  <c r="J2075" i="3" s="1"/>
  <c r="M2437" i="3"/>
  <c r="N2437" i="3" s="1"/>
  <c r="J2438" i="3" s="1"/>
  <c r="M2553" i="3"/>
  <c r="K995" i="3"/>
  <c r="L995" i="3" s="1"/>
  <c r="Q274" i="3"/>
  <c r="P274" i="3"/>
  <c r="Q33" i="3"/>
  <c r="P33" i="3"/>
  <c r="K1233" i="3"/>
  <c r="L1233" i="3"/>
  <c r="M513" i="3"/>
  <c r="N274" i="3"/>
  <c r="J275" i="3" s="1"/>
  <c r="O393" i="3"/>
  <c r="N33" i="3"/>
  <c r="J34" i="3" s="1"/>
  <c r="S2436" i="3"/>
  <c r="R2436" i="3"/>
  <c r="S1473" i="3"/>
  <c r="R1473" i="3"/>
  <c r="L2312" i="3"/>
  <c r="K2312" i="3"/>
  <c r="S2311" i="3"/>
  <c r="R2311" i="3"/>
  <c r="K1714" i="3"/>
  <c r="L1714" i="3"/>
  <c r="O33" i="3"/>
  <c r="S754" i="3"/>
  <c r="R754" i="3"/>
  <c r="Q1833" i="3"/>
  <c r="P1833" i="3"/>
  <c r="K1593" i="3"/>
  <c r="L1593" i="3" s="1"/>
  <c r="Q1952" i="3"/>
  <c r="P1952" i="3"/>
  <c r="M633" i="3"/>
  <c r="S1713" i="3"/>
  <c r="R1713" i="3"/>
  <c r="Q1354" i="3"/>
  <c r="P1354" i="3"/>
  <c r="Q1113" i="3"/>
  <c r="P1113" i="3"/>
  <c r="N1833" i="3"/>
  <c r="J1834" i="3" s="1"/>
  <c r="K755" i="3"/>
  <c r="L755" i="3" s="1"/>
  <c r="S1592" i="3"/>
  <c r="R1592" i="3"/>
  <c r="M1474" i="3"/>
  <c r="N1952" i="3"/>
  <c r="J1953" i="3" s="1"/>
  <c r="Q393" i="3"/>
  <c r="P393" i="3"/>
  <c r="O1354" i="3"/>
  <c r="S874" i="3"/>
  <c r="R874" i="3"/>
  <c r="O1113" i="3"/>
  <c r="S1232" i="3"/>
  <c r="R1232" i="3"/>
  <c r="O1833" i="3"/>
  <c r="Q994" i="3"/>
  <c r="P994" i="3"/>
  <c r="O1952" i="3"/>
  <c r="K2438" i="3" l="1"/>
  <c r="L2438" i="3"/>
  <c r="M995" i="3"/>
  <c r="M755" i="3"/>
  <c r="O755" i="3" s="1"/>
  <c r="K2075" i="3"/>
  <c r="L2075" i="3" s="1"/>
  <c r="M1593" i="3"/>
  <c r="M1114" i="3"/>
  <c r="O1114" i="3" s="1"/>
  <c r="S994" i="3"/>
  <c r="R994" i="3"/>
  <c r="S33" i="3"/>
  <c r="R33" i="3"/>
  <c r="S1952" i="3"/>
  <c r="R1952" i="3"/>
  <c r="K275" i="3"/>
  <c r="L275" i="3" s="1"/>
  <c r="O2437" i="3"/>
  <c r="N154" i="3"/>
  <c r="J155" i="3" s="1"/>
  <c r="Q513" i="3"/>
  <c r="P513" i="3"/>
  <c r="S274" i="3"/>
  <c r="R274" i="3"/>
  <c r="N513" i="3"/>
  <c r="J514" i="3" s="1"/>
  <c r="Q875" i="3"/>
  <c r="P875" i="3"/>
  <c r="L2195" i="3"/>
  <c r="K2195" i="3"/>
  <c r="S393" i="3"/>
  <c r="R393" i="3"/>
  <c r="O513" i="3"/>
  <c r="O2074" i="3"/>
  <c r="N875" i="3"/>
  <c r="J876" i="3" s="1"/>
  <c r="T54" i="1"/>
  <c r="S54" i="1"/>
  <c r="N2312" i="3"/>
  <c r="J2313" i="3" s="1"/>
  <c r="M2312" i="3"/>
  <c r="S1354" i="3"/>
  <c r="R1354" i="3"/>
  <c r="K1953" i="3"/>
  <c r="L1953" i="3" s="1"/>
  <c r="L1834" i="3"/>
  <c r="K1834" i="3"/>
  <c r="S1833" i="3"/>
  <c r="R1833" i="3"/>
  <c r="M1233" i="3"/>
  <c r="Q2553" i="3"/>
  <c r="P2553" i="3"/>
  <c r="O875" i="3"/>
  <c r="Q54" i="1"/>
  <c r="M55" i="1" s="1"/>
  <c r="Q2437" i="3"/>
  <c r="P2437" i="3"/>
  <c r="M1714" i="3"/>
  <c r="Q2074" i="3"/>
  <c r="P2074" i="3"/>
  <c r="Q633" i="3"/>
  <c r="P633" i="3"/>
  <c r="O633" i="3"/>
  <c r="O2553" i="3"/>
  <c r="Q2194" i="3"/>
  <c r="P2194" i="3"/>
  <c r="M394" i="3"/>
  <c r="M1355" i="3"/>
  <c r="Q154" i="3"/>
  <c r="P154" i="3"/>
  <c r="Q1474" i="3"/>
  <c r="P1474" i="3"/>
  <c r="N1474" i="3"/>
  <c r="J1475" i="3" s="1"/>
  <c r="O1474" i="3"/>
  <c r="S1113" i="3"/>
  <c r="R1113" i="3"/>
  <c r="N633" i="3"/>
  <c r="J634" i="3" s="1"/>
  <c r="K34" i="3"/>
  <c r="L34" i="3" s="1"/>
  <c r="N2553" i="3"/>
  <c r="J2554" i="3" s="1"/>
  <c r="O2194" i="3"/>
  <c r="M34" i="3" l="1"/>
  <c r="M2075" i="3"/>
  <c r="O2075" i="3" s="1"/>
  <c r="O275" i="3"/>
  <c r="N275" i="3"/>
  <c r="J276" i="3" s="1"/>
  <c r="M275" i="3"/>
  <c r="M1953" i="3"/>
  <c r="K634" i="3"/>
  <c r="L634" i="3"/>
  <c r="O1834" i="3"/>
  <c r="N1834" i="3"/>
  <c r="J1835" i="3" s="1"/>
  <c r="M1834" i="3"/>
  <c r="N755" i="3"/>
  <c r="J756" i="3" s="1"/>
  <c r="Q1114" i="3"/>
  <c r="P1114" i="3"/>
  <c r="V54" i="1"/>
  <c r="U54" i="1"/>
  <c r="N2195" i="3"/>
  <c r="J2196" i="3" s="1"/>
  <c r="M2195" i="3"/>
  <c r="S513" i="3"/>
  <c r="R513" i="3"/>
  <c r="N1114" i="3"/>
  <c r="J1115" i="3" s="1"/>
  <c r="Q1714" i="3"/>
  <c r="P1714" i="3"/>
  <c r="Q755" i="3"/>
  <c r="P755" i="3"/>
  <c r="Q1233" i="3"/>
  <c r="P1233" i="3"/>
  <c r="K876" i="3"/>
  <c r="L876" i="3" s="1"/>
  <c r="L155" i="3"/>
  <c r="K155" i="3"/>
  <c r="Q1593" i="3"/>
  <c r="P1593" i="3"/>
  <c r="Q995" i="3"/>
  <c r="P995" i="3"/>
  <c r="O1714" i="3"/>
  <c r="Q1355" i="3"/>
  <c r="P1355" i="3"/>
  <c r="N1714" i="3"/>
  <c r="J1715" i="3" s="1"/>
  <c r="N1233" i="3"/>
  <c r="J1234" i="3" s="1"/>
  <c r="O1355" i="3"/>
  <c r="S875" i="3"/>
  <c r="R875" i="3"/>
  <c r="N1593" i="3"/>
  <c r="J1594" i="3" s="1"/>
  <c r="N995" i="3"/>
  <c r="J996" i="3" s="1"/>
  <c r="S2553" i="3"/>
  <c r="R2553" i="3"/>
  <c r="S2194" i="3"/>
  <c r="R2194" i="3"/>
  <c r="N1355" i="3"/>
  <c r="J1356" i="3" s="1"/>
  <c r="O1233" i="3"/>
  <c r="S2437" i="3"/>
  <c r="R2437" i="3"/>
  <c r="K1475" i="3"/>
  <c r="L1475" i="3" s="1"/>
  <c r="N55" i="1"/>
  <c r="O55" i="1" s="1"/>
  <c r="K514" i="3"/>
  <c r="L514" i="3" s="1"/>
  <c r="O1593" i="3"/>
  <c r="O995" i="3"/>
  <c r="K2554" i="3"/>
  <c r="L2554" i="3"/>
  <c r="O2438" i="3"/>
  <c r="M2438" i="3"/>
  <c r="K2313" i="3"/>
  <c r="L2313" i="3" s="1"/>
  <c r="S154" i="3"/>
  <c r="R154" i="3"/>
  <c r="Q394" i="3"/>
  <c r="P394" i="3"/>
  <c r="S633" i="3"/>
  <c r="R633" i="3"/>
  <c r="O394" i="3"/>
  <c r="Q2312" i="3"/>
  <c r="P2312" i="3"/>
  <c r="S1474" i="3"/>
  <c r="R1474" i="3"/>
  <c r="N394" i="3"/>
  <c r="J395" i="3" s="1"/>
  <c r="S2074" i="3"/>
  <c r="R2074" i="3"/>
  <c r="O2312" i="3"/>
  <c r="M2313" i="3" l="1"/>
  <c r="M1475" i="3"/>
  <c r="Q55" i="1"/>
  <c r="M56" i="1" s="1"/>
  <c r="R55" i="1"/>
  <c r="P55" i="1"/>
  <c r="M514" i="3"/>
  <c r="M876" i="3"/>
  <c r="K395" i="3"/>
  <c r="L395" i="3" s="1"/>
  <c r="K1715" i="3"/>
  <c r="L1715" i="3" s="1"/>
  <c r="K2196" i="3"/>
  <c r="L2196" i="3" s="1"/>
  <c r="K1835" i="3"/>
  <c r="L1835" i="3" s="1"/>
  <c r="L276" i="3"/>
  <c r="K276" i="3"/>
  <c r="Q2438" i="3"/>
  <c r="P2438" i="3"/>
  <c r="K996" i="3"/>
  <c r="L996" i="3" s="1"/>
  <c r="M155" i="3"/>
  <c r="O155" i="3" s="1"/>
  <c r="S1714" i="3"/>
  <c r="R1714" i="3"/>
  <c r="S1355" i="3"/>
  <c r="R1355" i="3"/>
  <c r="M634" i="3"/>
  <c r="N634" i="3" s="1"/>
  <c r="J635" i="3" s="1"/>
  <c r="N2075" i="3"/>
  <c r="J2076" i="3" s="1"/>
  <c r="Q1953" i="3"/>
  <c r="P1953" i="3"/>
  <c r="K1115" i="3"/>
  <c r="L1115" i="3" s="1"/>
  <c r="O2554" i="3"/>
  <c r="N2554" i="3"/>
  <c r="J2555" i="3" s="1"/>
  <c r="M2554" i="3"/>
  <c r="S1114" i="3"/>
  <c r="R1114" i="3"/>
  <c r="O1953" i="3"/>
  <c r="Q34" i="3"/>
  <c r="P34" i="3"/>
  <c r="L1356" i="3"/>
  <c r="K1356" i="3"/>
  <c r="N2438" i="3"/>
  <c r="J2439" i="3" s="1"/>
  <c r="S2312" i="3"/>
  <c r="R2312" i="3"/>
  <c r="S1233" i="3"/>
  <c r="R1233" i="3"/>
  <c r="Q2195" i="3"/>
  <c r="P2195" i="3"/>
  <c r="K756" i="3"/>
  <c r="L756" i="3" s="1"/>
  <c r="N1953" i="3"/>
  <c r="J1954" i="3" s="1"/>
  <c r="N34" i="3"/>
  <c r="J35" i="3" s="1"/>
  <c r="K1594" i="3"/>
  <c r="L1594" i="3" s="1"/>
  <c r="Q2075" i="3"/>
  <c r="P2075" i="3"/>
  <c r="S394" i="3"/>
  <c r="R394" i="3"/>
  <c r="S995" i="3"/>
  <c r="R995" i="3"/>
  <c r="K1234" i="3"/>
  <c r="L1234" i="3" s="1"/>
  <c r="S1593" i="3"/>
  <c r="R1593" i="3"/>
  <c r="S755" i="3"/>
  <c r="R755" i="3"/>
  <c r="O2195" i="3"/>
  <c r="Q1834" i="3"/>
  <c r="P1834" i="3"/>
  <c r="Q275" i="3"/>
  <c r="P275" i="3"/>
  <c r="O34" i="3"/>
  <c r="K635" i="3" l="1"/>
  <c r="L635" i="3" s="1"/>
  <c r="M1835" i="3"/>
  <c r="M395" i="3"/>
  <c r="O395" i="3" s="1"/>
  <c r="M1234" i="3"/>
  <c r="M2196" i="3"/>
  <c r="O996" i="3"/>
  <c r="N996" i="3"/>
  <c r="J997" i="3" s="1"/>
  <c r="M996" i="3"/>
  <c r="M1594" i="3"/>
  <c r="N756" i="3"/>
  <c r="J757" i="3" s="1"/>
  <c r="M756" i="3"/>
  <c r="O1115" i="3"/>
  <c r="M1115" i="3"/>
  <c r="M1715" i="3"/>
  <c r="N155" i="3"/>
  <c r="J156" i="3" s="1"/>
  <c r="Q876" i="3"/>
  <c r="P876" i="3"/>
  <c r="N56" i="1"/>
  <c r="O56" i="1"/>
  <c r="K35" i="3"/>
  <c r="L35" i="3" s="1"/>
  <c r="S34" i="3"/>
  <c r="R34" i="3"/>
  <c r="N876" i="3"/>
  <c r="J877" i="3" s="1"/>
  <c r="Q1475" i="3"/>
  <c r="P1475" i="3"/>
  <c r="M1356" i="3"/>
  <c r="Q155" i="3"/>
  <c r="P155" i="3"/>
  <c r="O876" i="3"/>
  <c r="O1475" i="3"/>
  <c r="M276" i="3"/>
  <c r="Q514" i="3"/>
  <c r="P514" i="3"/>
  <c r="N1475" i="3"/>
  <c r="J1476" i="3" s="1"/>
  <c r="S275" i="3"/>
  <c r="R275" i="3"/>
  <c r="S1953" i="3"/>
  <c r="R1953" i="3"/>
  <c r="O514" i="3"/>
  <c r="Q2313" i="3"/>
  <c r="P2313" i="3"/>
  <c r="K2555" i="3"/>
  <c r="L2555" i="3" s="1"/>
  <c r="Q634" i="3"/>
  <c r="P634" i="3"/>
  <c r="K1954" i="3"/>
  <c r="L1954" i="3" s="1"/>
  <c r="K2439" i="3"/>
  <c r="L2439" i="3"/>
  <c r="K2076" i="3"/>
  <c r="L2076" i="3" s="1"/>
  <c r="S2438" i="3"/>
  <c r="R2438" i="3"/>
  <c r="N514" i="3"/>
  <c r="J515" i="3" s="1"/>
  <c r="O2313" i="3"/>
  <c r="S1834" i="3"/>
  <c r="R1834" i="3"/>
  <c r="S2075" i="3"/>
  <c r="R2075" i="3"/>
  <c r="S2195" i="3"/>
  <c r="R2195" i="3"/>
  <c r="Q2554" i="3"/>
  <c r="P2554" i="3"/>
  <c r="O634" i="3"/>
  <c r="T55" i="1"/>
  <c r="S55" i="1"/>
  <c r="N2313" i="3"/>
  <c r="J2314" i="3" s="1"/>
  <c r="M2076" i="3" l="1"/>
  <c r="M35" i="3"/>
  <c r="N1954" i="3"/>
  <c r="J1955" i="3" s="1"/>
  <c r="O1954" i="3"/>
  <c r="M1954" i="3"/>
  <c r="M2555" i="3"/>
  <c r="M635" i="3"/>
  <c r="K1476" i="3"/>
  <c r="L1476" i="3" s="1"/>
  <c r="S876" i="3"/>
  <c r="R876" i="3"/>
  <c r="Q756" i="3"/>
  <c r="P756" i="3"/>
  <c r="N395" i="3"/>
  <c r="J396" i="3" s="1"/>
  <c r="L997" i="3"/>
  <c r="K997" i="3"/>
  <c r="K156" i="3"/>
  <c r="L156" i="3" s="1"/>
  <c r="K757" i="3"/>
  <c r="L757" i="3" s="1"/>
  <c r="Q2196" i="3"/>
  <c r="P2196" i="3"/>
  <c r="S514" i="3"/>
  <c r="R514" i="3"/>
  <c r="Q1356" i="3"/>
  <c r="P1356" i="3"/>
  <c r="Q1715" i="3"/>
  <c r="P1715" i="3"/>
  <c r="O756" i="3"/>
  <c r="N2196" i="3"/>
  <c r="J2197" i="3" s="1"/>
  <c r="Q1835" i="3"/>
  <c r="P1835" i="3"/>
  <c r="K515" i="3"/>
  <c r="L515" i="3" s="1"/>
  <c r="Q276" i="3"/>
  <c r="P276" i="3"/>
  <c r="N1356" i="3"/>
  <c r="J1357" i="3" s="1"/>
  <c r="N1715" i="3"/>
  <c r="J1716" i="3" s="1"/>
  <c r="Q1594" i="3"/>
  <c r="P1594" i="3"/>
  <c r="O2196" i="3"/>
  <c r="N1835" i="3"/>
  <c r="J1836" i="3" s="1"/>
  <c r="S2313" i="3"/>
  <c r="R2313" i="3"/>
  <c r="S634" i="3"/>
  <c r="R634" i="3"/>
  <c r="N276" i="3"/>
  <c r="J277" i="3" s="1"/>
  <c r="O1356" i="3"/>
  <c r="O1715" i="3"/>
  <c r="N1594" i="3"/>
  <c r="J1595" i="3" s="1"/>
  <c r="Q1234" i="3"/>
  <c r="P1234" i="3"/>
  <c r="O1835" i="3"/>
  <c r="M2439" i="3"/>
  <c r="Q395" i="3"/>
  <c r="P395" i="3"/>
  <c r="K2314" i="3"/>
  <c r="L2314" i="3"/>
  <c r="O276" i="3"/>
  <c r="P56" i="1"/>
  <c r="Q1115" i="3"/>
  <c r="P1115" i="3"/>
  <c r="O1594" i="3"/>
  <c r="N1234" i="3"/>
  <c r="J1235" i="3" s="1"/>
  <c r="K877" i="3"/>
  <c r="L877" i="3" s="1"/>
  <c r="S155" i="3"/>
  <c r="R155" i="3"/>
  <c r="V55" i="1"/>
  <c r="U55" i="1"/>
  <c r="S2554" i="3"/>
  <c r="R2554" i="3"/>
  <c r="S1475" i="3"/>
  <c r="R1475" i="3"/>
  <c r="N1115" i="3"/>
  <c r="J1116" i="3" s="1"/>
  <c r="Q996" i="3"/>
  <c r="P996" i="3"/>
  <c r="O1234" i="3"/>
  <c r="M877" i="3" l="1"/>
  <c r="M1476" i="3"/>
  <c r="O1476" i="3" s="1"/>
  <c r="O156" i="3"/>
  <c r="N156" i="3"/>
  <c r="J157" i="3" s="1"/>
  <c r="M156" i="3"/>
  <c r="M515" i="3"/>
  <c r="N757" i="3"/>
  <c r="J758" i="3" s="1"/>
  <c r="M757" i="3"/>
  <c r="S1234" i="3"/>
  <c r="R1234" i="3"/>
  <c r="K1357" i="3"/>
  <c r="L1357" i="3" s="1"/>
  <c r="K396" i="3"/>
  <c r="L396" i="3" s="1"/>
  <c r="Q635" i="3"/>
  <c r="P635" i="3"/>
  <c r="K1955" i="3"/>
  <c r="L1955" i="3"/>
  <c r="K1595" i="3"/>
  <c r="L1595" i="3" s="1"/>
  <c r="S2196" i="3"/>
  <c r="R2196" i="3"/>
  <c r="N635" i="3"/>
  <c r="J636" i="3" s="1"/>
  <c r="Q35" i="3"/>
  <c r="P35" i="3"/>
  <c r="S996" i="3"/>
  <c r="R996" i="3"/>
  <c r="K2197" i="3"/>
  <c r="L2197" i="3" s="1"/>
  <c r="S276" i="3"/>
  <c r="R276" i="3"/>
  <c r="S1715" i="3"/>
  <c r="R1715" i="3"/>
  <c r="S756" i="3"/>
  <c r="R756" i="3"/>
  <c r="O635" i="3"/>
  <c r="N35" i="3"/>
  <c r="J36" i="3" s="1"/>
  <c r="M997" i="3"/>
  <c r="N997" i="3" s="1"/>
  <c r="J998" i="3" s="1"/>
  <c r="T56" i="1"/>
  <c r="S56" i="1"/>
  <c r="Q2439" i="3"/>
  <c r="P2439" i="3"/>
  <c r="K1836" i="3"/>
  <c r="L1836" i="3" s="1"/>
  <c r="Q2555" i="3"/>
  <c r="P2555" i="3"/>
  <c r="O35" i="3"/>
  <c r="O2314" i="3"/>
  <c r="N2314" i="3"/>
  <c r="J2315" i="3" s="1"/>
  <c r="M2314" i="3"/>
  <c r="K1716" i="3"/>
  <c r="L1716" i="3" s="1"/>
  <c r="K1116" i="3"/>
  <c r="L1116" i="3" s="1"/>
  <c r="Q56" i="1"/>
  <c r="M57" i="1" s="1"/>
  <c r="O2439" i="3"/>
  <c r="L277" i="3"/>
  <c r="K277" i="3"/>
  <c r="S1356" i="3"/>
  <c r="R1356" i="3"/>
  <c r="O2555" i="3"/>
  <c r="Q2076" i="3"/>
  <c r="P2076" i="3"/>
  <c r="L1235" i="3"/>
  <c r="K1235" i="3"/>
  <c r="S1115" i="3"/>
  <c r="R1115" i="3"/>
  <c r="R56" i="1"/>
  <c r="N2439" i="3"/>
  <c r="J2440" i="3" s="1"/>
  <c r="N2555" i="3"/>
  <c r="J2556" i="3" s="1"/>
  <c r="O2076" i="3"/>
  <c r="S395" i="3"/>
  <c r="R395" i="3"/>
  <c r="S1594" i="3"/>
  <c r="R1594" i="3"/>
  <c r="S1835" i="3"/>
  <c r="R1835" i="3"/>
  <c r="Q1954" i="3"/>
  <c r="P1954" i="3"/>
  <c r="N2076" i="3"/>
  <c r="J2077" i="3" s="1"/>
  <c r="M396" i="3" l="1"/>
  <c r="M1357" i="3"/>
  <c r="N1116" i="3"/>
  <c r="J1117" i="3" s="1"/>
  <c r="O1116" i="3"/>
  <c r="M1116" i="3"/>
  <c r="K998" i="3"/>
  <c r="L998" i="3" s="1"/>
  <c r="M1836" i="3"/>
  <c r="O1716" i="3"/>
  <c r="N1716" i="3"/>
  <c r="J1717" i="3" s="1"/>
  <c r="M1716" i="3"/>
  <c r="M2197" i="3"/>
  <c r="M1595" i="3"/>
  <c r="K2315" i="3"/>
  <c r="L2315" i="3" s="1"/>
  <c r="S635" i="3"/>
  <c r="R635" i="3"/>
  <c r="Q757" i="3"/>
  <c r="P757" i="3"/>
  <c r="S2439" i="3"/>
  <c r="R2439" i="3"/>
  <c r="N57" i="1"/>
  <c r="O57" i="1"/>
  <c r="K758" i="3"/>
  <c r="L758" i="3" s="1"/>
  <c r="O757" i="3"/>
  <c r="N1476" i="3"/>
  <c r="J1477" i="3" s="1"/>
  <c r="O1235" i="3"/>
  <c r="M1235" i="3"/>
  <c r="K157" i="3"/>
  <c r="L157" i="3" s="1"/>
  <c r="S2555" i="3"/>
  <c r="R2555" i="3"/>
  <c r="Q515" i="3"/>
  <c r="P515" i="3"/>
  <c r="K636" i="3"/>
  <c r="L636" i="3" s="1"/>
  <c r="V56" i="1"/>
  <c r="U56" i="1"/>
  <c r="Q997" i="3"/>
  <c r="P997" i="3"/>
  <c r="O997" i="3"/>
  <c r="N515" i="3"/>
  <c r="J516" i="3" s="1"/>
  <c r="Q877" i="3"/>
  <c r="P877" i="3"/>
  <c r="K2440" i="3"/>
  <c r="L2440" i="3" s="1"/>
  <c r="S1954" i="3"/>
  <c r="R1954" i="3"/>
  <c r="K36" i="3"/>
  <c r="L36" i="3" s="1"/>
  <c r="M1955" i="3"/>
  <c r="O515" i="3"/>
  <c r="N877" i="3"/>
  <c r="J878" i="3" s="1"/>
  <c r="M277" i="3"/>
  <c r="K2556" i="3"/>
  <c r="L2556" i="3"/>
  <c r="S2076" i="3"/>
  <c r="R2076" i="3"/>
  <c r="Q1476" i="3"/>
  <c r="P1476" i="3"/>
  <c r="K2077" i="3"/>
  <c r="L2077" i="3"/>
  <c r="Q2314" i="3"/>
  <c r="P2314" i="3"/>
  <c r="S35" i="3"/>
  <c r="R35" i="3"/>
  <c r="Q156" i="3"/>
  <c r="P156" i="3"/>
  <c r="O877" i="3"/>
  <c r="M2315" i="3" l="1"/>
  <c r="M36" i="3"/>
  <c r="N636" i="3"/>
  <c r="J637" i="3" s="1"/>
  <c r="O636" i="3"/>
  <c r="M636" i="3"/>
  <c r="M758" i="3"/>
  <c r="M998" i="3"/>
  <c r="O157" i="3"/>
  <c r="M157" i="3"/>
  <c r="M2440" i="3"/>
  <c r="K878" i="3"/>
  <c r="L878" i="3" s="1"/>
  <c r="L1477" i="3"/>
  <c r="K1477" i="3"/>
  <c r="Q1595" i="3"/>
  <c r="P1595" i="3"/>
  <c r="K1117" i="3"/>
  <c r="L1117" i="3" s="1"/>
  <c r="O1595" i="3"/>
  <c r="Q1836" i="3"/>
  <c r="P1836" i="3"/>
  <c r="Q1357" i="3"/>
  <c r="P1357" i="3"/>
  <c r="S757" i="3"/>
  <c r="R757" i="3"/>
  <c r="N1595" i="3"/>
  <c r="J1596" i="3" s="1"/>
  <c r="N1836" i="3"/>
  <c r="J1837" i="3" s="1"/>
  <c r="N1357" i="3"/>
  <c r="J1358" i="3" s="1"/>
  <c r="Q1955" i="3"/>
  <c r="P1955" i="3"/>
  <c r="M2556" i="3"/>
  <c r="M2077" i="3"/>
  <c r="O2077" i="3" s="1"/>
  <c r="N1955" i="3"/>
  <c r="J1956" i="3" s="1"/>
  <c r="Q2197" i="3"/>
  <c r="P2197" i="3"/>
  <c r="O1836" i="3"/>
  <c r="O1357" i="3"/>
  <c r="S515" i="3"/>
  <c r="R515" i="3"/>
  <c r="O1955" i="3"/>
  <c r="Q277" i="3"/>
  <c r="P277" i="3"/>
  <c r="S877" i="3"/>
  <c r="R877" i="3"/>
  <c r="R57" i="1"/>
  <c r="Q57" i="1"/>
  <c r="M58" i="1" s="1"/>
  <c r="P57" i="1"/>
  <c r="N2197" i="3"/>
  <c r="J2198" i="3" s="1"/>
  <c r="Q396" i="3"/>
  <c r="P396" i="3"/>
  <c r="S997" i="3"/>
  <c r="R997" i="3"/>
  <c r="S156" i="3"/>
  <c r="R156" i="3"/>
  <c r="N277" i="3"/>
  <c r="J278" i="3" s="1"/>
  <c r="K516" i="3"/>
  <c r="L516" i="3" s="1"/>
  <c r="Q1235" i="3"/>
  <c r="P1235" i="3"/>
  <c r="O2197" i="3"/>
  <c r="N396" i="3"/>
  <c r="J397" i="3" s="1"/>
  <c r="L1717" i="3"/>
  <c r="K1717" i="3"/>
  <c r="S2314" i="3"/>
  <c r="R2314" i="3"/>
  <c r="S1476" i="3"/>
  <c r="R1476" i="3"/>
  <c r="O277" i="3"/>
  <c r="N1235" i="3"/>
  <c r="J1236" i="3" s="1"/>
  <c r="Q1716" i="3"/>
  <c r="P1716" i="3"/>
  <c r="Q1116" i="3"/>
  <c r="P1116" i="3"/>
  <c r="O396" i="3"/>
  <c r="M516" i="3" l="1"/>
  <c r="M1117" i="3"/>
  <c r="O878" i="3"/>
  <c r="N878" i="3"/>
  <c r="J879" i="3" s="1"/>
  <c r="M878" i="3"/>
  <c r="K1358" i="3"/>
  <c r="L1358" i="3" s="1"/>
  <c r="N2077" i="3"/>
  <c r="J2078" i="3" s="1"/>
  <c r="K1837" i="3"/>
  <c r="L1837" i="3" s="1"/>
  <c r="S1836" i="3"/>
  <c r="R1836" i="3"/>
  <c r="Q998" i="3"/>
  <c r="P998" i="3"/>
  <c r="K637" i="3"/>
  <c r="L637" i="3" s="1"/>
  <c r="M1477" i="3"/>
  <c r="N1477" i="3" s="1"/>
  <c r="J1478" i="3" s="1"/>
  <c r="K1596" i="3"/>
  <c r="L1596" i="3" s="1"/>
  <c r="O998" i="3"/>
  <c r="Q36" i="3"/>
  <c r="P36" i="3"/>
  <c r="Q2440" i="3"/>
  <c r="P2440" i="3"/>
  <c r="N998" i="3"/>
  <c r="J999" i="3" s="1"/>
  <c r="N36" i="3"/>
  <c r="J37" i="3" s="1"/>
  <c r="N58" i="1"/>
  <c r="O58" i="1" s="1"/>
  <c r="Q2556" i="3"/>
  <c r="P2556" i="3"/>
  <c r="N2556" i="3"/>
  <c r="J2557" i="3" s="1"/>
  <c r="N2440" i="3"/>
  <c r="J2441" i="3" s="1"/>
  <c r="Q758" i="3"/>
  <c r="P758" i="3"/>
  <c r="O36" i="3"/>
  <c r="Q2077" i="3"/>
  <c r="P2077" i="3"/>
  <c r="S1235" i="3"/>
  <c r="R1235" i="3"/>
  <c r="S1716" i="3"/>
  <c r="R1716" i="3"/>
  <c r="K1236" i="3"/>
  <c r="L1236" i="3" s="1"/>
  <c r="K278" i="3"/>
  <c r="L278" i="3" s="1"/>
  <c r="S396" i="3"/>
  <c r="R396" i="3"/>
  <c r="O2556" i="3"/>
  <c r="O2440" i="3"/>
  <c r="N758" i="3"/>
  <c r="J759" i="3" s="1"/>
  <c r="Q2315" i="3"/>
  <c r="P2315" i="3"/>
  <c r="O1717" i="3"/>
  <c r="N1717" i="3"/>
  <c r="J1718" i="3" s="1"/>
  <c r="M1717" i="3"/>
  <c r="K2198" i="3"/>
  <c r="L2198" i="3" s="1"/>
  <c r="S277" i="3"/>
  <c r="R277" i="3"/>
  <c r="S2197" i="3"/>
  <c r="R2197" i="3"/>
  <c r="S1595" i="3"/>
  <c r="R1595" i="3"/>
  <c r="Q157" i="3"/>
  <c r="P157" i="3"/>
  <c r="O758" i="3"/>
  <c r="N2315" i="3"/>
  <c r="J2316" i="3" s="1"/>
  <c r="S1116" i="3"/>
  <c r="R1116" i="3"/>
  <c r="K397" i="3"/>
  <c r="L397" i="3" s="1"/>
  <c r="T57" i="1"/>
  <c r="S57" i="1"/>
  <c r="K1956" i="3"/>
  <c r="L1956" i="3" s="1"/>
  <c r="S1955" i="3"/>
  <c r="R1955" i="3"/>
  <c r="S1357" i="3"/>
  <c r="R1357" i="3"/>
  <c r="N157" i="3"/>
  <c r="J158" i="3" s="1"/>
  <c r="Q636" i="3"/>
  <c r="P636" i="3"/>
  <c r="O2315" i="3"/>
  <c r="P58" i="1" l="1"/>
  <c r="M1837" i="3"/>
  <c r="O278" i="3"/>
  <c r="N278" i="3"/>
  <c r="J279" i="3" s="1"/>
  <c r="M278" i="3"/>
  <c r="M1358" i="3"/>
  <c r="O397" i="3"/>
  <c r="N397" i="3"/>
  <c r="J398" i="3" s="1"/>
  <c r="M397" i="3"/>
  <c r="O637" i="3"/>
  <c r="M637" i="3"/>
  <c r="M1596" i="3"/>
  <c r="K1478" i="3"/>
  <c r="L1478" i="3" s="1"/>
  <c r="O1236" i="3"/>
  <c r="M1236" i="3"/>
  <c r="M1956" i="3"/>
  <c r="M2198" i="3"/>
  <c r="N2198" i="3" s="1"/>
  <c r="J2199" i="3" s="1"/>
  <c r="K158" i="3"/>
  <c r="L158" i="3" s="1"/>
  <c r="K879" i="3"/>
  <c r="L879" i="3" s="1"/>
  <c r="K2441" i="3"/>
  <c r="L2441" i="3" s="1"/>
  <c r="O1477" i="3"/>
  <c r="K2316" i="3"/>
  <c r="L2316" i="3" s="1"/>
  <c r="K999" i="3"/>
  <c r="L999" i="3" s="1"/>
  <c r="K2557" i="3"/>
  <c r="L2557" i="3" s="1"/>
  <c r="S2440" i="3"/>
  <c r="R2440" i="3"/>
  <c r="Q1117" i="3"/>
  <c r="P1117" i="3"/>
  <c r="K1718" i="3"/>
  <c r="L1718" i="3" s="1"/>
  <c r="V57" i="1"/>
  <c r="U57" i="1"/>
  <c r="S2315" i="3"/>
  <c r="R2315" i="3"/>
  <c r="N1117" i="3"/>
  <c r="J1118" i="3" s="1"/>
  <c r="K759" i="3"/>
  <c r="L759" i="3" s="1"/>
  <c r="S2556" i="3"/>
  <c r="R2556" i="3"/>
  <c r="S36" i="3"/>
  <c r="R36" i="3"/>
  <c r="K2078" i="3"/>
  <c r="L2078" i="3"/>
  <c r="O1117" i="3"/>
  <c r="S2077" i="3"/>
  <c r="R2077" i="3"/>
  <c r="Q516" i="3"/>
  <c r="P516" i="3"/>
  <c r="Q1477" i="3"/>
  <c r="P1477" i="3"/>
  <c r="S998" i="3"/>
  <c r="R998" i="3"/>
  <c r="O516" i="3"/>
  <c r="S758" i="3"/>
  <c r="R758" i="3"/>
  <c r="S157" i="3"/>
  <c r="R157" i="3"/>
  <c r="S636" i="3"/>
  <c r="R636" i="3"/>
  <c r="Q1717" i="3"/>
  <c r="P1717" i="3"/>
  <c r="K37" i="3"/>
  <c r="L37" i="3" s="1"/>
  <c r="Q878" i="3"/>
  <c r="P878" i="3"/>
  <c r="N516" i="3"/>
  <c r="J517" i="3" s="1"/>
  <c r="M2557" i="3" l="1"/>
  <c r="M1718" i="3"/>
  <c r="O879" i="3"/>
  <c r="N879" i="3"/>
  <c r="J880" i="3" s="1"/>
  <c r="M879" i="3"/>
  <c r="M999" i="3"/>
  <c r="N1478" i="3"/>
  <c r="J1479" i="3" s="1"/>
  <c r="M1478" i="3"/>
  <c r="N2441" i="3"/>
  <c r="J2442" i="3" s="1"/>
  <c r="M2441" i="3"/>
  <c r="M158" i="3"/>
  <c r="M2316" i="3"/>
  <c r="O2316" i="3" s="1"/>
  <c r="M37" i="3"/>
  <c r="M759" i="3"/>
  <c r="K2199" i="3"/>
  <c r="L2199" i="3" s="1"/>
  <c r="Q397" i="3"/>
  <c r="P397" i="3"/>
  <c r="Q2198" i="3"/>
  <c r="P2198" i="3"/>
  <c r="O2198" i="3"/>
  <c r="L398" i="3"/>
  <c r="K398" i="3"/>
  <c r="Q1837" i="3"/>
  <c r="P1837" i="3"/>
  <c r="Q1956" i="3"/>
  <c r="P1956" i="3"/>
  <c r="Q1596" i="3"/>
  <c r="P1596" i="3"/>
  <c r="N1837" i="3"/>
  <c r="J1838" i="3" s="1"/>
  <c r="O2078" i="3"/>
  <c r="N2078" i="3"/>
  <c r="J2079" i="3" s="1"/>
  <c r="M2078" i="3"/>
  <c r="S1477" i="3"/>
  <c r="R1477" i="3"/>
  <c r="O1956" i="3"/>
  <c r="O1596" i="3"/>
  <c r="Q1358" i="3"/>
  <c r="P1358" i="3"/>
  <c r="O1837" i="3"/>
  <c r="L279" i="3"/>
  <c r="K279" i="3"/>
  <c r="S1717" i="3"/>
  <c r="R1717" i="3"/>
  <c r="K1118" i="3"/>
  <c r="L1118" i="3" s="1"/>
  <c r="N1956" i="3"/>
  <c r="J1957" i="3" s="1"/>
  <c r="N1596" i="3"/>
  <c r="J1597" i="3" s="1"/>
  <c r="N1358" i="3"/>
  <c r="J1359" i="3" s="1"/>
  <c r="T58" i="1"/>
  <c r="S58" i="1"/>
  <c r="S878" i="3"/>
  <c r="R878" i="3"/>
  <c r="S516" i="3"/>
  <c r="R516" i="3"/>
  <c r="Q1236" i="3"/>
  <c r="P1236" i="3"/>
  <c r="Q637" i="3"/>
  <c r="P637" i="3"/>
  <c r="O1358" i="3"/>
  <c r="Q58" i="1"/>
  <c r="M59" i="1" s="1"/>
  <c r="K517" i="3"/>
  <c r="L517" i="3" s="1"/>
  <c r="S1117" i="3"/>
  <c r="R1117" i="3"/>
  <c r="N1236" i="3"/>
  <c r="J1237" i="3" s="1"/>
  <c r="N637" i="3"/>
  <c r="J638" i="3" s="1"/>
  <c r="Q278" i="3"/>
  <c r="P278" i="3"/>
  <c r="R58" i="1"/>
  <c r="M2199" i="3" l="1"/>
  <c r="M1118" i="3"/>
  <c r="O517" i="3"/>
  <c r="N517" i="3"/>
  <c r="J518" i="3" s="1"/>
  <c r="M517" i="3"/>
  <c r="S1837" i="3"/>
  <c r="R1837" i="3"/>
  <c r="S1358" i="3"/>
  <c r="R1358" i="3"/>
  <c r="N2316" i="3"/>
  <c r="J2317" i="3" s="1"/>
  <c r="Q1478" i="3"/>
  <c r="P1478" i="3"/>
  <c r="K638" i="3"/>
  <c r="L638" i="3" s="1"/>
  <c r="S637" i="3"/>
  <c r="R637" i="3"/>
  <c r="O398" i="3"/>
  <c r="M398" i="3"/>
  <c r="Q759" i="3"/>
  <c r="P759" i="3"/>
  <c r="K1479" i="3"/>
  <c r="L1479" i="3" s="1"/>
  <c r="Q1718" i="3"/>
  <c r="P1718" i="3"/>
  <c r="P2316" i="3"/>
  <c r="Q2316" i="3"/>
  <c r="O759" i="3"/>
  <c r="Q158" i="3"/>
  <c r="P158" i="3"/>
  <c r="O1478" i="3"/>
  <c r="N1718" i="3"/>
  <c r="J1719" i="3" s="1"/>
  <c r="L2079" i="3"/>
  <c r="K2079" i="3"/>
  <c r="V58" i="1"/>
  <c r="U58" i="1"/>
  <c r="S1596" i="3"/>
  <c r="R1596" i="3"/>
  <c r="N759" i="3"/>
  <c r="J760" i="3" s="1"/>
  <c r="N158" i="3"/>
  <c r="J159" i="3" s="1"/>
  <c r="Q999" i="3"/>
  <c r="P999" i="3"/>
  <c r="O1718" i="3"/>
  <c r="K2442" i="3"/>
  <c r="L2442" i="3" s="1"/>
  <c r="K1838" i="3"/>
  <c r="L1838" i="3" s="1"/>
  <c r="K1359" i="3"/>
  <c r="L1359" i="3" s="1"/>
  <c r="S2198" i="3"/>
  <c r="R2198" i="3"/>
  <c r="Q37" i="3"/>
  <c r="P37" i="3"/>
  <c r="O158" i="3"/>
  <c r="O999" i="3"/>
  <c r="Q2557" i="3"/>
  <c r="P2557" i="3"/>
  <c r="K880" i="3"/>
  <c r="L880" i="3" s="1"/>
  <c r="K1597" i="3"/>
  <c r="L1597" i="3"/>
  <c r="O279" i="3"/>
  <c r="M279" i="3"/>
  <c r="S1956" i="3"/>
  <c r="R1956" i="3"/>
  <c r="N37" i="3"/>
  <c r="J38" i="3" s="1"/>
  <c r="Q2441" i="3"/>
  <c r="P2441" i="3"/>
  <c r="N999" i="3"/>
  <c r="J1000" i="3" s="1"/>
  <c r="O2557" i="3"/>
  <c r="K1237" i="3"/>
  <c r="L1237" i="3" s="1"/>
  <c r="S1236" i="3"/>
  <c r="R1236" i="3"/>
  <c r="S278" i="3"/>
  <c r="R278" i="3"/>
  <c r="N59" i="1"/>
  <c r="O59" i="1"/>
  <c r="K1957" i="3"/>
  <c r="L1957" i="3" s="1"/>
  <c r="Q2078" i="3"/>
  <c r="P2078" i="3"/>
  <c r="S397" i="3"/>
  <c r="R397" i="3"/>
  <c r="O37" i="3"/>
  <c r="O2441" i="3"/>
  <c r="Q879" i="3"/>
  <c r="P879" i="3"/>
  <c r="N2557" i="3"/>
  <c r="J2558" i="3" s="1"/>
  <c r="M1237" i="3" l="1"/>
  <c r="M638" i="3"/>
  <c r="O1359" i="3"/>
  <c r="N1359" i="3"/>
  <c r="J1360" i="3" s="1"/>
  <c r="M1359" i="3"/>
  <c r="M1957" i="3"/>
  <c r="N880" i="3"/>
  <c r="J881" i="3" s="1"/>
  <c r="M880" i="3"/>
  <c r="O1838" i="3"/>
  <c r="M1838" i="3"/>
  <c r="M1479" i="3"/>
  <c r="M2442" i="3"/>
  <c r="O2442" i="3" s="1"/>
  <c r="K2317" i="3"/>
  <c r="L2317" i="3" s="1"/>
  <c r="M1597" i="3"/>
  <c r="L1719" i="3"/>
  <c r="K1719" i="3"/>
  <c r="S1718" i="3"/>
  <c r="R1718" i="3"/>
  <c r="K38" i="3"/>
  <c r="L38" i="3" s="1"/>
  <c r="Q1118" i="3"/>
  <c r="P1118" i="3"/>
  <c r="S2078" i="3"/>
  <c r="R2078" i="3"/>
  <c r="O1118" i="3"/>
  <c r="K760" i="3"/>
  <c r="L760" i="3"/>
  <c r="S879" i="3"/>
  <c r="R879" i="3"/>
  <c r="S37" i="3"/>
  <c r="R37" i="3"/>
  <c r="S158" i="3"/>
  <c r="R158" i="3"/>
  <c r="N1118" i="3"/>
  <c r="J1119" i="3" s="1"/>
  <c r="K2558" i="3"/>
  <c r="L2558" i="3"/>
  <c r="S2441" i="3"/>
  <c r="R2441" i="3"/>
  <c r="P59" i="1"/>
  <c r="R59" i="1"/>
  <c r="Q59" i="1"/>
  <c r="M60" i="1" s="1"/>
  <c r="S759" i="3"/>
  <c r="R759" i="3"/>
  <c r="Q2199" i="3"/>
  <c r="P2199" i="3"/>
  <c r="K518" i="3"/>
  <c r="L518" i="3" s="1"/>
  <c r="S2316" i="3"/>
  <c r="R2316" i="3"/>
  <c r="Q398" i="3"/>
  <c r="P398" i="3"/>
  <c r="N2199" i="3"/>
  <c r="J2200" i="3" s="1"/>
  <c r="M2079" i="3"/>
  <c r="N2079" i="3" s="1"/>
  <c r="J2080" i="3" s="1"/>
  <c r="Q279" i="3"/>
  <c r="P279" i="3"/>
  <c r="S2557" i="3"/>
  <c r="R2557" i="3"/>
  <c r="S999" i="3"/>
  <c r="R999" i="3"/>
  <c r="K1000" i="3"/>
  <c r="L1000" i="3"/>
  <c r="N279" i="3"/>
  <c r="J280" i="3" s="1"/>
  <c r="K159" i="3"/>
  <c r="L159" i="3" s="1"/>
  <c r="N398" i="3"/>
  <c r="J399" i="3" s="1"/>
  <c r="S1478" i="3"/>
  <c r="R1478" i="3"/>
  <c r="Q517" i="3"/>
  <c r="P517" i="3"/>
  <c r="O2199" i="3"/>
  <c r="M518" i="3" l="1"/>
  <c r="M2317" i="3"/>
  <c r="K2080" i="3"/>
  <c r="L2080" i="3" s="1"/>
  <c r="M159" i="3"/>
  <c r="M38" i="3"/>
  <c r="K1360" i="3"/>
  <c r="L1360" i="3" s="1"/>
  <c r="N2442" i="3"/>
  <c r="J2443" i="3" s="1"/>
  <c r="Q880" i="3"/>
  <c r="P880" i="3"/>
  <c r="S279" i="3"/>
  <c r="R279" i="3"/>
  <c r="K1119" i="3"/>
  <c r="L1119" i="3"/>
  <c r="M1719" i="3"/>
  <c r="K881" i="3"/>
  <c r="L881" i="3" s="1"/>
  <c r="Q638" i="3"/>
  <c r="P638" i="3"/>
  <c r="O1000" i="3"/>
  <c r="M1000" i="3"/>
  <c r="S1118" i="3"/>
  <c r="R1118" i="3"/>
  <c r="Q1597" i="3"/>
  <c r="P1597" i="3"/>
  <c r="Q1479" i="3"/>
  <c r="P1479" i="3"/>
  <c r="O880" i="3"/>
  <c r="N638" i="3"/>
  <c r="J639" i="3" s="1"/>
  <c r="N60" i="1"/>
  <c r="O60" i="1"/>
  <c r="L399" i="3"/>
  <c r="K399" i="3"/>
  <c r="T59" i="1"/>
  <c r="S59" i="1"/>
  <c r="M760" i="3"/>
  <c r="N1597" i="3"/>
  <c r="J1598" i="3" s="1"/>
  <c r="N1479" i="3"/>
  <c r="J1480" i="3" s="1"/>
  <c r="Q1957" i="3"/>
  <c r="P1957" i="3"/>
  <c r="O638" i="3"/>
  <c r="S517" i="3"/>
  <c r="R517" i="3"/>
  <c r="K2200" i="3"/>
  <c r="L2200" i="3" s="1"/>
  <c r="O1597" i="3"/>
  <c r="O1479" i="3"/>
  <c r="N1957" i="3"/>
  <c r="J1958" i="3" s="1"/>
  <c r="Q1237" i="3"/>
  <c r="P1237" i="3"/>
  <c r="M2558" i="3"/>
  <c r="N2558" i="3" s="1"/>
  <c r="J2559" i="3" s="1"/>
  <c r="Q2442" i="3"/>
  <c r="P2442" i="3"/>
  <c r="Q2079" i="3"/>
  <c r="P2079" i="3"/>
  <c r="O2079" i="3"/>
  <c r="S2199" i="3"/>
  <c r="R2199" i="3"/>
  <c r="Q1838" i="3"/>
  <c r="P1838" i="3"/>
  <c r="O1957" i="3"/>
  <c r="N1237" i="3"/>
  <c r="J1238" i="3" s="1"/>
  <c r="K280" i="3"/>
  <c r="L280" i="3" s="1"/>
  <c r="S398" i="3"/>
  <c r="R398" i="3"/>
  <c r="N1838" i="3"/>
  <c r="J1839" i="3" s="1"/>
  <c r="Q1359" i="3"/>
  <c r="P1359" i="3"/>
  <c r="O1237" i="3"/>
  <c r="M280" i="3" l="1"/>
  <c r="K2559" i="3"/>
  <c r="L2559" i="3" s="1"/>
  <c r="M881" i="3"/>
  <c r="N881" i="3" s="1"/>
  <c r="J882" i="3" s="1"/>
  <c r="M2080" i="3"/>
  <c r="M1360" i="3"/>
  <c r="O2200" i="3"/>
  <c r="N2200" i="3"/>
  <c r="J2201" i="3" s="1"/>
  <c r="M2200" i="3"/>
  <c r="V59" i="1"/>
  <c r="U59" i="1"/>
  <c r="N1119" i="3"/>
  <c r="J1120" i="3" s="1"/>
  <c r="M1119" i="3"/>
  <c r="S2442" i="3"/>
  <c r="R2442" i="3"/>
  <c r="S1957" i="3"/>
  <c r="R1957" i="3"/>
  <c r="S1597" i="3"/>
  <c r="R1597" i="3"/>
  <c r="Q38" i="3"/>
  <c r="P38" i="3"/>
  <c r="Q2317" i="3"/>
  <c r="P2317" i="3"/>
  <c r="N399" i="3"/>
  <c r="J400" i="3" s="1"/>
  <c r="M399" i="3"/>
  <c r="N38" i="3"/>
  <c r="J39" i="3" s="1"/>
  <c r="N2317" i="3"/>
  <c r="J2318" i="3" s="1"/>
  <c r="Q2558" i="3"/>
  <c r="P2558" i="3"/>
  <c r="K1598" i="3"/>
  <c r="L1598" i="3" s="1"/>
  <c r="O38" i="3"/>
  <c r="O2317" i="3"/>
  <c r="L1480" i="3"/>
  <c r="K1480" i="3"/>
  <c r="Q760" i="3"/>
  <c r="P760" i="3"/>
  <c r="N760" i="3"/>
  <c r="J761" i="3" s="1"/>
  <c r="K639" i="3"/>
  <c r="L639" i="3" s="1"/>
  <c r="Q1719" i="3"/>
  <c r="P1719" i="3"/>
  <c r="Q159" i="3"/>
  <c r="P159" i="3"/>
  <c r="Q518" i="3"/>
  <c r="P518" i="3"/>
  <c r="S1479" i="3"/>
  <c r="R1479" i="3"/>
  <c r="S1838" i="3"/>
  <c r="R1838" i="3"/>
  <c r="P60" i="1"/>
  <c r="K1238" i="3"/>
  <c r="L1238" i="3" s="1"/>
  <c r="S1237" i="3"/>
  <c r="R1237" i="3"/>
  <c r="O760" i="3"/>
  <c r="Q1000" i="3"/>
  <c r="P1000" i="3"/>
  <c r="N1719" i="3"/>
  <c r="J1720" i="3" s="1"/>
  <c r="S880" i="3"/>
  <c r="R880" i="3"/>
  <c r="O159" i="3"/>
  <c r="N518" i="3"/>
  <c r="J519" i="3" s="1"/>
  <c r="K1839" i="3"/>
  <c r="L1839" i="3" s="1"/>
  <c r="S638" i="3"/>
  <c r="R638" i="3"/>
  <c r="O2558" i="3"/>
  <c r="S1359" i="3"/>
  <c r="R1359" i="3"/>
  <c r="S2079" i="3"/>
  <c r="R2079" i="3"/>
  <c r="L1958" i="3"/>
  <c r="K1958" i="3"/>
  <c r="N1000" i="3"/>
  <c r="J1001" i="3" s="1"/>
  <c r="O1719" i="3"/>
  <c r="K2443" i="3"/>
  <c r="L2443" i="3" s="1"/>
  <c r="N159" i="3"/>
  <c r="J160" i="3" s="1"/>
  <c r="O518" i="3"/>
  <c r="M2443" i="3" l="1"/>
  <c r="M639" i="3"/>
  <c r="K882" i="3"/>
  <c r="L882" i="3"/>
  <c r="M1839" i="3"/>
  <c r="M2559" i="3"/>
  <c r="O1598" i="3"/>
  <c r="N1598" i="3"/>
  <c r="J1599" i="3" s="1"/>
  <c r="M1598" i="3"/>
  <c r="M1238" i="3"/>
  <c r="S1719" i="3"/>
  <c r="R1719" i="3"/>
  <c r="Q399" i="3"/>
  <c r="P399" i="3"/>
  <c r="Q1119" i="3"/>
  <c r="P1119" i="3"/>
  <c r="O881" i="3"/>
  <c r="K39" i="3"/>
  <c r="L39" i="3" s="1"/>
  <c r="K1720" i="3"/>
  <c r="L1720" i="3" s="1"/>
  <c r="K400" i="3"/>
  <c r="L400" i="3" s="1"/>
  <c r="K1120" i="3"/>
  <c r="L1120" i="3" s="1"/>
  <c r="Q1360" i="3"/>
  <c r="P1360" i="3"/>
  <c r="T60" i="1"/>
  <c r="S60" i="1"/>
  <c r="O399" i="3"/>
  <c r="O1119" i="3"/>
  <c r="O1360" i="3"/>
  <c r="Q881" i="3"/>
  <c r="P881" i="3"/>
  <c r="S1000" i="3"/>
  <c r="R1000" i="3"/>
  <c r="R60" i="1"/>
  <c r="K761" i="3"/>
  <c r="L761" i="3" s="1"/>
  <c r="N1360" i="3"/>
  <c r="J1361" i="3" s="1"/>
  <c r="M1480" i="3"/>
  <c r="O1480" i="3" s="1"/>
  <c r="L519" i="3"/>
  <c r="K519" i="3"/>
  <c r="Q60" i="1"/>
  <c r="M61" i="1" s="1"/>
  <c r="S518" i="3"/>
  <c r="R518" i="3"/>
  <c r="S2317" i="3"/>
  <c r="R2317" i="3"/>
  <c r="Q2080" i="3"/>
  <c r="P2080" i="3"/>
  <c r="Q280" i="3"/>
  <c r="P280" i="3"/>
  <c r="S760" i="3"/>
  <c r="R760" i="3"/>
  <c r="S2558" i="3"/>
  <c r="R2558" i="3"/>
  <c r="N2080" i="3"/>
  <c r="J2081" i="3" s="1"/>
  <c r="O280" i="3"/>
  <c r="M1958" i="3"/>
  <c r="O1958" i="3" s="1"/>
  <c r="L2201" i="3"/>
  <c r="K2201" i="3"/>
  <c r="K160" i="3"/>
  <c r="L160" i="3" s="1"/>
  <c r="K1001" i="3"/>
  <c r="L1001" i="3" s="1"/>
  <c r="S159" i="3"/>
  <c r="R159" i="3"/>
  <c r="K2318" i="3"/>
  <c r="L2318" i="3" s="1"/>
  <c r="S38" i="3"/>
  <c r="R38" i="3"/>
  <c r="Q2200" i="3"/>
  <c r="P2200" i="3"/>
  <c r="O2080" i="3"/>
  <c r="N280" i="3"/>
  <c r="J281" i="3" s="1"/>
  <c r="M1120" i="3" l="1"/>
  <c r="M1720" i="3"/>
  <c r="O1001" i="3"/>
  <c r="N1001" i="3"/>
  <c r="J1002" i="3" s="1"/>
  <c r="M1001" i="3"/>
  <c r="M39" i="3"/>
  <c r="N2318" i="3"/>
  <c r="J2319" i="3" s="1"/>
  <c r="M2318" i="3"/>
  <c r="N400" i="3"/>
  <c r="J401" i="3" s="1"/>
  <c r="M400" i="3"/>
  <c r="M761" i="3"/>
  <c r="M160" i="3"/>
  <c r="N160" i="3" s="1"/>
  <c r="J161" i="3" s="1"/>
  <c r="V60" i="1"/>
  <c r="U60" i="1"/>
  <c r="Q2559" i="3"/>
  <c r="P2559" i="3"/>
  <c r="Q639" i="3"/>
  <c r="P639" i="3"/>
  <c r="O519" i="3"/>
  <c r="M519" i="3"/>
  <c r="N1480" i="3"/>
  <c r="J1481" i="3" s="1"/>
  <c r="S1360" i="3"/>
  <c r="R1360" i="3"/>
  <c r="O2559" i="3"/>
  <c r="O639" i="3"/>
  <c r="K1361" i="3"/>
  <c r="L1361" i="3" s="1"/>
  <c r="S881" i="3"/>
  <c r="R881" i="3"/>
  <c r="Q1238" i="3"/>
  <c r="P1238" i="3"/>
  <c r="N2559" i="3"/>
  <c r="J2560" i="3" s="1"/>
  <c r="N639" i="3"/>
  <c r="J640" i="3" s="1"/>
  <c r="S399" i="3"/>
  <c r="R399" i="3"/>
  <c r="S2200" i="3"/>
  <c r="R2200" i="3"/>
  <c r="L2081" i="3"/>
  <c r="K2081" i="3"/>
  <c r="S280" i="3"/>
  <c r="R280" i="3"/>
  <c r="O1238" i="3"/>
  <c r="Q1839" i="3"/>
  <c r="P1839" i="3"/>
  <c r="Q2443" i="3"/>
  <c r="P2443" i="3"/>
  <c r="M2201" i="3"/>
  <c r="O2201" i="3" s="1"/>
  <c r="K1599" i="3"/>
  <c r="L1599" i="3" s="1"/>
  <c r="Q1958" i="3"/>
  <c r="P1958" i="3"/>
  <c r="Q1480" i="3"/>
  <c r="P1480" i="3"/>
  <c r="N1958" i="3"/>
  <c r="J1959" i="3" s="1"/>
  <c r="N61" i="1"/>
  <c r="O61" i="1" s="1"/>
  <c r="S1119" i="3"/>
  <c r="R1119" i="3"/>
  <c r="N1238" i="3"/>
  <c r="J1239" i="3" s="1"/>
  <c r="O1839" i="3"/>
  <c r="N2443" i="3"/>
  <c r="J2444" i="3" s="1"/>
  <c r="M882" i="3"/>
  <c r="K281" i="3"/>
  <c r="L281" i="3"/>
  <c r="S2080" i="3"/>
  <c r="R2080" i="3"/>
  <c r="Q1598" i="3"/>
  <c r="P1598" i="3"/>
  <c r="N1839" i="3"/>
  <c r="J1840" i="3" s="1"/>
  <c r="O2443" i="3"/>
  <c r="P61" i="1" l="1"/>
  <c r="M1599" i="3"/>
  <c r="K161" i="3"/>
  <c r="L161" i="3"/>
  <c r="M1361" i="3"/>
  <c r="K2560" i="3"/>
  <c r="L2560" i="3"/>
  <c r="S1958" i="3"/>
  <c r="R1958" i="3"/>
  <c r="O160" i="3"/>
  <c r="Q2318" i="3"/>
  <c r="P2318" i="3"/>
  <c r="M2081" i="3"/>
  <c r="S1839" i="3"/>
  <c r="R1839" i="3"/>
  <c r="S639" i="3"/>
  <c r="R639" i="3"/>
  <c r="K2319" i="3"/>
  <c r="L2319" i="3" s="1"/>
  <c r="Q1720" i="3"/>
  <c r="P1720" i="3"/>
  <c r="S2443" i="3"/>
  <c r="R2443" i="3"/>
  <c r="Q882" i="3"/>
  <c r="P882" i="3"/>
  <c r="Q761" i="3"/>
  <c r="P761" i="3"/>
  <c r="O2318" i="3"/>
  <c r="N1720" i="3"/>
  <c r="J1721" i="3" s="1"/>
  <c r="K1002" i="3"/>
  <c r="L1002" i="3" s="1"/>
  <c r="S1598" i="3"/>
  <c r="R1598" i="3"/>
  <c r="S2559" i="3"/>
  <c r="R2559" i="3"/>
  <c r="O761" i="3"/>
  <c r="Q39" i="3"/>
  <c r="P39" i="3"/>
  <c r="O1720" i="3"/>
  <c r="M281" i="3"/>
  <c r="O281" i="3" s="1"/>
  <c r="K401" i="3"/>
  <c r="L401" i="3"/>
  <c r="O882" i="3"/>
  <c r="K2444" i="3"/>
  <c r="L2444" i="3" s="1"/>
  <c r="K1959" i="3"/>
  <c r="L1959" i="3" s="1"/>
  <c r="L1481" i="3"/>
  <c r="K1481" i="3"/>
  <c r="N761" i="3"/>
  <c r="J762" i="3" s="1"/>
  <c r="N39" i="3"/>
  <c r="J40" i="3" s="1"/>
  <c r="Q1120" i="3"/>
  <c r="P1120" i="3"/>
  <c r="S1238" i="3"/>
  <c r="R1238" i="3"/>
  <c r="N882" i="3"/>
  <c r="J883" i="3" s="1"/>
  <c r="Q2201" i="3"/>
  <c r="P2201" i="3"/>
  <c r="N2201" i="3"/>
  <c r="J2202" i="3" s="1"/>
  <c r="Q519" i="3"/>
  <c r="P519" i="3"/>
  <c r="Q400" i="3"/>
  <c r="P400" i="3"/>
  <c r="O39" i="3"/>
  <c r="O1120" i="3"/>
  <c r="Q160" i="3"/>
  <c r="P160" i="3"/>
  <c r="K1840" i="3"/>
  <c r="L1840" i="3"/>
  <c r="K1239" i="3"/>
  <c r="L1239" i="3"/>
  <c r="S1480" i="3"/>
  <c r="R1480" i="3"/>
  <c r="K640" i="3"/>
  <c r="L640" i="3" s="1"/>
  <c r="N519" i="3"/>
  <c r="J520" i="3" s="1"/>
  <c r="O400" i="3"/>
  <c r="Q1001" i="3"/>
  <c r="P1001" i="3"/>
  <c r="N1120" i="3"/>
  <c r="J1121" i="3" s="1"/>
  <c r="M1959" i="3" l="1"/>
  <c r="M2319" i="3"/>
  <c r="N640" i="3"/>
  <c r="J641" i="3" s="1"/>
  <c r="O640" i="3"/>
  <c r="M640" i="3"/>
  <c r="M1002" i="3"/>
  <c r="N2444" i="3"/>
  <c r="J2445" i="3" s="1"/>
  <c r="M2444" i="3"/>
  <c r="O1239" i="3"/>
  <c r="M1239" i="3"/>
  <c r="S1720" i="3"/>
  <c r="R1720" i="3"/>
  <c r="Q281" i="3"/>
  <c r="P281" i="3"/>
  <c r="S761" i="3"/>
  <c r="R761" i="3"/>
  <c r="Q2081" i="3"/>
  <c r="P2081" i="3"/>
  <c r="Q1599" i="3"/>
  <c r="P1599" i="3"/>
  <c r="N161" i="3"/>
  <c r="J162" i="3" s="1"/>
  <c r="O161" i="3"/>
  <c r="M161" i="3"/>
  <c r="S519" i="3"/>
  <c r="R519" i="3"/>
  <c r="N2081" i="3"/>
  <c r="J2082" i="3" s="1"/>
  <c r="M2560" i="3"/>
  <c r="O2560" i="3" s="1"/>
  <c r="N1599" i="3"/>
  <c r="J1600" i="3" s="1"/>
  <c r="S400" i="3"/>
  <c r="R400" i="3"/>
  <c r="K2202" i="3"/>
  <c r="L2202" i="3"/>
  <c r="S1120" i="3"/>
  <c r="R1120" i="3"/>
  <c r="S882" i="3"/>
  <c r="R882" i="3"/>
  <c r="O2081" i="3"/>
  <c r="O1599" i="3"/>
  <c r="S1001" i="3"/>
  <c r="R1001" i="3"/>
  <c r="S160" i="3"/>
  <c r="R160" i="3"/>
  <c r="K40" i="3"/>
  <c r="L40" i="3" s="1"/>
  <c r="S39" i="3"/>
  <c r="R39" i="3"/>
  <c r="Q1361" i="3"/>
  <c r="P1361" i="3"/>
  <c r="T61" i="1"/>
  <c r="S61" i="1"/>
  <c r="N1481" i="3"/>
  <c r="J1482" i="3" s="1"/>
  <c r="O1481" i="3"/>
  <c r="M1481" i="3"/>
  <c r="K520" i="3"/>
  <c r="L520" i="3" s="1"/>
  <c r="K1121" i="3"/>
  <c r="L1121" i="3"/>
  <c r="S2201" i="3"/>
  <c r="R2201" i="3"/>
  <c r="K762" i="3"/>
  <c r="L762" i="3"/>
  <c r="M401" i="3"/>
  <c r="N401" i="3" s="1"/>
  <c r="J402" i="3" s="1"/>
  <c r="S2318" i="3"/>
  <c r="R2318" i="3"/>
  <c r="O1361" i="3"/>
  <c r="Q61" i="1"/>
  <c r="M62" i="1" s="1"/>
  <c r="M1840" i="3"/>
  <c r="N281" i="3"/>
  <c r="J282" i="3" s="1"/>
  <c r="K883" i="3"/>
  <c r="L883" i="3" s="1"/>
  <c r="K1721" i="3"/>
  <c r="L1721" i="3" s="1"/>
  <c r="N1361" i="3"/>
  <c r="J1362" i="3" s="1"/>
  <c r="R61" i="1"/>
  <c r="M1721" i="3" l="1"/>
  <c r="M883" i="3"/>
  <c r="O520" i="3"/>
  <c r="N520" i="3"/>
  <c r="J521" i="3" s="1"/>
  <c r="M520" i="3"/>
  <c r="K402" i="3"/>
  <c r="L402" i="3"/>
  <c r="M40" i="3"/>
  <c r="K1482" i="3"/>
  <c r="L1482" i="3"/>
  <c r="N2560" i="3"/>
  <c r="J2561" i="3" s="1"/>
  <c r="K162" i="3"/>
  <c r="L162" i="3" s="1"/>
  <c r="Q2444" i="3"/>
  <c r="P2444" i="3"/>
  <c r="K641" i="3"/>
  <c r="L641" i="3" s="1"/>
  <c r="O2202" i="3"/>
  <c r="M2202" i="3"/>
  <c r="S281" i="3"/>
  <c r="R281" i="3"/>
  <c r="K2445" i="3"/>
  <c r="L2445" i="3" s="1"/>
  <c r="Q2319" i="3"/>
  <c r="P2319" i="3"/>
  <c r="Q1840" i="3"/>
  <c r="P1840" i="3"/>
  <c r="K2082" i="3"/>
  <c r="L2082" i="3" s="1"/>
  <c r="S1599" i="3"/>
  <c r="R1599" i="3"/>
  <c r="O2444" i="3"/>
  <c r="N2319" i="3"/>
  <c r="J2320" i="3" s="1"/>
  <c r="V61" i="1"/>
  <c r="U61" i="1"/>
  <c r="Q1002" i="3"/>
  <c r="P1002" i="3"/>
  <c r="O2319" i="3"/>
  <c r="M1121" i="3"/>
  <c r="O1840" i="3"/>
  <c r="O401" i="3"/>
  <c r="K1362" i="3"/>
  <c r="L1362" i="3"/>
  <c r="N1840" i="3"/>
  <c r="J1841" i="3" s="1"/>
  <c r="S2081" i="3"/>
  <c r="R2081" i="3"/>
  <c r="O1002" i="3"/>
  <c r="Q1959" i="3"/>
  <c r="P1959" i="3"/>
  <c r="Q2560" i="3"/>
  <c r="P2560" i="3"/>
  <c r="K282" i="3"/>
  <c r="L282" i="3"/>
  <c r="Q401" i="3"/>
  <c r="P401" i="3"/>
  <c r="N62" i="1"/>
  <c r="O62" i="1" s="1"/>
  <c r="S1361" i="3"/>
  <c r="R1361" i="3"/>
  <c r="Q1239" i="3"/>
  <c r="P1239" i="3"/>
  <c r="N1002" i="3"/>
  <c r="J1003" i="3" s="1"/>
  <c r="N1959" i="3"/>
  <c r="J1960" i="3" s="1"/>
  <c r="O762" i="3"/>
  <c r="N762" i="3"/>
  <c r="J763" i="3" s="1"/>
  <c r="M762" i="3"/>
  <c r="Q1481" i="3"/>
  <c r="P1481" i="3"/>
  <c r="K1600" i="3"/>
  <c r="L1600" i="3" s="1"/>
  <c r="Q161" i="3"/>
  <c r="P161" i="3"/>
  <c r="N1239" i="3"/>
  <c r="J1240" i="3" s="1"/>
  <c r="Q640" i="3"/>
  <c r="P640" i="3"/>
  <c r="O1959" i="3"/>
  <c r="M162" i="3" l="1"/>
  <c r="M1600" i="3"/>
  <c r="N641" i="3"/>
  <c r="J642" i="3" s="1"/>
  <c r="O641" i="3"/>
  <c r="M641" i="3"/>
  <c r="M2445" i="3"/>
  <c r="Q62" i="1"/>
  <c r="M63" i="1" s="1"/>
  <c r="P62" i="1"/>
  <c r="O2082" i="3"/>
  <c r="M2082" i="3"/>
  <c r="K1240" i="3"/>
  <c r="L1240" i="3" s="1"/>
  <c r="O1362" i="3"/>
  <c r="M1362" i="3"/>
  <c r="O1482" i="3"/>
  <c r="M1482" i="3"/>
  <c r="S1002" i="3"/>
  <c r="R1002" i="3"/>
  <c r="Q40" i="3"/>
  <c r="P40" i="3"/>
  <c r="Q883" i="3"/>
  <c r="P883" i="3"/>
  <c r="S161" i="3"/>
  <c r="R161" i="3"/>
  <c r="O40" i="3"/>
  <c r="N883" i="3"/>
  <c r="J884" i="3" s="1"/>
  <c r="K763" i="3"/>
  <c r="L763" i="3" s="1"/>
  <c r="S2319" i="3"/>
  <c r="R2319" i="3"/>
  <c r="K1003" i="3"/>
  <c r="L1003" i="3" s="1"/>
  <c r="Q1121" i="3"/>
  <c r="P1121" i="3"/>
  <c r="S2444" i="3"/>
  <c r="R2444" i="3"/>
  <c r="N40" i="3"/>
  <c r="J41" i="3" s="1"/>
  <c r="O883" i="3"/>
  <c r="O402" i="3"/>
  <c r="M402" i="3"/>
  <c r="Q1721" i="3"/>
  <c r="P1721" i="3"/>
  <c r="S1959" i="3"/>
  <c r="R1959" i="3"/>
  <c r="S1239" i="3"/>
  <c r="R1239" i="3"/>
  <c r="N282" i="3"/>
  <c r="J283" i="3" s="1"/>
  <c r="M282" i="3"/>
  <c r="O1121" i="3"/>
  <c r="S1481" i="3"/>
  <c r="R1481" i="3"/>
  <c r="N1121" i="3"/>
  <c r="J1122" i="3" s="1"/>
  <c r="L2320" i="3"/>
  <c r="K2320" i="3"/>
  <c r="S1840" i="3"/>
  <c r="R1840" i="3"/>
  <c r="Q2202" i="3"/>
  <c r="P2202" i="3"/>
  <c r="O1721" i="3"/>
  <c r="S2560" i="3"/>
  <c r="R2560" i="3"/>
  <c r="K521" i="3"/>
  <c r="L521" i="3" s="1"/>
  <c r="K1960" i="3"/>
  <c r="L1960" i="3" s="1"/>
  <c r="S401" i="3"/>
  <c r="R401" i="3"/>
  <c r="S640" i="3"/>
  <c r="R640" i="3"/>
  <c r="Q762" i="3"/>
  <c r="P762" i="3"/>
  <c r="K1841" i="3"/>
  <c r="L1841" i="3"/>
  <c r="N2202" i="3"/>
  <c r="J2203" i="3" s="1"/>
  <c r="K2561" i="3"/>
  <c r="L2561" i="3" s="1"/>
  <c r="Q520" i="3"/>
  <c r="P520" i="3"/>
  <c r="N1721" i="3"/>
  <c r="J1722" i="3" s="1"/>
  <c r="M2561" i="3" l="1"/>
  <c r="M1240" i="3"/>
  <c r="O1960" i="3"/>
  <c r="N1960" i="3"/>
  <c r="J1961" i="3" s="1"/>
  <c r="M1960" i="3"/>
  <c r="M763" i="3"/>
  <c r="N1003" i="3"/>
  <c r="J1004" i="3" s="1"/>
  <c r="M1003" i="3"/>
  <c r="O521" i="3"/>
  <c r="M521" i="3"/>
  <c r="S883" i="3"/>
  <c r="R883" i="3"/>
  <c r="L1122" i="3"/>
  <c r="K1122" i="3"/>
  <c r="Q402" i="3"/>
  <c r="P402" i="3"/>
  <c r="Q1362" i="3"/>
  <c r="P1362" i="3"/>
  <c r="T62" i="1"/>
  <c r="S62" i="1"/>
  <c r="K642" i="3"/>
  <c r="L642" i="3"/>
  <c r="S40" i="3"/>
  <c r="R40" i="3"/>
  <c r="N63" i="1"/>
  <c r="O63" i="1" s="1"/>
  <c r="Q1600" i="3"/>
  <c r="P1600" i="3"/>
  <c r="N1362" i="3"/>
  <c r="J1363" i="3" s="1"/>
  <c r="R62" i="1"/>
  <c r="N1600" i="3"/>
  <c r="J1601" i="3" s="1"/>
  <c r="S1121" i="3"/>
  <c r="R1121" i="3"/>
  <c r="S520" i="3"/>
  <c r="R520" i="3"/>
  <c r="P2445" i="3"/>
  <c r="Q2445" i="3"/>
  <c r="O1600" i="3"/>
  <c r="K283" i="3"/>
  <c r="L283" i="3"/>
  <c r="K1722" i="3"/>
  <c r="L1722" i="3" s="1"/>
  <c r="S2202" i="3"/>
  <c r="R2202" i="3"/>
  <c r="K41" i="3"/>
  <c r="L41" i="3"/>
  <c r="N2445" i="3"/>
  <c r="J2446" i="3" s="1"/>
  <c r="Q162" i="3"/>
  <c r="P162" i="3"/>
  <c r="N2320" i="3"/>
  <c r="J2321" i="3" s="1"/>
  <c r="M2320" i="3"/>
  <c r="K884" i="3"/>
  <c r="L884" i="3" s="1"/>
  <c r="Q282" i="3"/>
  <c r="P282" i="3"/>
  <c r="Q1482" i="3"/>
  <c r="P1482" i="3"/>
  <c r="Q2082" i="3"/>
  <c r="P2082" i="3"/>
  <c r="O2445" i="3"/>
  <c r="N162" i="3"/>
  <c r="J163" i="3" s="1"/>
  <c r="N1841" i="3"/>
  <c r="J1842" i="3" s="1"/>
  <c r="M1841" i="3"/>
  <c r="S1721" i="3"/>
  <c r="R1721" i="3"/>
  <c r="S762" i="3"/>
  <c r="R762" i="3"/>
  <c r="N402" i="3"/>
  <c r="J403" i="3" s="1"/>
  <c r="K2203" i="3"/>
  <c r="L2203" i="3" s="1"/>
  <c r="O282" i="3"/>
  <c r="N1482" i="3"/>
  <c r="J1483" i="3" s="1"/>
  <c r="N2082" i="3"/>
  <c r="J2083" i="3" s="1"/>
  <c r="Q641" i="3"/>
  <c r="P641" i="3"/>
  <c r="O162" i="3"/>
  <c r="M1722" i="3" l="1"/>
  <c r="M884" i="3"/>
  <c r="N2203" i="3"/>
  <c r="J2204" i="3" s="1"/>
  <c r="O2203" i="3"/>
  <c r="M2203" i="3"/>
  <c r="P63" i="1"/>
  <c r="K1961" i="3"/>
  <c r="L1961" i="3" s="1"/>
  <c r="Q1841" i="3"/>
  <c r="P1841" i="3"/>
  <c r="S1482" i="3"/>
  <c r="R1482" i="3"/>
  <c r="Q1003" i="3"/>
  <c r="P1003" i="3"/>
  <c r="M1122" i="3"/>
  <c r="N1122" i="3" s="1"/>
  <c r="J1123" i="3" s="1"/>
  <c r="K1004" i="3"/>
  <c r="L1004" i="3" s="1"/>
  <c r="Q1240" i="3"/>
  <c r="P1240" i="3"/>
  <c r="K1363" i="3"/>
  <c r="L1363" i="3"/>
  <c r="K1842" i="3"/>
  <c r="L1842" i="3"/>
  <c r="S282" i="3"/>
  <c r="R282" i="3"/>
  <c r="O1003" i="3"/>
  <c r="O1240" i="3"/>
  <c r="K2321" i="3"/>
  <c r="L2321" i="3" s="1"/>
  <c r="S402" i="3"/>
  <c r="R402" i="3"/>
  <c r="S162" i="3"/>
  <c r="R162" i="3"/>
  <c r="S641" i="3"/>
  <c r="R641" i="3"/>
  <c r="M41" i="3"/>
  <c r="V62" i="1"/>
  <c r="U62" i="1"/>
  <c r="Q763" i="3"/>
  <c r="P763" i="3"/>
  <c r="N1240" i="3"/>
  <c r="J1241" i="3" s="1"/>
  <c r="M642" i="3"/>
  <c r="N642" i="3" s="1"/>
  <c r="J643" i="3" s="1"/>
  <c r="S1600" i="3"/>
  <c r="R1600" i="3"/>
  <c r="O1841" i="3"/>
  <c r="M283" i="3"/>
  <c r="O283" i="3" s="1"/>
  <c r="N763" i="3"/>
  <c r="J764" i="3" s="1"/>
  <c r="Q2561" i="3"/>
  <c r="P2561" i="3"/>
  <c r="K403" i="3"/>
  <c r="L403" i="3" s="1"/>
  <c r="K2446" i="3"/>
  <c r="L2446" i="3" s="1"/>
  <c r="K163" i="3"/>
  <c r="L163" i="3" s="1"/>
  <c r="K1483" i="3"/>
  <c r="L1483" i="3" s="1"/>
  <c r="S2445" i="3"/>
  <c r="R2445" i="3"/>
  <c r="K1601" i="3"/>
  <c r="L1601" i="3" s="1"/>
  <c r="S1362" i="3"/>
  <c r="R1362" i="3"/>
  <c r="Q521" i="3"/>
  <c r="P521" i="3"/>
  <c r="O763" i="3"/>
  <c r="O2561" i="3"/>
  <c r="K2083" i="3"/>
  <c r="L2083" i="3" s="1"/>
  <c r="Q2320" i="3"/>
  <c r="P2320" i="3"/>
  <c r="S2082" i="3"/>
  <c r="R2082" i="3"/>
  <c r="O2320" i="3"/>
  <c r="N521" i="3"/>
  <c r="J522" i="3" s="1"/>
  <c r="Q1960" i="3"/>
  <c r="P1960" i="3"/>
  <c r="N2561" i="3"/>
  <c r="J2562" i="3" s="1"/>
  <c r="M1961" i="3" l="1"/>
  <c r="K643" i="3"/>
  <c r="L643" i="3" s="1"/>
  <c r="M2446" i="3"/>
  <c r="N2446" i="3" s="1"/>
  <c r="J2447" i="3" s="1"/>
  <c r="M1004" i="3"/>
  <c r="M1601" i="3"/>
  <c r="N2321" i="3"/>
  <c r="J2322" i="3" s="1"/>
  <c r="O2321" i="3"/>
  <c r="M2321" i="3"/>
  <c r="M403" i="3"/>
  <c r="K1123" i="3"/>
  <c r="L1123" i="3"/>
  <c r="O2083" i="3"/>
  <c r="N2083" i="3"/>
  <c r="J2084" i="3" s="1"/>
  <c r="M2083" i="3"/>
  <c r="M1483" i="3"/>
  <c r="N163" i="3"/>
  <c r="J164" i="3" s="1"/>
  <c r="M163" i="3"/>
  <c r="O1122" i="3"/>
  <c r="S1841" i="3"/>
  <c r="R1841" i="3"/>
  <c r="K2204" i="3"/>
  <c r="L2204" i="3"/>
  <c r="M1363" i="3"/>
  <c r="O1363" i="3" s="1"/>
  <c r="Q884" i="3"/>
  <c r="P884" i="3"/>
  <c r="N884" i="3"/>
  <c r="J885" i="3" s="1"/>
  <c r="S2561" i="3"/>
  <c r="R2561" i="3"/>
  <c r="K522" i="3"/>
  <c r="L522" i="3" s="1"/>
  <c r="O642" i="3"/>
  <c r="S1003" i="3"/>
  <c r="R1003" i="3"/>
  <c r="T63" i="1"/>
  <c r="S63" i="1"/>
  <c r="O884" i="3"/>
  <c r="S1240" i="3"/>
  <c r="R1240" i="3"/>
  <c r="R63" i="1"/>
  <c r="Q1722" i="3"/>
  <c r="P1722" i="3"/>
  <c r="Q1122" i="3"/>
  <c r="P1122" i="3"/>
  <c r="S1960" i="3"/>
  <c r="R1960" i="3"/>
  <c r="K764" i="3"/>
  <c r="L764" i="3" s="1"/>
  <c r="Q63" i="1"/>
  <c r="M64" i="1" s="1"/>
  <c r="O1722" i="3"/>
  <c r="S521" i="3"/>
  <c r="R521" i="3"/>
  <c r="S763" i="3"/>
  <c r="R763" i="3"/>
  <c r="M1842" i="3"/>
  <c r="O1842" i="3" s="1"/>
  <c r="K2562" i="3"/>
  <c r="L2562" i="3" s="1"/>
  <c r="S2320" i="3"/>
  <c r="R2320" i="3"/>
  <c r="Q642" i="3"/>
  <c r="P642" i="3"/>
  <c r="Q283" i="3"/>
  <c r="P283" i="3"/>
  <c r="N283" i="3"/>
  <c r="J284" i="3" s="1"/>
  <c r="Q41" i="3"/>
  <c r="P41" i="3"/>
  <c r="K1241" i="3"/>
  <c r="L1241" i="3"/>
  <c r="N41" i="3"/>
  <c r="J42" i="3" s="1"/>
  <c r="O41" i="3"/>
  <c r="Q2203" i="3"/>
  <c r="P2203" i="3"/>
  <c r="N1722" i="3"/>
  <c r="J1723" i="3" s="1"/>
  <c r="M2562" i="3" l="1"/>
  <c r="M522" i="3"/>
  <c r="O643" i="3"/>
  <c r="N643" i="3"/>
  <c r="J644" i="3" s="1"/>
  <c r="M643" i="3"/>
  <c r="M764" i="3"/>
  <c r="K2447" i="3"/>
  <c r="L2447" i="3" s="1"/>
  <c r="S283" i="3"/>
  <c r="R283" i="3"/>
  <c r="N1363" i="3"/>
  <c r="J1364" i="3" s="1"/>
  <c r="Q163" i="3"/>
  <c r="P163" i="3"/>
  <c r="K2322" i="3"/>
  <c r="L2322" i="3"/>
  <c r="O2446" i="3"/>
  <c r="L2084" i="3"/>
  <c r="K2084" i="3"/>
  <c r="K164" i="3"/>
  <c r="L164" i="3" s="1"/>
  <c r="M1123" i="3"/>
  <c r="Q1601" i="3"/>
  <c r="P1601" i="3"/>
  <c r="Q1363" i="3"/>
  <c r="P1363" i="3"/>
  <c r="S1122" i="3"/>
  <c r="R1122" i="3"/>
  <c r="V63" i="1"/>
  <c r="U63" i="1"/>
  <c r="M2204" i="3"/>
  <c r="O163" i="3"/>
  <c r="N1601" i="3"/>
  <c r="J1602" i="3" s="1"/>
  <c r="Q2446" i="3"/>
  <c r="P2446" i="3"/>
  <c r="O64" i="1"/>
  <c r="N64" i="1"/>
  <c r="Q1483" i="3"/>
  <c r="P1483" i="3"/>
  <c r="Q403" i="3"/>
  <c r="P403" i="3"/>
  <c r="O1601" i="3"/>
  <c r="N1842" i="3"/>
  <c r="J1843" i="3" s="1"/>
  <c r="S642" i="3"/>
  <c r="R642" i="3"/>
  <c r="S1722" i="3"/>
  <c r="R1722" i="3"/>
  <c r="S41" i="3"/>
  <c r="R41" i="3"/>
  <c r="K885" i="3"/>
  <c r="L885" i="3" s="1"/>
  <c r="O1483" i="3"/>
  <c r="N403" i="3"/>
  <c r="J404" i="3" s="1"/>
  <c r="Q1004" i="3"/>
  <c r="P1004" i="3"/>
  <c r="Q1961" i="3"/>
  <c r="P1961" i="3"/>
  <c r="K1723" i="3"/>
  <c r="L1723" i="3"/>
  <c r="K284" i="3"/>
  <c r="L284" i="3" s="1"/>
  <c r="N1483" i="3"/>
  <c r="J1484" i="3" s="1"/>
  <c r="O403" i="3"/>
  <c r="N1004" i="3"/>
  <c r="J1005" i="3" s="1"/>
  <c r="N1961" i="3"/>
  <c r="J1962" i="3" s="1"/>
  <c r="Q1842" i="3"/>
  <c r="P1842" i="3"/>
  <c r="K42" i="3"/>
  <c r="L42" i="3" s="1"/>
  <c r="M1241" i="3"/>
  <c r="S2203" i="3"/>
  <c r="R2203" i="3"/>
  <c r="S884" i="3"/>
  <c r="R884" i="3"/>
  <c r="Q2083" i="3"/>
  <c r="P2083" i="3"/>
  <c r="Q2321" i="3"/>
  <c r="P2321" i="3"/>
  <c r="O1004" i="3"/>
  <c r="O1961" i="3"/>
  <c r="M2447" i="3" l="1"/>
  <c r="M885" i="3"/>
  <c r="O284" i="3"/>
  <c r="N284" i="3"/>
  <c r="J285" i="3" s="1"/>
  <c r="M284" i="3"/>
  <c r="M42" i="3"/>
  <c r="N164" i="3"/>
  <c r="J165" i="3" s="1"/>
  <c r="M164" i="3"/>
  <c r="S2446" i="3"/>
  <c r="R2446" i="3"/>
  <c r="S1601" i="3"/>
  <c r="R1601" i="3"/>
  <c r="Q1123" i="3"/>
  <c r="P1123" i="3"/>
  <c r="O2322" i="3"/>
  <c r="M2322" i="3"/>
  <c r="Q522" i="3"/>
  <c r="P522" i="3"/>
  <c r="Q1241" i="3"/>
  <c r="P1241" i="3"/>
  <c r="K1843" i="3"/>
  <c r="L1843" i="3"/>
  <c r="S2083" i="3"/>
  <c r="R2083" i="3"/>
  <c r="K1484" i="3"/>
  <c r="L1484" i="3" s="1"/>
  <c r="S403" i="3"/>
  <c r="R403" i="3"/>
  <c r="N1123" i="3"/>
  <c r="J1124" i="3" s="1"/>
  <c r="N522" i="3"/>
  <c r="J523" i="3" s="1"/>
  <c r="S1961" i="3"/>
  <c r="R1961" i="3"/>
  <c r="S1004" i="3"/>
  <c r="R1004" i="3"/>
  <c r="Q2204" i="3"/>
  <c r="P2204" i="3"/>
  <c r="O1123" i="3"/>
  <c r="Q764" i="3"/>
  <c r="P764" i="3"/>
  <c r="O522" i="3"/>
  <c r="K644" i="3"/>
  <c r="L644" i="3" s="1"/>
  <c r="N1241" i="3"/>
  <c r="J1242" i="3" s="1"/>
  <c r="M1723" i="3"/>
  <c r="S1483" i="3"/>
  <c r="R1483" i="3"/>
  <c r="N2204" i="3"/>
  <c r="J2205" i="3" s="1"/>
  <c r="S163" i="3"/>
  <c r="R163" i="3"/>
  <c r="N764" i="3"/>
  <c r="J765" i="3" s="1"/>
  <c r="Q2562" i="3"/>
  <c r="P2562" i="3"/>
  <c r="K1005" i="3"/>
  <c r="L1005" i="3" s="1"/>
  <c r="M2084" i="3"/>
  <c r="O2084" i="3" s="1"/>
  <c r="K1602" i="3"/>
  <c r="L1602" i="3" s="1"/>
  <c r="K404" i="3"/>
  <c r="L404" i="3" s="1"/>
  <c r="S1842" i="3"/>
  <c r="R1842" i="3"/>
  <c r="O2204" i="3"/>
  <c r="K1364" i="3"/>
  <c r="L1364" i="3" s="1"/>
  <c r="O764" i="3"/>
  <c r="N2562" i="3"/>
  <c r="J2563" i="3" s="1"/>
  <c r="O1241" i="3"/>
  <c r="S2321" i="3"/>
  <c r="R2321" i="3"/>
  <c r="K1962" i="3"/>
  <c r="L1962" i="3" s="1"/>
  <c r="P64" i="1"/>
  <c r="R64" i="1" s="1"/>
  <c r="S1363" i="3"/>
  <c r="R1363" i="3"/>
  <c r="Q643" i="3"/>
  <c r="P643" i="3"/>
  <c r="O2562" i="3"/>
  <c r="M644" i="3" l="1"/>
  <c r="M1602" i="3"/>
  <c r="O1005" i="3"/>
  <c r="N1005" i="3"/>
  <c r="J1006" i="3" s="1"/>
  <c r="M1005" i="3"/>
  <c r="M1962" i="3"/>
  <c r="N1364" i="3"/>
  <c r="J1365" i="3" s="1"/>
  <c r="M1364" i="3"/>
  <c r="O404" i="3"/>
  <c r="M404" i="3"/>
  <c r="M1484" i="3"/>
  <c r="K2205" i="3"/>
  <c r="L2205" i="3" s="1"/>
  <c r="O1843" i="3"/>
  <c r="M1843" i="3"/>
  <c r="K2563" i="3"/>
  <c r="L2563" i="3" s="1"/>
  <c r="Q164" i="3"/>
  <c r="P164" i="3"/>
  <c r="S1123" i="3"/>
  <c r="R1123" i="3"/>
  <c r="K165" i="3"/>
  <c r="L165" i="3" s="1"/>
  <c r="Q885" i="3"/>
  <c r="P885" i="3"/>
  <c r="Q64" i="1"/>
  <c r="M65" i="1" s="1"/>
  <c r="S1241" i="3"/>
  <c r="R1241" i="3"/>
  <c r="O164" i="3"/>
  <c r="N885" i="3"/>
  <c r="J886" i="3" s="1"/>
  <c r="S2562" i="3"/>
  <c r="R2562" i="3"/>
  <c r="K765" i="3"/>
  <c r="L765" i="3" s="1"/>
  <c r="Q1723" i="3"/>
  <c r="P1723" i="3"/>
  <c r="S764" i="3"/>
  <c r="R764" i="3"/>
  <c r="Q42" i="3"/>
  <c r="P42" i="3"/>
  <c r="O885" i="3"/>
  <c r="N1723" i="3"/>
  <c r="J1724" i="3" s="1"/>
  <c r="S522" i="3"/>
  <c r="R522" i="3"/>
  <c r="N42" i="3"/>
  <c r="J43" i="3" s="1"/>
  <c r="Q2447" i="3"/>
  <c r="P2447" i="3"/>
  <c r="L285" i="3"/>
  <c r="K285" i="3"/>
  <c r="S643" i="3"/>
  <c r="R643" i="3"/>
  <c r="O1723" i="3"/>
  <c r="K523" i="3"/>
  <c r="L523" i="3" s="1"/>
  <c r="Q2322" i="3"/>
  <c r="P2322" i="3"/>
  <c r="O42" i="3"/>
  <c r="O2447" i="3"/>
  <c r="T64" i="1"/>
  <c r="S64" i="1"/>
  <c r="Q2084" i="3"/>
  <c r="P2084" i="3"/>
  <c r="N2084" i="3"/>
  <c r="J2085" i="3" s="1"/>
  <c r="K1242" i="3"/>
  <c r="L1242" i="3" s="1"/>
  <c r="S2204" i="3"/>
  <c r="R2204" i="3"/>
  <c r="K1124" i="3"/>
  <c r="L1124" i="3" s="1"/>
  <c r="N2322" i="3"/>
  <c r="J2323" i="3" s="1"/>
  <c r="Q284" i="3"/>
  <c r="P284" i="3"/>
  <c r="N2447" i="3"/>
  <c r="J2448" i="3" s="1"/>
  <c r="M1124" i="3" l="1"/>
  <c r="M1242" i="3"/>
  <c r="O2563" i="3"/>
  <c r="N2563" i="3"/>
  <c r="J2564" i="3" s="1"/>
  <c r="M2563" i="3"/>
  <c r="M2205" i="3"/>
  <c r="N765" i="3"/>
  <c r="J766" i="3" s="1"/>
  <c r="M765" i="3"/>
  <c r="O165" i="3"/>
  <c r="M165" i="3"/>
  <c r="M523" i="3"/>
  <c r="S2084" i="3"/>
  <c r="R2084" i="3"/>
  <c r="Q1364" i="3"/>
  <c r="P1364" i="3"/>
  <c r="S2447" i="3"/>
  <c r="R2447" i="3"/>
  <c r="L1365" i="3"/>
  <c r="K1365" i="3"/>
  <c r="Q1602" i="3"/>
  <c r="P1602" i="3"/>
  <c r="S42" i="3"/>
  <c r="R42" i="3"/>
  <c r="S164" i="3"/>
  <c r="R164" i="3"/>
  <c r="Q1484" i="3"/>
  <c r="P1484" i="3"/>
  <c r="O1364" i="3"/>
  <c r="N1602" i="3"/>
  <c r="J1603" i="3" s="1"/>
  <c r="V64" i="1"/>
  <c r="U64" i="1"/>
  <c r="S885" i="3"/>
  <c r="R885" i="3"/>
  <c r="O1484" i="3"/>
  <c r="Q1962" i="3"/>
  <c r="P1962" i="3"/>
  <c r="O1602" i="3"/>
  <c r="S2322" i="3"/>
  <c r="R2322" i="3"/>
  <c r="K886" i="3"/>
  <c r="L886" i="3" s="1"/>
  <c r="N1484" i="3"/>
  <c r="J1485" i="3" s="1"/>
  <c r="O1962" i="3"/>
  <c r="Q644" i="3"/>
  <c r="P644" i="3"/>
  <c r="O285" i="3"/>
  <c r="M285" i="3"/>
  <c r="N65" i="1"/>
  <c r="O65" i="1"/>
  <c r="K43" i="3"/>
  <c r="L43" i="3" s="1"/>
  <c r="S284" i="3"/>
  <c r="R284" i="3"/>
  <c r="Q1843" i="3"/>
  <c r="P1843" i="3"/>
  <c r="Q404" i="3"/>
  <c r="P404" i="3"/>
  <c r="N1962" i="3"/>
  <c r="J1963" i="3" s="1"/>
  <c r="N644" i="3"/>
  <c r="J645" i="3" s="1"/>
  <c r="L1006" i="3"/>
  <c r="K1006" i="3"/>
  <c r="K2448" i="3"/>
  <c r="L2448" i="3"/>
  <c r="K2323" i="3"/>
  <c r="L2323" i="3" s="1"/>
  <c r="K2085" i="3"/>
  <c r="L2085" i="3"/>
  <c r="K1724" i="3"/>
  <c r="L1724" i="3" s="1"/>
  <c r="S1723" i="3"/>
  <c r="R1723" i="3"/>
  <c r="N1843" i="3"/>
  <c r="J1844" i="3" s="1"/>
  <c r="N404" i="3"/>
  <c r="J405" i="3" s="1"/>
  <c r="Q1005" i="3"/>
  <c r="P1005" i="3"/>
  <c r="O644" i="3"/>
  <c r="M2323" i="3" l="1"/>
  <c r="M886" i="3"/>
  <c r="O1724" i="3"/>
  <c r="N1724" i="3"/>
  <c r="J1725" i="3" s="1"/>
  <c r="M1724" i="3"/>
  <c r="M43" i="3"/>
  <c r="Q765" i="3"/>
  <c r="P765" i="3"/>
  <c r="S644" i="3"/>
  <c r="R644" i="3"/>
  <c r="M1365" i="3"/>
  <c r="K766" i="3"/>
  <c r="L766" i="3" s="1"/>
  <c r="Q1242" i="3"/>
  <c r="P1242" i="3"/>
  <c r="S1484" i="3"/>
  <c r="R1484" i="3"/>
  <c r="S1005" i="3"/>
  <c r="R1005" i="3"/>
  <c r="K405" i="3"/>
  <c r="L405" i="3" s="1"/>
  <c r="Q523" i="3"/>
  <c r="P523" i="3"/>
  <c r="O765" i="3"/>
  <c r="N1242" i="3"/>
  <c r="J1243" i="3" s="1"/>
  <c r="K2564" i="3"/>
  <c r="L2564" i="3" s="1"/>
  <c r="S1962" i="3"/>
  <c r="R1962" i="3"/>
  <c r="N523" i="3"/>
  <c r="J524" i="3" s="1"/>
  <c r="Q2205" i="3"/>
  <c r="P2205" i="3"/>
  <c r="O1242" i="3"/>
  <c r="S1602" i="3"/>
  <c r="R1602" i="3"/>
  <c r="K645" i="3"/>
  <c r="L645" i="3" s="1"/>
  <c r="K1963" i="3"/>
  <c r="L1963" i="3"/>
  <c r="K1844" i="3"/>
  <c r="L1844" i="3" s="1"/>
  <c r="K1485" i="3"/>
  <c r="L1485" i="3" s="1"/>
  <c r="K1603" i="3"/>
  <c r="L1603" i="3" s="1"/>
  <c r="O523" i="3"/>
  <c r="N2205" i="3"/>
  <c r="J2206" i="3" s="1"/>
  <c r="Q1124" i="3"/>
  <c r="P1124" i="3"/>
  <c r="N1006" i="3"/>
  <c r="J1007" i="3" s="1"/>
  <c r="O1006" i="3"/>
  <c r="M1006" i="3"/>
  <c r="M2085" i="3"/>
  <c r="P65" i="1"/>
  <c r="S1843" i="3"/>
  <c r="R1843" i="3"/>
  <c r="Q285" i="3"/>
  <c r="P285" i="3"/>
  <c r="Q165" i="3"/>
  <c r="P165" i="3"/>
  <c r="O2205" i="3"/>
  <c r="N1124" i="3"/>
  <c r="J1125" i="3" s="1"/>
  <c r="S404" i="3"/>
  <c r="R404" i="3"/>
  <c r="M2448" i="3"/>
  <c r="N285" i="3"/>
  <c r="J286" i="3" s="1"/>
  <c r="S1364" i="3"/>
  <c r="R1364" i="3"/>
  <c r="N165" i="3"/>
  <c r="J166" i="3" s="1"/>
  <c r="Q2563" i="3"/>
  <c r="P2563" i="3"/>
  <c r="O1124" i="3"/>
  <c r="M2564" i="3" l="1"/>
  <c r="M1603" i="3"/>
  <c r="O405" i="3"/>
  <c r="N405" i="3"/>
  <c r="J406" i="3" s="1"/>
  <c r="M405" i="3"/>
  <c r="M766" i="3"/>
  <c r="N1485" i="3"/>
  <c r="J1486" i="3" s="1"/>
  <c r="M1485" i="3"/>
  <c r="O1844" i="3"/>
  <c r="M1844" i="3"/>
  <c r="M645" i="3"/>
  <c r="T65" i="1"/>
  <c r="S65" i="1"/>
  <c r="S1242" i="3"/>
  <c r="R1242" i="3"/>
  <c r="Q886" i="3"/>
  <c r="P886" i="3"/>
  <c r="Q65" i="1"/>
  <c r="M66" i="1" s="1"/>
  <c r="S1124" i="3"/>
  <c r="R1124" i="3"/>
  <c r="S765" i="3"/>
  <c r="R765" i="3"/>
  <c r="N886" i="3"/>
  <c r="J887" i="3" s="1"/>
  <c r="L1125" i="3"/>
  <c r="K1125" i="3"/>
  <c r="K1007" i="3"/>
  <c r="L1007" i="3" s="1"/>
  <c r="S2563" i="3"/>
  <c r="R2563" i="3"/>
  <c r="Q2085" i="3"/>
  <c r="P2085" i="3"/>
  <c r="K2206" i="3"/>
  <c r="L2206" i="3"/>
  <c r="M1963" i="3"/>
  <c r="K1243" i="3"/>
  <c r="L1243" i="3" s="1"/>
  <c r="Q1365" i="3"/>
  <c r="P1365" i="3"/>
  <c r="Q43" i="3"/>
  <c r="P43" i="3"/>
  <c r="O886" i="3"/>
  <c r="K286" i="3"/>
  <c r="L286" i="3" s="1"/>
  <c r="R65" i="1"/>
  <c r="S285" i="3"/>
  <c r="R285" i="3"/>
  <c r="N2085" i="3"/>
  <c r="J2086" i="3" s="1"/>
  <c r="S2205" i="3"/>
  <c r="R2205" i="3"/>
  <c r="N1365" i="3"/>
  <c r="J1366" i="3" s="1"/>
  <c r="N43" i="3"/>
  <c r="J44" i="3" s="1"/>
  <c r="Q2323" i="3"/>
  <c r="P2323" i="3"/>
  <c r="Q2448" i="3"/>
  <c r="P2448" i="3"/>
  <c r="O2448" i="3"/>
  <c r="O2085" i="3"/>
  <c r="K524" i="3"/>
  <c r="L524" i="3" s="1"/>
  <c r="O1365" i="3"/>
  <c r="O43" i="3"/>
  <c r="O2323" i="3"/>
  <c r="K1725" i="3"/>
  <c r="L1725" i="3" s="1"/>
  <c r="S165" i="3"/>
  <c r="R165" i="3"/>
  <c r="N2448" i="3"/>
  <c r="J2449" i="3" s="1"/>
  <c r="L166" i="3"/>
  <c r="K166" i="3"/>
  <c r="Q1006" i="3"/>
  <c r="P1006" i="3"/>
  <c r="S523" i="3"/>
  <c r="R523" i="3"/>
  <c r="Q1724" i="3"/>
  <c r="P1724" i="3"/>
  <c r="N2323" i="3"/>
  <c r="J2324" i="3" s="1"/>
  <c r="M286" i="3" l="1"/>
  <c r="M1725" i="3"/>
  <c r="N524" i="3"/>
  <c r="J525" i="3" s="1"/>
  <c r="O524" i="3"/>
  <c r="M524" i="3"/>
  <c r="M1007" i="3"/>
  <c r="N1243" i="3"/>
  <c r="J1244" i="3" s="1"/>
  <c r="M1243" i="3"/>
  <c r="L406" i="3"/>
  <c r="K406" i="3"/>
  <c r="Q1485" i="3"/>
  <c r="P1485" i="3"/>
  <c r="V65" i="1"/>
  <c r="U65" i="1"/>
  <c r="L1486" i="3"/>
  <c r="K1486" i="3"/>
  <c r="Q1603" i="3"/>
  <c r="P1603" i="3"/>
  <c r="S2323" i="3"/>
  <c r="R2323" i="3"/>
  <c r="K44" i="3"/>
  <c r="L44" i="3" s="1"/>
  <c r="K1366" i="3"/>
  <c r="L1366" i="3" s="1"/>
  <c r="S2085" i="3"/>
  <c r="R2085" i="3"/>
  <c r="L887" i="3"/>
  <c r="K887" i="3"/>
  <c r="Q645" i="3"/>
  <c r="P645" i="3"/>
  <c r="O1485" i="3"/>
  <c r="O1603" i="3"/>
  <c r="S43" i="3"/>
  <c r="R43" i="3"/>
  <c r="K2449" i="3"/>
  <c r="L2449" i="3"/>
  <c r="N66" i="1"/>
  <c r="O66" i="1" s="1"/>
  <c r="S886" i="3"/>
  <c r="R886" i="3"/>
  <c r="N645" i="3"/>
  <c r="J646" i="3" s="1"/>
  <c r="Q766" i="3"/>
  <c r="P766" i="3"/>
  <c r="N1603" i="3"/>
  <c r="J1604" i="3" s="1"/>
  <c r="M166" i="3"/>
  <c r="S1724" i="3"/>
  <c r="R1724" i="3"/>
  <c r="S1365" i="3"/>
  <c r="R1365" i="3"/>
  <c r="Q1963" i="3"/>
  <c r="P1963" i="3"/>
  <c r="O645" i="3"/>
  <c r="N766" i="3"/>
  <c r="J767" i="3" s="1"/>
  <c r="Q2564" i="3"/>
  <c r="P2564" i="3"/>
  <c r="S1006" i="3"/>
  <c r="R1006" i="3"/>
  <c r="N1963" i="3"/>
  <c r="J1964" i="3" s="1"/>
  <c r="Q1844" i="3"/>
  <c r="P1844" i="3"/>
  <c r="O766" i="3"/>
  <c r="N2564" i="3"/>
  <c r="J2565" i="3" s="1"/>
  <c r="N2206" i="3"/>
  <c r="J2207" i="3" s="1"/>
  <c r="M2206" i="3"/>
  <c r="M1125" i="3"/>
  <c r="K2324" i="3"/>
  <c r="L2324" i="3" s="1"/>
  <c r="S2448" i="3"/>
  <c r="R2448" i="3"/>
  <c r="K2086" i="3"/>
  <c r="L2086" i="3" s="1"/>
  <c r="O1963" i="3"/>
  <c r="N1844" i="3"/>
  <c r="J1845" i="3" s="1"/>
  <c r="Q405" i="3"/>
  <c r="P405" i="3"/>
  <c r="O2564" i="3"/>
  <c r="P66" i="1" l="1"/>
  <c r="M44" i="3"/>
  <c r="N2324" i="3"/>
  <c r="J2325" i="3" s="1"/>
  <c r="O2324" i="3"/>
  <c r="M2324" i="3"/>
  <c r="M1366" i="3"/>
  <c r="N2086" i="3"/>
  <c r="J2087" i="3" s="1"/>
  <c r="M2086" i="3"/>
  <c r="L2565" i="3"/>
  <c r="K2565" i="3"/>
  <c r="S766" i="3"/>
  <c r="R766" i="3"/>
  <c r="Q1243" i="3"/>
  <c r="P1243" i="3"/>
  <c r="K525" i="3"/>
  <c r="L525" i="3"/>
  <c r="K1244" i="3"/>
  <c r="L1244" i="3" s="1"/>
  <c r="Q1725" i="3"/>
  <c r="P1725" i="3"/>
  <c r="S2564" i="3"/>
  <c r="R2564" i="3"/>
  <c r="Q1125" i="3"/>
  <c r="P1125" i="3"/>
  <c r="K646" i="3"/>
  <c r="L646" i="3" s="1"/>
  <c r="N1125" i="3"/>
  <c r="J1126" i="3" s="1"/>
  <c r="O1243" i="3"/>
  <c r="N1725" i="3"/>
  <c r="J1726" i="3" s="1"/>
  <c r="O1486" i="3"/>
  <c r="N1486" i="3"/>
  <c r="J1487" i="3" s="1"/>
  <c r="M1486" i="3"/>
  <c r="Q1007" i="3"/>
  <c r="P1007" i="3"/>
  <c r="O1725" i="3"/>
  <c r="S405" i="3"/>
  <c r="R405" i="3"/>
  <c r="S645" i="3"/>
  <c r="R645" i="3"/>
  <c r="K1845" i="3"/>
  <c r="L1845" i="3" s="1"/>
  <c r="K1964" i="3"/>
  <c r="L1964" i="3" s="1"/>
  <c r="Q166" i="3"/>
  <c r="P166" i="3"/>
  <c r="Q2206" i="3"/>
  <c r="P2206" i="3"/>
  <c r="S1963" i="3"/>
  <c r="R1963" i="3"/>
  <c r="N166" i="3"/>
  <c r="J167" i="3" s="1"/>
  <c r="O1007" i="3"/>
  <c r="Q286" i="3"/>
  <c r="P286" i="3"/>
  <c r="M2449" i="3"/>
  <c r="K767" i="3"/>
  <c r="L767" i="3" s="1"/>
  <c r="O887" i="3"/>
  <c r="N887" i="3"/>
  <c r="J888" i="3" s="1"/>
  <c r="M887" i="3"/>
  <c r="S1844" i="3"/>
  <c r="R1844" i="3"/>
  <c r="O166" i="3"/>
  <c r="S1603" i="3"/>
  <c r="R1603" i="3"/>
  <c r="S1485" i="3"/>
  <c r="R1485" i="3"/>
  <c r="N1007" i="3"/>
  <c r="J1008" i="3" s="1"/>
  <c r="N286" i="3"/>
  <c r="J287" i="3" s="1"/>
  <c r="M406" i="3"/>
  <c r="O406" i="3" s="1"/>
  <c r="O1125" i="3"/>
  <c r="K2207" i="3"/>
  <c r="L2207" i="3" s="1"/>
  <c r="O2206" i="3"/>
  <c r="K1604" i="3"/>
  <c r="L1604" i="3"/>
  <c r="Q524" i="3"/>
  <c r="P524" i="3"/>
  <c r="O286" i="3"/>
  <c r="M767" i="3" l="1"/>
  <c r="M1964" i="3"/>
  <c r="O1964" i="3"/>
  <c r="N1964" i="3"/>
  <c r="J1965" i="3" s="1"/>
  <c r="N2207" i="3"/>
  <c r="J2208" i="3" s="1"/>
  <c r="O2207" i="3"/>
  <c r="M2207" i="3"/>
  <c r="M646" i="3"/>
  <c r="N1845" i="3"/>
  <c r="J1846" i="3" s="1"/>
  <c r="M1845" i="3"/>
  <c r="O1244" i="3"/>
  <c r="M1244" i="3"/>
  <c r="S1125" i="3"/>
  <c r="R1125" i="3"/>
  <c r="S166" i="3"/>
  <c r="R166" i="3"/>
  <c r="Q2086" i="3"/>
  <c r="P2086" i="3"/>
  <c r="K2325" i="3"/>
  <c r="L2325" i="3" s="1"/>
  <c r="K1726" i="3"/>
  <c r="L1726" i="3" s="1"/>
  <c r="K2087" i="3"/>
  <c r="L2087" i="3" s="1"/>
  <c r="Q44" i="3"/>
  <c r="P44" i="3"/>
  <c r="K888" i="3"/>
  <c r="L888" i="3" s="1"/>
  <c r="N406" i="3"/>
  <c r="J407" i="3" s="1"/>
  <c r="S1243" i="3"/>
  <c r="R1243" i="3"/>
  <c r="O2086" i="3"/>
  <c r="N44" i="3"/>
  <c r="J45" i="3" s="1"/>
  <c r="K1487" i="3"/>
  <c r="L1487" i="3"/>
  <c r="K1008" i="3"/>
  <c r="L1008" i="3"/>
  <c r="Q2449" i="3"/>
  <c r="P2449" i="3"/>
  <c r="K1126" i="3"/>
  <c r="L1126" i="3" s="1"/>
  <c r="Q1366" i="3"/>
  <c r="P1366" i="3"/>
  <c r="O44" i="3"/>
  <c r="M525" i="3"/>
  <c r="N525" i="3" s="1"/>
  <c r="J526" i="3" s="1"/>
  <c r="O2449" i="3"/>
  <c r="S1725" i="3"/>
  <c r="R1725" i="3"/>
  <c r="N1366" i="3"/>
  <c r="J1367" i="3" s="1"/>
  <c r="T66" i="1"/>
  <c r="S66" i="1"/>
  <c r="S286" i="3"/>
  <c r="R286" i="3"/>
  <c r="S524" i="3"/>
  <c r="R524" i="3"/>
  <c r="K167" i="3"/>
  <c r="L167" i="3" s="1"/>
  <c r="L287" i="3"/>
  <c r="K287" i="3"/>
  <c r="S1007" i="3"/>
  <c r="R1007" i="3"/>
  <c r="O1366" i="3"/>
  <c r="Q66" i="1"/>
  <c r="M67" i="1" s="1"/>
  <c r="Q406" i="3"/>
  <c r="P406" i="3"/>
  <c r="M2565" i="3"/>
  <c r="M1604" i="3"/>
  <c r="N2449" i="3"/>
  <c r="J2450" i="3" s="1"/>
  <c r="Q887" i="3"/>
  <c r="P887" i="3"/>
  <c r="S2206" i="3"/>
  <c r="R2206" i="3"/>
  <c r="Q1486" i="3"/>
  <c r="P1486" i="3"/>
  <c r="Q2324" i="3"/>
  <c r="P2324" i="3"/>
  <c r="R66" i="1"/>
  <c r="K526" i="3" l="1"/>
  <c r="L526" i="3" s="1"/>
  <c r="M888" i="3"/>
  <c r="M2087" i="3"/>
  <c r="O2087" i="3" s="1"/>
  <c r="M1126" i="3"/>
  <c r="M167" i="3"/>
  <c r="O1726" i="3"/>
  <c r="N1726" i="3"/>
  <c r="J1727" i="3" s="1"/>
  <c r="M1726" i="3"/>
  <c r="M2325" i="3"/>
  <c r="S2449" i="3"/>
  <c r="R2449" i="3"/>
  <c r="Q1845" i="3"/>
  <c r="P1845" i="3"/>
  <c r="K2208" i="3"/>
  <c r="L2208" i="3" s="1"/>
  <c r="N67" i="1"/>
  <c r="O67" i="1" s="1"/>
  <c r="L1846" i="3"/>
  <c r="K1846" i="3"/>
  <c r="L1965" i="3"/>
  <c r="K1965" i="3"/>
  <c r="M287" i="3"/>
  <c r="K2450" i="3"/>
  <c r="L2450" i="3" s="1"/>
  <c r="K407" i="3"/>
  <c r="L407" i="3" s="1"/>
  <c r="O1845" i="3"/>
  <c r="S887" i="3"/>
  <c r="R887" i="3"/>
  <c r="S406" i="3"/>
  <c r="R406" i="3"/>
  <c r="O1008" i="3"/>
  <c r="M1008" i="3"/>
  <c r="M1487" i="3"/>
  <c r="O1487" i="3" s="1"/>
  <c r="Q646" i="3"/>
  <c r="P646" i="3"/>
  <c r="Q1964" i="3"/>
  <c r="P1964" i="3"/>
  <c r="S2324" i="3"/>
  <c r="R2324" i="3"/>
  <c r="K1367" i="3"/>
  <c r="L1367" i="3" s="1"/>
  <c r="S1366" i="3"/>
  <c r="R1366" i="3"/>
  <c r="N646" i="3"/>
  <c r="J647" i="3" s="1"/>
  <c r="Q767" i="3"/>
  <c r="P767" i="3"/>
  <c r="Q525" i="3"/>
  <c r="P525" i="3"/>
  <c r="Q1604" i="3"/>
  <c r="P1604" i="3"/>
  <c r="O525" i="3"/>
  <c r="O1604" i="3"/>
  <c r="Q2565" i="3"/>
  <c r="P2565" i="3"/>
  <c r="N2565" i="3"/>
  <c r="J2566" i="3" s="1"/>
  <c r="K45" i="3"/>
  <c r="L45" i="3" s="1"/>
  <c r="Q1244" i="3"/>
  <c r="P1244" i="3"/>
  <c r="O646" i="3"/>
  <c r="O767" i="3"/>
  <c r="V66" i="1"/>
  <c r="U66" i="1"/>
  <c r="S1486" i="3"/>
  <c r="R1486" i="3"/>
  <c r="N1604" i="3"/>
  <c r="J1605" i="3" s="1"/>
  <c r="O2565" i="3"/>
  <c r="S44" i="3"/>
  <c r="R44" i="3"/>
  <c r="S2086" i="3"/>
  <c r="R2086" i="3"/>
  <c r="N1244" i="3"/>
  <c r="J1245" i="3" s="1"/>
  <c r="Q2207" i="3"/>
  <c r="P2207" i="3"/>
  <c r="N767" i="3"/>
  <c r="J768" i="3" s="1"/>
  <c r="P67" i="1" l="1"/>
  <c r="R67" i="1"/>
  <c r="Q67" i="1"/>
  <c r="M68" i="1" s="1"/>
  <c r="M2208" i="3"/>
  <c r="O45" i="3"/>
  <c r="N45" i="3"/>
  <c r="J46" i="3" s="1"/>
  <c r="M45" i="3"/>
  <c r="N407" i="3"/>
  <c r="J408" i="3" s="1"/>
  <c r="M407" i="3"/>
  <c r="N1367" i="3"/>
  <c r="J1368" i="3" s="1"/>
  <c r="M1367" i="3"/>
  <c r="O2450" i="3"/>
  <c r="M2450" i="3"/>
  <c r="M526" i="3"/>
  <c r="S1244" i="3"/>
  <c r="R1244" i="3"/>
  <c r="M1965" i="3"/>
  <c r="N2087" i="3"/>
  <c r="J2088" i="3" s="1"/>
  <c r="S1964" i="3"/>
  <c r="R1964" i="3"/>
  <c r="O1846" i="3"/>
  <c r="M1846" i="3"/>
  <c r="Q167" i="3"/>
  <c r="P167" i="3"/>
  <c r="S1845" i="3"/>
  <c r="R1845" i="3"/>
  <c r="O167" i="3"/>
  <c r="Q888" i="3"/>
  <c r="P888" i="3"/>
  <c r="Q2087" i="3"/>
  <c r="P2087" i="3"/>
  <c r="S646" i="3"/>
  <c r="R646" i="3"/>
  <c r="N1487" i="3"/>
  <c r="J1488" i="3" s="1"/>
  <c r="Q287" i="3"/>
  <c r="P287" i="3"/>
  <c r="Q2325" i="3"/>
  <c r="P2325" i="3"/>
  <c r="N167" i="3"/>
  <c r="J168" i="3" s="1"/>
  <c r="N888" i="3"/>
  <c r="J889" i="3" s="1"/>
  <c r="S525" i="3"/>
  <c r="R525" i="3"/>
  <c r="S2207" i="3"/>
  <c r="R2207" i="3"/>
  <c r="S2565" i="3"/>
  <c r="R2565" i="3"/>
  <c r="S767" i="3"/>
  <c r="R767" i="3"/>
  <c r="N287" i="3"/>
  <c r="J288" i="3" s="1"/>
  <c r="N2325" i="3"/>
  <c r="J2326" i="3" s="1"/>
  <c r="Q1126" i="3"/>
  <c r="P1126" i="3"/>
  <c r="O888" i="3"/>
  <c r="L1727" i="3"/>
  <c r="K1727" i="3"/>
  <c r="K768" i="3"/>
  <c r="L768" i="3"/>
  <c r="K2566" i="3"/>
  <c r="L2566" i="3" s="1"/>
  <c r="K1605" i="3"/>
  <c r="L1605" i="3"/>
  <c r="L647" i="3"/>
  <c r="K647" i="3"/>
  <c r="Q1008" i="3"/>
  <c r="P1008" i="3"/>
  <c r="O287" i="3"/>
  <c r="O2325" i="3"/>
  <c r="O1126" i="3"/>
  <c r="S1604" i="3"/>
  <c r="R1604" i="3"/>
  <c r="Q1487" i="3"/>
  <c r="P1487" i="3"/>
  <c r="K1245" i="3"/>
  <c r="L1245" i="3" s="1"/>
  <c r="N1008" i="3"/>
  <c r="J1009" i="3" s="1"/>
  <c r="Q1726" i="3"/>
  <c r="P1726" i="3"/>
  <c r="N1126" i="3"/>
  <c r="J1127" i="3" s="1"/>
  <c r="M1245" i="3" l="1"/>
  <c r="M2566" i="3"/>
  <c r="O647" i="3"/>
  <c r="N647" i="3"/>
  <c r="J648" i="3" s="1"/>
  <c r="M647" i="3"/>
  <c r="S1726" i="3"/>
  <c r="R1726" i="3"/>
  <c r="Q1367" i="3"/>
  <c r="P1367" i="3"/>
  <c r="K1368" i="3"/>
  <c r="L1368" i="3" s="1"/>
  <c r="Q2208" i="3"/>
  <c r="P2208" i="3"/>
  <c r="K1488" i="3"/>
  <c r="L1488" i="3" s="1"/>
  <c r="K168" i="3"/>
  <c r="L168" i="3"/>
  <c r="Q526" i="3"/>
  <c r="P526" i="3"/>
  <c r="O1367" i="3"/>
  <c r="N2208" i="3"/>
  <c r="J2209" i="3" s="1"/>
  <c r="K46" i="3"/>
  <c r="L46" i="3" s="1"/>
  <c r="S1126" i="3"/>
  <c r="R1126" i="3"/>
  <c r="L2326" i="3"/>
  <c r="K2326" i="3"/>
  <c r="K2088" i="3"/>
  <c r="L2088" i="3" s="1"/>
  <c r="N526" i="3"/>
  <c r="J527" i="3" s="1"/>
  <c r="Q407" i="3"/>
  <c r="P407" i="3"/>
  <c r="O2208" i="3"/>
  <c r="O1727" i="3"/>
  <c r="M1727" i="3"/>
  <c r="M768" i="3"/>
  <c r="N768" i="3" s="1"/>
  <c r="J769" i="3" s="1"/>
  <c r="K288" i="3"/>
  <c r="L288" i="3" s="1"/>
  <c r="S2325" i="3"/>
  <c r="R2325" i="3"/>
  <c r="S2087" i="3"/>
  <c r="R2087" i="3"/>
  <c r="S167" i="3"/>
  <c r="R167" i="3"/>
  <c r="Q1965" i="3"/>
  <c r="P1965" i="3"/>
  <c r="O526" i="3"/>
  <c r="K408" i="3"/>
  <c r="L408" i="3" s="1"/>
  <c r="N68" i="1"/>
  <c r="O68" i="1"/>
  <c r="O1605" i="3"/>
  <c r="M1605" i="3"/>
  <c r="S1487" i="3"/>
  <c r="R1487" i="3"/>
  <c r="S1008" i="3"/>
  <c r="R1008" i="3"/>
  <c r="Q1846" i="3"/>
  <c r="P1846" i="3"/>
  <c r="N1965" i="3"/>
  <c r="J1966" i="3" s="1"/>
  <c r="Q2450" i="3"/>
  <c r="P2450" i="3"/>
  <c r="O407" i="3"/>
  <c r="K1009" i="3"/>
  <c r="L1009" i="3" s="1"/>
  <c r="K889" i="3"/>
  <c r="L889" i="3" s="1"/>
  <c r="K1127" i="3"/>
  <c r="L1127" i="3"/>
  <c r="S287" i="3"/>
  <c r="R287" i="3"/>
  <c r="S888" i="3"/>
  <c r="R888" i="3"/>
  <c r="N1846" i="3"/>
  <c r="J1847" i="3" s="1"/>
  <c r="O1965" i="3"/>
  <c r="N2450" i="3"/>
  <c r="J2451" i="3" s="1"/>
  <c r="Q45" i="3"/>
  <c r="P45" i="3"/>
  <c r="T67" i="1"/>
  <c r="S67" i="1"/>
  <c r="K769" i="3" l="1"/>
  <c r="L769" i="3" s="1"/>
  <c r="M408" i="3"/>
  <c r="M1488" i="3"/>
  <c r="N1488" i="3" s="1"/>
  <c r="J1489" i="3" s="1"/>
  <c r="M1009" i="3"/>
  <c r="M1368" i="3"/>
  <c r="O46" i="3"/>
  <c r="N46" i="3"/>
  <c r="J47" i="3" s="1"/>
  <c r="M46" i="3"/>
  <c r="M889" i="3"/>
  <c r="O288" i="3"/>
  <c r="M288" i="3"/>
  <c r="O2088" i="3"/>
  <c r="M2088" i="3"/>
  <c r="S526" i="3"/>
  <c r="R526" i="3"/>
  <c r="M168" i="3"/>
  <c r="N168" i="3" s="1"/>
  <c r="J169" i="3" s="1"/>
  <c r="Q2566" i="3"/>
  <c r="P2566" i="3"/>
  <c r="S45" i="3"/>
  <c r="R45" i="3"/>
  <c r="S407" i="3"/>
  <c r="R407" i="3"/>
  <c r="S1367" i="3"/>
  <c r="R1367" i="3"/>
  <c r="N2566" i="3"/>
  <c r="J2567" i="3" s="1"/>
  <c r="K648" i="3"/>
  <c r="L648" i="3" s="1"/>
  <c r="K527" i="3"/>
  <c r="L527" i="3" s="1"/>
  <c r="O2566" i="3"/>
  <c r="V67" i="1"/>
  <c r="U67" i="1"/>
  <c r="Q68" i="1"/>
  <c r="M69" i="1" s="1"/>
  <c r="R68" i="1"/>
  <c r="P68" i="1"/>
  <c r="Q768" i="3"/>
  <c r="P768" i="3"/>
  <c r="M1127" i="3"/>
  <c r="N1127" i="3" s="1"/>
  <c r="J1128" i="3" s="1"/>
  <c r="K1966" i="3"/>
  <c r="L1966" i="3" s="1"/>
  <c r="O768" i="3"/>
  <c r="Q1245" i="3"/>
  <c r="P1245" i="3"/>
  <c r="K2451" i="3"/>
  <c r="L2451" i="3" s="1"/>
  <c r="S2450" i="3"/>
  <c r="R2450" i="3"/>
  <c r="K1847" i="3"/>
  <c r="L1847" i="3" s="1"/>
  <c r="Q1605" i="3"/>
  <c r="P1605" i="3"/>
  <c r="Q1727" i="3"/>
  <c r="P1727" i="3"/>
  <c r="K2209" i="3"/>
  <c r="L2209" i="3" s="1"/>
  <c r="N1245" i="3"/>
  <c r="J1246" i="3" s="1"/>
  <c r="O2326" i="3"/>
  <c r="M2326" i="3"/>
  <c r="S1846" i="3"/>
  <c r="R1846" i="3"/>
  <c r="N1605" i="3"/>
  <c r="J1606" i="3" s="1"/>
  <c r="S1965" i="3"/>
  <c r="R1965" i="3"/>
  <c r="N1727" i="3"/>
  <c r="J1728" i="3" s="1"/>
  <c r="S2208" i="3"/>
  <c r="R2208" i="3"/>
  <c r="Q647" i="3"/>
  <c r="P647" i="3"/>
  <c r="O1245" i="3"/>
  <c r="K1128" i="3" l="1"/>
  <c r="L1128" i="3" s="1"/>
  <c r="K1489" i="3"/>
  <c r="L1489" i="3"/>
  <c r="K169" i="3"/>
  <c r="L169" i="3"/>
  <c r="N1847" i="3"/>
  <c r="J1848" i="3" s="1"/>
  <c r="O1847" i="3"/>
  <c r="M1847" i="3"/>
  <c r="M648" i="3"/>
  <c r="O1966" i="3"/>
  <c r="M1966" i="3"/>
  <c r="O527" i="3"/>
  <c r="M527" i="3"/>
  <c r="M2209" i="3"/>
  <c r="M2451" i="3"/>
  <c r="O2451" i="3" s="1"/>
  <c r="M769" i="3"/>
  <c r="K1246" i="3"/>
  <c r="L1246" i="3" s="1"/>
  <c r="T68" i="1"/>
  <c r="S68" i="1"/>
  <c r="O168" i="3"/>
  <c r="Q288" i="3"/>
  <c r="P288" i="3"/>
  <c r="O1488" i="3"/>
  <c r="S1245" i="3"/>
  <c r="R1245" i="3"/>
  <c r="Q1368" i="3"/>
  <c r="P1368" i="3"/>
  <c r="S768" i="3"/>
  <c r="R768" i="3"/>
  <c r="S647" i="3"/>
  <c r="R647" i="3"/>
  <c r="N69" i="1"/>
  <c r="O69" i="1" s="1"/>
  <c r="N288" i="3"/>
  <c r="J289" i="3" s="1"/>
  <c r="O1368" i="3"/>
  <c r="Q408" i="3"/>
  <c r="P408" i="3"/>
  <c r="Q168" i="3"/>
  <c r="P168" i="3"/>
  <c r="K1606" i="3"/>
  <c r="L1606" i="3" s="1"/>
  <c r="K2567" i="3"/>
  <c r="L2567" i="3" s="1"/>
  <c r="Q889" i="3"/>
  <c r="P889" i="3"/>
  <c r="N1368" i="3"/>
  <c r="J1369" i="3" s="1"/>
  <c r="O408" i="3"/>
  <c r="Q1488" i="3"/>
  <c r="P1488" i="3"/>
  <c r="O889" i="3"/>
  <c r="Q1009" i="3"/>
  <c r="P1009" i="3"/>
  <c r="N408" i="3"/>
  <c r="J409" i="3" s="1"/>
  <c r="Q1127" i="3"/>
  <c r="P1127" i="3"/>
  <c r="K1728" i="3"/>
  <c r="L1728" i="3" s="1"/>
  <c r="Q2326" i="3"/>
  <c r="P2326" i="3"/>
  <c r="O1127" i="3"/>
  <c r="Q2088" i="3"/>
  <c r="P2088" i="3"/>
  <c r="N889" i="3"/>
  <c r="J890" i="3" s="1"/>
  <c r="N1009" i="3"/>
  <c r="J1010" i="3" s="1"/>
  <c r="L47" i="3"/>
  <c r="K47" i="3"/>
  <c r="S1727" i="3"/>
  <c r="R1727" i="3"/>
  <c r="N2326" i="3"/>
  <c r="J2327" i="3" s="1"/>
  <c r="S1605" i="3"/>
  <c r="R1605" i="3"/>
  <c r="S2566" i="3"/>
  <c r="R2566" i="3"/>
  <c r="N2088" i="3"/>
  <c r="J2089" i="3" s="1"/>
  <c r="Q46" i="3"/>
  <c r="P46" i="3"/>
  <c r="O1009" i="3"/>
  <c r="M1606" i="3" l="1"/>
  <c r="M2567" i="3"/>
  <c r="O1728" i="3"/>
  <c r="N1728" i="3"/>
  <c r="J1729" i="3" s="1"/>
  <c r="M1728" i="3"/>
  <c r="P69" i="1"/>
  <c r="O1246" i="3"/>
  <c r="M1246" i="3"/>
  <c r="N1128" i="3"/>
  <c r="J1129" i="3" s="1"/>
  <c r="M1128" i="3"/>
  <c r="M47" i="3"/>
  <c r="L1010" i="3"/>
  <c r="K1010" i="3"/>
  <c r="S1368" i="3"/>
  <c r="R1368" i="3"/>
  <c r="N2451" i="3"/>
  <c r="J2452" i="3" s="1"/>
  <c r="Q1966" i="3"/>
  <c r="P1966" i="3"/>
  <c r="K1848" i="3"/>
  <c r="L1848" i="3" s="1"/>
  <c r="V68" i="1"/>
  <c r="U68" i="1"/>
  <c r="O169" i="3"/>
  <c r="M169" i="3"/>
  <c r="S1127" i="3"/>
  <c r="R1127" i="3"/>
  <c r="Q2209" i="3"/>
  <c r="P2209" i="3"/>
  <c r="N1966" i="3"/>
  <c r="J1967" i="3" s="1"/>
  <c r="Q2451" i="3"/>
  <c r="P2451" i="3"/>
  <c r="L2089" i="3"/>
  <c r="K2089" i="3"/>
  <c r="K409" i="3"/>
  <c r="L409" i="3" s="1"/>
  <c r="O2209" i="3"/>
  <c r="Q648" i="3"/>
  <c r="P648" i="3"/>
  <c r="N1489" i="3"/>
  <c r="J1490" i="3" s="1"/>
  <c r="M1489" i="3"/>
  <c r="S1488" i="3"/>
  <c r="R1488" i="3"/>
  <c r="S46" i="3"/>
  <c r="R46" i="3"/>
  <c r="K1369" i="3"/>
  <c r="L1369" i="3" s="1"/>
  <c r="S889" i="3"/>
  <c r="R889" i="3"/>
  <c r="S408" i="3"/>
  <c r="R408" i="3"/>
  <c r="Q769" i="3"/>
  <c r="P769" i="3"/>
  <c r="N2209" i="3"/>
  <c r="J2210" i="3" s="1"/>
  <c r="N648" i="3"/>
  <c r="J649" i="3" s="1"/>
  <c r="S168" i="3"/>
  <c r="R168" i="3"/>
  <c r="S1009" i="3"/>
  <c r="R1009" i="3"/>
  <c r="O769" i="3"/>
  <c r="Q527" i="3"/>
  <c r="P527" i="3"/>
  <c r="O648" i="3"/>
  <c r="K890" i="3"/>
  <c r="L890" i="3" s="1"/>
  <c r="L2327" i="3"/>
  <c r="K2327" i="3"/>
  <c r="S2088" i="3"/>
  <c r="R2088" i="3"/>
  <c r="S2326" i="3"/>
  <c r="R2326" i="3"/>
  <c r="K289" i="3"/>
  <c r="L289" i="3" s="1"/>
  <c r="S288" i="3"/>
  <c r="R288" i="3"/>
  <c r="N769" i="3"/>
  <c r="J770" i="3" s="1"/>
  <c r="N527" i="3"/>
  <c r="J528" i="3" s="1"/>
  <c r="Q1847" i="3"/>
  <c r="P1847" i="3"/>
  <c r="M1848" i="3" l="1"/>
  <c r="M289" i="3"/>
  <c r="O890" i="3"/>
  <c r="N890" i="3"/>
  <c r="J891" i="3" s="1"/>
  <c r="M890" i="3"/>
  <c r="M1369" i="3"/>
  <c r="O409" i="3"/>
  <c r="M409" i="3"/>
  <c r="K1129" i="3"/>
  <c r="L1129" i="3" s="1"/>
  <c r="K1729" i="3"/>
  <c r="L1729" i="3" s="1"/>
  <c r="Q1489" i="3"/>
  <c r="P1489" i="3"/>
  <c r="Q1246" i="3"/>
  <c r="P1246" i="3"/>
  <c r="O1010" i="3"/>
  <c r="M1010" i="3"/>
  <c r="Q2567" i="3"/>
  <c r="P2567" i="3"/>
  <c r="N2327" i="3"/>
  <c r="J2328" i="3" s="1"/>
  <c r="O2327" i="3"/>
  <c r="M2327" i="3"/>
  <c r="S1847" i="3"/>
  <c r="R1847" i="3"/>
  <c r="O1489" i="3"/>
  <c r="Q169" i="3"/>
  <c r="P169" i="3"/>
  <c r="Q47" i="3"/>
  <c r="P47" i="3"/>
  <c r="N1246" i="3"/>
  <c r="J1247" i="3" s="1"/>
  <c r="O2567" i="3"/>
  <c r="K528" i="3"/>
  <c r="L528" i="3" s="1"/>
  <c r="S2451" i="3"/>
  <c r="R2451" i="3"/>
  <c r="S1966" i="3"/>
  <c r="R1966" i="3"/>
  <c r="N47" i="3"/>
  <c r="J48" i="3" s="1"/>
  <c r="T69" i="1"/>
  <c r="S69" i="1"/>
  <c r="N2567" i="3"/>
  <c r="J2568" i="3" s="1"/>
  <c r="K2210" i="3"/>
  <c r="L2210" i="3" s="1"/>
  <c r="O2089" i="3"/>
  <c r="M2089" i="3"/>
  <c r="K770" i="3"/>
  <c r="L770" i="3"/>
  <c r="S648" i="3"/>
  <c r="R648" i="3"/>
  <c r="K1967" i="3"/>
  <c r="L1967" i="3" s="1"/>
  <c r="N169" i="3"/>
  <c r="J170" i="3" s="1"/>
  <c r="K2452" i="3"/>
  <c r="L2452" i="3"/>
  <c r="O47" i="3"/>
  <c r="Q69" i="1"/>
  <c r="M70" i="1" s="1"/>
  <c r="Q1606" i="3"/>
  <c r="P1606" i="3"/>
  <c r="S769" i="3"/>
  <c r="R769" i="3"/>
  <c r="Q1128" i="3"/>
  <c r="P1128" i="3"/>
  <c r="R69" i="1"/>
  <c r="N1606" i="3"/>
  <c r="J1607" i="3" s="1"/>
  <c r="L1490" i="3"/>
  <c r="K1490" i="3"/>
  <c r="S527" i="3"/>
  <c r="R527" i="3"/>
  <c r="K649" i="3"/>
  <c r="L649" i="3" s="1"/>
  <c r="S2209" i="3"/>
  <c r="R2209" i="3"/>
  <c r="O1128" i="3"/>
  <c r="Q1728" i="3"/>
  <c r="P1728" i="3"/>
  <c r="O1606" i="3"/>
  <c r="M2210" i="3" l="1"/>
  <c r="M528" i="3"/>
  <c r="N1729" i="3"/>
  <c r="J1730" i="3" s="1"/>
  <c r="O1729" i="3"/>
  <c r="M1729" i="3"/>
  <c r="M1967" i="3"/>
  <c r="O649" i="3"/>
  <c r="M649" i="3"/>
  <c r="O1129" i="3"/>
  <c r="M1129" i="3"/>
  <c r="S1606" i="3"/>
  <c r="R1606" i="3"/>
  <c r="Q2327" i="3"/>
  <c r="P2327" i="3"/>
  <c r="Q409" i="3"/>
  <c r="P409" i="3"/>
  <c r="S1246" i="3"/>
  <c r="R1246" i="3"/>
  <c r="Q289" i="3"/>
  <c r="P289" i="3"/>
  <c r="K1247" i="3"/>
  <c r="L1247" i="3"/>
  <c r="N70" i="1"/>
  <c r="O70" i="1" s="1"/>
  <c r="K2328" i="3"/>
  <c r="L2328" i="3" s="1"/>
  <c r="N409" i="3"/>
  <c r="J410" i="3" s="1"/>
  <c r="O289" i="3"/>
  <c r="S47" i="3"/>
  <c r="R47" i="3"/>
  <c r="S1128" i="3"/>
  <c r="R1128" i="3"/>
  <c r="O770" i="3"/>
  <c r="N770" i="3"/>
  <c r="J771" i="3" s="1"/>
  <c r="M770" i="3"/>
  <c r="S169" i="3"/>
  <c r="R169" i="3"/>
  <c r="S1489" i="3"/>
  <c r="R1489" i="3"/>
  <c r="Q1369" i="3"/>
  <c r="P1369" i="3"/>
  <c r="N289" i="3"/>
  <c r="J290" i="3" s="1"/>
  <c r="K2568" i="3"/>
  <c r="L2568" i="3"/>
  <c r="V69" i="1"/>
  <c r="U69" i="1"/>
  <c r="S2567" i="3"/>
  <c r="R2567" i="3"/>
  <c r="O1369" i="3"/>
  <c r="Q1848" i="3"/>
  <c r="P1848" i="3"/>
  <c r="M1490" i="3"/>
  <c r="K891" i="3"/>
  <c r="L891" i="3" s="1"/>
  <c r="M2452" i="3"/>
  <c r="Q2089" i="3"/>
  <c r="P2089" i="3"/>
  <c r="L48" i="3"/>
  <c r="K48" i="3"/>
  <c r="Q1010" i="3"/>
  <c r="P1010" i="3"/>
  <c r="N1369" i="3"/>
  <c r="J1370" i="3" s="1"/>
  <c r="N1848" i="3"/>
  <c r="J1849" i="3" s="1"/>
  <c r="K1607" i="3"/>
  <c r="L1607" i="3" s="1"/>
  <c r="S1728" i="3"/>
  <c r="R1728" i="3"/>
  <c r="K170" i="3"/>
  <c r="L170" i="3"/>
  <c r="N2089" i="3"/>
  <c r="J2090" i="3" s="1"/>
  <c r="N1010" i="3"/>
  <c r="J1011" i="3" s="1"/>
  <c r="Q890" i="3"/>
  <c r="P890" i="3"/>
  <c r="O1848" i="3"/>
  <c r="P70" i="1" l="1"/>
  <c r="M1607" i="3"/>
  <c r="N2328" i="3"/>
  <c r="J2329" i="3" s="1"/>
  <c r="O2328" i="3"/>
  <c r="M2328" i="3"/>
  <c r="M891" i="3"/>
  <c r="Q770" i="3"/>
  <c r="P770" i="3"/>
  <c r="Q649" i="3"/>
  <c r="P649" i="3"/>
  <c r="K1730" i="3"/>
  <c r="L1730" i="3"/>
  <c r="K771" i="3"/>
  <c r="L771" i="3" s="1"/>
  <c r="S2327" i="3"/>
  <c r="R2327" i="3"/>
  <c r="Q528" i="3"/>
  <c r="P528" i="3"/>
  <c r="Q1490" i="3"/>
  <c r="P1490" i="3"/>
  <c r="S890" i="3"/>
  <c r="R890" i="3"/>
  <c r="N1490" i="3"/>
  <c r="J1491" i="3" s="1"/>
  <c r="K410" i="3"/>
  <c r="L410" i="3" s="1"/>
  <c r="S289" i="3"/>
  <c r="R289" i="3"/>
  <c r="N649" i="3"/>
  <c r="J650" i="3" s="1"/>
  <c r="N528" i="3"/>
  <c r="J529" i="3" s="1"/>
  <c r="N48" i="3"/>
  <c r="J49" i="3" s="1"/>
  <c r="O48" i="3"/>
  <c r="M48" i="3"/>
  <c r="K1011" i="3"/>
  <c r="L1011" i="3" s="1"/>
  <c r="O1490" i="3"/>
  <c r="Q1967" i="3"/>
  <c r="P1967" i="3"/>
  <c r="O528" i="3"/>
  <c r="K290" i="3"/>
  <c r="L290" i="3" s="1"/>
  <c r="S2089" i="3"/>
  <c r="R2089" i="3"/>
  <c r="K1849" i="3"/>
  <c r="L1849" i="3" s="1"/>
  <c r="Q2452" i="3"/>
  <c r="P2452" i="3"/>
  <c r="N1967" i="3"/>
  <c r="J1968" i="3" s="1"/>
  <c r="Q2210" i="3"/>
  <c r="P2210" i="3"/>
  <c r="S1010" i="3"/>
  <c r="R1010" i="3"/>
  <c r="O1247" i="3"/>
  <c r="N1247" i="3"/>
  <c r="J1248" i="3" s="1"/>
  <c r="M1247" i="3"/>
  <c r="S1848" i="3"/>
  <c r="R1848" i="3"/>
  <c r="M2568" i="3"/>
  <c r="Q1129" i="3"/>
  <c r="P1129" i="3"/>
  <c r="O1967" i="3"/>
  <c r="O2210" i="3"/>
  <c r="S409" i="3"/>
  <c r="R409" i="3"/>
  <c r="S1369" i="3"/>
  <c r="R1369" i="3"/>
  <c r="K2090" i="3"/>
  <c r="L2090" i="3" s="1"/>
  <c r="M170" i="3"/>
  <c r="K1370" i="3"/>
  <c r="L1370" i="3"/>
  <c r="N2452" i="3"/>
  <c r="J2453" i="3" s="1"/>
  <c r="O2452" i="3"/>
  <c r="N1129" i="3"/>
  <c r="J1130" i="3" s="1"/>
  <c r="Q1729" i="3"/>
  <c r="P1729" i="3"/>
  <c r="N2210" i="3"/>
  <c r="J2211" i="3" s="1"/>
  <c r="M410" i="3" l="1"/>
  <c r="M1849" i="3"/>
  <c r="O2090" i="3"/>
  <c r="N2090" i="3"/>
  <c r="J2091" i="3" s="1"/>
  <c r="M2090" i="3"/>
  <c r="M771" i="3"/>
  <c r="N1011" i="3"/>
  <c r="J1012" i="3" s="1"/>
  <c r="M1011" i="3"/>
  <c r="N290" i="3"/>
  <c r="J291" i="3" s="1"/>
  <c r="M290" i="3"/>
  <c r="M1370" i="3"/>
  <c r="S528" i="3"/>
  <c r="R528" i="3"/>
  <c r="Q2568" i="3"/>
  <c r="P2568" i="3"/>
  <c r="K49" i="3"/>
  <c r="L49" i="3"/>
  <c r="K1491" i="3"/>
  <c r="L1491" i="3" s="1"/>
  <c r="S649" i="3"/>
  <c r="R649" i="3"/>
  <c r="K2329" i="3"/>
  <c r="L2329" i="3"/>
  <c r="Q1607" i="3"/>
  <c r="P1607" i="3"/>
  <c r="K650" i="3"/>
  <c r="L650" i="3" s="1"/>
  <c r="S770" i="3"/>
  <c r="R770" i="3"/>
  <c r="N1607" i="3"/>
  <c r="J1608" i="3" s="1"/>
  <c r="S1129" i="3"/>
  <c r="R1129" i="3"/>
  <c r="Q170" i="3"/>
  <c r="P170" i="3"/>
  <c r="O2568" i="3"/>
  <c r="Q891" i="3"/>
  <c r="P891" i="3"/>
  <c r="O1607" i="3"/>
  <c r="K2211" i="3"/>
  <c r="L2211" i="3" s="1"/>
  <c r="N2568" i="3"/>
  <c r="J2569" i="3" s="1"/>
  <c r="N891" i="3"/>
  <c r="J892" i="3" s="1"/>
  <c r="T70" i="1"/>
  <c r="S70" i="1"/>
  <c r="K1248" i="3"/>
  <c r="L1248" i="3" s="1"/>
  <c r="S2452" i="3"/>
  <c r="R2452" i="3"/>
  <c r="L529" i="3"/>
  <c r="K529" i="3"/>
  <c r="S1967" i="3"/>
  <c r="R1967" i="3"/>
  <c r="S2210" i="3"/>
  <c r="R2210" i="3"/>
  <c r="S1490" i="3"/>
  <c r="R1490" i="3"/>
  <c r="M1730" i="3"/>
  <c r="O891" i="3"/>
  <c r="R70" i="1"/>
  <c r="N170" i="3"/>
  <c r="J171" i="3" s="1"/>
  <c r="S1729" i="3"/>
  <c r="R1729" i="3"/>
  <c r="O170" i="3"/>
  <c r="K1130" i="3"/>
  <c r="L1130" i="3" s="1"/>
  <c r="K2453" i="3"/>
  <c r="L2453" i="3" s="1"/>
  <c r="Q1247" i="3"/>
  <c r="P1247" i="3"/>
  <c r="K1968" i="3"/>
  <c r="L1968" i="3" s="1"/>
  <c r="Q48" i="3"/>
  <c r="P48" i="3"/>
  <c r="Q2328" i="3"/>
  <c r="P2328" i="3"/>
  <c r="Q70" i="1"/>
  <c r="M71" i="1" s="1"/>
  <c r="M1968" i="3" l="1"/>
  <c r="M1130" i="3"/>
  <c r="O2453" i="3"/>
  <c r="N2453" i="3"/>
  <c r="J2454" i="3" s="1"/>
  <c r="M2453" i="3"/>
  <c r="M1248" i="3"/>
  <c r="N1491" i="3"/>
  <c r="J1492" i="3" s="1"/>
  <c r="M1491" i="3"/>
  <c r="N2211" i="3"/>
  <c r="J2212" i="3" s="1"/>
  <c r="M2211" i="3"/>
  <c r="M650" i="3"/>
  <c r="L892" i="3"/>
  <c r="K892" i="3"/>
  <c r="K291" i="3"/>
  <c r="L291" i="3" s="1"/>
  <c r="K2569" i="3"/>
  <c r="L2569" i="3" s="1"/>
  <c r="S170" i="3"/>
  <c r="R170" i="3"/>
  <c r="Q1011" i="3"/>
  <c r="P1011" i="3"/>
  <c r="K1012" i="3"/>
  <c r="L1012" i="3" s="1"/>
  <c r="Q1849" i="3"/>
  <c r="P1849" i="3"/>
  <c r="N529" i="3"/>
  <c r="J530" i="3" s="1"/>
  <c r="M529" i="3"/>
  <c r="S48" i="3"/>
  <c r="R48" i="3"/>
  <c r="Q1370" i="3"/>
  <c r="P1370" i="3"/>
  <c r="O1011" i="3"/>
  <c r="N1849" i="3"/>
  <c r="J1850" i="3" s="1"/>
  <c r="S1607" i="3"/>
  <c r="R1607" i="3"/>
  <c r="M49" i="3"/>
  <c r="O1370" i="3"/>
  <c r="Q771" i="3"/>
  <c r="P771" i="3"/>
  <c r="O1849" i="3"/>
  <c r="K171" i="3"/>
  <c r="L171" i="3" s="1"/>
  <c r="Q1730" i="3"/>
  <c r="P1730" i="3"/>
  <c r="O1730" i="3"/>
  <c r="N1730" i="3"/>
  <c r="J1731" i="3" s="1"/>
  <c r="K1608" i="3"/>
  <c r="L1608" i="3" s="1"/>
  <c r="M2329" i="3"/>
  <c r="N1370" i="3"/>
  <c r="J1371" i="3" s="1"/>
  <c r="N771" i="3"/>
  <c r="J772" i="3" s="1"/>
  <c r="Q410" i="3"/>
  <c r="P410" i="3"/>
  <c r="S2328" i="3"/>
  <c r="R2328" i="3"/>
  <c r="S891" i="3"/>
  <c r="R891" i="3"/>
  <c r="Q290" i="3"/>
  <c r="P290" i="3"/>
  <c r="O771" i="3"/>
  <c r="O410" i="3"/>
  <c r="K2091" i="3"/>
  <c r="L2091" i="3" s="1"/>
  <c r="N71" i="1"/>
  <c r="O71" i="1" s="1"/>
  <c r="S1247" i="3"/>
  <c r="R1247" i="3"/>
  <c r="V70" i="1"/>
  <c r="U70" i="1"/>
  <c r="S2568" i="3"/>
  <c r="R2568" i="3"/>
  <c r="O290" i="3"/>
  <c r="Q2090" i="3"/>
  <c r="P2090" i="3"/>
  <c r="N410" i="3"/>
  <c r="J411" i="3" s="1"/>
  <c r="M2569" i="3" l="1"/>
  <c r="M1012" i="3"/>
  <c r="O291" i="3"/>
  <c r="N291" i="3"/>
  <c r="J292" i="3" s="1"/>
  <c r="M291" i="3"/>
  <c r="M1608" i="3"/>
  <c r="N171" i="3"/>
  <c r="J172" i="3" s="1"/>
  <c r="M171" i="3"/>
  <c r="Q71" i="1"/>
  <c r="M72" i="1" s="1"/>
  <c r="P71" i="1"/>
  <c r="M2091" i="3"/>
  <c r="S2090" i="3"/>
  <c r="R2090" i="3"/>
  <c r="Q529" i="3"/>
  <c r="P529" i="3"/>
  <c r="S1011" i="3"/>
  <c r="R1011" i="3"/>
  <c r="Q1491" i="3"/>
  <c r="P1491" i="3"/>
  <c r="O892" i="3"/>
  <c r="M892" i="3"/>
  <c r="K1492" i="3"/>
  <c r="L1492" i="3" s="1"/>
  <c r="Q1130" i="3"/>
  <c r="P1130" i="3"/>
  <c r="S771" i="3"/>
  <c r="R771" i="3"/>
  <c r="O529" i="3"/>
  <c r="Q650" i="3"/>
  <c r="P650" i="3"/>
  <c r="O1491" i="3"/>
  <c r="O1130" i="3"/>
  <c r="S410" i="3"/>
  <c r="R410" i="3"/>
  <c r="K530" i="3"/>
  <c r="L530" i="3" s="1"/>
  <c r="K772" i="3"/>
  <c r="L772" i="3" s="1"/>
  <c r="K1371" i="3"/>
  <c r="L1371" i="3" s="1"/>
  <c r="Q49" i="3"/>
  <c r="P49" i="3"/>
  <c r="N650" i="3"/>
  <c r="J651" i="3" s="1"/>
  <c r="Q1248" i="3"/>
  <c r="P1248" i="3"/>
  <c r="N1130" i="3"/>
  <c r="J1131" i="3" s="1"/>
  <c r="K2212" i="3"/>
  <c r="L2212" i="3" s="1"/>
  <c r="K1731" i="3"/>
  <c r="L1731" i="3" s="1"/>
  <c r="Q2329" i="3"/>
  <c r="P2329" i="3"/>
  <c r="S1730" i="3"/>
  <c r="R1730" i="3"/>
  <c r="N49" i="3"/>
  <c r="J50" i="3" s="1"/>
  <c r="S1370" i="3"/>
  <c r="R1370" i="3"/>
  <c r="S1849" i="3"/>
  <c r="R1849" i="3"/>
  <c r="O650" i="3"/>
  <c r="O1248" i="3"/>
  <c r="Q1968" i="3"/>
  <c r="P1968" i="3"/>
  <c r="K2454" i="3"/>
  <c r="L2454" i="3" s="1"/>
  <c r="S290" i="3"/>
  <c r="R290" i="3"/>
  <c r="K411" i="3"/>
  <c r="L411" i="3"/>
  <c r="N2329" i="3"/>
  <c r="J2330" i="3" s="1"/>
  <c r="O49" i="3"/>
  <c r="Q2211" i="3"/>
  <c r="P2211" i="3"/>
  <c r="N1248" i="3"/>
  <c r="J1249" i="3" s="1"/>
  <c r="O1968" i="3"/>
  <c r="K1850" i="3"/>
  <c r="L1850" i="3" s="1"/>
  <c r="O2329" i="3"/>
  <c r="O2211" i="3"/>
  <c r="Q2453" i="3"/>
  <c r="P2453" i="3"/>
  <c r="N1968" i="3"/>
  <c r="J1969" i="3" s="1"/>
  <c r="M1492" i="3" l="1"/>
  <c r="M2212" i="3"/>
  <c r="O772" i="3"/>
  <c r="N772" i="3"/>
  <c r="J773" i="3" s="1"/>
  <c r="M772" i="3"/>
  <c r="M1850" i="3"/>
  <c r="N1731" i="3"/>
  <c r="J1732" i="3" s="1"/>
  <c r="M1731" i="3"/>
  <c r="O1371" i="3"/>
  <c r="M1371" i="3"/>
  <c r="M2454" i="3"/>
  <c r="M530" i="3"/>
  <c r="N530" i="3" s="1"/>
  <c r="J531" i="3" s="1"/>
  <c r="S49" i="3"/>
  <c r="R49" i="3"/>
  <c r="K292" i="3"/>
  <c r="L292" i="3" s="1"/>
  <c r="L50" i="3"/>
  <c r="K50" i="3"/>
  <c r="Q171" i="3"/>
  <c r="P171" i="3"/>
  <c r="S1491" i="3"/>
  <c r="R1491" i="3"/>
  <c r="K172" i="3"/>
  <c r="L172" i="3" s="1"/>
  <c r="Q1012" i="3"/>
  <c r="P1012" i="3"/>
  <c r="N72" i="1"/>
  <c r="O72" i="1" s="1"/>
  <c r="K1131" i="3"/>
  <c r="L1131" i="3" s="1"/>
  <c r="S1130" i="3"/>
  <c r="R1130" i="3"/>
  <c r="Q2091" i="3"/>
  <c r="P2091" i="3"/>
  <c r="O171" i="3"/>
  <c r="N1012" i="3"/>
  <c r="J1013" i="3" s="1"/>
  <c r="S1968" i="3"/>
  <c r="R1968" i="3"/>
  <c r="K1249" i="3"/>
  <c r="L1249" i="3"/>
  <c r="N2091" i="3"/>
  <c r="J2092" i="3" s="1"/>
  <c r="Q1608" i="3"/>
  <c r="P1608" i="3"/>
  <c r="O1012" i="3"/>
  <c r="S2211" i="3"/>
  <c r="R2211" i="3"/>
  <c r="S1248" i="3"/>
  <c r="R1248" i="3"/>
  <c r="S650" i="3"/>
  <c r="R650" i="3"/>
  <c r="O2091" i="3"/>
  <c r="N1608" i="3"/>
  <c r="J1609" i="3" s="1"/>
  <c r="Q2569" i="3"/>
  <c r="P2569" i="3"/>
  <c r="M411" i="3"/>
  <c r="S2329" i="3"/>
  <c r="R2329" i="3"/>
  <c r="K651" i="3"/>
  <c r="L651" i="3" s="1"/>
  <c r="Q892" i="3"/>
  <c r="P892" i="3"/>
  <c r="T71" i="1"/>
  <c r="S71" i="1"/>
  <c r="O1608" i="3"/>
  <c r="O2569" i="3"/>
  <c r="K1969" i="3"/>
  <c r="L1969" i="3" s="1"/>
  <c r="S2453" i="3"/>
  <c r="R2453" i="3"/>
  <c r="K2330" i="3"/>
  <c r="L2330" i="3" s="1"/>
  <c r="N892" i="3"/>
  <c r="J893" i="3" s="1"/>
  <c r="S529" i="3"/>
  <c r="R529" i="3"/>
  <c r="R71" i="1"/>
  <c r="Q291" i="3"/>
  <c r="P291" i="3"/>
  <c r="N2569" i="3"/>
  <c r="J2570" i="3" s="1"/>
  <c r="M292" i="3" l="1"/>
  <c r="M2330" i="3"/>
  <c r="O172" i="3"/>
  <c r="N172" i="3"/>
  <c r="J173" i="3" s="1"/>
  <c r="M172" i="3"/>
  <c r="M651" i="3"/>
  <c r="O1969" i="3"/>
  <c r="M1969" i="3"/>
  <c r="O1131" i="3"/>
  <c r="M1131" i="3"/>
  <c r="K531" i="3"/>
  <c r="L531" i="3"/>
  <c r="Q72" i="1"/>
  <c r="M73" i="1" s="1"/>
  <c r="P72" i="1"/>
  <c r="S1012" i="3"/>
  <c r="R1012" i="3"/>
  <c r="O530" i="3"/>
  <c r="Q1731" i="3"/>
  <c r="P1731" i="3"/>
  <c r="S2569" i="3"/>
  <c r="R2569" i="3"/>
  <c r="K773" i="3"/>
  <c r="L773" i="3" s="1"/>
  <c r="M50" i="3"/>
  <c r="K1732" i="3"/>
  <c r="L1732" i="3" s="1"/>
  <c r="Q2212" i="3"/>
  <c r="P2212" i="3"/>
  <c r="L1609" i="3"/>
  <c r="K1609" i="3"/>
  <c r="Q2454" i="3"/>
  <c r="P2454" i="3"/>
  <c r="O1731" i="3"/>
  <c r="N2212" i="3"/>
  <c r="J2213" i="3" s="1"/>
  <c r="O1249" i="3"/>
  <c r="M1249" i="3"/>
  <c r="Q530" i="3"/>
  <c r="P530" i="3"/>
  <c r="K2570" i="3"/>
  <c r="L2570" i="3"/>
  <c r="V71" i="1"/>
  <c r="U71" i="1"/>
  <c r="Q411" i="3"/>
  <c r="P411" i="3"/>
  <c r="N2454" i="3"/>
  <c r="J2455" i="3" s="1"/>
  <c r="Q1850" i="3"/>
  <c r="P1850" i="3"/>
  <c r="O2212" i="3"/>
  <c r="N411" i="3"/>
  <c r="J412" i="3" s="1"/>
  <c r="K1013" i="3"/>
  <c r="L1013" i="3" s="1"/>
  <c r="O2454" i="3"/>
  <c r="O1850" i="3"/>
  <c r="Q1492" i="3"/>
  <c r="P1492" i="3"/>
  <c r="S171" i="3"/>
  <c r="R171" i="3"/>
  <c r="S1608" i="3"/>
  <c r="R1608" i="3"/>
  <c r="Q1371" i="3"/>
  <c r="P1371" i="3"/>
  <c r="N1850" i="3"/>
  <c r="J1851" i="3" s="1"/>
  <c r="O1492" i="3"/>
  <c r="S2091" i="3"/>
  <c r="R2091" i="3"/>
  <c r="K893" i="3"/>
  <c r="L893" i="3" s="1"/>
  <c r="S291" i="3"/>
  <c r="R291" i="3"/>
  <c r="S892" i="3"/>
  <c r="R892" i="3"/>
  <c r="O411" i="3"/>
  <c r="K2092" i="3"/>
  <c r="L2092" i="3" s="1"/>
  <c r="N1371" i="3"/>
  <c r="J1372" i="3" s="1"/>
  <c r="Q772" i="3"/>
  <c r="P772" i="3"/>
  <c r="N1492" i="3"/>
  <c r="J1493" i="3" s="1"/>
  <c r="M893" i="3" l="1"/>
  <c r="M1732" i="3"/>
  <c r="N2092" i="3"/>
  <c r="J2093" i="3" s="1"/>
  <c r="O2092" i="3"/>
  <c r="M2092" i="3"/>
  <c r="M1013" i="3"/>
  <c r="N773" i="3"/>
  <c r="J774" i="3" s="1"/>
  <c r="M773" i="3"/>
  <c r="S2212" i="3"/>
  <c r="R2212" i="3"/>
  <c r="K1851" i="3"/>
  <c r="L1851" i="3" s="1"/>
  <c r="K2213" i="3"/>
  <c r="L2213" i="3"/>
  <c r="T72" i="1"/>
  <c r="S72" i="1"/>
  <c r="Q1969" i="3"/>
  <c r="P1969" i="3"/>
  <c r="N73" i="1"/>
  <c r="O73" i="1"/>
  <c r="Q2330" i="3"/>
  <c r="P2330" i="3"/>
  <c r="Q50" i="3"/>
  <c r="P50" i="3"/>
  <c r="R72" i="1"/>
  <c r="N1969" i="3"/>
  <c r="J1970" i="3" s="1"/>
  <c r="N2330" i="3"/>
  <c r="J2331" i="3" s="1"/>
  <c r="S772" i="3"/>
  <c r="R772" i="3"/>
  <c r="K2455" i="3"/>
  <c r="L2455" i="3"/>
  <c r="S2454" i="3"/>
  <c r="R2454" i="3"/>
  <c r="N50" i="3"/>
  <c r="J51" i="3" s="1"/>
  <c r="S1731" i="3"/>
  <c r="R1731" i="3"/>
  <c r="O531" i="3"/>
  <c r="M531" i="3"/>
  <c r="Q651" i="3"/>
  <c r="P651" i="3"/>
  <c r="O2330" i="3"/>
  <c r="K1372" i="3"/>
  <c r="L1372" i="3" s="1"/>
  <c r="O2570" i="3"/>
  <c r="M2570" i="3"/>
  <c r="S1850" i="3"/>
  <c r="R1850" i="3"/>
  <c r="S530" i="3"/>
  <c r="R530" i="3"/>
  <c r="O50" i="3"/>
  <c r="N651" i="3"/>
  <c r="J652" i="3" s="1"/>
  <c r="Q292" i="3"/>
  <c r="P292" i="3"/>
  <c r="K412" i="3"/>
  <c r="L412" i="3" s="1"/>
  <c r="S1371" i="3"/>
  <c r="R1371" i="3"/>
  <c r="K1493" i="3"/>
  <c r="L1493" i="3" s="1"/>
  <c r="S411" i="3"/>
  <c r="R411" i="3"/>
  <c r="Q1249" i="3"/>
  <c r="P1249" i="3"/>
  <c r="M1609" i="3"/>
  <c r="Q1131" i="3"/>
  <c r="P1131" i="3"/>
  <c r="O651" i="3"/>
  <c r="N292" i="3"/>
  <c r="J293" i="3" s="1"/>
  <c r="L173" i="3"/>
  <c r="K173" i="3"/>
  <c r="S1492" i="3"/>
  <c r="R1492" i="3"/>
  <c r="N1249" i="3"/>
  <c r="J1250" i="3" s="1"/>
  <c r="N1131" i="3"/>
  <c r="J1132" i="3" s="1"/>
  <c r="Q172" i="3"/>
  <c r="P172" i="3"/>
  <c r="O292" i="3"/>
  <c r="M1493" i="3" l="1"/>
  <c r="M412" i="3"/>
  <c r="N1851" i="3"/>
  <c r="J1852" i="3" s="1"/>
  <c r="O1851" i="3"/>
  <c r="M1851" i="3"/>
  <c r="M1372" i="3"/>
  <c r="N173" i="3"/>
  <c r="J174" i="3" s="1"/>
  <c r="M173" i="3"/>
  <c r="S50" i="3"/>
  <c r="R50" i="3"/>
  <c r="V72" i="1"/>
  <c r="U72" i="1"/>
  <c r="Q773" i="3"/>
  <c r="P773" i="3"/>
  <c r="K2093" i="3"/>
  <c r="L2093" i="3" s="1"/>
  <c r="M2455" i="3"/>
  <c r="O2213" i="3"/>
  <c r="N2213" i="3"/>
  <c r="J2214" i="3" s="1"/>
  <c r="M2213" i="3"/>
  <c r="L774" i="3"/>
  <c r="K774" i="3"/>
  <c r="Q1732" i="3"/>
  <c r="P1732" i="3"/>
  <c r="S172" i="3"/>
  <c r="R172" i="3"/>
  <c r="S2330" i="3"/>
  <c r="R2330" i="3"/>
  <c r="O773" i="3"/>
  <c r="O1732" i="3"/>
  <c r="K1132" i="3"/>
  <c r="L1132" i="3" s="1"/>
  <c r="L51" i="3"/>
  <c r="K51" i="3"/>
  <c r="R73" i="1"/>
  <c r="P73" i="1"/>
  <c r="Q1013" i="3"/>
  <c r="P1013" i="3"/>
  <c r="N1732" i="3"/>
  <c r="J1733" i="3" s="1"/>
  <c r="L1250" i="3"/>
  <c r="K1250" i="3"/>
  <c r="Q1609" i="3"/>
  <c r="P1609" i="3"/>
  <c r="S651" i="3"/>
  <c r="R651" i="3"/>
  <c r="K2331" i="3"/>
  <c r="L2331" i="3" s="1"/>
  <c r="N1013" i="3"/>
  <c r="J1014" i="3" s="1"/>
  <c r="Q893" i="3"/>
  <c r="P893" i="3"/>
  <c r="S1249" i="3"/>
  <c r="R1249" i="3"/>
  <c r="S292" i="3"/>
  <c r="R292" i="3"/>
  <c r="N1609" i="3"/>
  <c r="J1610" i="3" s="1"/>
  <c r="K652" i="3"/>
  <c r="L652" i="3" s="1"/>
  <c r="Q2570" i="3"/>
  <c r="P2570" i="3"/>
  <c r="Q531" i="3"/>
  <c r="P531" i="3"/>
  <c r="K1970" i="3"/>
  <c r="L1970" i="3"/>
  <c r="O1013" i="3"/>
  <c r="N893" i="3"/>
  <c r="J894" i="3" s="1"/>
  <c r="K293" i="3"/>
  <c r="L293" i="3" s="1"/>
  <c r="S1131" i="3"/>
  <c r="R1131" i="3"/>
  <c r="O1609" i="3"/>
  <c r="N2570" i="3"/>
  <c r="J2571" i="3" s="1"/>
  <c r="N531" i="3"/>
  <c r="J532" i="3" s="1"/>
  <c r="S1969" i="3"/>
  <c r="R1969" i="3"/>
  <c r="Q2092" i="3"/>
  <c r="P2092" i="3"/>
  <c r="O893" i="3"/>
  <c r="M293" i="3" l="1"/>
  <c r="M2093" i="3"/>
  <c r="O652" i="3"/>
  <c r="N652" i="3"/>
  <c r="J653" i="3" s="1"/>
  <c r="M652" i="3"/>
  <c r="M1132" i="3"/>
  <c r="O2331" i="3"/>
  <c r="M2331" i="3"/>
  <c r="S1609" i="3"/>
  <c r="R1609" i="3"/>
  <c r="K1014" i="3"/>
  <c r="L1014" i="3" s="1"/>
  <c r="Q2213" i="3"/>
  <c r="P2213" i="3"/>
  <c r="Q173" i="3"/>
  <c r="P173" i="3"/>
  <c r="K1852" i="3"/>
  <c r="L1852" i="3"/>
  <c r="S773" i="3"/>
  <c r="R773" i="3"/>
  <c r="L174" i="3"/>
  <c r="K174" i="3"/>
  <c r="Q412" i="3"/>
  <c r="P412" i="3"/>
  <c r="M1970" i="3"/>
  <c r="N774" i="3"/>
  <c r="J775" i="3" s="1"/>
  <c r="M774" i="3"/>
  <c r="O51" i="3"/>
  <c r="M51" i="3"/>
  <c r="K1733" i="3"/>
  <c r="L1733" i="3" s="1"/>
  <c r="O173" i="3"/>
  <c r="N412" i="3"/>
  <c r="J413" i="3" s="1"/>
  <c r="S893" i="3"/>
  <c r="R893" i="3"/>
  <c r="K2214" i="3"/>
  <c r="L2214" i="3" s="1"/>
  <c r="Q2455" i="3"/>
  <c r="P2455" i="3"/>
  <c r="Q1372" i="3"/>
  <c r="P1372" i="3"/>
  <c r="O412" i="3"/>
  <c r="S531" i="3"/>
  <c r="R531" i="3"/>
  <c r="S2570" i="3"/>
  <c r="R2570" i="3"/>
  <c r="S1013" i="3"/>
  <c r="R1013" i="3"/>
  <c r="O2455" i="3"/>
  <c r="N1372" i="3"/>
  <c r="J1373" i="3" s="1"/>
  <c r="Q1493" i="3"/>
  <c r="P1493" i="3"/>
  <c r="S2092" i="3"/>
  <c r="R2092" i="3"/>
  <c r="M1250" i="3"/>
  <c r="T73" i="1"/>
  <c r="S73" i="1"/>
  <c r="S1732" i="3"/>
  <c r="R1732" i="3"/>
  <c r="N2455" i="3"/>
  <c r="J2456" i="3" s="1"/>
  <c r="O1372" i="3"/>
  <c r="N1493" i="3"/>
  <c r="J1494" i="3" s="1"/>
  <c r="K1610" i="3"/>
  <c r="L1610" i="3" s="1"/>
  <c r="K532" i="3"/>
  <c r="L532" i="3" s="1"/>
  <c r="K894" i="3"/>
  <c r="L894" i="3" s="1"/>
  <c r="K2571" i="3"/>
  <c r="L2571" i="3" s="1"/>
  <c r="Q73" i="1"/>
  <c r="M74" i="1" s="1"/>
  <c r="Q1851" i="3"/>
  <c r="P1851" i="3"/>
  <c r="O1493" i="3"/>
  <c r="M894" i="3" l="1"/>
  <c r="M1610" i="3"/>
  <c r="N532" i="3"/>
  <c r="J533" i="3" s="1"/>
  <c r="O532" i="3"/>
  <c r="M532" i="3"/>
  <c r="M2214" i="3"/>
  <c r="N2571" i="3"/>
  <c r="J2572" i="3" s="1"/>
  <c r="M2571" i="3"/>
  <c r="N1733" i="3"/>
  <c r="J1734" i="3" s="1"/>
  <c r="M1733" i="3"/>
  <c r="M1014" i="3"/>
  <c r="Q774" i="3"/>
  <c r="P774" i="3"/>
  <c r="S173" i="3"/>
  <c r="R173" i="3"/>
  <c r="Q2331" i="3"/>
  <c r="P2331" i="3"/>
  <c r="S1372" i="3"/>
  <c r="R1372" i="3"/>
  <c r="O174" i="3"/>
  <c r="M174" i="3"/>
  <c r="Q2093" i="3"/>
  <c r="P2093" i="3"/>
  <c r="K775" i="3"/>
  <c r="L775" i="3" s="1"/>
  <c r="S2213" i="3"/>
  <c r="R2213" i="3"/>
  <c r="N2331" i="3"/>
  <c r="J2332" i="3" s="1"/>
  <c r="N2093" i="3"/>
  <c r="J2094" i="3" s="1"/>
  <c r="Q1970" i="3"/>
  <c r="P1970" i="3"/>
  <c r="Q1132" i="3"/>
  <c r="P1132" i="3"/>
  <c r="O2093" i="3"/>
  <c r="S412" i="3"/>
  <c r="R412" i="3"/>
  <c r="S1851" i="3"/>
  <c r="R1851" i="3"/>
  <c r="V73" i="1"/>
  <c r="U73" i="1"/>
  <c r="K1494" i="3"/>
  <c r="L1494" i="3" s="1"/>
  <c r="K1373" i="3"/>
  <c r="L1373" i="3" s="1"/>
  <c r="O1970" i="3"/>
  <c r="N1132" i="3"/>
  <c r="J1133" i="3" s="1"/>
  <c r="Q293" i="3"/>
  <c r="P293" i="3"/>
  <c r="K653" i="3"/>
  <c r="L653" i="3" s="1"/>
  <c r="K413" i="3"/>
  <c r="L413" i="3" s="1"/>
  <c r="S2455" i="3"/>
  <c r="R2455" i="3"/>
  <c r="K2456" i="3"/>
  <c r="L2456" i="3" s="1"/>
  <c r="Q51" i="3"/>
  <c r="P51" i="3"/>
  <c r="N1970" i="3"/>
  <c r="J1971" i="3" s="1"/>
  <c r="O1852" i="3"/>
  <c r="N1852" i="3"/>
  <c r="J1853" i="3" s="1"/>
  <c r="M1852" i="3"/>
  <c r="O1132" i="3"/>
  <c r="N293" i="3"/>
  <c r="J294" i="3" s="1"/>
  <c r="N74" i="1"/>
  <c r="O74" i="1" s="1"/>
  <c r="O774" i="3"/>
  <c r="S1493" i="3"/>
  <c r="R1493" i="3"/>
  <c r="Q1250" i="3"/>
  <c r="P1250" i="3"/>
  <c r="N1250" i="3"/>
  <c r="J1251" i="3" s="1"/>
  <c r="O1250" i="3"/>
  <c r="N51" i="3"/>
  <c r="J52" i="3" s="1"/>
  <c r="Q652" i="3"/>
  <c r="P652" i="3"/>
  <c r="O293" i="3"/>
  <c r="M1494" i="3" l="1"/>
  <c r="M653" i="3"/>
  <c r="O775" i="3"/>
  <c r="N775" i="3"/>
  <c r="J776" i="3" s="1"/>
  <c r="M775" i="3"/>
  <c r="P74" i="1"/>
  <c r="O2456" i="3"/>
  <c r="M2456" i="3"/>
  <c r="O413" i="3"/>
  <c r="M413" i="3"/>
  <c r="M1373" i="3"/>
  <c r="Q2571" i="3"/>
  <c r="P2571" i="3"/>
  <c r="K533" i="3"/>
  <c r="L533" i="3" s="1"/>
  <c r="K1133" i="3"/>
  <c r="L1133" i="3" s="1"/>
  <c r="S774" i="3"/>
  <c r="R774" i="3"/>
  <c r="K2572" i="3"/>
  <c r="L2572" i="3" s="1"/>
  <c r="Q1610" i="3"/>
  <c r="P1610" i="3"/>
  <c r="S652" i="3"/>
  <c r="R652" i="3"/>
  <c r="K1971" i="3"/>
  <c r="L1971" i="3" s="1"/>
  <c r="Q1014" i="3"/>
  <c r="P1014" i="3"/>
  <c r="O2571" i="3"/>
  <c r="N1610" i="3"/>
  <c r="J1611" i="3" s="1"/>
  <c r="K1734" i="3"/>
  <c r="L1734" i="3" s="1"/>
  <c r="S1132" i="3"/>
  <c r="R1132" i="3"/>
  <c r="K1251" i="3"/>
  <c r="L1251" i="3" s="1"/>
  <c r="S51" i="3"/>
  <c r="R51" i="3"/>
  <c r="S1970" i="3"/>
  <c r="R1970" i="3"/>
  <c r="O1014" i="3"/>
  <c r="Q2214" i="3"/>
  <c r="P2214" i="3"/>
  <c r="O1610" i="3"/>
  <c r="K52" i="3"/>
  <c r="L52" i="3" s="1"/>
  <c r="K294" i="3"/>
  <c r="L294" i="3" s="1"/>
  <c r="K2094" i="3"/>
  <c r="L2094" i="3" s="1"/>
  <c r="S2093" i="3"/>
  <c r="R2093" i="3"/>
  <c r="S2331" i="3"/>
  <c r="R2331" i="3"/>
  <c r="N1014" i="3"/>
  <c r="J1015" i="3" s="1"/>
  <c r="N2214" i="3"/>
  <c r="J2215" i="3" s="1"/>
  <c r="Q894" i="3"/>
  <c r="P894" i="3"/>
  <c r="K1853" i="3"/>
  <c r="L1853" i="3" s="1"/>
  <c r="S1250" i="3"/>
  <c r="R1250" i="3"/>
  <c r="K2332" i="3"/>
  <c r="L2332" i="3"/>
  <c r="Q174" i="3"/>
  <c r="P174" i="3"/>
  <c r="Q1733" i="3"/>
  <c r="P1733" i="3"/>
  <c r="O2214" i="3"/>
  <c r="N894" i="3"/>
  <c r="J895" i="3" s="1"/>
  <c r="Q1852" i="3"/>
  <c r="P1852" i="3"/>
  <c r="S293" i="3"/>
  <c r="R293" i="3"/>
  <c r="N174" i="3"/>
  <c r="J175" i="3" s="1"/>
  <c r="O1733" i="3"/>
  <c r="Q532" i="3"/>
  <c r="P532" i="3"/>
  <c r="O894" i="3"/>
  <c r="M1971" i="3" l="1"/>
  <c r="M1251" i="3"/>
  <c r="O533" i="3"/>
  <c r="N533" i="3"/>
  <c r="J534" i="3" s="1"/>
  <c r="M533" i="3"/>
  <c r="M2094" i="3"/>
  <c r="N52" i="3"/>
  <c r="J53" i="3" s="1"/>
  <c r="M52" i="3"/>
  <c r="O1133" i="3"/>
  <c r="M1133" i="3"/>
  <c r="M1734" i="3"/>
  <c r="M1853" i="3"/>
  <c r="O1853" i="3" s="1"/>
  <c r="M2572" i="3"/>
  <c r="M294" i="3"/>
  <c r="K175" i="3"/>
  <c r="L175" i="3" s="1"/>
  <c r="Q2456" i="3"/>
  <c r="P2456" i="3"/>
  <c r="S2571" i="3"/>
  <c r="R2571" i="3"/>
  <c r="Q653" i="3"/>
  <c r="P653" i="3"/>
  <c r="Q1373" i="3"/>
  <c r="P1373" i="3"/>
  <c r="N2456" i="3"/>
  <c r="J2457" i="3" s="1"/>
  <c r="N653" i="3"/>
  <c r="J654" i="3" s="1"/>
  <c r="N1373" i="3"/>
  <c r="J1374" i="3" s="1"/>
  <c r="T74" i="1"/>
  <c r="S74" i="1"/>
  <c r="O653" i="3"/>
  <c r="S1014" i="3"/>
  <c r="R1014" i="3"/>
  <c r="S894" i="3"/>
  <c r="R894" i="3"/>
  <c r="K1611" i="3"/>
  <c r="L1611" i="3" s="1"/>
  <c r="O1373" i="3"/>
  <c r="Q74" i="1"/>
  <c r="M75" i="1" s="1"/>
  <c r="Q1494" i="3"/>
  <c r="P1494" i="3"/>
  <c r="K776" i="3"/>
  <c r="L776" i="3" s="1"/>
  <c r="S174" i="3"/>
  <c r="R174" i="3"/>
  <c r="K2215" i="3"/>
  <c r="L2215" i="3" s="1"/>
  <c r="S2214" i="3"/>
  <c r="R2214" i="3"/>
  <c r="Q413" i="3"/>
  <c r="P413" i="3"/>
  <c r="R74" i="1"/>
  <c r="N1494" i="3"/>
  <c r="J1495" i="3" s="1"/>
  <c r="S1733" i="3"/>
  <c r="R1733" i="3"/>
  <c r="M2332" i="3"/>
  <c r="S1852" i="3"/>
  <c r="R1852" i="3"/>
  <c r="S532" i="3"/>
  <c r="R532" i="3"/>
  <c r="K895" i="3"/>
  <c r="L895" i="3" s="1"/>
  <c r="K1015" i="3"/>
  <c r="L1015" i="3"/>
  <c r="S1610" i="3"/>
  <c r="R1610" i="3"/>
  <c r="N413" i="3"/>
  <c r="J414" i="3" s="1"/>
  <c r="Q775" i="3"/>
  <c r="P775" i="3"/>
  <c r="O1494" i="3"/>
  <c r="M776" i="3" l="1"/>
  <c r="M175" i="3"/>
  <c r="N2215" i="3"/>
  <c r="J2216" i="3" s="1"/>
  <c r="O2215" i="3"/>
  <c r="M2215" i="3"/>
  <c r="M895" i="3"/>
  <c r="O1611" i="3"/>
  <c r="M1611" i="3"/>
  <c r="N1853" i="3"/>
  <c r="J1854" i="3" s="1"/>
  <c r="Q52" i="3"/>
  <c r="P52" i="3"/>
  <c r="Q294" i="3"/>
  <c r="P294" i="3"/>
  <c r="K53" i="3"/>
  <c r="L53" i="3" s="1"/>
  <c r="Q1251" i="3"/>
  <c r="P1251" i="3"/>
  <c r="Q2332" i="3"/>
  <c r="P2332" i="3"/>
  <c r="K534" i="3"/>
  <c r="L534" i="3" s="1"/>
  <c r="V74" i="1"/>
  <c r="U74" i="1"/>
  <c r="N294" i="3"/>
  <c r="J295" i="3" s="1"/>
  <c r="Q1734" i="3"/>
  <c r="P1734" i="3"/>
  <c r="O52" i="3"/>
  <c r="N1251" i="3"/>
  <c r="J1252" i="3" s="1"/>
  <c r="Q1853" i="3"/>
  <c r="P1853" i="3"/>
  <c r="O2332" i="3"/>
  <c r="S653" i="3"/>
  <c r="R653" i="3"/>
  <c r="K1374" i="3"/>
  <c r="L1374" i="3" s="1"/>
  <c r="O294" i="3"/>
  <c r="N1734" i="3"/>
  <c r="J1735" i="3" s="1"/>
  <c r="Q2094" i="3"/>
  <c r="P2094" i="3"/>
  <c r="O1251" i="3"/>
  <c r="S1373" i="3"/>
  <c r="R1373" i="3"/>
  <c r="S413" i="3"/>
  <c r="R413" i="3"/>
  <c r="N2332" i="3"/>
  <c r="J2333" i="3" s="1"/>
  <c r="S1494" i="3"/>
  <c r="R1494" i="3"/>
  <c r="K654" i="3"/>
  <c r="L654" i="3"/>
  <c r="Q2572" i="3"/>
  <c r="P2572" i="3"/>
  <c r="O1734" i="3"/>
  <c r="N2094" i="3"/>
  <c r="J2095" i="3" s="1"/>
  <c r="Q1971" i="3"/>
  <c r="P1971" i="3"/>
  <c r="S775" i="3"/>
  <c r="R775" i="3"/>
  <c r="N1015" i="3"/>
  <c r="J1016" i="3" s="1"/>
  <c r="M1015" i="3"/>
  <c r="K1495" i="3"/>
  <c r="L1495" i="3" s="1"/>
  <c r="N75" i="1"/>
  <c r="O75" i="1" s="1"/>
  <c r="K2457" i="3"/>
  <c r="L2457" i="3"/>
  <c r="N2572" i="3"/>
  <c r="J2573" i="3" s="1"/>
  <c r="Q1133" i="3"/>
  <c r="P1133" i="3"/>
  <c r="O2094" i="3"/>
  <c r="N1971" i="3"/>
  <c r="J1972" i="3" s="1"/>
  <c r="K414" i="3"/>
  <c r="L414" i="3" s="1"/>
  <c r="S2456" i="3"/>
  <c r="R2456" i="3"/>
  <c r="O2572" i="3"/>
  <c r="N1133" i="3"/>
  <c r="J1134" i="3" s="1"/>
  <c r="Q533" i="3"/>
  <c r="P533" i="3"/>
  <c r="O1971" i="3"/>
  <c r="M534" i="3" l="1"/>
  <c r="M53" i="3"/>
  <c r="P75" i="1"/>
  <c r="Q75" i="1"/>
  <c r="M76" i="1" s="1"/>
  <c r="M1374" i="3"/>
  <c r="N414" i="3"/>
  <c r="J415" i="3" s="1"/>
  <c r="M414" i="3"/>
  <c r="O1495" i="3"/>
  <c r="M1495" i="3"/>
  <c r="S1251" i="3"/>
  <c r="R1251" i="3"/>
  <c r="Q1611" i="3"/>
  <c r="P1611" i="3"/>
  <c r="L2216" i="3"/>
  <c r="K2216" i="3"/>
  <c r="M2457" i="3"/>
  <c r="Q175" i="3"/>
  <c r="P175" i="3"/>
  <c r="O654" i="3"/>
  <c r="N654" i="3"/>
  <c r="J655" i="3" s="1"/>
  <c r="M654" i="3"/>
  <c r="K1252" i="3"/>
  <c r="L1252" i="3" s="1"/>
  <c r="N1611" i="3"/>
  <c r="J1612" i="3" s="1"/>
  <c r="O175" i="3"/>
  <c r="K1016" i="3"/>
  <c r="L1016" i="3" s="1"/>
  <c r="L1854" i="3"/>
  <c r="K1854" i="3"/>
  <c r="S2572" i="3"/>
  <c r="R2572" i="3"/>
  <c r="K1972" i="3"/>
  <c r="L1972" i="3" s="1"/>
  <c r="Q895" i="3"/>
  <c r="P895" i="3"/>
  <c r="N175" i="3"/>
  <c r="J176" i="3" s="1"/>
  <c r="K1735" i="3"/>
  <c r="L1735" i="3" s="1"/>
  <c r="S1853" i="3"/>
  <c r="R1853" i="3"/>
  <c r="S1971" i="3"/>
  <c r="R1971" i="3"/>
  <c r="S294" i="3"/>
  <c r="R294" i="3"/>
  <c r="N895" i="3"/>
  <c r="J896" i="3" s="1"/>
  <c r="Q776" i="3"/>
  <c r="P776" i="3"/>
  <c r="L1134" i="3"/>
  <c r="K1134" i="3"/>
  <c r="Q1015" i="3"/>
  <c r="P1015" i="3"/>
  <c r="K2095" i="3"/>
  <c r="L2095" i="3" s="1"/>
  <c r="S1734" i="3"/>
  <c r="R1734" i="3"/>
  <c r="O895" i="3"/>
  <c r="N776" i="3"/>
  <c r="J777" i="3" s="1"/>
  <c r="S2094" i="3"/>
  <c r="R2094" i="3"/>
  <c r="S533" i="3"/>
  <c r="R533" i="3"/>
  <c r="S1133" i="3"/>
  <c r="R1133" i="3"/>
  <c r="K2573" i="3"/>
  <c r="L2573" i="3" s="1"/>
  <c r="O1015" i="3"/>
  <c r="K2333" i="3"/>
  <c r="L2333" i="3"/>
  <c r="K295" i="3"/>
  <c r="L295" i="3" s="1"/>
  <c r="S2332" i="3"/>
  <c r="R2332" i="3"/>
  <c r="S52" i="3"/>
  <c r="R52" i="3"/>
  <c r="Q2215" i="3"/>
  <c r="P2215" i="3"/>
  <c r="O776" i="3"/>
  <c r="M2095" i="3" l="1"/>
  <c r="M1252" i="3"/>
  <c r="O1735" i="3"/>
  <c r="N1735" i="3"/>
  <c r="J1736" i="3" s="1"/>
  <c r="M1735" i="3"/>
  <c r="M295" i="3"/>
  <c r="N1972" i="3"/>
  <c r="J1973" i="3" s="1"/>
  <c r="M1972" i="3"/>
  <c r="O2573" i="3"/>
  <c r="M2573" i="3"/>
  <c r="M1016" i="3"/>
  <c r="S895" i="3"/>
  <c r="R895" i="3"/>
  <c r="Q414" i="3"/>
  <c r="P414" i="3"/>
  <c r="T75" i="1"/>
  <c r="S75" i="1"/>
  <c r="M2333" i="3"/>
  <c r="S776" i="3"/>
  <c r="R776" i="3"/>
  <c r="S1611" i="3"/>
  <c r="R1611" i="3"/>
  <c r="K415" i="3"/>
  <c r="L415" i="3" s="1"/>
  <c r="Q53" i="3"/>
  <c r="P53" i="3"/>
  <c r="M1134" i="3"/>
  <c r="O1134" i="3" s="1"/>
  <c r="M2216" i="3"/>
  <c r="O2216" i="3" s="1"/>
  <c r="S175" i="3"/>
  <c r="R175" i="3"/>
  <c r="O414" i="3"/>
  <c r="N53" i="3"/>
  <c r="J54" i="3" s="1"/>
  <c r="L655" i="3"/>
  <c r="K655" i="3"/>
  <c r="K1612" i="3"/>
  <c r="L1612" i="3" s="1"/>
  <c r="Q2457" i="3"/>
  <c r="P2457" i="3"/>
  <c r="Q1374" i="3"/>
  <c r="P1374" i="3"/>
  <c r="O53" i="3"/>
  <c r="O1854" i="3"/>
  <c r="N1854" i="3"/>
  <c r="J1855" i="3" s="1"/>
  <c r="M1854" i="3"/>
  <c r="K896" i="3"/>
  <c r="L896" i="3" s="1"/>
  <c r="N2457" i="3"/>
  <c r="J2458" i="3" s="1"/>
  <c r="N1374" i="3"/>
  <c r="J1375" i="3" s="1"/>
  <c r="Q534" i="3"/>
  <c r="P534" i="3"/>
  <c r="N76" i="1"/>
  <c r="O76" i="1" s="1"/>
  <c r="K777" i="3"/>
  <c r="L777" i="3" s="1"/>
  <c r="S1015" i="3"/>
  <c r="R1015" i="3"/>
  <c r="O2457" i="3"/>
  <c r="Q1495" i="3"/>
  <c r="P1495" i="3"/>
  <c r="O1374" i="3"/>
  <c r="N534" i="3"/>
  <c r="J535" i="3" s="1"/>
  <c r="S2215" i="3"/>
  <c r="R2215" i="3"/>
  <c r="K176" i="3"/>
  <c r="L176" i="3"/>
  <c r="Q654" i="3"/>
  <c r="P654" i="3"/>
  <c r="N1495" i="3"/>
  <c r="J1496" i="3" s="1"/>
  <c r="R75" i="1"/>
  <c r="O534" i="3"/>
  <c r="M896" i="3" l="1"/>
  <c r="M415" i="3"/>
  <c r="Q76" i="1"/>
  <c r="M77" i="1" s="1"/>
  <c r="R76" i="1"/>
  <c r="P76" i="1"/>
  <c r="M1612" i="3"/>
  <c r="M777" i="3"/>
  <c r="L1855" i="3"/>
  <c r="K1855" i="3"/>
  <c r="Q2333" i="3"/>
  <c r="P2333" i="3"/>
  <c r="K1736" i="3"/>
  <c r="L1736" i="3" s="1"/>
  <c r="N2216" i="3"/>
  <c r="J2217" i="3" s="1"/>
  <c r="N2333" i="3"/>
  <c r="J2334" i="3" s="1"/>
  <c r="Q1972" i="3"/>
  <c r="P1972" i="3"/>
  <c r="M176" i="3"/>
  <c r="O2333" i="3"/>
  <c r="K1973" i="3"/>
  <c r="L1973" i="3" s="1"/>
  <c r="Q1252" i="3"/>
  <c r="P1252" i="3"/>
  <c r="K1375" i="3"/>
  <c r="L1375" i="3" s="1"/>
  <c r="Q1016" i="3"/>
  <c r="P1016" i="3"/>
  <c r="O1972" i="3"/>
  <c r="N1252" i="3"/>
  <c r="J1253" i="3" s="1"/>
  <c r="L2458" i="3"/>
  <c r="K2458" i="3"/>
  <c r="S1374" i="3"/>
  <c r="R1374" i="3"/>
  <c r="N1016" i="3"/>
  <c r="J1017" i="3" s="1"/>
  <c r="Q295" i="3"/>
  <c r="P295" i="3"/>
  <c r="O1252" i="3"/>
  <c r="S534" i="3"/>
  <c r="R534" i="3"/>
  <c r="Q1134" i="3"/>
  <c r="P1134" i="3"/>
  <c r="N1134" i="3"/>
  <c r="J1135" i="3" s="1"/>
  <c r="V75" i="1"/>
  <c r="U75" i="1"/>
  <c r="O1016" i="3"/>
  <c r="N295" i="3"/>
  <c r="J296" i="3" s="1"/>
  <c r="Q2095" i="3"/>
  <c r="P2095" i="3"/>
  <c r="S1495" i="3"/>
  <c r="R1495" i="3"/>
  <c r="Q2216" i="3"/>
  <c r="P2216" i="3"/>
  <c r="K535" i="3"/>
  <c r="L535" i="3" s="1"/>
  <c r="S2457" i="3"/>
  <c r="R2457" i="3"/>
  <c r="Q2573" i="3"/>
  <c r="P2573" i="3"/>
  <c r="O295" i="3"/>
  <c r="N2095" i="3"/>
  <c r="J2096" i="3" s="1"/>
  <c r="M655" i="3"/>
  <c r="L54" i="3"/>
  <c r="K54" i="3"/>
  <c r="L1496" i="3"/>
  <c r="K1496" i="3"/>
  <c r="S654" i="3"/>
  <c r="R654" i="3"/>
  <c r="Q1854" i="3"/>
  <c r="P1854" i="3"/>
  <c r="S53" i="3"/>
  <c r="R53" i="3"/>
  <c r="S414" i="3"/>
  <c r="R414" i="3"/>
  <c r="N2573" i="3"/>
  <c r="J2574" i="3" s="1"/>
  <c r="Q1735" i="3"/>
  <c r="P1735" i="3"/>
  <c r="O2095" i="3"/>
  <c r="M1375" i="3" l="1"/>
  <c r="M1973" i="3"/>
  <c r="O1736" i="3"/>
  <c r="N1736" i="3"/>
  <c r="J1737" i="3" s="1"/>
  <c r="M1736" i="3"/>
  <c r="M535" i="3"/>
  <c r="S1735" i="3"/>
  <c r="R1735" i="3"/>
  <c r="O54" i="3"/>
  <c r="M54" i="3"/>
  <c r="S1854" i="3"/>
  <c r="R1854" i="3"/>
  <c r="Q655" i="3"/>
  <c r="P655" i="3"/>
  <c r="L1253" i="3"/>
  <c r="K1253" i="3"/>
  <c r="K2334" i="3"/>
  <c r="L2334" i="3" s="1"/>
  <c r="Q777" i="3"/>
  <c r="P777" i="3"/>
  <c r="O77" i="1"/>
  <c r="N77" i="1"/>
  <c r="S1252" i="3"/>
  <c r="R1252" i="3"/>
  <c r="K1135" i="3"/>
  <c r="L1135" i="3"/>
  <c r="K2217" i="3"/>
  <c r="L2217" i="3" s="1"/>
  <c r="O777" i="3"/>
  <c r="Q415" i="3"/>
  <c r="P415" i="3"/>
  <c r="M1855" i="3"/>
  <c r="K2574" i="3"/>
  <c r="L2574" i="3" s="1"/>
  <c r="S295" i="3"/>
  <c r="R295" i="3"/>
  <c r="O655" i="3"/>
  <c r="S2095" i="3"/>
  <c r="R2095" i="3"/>
  <c r="K1017" i="3"/>
  <c r="L1017" i="3" s="1"/>
  <c r="N777" i="3"/>
  <c r="J778" i="3" s="1"/>
  <c r="N415" i="3"/>
  <c r="J416" i="3" s="1"/>
  <c r="M2458" i="3"/>
  <c r="N2458" i="3" s="1"/>
  <c r="J2459" i="3" s="1"/>
  <c r="N655" i="3"/>
  <c r="J656" i="3" s="1"/>
  <c r="K2096" i="3"/>
  <c r="L2096" i="3" s="1"/>
  <c r="L296" i="3"/>
  <c r="K296" i="3"/>
  <c r="S1134" i="3"/>
  <c r="R1134" i="3"/>
  <c r="S1016" i="3"/>
  <c r="R1016" i="3"/>
  <c r="Q176" i="3"/>
  <c r="P176" i="3"/>
  <c r="Q1612" i="3"/>
  <c r="P1612" i="3"/>
  <c r="O415" i="3"/>
  <c r="S1972" i="3"/>
  <c r="R1972" i="3"/>
  <c r="O176" i="3"/>
  <c r="O1612" i="3"/>
  <c r="Q896" i="3"/>
  <c r="P896" i="3"/>
  <c r="N176" i="3"/>
  <c r="J177" i="3" s="1"/>
  <c r="S2333" i="3"/>
  <c r="R2333" i="3"/>
  <c r="N1612" i="3"/>
  <c r="J1613" i="3" s="1"/>
  <c r="N896" i="3"/>
  <c r="J897" i="3" s="1"/>
  <c r="M1496" i="3"/>
  <c r="S2216" i="3"/>
  <c r="R2216" i="3"/>
  <c r="S2573" i="3"/>
  <c r="R2573" i="3"/>
  <c r="T76" i="1"/>
  <c r="S76" i="1"/>
  <c r="O896" i="3"/>
  <c r="K2459" i="3" l="1"/>
  <c r="L2459" i="3"/>
  <c r="M2574" i="3"/>
  <c r="M2217" i="3"/>
  <c r="N2217" i="3" s="1"/>
  <c r="J2218" i="3" s="1"/>
  <c r="M1017" i="3"/>
  <c r="M2096" i="3"/>
  <c r="O2334" i="3"/>
  <c r="N2334" i="3"/>
  <c r="J2335" i="3" s="1"/>
  <c r="M2334" i="3"/>
  <c r="K778" i="3"/>
  <c r="L778" i="3" s="1"/>
  <c r="P77" i="1"/>
  <c r="S655" i="3"/>
  <c r="R655" i="3"/>
  <c r="Q1973" i="3"/>
  <c r="P1973" i="3"/>
  <c r="K656" i="3"/>
  <c r="L656" i="3" s="1"/>
  <c r="N1973" i="3"/>
  <c r="J1974" i="3" s="1"/>
  <c r="K1613" i="3"/>
  <c r="L1613" i="3"/>
  <c r="S415" i="3"/>
  <c r="R415" i="3"/>
  <c r="K177" i="3"/>
  <c r="L177" i="3"/>
  <c r="Q1855" i="3"/>
  <c r="P1855" i="3"/>
  <c r="O1135" i="3"/>
  <c r="M1135" i="3"/>
  <c r="S777" i="3"/>
  <c r="R777" i="3"/>
  <c r="Q535" i="3"/>
  <c r="P535" i="3"/>
  <c r="O1973" i="3"/>
  <c r="M296" i="3"/>
  <c r="K1737" i="3"/>
  <c r="L1737" i="3" s="1"/>
  <c r="Q1496" i="3"/>
  <c r="P1496" i="3"/>
  <c r="V76" i="1"/>
  <c r="U76" i="1"/>
  <c r="O1496" i="3"/>
  <c r="O2458" i="3"/>
  <c r="O1855" i="3"/>
  <c r="N535" i="3"/>
  <c r="J536" i="3" s="1"/>
  <c r="Q1375" i="3"/>
  <c r="P1375" i="3"/>
  <c r="N1496" i="3"/>
  <c r="J1497" i="3" s="1"/>
  <c r="S1612" i="3"/>
  <c r="R1612" i="3"/>
  <c r="N1855" i="3"/>
  <c r="J1856" i="3" s="1"/>
  <c r="Q54" i="3"/>
  <c r="P54" i="3"/>
  <c r="O535" i="3"/>
  <c r="N1375" i="3"/>
  <c r="J1376" i="3" s="1"/>
  <c r="S176" i="3"/>
  <c r="R176" i="3"/>
  <c r="M1253" i="3"/>
  <c r="O1253" i="3" s="1"/>
  <c r="Q2458" i="3"/>
  <c r="P2458" i="3"/>
  <c r="S896" i="3"/>
  <c r="R896" i="3"/>
  <c r="K897" i="3"/>
  <c r="L897" i="3" s="1"/>
  <c r="L416" i="3"/>
  <c r="K416" i="3"/>
  <c r="N54" i="3"/>
  <c r="J55" i="3" s="1"/>
  <c r="Q1736" i="3"/>
  <c r="P1736" i="3"/>
  <c r="O1375" i="3"/>
  <c r="M656" i="3" l="1"/>
  <c r="M897" i="3"/>
  <c r="O778" i="3"/>
  <c r="N778" i="3"/>
  <c r="J779" i="3" s="1"/>
  <c r="M778" i="3"/>
  <c r="K2218" i="3"/>
  <c r="L2218" i="3" s="1"/>
  <c r="M1737" i="3"/>
  <c r="N1253" i="3"/>
  <c r="J1254" i="3" s="1"/>
  <c r="S54" i="3"/>
  <c r="R54" i="3"/>
  <c r="K536" i="3"/>
  <c r="L536" i="3" s="1"/>
  <c r="O2217" i="3"/>
  <c r="M416" i="3"/>
  <c r="N416" i="3" s="1"/>
  <c r="J417" i="3" s="1"/>
  <c r="S1855" i="3"/>
  <c r="R1855" i="3"/>
  <c r="K1974" i="3"/>
  <c r="L1974" i="3"/>
  <c r="T77" i="1"/>
  <c r="S77" i="1"/>
  <c r="Q2096" i="3"/>
  <c r="P2096" i="3"/>
  <c r="K2335" i="3"/>
  <c r="L2335" i="3" s="1"/>
  <c r="K1856" i="3"/>
  <c r="L1856" i="3"/>
  <c r="N177" i="3"/>
  <c r="J178" i="3" s="1"/>
  <c r="O177" i="3"/>
  <c r="M177" i="3"/>
  <c r="Q77" i="1"/>
  <c r="M78" i="1" s="1"/>
  <c r="N2096" i="3"/>
  <c r="J2097" i="3" s="1"/>
  <c r="Q2574" i="3"/>
  <c r="P2574" i="3"/>
  <c r="M1613" i="3"/>
  <c r="N1613" i="3" s="1"/>
  <c r="J1614" i="3" s="1"/>
  <c r="S1496" i="3"/>
  <c r="R1496" i="3"/>
  <c r="R77" i="1"/>
  <c r="O2096" i="3"/>
  <c r="N2574" i="3"/>
  <c r="J2575" i="3" s="1"/>
  <c r="Q1253" i="3"/>
  <c r="P1253" i="3"/>
  <c r="S535" i="3"/>
  <c r="R535" i="3"/>
  <c r="Q296" i="3"/>
  <c r="P296" i="3"/>
  <c r="Q1017" i="3"/>
  <c r="P1017" i="3"/>
  <c r="O2574" i="3"/>
  <c r="Q2217" i="3"/>
  <c r="P2217" i="3"/>
  <c r="O296" i="3"/>
  <c r="Q1135" i="3"/>
  <c r="P1135" i="3"/>
  <c r="S1973" i="3"/>
  <c r="R1973" i="3"/>
  <c r="N1017" i="3"/>
  <c r="J1018" i="3" s="1"/>
  <c r="M2459" i="3"/>
  <c r="S1375" i="3"/>
  <c r="R1375" i="3"/>
  <c r="S1736" i="3"/>
  <c r="R1736" i="3"/>
  <c r="K55" i="3"/>
  <c r="L55" i="3" s="1"/>
  <c r="K1376" i="3"/>
  <c r="L1376" i="3" s="1"/>
  <c r="K1497" i="3"/>
  <c r="L1497" i="3"/>
  <c r="S2458" i="3"/>
  <c r="R2458" i="3"/>
  <c r="N296" i="3"/>
  <c r="J297" i="3" s="1"/>
  <c r="N1135" i="3"/>
  <c r="J1136" i="3" s="1"/>
  <c r="Q2334" i="3"/>
  <c r="P2334" i="3"/>
  <c r="O1017" i="3"/>
  <c r="M2218" i="3" l="1"/>
  <c r="K417" i="3"/>
  <c r="L417" i="3"/>
  <c r="L1614" i="3"/>
  <c r="K1614" i="3"/>
  <c r="O2335" i="3"/>
  <c r="M2335" i="3"/>
  <c r="M1376" i="3"/>
  <c r="M55" i="3"/>
  <c r="O55" i="3" s="1"/>
  <c r="M536" i="3"/>
  <c r="S1253" i="3"/>
  <c r="R1253" i="3"/>
  <c r="K178" i="3"/>
  <c r="L178" i="3"/>
  <c r="O416" i="3"/>
  <c r="K1254" i="3"/>
  <c r="L1254" i="3" s="1"/>
  <c r="V77" i="1"/>
  <c r="U77" i="1"/>
  <c r="Q1737" i="3"/>
  <c r="P1737" i="3"/>
  <c r="Q897" i="3"/>
  <c r="P897" i="3"/>
  <c r="Q1613" i="3"/>
  <c r="P1613" i="3"/>
  <c r="K2575" i="3"/>
  <c r="L2575" i="3" s="1"/>
  <c r="O1974" i="3"/>
  <c r="M1974" i="3"/>
  <c r="O1737" i="3"/>
  <c r="O897" i="3"/>
  <c r="M1497" i="3"/>
  <c r="Q416" i="3"/>
  <c r="P416" i="3"/>
  <c r="Q2459" i="3"/>
  <c r="P2459" i="3"/>
  <c r="S2574" i="3"/>
  <c r="R2574" i="3"/>
  <c r="N1737" i="3"/>
  <c r="J1738" i="3" s="1"/>
  <c r="N897" i="3"/>
  <c r="J898" i="3" s="1"/>
  <c r="M1856" i="3"/>
  <c r="S1135" i="3"/>
  <c r="R1135" i="3"/>
  <c r="N2459" i="3"/>
  <c r="J2460" i="3" s="1"/>
  <c r="L2097" i="3"/>
  <c r="K2097" i="3"/>
  <c r="Q656" i="3"/>
  <c r="P656" i="3"/>
  <c r="O1613" i="3"/>
  <c r="O2459" i="3"/>
  <c r="N656" i="3"/>
  <c r="J657" i="3" s="1"/>
  <c r="K779" i="3"/>
  <c r="L779" i="3" s="1"/>
  <c r="S2334" i="3"/>
  <c r="R2334" i="3"/>
  <c r="S1017" i="3"/>
  <c r="R1017" i="3"/>
  <c r="K1136" i="3"/>
  <c r="L1136" i="3" s="1"/>
  <c r="K297" i="3"/>
  <c r="L297" i="3"/>
  <c r="S296" i="3"/>
  <c r="R296" i="3"/>
  <c r="N78" i="1"/>
  <c r="O78" i="1" s="1"/>
  <c r="L1018" i="3"/>
  <c r="K1018" i="3"/>
  <c r="S2217" i="3"/>
  <c r="R2217" i="3"/>
  <c r="Q177" i="3"/>
  <c r="P177" i="3"/>
  <c r="S2096" i="3"/>
  <c r="R2096" i="3"/>
  <c r="Q778" i="3"/>
  <c r="P778" i="3"/>
  <c r="O656" i="3"/>
  <c r="M1136" i="3" l="1"/>
  <c r="M1254" i="3"/>
  <c r="O779" i="3"/>
  <c r="N779" i="3"/>
  <c r="J780" i="3" s="1"/>
  <c r="M779" i="3"/>
  <c r="P78" i="1"/>
  <c r="O2575" i="3"/>
  <c r="M2575" i="3"/>
  <c r="N55" i="3"/>
  <c r="J56" i="3" s="1"/>
  <c r="S416" i="3"/>
  <c r="R416" i="3"/>
  <c r="M1614" i="3"/>
  <c r="K898" i="3"/>
  <c r="L898" i="3"/>
  <c r="K2460" i="3"/>
  <c r="L2460" i="3"/>
  <c r="K657" i="3"/>
  <c r="L657" i="3" s="1"/>
  <c r="Q1376" i="3"/>
  <c r="P1376" i="3"/>
  <c r="N417" i="3"/>
  <c r="J418" i="3" s="1"/>
  <c r="O417" i="3"/>
  <c r="M417" i="3"/>
  <c r="O1376" i="3"/>
  <c r="M2097" i="3"/>
  <c r="M178" i="3"/>
  <c r="O178" i="3" s="1"/>
  <c r="Q1856" i="3"/>
  <c r="P1856" i="3"/>
  <c r="Q536" i="3"/>
  <c r="P536" i="3"/>
  <c r="N1376" i="3"/>
  <c r="J1377" i="3" s="1"/>
  <c r="Q2218" i="3"/>
  <c r="P2218" i="3"/>
  <c r="O1018" i="3"/>
  <c r="M1018" i="3"/>
  <c r="Q55" i="3"/>
  <c r="P55" i="3"/>
  <c r="K1738" i="3"/>
  <c r="L1738" i="3"/>
  <c r="S778" i="3"/>
  <c r="R778" i="3"/>
  <c r="O297" i="3"/>
  <c r="M297" i="3"/>
  <c r="S656" i="3"/>
  <c r="R656" i="3"/>
  <c r="N1856" i="3"/>
  <c r="J1857" i="3" s="1"/>
  <c r="S2459" i="3"/>
  <c r="R2459" i="3"/>
  <c r="Q1974" i="3"/>
  <c r="P1974" i="3"/>
  <c r="S897" i="3"/>
  <c r="R897" i="3"/>
  <c r="N536" i="3"/>
  <c r="J537" i="3" s="1"/>
  <c r="Q2335" i="3"/>
  <c r="P2335" i="3"/>
  <c r="O2218" i="3"/>
  <c r="S1737" i="3"/>
  <c r="R1737" i="3"/>
  <c r="Q1497" i="3"/>
  <c r="P1497" i="3"/>
  <c r="N1497" i="3"/>
  <c r="J1498" i="3" s="1"/>
  <c r="S177" i="3"/>
  <c r="R177" i="3"/>
  <c r="O1497" i="3"/>
  <c r="S1613" i="3"/>
  <c r="R1613" i="3"/>
  <c r="O1856" i="3"/>
  <c r="N1974" i="3"/>
  <c r="J1975" i="3" s="1"/>
  <c r="O536" i="3"/>
  <c r="N2335" i="3"/>
  <c r="J2336" i="3" s="1"/>
  <c r="N2218" i="3"/>
  <c r="J2219" i="3" s="1"/>
  <c r="M657" i="3" l="1"/>
  <c r="N178" i="3"/>
  <c r="J179" i="3" s="1"/>
  <c r="K418" i="3"/>
  <c r="L418" i="3"/>
  <c r="Q2575" i="3"/>
  <c r="P2575" i="3"/>
  <c r="Q1614" i="3"/>
  <c r="P1614" i="3"/>
  <c r="Q1254" i="3"/>
  <c r="P1254" i="3"/>
  <c r="N898" i="3"/>
  <c r="J899" i="3" s="1"/>
  <c r="M898" i="3"/>
  <c r="K1377" i="3"/>
  <c r="L1377" i="3" s="1"/>
  <c r="Q2097" i="3"/>
  <c r="P2097" i="3"/>
  <c r="S1376" i="3"/>
  <c r="R1376" i="3"/>
  <c r="N1614" i="3"/>
  <c r="J1615" i="3" s="1"/>
  <c r="N2575" i="3"/>
  <c r="J2576" i="3" s="1"/>
  <c r="O1254" i="3"/>
  <c r="S1497" i="3"/>
  <c r="R1497" i="3"/>
  <c r="K780" i="3"/>
  <c r="L780" i="3" s="1"/>
  <c r="S1974" i="3"/>
  <c r="R1974" i="3"/>
  <c r="Q297" i="3"/>
  <c r="P297" i="3"/>
  <c r="N2097" i="3"/>
  <c r="J2098" i="3" s="1"/>
  <c r="O1614" i="3"/>
  <c r="T78" i="1"/>
  <c r="S78" i="1"/>
  <c r="N1254" i="3"/>
  <c r="J1255" i="3" s="1"/>
  <c r="Q178" i="3"/>
  <c r="P178" i="3"/>
  <c r="M1738" i="3"/>
  <c r="S55" i="3"/>
  <c r="R55" i="3"/>
  <c r="S536" i="3"/>
  <c r="R536" i="3"/>
  <c r="O2097" i="3"/>
  <c r="Q78" i="1"/>
  <c r="M79" i="1" s="1"/>
  <c r="Q1136" i="3"/>
  <c r="P1136" i="3"/>
  <c r="L56" i="3"/>
  <c r="K56" i="3"/>
  <c r="K2219" i="3"/>
  <c r="L2219" i="3" s="1"/>
  <c r="S2218" i="3"/>
  <c r="R2218" i="3"/>
  <c r="S2335" i="3"/>
  <c r="R2335" i="3"/>
  <c r="N297" i="3"/>
  <c r="J298" i="3" s="1"/>
  <c r="Q1018" i="3"/>
  <c r="P1018" i="3"/>
  <c r="M2460" i="3"/>
  <c r="N2460" i="3" s="1"/>
  <c r="J2461" i="3" s="1"/>
  <c r="R78" i="1"/>
  <c r="O1136" i="3"/>
  <c r="K1857" i="3"/>
  <c r="L1857" i="3" s="1"/>
  <c r="K2336" i="3"/>
  <c r="L2336" i="3" s="1"/>
  <c r="K1975" i="3"/>
  <c r="L1975" i="3" s="1"/>
  <c r="L1498" i="3"/>
  <c r="K1498" i="3"/>
  <c r="K537" i="3"/>
  <c r="L537" i="3" s="1"/>
  <c r="N1018" i="3"/>
  <c r="J1019" i="3" s="1"/>
  <c r="S1856" i="3"/>
  <c r="R1856" i="3"/>
  <c r="Q417" i="3"/>
  <c r="P417" i="3"/>
  <c r="Q779" i="3"/>
  <c r="P779" i="3"/>
  <c r="N1136" i="3"/>
  <c r="J1137" i="3" s="1"/>
  <c r="M780" i="3" l="1"/>
  <c r="M2219" i="3"/>
  <c r="O537" i="3"/>
  <c r="N537" i="3"/>
  <c r="J538" i="3" s="1"/>
  <c r="M537" i="3"/>
  <c r="M1377" i="3"/>
  <c r="K2461" i="3"/>
  <c r="L2461" i="3" s="1"/>
  <c r="N1975" i="3"/>
  <c r="J1976" i="3" s="1"/>
  <c r="O1975" i="3"/>
  <c r="M1975" i="3"/>
  <c r="M2336" i="3"/>
  <c r="N1857" i="3"/>
  <c r="J1858" i="3" s="1"/>
  <c r="M1857" i="3"/>
  <c r="L1615" i="3"/>
  <c r="K1615" i="3"/>
  <c r="Q898" i="3"/>
  <c r="P898" i="3"/>
  <c r="S2575" i="3"/>
  <c r="R2575" i="3"/>
  <c r="K899" i="3"/>
  <c r="L899" i="3" s="1"/>
  <c r="M418" i="3"/>
  <c r="K1255" i="3"/>
  <c r="L1255" i="3" s="1"/>
  <c r="O79" i="1"/>
  <c r="N79" i="1"/>
  <c r="P1738" i="3"/>
  <c r="Q1738" i="3"/>
  <c r="O898" i="3"/>
  <c r="M1498" i="3"/>
  <c r="K2576" i="3"/>
  <c r="L2576" i="3" s="1"/>
  <c r="O1738" i="3"/>
  <c r="K2098" i="3"/>
  <c r="L2098" i="3" s="1"/>
  <c r="K179" i="3"/>
  <c r="L179" i="3" s="1"/>
  <c r="S417" i="3"/>
  <c r="R417" i="3"/>
  <c r="Q2460" i="3"/>
  <c r="P2460" i="3"/>
  <c r="K1137" i="3"/>
  <c r="L1137" i="3" s="1"/>
  <c r="S1018" i="3"/>
  <c r="R1018" i="3"/>
  <c r="N1738" i="3"/>
  <c r="J1739" i="3" s="1"/>
  <c r="S1254" i="3"/>
  <c r="R1254" i="3"/>
  <c r="Q657" i="3"/>
  <c r="P657" i="3"/>
  <c r="M56" i="3"/>
  <c r="O56" i="3" s="1"/>
  <c r="V78" i="1"/>
  <c r="U78" i="1"/>
  <c r="O2460" i="3"/>
  <c r="S779" i="3"/>
  <c r="R779" i="3"/>
  <c r="K298" i="3"/>
  <c r="L298" i="3"/>
  <c r="S297" i="3"/>
  <c r="R297" i="3"/>
  <c r="S2097" i="3"/>
  <c r="R2097" i="3"/>
  <c r="O657" i="3"/>
  <c r="S1136" i="3"/>
  <c r="R1136" i="3"/>
  <c r="K1019" i="3"/>
  <c r="L1019" i="3" s="1"/>
  <c r="S178" i="3"/>
  <c r="R178" i="3"/>
  <c r="S1614" i="3"/>
  <c r="R1614" i="3"/>
  <c r="N657" i="3"/>
  <c r="J658" i="3" s="1"/>
  <c r="M2098" i="3" l="1"/>
  <c r="M1137" i="3"/>
  <c r="O179" i="3"/>
  <c r="N179" i="3"/>
  <c r="J180" i="3" s="1"/>
  <c r="M179" i="3"/>
  <c r="M2461" i="3"/>
  <c r="N2576" i="3"/>
  <c r="J2577" i="3" s="1"/>
  <c r="M2576" i="3"/>
  <c r="O1019" i="3"/>
  <c r="M1019" i="3"/>
  <c r="M1255" i="3"/>
  <c r="M899" i="3"/>
  <c r="O899" i="3" s="1"/>
  <c r="Q1857" i="3"/>
  <c r="P1857" i="3"/>
  <c r="K1976" i="3"/>
  <c r="L1976" i="3" s="1"/>
  <c r="K1858" i="3"/>
  <c r="L1858" i="3" s="1"/>
  <c r="Q2219" i="3"/>
  <c r="P2219" i="3"/>
  <c r="K1739" i="3"/>
  <c r="L1739" i="3"/>
  <c r="Q1498" i="3"/>
  <c r="P1498" i="3"/>
  <c r="O1857" i="3"/>
  <c r="O2219" i="3"/>
  <c r="O1615" i="3"/>
  <c r="N1615" i="3"/>
  <c r="J1616" i="3" s="1"/>
  <c r="M1615" i="3"/>
  <c r="N1498" i="3"/>
  <c r="J1499" i="3" s="1"/>
  <c r="Q2336" i="3"/>
  <c r="P2336" i="3"/>
  <c r="Q1377" i="3"/>
  <c r="P1377" i="3"/>
  <c r="N2219" i="3"/>
  <c r="J2220" i="3" s="1"/>
  <c r="N298" i="3"/>
  <c r="J299" i="3" s="1"/>
  <c r="M298" i="3"/>
  <c r="P79" i="1"/>
  <c r="Q79" i="1" s="1"/>
  <c r="M80" i="1" s="1"/>
  <c r="K658" i="3"/>
  <c r="L658" i="3"/>
  <c r="S657" i="3"/>
  <c r="R657" i="3"/>
  <c r="O1498" i="3"/>
  <c r="Q418" i="3"/>
  <c r="P418" i="3"/>
  <c r="N2336" i="3"/>
  <c r="J2337" i="3" s="1"/>
  <c r="N1377" i="3"/>
  <c r="J1378" i="3" s="1"/>
  <c r="Q780" i="3"/>
  <c r="P780" i="3"/>
  <c r="S2460" i="3"/>
  <c r="R2460" i="3"/>
  <c r="Q56" i="3"/>
  <c r="P56" i="3"/>
  <c r="O418" i="3"/>
  <c r="S898" i="3"/>
  <c r="R898" i="3"/>
  <c r="O2336" i="3"/>
  <c r="O1377" i="3"/>
  <c r="N780" i="3"/>
  <c r="J781" i="3" s="1"/>
  <c r="K538" i="3"/>
  <c r="L538" i="3" s="1"/>
  <c r="N56" i="3"/>
  <c r="J57" i="3" s="1"/>
  <c r="S1738" i="3"/>
  <c r="R1738" i="3"/>
  <c r="N418" i="3"/>
  <c r="J419" i="3" s="1"/>
  <c r="Q1975" i="3"/>
  <c r="P1975" i="3"/>
  <c r="Q537" i="3"/>
  <c r="P537" i="3"/>
  <c r="O780" i="3"/>
  <c r="M1976" i="3" l="1"/>
  <c r="M1858" i="3"/>
  <c r="N80" i="1"/>
  <c r="O80" i="1" s="1"/>
  <c r="M538" i="3"/>
  <c r="S537" i="3"/>
  <c r="R537" i="3"/>
  <c r="M658" i="3"/>
  <c r="O658" i="3"/>
  <c r="K2220" i="3"/>
  <c r="L2220" i="3"/>
  <c r="S2219" i="3"/>
  <c r="R2219" i="3"/>
  <c r="N899" i="3"/>
  <c r="J900" i="3" s="1"/>
  <c r="Q2576" i="3"/>
  <c r="P2576" i="3"/>
  <c r="K299" i="3"/>
  <c r="L299" i="3" s="1"/>
  <c r="K2577" i="3"/>
  <c r="L2577" i="3" s="1"/>
  <c r="Q1137" i="3"/>
  <c r="P1137" i="3"/>
  <c r="S780" i="3"/>
  <c r="R780" i="3"/>
  <c r="Q899" i="3"/>
  <c r="P899" i="3"/>
  <c r="S1975" i="3"/>
  <c r="R1975" i="3"/>
  <c r="S1377" i="3"/>
  <c r="R1377" i="3"/>
  <c r="Q1255" i="3"/>
  <c r="P1255" i="3"/>
  <c r="O2576" i="3"/>
  <c r="N1137" i="3"/>
  <c r="J1138" i="3" s="1"/>
  <c r="R79" i="1"/>
  <c r="N1255" i="3"/>
  <c r="J1256" i="3" s="1"/>
  <c r="Q2461" i="3"/>
  <c r="P2461" i="3"/>
  <c r="O1137" i="3"/>
  <c r="K180" i="3"/>
  <c r="L180" i="3" s="1"/>
  <c r="K781" i="3"/>
  <c r="L781" i="3" s="1"/>
  <c r="S2336" i="3"/>
  <c r="R2336" i="3"/>
  <c r="S1498" i="3"/>
  <c r="R1498" i="3"/>
  <c r="O1255" i="3"/>
  <c r="N2461" i="3"/>
  <c r="J2462" i="3" s="1"/>
  <c r="Q2098" i="3"/>
  <c r="P2098" i="3"/>
  <c r="K57" i="3"/>
  <c r="L57" i="3" s="1"/>
  <c r="K2337" i="3"/>
  <c r="L2337" i="3" s="1"/>
  <c r="S56" i="3"/>
  <c r="R56" i="3"/>
  <c r="K419" i="3"/>
  <c r="L419" i="3"/>
  <c r="Q298" i="3"/>
  <c r="P298" i="3"/>
  <c r="K1499" i="3"/>
  <c r="L1499" i="3" s="1"/>
  <c r="O1739" i="3"/>
  <c r="N1739" i="3"/>
  <c r="J1740" i="3" s="1"/>
  <c r="M1739" i="3"/>
  <c r="Q1019" i="3"/>
  <c r="P1019" i="3"/>
  <c r="O2461" i="3"/>
  <c r="N2098" i="3"/>
  <c r="J2099" i="3" s="1"/>
  <c r="K1616" i="3"/>
  <c r="L1616" i="3" s="1"/>
  <c r="L1378" i="3"/>
  <c r="K1378" i="3"/>
  <c r="T79" i="1"/>
  <c r="S79" i="1"/>
  <c r="S418" i="3"/>
  <c r="R418" i="3"/>
  <c r="O298" i="3"/>
  <c r="Q1615" i="3"/>
  <c r="P1615" i="3"/>
  <c r="S1857" i="3"/>
  <c r="R1857" i="3"/>
  <c r="N1019" i="3"/>
  <c r="J1020" i="3" s="1"/>
  <c r="Q179" i="3"/>
  <c r="P179" i="3"/>
  <c r="O2098" i="3"/>
  <c r="M299" i="3" l="1"/>
  <c r="M1616" i="3"/>
  <c r="O781" i="3"/>
  <c r="N781" i="3"/>
  <c r="J782" i="3" s="1"/>
  <c r="M781" i="3"/>
  <c r="M1499" i="3"/>
  <c r="N180" i="3"/>
  <c r="J181" i="3" s="1"/>
  <c r="M180" i="3"/>
  <c r="O2337" i="3"/>
  <c r="M2337" i="3"/>
  <c r="M57" i="3"/>
  <c r="P80" i="1"/>
  <c r="R80" i="1" s="1"/>
  <c r="M2577" i="3"/>
  <c r="K900" i="3"/>
  <c r="L900" i="3" s="1"/>
  <c r="Q658" i="3"/>
  <c r="P658" i="3"/>
  <c r="N1378" i="3"/>
  <c r="J1379" i="3" s="1"/>
  <c r="M1378" i="3"/>
  <c r="S2576" i="3"/>
  <c r="R2576" i="3"/>
  <c r="S1137" i="3"/>
  <c r="R1137" i="3"/>
  <c r="Q1858" i="3"/>
  <c r="P1858" i="3"/>
  <c r="K1138" i="3"/>
  <c r="L1138" i="3" s="1"/>
  <c r="N1858" i="3"/>
  <c r="J1859" i="3" s="1"/>
  <c r="O1858" i="3"/>
  <c r="S2098" i="3"/>
  <c r="R2098" i="3"/>
  <c r="S179" i="3"/>
  <c r="R179" i="3"/>
  <c r="K1020" i="3"/>
  <c r="L1020" i="3" s="1"/>
  <c r="S298" i="3"/>
  <c r="R298" i="3"/>
  <c r="S1255" i="3"/>
  <c r="R1255" i="3"/>
  <c r="S899" i="3"/>
  <c r="R899" i="3"/>
  <c r="O2220" i="3"/>
  <c r="M2220" i="3"/>
  <c r="Q538" i="3"/>
  <c r="P538" i="3"/>
  <c r="Q1976" i="3"/>
  <c r="P1976" i="3"/>
  <c r="K1740" i="3"/>
  <c r="L1740" i="3" s="1"/>
  <c r="K2462" i="3"/>
  <c r="L2462" i="3" s="1"/>
  <c r="K2099" i="3"/>
  <c r="L2099" i="3" s="1"/>
  <c r="S1019" i="3"/>
  <c r="R1019" i="3"/>
  <c r="O538" i="3"/>
  <c r="O1976" i="3"/>
  <c r="S1615" i="3"/>
  <c r="R1615" i="3"/>
  <c r="K1256" i="3"/>
  <c r="L1256" i="3" s="1"/>
  <c r="V79" i="1"/>
  <c r="U79" i="1"/>
  <c r="M419" i="3"/>
  <c r="N419" i="3" s="1"/>
  <c r="J420" i="3" s="1"/>
  <c r="Q1739" i="3"/>
  <c r="P1739" i="3"/>
  <c r="S2461" i="3"/>
  <c r="R2461" i="3"/>
  <c r="N658" i="3"/>
  <c r="J659" i="3" s="1"/>
  <c r="N538" i="3"/>
  <c r="J539" i="3" s="1"/>
  <c r="N1976" i="3"/>
  <c r="J1977" i="3" s="1"/>
  <c r="M1020" i="3" l="1"/>
  <c r="M2462" i="3"/>
  <c r="O900" i="3"/>
  <c r="N900" i="3"/>
  <c r="J901" i="3" s="1"/>
  <c r="M900" i="3"/>
  <c r="M2099" i="3"/>
  <c r="M1740" i="3"/>
  <c r="N1256" i="3"/>
  <c r="J1257" i="3" s="1"/>
  <c r="M1256" i="3"/>
  <c r="K420" i="3"/>
  <c r="L420" i="3" s="1"/>
  <c r="M1138" i="3"/>
  <c r="Q80" i="1"/>
  <c r="M81" i="1" s="1"/>
  <c r="Q180" i="3"/>
  <c r="P180" i="3"/>
  <c r="K181" i="3"/>
  <c r="L181" i="3" s="1"/>
  <c r="Q1616" i="3"/>
  <c r="P1616" i="3"/>
  <c r="Q57" i="3"/>
  <c r="P57" i="3"/>
  <c r="O180" i="3"/>
  <c r="N1616" i="3"/>
  <c r="J1617" i="3" s="1"/>
  <c r="K1379" i="3"/>
  <c r="L1379" i="3"/>
  <c r="S1739" i="3"/>
  <c r="R1739" i="3"/>
  <c r="N57" i="3"/>
  <c r="J58" i="3" s="1"/>
  <c r="Q1499" i="3"/>
  <c r="P1499" i="3"/>
  <c r="O1616" i="3"/>
  <c r="S1976" i="3"/>
  <c r="R1976" i="3"/>
  <c r="K1977" i="3"/>
  <c r="L1977" i="3"/>
  <c r="K539" i="3"/>
  <c r="L539" i="3"/>
  <c r="S538" i="3"/>
  <c r="R538" i="3"/>
  <c r="Q2577" i="3"/>
  <c r="P2577" i="3"/>
  <c r="O57" i="3"/>
  <c r="N1499" i="3"/>
  <c r="J1500" i="3" s="1"/>
  <c r="Q299" i="3"/>
  <c r="P299" i="3"/>
  <c r="T80" i="1"/>
  <c r="S80" i="1"/>
  <c r="K1859" i="3"/>
  <c r="L1859" i="3" s="1"/>
  <c r="Q419" i="3"/>
  <c r="P419" i="3"/>
  <c r="K659" i="3"/>
  <c r="L659" i="3" s="1"/>
  <c r="O419" i="3"/>
  <c r="Q2220" i="3"/>
  <c r="P2220" i="3"/>
  <c r="Q1378" i="3"/>
  <c r="P1378" i="3"/>
  <c r="O2577" i="3"/>
  <c r="Q2337" i="3"/>
  <c r="P2337" i="3"/>
  <c r="O1499" i="3"/>
  <c r="N299" i="3"/>
  <c r="J300" i="3" s="1"/>
  <c r="K782" i="3"/>
  <c r="L782" i="3" s="1"/>
  <c r="S658" i="3"/>
  <c r="R658" i="3"/>
  <c r="N2220" i="3"/>
  <c r="J2221" i="3" s="1"/>
  <c r="S1858" i="3"/>
  <c r="R1858" i="3"/>
  <c r="O1378" i="3"/>
  <c r="N2577" i="3"/>
  <c r="J2578" i="3" s="1"/>
  <c r="N2337" i="3"/>
  <c r="J2338" i="3" s="1"/>
  <c r="Q781" i="3"/>
  <c r="P781" i="3"/>
  <c r="O299" i="3"/>
  <c r="M1859" i="3" l="1"/>
  <c r="M420" i="3"/>
  <c r="O181" i="3"/>
  <c r="N181" i="3"/>
  <c r="J182" i="3" s="1"/>
  <c r="M181" i="3"/>
  <c r="M782" i="3"/>
  <c r="N659" i="3"/>
  <c r="J660" i="3" s="1"/>
  <c r="M659" i="3"/>
  <c r="N1977" i="3"/>
  <c r="J1978" i="3" s="1"/>
  <c r="M1977" i="3"/>
  <c r="S57" i="3"/>
  <c r="R57" i="3"/>
  <c r="Q1138" i="3"/>
  <c r="P1138" i="3"/>
  <c r="Q1740" i="3"/>
  <c r="P1740" i="3"/>
  <c r="K901" i="3"/>
  <c r="L901" i="3" s="1"/>
  <c r="N1138" i="3"/>
  <c r="J1139" i="3" s="1"/>
  <c r="N1740" i="3"/>
  <c r="J1741" i="3" s="1"/>
  <c r="Q2462" i="3"/>
  <c r="P2462" i="3"/>
  <c r="K2578" i="3"/>
  <c r="L2578" i="3" s="1"/>
  <c r="K1257" i="3"/>
  <c r="L1257" i="3"/>
  <c r="S1616" i="3"/>
  <c r="R1616" i="3"/>
  <c r="O1138" i="3"/>
  <c r="O1740" i="3"/>
  <c r="N2462" i="3"/>
  <c r="J2463" i="3" s="1"/>
  <c r="S419" i="3"/>
  <c r="R419" i="3"/>
  <c r="S2577" i="3"/>
  <c r="R2577" i="3"/>
  <c r="O1379" i="3"/>
  <c r="M1379" i="3"/>
  <c r="Q2099" i="3"/>
  <c r="P2099" i="3"/>
  <c r="O2462" i="3"/>
  <c r="N81" i="1"/>
  <c r="O81" i="1" s="1"/>
  <c r="L300" i="3"/>
  <c r="K300" i="3"/>
  <c r="K2221" i="3"/>
  <c r="L2221" i="3" s="1"/>
  <c r="N2099" i="3"/>
  <c r="J2100" i="3" s="1"/>
  <c r="Q1020" i="3"/>
  <c r="P1020" i="3"/>
  <c r="S1378" i="3"/>
  <c r="R1378" i="3"/>
  <c r="S781" i="3"/>
  <c r="R781" i="3"/>
  <c r="S2337" i="3"/>
  <c r="R2337" i="3"/>
  <c r="S299" i="3"/>
  <c r="R299" i="3"/>
  <c r="M539" i="3"/>
  <c r="O539" i="3" s="1"/>
  <c r="K1617" i="3"/>
  <c r="L1617" i="3" s="1"/>
  <c r="Q1256" i="3"/>
  <c r="P1256" i="3"/>
  <c r="O2099" i="3"/>
  <c r="N1020" i="3"/>
  <c r="J1021" i="3" s="1"/>
  <c r="K58" i="3"/>
  <c r="L58" i="3" s="1"/>
  <c r="S2220" i="3"/>
  <c r="R2220" i="3"/>
  <c r="V80" i="1"/>
  <c r="U80" i="1"/>
  <c r="K2338" i="3"/>
  <c r="L2338" i="3" s="1"/>
  <c r="K1500" i="3"/>
  <c r="L1500" i="3" s="1"/>
  <c r="S1499" i="3"/>
  <c r="R1499" i="3"/>
  <c r="S180" i="3"/>
  <c r="R180" i="3"/>
  <c r="O1256" i="3"/>
  <c r="Q900" i="3"/>
  <c r="P900" i="3"/>
  <c r="O1020" i="3"/>
  <c r="P81" i="1" l="1"/>
  <c r="M58" i="3"/>
  <c r="O1617" i="3"/>
  <c r="N1617" i="3"/>
  <c r="J1618" i="3" s="1"/>
  <c r="M1617" i="3"/>
  <c r="M2578" i="3"/>
  <c r="O1500" i="3"/>
  <c r="M1500" i="3"/>
  <c r="O2221" i="3"/>
  <c r="M2221" i="3"/>
  <c r="M2338" i="3"/>
  <c r="O2338" i="3"/>
  <c r="N2338" i="3"/>
  <c r="J2339" i="3" s="1"/>
  <c r="M901" i="3"/>
  <c r="M300" i="3"/>
  <c r="Q659" i="3"/>
  <c r="P659" i="3"/>
  <c r="S1256" i="3"/>
  <c r="R1256" i="3"/>
  <c r="K1978" i="3"/>
  <c r="L1978" i="3"/>
  <c r="S2462" i="3"/>
  <c r="R2462" i="3"/>
  <c r="S1138" i="3"/>
  <c r="R1138" i="3"/>
  <c r="K660" i="3"/>
  <c r="L660" i="3" s="1"/>
  <c r="Q420" i="3"/>
  <c r="P420" i="3"/>
  <c r="K1741" i="3"/>
  <c r="L1741" i="3" s="1"/>
  <c r="O659" i="3"/>
  <c r="N420" i="3"/>
  <c r="J421" i="3" s="1"/>
  <c r="S900" i="3"/>
  <c r="R900" i="3"/>
  <c r="S1020" i="3"/>
  <c r="R1020" i="3"/>
  <c r="K2100" i="3"/>
  <c r="L2100" i="3" s="1"/>
  <c r="K1139" i="3"/>
  <c r="L1139" i="3" s="1"/>
  <c r="Q782" i="3"/>
  <c r="P782" i="3"/>
  <c r="O420" i="3"/>
  <c r="K182" i="3"/>
  <c r="L182" i="3" s="1"/>
  <c r="L1021" i="3"/>
  <c r="K1021" i="3"/>
  <c r="S2099" i="3"/>
  <c r="R2099" i="3"/>
  <c r="M1257" i="3"/>
  <c r="N782" i="3"/>
  <c r="J783" i="3" s="1"/>
  <c r="Q1859" i="3"/>
  <c r="P1859" i="3"/>
  <c r="Q539" i="3"/>
  <c r="P539" i="3"/>
  <c r="Q1379" i="3"/>
  <c r="P1379" i="3"/>
  <c r="Q1977" i="3"/>
  <c r="P1977" i="3"/>
  <c r="O782" i="3"/>
  <c r="O1859" i="3"/>
  <c r="S1740" i="3"/>
  <c r="R1740" i="3"/>
  <c r="N539" i="3"/>
  <c r="J540" i="3" s="1"/>
  <c r="N1379" i="3"/>
  <c r="J1380" i="3" s="1"/>
  <c r="L2463" i="3"/>
  <c r="K2463" i="3"/>
  <c r="O1977" i="3"/>
  <c r="Q181" i="3"/>
  <c r="P181" i="3"/>
  <c r="N1859" i="3"/>
  <c r="J1860" i="3" s="1"/>
  <c r="M1139" i="3" l="1"/>
  <c r="M1741" i="3"/>
  <c r="O660" i="3"/>
  <c r="N660" i="3"/>
  <c r="J661" i="3" s="1"/>
  <c r="M660" i="3"/>
  <c r="M2100" i="3"/>
  <c r="N182" i="3"/>
  <c r="J183" i="3" s="1"/>
  <c r="M182" i="3"/>
  <c r="O1021" i="3"/>
  <c r="M1021" i="3"/>
  <c r="Q901" i="3"/>
  <c r="P901" i="3"/>
  <c r="Q1257" i="3"/>
  <c r="P1257" i="3"/>
  <c r="N901" i="3"/>
  <c r="J902" i="3" s="1"/>
  <c r="Q1500" i="3"/>
  <c r="P1500" i="3"/>
  <c r="K1618" i="3"/>
  <c r="L1618" i="3" s="1"/>
  <c r="O901" i="3"/>
  <c r="Q58" i="3"/>
  <c r="P58" i="3"/>
  <c r="K783" i="3"/>
  <c r="L783" i="3" s="1"/>
  <c r="K2339" i="3"/>
  <c r="L2339" i="3" s="1"/>
  <c r="N1500" i="3"/>
  <c r="J1501" i="3" s="1"/>
  <c r="N58" i="3"/>
  <c r="J59" i="3" s="1"/>
  <c r="O2463" i="3"/>
  <c r="N2463" i="3"/>
  <c r="J2464" i="3" s="1"/>
  <c r="M2463" i="3"/>
  <c r="L1380" i="3"/>
  <c r="K1380" i="3"/>
  <c r="K1860" i="3"/>
  <c r="L1860" i="3" s="1"/>
  <c r="S659" i="3"/>
  <c r="R659" i="3"/>
  <c r="Q2578" i="3"/>
  <c r="P2578" i="3"/>
  <c r="O58" i="3"/>
  <c r="K421" i="3"/>
  <c r="L421" i="3" s="1"/>
  <c r="K540" i="3"/>
  <c r="L540" i="3" s="1"/>
  <c r="N1257" i="3"/>
  <c r="J1258" i="3" s="1"/>
  <c r="S1379" i="3"/>
  <c r="R1379" i="3"/>
  <c r="S420" i="3"/>
  <c r="R420" i="3"/>
  <c r="Q300" i="3"/>
  <c r="P300" i="3"/>
  <c r="Q2338" i="3"/>
  <c r="P2338" i="3"/>
  <c r="N2578" i="3"/>
  <c r="J2579" i="3" s="1"/>
  <c r="T81" i="1"/>
  <c r="S81" i="1"/>
  <c r="S1977" i="3"/>
  <c r="R1977" i="3"/>
  <c r="O1257" i="3"/>
  <c r="S539" i="3"/>
  <c r="R539" i="3"/>
  <c r="M1978" i="3"/>
  <c r="N300" i="3"/>
  <c r="J301" i="3" s="1"/>
  <c r="Q2221" i="3"/>
  <c r="P2221" i="3"/>
  <c r="O2578" i="3"/>
  <c r="Q81" i="1"/>
  <c r="M82" i="1" s="1"/>
  <c r="S181" i="3"/>
  <c r="R181" i="3"/>
  <c r="S782" i="3"/>
  <c r="R782" i="3"/>
  <c r="S1859" i="3"/>
  <c r="R1859" i="3"/>
  <c r="O300" i="3"/>
  <c r="N2221" i="3"/>
  <c r="J2222" i="3" s="1"/>
  <c r="Q1617" i="3"/>
  <c r="P1617" i="3"/>
  <c r="R81" i="1"/>
  <c r="M1860" i="3" l="1"/>
  <c r="M2339" i="3"/>
  <c r="N540" i="3"/>
  <c r="J541" i="3" s="1"/>
  <c r="O540" i="3"/>
  <c r="M540" i="3"/>
  <c r="M783" i="3"/>
  <c r="N421" i="3"/>
  <c r="J422" i="3" s="1"/>
  <c r="M421" i="3"/>
  <c r="O1618" i="3"/>
  <c r="M1618" i="3"/>
  <c r="S2221" i="3"/>
  <c r="R2221" i="3"/>
  <c r="S2338" i="3"/>
  <c r="R2338" i="3"/>
  <c r="S2578" i="3"/>
  <c r="R2578" i="3"/>
  <c r="Q2463" i="3"/>
  <c r="P2463" i="3"/>
  <c r="L902" i="3"/>
  <c r="K902" i="3"/>
  <c r="Q182" i="3"/>
  <c r="P182" i="3"/>
  <c r="K2464" i="3"/>
  <c r="L2464" i="3" s="1"/>
  <c r="K183" i="3"/>
  <c r="L183" i="3" s="1"/>
  <c r="Q1741" i="3"/>
  <c r="P1741" i="3"/>
  <c r="S1500" i="3"/>
  <c r="R1500" i="3"/>
  <c r="S58" i="3"/>
  <c r="R58" i="3"/>
  <c r="S1257" i="3"/>
  <c r="R1257" i="3"/>
  <c r="O182" i="3"/>
  <c r="N1741" i="3"/>
  <c r="J1742" i="3" s="1"/>
  <c r="S1617" i="3"/>
  <c r="R1617" i="3"/>
  <c r="L1258" i="3"/>
  <c r="K1258" i="3"/>
  <c r="Q1978" i="3"/>
  <c r="P1978" i="3"/>
  <c r="O1978" i="3"/>
  <c r="K59" i="3"/>
  <c r="L59" i="3" s="1"/>
  <c r="Q2100" i="3"/>
  <c r="P2100" i="3"/>
  <c r="O1741" i="3"/>
  <c r="O1380" i="3"/>
  <c r="M1380" i="3"/>
  <c r="K2222" i="3"/>
  <c r="L2222" i="3" s="1"/>
  <c r="K1501" i="3"/>
  <c r="L1501" i="3" s="1"/>
  <c r="S901" i="3"/>
  <c r="R901" i="3"/>
  <c r="O2100" i="3"/>
  <c r="Q1139" i="3"/>
  <c r="P1139" i="3"/>
  <c r="K301" i="3"/>
  <c r="L301" i="3" s="1"/>
  <c r="S300" i="3"/>
  <c r="R300" i="3"/>
  <c r="V81" i="1"/>
  <c r="U81" i="1"/>
  <c r="Q1021" i="3"/>
  <c r="P1021" i="3"/>
  <c r="N2100" i="3"/>
  <c r="J2101" i="3" s="1"/>
  <c r="N1139" i="3"/>
  <c r="J1140" i="3" s="1"/>
  <c r="K661" i="3"/>
  <c r="L661" i="3" s="1"/>
  <c r="N1978" i="3"/>
  <c r="J1979" i="3" s="1"/>
  <c r="N82" i="1"/>
  <c r="O82" i="1" s="1"/>
  <c r="L2579" i="3"/>
  <c r="K2579" i="3"/>
  <c r="N1021" i="3"/>
  <c r="J1022" i="3" s="1"/>
  <c r="Q660" i="3"/>
  <c r="P660" i="3"/>
  <c r="O1139" i="3"/>
  <c r="M2464" i="3" l="1"/>
  <c r="M661" i="3"/>
  <c r="O301" i="3"/>
  <c r="N301" i="3"/>
  <c r="J302" i="3" s="1"/>
  <c r="M301" i="3"/>
  <c r="M2222" i="3"/>
  <c r="O183" i="3"/>
  <c r="M183" i="3"/>
  <c r="R82" i="1"/>
  <c r="P82" i="1"/>
  <c r="M59" i="3"/>
  <c r="M1501" i="3"/>
  <c r="O1501" i="3" s="1"/>
  <c r="K1022" i="3"/>
  <c r="L1022" i="3" s="1"/>
  <c r="K2101" i="3"/>
  <c r="L2101" i="3"/>
  <c r="Q421" i="3"/>
  <c r="P421" i="3"/>
  <c r="K541" i="3"/>
  <c r="L541" i="3"/>
  <c r="S1741" i="3"/>
  <c r="R1741" i="3"/>
  <c r="M902" i="3"/>
  <c r="K422" i="3"/>
  <c r="L422" i="3" s="1"/>
  <c r="Q2339" i="3"/>
  <c r="P2339" i="3"/>
  <c r="M2579" i="3"/>
  <c r="S2100" i="3"/>
  <c r="R2100" i="3"/>
  <c r="O421" i="3"/>
  <c r="O2339" i="3"/>
  <c r="S1021" i="3"/>
  <c r="R1021" i="3"/>
  <c r="S2463" i="3"/>
  <c r="R2463" i="3"/>
  <c r="Q783" i="3"/>
  <c r="P783" i="3"/>
  <c r="N2339" i="3"/>
  <c r="J2340" i="3" s="1"/>
  <c r="K1140" i="3"/>
  <c r="L1140" i="3" s="1"/>
  <c r="S1978" i="3"/>
  <c r="R1978" i="3"/>
  <c r="K1979" i="3"/>
  <c r="L1979" i="3" s="1"/>
  <c r="S1139" i="3"/>
  <c r="R1139" i="3"/>
  <c r="N783" i="3"/>
  <c r="J784" i="3" s="1"/>
  <c r="Q1860" i="3"/>
  <c r="P1860" i="3"/>
  <c r="S182" i="3"/>
  <c r="R182" i="3"/>
  <c r="M1258" i="3"/>
  <c r="Q1380" i="3"/>
  <c r="P1380" i="3"/>
  <c r="K1742" i="3"/>
  <c r="L1742" i="3" s="1"/>
  <c r="Q1618" i="3"/>
  <c r="P1618" i="3"/>
  <c r="O783" i="3"/>
  <c r="N1860" i="3"/>
  <c r="J1861" i="3" s="1"/>
  <c r="S660" i="3"/>
  <c r="R660" i="3"/>
  <c r="N1380" i="3"/>
  <c r="J1381" i="3" s="1"/>
  <c r="N1618" i="3"/>
  <c r="J1619" i="3" s="1"/>
  <c r="Q540" i="3"/>
  <c r="P540" i="3"/>
  <c r="O1860" i="3"/>
  <c r="M1022" i="3" l="1"/>
  <c r="M422" i="3"/>
  <c r="O1140" i="3"/>
  <c r="N1140" i="3"/>
  <c r="J1141" i="3" s="1"/>
  <c r="M1140" i="3"/>
  <c r="M1742" i="3"/>
  <c r="N1979" i="3"/>
  <c r="J1980" i="3" s="1"/>
  <c r="M1979" i="3"/>
  <c r="S1860" i="3"/>
  <c r="R1860" i="3"/>
  <c r="N1501" i="3"/>
  <c r="J1502" i="3" s="1"/>
  <c r="Q183" i="3"/>
  <c r="P183" i="3"/>
  <c r="Q902" i="3"/>
  <c r="P902" i="3"/>
  <c r="Q661" i="3"/>
  <c r="P661" i="3"/>
  <c r="Q1501" i="3"/>
  <c r="P1501" i="3"/>
  <c r="Q2579" i="3"/>
  <c r="P2579" i="3"/>
  <c r="N902" i="3"/>
  <c r="J903" i="3" s="1"/>
  <c r="S421" i="3"/>
  <c r="R421" i="3"/>
  <c r="Q59" i="3"/>
  <c r="P59" i="3"/>
  <c r="N183" i="3"/>
  <c r="J184" i="3" s="1"/>
  <c r="N661" i="3"/>
  <c r="J662" i="3" s="1"/>
  <c r="S1380" i="3"/>
  <c r="R1380" i="3"/>
  <c r="Q1258" i="3"/>
  <c r="P1258" i="3"/>
  <c r="S540" i="3"/>
  <c r="R540" i="3"/>
  <c r="O1258" i="3"/>
  <c r="O2579" i="3"/>
  <c r="O902" i="3"/>
  <c r="N2101" i="3"/>
  <c r="J2102" i="3" s="1"/>
  <c r="M2101" i="3"/>
  <c r="N59" i="3"/>
  <c r="J60" i="3" s="1"/>
  <c r="Q2222" i="3"/>
  <c r="P2222" i="3"/>
  <c r="O661" i="3"/>
  <c r="L302" i="3"/>
  <c r="K302" i="3"/>
  <c r="L784" i="3"/>
  <c r="K784" i="3"/>
  <c r="N1258" i="3"/>
  <c r="J1259" i="3" s="1"/>
  <c r="S1618" i="3"/>
  <c r="R1618" i="3"/>
  <c r="L2340" i="3"/>
  <c r="K2340" i="3"/>
  <c r="N2579" i="3"/>
  <c r="J2580" i="3" s="1"/>
  <c r="O59" i="3"/>
  <c r="N2222" i="3"/>
  <c r="J2223" i="3" s="1"/>
  <c r="Q2464" i="3"/>
  <c r="P2464" i="3"/>
  <c r="O541" i="3"/>
  <c r="N541" i="3"/>
  <c r="J542" i="3" s="1"/>
  <c r="M541" i="3"/>
  <c r="K1619" i="3"/>
  <c r="L1619" i="3" s="1"/>
  <c r="K1381" i="3"/>
  <c r="L1381" i="3" s="1"/>
  <c r="T82" i="1"/>
  <c r="S82" i="1"/>
  <c r="O2222" i="3"/>
  <c r="O2464" i="3"/>
  <c r="K1861" i="3"/>
  <c r="L1861" i="3" s="1"/>
  <c r="S783" i="3"/>
  <c r="R783" i="3"/>
  <c r="S2339" i="3"/>
  <c r="R2339" i="3"/>
  <c r="Q82" i="1"/>
  <c r="M83" i="1" s="1"/>
  <c r="Q301" i="3"/>
  <c r="P301" i="3"/>
  <c r="N2464" i="3"/>
  <c r="J2465" i="3" s="1"/>
  <c r="M1381" i="3" l="1"/>
  <c r="M1619" i="3"/>
  <c r="O1861" i="3"/>
  <c r="N1861" i="3"/>
  <c r="J1862" i="3" s="1"/>
  <c r="M1861" i="3"/>
  <c r="Q1979" i="3"/>
  <c r="P1979" i="3"/>
  <c r="M302" i="3"/>
  <c r="S902" i="3"/>
  <c r="R902" i="3"/>
  <c r="K1980" i="3"/>
  <c r="L1980" i="3" s="1"/>
  <c r="Q422" i="3"/>
  <c r="P422" i="3"/>
  <c r="L662" i="3"/>
  <c r="K662" i="3"/>
  <c r="O1979" i="3"/>
  <c r="N422" i="3"/>
  <c r="J423" i="3" s="1"/>
  <c r="M2340" i="3"/>
  <c r="K1141" i="3"/>
  <c r="L1141" i="3" s="1"/>
  <c r="K2465" i="3"/>
  <c r="L2465" i="3"/>
  <c r="K184" i="3"/>
  <c r="L184" i="3"/>
  <c r="S2579" i="3"/>
  <c r="R2579" i="3"/>
  <c r="S183" i="3"/>
  <c r="R183" i="3"/>
  <c r="Q1742" i="3"/>
  <c r="P1742" i="3"/>
  <c r="O422" i="3"/>
  <c r="K542" i="3"/>
  <c r="L542" i="3" s="1"/>
  <c r="S661" i="3"/>
  <c r="R661" i="3"/>
  <c r="S2222" i="3"/>
  <c r="R2222" i="3"/>
  <c r="K2223" i="3"/>
  <c r="L2223" i="3" s="1"/>
  <c r="L60" i="3"/>
  <c r="K60" i="3"/>
  <c r="Q2101" i="3"/>
  <c r="P2101" i="3"/>
  <c r="K1502" i="3"/>
  <c r="L1502" i="3" s="1"/>
  <c r="N1742" i="3"/>
  <c r="J1743" i="3" s="1"/>
  <c r="Q1022" i="3"/>
  <c r="P1022" i="3"/>
  <c r="K903" i="3"/>
  <c r="L903" i="3" s="1"/>
  <c r="K1259" i="3"/>
  <c r="L1259" i="3" s="1"/>
  <c r="S301" i="3"/>
  <c r="R301" i="3"/>
  <c r="K2580" i="3"/>
  <c r="L2580" i="3" s="1"/>
  <c r="L2102" i="3"/>
  <c r="K2102" i="3"/>
  <c r="S59" i="3"/>
  <c r="R59" i="3"/>
  <c r="S1501" i="3"/>
  <c r="R1501" i="3"/>
  <c r="O1742" i="3"/>
  <c r="O1022" i="3"/>
  <c r="V82" i="1"/>
  <c r="U82" i="1"/>
  <c r="S2464" i="3"/>
  <c r="R2464" i="3"/>
  <c r="O83" i="1"/>
  <c r="N83" i="1"/>
  <c r="M784" i="3"/>
  <c r="Q541" i="3"/>
  <c r="P541" i="3"/>
  <c r="O2101" i="3"/>
  <c r="S1258" i="3"/>
  <c r="R1258" i="3"/>
  <c r="Q1140" i="3"/>
  <c r="P1140" i="3"/>
  <c r="N1022" i="3"/>
  <c r="J1023" i="3" s="1"/>
  <c r="M542" i="3" l="1"/>
  <c r="M1141" i="3"/>
  <c r="O903" i="3"/>
  <c r="N903" i="3"/>
  <c r="J904" i="3" s="1"/>
  <c r="M903" i="3"/>
  <c r="M1259" i="3"/>
  <c r="O2223" i="3"/>
  <c r="M2223" i="3"/>
  <c r="N1980" i="3"/>
  <c r="J1981" i="3" s="1"/>
  <c r="M1980" i="3"/>
  <c r="M2580" i="3"/>
  <c r="M1502" i="3"/>
  <c r="O1502" i="3" s="1"/>
  <c r="P83" i="1"/>
  <c r="R83" i="1"/>
  <c r="Q83" i="1"/>
  <c r="M84" i="1" s="1"/>
  <c r="M662" i="3"/>
  <c r="Q302" i="3"/>
  <c r="P302" i="3"/>
  <c r="Q1619" i="3"/>
  <c r="P1619" i="3"/>
  <c r="S2101" i="3"/>
  <c r="R2101" i="3"/>
  <c r="N302" i="3"/>
  <c r="J303" i="3" s="1"/>
  <c r="O1619" i="3"/>
  <c r="Q784" i="3"/>
  <c r="P784" i="3"/>
  <c r="K1743" i="3"/>
  <c r="L1743" i="3" s="1"/>
  <c r="Q2340" i="3"/>
  <c r="P2340" i="3"/>
  <c r="S422" i="3"/>
  <c r="R422" i="3"/>
  <c r="O302" i="3"/>
  <c r="N1619" i="3"/>
  <c r="J1620" i="3" s="1"/>
  <c r="M2465" i="3"/>
  <c r="O2465" i="3" s="1"/>
  <c r="S541" i="3"/>
  <c r="R541" i="3"/>
  <c r="N2340" i="3"/>
  <c r="J2341" i="3" s="1"/>
  <c r="Q1381" i="3"/>
  <c r="P1381" i="3"/>
  <c r="M60" i="3"/>
  <c r="S1022" i="3"/>
  <c r="R1022" i="3"/>
  <c r="N784" i="3"/>
  <c r="J785" i="3" s="1"/>
  <c r="M184" i="3"/>
  <c r="O2340" i="3"/>
  <c r="S1979" i="3"/>
  <c r="R1979" i="3"/>
  <c r="N1381" i="3"/>
  <c r="J1382" i="3" s="1"/>
  <c r="M2102" i="3"/>
  <c r="O2102" i="3" s="1"/>
  <c r="K1862" i="3"/>
  <c r="L1862" i="3" s="1"/>
  <c r="K1023" i="3"/>
  <c r="L1023" i="3" s="1"/>
  <c r="S1140" i="3"/>
  <c r="R1140" i="3"/>
  <c r="O784" i="3"/>
  <c r="S1742" i="3"/>
  <c r="R1742" i="3"/>
  <c r="K423" i="3"/>
  <c r="L423" i="3" s="1"/>
  <c r="Q1861" i="3"/>
  <c r="P1861" i="3"/>
  <c r="O1381" i="3"/>
  <c r="M1023" i="3" l="1"/>
  <c r="M1743" i="3"/>
  <c r="N1862" i="3"/>
  <c r="J1863" i="3" s="1"/>
  <c r="O1862" i="3"/>
  <c r="M1862" i="3"/>
  <c r="M423" i="3"/>
  <c r="S784" i="3"/>
  <c r="R784" i="3"/>
  <c r="S302" i="3"/>
  <c r="R302" i="3"/>
  <c r="N1502" i="3"/>
  <c r="J1503" i="3" s="1"/>
  <c r="Q2223" i="3"/>
  <c r="P2223" i="3"/>
  <c r="K904" i="3"/>
  <c r="L904" i="3" s="1"/>
  <c r="Q60" i="3"/>
  <c r="P60" i="3"/>
  <c r="Q662" i="3"/>
  <c r="P662" i="3"/>
  <c r="Q1141" i="3"/>
  <c r="P1141" i="3"/>
  <c r="N662" i="3"/>
  <c r="J663" i="3" s="1"/>
  <c r="Q2580" i="3"/>
  <c r="P2580" i="3"/>
  <c r="N2223" i="3"/>
  <c r="J2224" i="3" s="1"/>
  <c r="N1141" i="3"/>
  <c r="J1142" i="3" s="1"/>
  <c r="K1981" i="3"/>
  <c r="L1981" i="3" s="1"/>
  <c r="Q184" i="3"/>
  <c r="P184" i="3"/>
  <c r="N2102" i="3"/>
  <c r="J2103" i="3" s="1"/>
  <c r="O184" i="3"/>
  <c r="O60" i="3"/>
  <c r="N2465" i="3"/>
  <c r="J2466" i="3" s="1"/>
  <c r="S2340" i="3"/>
  <c r="R2340" i="3"/>
  <c r="O662" i="3"/>
  <c r="N2580" i="3"/>
  <c r="J2581" i="3" s="1"/>
  <c r="Q1259" i="3"/>
  <c r="P1259" i="3"/>
  <c r="O1141" i="3"/>
  <c r="S1861" i="3"/>
  <c r="R1861" i="3"/>
  <c r="N184" i="3"/>
  <c r="J185" i="3" s="1"/>
  <c r="N84" i="1"/>
  <c r="O84" i="1"/>
  <c r="O2580" i="3"/>
  <c r="N1259" i="3"/>
  <c r="J1260" i="3" s="1"/>
  <c r="Q542" i="3"/>
  <c r="P542" i="3"/>
  <c r="K303" i="3"/>
  <c r="L303" i="3" s="1"/>
  <c r="Q2102" i="3"/>
  <c r="P2102" i="3"/>
  <c r="N60" i="3"/>
  <c r="J61" i="3" s="1"/>
  <c r="K785" i="3"/>
  <c r="L785" i="3" s="1"/>
  <c r="S1381" i="3"/>
  <c r="R1381" i="3"/>
  <c r="K1620" i="3"/>
  <c r="L1620" i="3"/>
  <c r="Q1980" i="3"/>
  <c r="P1980" i="3"/>
  <c r="O1259" i="3"/>
  <c r="N542" i="3"/>
  <c r="J543" i="3" s="1"/>
  <c r="Q1502" i="3"/>
  <c r="P1502" i="3"/>
  <c r="Q2465" i="3"/>
  <c r="P2465" i="3"/>
  <c r="K1382" i="3"/>
  <c r="L1382" i="3" s="1"/>
  <c r="K2341" i="3"/>
  <c r="L2341" i="3" s="1"/>
  <c r="S1619" i="3"/>
  <c r="R1619" i="3"/>
  <c r="T83" i="1"/>
  <c r="S83" i="1"/>
  <c r="O1980" i="3"/>
  <c r="Q903" i="3"/>
  <c r="P903" i="3"/>
  <c r="O542" i="3"/>
  <c r="M904" i="3" l="1"/>
  <c r="M785" i="3"/>
  <c r="N2341" i="3"/>
  <c r="J2342" i="3" s="1"/>
  <c r="O2341" i="3"/>
  <c r="M2341" i="3"/>
  <c r="M1382" i="3"/>
  <c r="N1981" i="3"/>
  <c r="J1982" i="3" s="1"/>
  <c r="M1981" i="3"/>
  <c r="O303" i="3"/>
  <c r="M303" i="3"/>
  <c r="S2465" i="3"/>
  <c r="R2465" i="3"/>
  <c r="L2103" i="3"/>
  <c r="K2103" i="3"/>
  <c r="S2580" i="3"/>
  <c r="R2580" i="3"/>
  <c r="K1863" i="3"/>
  <c r="L1863" i="3"/>
  <c r="P84" i="1"/>
  <c r="L663" i="3"/>
  <c r="K663" i="3"/>
  <c r="Q1743" i="3"/>
  <c r="P1743" i="3"/>
  <c r="S2102" i="3"/>
  <c r="R2102" i="3"/>
  <c r="S184" i="3"/>
  <c r="R184" i="3"/>
  <c r="N1743" i="3"/>
  <c r="J1744" i="3" s="1"/>
  <c r="V83" i="1"/>
  <c r="U83" i="1"/>
  <c r="S60" i="3"/>
  <c r="R60" i="3"/>
  <c r="K2581" i="3"/>
  <c r="L2581" i="3" s="1"/>
  <c r="S1502" i="3"/>
  <c r="R1502" i="3"/>
  <c r="S1141" i="3"/>
  <c r="R1141" i="3"/>
  <c r="S2223" i="3"/>
  <c r="R2223" i="3"/>
  <c r="Q423" i="3"/>
  <c r="P423" i="3"/>
  <c r="O1743" i="3"/>
  <c r="O1620" i="3"/>
  <c r="N1620" i="3"/>
  <c r="J1621" i="3" s="1"/>
  <c r="M1620" i="3"/>
  <c r="K543" i="3"/>
  <c r="L543" i="3" s="1"/>
  <c r="S542" i="3"/>
  <c r="R542" i="3"/>
  <c r="K1503" i="3"/>
  <c r="L1503" i="3"/>
  <c r="N423" i="3"/>
  <c r="J424" i="3" s="1"/>
  <c r="Q1023" i="3"/>
  <c r="P1023" i="3"/>
  <c r="K185" i="3"/>
  <c r="L185" i="3"/>
  <c r="K1260" i="3"/>
  <c r="L1260" i="3" s="1"/>
  <c r="L1142" i="3"/>
  <c r="K1142" i="3"/>
  <c r="S662" i="3"/>
  <c r="R662" i="3"/>
  <c r="O423" i="3"/>
  <c r="O1023" i="3"/>
  <c r="S1259" i="3"/>
  <c r="R1259" i="3"/>
  <c r="S903" i="3"/>
  <c r="R903" i="3"/>
  <c r="K2466" i="3"/>
  <c r="L2466" i="3" s="1"/>
  <c r="S1980" i="3"/>
  <c r="R1980" i="3"/>
  <c r="K61" i="3"/>
  <c r="L61" i="3" s="1"/>
  <c r="K2224" i="3"/>
  <c r="L2224" i="3" s="1"/>
  <c r="Q1862" i="3"/>
  <c r="P1862" i="3"/>
  <c r="N1023" i="3"/>
  <c r="J1024" i="3" s="1"/>
  <c r="M2224" i="3" l="1"/>
  <c r="M543" i="3"/>
  <c r="O1260" i="3"/>
  <c r="N1260" i="3"/>
  <c r="J1261" i="3" s="1"/>
  <c r="M1260" i="3"/>
  <c r="M61" i="3"/>
  <c r="O2466" i="3"/>
  <c r="M2466" i="3"/>
  <c r="O2581" i="3"/>
  <c r="M2581" i="3"/>
  <c r="K1621" i="3"/>
  <c r="L1621" i="3" s="1"/>
  <c r="T84" i="1"/>
  <c r="S84" i="1"/>
  <c r="Q1981" i="3"/>
  <c r="P1981" i="3"/>
  <c r="K2342" i="3"/>
  <c r="L2342" i="3"/>
  <c r="R84" i="1"/>
  <c r="M2103" i="3"/>
  <c r="O2103" i="3" s="1"/>
  <c r="K1982" i="3"/>
  <c r="L1982" i="3" s="1"/>
  <c r="Q785" i="3"/>
  <c r="P785" i="3"/>
  <c r="Q84" i="1"/>
  <c r="M85" i="1" s="1"/>
  <c r="O1981" i="3"/>
  <c r="O785" i="3"/>
  <c r="K1024" i="3"/>
  <c r="L1024" i="3"/>
  <c r="O1503" i="3"/>
  <c r="M1503" i="3"/>
  <c r="M185" i="3"/>
  <c r="O185" i="3" s="1"/>
  <c r="S423" i="3"/>
  <c r="R423" i="3"/>
  <c r="M1863" i="3"/>
  <c r="Q1382" i="3"/>
  <c r="P1382" i="3"/>
  <c r="N785" i="3"/>
  <c r="J786" i="3" s="1"/>
  <c r="N1142" i="3"/>
  <c r="J1143" i="3" s="1"/>
  <c r="O1142" i="3"/>
  <c r="M1142" i="3"/>
  <c r="M663" i="3"/>
  <c r="N1382" i="3"/>
  <c r="J1383" i="3" s="1"/>
  <c r="Q904" i="3"/>
  <c r="P904" i="3"/>
  <c r="S1862" i="3"/>
  <c r="R1862" i="3"/>
  <c r="K1744" i="3"/>
  <c r="L1744" i="3" s="1"/>
  <c r="S1743" i="3"/>
  <c r="R1743" i="3"/>
  <c r="Q303" i="3"/>
  <c r="P303" i="3"/>
  <c r="O1382" i="3"/>
  <c r="N904" i="3"/>
  <c r="J905" i="3" s="1"/>
  <c r="S1023" i="3"/>
  <c r="R1023" i="3"/>
  <c r="K424" i="3"/>
  <c r="L424" i="3" s="1"/>
  <c r="Q1620" i="3"/>
  <c r="P1620" i="3"/>
  <c r="N303" i="3"/>
  <c r="J304" i="3" s="1"/>
  <c r="Q2341" i="3"/>
  <c r="P2341" i="3"/>
  <c r="O904" i="3"/>
  <c r="M424" i="3" l="1"/>
  <c r="M1744" i="3"/>
  <c r="O1982" i="3"/>
  <c r="N1982" i="3"/>
  <c r="J1983" i="3" s="1"/>
  <c r="M1982" i="3"/>
  <c r="M1621" i="3"/>
  <c r="K1143" i="3"/>
  <c r="L1143" i="3"/>
  <c r="O1024" i="3"/>
  <c r="N1024" i="3"/>
  <c r="J1025" i="3" s="1"/>
  <c r="M1024" i="3"/>
  <c r="S1981" i="3"/>
  <c r="R1981" i="3"/>
  <c r="Q2466" i="3"/>
  <c r="P2466" i="3"/>
  <c r="K1261" i="3"/>
  <c r="L1261" i="3" s="1"/>
  <c r="Q543" i="3"/>
  <c r="P543" i="3"/>
  <c r="V84" i="1"/>
  <c r="U84" i="1"/>
  <c r="N2466" i="3"/>
  <c r="J2467" i="3" s="1"/>
  <c r="N543" i="3"/>
  <c r="J544" i="3" s="1"/>
  <c r="S2341" i="3"/>
  <c r="R2341" i="3"/>
  <c r="Q663" i="3"/>
  <c r="P663" i="3"/>
  <c r="Q61" i="3"/>
  <c r="P61" i="3"/>
  <c r="O543" i="3"/>
  <c r="S904" i="3"/>
  <c r="R904" i="3"/>
  <c r="Q2103" i="3"/>
  <c r="P2103" i="3"/>
  <c r="S1382" i="3"/>
  <c r="R1382" i="3"/>
  <c r="Q1863" i="3"/>
  <c r="P1863" i="3"/>
  <c r="N85" i="1"/>
  <c r="O85" i="1" s="1"/>
  <c r="N61" i="3"/>
  <c r="J62" i="3" s="1"/>
  <c r="Q2224" i="3"/>
  <c r="P2224" i="3"/>
  <c r="K1383" i="3"/>
  <c r="L1383" i="3" s="1"/>
  <c r="K304" i="3"/>
  <c r="L304" i="3" s="1"/>
  <c r="O663" i="3"/>
  <c r="N663" i="3"/>
  <c r="J664" i="3" s="1"/>
  <c r="O1863" i="3"/>
  <c r="Q1503" i="3"/>
  <c r="P1503" i="3"/>
  <c r="O2342" i="3"/>
  <c r="M2342" i="3"/>
  <c r="Q2581" i="3"/>
  <c r="P2581" i="3"/>
  <c r="O61" i="3"/>
  <c r="N2224" i="3"/>
  <c r="J2225" i="3" s="1"/>
  <c r="S303" i="3"/>
  <c r="R303" i="3"/>
  <c r="K786" i="3"/>
  <c r="L786" i="3"/>
  <c r="Q185" i="3"/>
  <c r="P185" i="3"/>
  <c r="N2103" i="3"/>
  <c r="J2104" i="3" s="1"/>
  <c r="K905" i="3"/>
  <c r="L905" i="3" s="1"/>
  <c r="N185" i="3"/>
  <c r="J186" i="3" s="1"/>
  <c r="S1620" i="3"/>
  <c r="R1620" i="3"/>
  <c r="Q1142" i="3"/>
  <c r="P1142" i="3"/>
  <c r="N1863" i="3"/>
  <c r="J1864" i="3" s="1"/>
  <c r="N1503" i="3"/>
  <c r="J1504" i="3" s="1"/>
  <c r="S785" i="3"/>
  <c r="R785" i="3"/>
  <c r="N2581" i="3"/>
  <c r="J2582" i="3" s="1"/>
  <c r="Q1260" i="3"/>
  <c r="P1260" i="3"/>
  <c r="O2224" i="3"/>
  <c r="M905" i="3" l="1"/>
  <c r="P85" i="1"/>
  <c r="O1261" i="3"/>
  <c r="N1261" i="3"/>
  <c r="J1262" i="3" s="1"/>
  <c r="M1261" i="3"/>
  <c r="M304" i="3"/>
  <c r="O1383" i="3"/>
  <c r="N1383" i="3"/>
  <c r="J1384" i="3" s="1"/>
  <c r="M1383" i="3"/>
  <c r="S1863" i="3"/>
  <c r="R1863" i="3"/>
  <c r="K1864" i="3"/>
  <c r="L1864" i="3"/>
  <c r="K544" i="3"/>
  <c r="L544" i="3" s="1"/>
  <c r="K1025" i="3"/>
  <c r="L1025" i="3" s="1"/>
  <c r="S1503" i="3"/>
  <c r="R1503" i="3"/>
  <c r="K2467" i="3"/>
  <c r="L2467" i="3"/>
  <c r="M1143" i="3"/>
  <c r="O1143" i="3" s="1"/>
  <c r="Q1744" i="3"/>
  <c r="P1744" i="3"/>
  <c r="K1983" i="3"/>
  <c r="L1983" i="3" s="1"/>
  <c r="S2466" i="3"/>
  <c r="R2466" i="3"/>
  <c r="N1744" i="3"/>
  <c r="J1745" i="3" s="1"/>
  <c r="K1504" i="3"/>
  <c r="L1504" i="3" s="1"/>
  <c r="K2225" i="3"/>
  <c r="L2225" i="3"/>
  <c r="K62" i="3"/>
  <c r="L62" i="3" s="1"/>
  <c r="Q1621" i="3"/>
  <c r="P1621" i="3"/>
  <c r="O1744" i="3"/>
  <c r="K2104" i="3"/>
  <c r="L2104" i="3"/>
  <c r="S185" i="3"/>
  <c r="R185" i="3"/>
  <c r="S2103" i="3"/>
  <c r="R2103" i="3"/>
  <c r="S663" i="3"/>
  <c r="R663" i="3"/>
  <c r="N1621" i="3"/>
  <c r="J1622" i="3" s="1"/>
  <c r="Q424" i="3"/>
  <c r="P424" i="3"/>
  <c r="S1260" i="3"/>
  <c r="R1260" i="3"/>
  <c r="S2224" i="3"/>
  <c r="R2224" i="3"/>
  <c r="K2582" i="3"/>
  <c r="L2582" i="3" s="1"/>
  <c r="O786" i="3"/>
  <c r="M786" i="3"/>
  <c r="O1621" i="3"/>
  <c r="O424" i="3"/>
  <c r="S1142" i="3"/>
  <c r="R1142" i="3"/>
  <c r="S61" i="3"/>
  <c r="R61" i="3"/>
  <c r="K664" i="3"/>
  <c r="L664" i="3" s="1"/>
  <c r="S2581" i="3"/>
  <c r="R2581" i="3"/>
  <c r="Q2342" i="3"/>
  <c r="P2342" i="3"/>
  <c r="K186" i="3"/>
  <c r="L186" i="3"/>
  <c r="N2342" i="3"/>
  <c r="J2343" i="3" s="1"/>
  <c r="S543" i="3"/>
  <c r="R543" i="3"/>
  <c r="Q1024" i="3"/>
  <c r="P1024" i="3"/>
  <c r="Q1982" i="3"/>
  <c r="P1982" i="3"/>
  <c r="N424" i="3"/>
  <c r="J425" i="3" s="1"/>
  <c r="M1025" i="3" l="1"/>
  <c r="M544" i="3"/>
  <c r="N1983" i="3"/>
  <c r="J1984" i="3" s="1"/>
  <c r="O1983" i="3"/>
  <c r="M1983" i="3"/>
  <c r="M62" i="3"/>
  <c r="O1504" i="3"/>
  <c r="M1504" i="3"/>
  <c r="O664" i="3"/>
  <c r="M664" i="3"/>
  <c r="M2582" i="3"/>
  <c r="S1621" i="3"/>
  <c r="R1621" i="3"/>
  <c r="N1143" i="3"/>
  <c r="J1144" i="3" s="1"/>
  <c r="Q1383" i="3"/>
  <c r="P1383" i="3"/>
  <c r="K1384" i="3"/>
  <c r="L1384" i="3" s="1"/>
  <c r="T85" i="1"/>
  <c r="S85" i="1"/>
  <c r="S1024" i="3"/>
  <c r="R1024" i="3"/>
  <c r="K1262" i="3"/>
  <c r="L1262" i="3" s="1"/>
  <c r="M2467" i="3"/>
  <c r="O2467" i="3" s="1"/>
  <c r="Q85" i="1"/>
  <c r="M86" i="1" s="1"/>
  <c r="K1745" i="3"/>
  <c r="L1745" i="3" s="1"/>
  <c r="K425" i="3"/>
  <c r="L425" i="3"/>
  <c r="M2225" i="3"/>
  <c r="M1864" i="3"/>
  <c r="Q304" i="3"/>
  <c r="P304" i="3"/>
  <c r="R85" i="1"/>
  <c r="K2343" i="3"/>
  <c r="L2343" i="3"/>
  <c r="M186" i="3"/>
  <c r="M2104" i="3"/>
  <c r="N2104" i="3" s="1"/>
  <c r="J2105" i="3" s="1"/>
  <c r="O304" i="3"/>
  <c r="Q905" i="3"/>
  <c r="P905" i="3"/>
  <c r="S2342" i="3"/>
  <c r="R2342" i="3"/>
  <c r="S424" i="3"/>
  <c r="R424" i="3"/>
  <c r="N304" i="3"/>
  <c r="J305" i="3" s="1"/>
  <c r="O905" i="3"/>
  <c r="Q1143" i="3"/>
  <c r="P1143" i="3"/>
  <c r="K1622" i="3"/>
  <c r="L1622" i="3" s="1"/>
  <c r="S1982" i="3"/>
  <c r="R1982" i="3"/>
  <c r="Q786" i="3"/>
  <c r="P786" i="3"/>
  <c r="N786" i="3"/>
  <c r="J787" i="3" s="1"/>
  <c r="S1744" i="3"/>
  <c r="R1744" i="3"/>
  <c r="Q1261" i="3"/>
  <c r="P1261" i="3"/>
  <c r="N905" i="3"/>
  <c r="J906" i="3" s="1"/>
  <c r="M1262" i="3" l="1"/>
  <c r="M1622" i="3"/>
  <c r="K2105" i="3"/>
  <c r="L2105" i="3" s="1"/>
  <c r="M1745" i="3"/>
  <c r="M1384" i="3"/>
  <c r="O1384" i="3"/>
  <c r="Q1504" i="3"/>
  <c r="P1504" i="3"/>
  <c r="K1984" i="3"/>
  <c r="L1984" i="3" s="1"/>
  <c r="V85" i="1"/>
  <c r="U85" i="1"/>
  <c r="Q544" i="3"/>
  <c r="P544" i="3"/>
  <c r="Q2225" i="3"/>
  <c r="P2225" i="3"/>
  <c r="Q2582" i="3"/>
  <c r="P2582" i="3"/>
  <c r="N1504" i="3"/>
  <c r="J1505" i="3" s="1"/>
  <c r="N544" i="3"/>
  <c r="J545" i="3" s="1"/>
  <c r="K305" i="3"/>
  <c r="L305" i="3"/>
  <c r="S304" i="3"/>
  <c r="R304" i="3"/>
  <c r="N2582" i="3"/>
  <c r="J2583" i="3" s="1"/>
  <c r="Q62" i="3"/>
  <c r="P62" i="3"/>
  <c r="O544" i="3"/>
  <c r="O2225" i="3"/>
  <c r="M425" i="3"/>
  <c r="K787" i="3"/>
  <c r="L787" i="3" s="1"/>
  <c r="Q186" i="3"/>
  <c r="P186" i="3"/>
  <c r="Q1864" i="3"/>
  <c r="P1864" i="3"/>
  <c r="O2582" i="3"/>
  <c r="N62" i="3"/>
  <c r="J63" i="3" s="1"/>
  <c r="Q1025" i="3"/>
  <c r="P1025" i="3"/>
  <c r="M2343" i="3"/>
  <c r="O2343" i="3" s="1"/>
  <c r="N2225" i="3"/>
  <c r="J2226" i="3" s="1"/>
  <c r="Q2104" i="3"/>
  <c r="P2104" i="3"/>
  <c r="S1143" i="3"/>
  <c r="R1143" i="3"/>
  <c r="N186" i="3"/>
  <c r="J187" i="3" s="1"/>
  <c r="N1864" i="3"/>
  <c r="J1865" i="3" s="1"/>
  <c r="S1383" i="3"/>
  <c r="R1383" i="3"/>
  <c r="Q664" i="3"/>
  <c r="P664" i="3"/>
  <c r="O62" i="3"/>
  <c r="N1025" i="3"/>
  <c r="J1026" i="3" s="1"/>
  <c r="S905" i="3"/>
  <c r="R905" i="3"/>
  <c r="P2467" i="3"/>
  <c r="Q2467" i="3"/>
  <c r="S1261" i="3"/>
  <c r="R1261" i="3"/>
  <c r="N2467" i="3"/>
  <c r="J2468" i="3" s="1"/>
  <c r="O2104" i="3"/>
  <c r="K906" i="3"/>
  <c r="L906" i="3"/>
  <c r="S786" i="3"/>
  <c r="R786" i="3"/>
  <c r="O186" i="3"/>
  <c r="O1864" i="3"/>
  <c r="N86" i="1"/>
  <c r="O86" i="1" s="1"/>
  <c r="K1144" i="3"/>
  <c r="L1144" i="3" s="1"/>
  <c r="N664" i="3"/>
  <c r="J665" i="3" s="1"/>
  <c r="Q1983" i="3"/>
  <c r="P1983" i="3"/>
  <c r="O1025" i="3"/>
  <c r="M787" i="3" l="1"/>
  <c r="M1144" i="3"/>
  <c r="R86" i="1"/>
  <c r="Q86" i="1"/>
  <c r="M87" i="1" s="1"/>
  <c r="P86" i="1"/>
  <c r="M2105" i="3"/>
  <c r="M1984" i="3"/>
  <c r="L1865" i="3"/>
  <c r="K1865" i="3"/>
  <c r="K1026" i="3"/>
  <c r="L1026" i="3" s="1"/>
  <c r="K187" i="3"/>
  <c r="L187" i="3" s="1"/>
  <c r="N2343" i="3"/>
  <c r="J2344" i="3" s="1"/>
  <c r="S544" i="3"/>
  <c r="R544" i="3"/>
  <c r="S1504" i="3"/>
  <c r="R1504" i="3"/>
  <c r="S1864" i="3"/>
  <c r="R1864" i="3"/>
  <c r="S1983" i="3"/>
  <c r="R1983" i="3"/>
  <c r="S186" i="3"/>
  <c r="R186" i="3"/>
  <c r="K545" i="3"/>
  <c r="L545" i="3" s="1"/>
  <c r="Q1622" i="3"/>
  <c r="P1622" i="3"/>
  <c r="K2468" i="3"/>
  <c r="L2468" i="3" s="1"/>
  <c r="S62" i="3"/>
  <c r="R62" i="3"/>
  <c r="K1505" i="3"/>
  <c r="L1505" i="3"/>
  <c r="Q1384" i="3"/>
  <c r="P1384" i="3"/>
  <c r="N1622" i="3"/>
  <c r="J1623" i="3" s="1"/>
  <c r="M305" i="3"/>
  <c r="N305" i="3" s="1"/>
  <c r="J306" i="3" s="1"/>
  <c r="N1384" i="3"/>
  <c r="J1385" i="3" s="1"/>
  <c r="O1622" i="3"/>
  <c r="K63" i="3"/>
  <c r="L63" i="3" s="1"/>
  <c r="Q425" i="3"/>
  <c r="P425" i="3"/>
  <c r="S2582" i="3"/>
  <c r="R2582" i="3"/>
  <c r="Q1745" i="3"/>
  <c r="P1745" i="3"/>
  <c r="Q1262" i="3"/>
  <c r="P1262" i="3"/>
  <c r="K665" i="3"/>
  <c r="L665" i="3" s="1"/>
  <c r="S2467" i="3"/>
  <c r="R2467" i="3"/>
  <c r="S1025" i="3"/>
  <c r="R1025" i="3"/>
  <c r="S2104" i="3"/>
  <c r="R2104" i="3"/>
  <c r="O425" i="3"/>
  <c r="O1745" i="3"/>
  <c r="O1262" i="3"/>
  <c r="Q2343" i="3"/>
  <c r="P2343" i="3"/>
  <c r="S664" i="3"/>
  <c r="R664" i="3"/>
  <c r="K2583" i="3"/>
  <c r="L2583" i="3" s="1"/>
  <c r="M906" i="3"/>
  <c r="N906" i="3" s="1"/>
  <c r="J907" i="3" s="1"/>
  <c r="K2226" i="3"/>
  <c r="L2226" i="3" s="1"/>
  <c r="N425" i="3"/>
  <c r="J426" i="3" s="1"/>
  <c r="S2225" i="3"/>
  <c r="R2225" i="3"/>
  <c r="N1745" i="3"/>
  <c r="J1746" i="3" s="1"/>
  <c r="N1262" i="3"/>
  <c r="J1263" i="3" s="1"/>
  <c r="K907" i="3" l="1"/>
  <c r="L907" i="3" s="1"/>
  <c r="M2226" i="3"/>
  <c r="K306" i="3"/>
  <c r="L306" i="3" s="1"/>
  <c r="O545" i="3"/>
  <c r="M545" i="3"/>
  <c r="M665" i="3"/>
  <c r="M63" i="3"/>
  <c r="N63" i="3" s="1"/>
  <c r="J64" i="3" s="1"/>
  <c r="M2583" i="3"/>
  <c r="M187" i="3"/>
  <c r="O2468" i="3"/>
  <c r="N2468" i="3"/>
  <c r="J2469" i="3" s="1"/>
  <c r="M2468" i="3"/>
  <c r="M1026" i="3"/>
  <c r="S1745" i="3"/>
  <c r="R1745" i="3"/>
  <c r="K1385" i="3"/>
  <c r="L1385" i="3" s="1"/>
  <c r="Q1984" i="3"/>
  <c r="P1984" i="3"/>
  <c r="K2344" i="3"/>
  <c r="L2344" i="3"/>
  <c r="O1984" i="3"/>
  <c r="Q1144" i="3"/>
  <c r="P1144" i="3"/>
  <c r="N1865" i="3"/>
  <c r="J1866" i="3" s="1"/>
  <c r="M1865" i="3"/>
  <c r="N1984" i="3"/>
  <c r="J1985" i="3" s="1"/>
  <c r="O1144" i="3"/>
  <c r="K426" i="3"/>
  <c r="L426" i="3" s="1"/>
  <c r="Q2105" i="3"/>
  <c r="P2105" i="3"/>
  <c r="N1144" i="3"/>
  <c r="J1145" i="3" s="1"/>
  <c r="N87" i="1"/>
  <c r="O87" i="1" s="1"/>
  <c r="Q305" i="3"/>
  <c r="P305" i="3"/>
  <c r="O305" i="3"/>
  <c r="L1263" i="3"/>
  <c r="K1263" i="3"/>
  <c r="S425" i="3"/>
  <c r="R425" i="3"/>
  <c r="K1623" i="3"/>
  <c r="L1623" i="3" s="1"/>
  <c r="N2105" i="3"/>
  <c r="J2106" i="3" s="1"/>
  <c r="Q787" i="3"/>
  <c r="P787" i="3"/>
  <c r="M1505" i="3"/>
  <c r="S1262" i="3"/>
  <c r="R1262" i="3"/>
  <c r="O2105" i="3"/>
  <c r="N787" i="3"/>
  <c r="J788" i="3" s="1"/>
  <c r="S1622" i="3"/>
  <c r="R1622" i="3"/>
  <c r="Q906" i="3"/>
  <c r="P906" i="3"/>
  <c r="K1746" i="3"/>
  <c r="L1746" i="3"/>
  <c r="S2343" i="3"/>
  <c r="R2343" i="3"/>
  <c r="O906" i="3"/>
  <c r="S1384" i="3"/>
  <c r="R1384" i="3"/>
  <c r="T86" i="1"/>
  <c r="S86" i="1"/>
  <c r="O787" i="3"/>
  <c r="P87" i="1" l="1"/>
  <c r="K64" i="3"/>
  <c r="L64" i="3" s="1"/>
  <c r="M1623" i="3"/>
  <c r="M1385" i="3"/>
  <c r="M426" i="3"/>
  <c r="N306" i="3"/>
  <c r="J307" i="3" s="1"/>
  <c r="O306" i="3"/>
  <c r="M306" i="3"/>
  <c r="M907" i="3"/>
  <c r="O1263" i="3"/>
  <c r="N1263" i="3"/>
  <c r="J1264" i="3" s="1"/>
  <c r="M1263" i="3"/>
  <c r="L2106" i="3"/>
  <c r="K2106" i="3"/>
  <c r="S1144" i="3"/>
  <c r="R1144" i="3"/>
  <c r="S2105" i="3"/>
  <c r="R2105" i="3"/>
  <c r="Q63" i="3"/>
  <c r="P63" i="3"/>
  <c r="Q187" i="3"/>
  <c r="P187" i="3"/>
  <c r="O63" i="3"/>
  <c r="S305" i="3"/>
  <c r="R305" i="3"/>
  <c r="O2344" i="3"/>
  <c r="M2344" i="3"/>
  <c r="N187" i="3"/>
  <c r="J188" i="3" s="1"/>
  <c r="Q665" i="3"/>
  <c r="P665" i="3"/>
  <c r="Q2226" i="3"/>
  <c r="P2226" i="3"/>
  <c r="V86" i="1"/>
  <c r="U86" i="1"/>
  <c r="K1985" i="3"/>
  <c r="L1985" i="3" s="1"/>
  <c r="Q1026" i="3"/>
  <c r="P1026" i="3"/>
  <c r="O187" i="3"/>
  <c r="O665" i="3"/>
  <c r="O2226" i="3"/>
  <c r="S787" i="3"/>
  <c r="R787" i="3"/>
  <c r="S906" i="3"/>
  <c r="R906" i="3"/>
  <c r="Q1505" i="3"/>
  <c r="P1505" i="3"/>
  <c r="N1505" i="3"/>
  <c r="J1506" i="3" s="1"/>
  <c r="Q1865" i="3"/>
  <c r="P1865" i="3"/>
  <c r="N1026" i="3"/>
  <c r="J1027" i="3" s="1"/>
  <c r="Q2583" i="3"/>
  <c r="P2583" i="3"/>
  <c r="N665" i="3"/>
  <c r="J666" i="3" s="1"/>
  <c r="N2226" i="3"/>
  <c r="J2227" i="3" s="1"/>
  <c r="M1746" i="3"/>
  <c r="O1746" i="3" s="1"/>
  <c r="L2469" i="3"/>
  <c r="K2469" i="3"/>
  <c r="O1505" i="3"/>
  <c r="K1866" i="3"/>
  <c r="L1866" i="3" s="1"/>
  <c r="S1984" i="3"/>
  <c r="R1984" i="3"/>
  <c r="O1026" i="3"/>
  <c r="N2583" i="3"/>
  <c r="J2584" i="3" s="1"/>
  <c r="Q545" i="3"/>
  <c r="P545" i="3"/>
  <c r="K1145" i="3"/>
  <c r="L1145" i="3" s="1"/>
  <c r="K788" i="3"/>
  <c r="L788" i="3" s="1"/>
  <c r="O1865" i="3"/>
  <c r="Q2468" i="3"/>
  <c r="P2468" i="3"/>
  <c r="O2583" i="3"/>
  <c r="N545" i="3"/>
  <c r="J546" i="3" s="1"/>
  <c r="M788" i="3" l="1"/>
  <c r="M1866" i="3"/>
  <c r="N1985" i="3"/>
  <c r="J1986" i="3" s="1"/>
  <c r="O1985" i="3"/>
  <c r="M1985" i="3"/>
  <c r="M1145" i="3"/>
  <c r="O64" i="3"/>
  <c r="M64" i="3"/>
  <c r="Q1623" i="3"/>
  <c r="P1623" i="3"/>
  <c r="K2584" i="3"/>
  <c r="L2584" i="3" s="1"/>
  <c r="S2583" i="3"/>
  <c r="R2583" i="3"/>
  <c r="Q1263" i="3"/>
  <c r="P1263" i="3"/>
  <c r="K307" i="3"/>
  <c r="L307" i="3"/>
  <c r="N1623" i="3"/>
  <c r="J1624" i="3" s="1"/>
  <c r="S2226" i="3"/>
  <c r="R2226" i="3"/>
  <c r="K1264" i="3"/>
  <c r="L1264" i="3" s="1"/>
  <c r="Q426" i="3"/>
  <c r="P426" i="3"/>
  <c r="O1623" i="3"/>
  <c r="M2469" i="3"/>
  <c r="O426" i="3"/>
  <c r="S545" i="3"/>
  <c r="R545" i="3"/>
  <c r="S63" i="3"/>
  <c r="R63" i="3"/>
  <c r="S1026" i="3"/>
  <c r="R1026" i="3"/>
  <c r="S665" i="3"/>
  <c r="R665" i="3"/>
  <c r="Q907" i="3"/>
  <c r="P907" i="3"/>
  <c r="N426" i="3"/>
  <c r="J427" i="3" s="1"/>
  <c r="O2106" i="3"/>
  <c r="N2106" i="3"/>
  <c r="J2107" i="3" s="1"/>
  <c r="M2106" i="3"/>
  <c r="Q1746" i="3"/>
  <c r="P1746" i="3"/>
  <c r="S1865" i="3"/>
  <c r="R1865" i="3"/>
  <c r="N1746" i="3"/>
  <c r="J1747" i="3" s="1"/>
  <c r="L1506" i="3"/>
  <c r="K1506" i="3"/>
  <c r="K188" i="3"/>
  <c r="L188" i="3" s="1"/>
  <c r="N907" i="3"/>
  <c r="J908" i="3" s="1"/>
  <c r="Q1385" i="3"/>
  <c r="P1385" i="3"/>
  <c r="T87" i="1"/>
  <c r="S87" i="1"/>
  <c r="S2468" i="3"/>
  <c r="R2468" i="3"/>
  <c r="Q2344" i="3"/>
  <c r="P2344" i="3"/>
  <c r="S187" i="3"/>
  <c r="R187" i="3"/>
  <c r="O907" i="3"/>
  <c r="N1385" i="3"/>
  <c r="J1386" i="3" s="1"/>
  <c r="R87" i="1"/>
  <c r="K1027" i="3"/>
  <c r="L1027" i="3" s="1"/>
  <c r="K546" i="3"/>
  <c r="L546" i="3" s="1"/>
  <c r="K2227" i="3"/>
  <c r="L2227" i="3" s="1"/>
  <c r="K666" i="3"/>
  <c r="L666" i="3"/>
  <c r="S1505" i="3"/>
  <c r="R1505" i="3"/>
  <c r="N2344" i="3"/>
  <c r="J2345" i="3" s="1"/>
  <c r="Q306" i="3"/>
  <c r="P306" i="3"/>
  <c r="O1385" i="3"/>
  <c r="Q87" i="1"/>
  <c r="M88" i="1" s="1"/>
  <c r="M546" i="3" l="1"/>
  <c r="M188" i="3"/>
  <c r="O1027" i="3"/>
  <c r="N1027" i="3"/>
  <c r="J1028" i="3" s="1"/>
  <c r="M1027" i="3"/>
  <c r="M1264" i="3"/>
  <c r="N2584" i="3"/>
  <c r="J2585" i="3" s="1"/>
  <c r="M2584" i="3"/>
  <c r="O2227" i="3"/>
  <c r="M2227" i="3"/>
  <c r="V87" i="1"/>
  <c r="U87" i="1"/>
  <c r="K1747" i="3"/>
  <c r="L1747" i="3"/>
  <c r="S1263" i="3"/>
  <c r="R1263" i="3"/>
  <c r="Q64" i="3"/>
  <c r="P64" i="3"/>
  <c r="K1986" i="3"/>
  <c r="L1986" i="3" s="1"/>
  <c r="L2107" i="3"/>
  <c r="K2107" i="3"/>
  <c r="Q2469" i="3"/>
  <c r="P2469" i="3"/>
  <c r="Q1866" i="3"/>
  <c r="P1866" i="3"/>
  <c r="M1506" i="3"/>
  <c r="N1506" i="3" s="1"/>
  <c r="J1507" i="3" s="1"/>
  <c r="S1385" i="3"/>
  <c r="R1385" i="3"/>
  <c r="N2469" i="3"/>
  <c r="J2470" i="3" s="1"/>
  <c r="N64" i="3"/>
  <c r="J65" i="3" s="1"/>
  <c r="N1866" i="3"/>
  <c r="J1867" i="3" s="1"/>
  <c r="K2345" i="3"/>
  <c r="L2345" i="3" s="1"/>
  <c r="K908" i="3"/>
  <c r="L908" i="3" s="1"/>
  <c r="S907" i="3"/>
  <c r="R907" i="3"/>
  <c r="O2469" i="3"/>
  <c r="Q1145" i="3"/>
  <c r="P1145" i="3"/>
  <c r="O1866" i="3"/>
  <c r="N88" i="1"/>
  <c r="O88" i="1" s="1"/>
  <c r="M666" i="3"/>
  <c r="K1386" i="3"/>
  <c r="L1386" i="3" s="1"/>
  <c r="K1624" i="3"/>
  <c r="L1624" i="3" s="1"/>
  <c r="N1145" i="3"/>
  <c r="J1146" i="3" s="1"/>
  <c r="Q788" i="3"/>
  <c r="P788" i="3"/>
  <c r="S1623" i="3"/>
  <c r="R1623" i="3"/>
  <c r="S2344" i="3"/>
  <c r="R2344" i="3"/>
  <c r="S1746" i="3"/>
  <c r="R1746" i="3"/>
  <c r="O307" i="3"/>
  <c r="N307" i="3"/>
  <c r="J308" i="3" s="1"/>
  <c r="M307" i="3"/>
  <c r="O1145" i="3"/>
  <c r="N788" i="3"/>
  <c r="J789" i="3" s="1"/>
  <c r="K427" i="3"/>
  <c r="L427" i="3"/>
  <c r="S306" i="3"/>
  <c r="R306" i="3"/>
  <c r="Q2106" i="3"/>
  <c r="P2106" i="3"/>
  <c r="S426" i="3"/>
  <c r="R426" i="3"/>
  <c r="Q1985" i="3"/>
  <c r="P1985" i="3"/>
  <c r="O788" i="3"/>
  <c r="M2345" i="3" l="1"/>
  <c r="M1386" i="3"/>
  <c r="R88" i="1"/>
  <c r="Q88" i="1"/>
  <c r="M89" i="1" s="1"/>
  <c r="P88" i="1"/>
  <c r="M1624" i="3"/>
  <c r="M1986" i="3"/>
  <c r="L1507" i="3"/>
  <c r="K1507" i="3"/>
  <c r="M908" i="3"/>
  <c r="S1145" i="3"/>
  <c r="R1145" i="3"/>
  <c r="Q2584" i="3"/>
  <c r="P2584" i="3"/>
  <c r="M1747" i="3"/>
  <c r="K1867" i="3"/>
  <c r="L1867" i="3" s="1"/>
  <c r="K2585" i="3"/>
  <c r="L2585" i="3" s="1"/>
  <c r="Q188" i="3"/>
  <c r="P188" i="3"/>
  <c r="O2584" i="3"/>
  <c r="N188" i="3"/>
  <c r="J189" i="3" s="1"/>
  <c r="Q1506" i="3"/>
  <c r="P1506" i="3"/>
  <c r="Q666" i="3"/>
  <c r="P666" i="3"/>
  <c r="O666" i="3"/>
  <c r="S1866" i="3"/>
  <c r="R1866" i="3"/>
  <c r="S64" i="3"/>
  <c r="R64" i="3"/>
  <c r="Q1264" i="3"/>
  <c r="P1264" i="3"/>
  <c r="O188" i="3"/>
  <c r="K308" i="3"/>
  <c r="L308" i="3" s="1"/>
  <c r="M2107" i="3"/>
  <c r="O427" i="3"/>
  <c r="M427" i="3"/>
  <c r="K65" i="3"/>
  <c r="L65" i="3"/>
  <c r="K2470" i="3"/>
  <c r="L2470" i="3" s="1"/>
  <c r="K789" i="3"/>
  <c r="L789" i="3" s="1"/>
  <c r="K1146" i="3"/>
  <c r="L1146" i="3" s="1"/>
  <c r="N1264" i="3"/>
  <c r="J1265" i="3" s="1"/>
  <c r="Q546" i="3"/>
  <c r="P546" i="3"/>
  <c r="S1985" i="3"/>
  <c r="R1985" i="3"/>
  <c r="O1506" i="3"/>
  <c r="N666" i="3"/>
  <c r="J667" i="3" s="1"/>
  <c r="S2469" i="3"/>
  <c r="R2469" i="3"/>
  <c r="Q2227" i="3"/>
  <c r="P2227" i="3"/>
  <c r="O1264" i="3"/>
  <c r="O546" i="3"/>
  <c r="K1028" i="3"/>
  <c r="L1028" i="3" s="1"/>
  <c r="S788" i="3"/>
  <c r="R788" i="3"/>
  <c r="S2106" i="3"/>
  <c r="R2106" i="3"/>
  <c r="Q307" i="3"/>
  <c r="P307" i="3"/>
  <c r="N2227" i="3"/>
  <c r="J2228" i="3" s="1"/>
  <c r="Q1027" i="3"/>
  <c r="P1027" i="3"/>
  <c r="N546" i="3"/>
  <c r="J547" i="3" s="1"/>
  <c r="M1028" i="3" l="1"/>
  <c r="M2470" i="3"/>
  <c r="O1146" i="3"/>
  <c r="N1146" i="3"/>
  <c r="J1147" i="3" s="1"/>
  <c r="M1146" i="3"/>
  <c r="M1867" i="3"/>
  <c r="N308" i="3"/>
  <c r="J309" i="3" s="1"/>
  <c r="M308" i="3"/>
  <c r="O789" i="3"/>
  <c r="M789" i="3"/>
  <c r="M2585" i="3"/>
  <c r="S2584" i="3"/>
  <c r="R2584" i="3"/>
  <c r="Q2107" i="3"/>
  <c r="P2107" i="3"/>
  <c r="Q1986" i="3"/>
  <c r="P1986" i="3"/>
  <c r="S1264" i="3"/>
  <c r="R1264" i="3"/>
  <c r="O1986" i="3"/>
  <c r="Q1386" i="3"/>
  <c r="P1386" i="3"/>
  <c r="S1027" i="3"/>
  <c r="R1027" i="3"/>
  <c r="N1986" i="3"/>
  <c r="J1987" i="3" s="1"/>
  <c r="N1386" i="3"/>
  <c r="J1387" i="3" s="1"/>
  <c r="O2107" i="3"/>
  <c r="K189" i="3"/>
  <c r="L189" i="3" s="1"/>
  <c r="Q1747" i="3"/>
  <c r="P1747" i="3"/>
  <c r="Q908" i="3"/>
  <c r="P908" i="3"/>
  <c r="Q1624" i="3"/>
  <c r="P1624" i="3"/>
  <c r="O1386" i="3"/>
  <c r="N89" i="1"/>
  <c r="O89" i="1"/>
  <c r="S546" i="3"/>
  <c r="R546" i="3"/>
  <c r="K1265" i="3"/>
  <c r="L1265" i="3" s="1"/>
  <c r="N1747" i="3"/>
  <c r="J1748" i="3" s="1"/>
  <c r="N908" i="3"/>
  <c r="J909" i="3" s="1"/>
  <c r="N1624" i="3"/>
  <c r="J1625" i="3" s="1"/>
  <c r="Q2345" i="3"/>
  <c r="P2345" i="3"/>
  <c r="M1507" i="3"/>
  <c r="O1507" i="3" s="1"/>
  <c r="S2227" i="3"/>
  <c r="R2227" i="3"/>
  <c r="N2107" i="3"/>
  <c r="J2108" i="3" s="1"/>
  <c r="S1506" i="3"/>
  <c r="R1506" i="3"/>
  <c r="L2228" i="3"/>
  <c r="K2228" i="3"/>
  <c r="M65" i="3"/>
  <c r="O65" i="3" s="1"/>
  <c r="K667" i="3"/>
  <c r="L667" i="3"/>
  <c r="Q427" i="3"/>
  <c r="P427" i="3"/>
  <c r="O1747" i="3"/>
  <c r="O908" i="3"/>
  <c r="O1624" i="3"/>
  <c r="N2345" i="3"/>
  <c r="J2346" i="3" s="1"/>
  <c r="K547" i="3"/>
  <c r="L547" i="3"/>
  <c r="S666" i="3"/>
  <c r="R666" i="3"/>
  <c r="S307" i="3"/>
  <c r="R307" i="3"/>
  <c r="N427" i="3"/>
  <c r="J428" i="3" s="1"/>
  <c r="S188" i="3"/>
  <c r="R188" i="3"/>
  <c r="T88" i="1"/>
  <c r="S88" i="1"/>
  <c r="O2345" i="3"/>
  <c r="M1265" i="3" l="1"/>
  <c r="M189" i="3"/>
  <c r="N1507" i="3"/>
  <c r="J1508" i="3" s="1"/>
  <c r="S1624" i="3"/>
  <c r="R1624" i="3"/>
  <c r="K1387" i="3"/>
  <c r="L1387" i="3" s="1"/>
  <c r="Q308" i="3"/>
  <c r="P308" i="3"/>
  <c r="O547" i="3"/>
  <c r="N547" i="3"/>
  <c r="J548" i="3" s="1"/>
  <c r="M547" i="3"/>
  <c r="K1987" i="3"/>
  <c r="L1987" i="3" s="1"/>
  <c r="K309" i="3"/>
  <c r="L309" i="3" s="1"/>
  <c r="Q2470" i="3"/>
  <c r="P2470" i="3"/>
  <c r="O2228" i="3"/>
  <c r="M2228" i="3"/>
  <c r="S427" i="3"/>
  <c r="R427" i="3"/>
  <c r="S908" i="3"/>
  <c r="R908" i="3"/>
  <c r="Q2585" i="3"/>
  <c r="P2585" i="3"/>
  <c r="O308" i="3"/>
  <c r="O2470" i="3"/>
  <c r="Q1507" i="3"/>
  <c r="P1507" i="3"/>
  <c r="K2108" i="3"/>
  <c r="L2108" i="3" s="1"/>
  <c r="S2345" i="3"/>
  <c r="R2345" i="3"/>
  <c r="O2585" i="3"/>
  <c r="Q1867" i="3"/>
  <c r="P1867" i="3"/>
  <c r="N2470" i="3"/>
  <c r="J2471" i="3" s="1"/>
  <c r="N65" i="3"/>
  <c r="J66" i="3" s="1"/>
  <c r="K1625" i="3"/>
  <c r="L1625" i="3" s="1"/>
  <c r="P89" i="1"/>
  <c r="Q89" i="1"/>
  <c r="M90" i="1" s="1"/>
  <c r="S1747" i="3"/>
  <c r="R1747" i="3"/>
  <c r="S1986" i="3"/>
  <c r="R1986" i="3"/>
  <c r="N2585" i="3"/>
  <c r="J2586" i="3" s="1"/>
  <c r="N1867" i="3"/>
  <c r="J1868" i="3" s="1"/>
  <c r="Q1028" i="3"/>
  <c r="P1028" i="3"/>
  <c r="L428" i="3"/>
  <c r="K428" i="3"/>
  <c r="K2346" i="3"/>
  <c r="L2346" i="3" s="1"/>
  <c r="K909" i="3"/>
  <c r="L909" i="3" s="1"/>
  <c r="Q789" i="3"/>
  <c r="P789" i="3"/>
  <c r="O1867" i="3"/>
  <c r="N1028" i="3"/>
  <c r="J1029" i="3" s="1"/>
  <c r="K1147" i="3"/>
  <c r="L1147" i="3" s="1"/>
  <c r="M667" i="3"/>
  <c r="N667" i="3" s="1"/>
  <c r="J668" i="3" s="1"/>
  <c r="Q65" i="3"/>
  <c r="P65" i="3"/>
  <c r="V88" i="1"/>
  <c r="U88" i="1"/>
  <c r="K1748" i="3"/>
  <c r="L1748" i="3" s="1"/>
  <c r="S1386" i="3"/>
  <c r="R1386" i="3"/>
  <c r="S2107" i="3"/>
  <c r="R2107" i="3"/>
  <c r="N789" i="3"/>
  <c r="J790" i="3" s="1"/>
  <c r="Q1146" i="3"/>
  <c r="P1146" i="3"/>
  <c r="O1028" i="3"/>
  <c r="K668" i="3" l="1"/>
  <c r="L668" i="3" s="1"/>
  <c r="M1625" i="3"/>
  <c r="M1387" i="3"/>
  <c r="M309" i="3"/>
  <c r="M909" i="3"/>
  <c r="O1147" i="3"/>
  <c r="N1147" i="3"/>
  <c r="J1148" i="3" s="1"/>
  <c r="M1147" i="3"/>
  <c r="M1748" i="3"/>
  <c r="N2108" i="3"/>
  <c r="J2109" i="3" s="1"/>
  <c r="M2108" i="3"/>
  <c r="O1987" i="3"/>
  <c r="M1987" i="3"/>
  <c r="M2346" i="3"/>
  <c r="S65" i="3"/>
  <c r="R65" i="3"/>
  <c r="K2471" i="3"/>
  <c r="L2471" i="3"/>
  <c r="K1508" i="3"/>
  <c r="L1508" i="3" s="1"/>
  <c r="N428" i="3"/>
  <c r="J429" i="3" s="1"/>
  <c r="M428" i="3"/>
  <c r="S789" i="3"/>
  <c r="R789" i="3"/>
  <c r="S2470" i="3"/>
  <c r="R2470" i="3"/>
  <c r="Q189" i="3"/>
  <c r="P189" i="3"/>
  <c r="L548" i="3"/>
  <c r="K548" i="3"/>
  <c r="K1868" i="3"/>
  <c r="L1868" i="3" s="1"/>
  <c r="S308" i="3"/>
  <c r="R308" i="3"/>
  <c r="N189" i="3"/>
  <c r="J190" i="3" s="1"/>
  <c r="L790" i="3"/>
  <c r="K790" i="3"/>
  <c r="S1507" i="3"/>
  <c r="R1507" i="3"/>
  <c r="O667" i="3"/>
  <c r="K2586" i="3"/>
  <c r="L2586" i="3" s="1"/>
  <c r="T89" i="1"/>
  <c r="S89" i="1"/>
  <c r="O189" i="3"/>
  <c r="S1028" i="3"/>
  <c r="R1028" i="3"/>
  <c r="S1867" i="3"/>
  <c r="R1867" i="3"/>
  <c r="R89" i="1"/>
  <c r="Q1265" i="3"/>
  <c r="P1265" i="3"/>
  <c r="K66" i="3"/>
  <c r="L66" i="3" s="1"/>
  <c r="S1146" i="3"/>
  <c r="R1146" i="3"/>
  <c r="Q667" i="3"/>
  <c r="P667" i="3"/>
  <c r="N90" i="1"/>
  <c r="O90" i="1" s="1"/>
  <c r="Q2228" i="3"/>
  <c r="P2228" i="3"/>
  <c r="N1265" i="3"/>
  <c r="J1266" i="3" s="1"/>
  <c r="K1029" i="3"/>
  <c r="L1029" i="3" s="1"/>
  <c r="S2585" i="3"/>
  <c r="R2585" i="3"/>
  <c r="N2228" i="3"/>
  <c r="J2229" i="3" s="1"/>
  <c r="Q547" i="3"/>
  <c r="P547" i="3"/>
  <c r="O1265" i="3"/>
  <c r="P90" i="1" l="1"/>
  <c r="M2586" i="3"/>
  <c r="O1868" i="3"/>
  <c r="N1868" i="3"/>
  <c r="J1869" i="3" s="1"/>
  <c r="M1868" i="3"/>
  <c r="M1029" i="3"/>
  <c r="O1508" i="3"/>
  <c r="M1508" i="3"/>
  <c r="O66" i="3"/>
  <c r="M66" i="3"/>
  <c r="M668" i="3"/>
  <c r="V89" i="1"/>
  <c r="U89" i="1"/>
  <c r="Q1387" i="3"/>
  <c r="P1387" i="3"/>
  <c r="K190" i="3"/>
  <c r="L190" i="3" s="1"/>
  <c r="Q428" i="3"/>
  <c r="P428" i="3"/>
  <c r="Q2108" i="3"/>
  <c r="P2108" i="3"/>
  <c r="N1387" i="3"/>
  <c r="J1388" i="3" s="1"/>
  <c r="K429" i="3"/>
  <c r="L429" i="3" s="1"/>
  <c r="Q909" i="3"/>
  <c r="P909" i="3"/>
  <c r="O1387" i="3"/>
  <c r="O428" i="3"/>
  <c r="Q2346" i="3"/>
  <c r="P2346" i="3"/>
  <c r="O2108" i="3"/>
  <c r="N909" i="3"/>
  <c r="J910" i="3" s="1"/>
  <c r="Q1625" i="3"/>
  <c r="P1625" i="3"/>
  <c r="O548" i="3"/>
  <c r="M548" i="3"/>
  <c r="N548" i="3" s="1"/>
  <c r="J549" i="3" s="1"/>
  <c r="K2229" i="3"/>
  <c r="L2229" i="3" s="1"/>
  <c r="N2346" i="3"/>
  <c r="J2347" i="3" s="1"/>
  <c r="Q1748" i="3"/>
  <c r="P1748" i="3"/>
  <c r="O909" i="3"/>
  <c r="N1625" i="3"/>
  <c r="J1626" i="3" s="1"/>
  <c r="L1148" i="3"/>
  <c r="K1148" i="3"/>
  <c r="S2228" i="3"/>
  <c r="R2228" i="3"/>
  <c r="S1265" i="3"/>
  <c r="R1265" i="3"/>
  <c r="O2346" i="3"/>
  <c r="N1748" i="3"/>
  <c r="J1749" i="3" s="1"/>
  <c r="Q309" i="3"/>
  <c r="P309" i="3"/>
  <c r="O1625" i="3"/>
  <c r="L1266" i="3"/>
  <c r="K1266" i="3"/>
  <c r="O790" i="3"/>
  <c r="N790" i="3"/>
  <c r="J791" i="3" s="1"/>
  <c r="M790" i="3"/>
  <c r="S547" i="3"/>
  <c r="R547" i="3"/>
  <c r="S189" i="3"/>
  <c r="R189" i="3"/>
  <c r="O2471" i="3"/>
  <c r="M2471" i="3"/>
  <c r="Q1987" i="3"/>
  <c r="P1987" i="3"/>
  <c r="O1748" i="3"/>
  <c r="N309" i="3"/>
  <c r="J310" i="3" s="1"/>
  <c r="L2109" i="3"/>
  <c r="K2109" i="3"/>
  <c r="S667" i="3"/>
  <c r="R667" i="3"/>
  <c r="N1987" i="3"/>
  <c r="J1988" i="3" s="1"/>
  <c r="Q1147" i="3"/>
  <c r="P1147" i="3"/>
  <c r="O309" i="3"/>
  <c r="M429" i="3" l="1"/>
  <c r="M190" i="3"/>
  <c r="O2229" i="3"/>
  <c r="N2229" i="3"/>
  <c r="J2230" i="3" s="1"/>
  <c r="M2229" i="3"/>
  <c r="K549" i="3"/>
  <c r="L549" i="3"/>
  <c r="S2108" i="3"/>
  <c r="R2108" i="3"/>
  <c r="K310" i="3"/>
  <c r="L310" i="3" s="1"/>
  <c r="Q1508" i="3"/>
  <c r="P1508" i="3"/>
  <c r="K1626" i="3"/>
  <c r="L1626" i="3" s="1"/>
  <c r="N1266" i="3"/>
  <c r="J1267" i="3" s="1"/>
  <c r="O1266" i="3"/>
  <c r="M1266" i="3"/>
  <c r="S428" i="3"/>
  <c r="R428" i="3"/>
  <c r="Q2586" i="3"/>
  <c r="P2586" i="3"/>
  <c r="S909" i="3"/>
  <c r="R909" i="3"/>
  <c r="Q668" i="3"/>
  <c r="P668" i="3"/>
  <c r="N1508" i="3"/>
  <c r="J1509" i="3" s="1"/>
  <c r="N2586" i="3"/>
  <c r="J2587" i="3" s="1"/>
  <c r="K1988" i="3"/>
  <c r="L1988" i="3" s="1"/>
  <c r="L2347" i="3"/>
  <c r="K2347" i="3"/>
  <c r="L910" i="3"/>
  <c r="K910" i="3"/>
  <c r="N668" i="3"/>
  <c r="J669" i="3" s="1"/>
  <c r="Q1029" i="3"/>
  <c r="P1029" i="3"/>
  <c r="O2586" i="3"/>
  <c r="S1147" i="3"/>
  <c r="R1147" i="3"/>
  <c r="S1625" i="3"/>
  <c r="R1625" i="3"/>
  <c r="S309" i="3"/>
  <c r="R309" i="3"/>
  <c r="O668" i="3"/>
  <c r="N1029" i="3"/>
  <c r="J1030" i="3" s="1"/>
  <c r="T90" i="1"/>
  <c r="S90" i="1"/>
  <c r="M2109" i="3"/>
  <c r="L1869" i="3"/>
  <c r="K1869" i="3"/>
  <c r="S1748" i="3"/>
  <c r="R1748" i="3"/>
  <c r="S1987" i="3"/>
  <c r="R1987" i="3"/>
  <c r="Q2471" i="3"/>
  <c r="P2471" i="3"/>
  <c r="N2471" i="3"/>
  <c r="J2472" i="3" s="1"/>
  <c r="Q790" i="3"/>
  <c r="P790" i="3"/>
  <c r="K1749" i="3"/>
  <c r="L1749" i="3" s="1"/>
  <c r="K1388" i="3"/>
  <c r="L1388" i="3" s="1"/>
  <c r="S1387" i="3"/>
  <c r="R1387" i="3"/>
  <c r="Q66" i="3"/>
  <c r="P66" i="3"/>
  <c r="O1029" i="3"/>
  <c r="Q90" i="1"/>
  <c r="M91" i="1" s="1"/>
  <c r="K791" i="3"/>
  <c r="L791" i="3" s="1"/>
  <c r="O1148" i="3"/>
  <c r="M1148" i="3"/>
  <c r="Q548" i="3"/>
  <c r="P548" i="3"/>
  <c r="S2346" i="3"/>
  <c r="R2346" i="3"/>
  <c r="N66" i="3"/>
  <c r="J67" i="3" s="1"/>
  <c r="Q1868" i="3"/>
  <c r="P1868" i="3"/>
  <c r="R90" i="1"/>
  <c r="M791" i="3" l="1"/>
  <c r="M1626" i="3"/>
  <c r="O1388" i="3"/>
  <c r="N1388" i="3"/>
  <c r="J1389" i="3" s="1"/>
  <c r="M1388" i="3"/>
  <c r="M1988" i="3"/>
  <c r="O1749" i="3"/>
  <c r="M1749" i="3"/>
  <c r="O310" i="3"/>
  <c r="M310" i="3"/>
  <c r="K2472" i="3"/>
  <c r="L2472" i="3" s="1"/>
  <c r="N910" i="3"/>
  <c r="J911" i="3" s="1"/>
  <c r="M910" i="3"/>
  <c r="Q1266" i="3"/>
  <c r="P1266" i="3"/>
  <c r="S668" i="3"/>
  <c r="R668" i="3"/>
  <c r="N1869" i="3"/>
  <c r="J1870" i="3" s="1"/>
  <c r="M1869" i="3"/>
  <c r="N2347" i="3"/>
  <c r="J2348" i="3" s="1"/>
  <c r="M2347" i="3"/>
  <c r="Q190" i="3"/>
  <c r="P190" i="3"/>
  <c r="K2230" i="3"/>
  <c r="L2230" i="3" s="1"/>
  <c r="K1267" i="3"/>
  <c r="L1267" i="3"/>
  <c r="N190" i="3"/>
  <c r="J191" i="3" s="1"/>
  <c r="N91" i="1"/>
  <c r="O91" i="1" s="1"/>
  <c r="Q2109" i="3"/>
  <c r="P2109" i="3"/>
  <c r="N2109" i="3"/>
  <c r="J2110" i="3" s="1"/>
  <c r="O190" i="3"/>
  <c r="L67" i="3"/>
  <c r="K67" i="3"/>
  <c r="S548" i="3"/>
  <c r="R548" i="3"/>
  <c r="O2109" i="3"/>
  <c r="S1029" i="3"/>
  <c r="R1029" i="3"/>
  <c r="K2587" i="3"/>
  <c r="L2587" i="3" s="1"/>
  <c r="S2586" i="3"/>
  <c r="R2586" i="3"/>
  <c r="M549" i="3"/>
  <c r="O549" i="3" s="1"/>
  <c r="Q429" i="3"/>
  <c r="P429" i="3"/>
  <c r="S66" i="3"/>
  <c r="R66" i="3"/>
  <c r="K669" i="3"/>
  <c r="L669" i="3" s="1"/>
  <c r="K1509" i="3"/>
  <c r="L1509" i="3" s="1"/>
  <c r="N429" i="3"/>
  <c r="J430" i="3" s="1"/>
  <c r="K1030" i="3"/>
  <c r="L1030" i="3" s="1"/>
  <c r="S2471" i="3"/>
  <c r="R2471" i="3"/>
  <c r="Q1148" i="3"/>
  <c r="P1148" i="3"/>
  <c r="S1868" i="3"/>
  <c r="R1868" i="3"/>
  <c r="N1148" i="3"/>
  <c r="J1149" i="3" s="1"/>
  <c r="S790" i="3"/>
  <c r="R790" i="3"/>
  <c r="V90" i="1"/>
  <c r="U90" i="1"/>
  <c r="S1508" i="3"/>
  <c r="R1508" i="3"/>
  <c r="Q2229" i="3"/>
  <c r="P2229" i="3"/>
  <c r="O429" i="3"/>
  <c r="M2587" i="3" l="1"/>
  <c r="M669" i="3"/>
  <c r="N1030" i="3"/>
  <c r="J1031" i="3" s="1"/>
  <c r="O1030" i="3"/>
  <c r="M1030" i="3"/>
  <c r="M2230" i="3"/>
  <c r="P91" i="1"/>
  <c r="R91" i="1" s="1"/>
  <c r="N2472" i="3"/>
  <c r="J2473" i="3" s="1"/>
  <c r="M2472" i="3"/>
  <c r="M1509" i="3"/>
  <c r="O1509" i="3" s="1"/>
  <c r="S2229" i="3"/>
  <c r="R2229" i="3"/>
  <c r="N549" i="3"/>
  <c r="J550" i="3" s="1"/>
  <c r="Q1869" i="3"/>
  <c r="P1869" i="3"/>
  <c r="Q910" i="3"/>
  <c r="P910" i="3"/>
  <c r="Q1749" i="3"/>
  <c r="P1749" i="3"/>
  <c r="K2348" i="3"/>
  <c r="L2348" i="3" s="1"/>
  <c r="K2110" i="3"/>
  <c r="L2110" i="3" s="1"/>
  <c r="K1870" i="3"/>
  <c r="L1870" i="3" s="1"/>
  <c r="K911" i="3"/>
  <c r="L911" i="3" s="1"/>
  <c r="Q1626" i="3"/>
  <c r="P1626" i="3"/>
  <c r="K1149" i="3"/>
  <c r="L1149" i="3" s="1"/>
  <c r="O1869" i="3"/>
  <c r="O910" i="3"/>
  <c r="N1749" i="3"/>
  <c r="J1750" i="3" s="1"/>
  <c r="N1626" i="3"/>
  <c r="J1627" i="3" s="1"/>
  <c r="S1266" i="3"/>
  <c r="R1266" i="3"/>
  <c r="S2109" i="3"/>
  <c r="R2109" i="3"/>
  <c r="Q1988" i="3"/>
  <c r="P1988" i="3"/>
  <c r="O1626" i="3"/>
  <c r="S1148" i="3"/>
  <c r="R1148" i="3"/>
  <c r="M67" i="3"/>
  <c r="O67" i="3" s="1"/>
  <c r="S190" i="3"/>
  <c r="R190" i="3"/>
  <c r="N1988" i="3"/>
  <c r="J1989" i="3" s="1"/>
  <c r="Q791" i="3"/>
  <c r="P791" i="3"/>
  <c r="K1389" i="3"/>
  <c r="L1389" i="3" s="1"/>
  <c r="Q2347" i="3"/>
  <c r="P2347" i="3"/>
  <c r="Q310" i="3"/>
  <c r="P310" i="3"/>
  <c r="O1988" i="3"/>
  <c r="N791" i="3"/>
  <c r="J792" i="3" s="1"/>
  <c r="Q549" i="3"/>
  <c r="P549" i="3"/>
  <c r="N1267" i="3"/>
  <c r="J1268" i="3" s="1"/>
  <c r="O1267" i="3"/>
  <c r="M1267" i="3"/>
  <c r="K430" i="3"/>
  <c r="L430" i="3" s="1"/>
  <c r="S429" i="3"/>
  <c r="R429" i="3"/>
  <c r="K191" i="3"/>
  <c r="L191" i="3" s="1"/>
  <c r="O2347" i="3"/>
  <c r="N310" i="3"/>
  <c r="J311" i="3" s="1"/>
  <c r="Q1388" i="3"/>
  <c r="P1388" i="3"/>
  <c r="O791" i="3"/>
  <c r="M1389" i="3" l="1"/>
  <c r="M430" i="3"/>
  <c r="O911" i="3"/>
  <c r="N911" i="3"/>
  <c r="J912" i="3" s="1"/>
  <c r="M911" i="3"/>
  <c r="M1870" i="3"/>
  <c r="O191" i="3"/>
  <c r="M191" i="3"/>
  <c r="O2110" i="3"/>
  <c r="M2110" i="3"/>
  <c r="M2348" i="3"/>
  <c r="M1149" i="3"/>
  <c r="O1149" i="3" s="1"/>
  <c r="Q91" i="1"/>
  <c r="M92" i="1" s="1"/>
  <c r="K1031" i="3"/>
  <c r="L1031" i="3" s="1"/>
  <c r="K2473" i="3"/>
  <c r="L2473" i="3"/>
  <c r="S1749" i="3"/>
  <c r="R1749" i="3"/>
  <c r="Q669" i="3"/>
  <c r="P669" i="3"/>
  <c r="K1627" i="3"/>
  <c r="L1627" i="3" s="1"/>
  <c r="N67" i="3"/>
  <c r="J68" i="3" s="1"/>
  <c r="T91" i="1"/>
  <c r="S91" i="1"/>
  <c r="N669" i="3"/>
  <c r="J670" i="3" s="1"/>
  <c r="S2347" i="3"/>
  <c r="R2347" i="3"/>
  <c r="K792" i="3"/>
  <c r="L792" i="3" s="1"/>
  <c r="S910" i="3"/>
  <c r="R910" i="3"/>
  <c r="N1509" i="3"/>
  <c r="J1510" i="3" s="1"/>
  <c r="Q2230" i="3"/>
  <c r="P2230" i="3"/>
  <c r="O669" i="3"/>
  <c r="S1626" i="3"/>
  <c r="R1626" i="3"/>
  <c r="K1268" i="3"/>
  <c r="L1268" i="3" s="1"/>
  <c r="K1750" i="3"/>
  <c r="L1750" i="3" s="1"/>
  <c r="S1388" i="3"/>
  <c r="R1388" i="3"/>
  <c r="S791" i="3"/>
  <c r="R791" i="3"/>
  <c r="N2230" i="3"/>
  <c r="J2231" i="3" s="1"/>
  <c r="Q2587" i="3"/>
  <c r="P2587" i="3"/>
  <c r="Q67" i="3"/>
  <c r="P67" i="3"/>
  <c r="K311" i="3"/>
  <c r="L311" i="3" s="1"/>
  <c r="S1869" i="3"/>
  <c r="R1869" i="3"/>
  <c r="Q2472" i="3"/>
  <c r="P2472" i="3"/>
  <c r="O2230" i="3"/>
  <c r="O2587" i="3"/>
  <c r="S1988" i="3"/>
  <c r="R1988" i="3"/>
  <c r="S549" i="3"/>
  <c r="R549" i="3"/>
  <c r="Q1509" i="3"/>
  <c r="P1509" i="3"/>
  <c r="K1989" i="3"/>
  <c r="L1989" i="3" s="1"/>
  <c r="Q1267" i="3"/>
  <c r="P1267" i="3"/>
  <c r="S310" i="3"/>
  <c r="R310" i="3"/>
  <c r="K550" i="3"/>
  <c r="L550" i="3" s="1"/>
  <c r="O2472" i="3"/>
  <c r="Q1030" i="3"/>
  <c r="P1030" i="3"/>
  <c r="N2587" i="3"/>
  <c r="J2588" i="3" s="1"/>
  <c r="M1031" i="3" l="1"/>
  <c r="M1989" i="3"/>
  <c r="O311" i="3"/>
  <c r="N311" i="3"/>
  <c r="J312" i="3" s="1"/>
  <c r="M311" i="3"/>
  <c r="M1750" i="3"/>
  <c r="N1268" i="3"/>
  <c r="J1269" i="3" s="1"/>
  <c r="M1268" i="3"/>
  <c r="N1627" i="3"/>
  <c r="J1628" i="3" s="1"/>
  <c r="M1627" i="3"/>
  <c r="M792" i="3"/>
  <c r="M550" i="3"/>
  <c r="O550" i="3" s="1"/>
  <c r="N1149" i="3"/>
  <c r="J1150" i="3" s="1"/>
  <c r="Q191" i="3"/>
  <c r="P191" i="3"/>
  <c r="V91" i="1"/>
  <c r="U91" i="1"/>
  <c r="Q430" i="3"/>
  <c r="P430" i="3"/>
  <c r="K670" i="3"/>
  <c r="L670" i="3" s="1"/>
  <c r="K68" i="3"/>
  <c r="L68" i="3" s="1"/>
  <c r="O2473" i="3"/>
  <c r="N2473" i="3"/>
  <c r="J2474" i="3" s="1"/>
  <c r="M2473" i="3"/>
  <c r="Q2348" i="3"/>
  <c r="P2348" i="3"/>
  <c r="N191" i="3"/>
  <c r="J192" i="3" s="1"/>
  <c r="N430" i="3"/>
  <c r="J431" i="3" s="1"/>
  <c r="S2472" i="3"/>
  <c r="R2472" i="3"/>
  <c r="N2348" i="3"/>
  <c r="J2349" i="3" s="1"/>
  <c r="Q1870" i="3"/>
  <c r="P1870" i="3"/>
  <c r="O430" i="3"/>
  <c r="K2588" i="3"/>
  <c r="L2588" i="3"/>
  <c r="S2587" i="3"/>
  <c r="R2587" i="3"/>
  <c r="O2348" i="3"/>
  <c r="O1870" i="3"/>
  <c r="Q1389" i="3"/>
  <c r="P1389" i="3"/>
  <c r="Q1149" i="3"/>
  <c r="P1149" i="3"/>
  <c r="S67" i="3"/>
  <c r="R67" i="3"/>
  <c r="S1267" i="3"/>
  <c r="R1267" i="3"/>
  <c r="K2231" i="3"/>
  <c r="L2231" i="3" s="1"/>
  <c r="S2230" i="3"/>
  <c r="R2230" i="3"/>
  <c r="Q2110" i="3"/>
  <c r="P2110" i="3"/>
  <c r="N1870" i="3"/>
  <c r="J1871" i="3" s="1"/>
  <c r="N1389" i="3"/>
  <c r="J1390" i="3" s="1"/>
  <c r="K912" i="3"/>
  <c r="L912" i="3" s="1"/>
  <c r="S1509" i="3"/>
  <c r="R1509" i="3"/>
  <c r="S1030" i="3"/>
  <c r="R1030" i="3"/>
  <c r="K1510" i="3"/>
  <c r="L1510" i="3" s="1"/>
  <c r="S669" i="3"/>
  <c r="R669" i="3"/>
  <c r="N92" i="1"/>
  <c r="O92" i="1"/>
  <c r="N2110" i="3"/>
  <c r="J2111" i="3" s="1"/>
  <c r="Q911" i="3"/>
  <c r="P911" i="3"/>
  <c r="O1389" i="3"/>
  <c r="M912" i="3" l="1"/>
  <c r="M1510" i="3"/>
  <c r="O68" i="3"/>
  <c r="N68" i="3"/>
  <c r="J69" i="3" s="1"/>
  <c r="M68" i="3"/>
  <c r="M670" i="3"/>
  <c r="N2231" i="3"/>
  <c r="J2232" i="3" s="1"/>
  <c r="M2231" i="3"/>
  <c r="S2348" i="3"/>
  <c r="R2348" i="3"/>
  <c r="K2349" i="3"/>
  <c r="L2349" i="3" s="1"/>
  <c r="Q2473" i="3"/>
  <c r="P2473" i="3"/>
  <c r="S430" i="3"/>
  <c r="R430" i="3"/>
  <c r="N550" i="3"/>
  <c r="J551" i="3" s="1"/>
  <c r="Q1268" i="3"/>
  <c r="P1268" i="3"/>
  <c r="K1269" i="3"/>
  <c r="L1269" i="3"/>
  <c r="Q1989" i="3"/>
  <c r="P1989" i="3"/>
  <c r="S911" i="3"/>
  <c r="R911" i="3"/>
  <c r="Q792" i="3"/>
  <c r="P792" i="3"/>
  <c r="O1268" i="3"/>
  <c r="N1989" i="3"/>
  <c r="J1990" i="3" s="1"/>
  <c r="S1149" i="3"/>
  <c r="R1149" i="3"/>
  <c r="N792" i="3"/>
  <c r="J793" i="3" s="1"/>
  <c r="Q1750" i="3"/>
  <c r="P1750" i="3"/>
  <c r="O1989" i="3"/>
  <c r="S1870" i="3"/>
  <c r="R1870" i="3"/>
  <c r="Q550" i="3"/>
  <c r="P550" i="3"/>
  <c r="K2111" i="3"/>
  <c r="L2111" i="3" s="1"/>
  <c r="K1390" i="3"/>
  <c r="L1390" i="3" s="1"/>
  <c r="L431" i="3"/>
  <c r="K431" i="3"/>
  <c r="O792" i="3"/>
  <c r="N1750" i="3"/>
  <c r="J1751" i="3" s="1"/>
  <c r="Q1031" i="3"/>
  <c r="P1031" i="3"/>
  <c r="K312" i="3"/>
  <c r="L312" i="3" s="1"/>
  <c r="L2474" i="3"/>
  <c r="K2474" i="3"/>
  <c r="P92" i="1"/>
  <c r="K1871" i="3"/>
  <c r="L1871" i="3"/>
  <c r="S1389" i="3"/>
  <c r="R1389" i="3"/>
  <c r="K192" i="3"/>
  <c r="L192" i="3"/>
  <c r="S191" i="3"/>
  <c r="R191" i="3"/>
  <c r="Q1627" i="3"/>
  <c r="P1627" i="3"/>
  <c r="O1750" i="3"/>
  <c r="O1031" i="3"/>
  <c r="K1628" i="3"/>
  <c r="L1628" i="3"/>
  <c r="M2588" i="3"/>
  <c r="S2110" i="3"/>
  <c r="R2110" i="3"/>
  <c r="K1150" i="3"/>
  <c r="L1150" i="3" s="1"/>
  <c r="O1627" i="3"/>
  <c r="Q311" i="3"/>
  <c r="P311" i="3"/>
  <c r="N1031" i="3"/>
  <c r="J1032" i="3" s="1"/>
  <c r="M1390" i="3" l="1"/>
  <c r="M312" i="3"/>
  <c r="N2111" i="3"/>
  <c r="J2112" i="3" s="1"/>
  <c r="O2111" i="3"/>
  <c r="M2111" i="3"/>
  <c r="M1150" i="3"/>
  <c r="M2349" i="3"/>
  <c r="K1990" i="3"/>
  <c r="L1990" i="3" s="1"/>
  <c r="S1989" i="3"/>
  <c r="R1989" i="3"/>
  <c r="Q2231" i="3"/>
  <c r="P2231" i="3"/>
  <c r="K1032" i="3"/>
  <c r="L1032" i="3"/>
  <c r="M2474" i="3"/>
  <c r="M1871" i="3"/>
  <c r="N1269" i="3"/>
  <c r="J1270" i="3" s="1"/>
  <c r="O1269" i="3"/>
  <c r="M1269" i="3"/>
  <c r="K2232" i="3"/>
  <c r="L2232" i="3" s="1"/>
  <c r="Q1510" i="3"/>
  <c r="P1510" i="3"/>
  <c r="Q2588" i="3"/>
  <c r="P2588" i="3"/>
  <c r="O2588" i="3"/>
  <c r="S2473" i="3"/>
  <c r="R2473" i="3"/>
  <c r="O2231" i="3"/>
  <c r="O1510" i="3"/>
  <c r="K69" i="3"/>
  <c r="L69" i="3" s="1"/>
  <c r="S311" i="3"/>
  <c r="R311" i="3"/>
  <c r="T92" i="1"/>
  <c r="S92" i="1"/>
  <c r="S1031" i="3"/>
  <c r="R1031" i="3"/>
  <c r="S1750" i="3"/>
  <c r="R1750" i="3"/>
  <c r="S792" i="3"/>
  <c r="R792" i="3"/>
  <c r="Q670" i="3"/>
  <c r="P670" i="3"/>
  <c r="N1510" i="3"/>
  <c r="J1511" i="3" s="1"/>
  <c r="M1628" i="3"/>
  <c r="M192" i="3"/>
  <c r="R92" i="1"/>
  <c r="L1751" i="3"/>
  <c r="K1751" i="3"/>
  <c r="K793" i="3"/>
  <c r="L793" i="3" s="1"/>
  <c r="S1268" i="3"/>
  <c r="R1268" i="3"/>
  <c r="N670" i="3"/>
  <c r="J671" i="3" s="1"/>
  <c r="Q912" i="3"/>
  <c r="P912" i="3"/>
  <c r="N2588" i="3"/>
  <c r="J2589" i="3" s="1"/>
  <c r="S550" i="3"/>
  <c r="R550" i="3"/>
  <c r="K551" i="3"/>
  <c r="L551" i="3" s="1"/>
  <c r="O670" i="3"/>
  <c r="N912" i="3"/>
  <c r="J913" i="3" s="1"/>
  <c r="M431" i="3"/>
  <c r="S1627" i="3"/>
  <c r="R1627" i="3"/>
  <c r="Q92" i="1"/>
  <c r="M93" i="1" s="1"/>
  <c r="Q68" i="3"/>
  <c r="P68" i="3"/>
  <c r="O912" i="3"/>
  <c r="M1990" i="3" l="1"/>
  <c r="M69" i="3"/>
  <c r="O2232" i="3"/>
  <c r="N2232" i="3"/>
  <c r="J2233" i="3" s="1"/>
  <c r="M2232" i="3"/>
  <c r="M551" i="3"/>
  <c r="O793" i="3"/>
  <c r="M793" i="3"/>
  <c r="S912" i="3"/>
  <c r="R912" i="3"/>
  <c r="K1270" i="3"/>
  <c r="L1270" i="3"/>
  <c r="Q2349" i="3"/>
  <c r="P2349" i="3"/>
  <c r="K2112" i="3"/>
  <c r="L2112" i="3"/>
  <c r="Q192" i="3"/>
  <c r="P192" i="3"/>
  <c r="S2588" i="3"/>
  <c r="R2588" i="3"/>
  <c r="Q1871" i="3"/>
  <c r="P1871" i="3"/>
  <c r="N2349" i="3"/>
  <c r="J2350" i="3" s="1"/>
  <c r="Q312" i="3"/>
  <c r="P312" i="3"/>
  <c r="M1751" i="3"/>
  <c r="N1751" i="3" s="1"/>
  <c r="J1752" i="3" s="1"/>
  <c r="O1871" i="3"/>
  <c r="S2231" i="3"/>
  <c r="R2231" i="3"/>
  <c r="O2349" i="3"/>
  <c r="O312" i="3"/>
  <c r="K1511" i="3"/>
  <c r="L1511" i="3" s="1"/>
  <c r="Q431" i="3"/>
  <c r="P431" i="3"/>
  <c r="S1510" i="3"/>
  <c r="R1510" i="3"/>
  <c r="N1871" i="3"/>
  <c r="J1872" i="3" s="1"/>
  <c r="Q1150" i="3"/>
  <c r="P1150" i="3"/>
  <c r="N312" i="3"/>
  <c r="J313" i="3" s="1"/>
  <c r="K671" i="3"/>
  <c r="L671" i="3" s="1"/>
  <c r="O192" i="3"/>
  <c r="N192" i="3"/>
  <c r="J193" i="3" s="1"/>
  <c r="N431" i="3"/>
  <c r="J432" i="3" s="1"/>
  <c r="V92" i="1"/>
  <c r="U92" i="1"/>
  <c r="Q2474" i="3"/>
  <c r="P2474" i="3"/>
  <c r="O1150" i="3"/>
  <c r="Q1390" i="3"/>
  <c r="P1390" i="3"/>
  <c r="N93" i="1"/>
  <c r="O93" i="1" s="1"/>
  <c r="M1032" i="3"/>
  <c r="Q1628" i="3"/>
  <c r="P1628" i="3"/>
  <c r="O431" i="3"/>
  <c r="O2474" i="3"/>
  <c r="N1150" i="3"/>
  <c r="J1151" i="3" s="1"/>
  <c r="N1390" i="3"/>
  <c r="J1391" i="3" s="1"/>
  <c r="S670" i="3"/>
  <c r="R670" i="3"/>
  <c r="K2589" i="3"/>
  <c r="L2589" i="3" s="1"/>
  <c r="N1628" i="3"/>
  <c r="J1629" i="3" s="1"/>
  <c r="S68" i="3"/>
  <c r="R68" i="3"/>
  <c r="L913" i="3"/>
  <c r="K913" i="3"/>
  <c r="O1628" i="3"/>
  <c r="Q1269" i="3"/>
  <c r="P1269" i="3"/>
  <c r="N2474" i="3"/>
  <c r="J2475" i="3" s="1"/>
  <c r="Q2111" i="3"/>
  <c r="P2111" i="3"/>
  <c r="O1390" i="3"/>
  <c r="M1511" i="3" l="1"/>
  <c r="M2589" i="3"/>
  <c r="R93" i="1"/>
  <c r="Q93" i="1"/>
  <c r="M94" i="1" s="1"/>
  <c r="P93" i="1"/>
  <c r="K1752" i="3"/>
  <c r="L1752" i="3" s="1"/>
  <c r="M671" i="3"/>
  <c r="Q1032" i="3"/>
  <c r="P1032" i="3"/>
  <c r="N1032" i="3"/>
  <c r="J1033" i="3" s="1"/>
  <c r="S2474" i="3"/>
  <c r="R2474" i="3"/>
  <c r="Q793" i="3"/>
  <c r="P793" i="3"/>
  <c r="K2233" i="3"/>
  <c r="L2233" i="3"/>
  <c r="S431" i="3"/>
  <c r="R431" i="3"/>
  <c r="S1871" i="3"/>
  <c r="R1871" i="3"/>
  <c r="Q69" i="3"/>
  <c r="P69" i="3"/>
  <c r="S2111" i="3"/>
  <c r="R2111" i="3"/>
  <c r="S2349" i="3"/>
  <c r="R2349" i="3"/>
  <c r="N793" i="3"/>
  <c r="J794" i="3" s="1"/>
  <c r="N69" i="3"/>
  <c r="J70" i="3" s="1"/>
  <c r="M2112" i="3"/>
  <c r="K313" i="3"/>
  <c r="L313" i="3"/>
  <c r="K1151" i="3"/>
  <c r="L1151" i="3" s="1"/>
  <c r="S1150" i="3"/>
  <c r="R1150" i="3"/>
  <c r="M1270" i="3"/>
  <c r="N1270" i="3" s="1"/>
  <c r="J1271" i="3" s="1"/>
  <c r="Q551" i="3"/>
  <c r="P551" i="3"/>
  <c r="O69" i="3"/>
  <c r="Q1751" i="3"/>
  <c r="P1751" i="3"/>
  <c r="K432" i="3"/>
  <c r="L432" i="3" s="1"/>
  <c r="K1872" i="3"/>
  <c r="L1872" i="3"/>
  <c r="O1751" i="3"/>
  <c r="N551" i="3"/>
  <c r="J552" i="3" s="1"/>
  <c r="Q1990" i="3"/>
  <c r="P1990" i="3"/>
  <c r="K1391" i="3"/>
  <c r="L1391" i="3" s="1"/>
  <c r="S1390" i="3"/>
  <c r="R1390" i="3"/>
  <c r="O551" i="3"/>
  <c r="N1990" i="3"/>
  <c r="J1991" i="3" s="1"/>
  <c r="M913" i="3"/>
  <c r="K2350" i="3"/>
  <c r="L2350" i="3"/>
  <c r="O1032" i="3"/>
  <c r="K2475" i="3"/>
  <c r="L2475" i="3" s="1"/>
  <c r="K1629" i="3"/>
  <c r="L1629" i="3" s="1"/>
  <c r="S1269" i="3"/>
  <c r="R1269" i="3"/>
  <c r="K193" i="3"/>
  <c r="L193" i="3"/>
  <c r="S1628" i="3"/>
  <c r="R1628" i="3"/>
  <c r="S312" i="3"/>
  <c r="R312" i="3"/>
  <c r="S192" i="3"/>
  <c r="R192" i="3"/>
  <c r="Q2232" i="3"/>
  <c r="P2232" i="3"/>
  <c r="O1990" i="3"/>
  <c r="M1752" i="3" l="1"/>
  <c r="M1391" i="3"/>
  <c r="O1151" i="3"/>
  <c r="N1151" i="3"/>
  <c r="J1152" i="3" s="1"/>
  <c r="M1151" i="3"/>
  <c r="K1271" i="3"/>
  <c r="L1271" i="3" s="1"/>
  <c r="M1629" i="3"/>
  <c r="O2475" i="3"/>
  <c r="N2475" i="3"/>
  <c r="J2476" i="3" s="1"/>
  <c r="M2475" i="3"/>
  <c r="M432" i="3"/>
  <c r="K70" i="3"/>
  <c r="L70" i="3" s="1"/>
  <c r="K794" i="3"/>
  <c r="L794" i="3"/>
  <c r="S69" i="3"/>
  <c r="R69" i="3"/>
  <c r="S1032" i="3"/>
  <c r="R1032" i="3"/>
  <c r="N193" i="3"/>
  <c r="J194" i="3" s="1"/>
  <c r="O193" i="3"/>
  <c r="M193" i="3"/>
  <c r="M2350" i="3"/>
  <c r="Q671" i="3"/>
  <c r="P671" i="3"/>
  <c r="Q2589" i="3"/>
  <c r="P2589" i="3"/>
  <c r="M2233" i="3"/>
  <c r="S793" i="3"/>
  <c r="R793" i="3"/>
  <c r="N671" i="3"/>
  <c r="J672" i="3" s="1"/>
  <c r="N2589" i="3"/>
  <c r="J2590" i="3" s="1"/>
  <c r="M1872" i="3"/>
  <c r="O1270" i="3"/>
  <c r="O671" i="3"/>
  <c r="O2589" i="3"/>
  <c r="K552" i="3"/>
  <c r="L552" i="3" s="1"/>
  <c r="M313" i="3"/>
  <c r="Q2112" i="3"/>
  <c r="P2112" i="3"/>
  <c r="Q1511" i="3"/>
  <c r="P1511" i="3"/>
  <c r="O94" i="1"/>
  <c r="N94" i="1"/>
  <c r="Q1270" i="3"/>
  <c r="P1270" i="3"/>
  <c r="Q913" i="3"/>
  <c r="P913" i="3"/>
  <c r="S2232" i="3"/>
  <c r="R2232" i="3"/>
  <c r="N913" i="3"/>
  <c r="J914" i="3" s="1"/>
  <c r="N2112" i="3"/>
  <c r="J2113" i="3" s="1"/>
  <c r="N1511" i="3"/>
  <c r="J1512" i="3" s="1"/>
  <c r="S551" i="3"/>
  <c r="R551" i="3"/>
  <c r="O913" i="3"/>
  <c r="L1991" i="3"/>
  <c r="K1991" i="3"/>
  <c r="S1990" i="3"/>
  <c r="R1990" i="3"/>
  <c r="S1751" i="3"/>
  <c r="R1751" i="3"/>
  <c r="O2112" i="3"/>
  <c r="K1033" i="3"/>
  <c r="L1033" i="3" s="1"/>
  <c r="T93" i="1"/>
  <c r="S93" i="1"/>
  <c r="O1511" i="3"/>
  <c r="M1033" i="3" l="1"/>
  <c r="M1271" i="3"/>
  <c r="O552" i="3"/>
  <c r="N552" i="3"/>
  <c r="J553" i="3" s="1"/>
  <c r="M552" i="3"/>
  <c r="M70" i="3"/>
  <c r="K2476" i="3"/>
  <c r="L2476" i="3" s="1"/>
  <c r="K672" i="3"/>
  <c r="L672" i="3" s="1"/>
  <c r="S2589" i="3"/>
  <c r="R2589" i="3"/>
  <c r="K194" i="3"/>
  <c r="L194" i="3"/>
  <c r="Q1629" i="3"/>
  <c r="P1629" i="3"/>
  <c r="Q1391" i="3"/>
  <c r="P1391" i="3"/>
  <c r="P94" i="1"/>
  <c r="O794" i="3"/>
  <c r="N794" i="3"/>
  <c r="J795" i="3" s="1"/>
  <c r="M794" i="3"/>
  <c r="S671" i="3"/>
  <c r="R671" i="3"/>
  <c r="N1629" i="3"/>
  <c r="J1630" i="3" s="1"/>
  <c r="N1391" i="3"/>
  <c r="J1392" i="3" s="1"/>
  <c r="S913" i="3"/>
  <c r="R913" i="3"/>
  <c r="Q2350" i="3"/>
  <c r="P2350" i="3"/>
  <c r="Q432" i="3"/>
  <c r="P432" i="3"/>
  <c r="O1629" i="3"/>
  <c r="O1391" i="3"/>
  <c r="M1991" i="3"/>
  <c r="O1991" i="3" s="1"/>
  <c r="K1512" i="3"/>
  <c r="L1512" i="3" s="1"/>
  <c r="Q313" i="3"/>
  <c r="P313" i="3"/>
  <c r="Q1872" i="3"/>
  <c r="P1872" i="3"/>
  <c r="Q2233" i="3"/>
  <c r="P2233" i="3"/>
  <c r="N2350" i="3"/>
  <c r="J2351" i="3" s="1"/>
  <c r="O432" i="3"/>
  <c r="Q1752" i="3"/>
  <c r="P1752" i="3"/>
  <c r="K2590" i="3"/>
  <c r="L2590" i="3" s="1"/>
  <c r="S2112" i="3"/>
  <c r="R2112" i="3"/>
  <c r="S1270" i="3"/>
  <c r="R1270" i="3"/>
  <c r="N1872" i="3"/>
  <c r="J1873" i="3" s="1"/>
  <c r="N2233" i="3"/>
  <c r="J2234" i="3" s="1"/>
  <c r="O2350" i="3"/>
  <c r="N432" i="3"/>
  <c r="J433" i="3" s="1"/>
  <c r="N1752" i="3"/>
  <c r="J1753" i="3" s="1"/>
  <c r="K1152" i="3"/>
  <c r="L1152" i="3" s="1"/>
  <c r="S1511" i="3"/>
  <c r="R1511" i="3"/>
  <c r="V93" i="1"/>
  <c r="U93" i="1"/>
  <c r="K2113" i="3"/>
  <c r="L2113" i="3" s="1"/>
  <c r="O313" i="3"/>
  <c r="K914" i="3"/>
  <c r="L914" i="3"/>
  <c r="N313" i="3"/>
  <c r="J314" i="3" s="1"/>
  <c r="O1872" i="3"/>
  <c r="O2233" i="3"/>
  <c r="Q193" i="3"/>
  <c r="P193" i="3"/>
  <c r="Q2475" i="3"/>
  <c r="P2475" i="3"/>
  <c r="Q1151" i="3"/>
  <c r="P1151" i="3"/>
  <c r="O1752" i="3"/>
  <c r="M1152" i="3" l="1"/>
  <c r="M2476" i="3"/>
  <c r="O672" i="3"/>
  <c r="N672" i="3"/>
  <c r="J673" i="3" s="1"/>
  <c r="M672" i="3"/>
  <c r="M2590" i="3"/>
  <c r="M2113" i="3"/>
  <c r="N1512" i="3"/>
  <c r="J1513" i="3" s="1"/>
  <c r="M1512" i="3"/>
  <c r="S2233" i="3"/>
  <c r="R2233" i="3"/>
  <c r="N1991" i="3"/>
  <c r="J1992" i="3" s="1"/>
  <c r="Q794" i="3"/>
  <c r="P794" i="3"/>
  <c r="K553" i="3"/>
  <c r="L553" i="3" s="1"/>
  <c r="K795" i="3"/>
  <c r="L795" i="3" s="1"/>
  <c r="S1629" i="3"/>
  <c r="R1629" i="3"/>
  <c r="Q1271" i="3"/>
  <c r="P1271" i="3"/>
  <c r="S1391" i="3"/>
  <c r="R1391" i="3"/>
  <c r="S1151" i="3"/>
  <c r="R1151" i="3"/>
  <c r="S1872" i="3"/>
  <c r="R1872" i="3"/>
  <c r="M194" i="3"/>
  <c r="O194" i="3" s="1"/>
  <c r="N1271" i="3"/>
  <c r="J1272" i="3" s="1"/>
  <c r="K2234" i="3"/>
  <c r="L2234" i="3" s="1"/>
  <c r="K1392" i="3"/>
  <c r="L1392" i="3" s="1"/>
  <c r="T94" i="1"/>
  <c r="S94" i="1"/>
  <c r="Q70" i="3"/>
  <c r="P70" i="3"/>
  <c r="O1271" i="3"/>
  <c r="S2350" i="3"/>
  <c r="R2350" i="3"/>
  <c r="M914" i="3"/>
  <c r="N914" i="3" s="1"/>
  <c r="J915" i="3" s="1"/>
  <c r="S313" i="3"/>
  <c r="R313" i="3"/>
  <c r="K1630" i="3"/>
  <c r="L1630" i="3" s="1"/>
  <c r="Q94" i="1"/>
  <c r="M95" i="1" s="1"/>
  <c r="N70" i="3"/>
  <c r="J71" i="3" s="1"/>
  <c r="Q1033" i="3"/>
  <c r="P1033" i="3"/>
  <c r="K1873" i="3"/>
  <c r="L1873" i="3" s="1"/>
  <c r="S193" i="3"/>
  <c r="R193" i="3"/>
  <c r="S432" i="3"/>
  <c r="R432" i="3"/>
  <c r="R94" i="1"/>
  <c r="O70" i="3"/>
  <c r="N1033" i="3"/>
  <c r="J1034" i="3" s="1"/>
  <c r="K433" i="3"/>
  <c r="L433" i="3"/>
  <c r="Q1991" i="3"/>
  <c r="P1991" i="3"/>
  <c r="K314" i="3"/>
  <c r="L314" i="3"/>
  <c r="S2475" i="3"/>
  <c r="R2475" i="3"/>
  <c r="S1752" i="3"/>
  <c r="R1752" i="3"/>
  <c r="K1753" i="3"/>
  <c r="L1753" i="3" s="1"/>
  <c r="L2351" i="3"/>
  <c r="K2351" i="3"/>
  <c r="Q552" i="3"/>
  <c r="P552" i="3"/>
  <c r="O1033" i="3"/>
  <c r="M795" i="3" l="1"/>
  <c r="M1392" i="3"/>
  <c r="O1392" i="3"/>
  <c r="K915" i="3"/>
  <c r="L915" i="3" s="1"/>
  <c r="M1753" i="3"/>
  <c r="M553" i="3"/>
  <c r="O1873" i="3"/>
  <c r="N1873" i="3"/>
  <c r="J1874" i="3" s="1"/>
  <c r="M1873" i="3"/>
  <c r="M2234" i="3"/>
  <c r="N1630" i="3"/>
  <c r="J1631" i="3" s="1"/>
  <c r="M1630" i="3"/>
  <c r="K1513" i="3"/>
  <c r="L1513" i="3" s="1"/>
  <c r="S794" i="3"/>
  <c r="R794" i="3"/>
  <c r="Q2113" i="3"/>
  <c r="P2113" i="3"/>
  <c r="K1272" i="3"/>
  <c r="L1272" i="3" s="1"/>
  <c r="K1992" i="3"/>
  <c r="L1992" i="3" s="1"/>
  <c r="N2113" i="3"/>
  <c r="J2114" i="3" s="1"/>
  <c r="Q2476" i="3"/>
  <c r="P2476" i="3"/>
  <c r="M314" i="3"/>
  <c r="O314" i="3" s="1"/>
  <c r="O2113" i="3"/>
  <c r="N2476" i="3"/>
  <c r="J2477" i="3" s="1"/>
  <c r="M2351" i="3"/>
  <c r="N2351" i="3" s="1"/>
  <c r="J2352" i="3" s="1"/>
  <c r="L673" i="3"/>
  <c r="K673" i="3"/>
  <c r="N194" i="3"/>
  <c r="J195" i="3" s="1"/>
  <c r="Q2590" i="3"/>
  <c r="P2590" i="3"/>
  <c r="O2476" i="3"/>
  <c r="S70" i="3"/>
  <c r="R70" i="3"/>
  <c r="N95" i="1"/>
  <c r="O95" i="1"/>
  <c r="O914" i="3"/>
  <c r="V94" i="1"/>
  <c r="U94" i="1"/>
  <c r="N2590" i="3"/>
  <c r="J2591" i="3" s="1"/>
  <c r="Q1152" i="3"/>
  <c r="P1152" i="3"/>
  <c r="S1033" i="3"/>
  <c r="R1033" i="3"/>
  <c r="Q194" i="3"/>
  <c r="P194" i="3"/>
  <c r="S1991" i="3"/>
  <c r="R1991" i="3"/>
  <c r="N433" i="3"/>
  <c r="J434" i="3" s="1"/>
  <c r="M433" i="3"/>
  <c r="S552" i="3"/>
  <c r="R552" i="3"/>
  <c r="Q1512" i="3"/>
  <c r="P1512" i="3"/>
  <c r="O2590" i="3"/>
  <c r="O1152" i="3"/>
  <c r="S1271" i="3"/>
  <c r="R1271" i="3"/>
  <c r="Q914" i="3"/>
  <c r="P914" i="3"/>
  <c r="K71" i="3"/>
  <c r="L71" i="3" s="1"/>
  <c r="K1034" i="3"/>
  <c r="L1034" i="3" s="1"/>
  <c r="O1512" i="3"/>
  <c r="Q672" i="3"/>
  <c r="P672" i="3"/>
  <c r="N1152" i="3"/>
  <c r="J1153" i="3" s="1"/>
  <c r="M71" i="3" l="1"/>
  <c r="M1513" i="3"/>
  <c r="O1034" i="3"/>
  <c r="N1034" i="3"/>
  <c r="J1035" i="3" s="1"/>
  <c r="M1034" i="3"/>
  <c r="M915" i="3"/>
  <c r="N1992" i="3"/>
  <c r="J1993" i="3" s="1"/>
  <c r="M1992" i="3"/>
  <c r="K2352" i="3"/>
  <c r="L2352" i="3" s="1"/>
  <c r="M1272" i="3"/>
  <c r="K195" i="3"/>
  <c r="L195" i="3" s="1"/>
  <c r="Q1630" i="3"/>
  <c r="P1630" i="3"/>
  <c r="P95" i="1"/>
  <c r="Q314" i="3"/>
  <c r="P314" i="3"/>
  <c r="M673" i="3"/>
  <c r="N673" i="3" s="1"/>
  <c r="J674" i="3" s="1"/>
  <c r="N314" i="3"/>
  <c r="J315" i="3" s="1"/>
  <c r="K1631" i="3"/>
  <c r="L1631" i="3" s="1"/>
  <c r="Q553" i="3"/>
  <c r="P553" i="3"/>
  <c r="L2591" i="3"/>
  <c r="K2591" i="3"/>
  <c r="S2113" i="3"/>
  <c r="R2113" i="3"/>
  <c r="O1630" i="3"/>
  <c r="N553" i="3"/>
  <c r="J554" i="3" s="1"/>
  <c r="Q1392" i="3"/>
  <c r="P1392" i="3"/>
  <c r="K1874" i="3"/>
  <c r="L1874" i="3" s="1"/>
  <c r="K1153" i="3"/>
  <c r="L1153" i="3"/>
  <c r="S672" i="3"/>
  <c r="R672" i="3"/>
  <c r="O2351" i="3"/>
  <c r="S2476" i="3"/>
  <c r="R2476" i="3"/>
  <c r="Q2234" i="3"/>
  <c r="P2234" i="3"/>
  <c r="O553" i="3"/>
  <c r="N1392" i="3"/>
  <c r="J1393" i="3" s="1"/>
  <c r="S1152" i="3"/>
  <c r="R1152" i="3"/>
  <c r="K2114" i="3"/>
  <c r="L2114" i="3" s="1"/>
  <c r="O2234" i="3"/>
  <c r="Q1753" i="3"/>
  <c r="P1753" i="3"/>
  <c r="Q795" i="3"/>
  <c r="P795" i="3"/>
  <c r="K434" i="3"/>
  <c r="L434" i="3" s="1"/>
  <c r="S1512" i="3"/>
  <c r="R1512" i="3"/>
  <c r="S914" i="3"/>
  <c r="R914" i="3"/>
  <c r="Q2351" i="3"/>
  <c r="P2351" i="3"/>
  <c r="N2234" i="3"/>
  <c r="J2235" i="3" s="1"/>
  <c r="O1753" i="3"/>
  <c r="N795" i="3"/>
  <c r="J796" i="3" s="1"/>
  <c r="S194" i="3"/>
  <c r="R194" i="3"/>
  <c r="Q433" i="3"/>
  <c r="P433" i="3"/>
  <c r="K2477" i="3"/>
  <c r="L2477" i="3" s="1"/>
  <c r="O433" i="3"/>
  <c r="S2590" i="3"/>
  <c r="R2590" i="3"/>
  <c r="Q1873" i="3"/>
  <c r="P1873" i="3"/>
  <c r="N1753" i="3"/>
  <c r="J1754" i="3" s="1"/>
  <c r="O795" i="3"/>
  <c r="M1874" i="3" l="1"/>
  <c r="M2477" i="3"/>
  <c r="O2114" i="3"/>
  <c r="N2114" i="3"/>
  <c r="J2115" i="3" s="1"/>
  <c r="M2114" i="3"/>
  <c r="M1631" i="3"/>
  <c r="N195" i="3"/>
  <c r="J196" i="3" s="1"/>
  <c r="M195" i="3"/>
  <c r="N434" i="3"/>
  <c r="J435" i="3" s="1"/>
  <c r="M434" i="3"/>
  <c r="K674" i="3"/>
  <c r="L674" i="3"/>
  <c r="N2352" i="3"/>
  <c r="J2353" i="3" s="1"/>
  <c r="M2352" i="3"/>
  <c r="O673" i="3"/>
  <c r="S1630" i="3"/>
  <c r="R1630" i="3"/>
  <c r="Q1992" i="3"/>
  <c r="P1992" i="3"/>
  <c r="S433" i="3"/>
  <c r="R433" i="3"/>
  <c r="M2591" i="3"/>
  <c r="K1993" i="3"/>
  <c r="L1993" i="3"/>
  <c r="Q1513" i="3"/>
  <c r="P1513" i="3"/>
  <c r="S1392" i="3"/>
  <c r="R1392" i="3"/>
  <c r="O1992" i="3"/>
  <c r="O1513" i="3"/>
  <c r="K796" i="3"/>
  <c r="L796" i="3" s="1"/>
  <c r="K554" i="3"/>
  <c r="L554" i="3" s="1"/>
  <c r="S553" i="3"/>
  <c r="R553" i="3"/>
  <c r="S314" i="3"/>
  <c r="R314" i="3"/>
  <c r="Q1272" i="3"/>
  <c r="P1272" i="3"/>
  <c r="Q915" i="3"/>
  <c r="P915" i="3"/>
  <c r="N1513" i="3"/>
  <c r="J1514" i="3" s="1"/>
  <c r="T95" i="1"/>
  <c r="S95" i="1"/>
  <c r="N1272" i="3"/>
  <c r="J1273" i="3" s="1"/>
  <c r="N915" i="3"/>
  <c r="J916" i="3" s="1"/>
  <c r="Q71" i="3"/>
  <c r="P71" i="3"/>
  <c r="S1873" i="3"/>
  <c r="R1873" i="3"/>
  <c r="K1035" i="3"/>
  <c r="L1035" i="3" s="1"/>
  <c r="S795" i="3"/>
  <c r="R795" i="3"/>
  <c r="S1753" i="3"/>
  <c r="R1753" i="3"/>
  <c r="K2235" i="3"/>
  <c r="L2235" i="3"/>
  <c r="S2234" i="3"/>
  <c r="R2234" i="3"/>
  <c r="M1153" i="3"/>
  <c r="N1153" i="3" s="1"/>
  <c r="J1154" i="3" s="1"/>
  <c r="R95" i="1"/>
  <c r="O1272" i="3"/>
  <c r="O915" i="3"/>
  <c r="N71" i="3"/>
  <c r="J72" i="3" s="1"/>
  <c r="S2351" i="3"/>
  <c r="R2351" i="3"/>
  <c r="Q673" i="3"/>
  <c r="P673" i="3"/>
  <c r="K1393" i="3"/>
  <c r="L1393" i="3"/>
  <c r="K1754" i="3"/>
  <c r="L1754" i="3" s="1"/>
  <c r="K315" i="3"/>
  <c r="L315" i="3"/>
  <c r="Q95" i="1"/>
  <c r="M96" i="1" s="1"/>
  <c r="Q1034" i="3"/>
  <c r="P1034" i="3"/>
  <c r="O71" i="3"/>
  <c r="M796" i="3" l="1"/>
  <c r="M1754" i="3"/>
  <c r="N554" i="3"/>
  <c r="J555" i="3" s="1"/>
  <c r="O554" i="3"/>
  <c r="M554" i="3"/>
  <c r="K1154" i="3"/>
  <c r="L1154" i="3" s="1"/>
  <c r="M1035" i="3"/>
  <c r="K916" i="3"/>
  <c r="L916" i="3" s="1"/>
  <c r="S1272" i="3"/>
  <c r="R1272" i="3"/>
  <c r="Q2352" i="3"/>
  <c r="P2352" i="3"/>
  <c r="Q195" i="3"/>
  <c r="P195" i="3"/>
  <c r="K435" i="3"/>
  <c r="L435" i="3" s="1"/>
  <c r="K1273" i="3"/>
  <c r="L1273" i="3" s="1"/>
  <c r="S1513" i="3"/>
  <c r="R1513" i="3"/>
  <c r="K2353" i="3"/>
  <c r="L2353" i="3" s="1"/>
  <c r="K196" i="3"/>
  <c r="L196" i="3" s="1"/>
  <c r="Q2477" i="3"/>
  <c r="P2477" i="3"/>
  <c r="N1393" i="3"/>
  <c r="J1394" i="3" s="1"/>
  <c r="M1393" i="3"/>
  <c r="N1993" i="3"/>
  <c r="J1994" i="3" s="1"/>
  <c r="M1993" i="3"/>
  <c r="O2352" i="3"/>
  <c r="O195" i="3"/>
  <c r="N2477" i="3"/>
  <c r="J2478" i="3" s="1"/>
  <c r="S673" i="3"/>
  <c r="R673" i="3"/>
  <c r="V95" i="1"/>
  <c r="U95" i="1"/>
  <c r="S1992" i="3"/>
  <c r="R1992" i="3"/>
  <c r="O674" i="3"/>
  <c r="N674" i="3"/>
  <c r="J675" i="3" s="1"/>
  <c r="M674" i="3"/>
  <c r="Q1631" i="3"/>
  <c r="P1631" i="3"/>
  <c r="O2477" i="3"/>
  <c r="K2115" i="3"/>
  <c r="L2115" i="3" s="1"/>
  <c r="S1034" i="3"/>
  <c r="R1034" i="3"/>
  <c r="M315" i="3"/>
  <c r="K1514" i="3"/>
  <c r="L1514" i="3"/>
  <c r="Q2591" i="3"/>
  <c r="P2591" i="3"/>
  <c r="N1631" i="3"/>
  <c r="J1632" i="3" s="1"/>
  <c r="Q1874" i="3"/>
  <c r="P1874" i="3"/>
  <c r="S71" i="3"/>
  <c r="R71" i="3"/>
  <c r="O2235" i="3"/>
  <c r="N2235" i="3"/>
  <c r="J2236" i="3" s="1"/>
  <c r="M2235" i="3"/>
  <c r="O2591" i="3"/>
  <c r="Q434" i="3"/>
  <c r="P434" i="3"/>
  <c r="O1631" i="3"/>
  <c r="N1874" i="3"/>
  <c r="J1875" i="3" s="1"/>
  <c r="K72" i="3"/>
  <c r="L72" i="3" s="1"/>
  <c r="N96" i="1"/>
  <c r="O96" i="1" s="1"/>
  <c r="Q1153" i="3"/>
  <c r="P1153" i="3"/>
  <c r="O1153" i="3"/>
  <c r="S915" i="3"/>
  <c r="R915" i="3"/>
  <c r="N2591" i="3"/>
  <c r="J2592" i="3" s="1"/>
  <c r="O434" i="3"/>
  <c r="Q2114" i="3"/>
  <c r="P2114" i="3"/>
  <c r="O1874" i="3"/>
  <c r="M435" i="3" l="1"/>
  <c r="M72" i="3"/>
  <c r="R96" i="1"/>
  <c r="Q96" i="1"/>
  <c r="M97" i="1" s="1"/>
  <c r="P96" i="1"/>
  <c r="M1273" i="3"/>
  <c r="M916" i="3"/>
  <c r="O1154" i="3"/>
  <c r="M1154" i="3"/>
  <c r="M196" i="3"/>
  <c r="M2353" i="3"/>
  <c r="N2353" i="3" s="1"/>
  <c r="J2354" i="3" s="1"/>
  <c r="M2115" i="3"/>
  <c r="S2591" i="3"/>
  <c r="R2591" i="3"/>
  <c r="Q1393" i="3"/>
  <c r="P1393" i="3"/>
  <c r="K555" i="3"/>
  <c r="L555" i="3"/>
  <c r="S195" i="3"/>
  <c r="R195" i="3"/>
  <c r="Q1035" i="3"/>
  <c r="P1035" i="3"/>
  <c r="Q1754" i="3"/>
  <c r="P1754" i="3"/>
  <c r="K675" i="3"/>
  <c r="L675" i="3" s="1"/>
  <c r="K2478" i="3"/>
  <c r="L2478" i="3" s="1"/>
  <c r="O1393" i="3"/>
  <c r="N1035" i="3"/>
  <c r="J1036" i="3" s="1"/>
  <c r="N1754" i="3"/>
  <c r="J1755" i="3" s="1"/>
  <c r="Q315" i="3"/>
  <c r="P315" i="3"/>
  <c r="S2352" i="3"/>
  <c r="R2352" i="3"/>
  <c r="O1035" i="3"/>
  <c r="O1754" i="3"/>
  <c r="L1394" i="3"/>
  <c r="K1394" i="3"/>
  <c r="S434" i="3"/>
  <c r="R434" i="3"/>
  <c r="S2477" i="3"/>
  <c r="R2477" i="3"/>
  <c r="Q796" i="3"/>
  <c r="P796" i="3"/>
  <c r="M1514" i="3"/>
  <c r="S1153" i="3"/>
  <c r="R1153" i="3"/>
  <c r="O315" i="3"/>
  <c r="S1631" i="3"/>
  <c r="R1631" i="3"/>
  <c r="Q1993" i="3"/>
  <c r="P1993" i="3"/>
  <c r="N796" i="3"/>
  <c r="J797" i="3" s="1"/>
  <c r="K2236" i="3"/>
  <c r="L2236" i="3" s="1"/>
  <c r="K1994" i="3"/>
  <c r="L1994" i="3"/>
  <c r="K1875" i="3"/>
  <c r="L1875" i="3" s="1"/>
  <c r="S2114" i="3"/>
  <c r="R2114" i="3"/>
  <c r="N315" i="3"/>
  <c r="J316" i="3" s="1"/>
  <c r="S1874" i="3"/>
  <c r="R1874" i="3"/>
  <c r="K2592" i="3"/>
  <c r="L2592" i="3" s="1"/>
  <c r="Q2235" i="3"/>
  <c r="P2235" i="3"/>
  <c r="L1632" i="3"/>
  <c r="K1632" i="3"/>
  <c r="Q674" i="3"/>
  <c r="P674" i="3"/>
  <c r="O1993" i="3"/>
  <c r="Q554" i="3"/>
  <c r="P554" i="3"/>
  <c r="O796" i="3"/>
  <c r="M2592" i="3" l="1"/>
  <c r="M1875" i="3"/>
  <c r="O2236" i="3"/>
  <c r="N2236" i="3"/>
  <c r="J2237" i="3" s="1"/>
  <c r="M2236" i="3"/>
  <c r="K2354" i="3"/>
  <c r="L2354" i="3" s="1"/>
  <c r="M2478" i="3"/>
  <c r="O675" i="3"/>
  <c r="N675" i="3"/>
  <c r="J676" i="3" s="1"/>
  <c r="M675" i="3"/>
  <c r="O1632" i="3"/>
  <c r="M1632" i="3"/>
  <c r="K1036" i="3"/>
  <c r="L1036" i="3" s="1"/>
  <c r="S1393" i="3"/>
  <c r="R1393" i="3"/>
  <c r="O2353" i="3"/>
  <c r="Q916" i="3"/>
  <c r="P916" i="3"/>
  <c r="S1754" i="3"/>
  <c r="R1754" i="3"/>
  <c r="O916" i="3"/>
  <c r="Q72" i="3"/>
  <c r="P72" i="3"/>
  <c r="N97" i="1"/>
  <c r="O97" i="1"/>
  <c r="Q196" i="3"/>
  <c r="P196" i="3"/>
  <c r="N916" i="3"/>
  <c r="J917" i="3" s="1"/>
  <c r="O72" i="3"/>
  <c r="S796" i="3"/>
  <c r="R796" i="3"/>
  <c r="S1035" i="3"/>
  <c r="R1035" i="3"/>
  <c r="S1993" i="3"/>
  <c r="R1993" i="3"/>
  <c r="N196" i="3"/>
  <c r="J197" i="3" s="1"/>
  <c r="Q1273" i="3"/>
  <c r="P1273" i="3"/>
  <c r="N72" i="3"/>
  <c r="J73" i="3" s="1"/>
  <c r="K1755" i="3"/>
  <c r="L1755" i="3" s="1"/>
  <c r="Q2353" i="3"/>
  <c r="P2353" i="3"/>
  <c r="S2235" i="3"/>
  <c r="R2235" i="3"/>
  <c r="S554" i="3"/>
  <c r="R554" i="3"/>
  <c r="Q1514" i="3"/>
  <c r="P1514" i="3"/>
  <c r="N1514" i="3"/>
  <c r="J1515" i="3" s="1"/>
  <c r="Q2115" i="3"/>
  <c r="P2115" i="3"/>
  <c r="O196" i="3"/>
  <c r="N1273" i="3"/>
  <c r="J1274" i="3" s="1"/>
  <c r="Q435" i="3"/>
  <c r="P435" i="3"/>
  <c r="K316" i="3"/>
  <c r="L316" i="3" s="1"/>
  <c r="M1394" i="3"/>
  <c r="O1394" i="3" s="1"/>
  <c r="K797" i="3"/>
  <c r="L797" i="3" s="1"/>
  <c r="O1514" i="3"/>
  <c r="M555" i="3"/>
  <c r="N2115" i="3"/>
  <c r="J2116" i="3" s="1"/>
  <c r="Q1154" i="3"/>
  <c r="P1154" i="3"/>
  <c r="O1273" i="3"/>
  <c r="N435" i="3"/>
  <c r="J436" i="3" s="1"/>
  <c r="S674" i="3"/>
  <c r="R674" i="3"/>
  <c r="N1994" i="3"/>
  <c r="J1995" i="3" s="1"/>
  <c r="M1994" i="3"/>
  <c r="S315" i="3"/>
  <c r="R315" i="3"/>
  <c r="O2115" i="3"/>
  <c r="N1154" i="3"/>
  <c r="J1155" i="3" s="1"/>
  <c r="T96" i="1"/>
  <c r="S96" i="1"/>
  <c r="O435" i="3"/>
  <c r="M316" i="3" l="1"/>
  <c r="M2354" i="3"/>
  <c r="O797" i="3"/>
  <c r="N797" i="3"/>
  <c r="J798" i="3" s="1"/>
  <c r="M797" i="3"/>
  <c r="M1755" i="3"/>
  <c r="M1036" i="3"/>
  <c r="O1036" i="3" s="1"/>
  <c r="S2353" i="3"/>
  <c r="R2353" i="3"/>
  <c r="S435" i="3"/>
  <c r="R435" i="3"/>
  <c r="K917" i="3"/>
  <c r="L917" i="3" s="1"/>
  <c r="L2237" i="3"/>
  <c r="K2237" i="3"/>
  <c r="Q1994" i="3"/>
  <c r="P1994" i="3"/>
  <c r="K1274" i="3"/>
  <c r="L1274" i="3" s="1"/>
  <c r="Q2478" i="3"/>
  <c r="P2478" i="3"/>
  <c r="Q1875" i="3"/>
  <c r="P1875" i="3"/>
  <c r="S196" i="3"/>
  <c r="R196" i="3"/>
  <c r="O2478" i="3"/>
  <c r="N1875" i="3"/>
  <c r="J1876" i="3" s="1"/>
  <c r="K73" i="3"/>
  <c r="L73" i="3"/>
  <c r="V96" i="1"/>
  <c r="U96" i="1"/>
  <c r="O1994" i="3"/>
  <c r="K2116" i="3"/>
  <c r="L2116" i="3" s="1"/>
  <c r="N1394" i="3"/>
  <c r="J1395" i="3" s="1"/>
  <c r="R97" i="1"/>
  <c r="P97" i="1"/>
  <c r="Q1632" i="3"/>
  <c r="P1632" i="3"/>
  <c r="N2478" i="3"/>
  <c r="J2479" i="3" s="1"/>
  <c r="O1875" i="3"/>
  <c r="K1995" i="3"/>
  <c r="L1995" i="3"/>
  <c r="Q555" i="3"/>
  <c r="P555" i="3"/>
  <c r="S2115" i="3"/>
  <c r="R2115" i="3"/>
  <c r="S1273" i="3"/>
  <c r="R1273" i="3"/>
  <c r="S916" i="3"/>
  <c r="R916" i="3"/>
  <c r="N1632" i="3"/>
  <c r="J1633" i="3" s="1"/>
  <c r="Q2592" i="3"/>
  <c r="P2592" i="3"/>
  <c r="S1514" i="3"/>
  <c r="R1514" i="3"/>
  <c r="O2592" i="3"/>
  <c r="L436" i="3"/>
  <c r="K436" i="3"/>
  <c r="K676" i="3"/>
  <c r="L676" i="3" s="1"/>
  <c r="S1154" i="3"/>
  <c r="R1154" i="3"/>
  <c r="Q1394" i="3"/>
  <c r="P1394" i="3"/>
  <c r="K1155" i="3"/>
  <c r="L1155" i="3" s="1"/>
  <c r="N555" i="3"/>
  <c r="J556" i="3" s="1"/>
  <c r="K1515" i="3"/>
  <c r="L1515" i="3" s="1"/>
  <c r="K197" i="3"/>
  <c r="L197" i="3" s="1"/>
  <c r="O555" i="3"/>
  <c r="S72" i="3"/>
  <c r="R72" i="3"/>
  <c r="Q675" i="3"/>
  <c r="P675" i="3"/>
  <c r="Q2236" i="3"/>
  <c r="P2236" i="3"/>
  <c r="N2592" i="3"/>
  <c r="J2593" i="3" s="1"/>
  <c r="M1515" i="3" l="1"/>
  <c r="M2116" i="3"/>
  <c r="O1155" i="3"/>
  <c r="N1155" i="3"/>
  <c r="J1156" i="3" s="1"/>
  <c r="M1155" i="3"/>
  <c r="M917" i="3"/>
  <c r="M197" i="3"/>
  <c r="O676" i="3"/>
  <c r="M676" i="3"/>
  <c r="M1274" i="3"/>
  <c r="S1875" i="3"/>
  <c r="R1875" i="3"/>
  <c r="K1876" i="3"/>
  <c r="L1876" i="3" s="1"/>
  <c r="S2478" i="3"/>
  <c r="R2478" i="3"/>
  <c r="N1036" i="3"/>
  <c r="J1037" i="3" s="1"/>
  <c r="Q2354" i="3"/>
  <c r="P2354" i="3"/>
  <c r="M1995" i="3"/>
  <c r="M2237" i="3"/>
  <c r="K2479" i="3"/>
  <c r="L2479" i="3" s="1"/>
  <c r="N2354" i="3"/>
  <c r="J2355" i="3" s="1"/>
  <c r="S675" i="3"/>
  <c r="R675" i="3"/>
  <c r="Q1036" i="3"/>
  <c r="P1036" i="3"/>
  <c r="K1633" i="3"/>
  <c r="L1633" i="3" s="1"/>
  <c r="Q1755" i="3"/>
  <c r="P1755" i="3"/>
  <c r="O2354" i="3"/>
  <c r="K1395" i="3"/>
  <c r="L1395" i="3" s="1"/>
  <c r="K2593" i="3"/>
  <c r="L2593" i="3"/>
  <c r="S1632" i="3"/>
  <c r="R1632" i="3"/>
  <c r="O1755" i="3"/>
  <c r="Q316" i="3"/>
  <c r="P316" i="3"/>
  <c r="M73" i="3"/>
  <c r="O73" i="3" s="1"/>
  <c r="S2592" i="3"/>
  <c r="R2592" i="3"/>
  <c r="S1394" i="3"/>
  <c r="R1394" i="3"/>
  <c r="T97" i="1"/>
  <c r="S97" i="1"/>
  <c r="S1994" i="3"/>
  <c r="R1994" i="3"/>
  <c r="N1755" i="3"/>
  <c r="J1756" i="3" s="1"/>
  <c r="N316" i="3"/>
  <c r="J317" i="3" s="1"/>
  <c r="K798" i="3"/>
  <c r="L798" i="3" s="1"/>
  <c r="L556" i="3"/>
  <c r="K556" i="3"/>
  <c r="M436" i="3"/>
  <c r="N436" i="3" s="1"/>
  <c r="J437" i="3" s="1"/>
  <c r="S2236" i="3"/>
  <c r="R2236" i="3"/>
  <c r="S555" i="3"/>
  <c r="R555" i="3"/>
  <c r="Q97" i="1"/>
  <c r="M98" i="1" s="1"/>
  <c r="Q797" i="3"/>
  <c r="P797" i="3"/>
  <c r="O316" i="3"/>
  <c r="M1395" i="3" l="1"/>
  <c r="M1633" i="3"/>
  <c r="K437" i="3"/>
  <c r="L437" i="3" s="1"/>
  <c r="M2479" i="3"/>
  <c r="M1876" i="3"/>
  <c r="O798" i="3"/>
  <c r="N798" i="3"/>
  <c r="J799" i="3" s="1"/>
  <c r="M798" i="3"/>
  <c r="N73" i="3"/>
  <c r="J74" i="3" s="1"/>
  <c r="S2354" i="3"/>
  <c r="R2354" i="3"/>
  <c r="Q197" i="3"/>
  <c r="P197" i="3"/>
  <c r="L317" i="3"/>
  <c r="K317" i="3"/>
  <c r="Q2237" i="3"/>
  <c r="P2237" i="3"/>
  <c r="K1037" i="3"/>
  <c r="L1037" i="3" s="1"/>
  <c r="N197" i="3"/>
  <c r="J198" i="3" s="1"/>
  <c r="Q2116" i="3"/>
  <c r="P2116" i="3"/>
  <c r="K1156" i="3"/>
  <c r="L1156" i="3" s="1"/>
  <c r="S797" i="3"/>
  <c r="R797" i="3"/>
  <c r="S1036" i="3"/>
  <c r="R1036" i="3"/>
  <c r="N2237" i="3"/>
  <c r="J2238" i="3" s="1"/>
  <c r="Q1274" i="3"/>
  <c r="P1274" i="3"/>
  <c r="O197" i="3"/>
  <c r="N2116" i="3"/>
  <c r="J2117" i="3" s="1"/>
  <c r="V97" i="1"/>
  <c r="U97" i="1"/>
  <c r="M2593" i="3"/>
  <c r="N2593" i="3" s="1"/>
  <c r="J2594" i="3" s="1"/>
  <c r="S316" i="3"/>
  <c r="R316" i="3"/>
  <c r="O2237" i="3"/>
  <c r="O1274" i="3"/>
  <c r="Q917" i="3"/>
  <c r="P917" i="3"/>
  <c r="O2116" i="3"/>
  <c r="Q73" i="3"/>
  <c r="P73" i="3"/>
  <c r="Q436" i="3"/>
  <c r="P436" i="3"/>
  <c r="O436" i="3"/>
  <c r="Q1995" i="3"/>
  <c r="P1995" i="3"/>
  <c r="N1274" i="3"/>
  <c r="J1275" i="3" s="1"/>
  <c r="N917" i="3"/>
  <c r="J918" i="3" s="1"/>
  <c r="Q1515" i="3"/>
  <c r="P1515" i="3"/>
  <c r="O98" i="1"/>
  <c r="N98" i="1"/>
  <c r="N1995" i="3"/>
  <c r="J1996" i="3" s="1"/>
  <c r="Q676" i="3"/>
  <c r="P676" i="3"/>
  <c r="O917" i="3"/>
  <c r="N1515" i="3"/>
  <c r="J1516" i="3" s="1"/>
  <c r="K1756" i="3"/>
  <c r="L1756" i="3" s="1"/>
  <c r="N556" i="3"/>
  <c r="J557" i="3" s="1"/>
  <c r="M556" i="3"/>
  <c r="S1755" i="3"/>
  <c r="R1755" i="3"/>
  <c r="K2355" i="3"/>
  <c r="L2355" i="3"/>
  <c r="O1995" i="3"/>
  <c r="N676" i="3"/>
  <c r="J677" i="3" s="1"/>
  <c r="Q1155" i="3"/>
  <c r="P1155" i="3"/>
  <c r="O1515" i="3"/>
  <c r="M437" i="3" l="1"/>
  <c r="M1156" i="3"/>
  <c r="N1156" i="3" s="1"/>
  <c r="J1157" i="3" s="1"/>
  <c r="K2594" i="3"/>
  <c r="L2594" i="3" s="1"/>
  <c r="M1756" i="3"/>
  <c r="N1037" i="3"/>
  <c r="J1038" i="3" s="1"/>
  <c r="M1037" i="3"/>
  <c r="S2116" i="3"/>
  <c r="R2116" i="3"/>
  <c r="K198" i="3"/>
  <c r="L198" i="3" s="1"/>
  <c r="S197" i="3"/>
  <c r="R197" i="3"/>
  <c r="Q1876" i="3"/>
  <c r="P1876" i="3"/>
  <c r="Q1633" i="3"/>
  <c r="P1633" i="3"/>
  <c r="M317" i="3"/>
  <c r="S436" i="3"/>
  <c r="R436" i="3"/>
  <c r="K1516" i="3"/>
  <c r="L1516" i="3" s="1"/>
  <c r="S73" i="3"/>
  <c r="R73" i="3"/>
  <c r="K2117" i="3"/>
  <c r="L2117" i="3" s="1"/>
  <c r="N1876" i="3"/>
  <c r="J1877" i="3" s="1"/>
  <c r="N1633" i="3"/>
  <c r="J1634" i="3" s="1"/>
  <c r="M2355" i="3"/>
  <c r="L799" i="3"/>
  <c r="K799" i="3"/>
  <c r="O1876" i="3"/>
  <c r="O1633" i="3"/>
  <c r="S676" i="3"/>
  <c r="R676" i="3"/>
  <c r="Q2479" i="3"/>
  <c r="P2479" i="3"/>
  <c r="Q1395" i="3"/>
  <c r="P1395" i="3"/>
  <c r="L918" i="3"/>
  <c r="K918" i="3"/>
  <c r="K1275" i="3"/>
  <c r="L1275" i="3"/>
  <c r="Q2593" i="3"/>
  <c r="P2593" i="3"/>
  <c r="S1155" i="3"/>
  <c r="R1155" i="3"/>
  <c r="Q556" i="3"/>
  <c r="P556" i="3"/>
  <c r="K677" i="3"/>
  <c r="L677" i="3" s="1"/>
  <c r="O556" i="3"/>
  <c r="K1996" i="3"/>
  <c r="L1996" i="3" s="1"/>
  <c r="S1995" i="3"/>
  <c r="R1995" i="3"/>
  <c r="S917" i="3"/>
  <c r="R917" i="3"/>
  <c r="O2593" i="3"/>
  <c r="S1274" i="3"/>
  <c r="R1274" i="3"/>
  <c r="S2237" i="3"/>
  <c r="R2237" i="3"/>
  <c r="K74" i="3"/>
  <c r="L74" i="3" s="1"/>
  <c r="N2479" i="3"/>
  <c r="J2480" i="3" s="1"/>
  <c r="N1395" i="3"/>
  <c r="J1396" i="3" s="1"/>
  <c r="Q98" i="1"/>
  <c r="M99" i="1" s="1"/>
  <c r="P98" i="1"/>
  <c r="S1515" i="3"/>
  <c r="R1515" i="3"/>
  <c r="K557" i="3"/>
  <c r="L557" i="3"/>
  <c r="K2238" i="3"/>
  <c r="L2238" i="3" s="1"/>
  <c r="Q798" i="3"/>
  <c r="P798" i="3"/>
  <c r="O2479" i="3"/>
  <c r="O1395" i="3"/>
  <c r="M1996" i="3" l="1"/>
  <c r="M677" i="3"/>
  <c r="N2238" i="3"/>
  <c r="J2239" i="3" s="1"/>
  <c r="O2238" i="3"/>
  <c r="M2238" i="3"/>
  <c r="M1516" i="3"/>
  <c r="N2594" i="3"/>
  <c r="J2595" i="3" s="1"/>
  <c r="M2594" i="3"/>
  <c r="O2117" i="3"/>
  <c r="M2117" i="3"/>
  <c r="N2117" i="3"/>
  <c r="J2118" i="3" s="1"/>
  <c r="M74" i="3"/>
  <c r="L1157" i="3"/>
  <c r="K1157" i="3"/>
  <c r="O198" i="3"/>
  <c r="M198" i="3"/>
  <c r="K1396" i="3"/>
  <c r="L1396" i="3" s="1"/>
  <c r="N918" i="3"/>
  <c r="J919" i="3" s="1"/>
  <c r="M918" i="3"/>
  <c r="S1876" i="3"/>
  <c r="R1876" i="3"/>
  <c r="S1395" i="3"/>
  <c r="R1395" i="3"/>
  <c r="Q1037" i="3"/>
  <c r="P1037" i="3"/>
  <c r="O799" i="3"/>
  <c r="M799" i="3"/>
  <c r="Q317" i="3"/>
  <c r="P317" i="3"/>
  <c r="K1038" i="3"/>
  <c r="L1038" i="3" s="1"/>
  <c r="Q1156" i="3"/>
  <c r="P1156" i="3"/>
  <c r="S2593" i="3"/>
  <c r="R2593" i="3"/>
  <c r="S2479" i="3"/>
  <c r="R2479" i="3"/>
  <c r="Q2355" i="3"/>
  <c r="P2355" i="3"/>
  <c r="N317" i="3"/>
  <c r="J318" i="3" s="1"/>
  <c r="O1037" i="3"/>
  <c r="O1156" i="3"/>
  <c r="K2480" i="3"/>
  <c r="L2480" i="3" s="1"/>
  <c r="S798" i="3"/>
  <c r="R798" i="3"/>
  <c r="T98" i="1"/>
  <c r="S98" i="1"/>
  <c r="M1275" i="3"/>
  <c r="O2355" i="3"/>
  <c r="O317" i="3"/>
  <c r="Q1756" i="3"/>
  <c r="P1756" i="3"/>
  <c r="Q437" i="3"/>
  <c r="P437" i="3"/>
  <c r="N99" i="1"/>
  <c r="O99" i="1" s="1"/>
  <c r="N2355" i="3"/>
  <c r="J2356" i="3" s="1"/>
  <c r="N1756" i="3"/>
  <c r="J1757" i="3" s="1"/>
  <c r="N437" i="3"/>
  <c r="J438" i="3" s="1"/>
  <c r="M557" i="3"/>
  <c r="K1877" i="3"/>
  <c r="L1877" i="3" s="1"/>
  <c r="R98" i="1"/>
  <c r="S556" i="3"/>
  <c r="R556" i="3"/>
  <c r="K1634" i="3"/>
  <c r="L1634" i="3" s="1"/>
  <c r="S1633" i="3"/>
  <c r="R1633" i="3"/>
  <c r="O1756" i="3"/>
  <c r="O437" i="3"/>
  <c r="M1634" i="3" l="1"/>
  <c r="P99" i="1"/>
  <c r="R99" i="1"/>
  <c r="Q99" i="1"/>
  <c r="M100" i="1" s="1"/>
  <c r="N2480" i="3"/>
  <c r="J2481" i="3" s="1"/>
  <c r="O2480" i="3"/>
  <c r="M2480" i="3"/>
  <c r="M1038" i="3"/>
  <c r="O1877" i="3"/>
  <c r="N1877" i="3"/>
  <c r="J1878" i="3" s="1"/>
  <c r="M1877" i="3"/>
  <c r="O1396" i="3"/>
  <c r="M1396" i="3"/>
  <c r="S2355" i="3"/>
  <c r="R2355" i="3"/>
  <c r="S1156" i="3"/>
  <c r="R1156" i="3"/>
  <c r="Q918" i="3"/>
  <c r="P918" i="3"/>
  <c r="Q2594" i="3"/>
  <c r="P2594" i="3"/>
  <c r="K2239" i="3"/>
  <c r="L2239" i="3" s="1"/>
  <c r="K1757" i="3"/>
  <c r="L1757" i="3" s="1"/>
  <c r="S1037" i="3"/>
  <c r="R1037" i="3"/>
  <c r="K919" i="3"/>
  <c r="L919" i="3" s="1"/>
  <c r="M1157" i="3"/>
  <c r="K2595" i="3"/>
  <c r="L2595" i="3" s="1"/>
  <c r="Q677" i="3"/>
  <c r="P677" i="3"/>
  <c r="K2356" i="3"/>
  <c r="L2356" i="3"/>
  <c r="Q1275" i="3"/>
  <c r="P1275" i="3"/>
  <c r="O918" i="3"/>
  <c r="Q74" i="3"/>
  <c r="P74" i="3"/>
  <c r="O2594" i="3"/>
  <c r="N677" i="3"/>
  <c r="J678" i="3" s="1"/>
  <c r="Q557" i="3"/>
  <c r="P557" i="3"/>
  <c r="N1275" i="3"/>
  <c r="J1276" i="3" s="1"/>
  <c r="N74" i="3"/>
  <c r="J75" i="3" s="1"/>
  <c r="Q1516" i="3"/>
  <c r="P1516" i="3"/>
  <c r="O677" i="3"/>
  <c r="S317" i="3"/>
  <c r="R317" i="3"/>
  <c r="O74" i="3"/>
  <c r="O1516" i="3"/>
  <c r="Q1996" i="3"/>
  <c r="P1996" i="3"/>
  <c r="O1275" i="3"/>
  <c r="N557" i="3"/>
  <c r="J558" i="3" s="1"/>
  <c r="S437" i="3"/>
  <c r="R437" i="3"/>
  <c r="O557" i="3"/>
  <c r="Q799" i="3"/>
  <c r="P799" i="3"/>
  <c r="Q198" i="3"/>
  <c r="P198" i="3"/>
  <c r="K2118" i="3"/>
  <c r="L2118" i="3" s="1"/>
  <c r="N1516" i="3"/>
  <c r="J1517" i="3" s="1"/>
  <c r="O1996" i="3"/>
  <c r="K438" i="3"/>
  <c r="L438" i="3" s="1"/>
  <c r="S1756" i="3"/>
  <c r="R1756" i="3"/>
  <c r="V98" i="1"/>
  <c r="U98" i="1"/>
  <c r="K318" i="3"/>
  <c r="L318" i="3" s="1"/>
  <c r="N799" i="3"/>
  <c r="J800" i="3" s="1"/>
  <c r="N198" i="3"/>
  <c r="J199" i="3" s="1"/>
  <c r="Q2117" i="3"/>
  <c r="P2117" i="3"/>
  <c r="Q2238" i="3"/>
  <c r="P2238" i="3"/>
  <c r="N1996" i="3"/>
  <c r="J1997" i="3" s="1"/>
  <c r="M2118" i="3" l="1"/>
  <c r="M2239" i="3"/>
  <c r="N1757" i="3"/>
  <c r="J1758" i="3" s="1"/>
  <c r="O1757" i="3"/>
  <c r="M1757" i="3"/>
  <c r="M318" i="3"/>
  <c r="N2595" i="3"/>
  <c r="J2596" i="3" s="1"/>
  <c r="M2595" i="3"/>
  <c r="O919" i="3"/>
  <c r="M919" i="3"/>
  <c r="M438" i="3"/>
  <c r="K1517" i="3"/>
  <c r="L1517" i="3" s="1"/>
  <c r="K1276" i="3"/>
  <c r="L1276" i="3" s="1"/>
  <c r="Q1157" i="3"/>
  <c r="P1157" i="3"/>
  <c r="S1275" i="3"/>
  <c r="R1275" i="3"/>
  <c r="N1157" i="3"/>
  <c r="J1158" i="3" s="1"/>
  <c r="Q1877" i="3"/>
  <c r="P1877" i="3"/>
  <c r="K2481" i="3"/>
  <c r="L2481" i="3" s="1"/>
  <c r="M2356" i="3"/>
  <c r="O1157" i="3"/>
  <c r="L1878" i="3"/>
  <c r="K1878" i="3"/>
  <c r="N100" i="1"/>
  <c r="O100" i="1" s="1"/>
  <c r="K678" i="3"/>
  <c r="L678" i="3" s="1"/>
  <c r="S198" i="3"/>
  <c r="R198" i="3"/>
  <c r="Q1038" i="3"/>
  <c r="P1038" i="3"/>
  <c r="T99" i="1"/>
  <c r="S99" i="1"/>
  <c r="S557" i="3"/>
  <c r="R557" i="3"/>
  <c r="K558" i="3"/>
  <c r="L558" i="3" s="1"/>
  <c r="K1997" i="3"/>
  <c r="L1997" i="3"/>
  <c r="S677" i="3"/>
  <c r="R677" i="3"/>
  <c r="S2594" i="3"/>
  <c r="R2594" i="3"/>
  <c r="O1038" i="3"/>
  <c r="Q1634" i="3"/>
  <c r="P1634" i="3"/>
  <c r="S799" i="3"/>
  <c r="R799" i="3"/>
  <c r="S1996" i="3"/>
  <c r="R1996" i="3"/>
  <c r="S1516" i="3"/>
  <c r="R1516" i="3"/>
  <c r="S74" i="3"/>
  <c r="R74" i="3"/>
  <c r="Q1396" i="3"/>
  <c r="P1396" i="3"/>
  <c r="N1038" i="3"/>
  <c r="J1039" i="3" s="1"/>
  <c r="N1634" i="3"/>
  <c r="J1635" i="3" s="1"/>
  <c r="S2117" i="3"/>
  <c r="R2117" i="3"/>
  <c r="K199" i="3"/>
  <c r="L199" i="3" s="1"/>
  <c r="K800" i="3"/>
  <c r="L800" i="3" s="1"/>
  <c r="S2238" i="3"/>
  <c r="R2238" i="3"/>
  <c r="L75" i="3"/>
  <c r="K75" i="3"/>
  <c r="S918" i="3"/>
  <c r="R918" i="3"/>
  <c r="N1396" i="3"/>
  <c r="J1397" i="3" s="1"/>
  <c r="Q2480" i="3"/>
  <c r="P2480" i="3"/>
  <c r="O1634" i="3"/>
  <c r="M800" i="3" l="1"/>
  <c r="N558" i="3"/>
  <c r="J559" i="3" s="1"/>
  <c r="M558" i="3"/>
  <c r="N199" i="3"/>
  <c r="J200" i="3" s="1"/>
  <c r="O199" i="3"/>
  <c r="M199" i="3"/>
  <c r="M2481" i="3"/>
  <c r="M1276" i="3"/>
  <c r="O1276" i="3" s="1"/>
  <c r="O1517" i="3"/>
  <c r="M1517" i="3"/>
  <c r="M678" i="3"/>
  <c r="O678" i="3" s="1"/>
  <c r="P100" i="1"/>
  <c r="Q100" i="1" s="1"/>
  <c r="M101" i="1" s="1"/>
  <c r="K1158" i="3"/>
  <c r="L1158" i="3" s="1"/>
  <c r="Q2595" i="3"/>
  <c r="P2595" i="3"/>
  <c r="K1758" i="3"/>
  <c r="L1758" i="3" s="1"/>
  <c r="N1878" i="3"/>
  <c r="J1879" i="3" s="1"/>
  <c r="O1878" i="3"/>
  <c r="M1878" i="3"/>
  <c r="S2480" i="3"/>
  <c r="R2480" i="3"/>
  <c r="Q2356" i="3"/>
  <c r="P2356" i="3"/>
  <c r="K2596" i="3"/>
  <c r="L2596" i="3" s="1"/>
  <c r="Q2239" i="3"/>
  <c r="P2239" i="3"/>
  <c r="N2356" i="3"/>
  <c r="J2357" i="3" s="1"/>
  <c r="Q438" i="3"/>
  <c r="P438" i="3"/>
  <c r="O2595" i="3"/>
  <c r="N2239" i="3"/>
  <c r="J2240" i="3" s="1"/>
  <c r="O75" i="3"/>
  <c r="M75" i="3"/>
  <c r="S1877" i="3"/>
  <c r="R1877" i="3"/>
  <c r="K1397" i="3"/>
  <c r="L1397" i="3" s="1"/>
  <c r="O1997" i="3"/>
  <c r="M1997" i="3"/>
  <c r="O2356" i="3"/>
  <c r="N438" i="3"/>
  <c r="J439" i="3" s="1"/>
  <c r="Q318" i="3"/>
  <c r="P318" i="3"/>
  <c r="O2239" i="3"/>
  <c r="L1635" i="3"/>
  <c r="K1635" i="3"/>
  <c r="V99" i="1"/>
  <c r="U99" i="1"/>
  <c r="O438" i="3"/>
  <c r="N318" i="3"/>
  <c r="J319" i="3" s="1"/>
  <c r="Q2118" i="3"/>
  <c r="P2118" i="3"/>
  <c r="K1039" i="3"/>
  <c r="L1039" i="3"/>
  <c r="S1396" i="3"/>
  <c r="R1396" i="3"/>
  <c r="S1157" i="3"/>
  <c r="R1157" i="3"/>
  <c r="Q919" i="3"/>
  <c r="P919" i="3"/>
  <c r="O318" i="3"/>
  <c r="N2118" i="3"/>
  <c r="J2119" i="3" s="1"/>
  <c r="S1634" i="3"/>
  <c r="R1634" i="3"/>
  <c r="S1038" i="3"/>
  <c r="R1038" i="3"/>
  <c r="N919" i="3"/>
  <c r="J920" i="3" s="1"/>
  <c r="Q1757" i="3"/>
  <c r="P1757" i="3"/>
  <c r="O2118" i="3"/>
  <c r="M1758" i="3" l="1"/>
  <c r="M1158" i="3"/>
  <c r="N101" i="1"/>
  <c r="O101" i="1" s="1"/>
  <c r="M2596" i="3"/>
  <c r="M1397" i="3"/>
  <c r="K2240" i="3"/>
  <c r="L2240" i="3" s="1"/>
  <c r="K1879" i="3"/>
  <c r="L1879" i="3"/>
  <c r="R100" i="1"/>
  <c r="N1276" i="3"/>
  <c r="J1277" i="3" s="1"/>
  <c r="K200" i="3"/>
  <c r="L200" i="3"/>
  <c r="N1635" i="3"/>
  <c r="J1636" i="3" s="1"/>
  <c r="O1635" i="3"/>
  <c r="M1635" i="3"/>
  <c r="Q558" i="3"/>
  <c r="P558" i="3"/>
  <c r="K319" i="3"/>
  <c r="L319" i="3" s="1"/>
  <c r="S2356" i="3"/>
  <c r="R2356" i="3"/>
  <c r="Q1276" i="3"/>
  <c r="P1276" i="3"/>
  <c r="K559" i="3"/>
  <c r="L559" i="3" s="1"/>
  <c r="S2118" i="3"/>
  <c r="R2118" i="3"/>
  <c r="T100" i="1"/>
  <c r="S100" i="1"/>
  <c r="S438" i="3"/>
  <c r="R438" i="3"/>
  <c r="N678" i="3"/>
  <c r="J679" i="3" s="1"/>
  <c r="Q2481" i="3"/>
  <c r="P2481" i="3"/>
  <c r="O558" i="3"/>
  <c r="S1757" i="3"/>
  <c r="R1757" i="3"/>
  <c r="K2119" i="3"/>
  <c r="L2119" i="3" s="1"/>
  <c r="S318" i="3"/>
  <c r="R318" i="3"/>
  <c r="K920" i="3"/>
  <c r="L920" i="3" s="1"/>
  <c r="K439" i="3"/>
  <c r="L439" i="3" s="1"/>
  <c r="K2357" i="3"/>
  <c r="L2357" i="3" s="1"/>
  <c r="S2595" i="3"/>
  <c r="R2595" i="3"/>
  <c r="N2481" i="3"/>
  <c r="J2482" i="3" s="1"/>
  <c r="Q800" i="3"/>
  <c r="P800" i="3"/>
  <c r="Q678" i="3"/>
  <c r="P678" i="3"/>
  <c r="S919" i="3"/>
  <c r="R919" i="3"/>
  <c r="Q1997" i="3"/>
  <c r="P1997" i="3"/>
  <c r="Q75" i="3"/>
  <c r="P75" i="3"/>
  <c r="Q1517" i="3"/>
  <c r="P1517" i="3"/>
  <c r="O2481" i="3"/>
  <c r="N800" i="3"/>
  <c r="J801" i="3" s="1"/>
  <c r="M1039" i="3"/>
  <c r="N1039" i="3" s="1"/>
  <c r="J1040" i="3" s="1"/>
  <c r="N1997" i="3"/>
  <c r="J1998" i="3" s="1"/>
  <c r="N75" i="3"/>
  <c r="J76" i="3" s="1"/>
  <c r="S2239" i="3"/>
  <c r="R2239" i="3"/>
  <c r="Q1878" i="3"/>
  <c r="P1878" i="3"/>
  <c r="N1517" i="3"/>
  <c r="J1518" i="3" s="1"/>
  <c r="Q199" i="3"/>
  <c r="P199" i="3"/>
  <c r="O800" i="3"/>
  <c r="M559" i="3" l="1"/>
  <c r="M2119" i="3"/>
  <c r="N920" i="3"/>
  <c r="J921" i="3" s="1"/>
  <c r="O920" i="3"/>
  <c r="M920" i="3"/>
  <c r="K1040" i="3"/>
  <c r="L1040" i="3"/>
  <c r="M439" i="3"/>
  <c r="O2240" i="3"/>
  <c r="N2240" i="3"/>
  <c r="J2241" i="3" s="1"/>
  <c r="M2240" i="3"/>
  <c r="P101" i="1"/>
  <c r="N319" i="3"/>
  <c r="J320" i="3" s="1"/>
  <c r="M319" i="3"/>
  <c r="N2357" i="3"/>
  <c r="J2358" i="3" s="1"/>
  <c r="M2357" i="3"/>
  <c r="S2481" i="3"/>
  <c r="R2481" i="3"/>
  <c r="K1636" i="3"/>
  <c r="L1636" i="3" s="1"/>
  <c r="S1517" i="3"/>
  <c r="R1517" i="3"/>
  <c r="K679" i="3"/>
  <c r="L679" i="3" s="1"/>
  <c r="N200" i="3"/>
  <c r="J201" i="3" s="1"/>
  <c r="O200" i="3"/>
  <c r="M200" i="3"/>
  <c r="Q1397" i="3"/>
  <c r="P1397" i="3"/>
  <c r="Q1158" i="3"/>
  <c r="P1158" i="3"/>
  <c r="S75" i="3"/>
  <c r="R75" i="3"/>
  <c r="N1397" i="3"/>
  <c r="J1398" i="3" s="1"/>
  <c r="O1158" i="3"/>
  <c r="V100" i="1"/>
  <c r="U100" i="1"/>
  <c r="K1998" i="3"/>
  <c r="L1998" i="3"/>
  <c r="O1039" i="3"/>
  <c r="S800" i="3"/>
  <c r="R800" i="3"/>
  <c r="L1277" i="3"/>
  <c r="K1277" i="3"/>
  <c r="O1397" i="3"/>
  <c r="N1158" i="3"/>
  <c r="J1159" i="3" s="1"/>
  <c r="S1878" i="3"/>
  <c r="R1878" i="3"/>
  <c r="S1997" i="3"/>
  <c r="R1997" i="3"/>
  <c r="K2482" i="3"/>
  <c r="L2482" i="3" s="1"/>
  <c r="Q2596" i="3"/>
  <c r="P2596" i="3"/>
  <c r="Q1758" i="3"/>
  <c r="P1758" i="3"/>
  <c r="S199" i="3"/>
  <c r="R199" i="3"/>
  <c r="L1518" i="3"/>
  <c r="K1518" i="3"/>
  <c r="S558" i="3"/>
  <c r="R558" i="3"/>
  <c r="M1879" i="3"/>
  <c r="N2596" i="3"/>
  <c r="J2597" i="3" s="1"/>
  <c r="N1758" i="3"/>
  <c r="J1759" i="3" s="1"/>
  <c r="L76" i="3"/>
  <c r="K76" i="3"/>
  <c r="S678" i="3"/>
  <c r="R678" i="3"/>
  <c r="Q1039" i="3"/>
  <c r="P1039" i="3"/>
  <c r="K801" i="3"/>
  <c r="L801" i="3" s="1"/>
  <c r="S1276" i="3"/>
  <c r="R1276" i="3"/>
  <c r="Q1635" i="3"/>
  <c r="P1635" i="3"/>
  <c r="O2596" i="3"/>
  <c r="O1758" i="3"/>
  <c r="M679" i="3" l="1"/>
  <c r="M801" i="3"/>
  <c r="O1636" i="3"/>
  <c r="N1636" i="3"/>
  <c r="J1637" i="3" s="1"/>
  <c r="M1636" i="3"/>
  <c r="M2482" i="3"/>
  <c r="K1759" i="3"/>
  <c r="L1759" i="3" s="1"/>
  <c r="S2596" i="3"/>
  <c r="R2596" i="3"/>
  <c r="K1398" i="3"/>
  <c r="L1398" i="3" s="1"/>
  <c r="Q200" i="3"/>
  <c r="P200" i="3"/>
  <c r="Q319" i="3"/>
  <c r="P319" i="3"/>
  <c r="K921" i="3"/>
  <c r="L921" i="3" s="1"/>
  <c r="S1397" i="3"/>
  <c r="R1397" i="3"/>
  <c r="N1518" i="3"/>
  <c r="J1519" i="3" s="1"/>
  <c r="M1518" i="3"/>
  <c r="K1159" i="3"/>
  <c r="L1159" i="3" s="1"/>
  <c r="M1998" i="3"/>
  <c r="K320" i="3"/>
  <c r="L320" i="3" s="1"/>
  <c r="Q439" i="3"/>
  <c r="P439" i="3"/>
  <c r="Q2119" i="3"/>
  <c r="P2119" i="3"/>
  <c r="K2241" i="3"/>
  <c r="L2241" i="3" s="1"/>
  <c r="Q1879" i="3"/>
  <c r="P1879" i="3"/>
  <c r="K201" i="3"/>
  <c r="L201" i="3"/>
  <c r="O319" i="3"/>
  <c r="N439" i="3"/>
  <c r="J440" i="3" s="1"/>
  <c r="O2119" i="3"/>
  <c r="K2597" i="3"/>
  <c r="L2597" i="3" s="1"/>
  <c r="O1879" i="3"/>
  <c r="T101" i="1"/>
  <c r="S101" i="1"/>
  <c r="O439" i="3"/>
  <c r="N2119" i="3"/>
  <c r="J2120" i="3" s="1"/>
  <c r="Q101" i="1"/>
  <c r="M102" i="1" s="1"/>
  <c r="M1040" i="3"/>
  <c r="Q559" i="3"/>
  <c r="P559" i="3"/>
  <c r="K2358" i="3"/>
  <c r="L2358" i="3"/>
  <c r="S1635" i="3"/>
  <c r="R1635" i="3"/>
  <c r="N1879" i="3"/>
  <c r="J1880" i="3" s="1"/>
  <c r="S1158" i="3"/>
  <c r="R1158" i="3"/>
  <c r="Q2357" i="3"/>
  <c r="P2357" i="3"/>
  <c r="R101" i="1"/>
  <c r="N559" i="3"/>
  <c r="J560" i="3" s="1"/>
  <c r="O76" i="3"/>
  <c r="N76" i="3"/>
  <c r="J77" i="3" s="1"/>
  <c r="M76" i="3"/>
  <c r="S1039" i="3"/>
  <c r="R1039" i="3"/>
  <c r="M1277" i="3"/>
  <c r="O1277" i="3" s="1"/>
  <c r="S1758" i="3"/>
  <c r="R1758" i="3"/>
  <c r="O2357" i="3"/>
  <c r="P2240" i="3"/>
  <c r="Q2240" i="3"/>
  <c r="Q920" i="3"/>
  <c r="P920" i="3"/>
  <c r="O559" i="3"/>
  <c r="M1759" i="3" l="1"/>
  <c r="M320" i="3"/>
  <c r="O921" i="3"/>
  <c r="N921" i="3"/>
  <c r="J922" i="3" s="1"/>
  <c r="M921" i="3"/>
  <c r="M1159" i="3"/>
  <c r="N2597" i="3"/>
  <c r="J2598" i="3" s="1"/>
  <c r="M2597" i="3"/>
  <c r="O2241" i="3"/>
  <c r="M2241" i="3"/>
  <c r="M1398" i="3"/>
  <c r="Q1040" i="3"/>
  <c r="P1040" i="3"/>
  <c r="V101" i="1"/>
  <c r="U101" i="1"/>
  <c r="S439" i="3"/>
  <c r="R439" i="3"/>
  <c r="Q1518" i="3"/>
  <c r="P1518" i="3"/>
  <c r="K1637" i="3"/>
  <c r="L1637" i="3" s="1"/>
  <c r="N1040" i="3"/>
  <c r="J1041" i="3" s="1"/>
  <c r="K1519" i="3"/>
  <c r="L1519" i="3" s="1"/>
  <c r="S319" i="3"/>
  <c r="R319" i="3"/>
  <c r="Q801" i="3"/>
  <c r="P801" i="3"/>
  <c r="K1880" i="3"/>
  <c r="L1880" i="3" s="1"/>
  <c r="S1879" i="3"/>
  <c r="R1879" i="3"/>
  <c r="O1518" i="3"/>
  <c r="O801" i="3"/>
  <c r="S559" i="3"/>
  <c r="R559" i="3"/>
  <c r="N201" i="3"/>
  <c r="J202" i="3" s="1"/>
  <c r="O201" i="3"/>
  <c r="M201" i="3"/>
  <c r="S920" i="3"/>
  <c r="R920" i="3"/>
  <c r="O102" i="1"/>
  <c r="N102" i="1"/>
  <c r="Q1998" i="3"/>
  <c r="P1998" i="3"/>
  <c r="S200" i="3"/>
  <c r="R200" i="3"/>
  <c r="Q2482" i="3"/>
  <c r="P2482" i="3"/>
  <c r="N801" i="3"/>
  <c r="J802" i="3" s="1"/>
  <c r="K560" i="3"/>
  <c r="L560" i="3" s="1"/>
  <c r="O1040" i="3"/>
  <c r="S2357" i="3"/>
  <c r="R2357" i="3"/>
  <c r="M2358" i="3"/>
  <c r="N2358" i="3" s="1"/>
  <c r="J2359" i="3" s="1"/>
  <c r="K2120" i="3"/>
  <c r="L2120" i="3" s="1"/>
  <c r="N1998" i="3"/>
  <c r="J1999" i="3" s="1"/>
  <c r="N2482" i="3"/>
  <c r="J2483" i="3" s="1"/>
  <c r="Q679" i="3"/>
  <c r="P679" i="3"/>
  <c r="Q1277" i="3"/>
  <c r="P1277" i="3"/>
  <c r="S2240" i="3"/>
  <c r="R2240" i="3"/>
  <c r="N1277" i="3"/>
  <c r="J1278" i="3" s="1"/>
  <c r="K440" i="3"/>
  <c r="L440" i="3" s="1"/>
  <c r="O1998" i="3"/>
  <c r="O2482" i="3"/>
  <c r="O679" i="3"/>
  <c r="K77" i="3"/>
  <c r="L77" i="3" s="1"/>
  <c r="Q76" i="3"/>
  <c r="P76" i="3"/>
  <c r="S2119" i="3"/>
  <c r="R2119" i="3"/>
  <c r="Q1636" i="3"/>
  <c r="P1636" i="3"/>
  <c r="N679" i="3"/>
  <c r="J680" i="3" s="1"/>
  <c r="M1519" i="3" l="1"/>
  <c r="M2120" i="3"/>
  <c r="O560" i="3"/>
  <c r="N560" i="3"/>
  <c r="J561" i="3" s="1"/>
  <c r="M560" i="3"/>
  <c r="M440" i="3"/>
  <c r="K2359" i="3"/>
  <c r="L2359" i="3" s="1"/>
  <c r="O1637" i="3"/>
  <c r="N1637" i="3"/>
  <c r="J1638" i="3" s="1"/>
  <c r="M1637" i="3"/>
  <c r="M77" i="3"/>
  <c r="N1880" i="3"/>
  <c r="J1881" i="3" s="1"/>
  <c r="M1880" i="3"/>
  <c r="L922" i="3"/>
  <c r="K922" i="3"/>
  <c r="Q201" i="3"/>
  <c r="P201" i="3"/>
  <c r="S1518" i="3"/>
  <c r="R1518" i="3"/>
  <c r="Q2597" i="3"/>
  <c r="P2597" i="3"/>
  <c r="K1999" i="3"/>
  <c r="L1999" i="3" s="1"/>
  <c r="S1040" i="3"/>
  <c r="R1040" i="3"/>
  <c r="L2598" i="3"/>
  <c r="K2598" i="3"/>
  <c r="Q320" i="3"/>
  <c r="P320" i="3"/>
  <c r="K680" i="3"/>
  <c r="L680" i="3" s="1"/>
  <c r="S1998" i="3"/>
  <c r="R1998" i="3"/>
  <c r="K202" i="3"/>
  <c r="L202" i="3"/>
  <c r="Q1398" i="3"/>
  <c r="P1398" i="3"/>
  <c r="O2597" i="3"/>
  <c r="O320" i="3"/>
  <c r="S1636" i="3"/>
  <c r="R1636" i="3"/>
  <c r="S1277" i="3"/>
  <c r="R1277" i="3"/>
  <c r="K802" i="3"/>
  <c r="L802" i="3"/>
  <c r="N1398" i="3"/>
  <c r="J1399" i="3" s="1"/>
  <c r="Q1159" i="3"/>
  <c r="P1159" i="3"/>
  <c r="N320" i="3"/>
  <c r="J321" i="3" s="1"/>
  <c r="O1398" i="3"/>
  <c r="N1159" i="3"/>
  <c r="J1160" i="3" s="1"/>
  <c r="Q1759" i="3"/>
  <c r="P1759" i="3"/>
  <c r="Q2358" i="3"/>
  <c r="P2358" i="3"/>
  <c r="O2358" i="3"/>
  <c r="R102" i="1"/>
  <c r="P102" i="1"/>
  <c r="S679" i="3"/>
  <c r="R679" i="3"/>
  <c r="Q2241" i="3"/>
  <c r="P2241" i="3"/>
  <c r="O1159" i="3"/>
  <c r="N1759" i="3"/>
  <c r="J1760" i="3" s="1"/>
  <c r="K1041" i="3"/>
  <c r="L1041" i="3" s="1"/>
  <c r="S2482" i="3"/>
  <c r="R2482" i="3"/>
  <c r="S76" i="3"/>
  <c r="R76" i="3"/>
  <c r="K1278" i="3"/>
  <c r="L1278" i="3" s="1"/>
  <c r="K2483" i="3"/>
  <c r="L2483" i="3" s="1"/>
  <c r="S801" i="3"/>
  <c r="R801" i="3"/>
  <c r="N2241" i="3"/>
  <c r="J2242" i="3" s="1"/>
  <c r="Q921" i="3"/>
  <c r="P921" i="3"/>
  <c r="O1759" i="3"/>
  <c r="M2359" i="3" l="1"/>
  <c r="M1041" i="3"/>
  <c r="N1999" i="3"/>
  <c r="J2000" i="3" s="1"/>
  <c r="O1999" i="3"/>
  <c r="M1999" i="3"/>
  <c r="M2483" i="3"/>
  <c r="M680" i="3"/>
  <c r="N1278" i="3"/>
  <c r="J1279" i="3" s="1"/>
  <c r="M1278" i="3"/>
  <c r="K561" i="3"/>
  <c r="L561" i="3" s="1"/>
  <c r="S2597" i="3"/>
  <c r="R2597" i="3"/>
  <c r="Q1880" i="3"/>
  <c r="P1880" i="3"/>
  <c r="K321" i="3"/>
  <c r="L321" i="3"/>
  <c r="M2598" i="3"/>
  <c r="K1881" i="3"/>
  <c r="L1881" i="3" s="1"/>
  <c r="Q2120" i="3"/>
  <c r="P2120" i="3"/>
  <c r="M202" i="3"/>
  <c r="O1880" i="3"/>
  <c r="N2120" i="3"/>
  <c r="J2121" i="3" s="1"/>
  <c r="L1638" i="3"/>
  <c r="K1638" i="3"/>
  <c r="M802" i="3"/>
  <c r="Q77" i="3"/>
  <c r="P77" i="3"/>
  <c r="Q440" i="3"/>
  <c r="P440" i="3"/>
  <c r="O2120" i="3"/>
  <c r="S1159" i="3"/>
  <c r="R1159" i="3"/>
  <c r="S2358" i="3"/>
  <c r="R2358" i="3"/>
  <c r="S1759" i="3"/>
  <c r="R1759" i="3"/>
  <c r="N77" i="3"/>
  <c r="J78" i="3" s="1"/>
  <c r="O440" i="3"/>
  <c r="Q1519" i="3"/>
  <c r="P1519" i="3"/>
  <c r="N922" i="3"/>
  <c r="J923" i="3" s="1"/>
  <c r="O922" i="3"/>
  <c r="M922" i="3"/>
  <c r="S2241" i="3"/>
  <c r="R2241" i="3"/>
  <c r="K1399" i="3"/>
  <c r="L1399" i="3" s="1"/>
  <c r="T102" i="1"/>
  <c r="S102" i="1"/>
  <c r="K1160" i="3"/>
  <c r="L1160" i="3" s="1"/>
  <c r="S201" i="3"/>
  <c r="R201" i="3"/>
  <c r="O77" i="3"/>
  <c r="N440" i="3"/>
  <c r="J441" i="3" s="1"/>
  <c r="N1519" i="3"/>
  <c r="J1520" i="3" s="1"/>
  <c r="S320" i="3"/>
  <c r="R320" i="3"/>
  <c r="S921" i="3"/>
  <c r="R921" i="3"/>
  <c r="K2242" i="3"/>
  <c r="L2242" i="3" s="1"/>
  <c r="K1760" i="3"/>
  <c r="L1760" i="3" s="1"/>
  <c r="Q102" i="1"/>
  <c r="M103" i="1" s="1"/>
  <c r="S1398" i="3"/>
  <c r="R1398" i="3"/>
  <c r="Q1637" i="3"/>
  <c r="P1637" i="3"/>
  <c r="Q560" i="3"/>
  <c r="P560" i="3"/>
  <c r="O1519" i="3"/>
  <c r="M1760" i="3" l="1"/>
  <c r="M1399" i="3"/>
  <c r="N2242" i="3"/>
  <c r="J2243" i="3" s="1"/>
  <c r="O2242" i="3"/>
  <c r="M2242" i="3"/>
  <c r="M1160" i="3"/>
  <c r="M1881" i="3"/>
  <c r="O561" i="3"/>
  <c r="M561" i="3"/>
  <c r="M1638" i="3"/>
  <c r="S440" i="3"/>
  <c r="R440" i="3"/>
  <c r="K2121" i="3"/>
  <c r="L2121" i="3" s="1"/>
  <c r="Q680" i="3"/>
  <c r="P680" i="3"/>
  <c r="K2000" i="3"/>
  <c r="L2000" i="3" s="1"/>
  <c r="Q2598" i="3"/>
  <c r="P2598" i="3"/>
  <c r="N680" i="3"/>
  <c r="J681" i="3" s="1"/>
  <c r="Q1041" i="3"/>
  <c r="P1041" i="3"/>
  <c r="S1880" i="3"/>
  <c r="R1880" i="3"/>
  <c r="K441" i="3"/>
  <c r="L441" i="3"/>
  <c r="S77" i="3"/>
  <c r="R77" i="3"/>
  <c r="Q202" i="3"/>
  <c r="P202" i="3"/>
  <c r="N2598" i="3"/>
  <c r="J2599" i="3" s="1"/>
  <c r="O680" i="3"/>
  <c r="N1041" i="3"/>
  <c r="J1042" i="3" s="1"/>
  <c r="K1520" i="3"/>
  <c r="L1520" i="3" s="1"/>
  <c r="V102" i="1"/>
  <c r="U102" i="1"/>
  <c r="Q802" i="3"/>
  <c r="P802" i="3"/>
  <c r="N202" i="3"/>
  <c r="J203" i="3" s="1"/>
  <c r="O2598" i="3"/>
  <c r="Q2483" i="3"/>
  <c r="P2483" i="3"/>
  <c r="O1041" i="3"/>
  <c r="N103" i="1"/>
  <c r="O103" i="1" s="1"/>
  <c r="K78" i="3"/>
  <c r="L78" i="3" s="1"/>
  <c r="N802" i="3"/>
  <c r="J803" i="3" s="1"/>
  <c r="O202" i="3"/>
  <c r="M321" i="3"/>
  <c r="O321" i="3" s="1"/>
  <c r="N2483" i="3"/>
  <c r="J2484" i="3" s="1"/>
  <c r="Q2359" i="3"/>
  <c r="P2359" i="3"/>
  <c r="S1637" i="3"/>
  <c r="R1637" i="3"/>
  <c r="K923" i="3"/>
  <c r="L923" i="3" s="1"/>
  <c r="S1519" i="3"/>
  <c r="R1519" i="3"/>
  <c r="O802" i="3"/>
  <c r="Q1278" i="3"/>
  <c r="P1278" i="3"/>
  <c r="O2483" i="3"/>
  <c r="O2359" i="3"/>
  <c r="K1279" i="3"/>
  <c r="L1279" i="3" s="1"/>
  <c r="S560" i="3"/>
  <c r="R560" i="3"/>
  <c r="Q922" i="3"/>
  <c r="P922" i="3"/>
  <c r="S2120" i="3"/>
  <c r="R2120" i="3"/>
  <c r="O1278" i="3"/>
  <c r="Q1999" i="3"/>
  <c r="P1999" i="3"/>
  <c r="N2359" i="3"/>
  <c r="J2360" i="3" s="1"/>
  <c r="M1279" i="3" l="1"/>
  <c r="M2121" i="3"/>
  <c r="N2000" i="3"/>
  <c r="J2001" i="3" s="1"/>
  <c r="O2000" i="3"/>
  <c r="M2000" i="3"/>
  <c r="M923" i="3"/>
  <c r="N78" i="3"/>
  <c r="J79" i="3" s="1"/>
  <c r="M78" i="3"/>
  <c r="Q103" i="1"/>
  <c r="M104" i="1" s="1"/>
  <c r="P103" i="1"/>
  <c r="M1520" i="3"/>
  <c r="S2359" i="3"/>
  <c r="R2359" i="3"/>
  <c r="S2598" i="3"/>
  <c r="R2598" i="3"/>
  <c r="Q1881" i="3"/>
  <c r="P1881" i="3"/>
  <c r="K2243" i="3"/>
  <c r="L2243" i="3" s="1"/>
  <c r="N1881" i="3"/>
  <c r="J1882" i="3" s="1"/>
  <c r="Q1399" i="3"/>
  <c r="P1399" i="3"/>
  <c r="Q1638" i="3"/>
  <c r="P1638" i="3"/>
  <c r="O1881" i="3"/>
  <c r="N1399" i="3"/>
  <c r="J1400" i="3" s="1"/>
  <c r="S202" i="3"/>
  <c r="R202" i="3"/>
  <c r="N1638" i="3"/>
  <c r="J1639" i="3" s="1"/>
  <c r="Q1160" i="3"/>
  <c r="P1160" i="3"/>
  <c r="O1399" i="3"/>
  <c r="L1042" i="3"/>
  <c r="K1042" i="3"/>
  <c r="S802" i="3"/>
  <c r="R802" i="3"/>
  <c r="S680" i="3"/>
  <c r="R680" i="3"/>
  <c r="O1638" i="3"/>
  <c r="O1160" i="3"/>
  <c r="Q1760" i="3"/>
  <c r="P1760" i="3"/>
  <c r="O441" i="3"/>
  <c r="M441" i="3"/>
  <c r="K2599" i="3"/>
  <c r="L2599" i="3"/>
  <c r="Q321" i="3"/>
  <c r="P321" i="3"/>
  <c r="K2360" i="3"/>
  <c r="L2360" i="3"/>
  <c r="N321" i="3"/>
  <c r="J322" i="3" s="1"/>
  <c r="S2483" i="3"/>
  <c r="R2483" i="3"/>
  <c r="S1041" i="3"/>
  <c r="R1041" i="3"/>
  <c r="Q561" i="3"/>
  <c r="P561" i="3"/>
  <c r="N1160" i="3"/>
  <c r="J1161" i="3" s="1"/>
  <c r="N1760" i="3"/>
  <c r="J1761" i="3" s="1"/>
  <c r="K203" i="3"/>
  <c r="L203" i="3" s="1"/>
  <c r="L2484" i="3"/>
  <c r="K2484" i="3"/>
  <c r="S922" i="3"/>
  <c r="R922" i="3"/>
  <c r="S1278" i="3"/>
  <c r="R1278" i="3"/>
  <c r="S1999" i="3"/>
  <c r="R1999" i="3"/>
  <c r="K803" i="3"/>
  <c r="L803" i="3" s="1"/>
  <c r="K681" i="3"/>
  <c r="L681" i="3" s="1"/>
  <c r="N561" i="3"/>
  <c r="J562" i="3" s="1"/>
  <c r="Q2242" i="3"/>
  <c r="P2242" i="3"/>
  <c r="O1760" i="3"/>
  <c r="M681" i="3" l="1"/>
  <c r="M803" i="3"/>
  <c r="O203" i="3"/>
  <c r="N203" i="3"/>
  <c r="J204" i="3" s="1"/>
  <c r="M203" i="3"/>
  <c r="M2243" i="3"/>
  <c r="S2242" i="3"/>
  <c r="R2242" i="3"/>
  <c r="S321" i="3"/>
  <c r="R321" i="3"/>
  <c r="Q78" i="3"/>
  <c r="P78" i="3"/>
  <c r="K2001" i="3"/>
  <c r="L2001" i="3"/>
  <c r="O2599" i="3"/>
  <c r="N2599" i="3"/>
  <c r="J2600" i="3" s="1"/>
  <c r="M2599" i="3"/>
  <c r="K1400" i="3"/>
  <c r="L1400" i="3" s="1"/>
  <c r="K79" i="3"/>
  <c r="L79" i="3" s="1"/>
  <c r="Q2121" i="3"/>
  <c r="P2121" i="3"/>
  <c r="S1760" i="3"/>
  <c r="R1760" i="3"/>
  <c r="K562" i="3"/>
  <c r="L562" i="3" s="1"/>
  <c r="Q1520" i="3"/>
  <c r="P1520" i="3"/>
  <c r="O78" i="3"/>
  <c r="N2121" i="3"/>
  <c r="J2122" i="3" s="1"/>
  <c r="K1882" i="3"/>
  <c r="L1882" i="3" s="1"/>
  <c r="K1161" i="3"/>
  <c r="L1161" i="3"/>
  <c r="Q441" i="3"/>
  <c r="P441" i="3"/>
  <c r="S1881" i="3"/>
  <c r="R1881" i="3"/>
  <c r="O1520" i="3"/>
  <c r="Q923" i="3"/>
  <c r="P923" i="3"/>
  <c r="O2121" i="3"/>
  <c r="N104" i="1"/>
  <c r="O104" i="1" s="1"/>
  <c r="L1761" i="3"/>
  <c r="K1761" i="3"/>
  <c r="K322" i="3"/>
  <c r="L322" i="3" s="1"/>
  <c r="S1160" i="3"/>
  <c r="R1160" i="3"/>
  <c r="S1638" i="3"/>
  <c r="R1638" i="3"/>
  <c r="N1520" i="3"/>
  <c r="J1521" i="3" s="1"/>
  <c r="N923" i="3"/>
  <c r="J924" i="3" s="1"/>
  <c r="Q1279" i="3"/>
  <c r="P1279" i="3"/>
  <c r="M2484" i="3"/>
  <c r="O2484" i="3" s="1"/>
  <c r="M1042" i="3"/>
  <c r="S561" i="3"/>
  <c r="R561" i="3"/>
  <c r="K1639" i="3"/>
  <c r="L1639" i="3" s="1"/>
  <c r="T103" i="1"/>
  <c r="S103" i="1"/>
  <c r="O923" i="3"/>
  <c r="N1279" i="3"/>
  <c r="J1280" i="3" s="1"/>
  <c r="M2360" i="3"/>
  <c r="N441" i="3"/>
  <c r="J442" i="3" s="1"/>
  <c r="S1399" i="3"/>
  <c r="R1399" i="3"/>
  <c r="R103" i="1"/>
  <c r="Q2000" i="3"/>
  <c r="P2000" i="3"/>
  <c r="O1279" i="3"/>
  <c r="P104" i="1" l="1"/>
  <c r="M1639" i="3"/>
  <c r="O1882" i="3"/>
  <c r="N1882" i="3"/>
  <c r="J1883" i="3" s="1"/>
  <c r="M1882" i="3"/>
  <c r="M562" i="3"/>
  <c r="O322" i="3"/>
  <c r="M322" i="3"/>
  <c r="O79" i="3"/>
  <c r="M79" i="3"/>
  <c r="M1400" i="3"/>
  <c r="O1400" i="3"/>
  <c r="K2122" i="3"/>
  <c r="L2122" i="3" s="1"/>
  <c r="S2121" i="3"/>
  <c r="R2121" i="3"/>
  <c r="M2001" i="3"/>
  <c r="Q803" i="3"/>
  <c r="P803" i="3"/>
  <c r="N1761" i="3"/>
  <c r="J1762" i="3" s="1"/>
  <c r="M1761" i="3"/>
  <c r="S441" i="3"/>
  <c r="R441" i="3"/>
  <c r="N803" i="3"/>
  <c r="J804" i="3" s="1"/>
  <c r="Q2484" i="3"/>
  <c r="P2484" i="3"/>
  <c r="K1280" i="3"/>
  <c r="L1280" i="3" s="1"/>
  <c r="S1279" i="3"/>
  <c r="R1279" i="3"/>
  <c r="M1161" i="3"/>
  <c r="N1161" i="3" s="1"/>
  <c r="J1162" i="3" s="1"/>
  <c r="Q2243" i="3"/>
  <c r="P2243" i="3"/>
  <c r="O803" i="3"/>
  <c r="K442" i="3"/>
  <c r="L442" i="3"/>
  <c r="K2600" i="3"/>
  <c r="L2600" i="3" s="1"/>
  <c r="Q2360" i="3"/>
  <c r="P2360" i="3"/>
  <c r="N2484" i="3"/>
  <c r="J2485" i="3" s="1"/>
  <c r="N2360" i="3"/>
  <c r="J2361" i="3" s="1"/>
  <c r="S2000" i="3"/>
  <c r="R2000" i="3"/>
  <c r="S1520" i="3"/>
  <c r="R1520" i="3"/>
  <c r="Q1042" i="3"/>
  <c r="P1042" i="3"/>
  <c r="K924" i="3"/>
  <c r="L924" i="3"/>
  <c r="S923" i="3"/>
  <c r="R923" i="3"/>
  <c r="S78" i="3"/>
  <c r="R78" i="3"/>
  <c r="N2243" i="3"/>
  <c r="J2244" i="3" s="1"/>
  <c r="Q681" i="3"/>
  <c r="P681" i="3"/>
  <c r="O2360" i="3"/>
  <c r="K1521" i="3"/>
  <c r="L1521" i="3" s="1"/>
  <c r="O2243" i="3"/>
  <c r="O681" i="3"/>
  <c r="K204" i="3"/>
  <c r="L204" i="3" s="1"/>
  <c r="N1042" i="3"/>
  <c r="J1043" i="3" s="1"/>
  <c r="V103" i="1"/>
  <c r="U103" i="1"/>
  <c r="O1042" i="3"/>
  <c r="Q2599" i="3"/>
  <c r="P2599" i="3"/>
  <c r="Q203" i="3"/>
  <c r="P203" i="3"/>
  <c r="N681" i="3"/>
  <c r="J682" i="3" s="1"/>
  <c r="M1521" i="3" l="1"/>
  <c r="M2122" i="3"/>
  <c r="K1162" i="3"/>
  <c r="L1162" i="3"/>
  <c r="M204" i="3"/>
  <c r="M2600" i="3"/>
  <c r="O1280" i="3"/>
  <c r="N1280" i="3"/>
  <c r="J1281" i="3" s="1"/>
  <c r="M1280" i="3"/>
  <c r="O1161" i="3"/>
  <c r="S2484" i="3"/>
  <c r="R2484" i="3"/>
  <c r="Q322" i="3"/>
  <c r="P322" i="3"/>
  <c r="K682" i="3"/>
  <c r="L682" i="3" s="1"/>
  <c r="K804" i="3"/>
  <c r="L804" i="3" s="1"/>
  <c r="S803" i="3"/>
  <c r="R803" i="3"/>
  <c r="Q1639" i="3"/>
  <c r="P1639" i="3"/>
  <c r="S2360" i="3"/>
  <c r="R2360" i="3"/>
  <c r="M924" i="3"/>
  <c r="N924" i="3" s="1"/>
  <c r="J925" i="3" s="1"/>
  <c r="Q2001" i="3"/>
  <c r="P2001" i="3"/>
  <c r="N322" i="3"/>
  <c r="J323" i="3" s="1"/>
  <c r="N1639" i="3"/>
  <c r="J1640" i="3" s="1"/>
  <c r="K1762" i="3"/>
  <c r="L1762" i="3" s="1"/>
  <c r="S681" i="3"/>
  <c r="R681" i="3"/>
  <c r="O2001" i="3"/>
  <c r="Q1400" i="3"/>
  <c r="P1400" i="3"/>
  <c r="Q562" i="3"/>
  <c r="P562" i="3"/>
  <c r="O1639" i="3"/>
  <c r="K1043" i="3"/>
  <c r="L1043" i="3" s="1"/>
  <c r="L2244" i="3"/>
  <c r="K2244" i="3"/>
  <c r="K2361" i="3"/>
  <c r="L2361" i="3" s="1"/>
  <c r="N2001" i="3"/>
  <c r="J2002" i="3" s="1"/>
  <c r="N1400" i="3"/>
  <c r="J1401" i="3" s="1"/>
  <c r="O562" i="3"/>
  <c r="T104" i="1"/>
  <c r="S104" i="1"/>
  <c r="Q1161" i="3"/>
  <c r="P1161" i="3"/>
  <c r="S203" i="3"/>
  <c r="R203" i="3"/>
  <c r="S1042" i="3"/>
  <c r="R1042" i="3"/>
  <c r="K2485" i="3"/>
  <c r="L2485" i="3" s="1"/>
  <c r="Q1761" i="3"/>
  <c r="P1761" i="3"/>
  <c r="Q79" i="3"/>
  <c r="P79" i="3"/>
  <c r="N562" i="3"/>
  <c r="J563" i="3" s="1"/>
  <c r="Q104" i="1"/>
  <c r="M105" i="1" s="1"/>
  <c r="K1883" i="3"/>
  <c r="L1883" i="3" s="1"/>
  <c r="M442" i="3"/>
  <c r="S2599" i="3"/>
  <c r="R2599" i="3"/>
  <c r="S2243" i="3"/>
  <c r="R2243" i="3"/>
  <c r="O1761" i="3"/>
  <c r="N79" i="3"/>
  <c r="J80" i="3" s="1"/>
  <c r="Q1882" i="3"/>
  <c r="P1882" i="3"/>
  <c r="R104" i="1"/>
  <c r="M682" i="3" l="1"/>
  <c r="M2361" i="3"/>
  <c r="O804" i="3"/>
  <c r="N804" i="3"/>
  <c r="J805" i="3" s="1"/>
  <c r="M804" i="3"/>
  <c r="M2485" i="3"/>
  <c r="K925" i="3"/>
  <c r="L925" i="3" s="1"/>
  <c r="O1043" i="3"/>
  <c r="N1043" i="3"/>
  <c r="J1044" i="3" s="1"/>
  <c r="M1043" i="3"/>
  <c r="M1762" i="3"/>
  <c r="N1883" i="3"/>
  <c r="J1884" i="3" s="1"/>
  <c r="M1883" i="3"/>
  <c r="S2001" i="3"/>
  <c r="R2001" i="3"/>
  <c r="S1639" i="3"/>
  <c r="R1639" i="3"/>
  <c r="S322" i="3"/>
  <c r="R322" i="3"/>
  <c r="Q2600" i="3"/>
  <c r="P2600" i="3"/>
  <c r="Q2122" i="3"/>
  <c r="P2122" i="3"/>
  <c r="K563" i="3"/>
  <c r="L563" i="3"/>
  <c r="Q442" i="3"/>
  <c r="P442" i="3"/>
  <c r="O2600" i="3"/>
  <c r="N2122" i="3"/>
  <c r="J2123" i="3" s="1"/>
  <c r="M2244" i="3"/>
  <c r="O2244" i="3" s="1"/>
  <c r="V104" i="1"/>
  <c r="U104" i="1"/>
  <c r="K80" i="3"/>
  <c r="L80" i="3" s="1"/>
  <c r="K2002" i="3"/>
  <c r="L2002" i="3"/>
  <c r="O924" i="3"/>
  <c r="N2600" i="3"/>
  <c r="J2601" i="3" s="1"/>
  <c r="O2122" i="3"/>
  <c r="L1281" i="3"/>
  <c r="K1281" i="3"/>
  <c r="S1882" i="3"/>
  <c r="R1882" i="3"/>
  <c r="K1401" i="3"/>
  <c r="L1401" i="3"/>
  <c r="O442" i="3"/>
  <c r="Q204" i="3"/>
  <c r="P204" i="3"/>
  <c r="Q1521" i="3"/>
  <c r="P1521" i="3"/>
  <c r="M1162" i="3"/>
  <c r="S1761" i="3"/>
  <c r="R1761" i="3"/>
  <c r="K1640" i="3"/>
  <c r="L1640" i="3" s="1"/>
  <c r="N204" i="3"/>
  <c r="J205" i="3" s="1"/>
  <c r="O1521" i="3"/>
  <c r="N105" i="1"/>
  <c r="O105" i="1"/>
  <c r="Q924" i="3"/>
  <c r="P924" i="3"/>
  <c r="S79" i="3"/>
  <c r="R79" i="3"/>
  <c r="N442" i="3"/>
  <c r="J443" i="3" s="1"/>
  <c r="S562" i="3"/>
  <c r="R562" i="3"/>
  <c r="S1161" i="3"/>
  <c r="R1161" i="3"/>
  <c r="S1400" i="3"/>
  <c r="R1400" i="3"/>
  <c r="K323" i="3"/>
  <c r="L323" i="3"/>
  <c r="Q1280" i="3"/>
  <c r="P1280" i="3"/>
  <c r="O204" i="3"/>
  <c r="N1521" i="3"/>
  <c r="J1522" i="3" s="1"/>
  <c r="M925" i="3" l="1"/>
  <c r="M1640" i="3"/>
  <c r="N80" i="3"/>
  <c r="J81" i="3" s="1"/>
  <c r="O80" i="3"/>
  <c r="M80" i="3"/>
  <c r="S924" i="3"/>
  <c r="R924" i="3"/>
  <c r="S442" i="3"/>
  <c r="R442" i="3"/>
  <c r="Q1883" i="3"/>
  <c r="P1883" i="3"/>
  <c r="M323" i="3"/>
  <c r="Q105" i="1"/>
  <c r="M106" i="1" s="1"/>
  <c r="P105" i="1"/>
  <c r="K2601" i="3"/>
  <c r="L2601" i="3" s="1"/>
  <c r="M563" i="3"/>
  <c r="K1884" i="3"/>
  <c r="L1884" i="3" s="1"/>
  <c r="Q2361" i="3"/>
  <c r="P2361" i="3"/>
  <c r="O1883" i="3"/>
  <c r="N2361" i="3"/>
  <c r="J2362" i="3" s="1"/>
  <c r="S204" i="3"/>
  <c r="R204" i="3"/>
  <c r="K805" i="3"/>
  <c r="L805" i="3" s="1"/>
  <c r="Q1162" i="3"/>
  <c r="P1162" i="3"/>
  <c r="K443" i="3"/>
  <c r="L443" i="3"/>
  <c r="K205" i="3"/>
  <c r="L205" i="3" s="1"/>
  <c r="M2002" i="3"/>
  <c r="O2002" i="3"/>
  <c r="N2244" i="3"/>
  <c r="J2245" i="3" s="1"/>
  <c r="Q1762" i="3"/>
  <c r="P1762" i="3"/>
  <c r="Q2485" i="3"/>
  <c r="P2485" i="3"/>
  <c r="O2361" i="3"/>
  <c r="K1044" i="3"/>
  <c r="L1044" i="3" s="1"/>
  <c r="M1401" i="3"/>
  <c r="S2122" i="3"/>
  <c r="R2122" i="3"/>
  <c r="N1762" i="3"/>
  <c r="J1763" i="3" s="1"/>
  <c r="N2485" i="3"/>
  <c r="J2486" i="3" s="1"/>
  <c r="Q682" i="3"/>
  <c r="P682" i="3"/>
  <c r="Q2244" i="3"/>
  <c r="P2244" i="3"/>
  <c r="O1162" i="3"/>
  <c r="S1521" i="3"/>
  <c r="R1521" i="3"/>
  <c r="K2123" i="3"/>
  <c r="L2123" i="3" s="1"/>
  <c r="O1762" i="3"/>
  <c r="O2485" i="3"/>
  <c r="N682" i="3"/>
  <c r="J683" i="3" s="1"/>
  <c r="M1281" i="3"/>
  <c r="O1281" i="3" s="1"/>
  <c r="N1162" i="3"/>
  <c r="J1163" i="3" s="1"/>
  <c r="K1522" i="3"/>
  <c r="L1522" i="3"/>
  <c r="S1280" i="3"/>
  <c r="R1280" i="3"/>
  <c r="S2600" i="3"/>
  <c r="R2600" i="3"/>
  <c r="Q1043" i="3"/>
  <c r="P1043" i="3"/>
  <c r="Q804" i="3"/>
  <c r="P804" i="3"/>
  <c r="O682" i="3"/>
  <c r="M2601" i="3" l="1"/>
  <c r="M805" i="3"/>
  <c r="O205" i="3"/>
  <c r="N205" i="3"/>
  <c r="J206" i="3" s="1"/>
  <c r="M205" i="3"/>
  <c r="M1044" i="3"/>
  <c r="N2123" i="3"/>
  <c r="J2124" i="3" s="1"/>
  <c r="M2123" i="3"/>
  <c r="O1884" i="3"/>
  <c r="M1884" i="3"/>
  <c r="S1162" i="3"/>
  <c r="R1162" i="3"/>
  <c r="S2361" i="3"/>
  <c r="R2361" i="3"/>
  <c r="T105" i="1"/>
  <c r="S105" i="1"/>
  <c r="K81" i="3"/>
  <c r="L81" i="3"/>
  <c r="N106" i="1"/>
  <c r="O106" i="1" s="1"/>
  <c r="Q1640" i="3"/>
  <c r="P1640" i="3"/>
  <c r="S1883" i="3"/>
  <c r="R1883" i="3"/>
  <c r="R105" i="1"/>
  <c r="N1640" i="3"/>
  <c r="J1641" i="3" s="1"/>
  <c r="Q1281" i="3"/>
  <c r="P1281" i="3"/>
  <c r="N1281" i="3"/>
  <c r="J1282" i="3" s="1"/>
  <c r="Q2002" i="3"/>
  <c r="P2002" i="3"/>
  <c r="Q563" i="3"/>
  <c r="P563" i="3"/>
  <c r="Q323" i="3"/>
  <c r="P323" i="3"/>
  <c r="O1640" i="3"/>
  <c r="N2002" i="3"/>
  <c r="J2003" i="3" s="1"/>
  <c r="K683" i="3"/>
  <c r="L683" i="3"/>
  <c r="S804" i="3"/>
  <c r="R804" i="3"/>
  <c r="M1522" i="3"/>
  <c r="N1522" i="3" s="1"/>
  <c r="J1523" i="3" s="1"/>
  <c r="S2244" i="3"/>
  <c r="R2244" i="3"/>
  <c r="Q1401" i="3"/>
  <c r="P1401" i="3"/>
  <c r="M443" i="3"/>
  <c r="N563" i="3"/>
  <c r="J564" i="3" s="1"/>
  <c r="N323" i="3"/>
  <c r="J324" i="3" s="1"/>
  <c r="Q925" i="3"/>
  <c r="P925" i="3"/>
  <c r="K2486" i="3"/>
  <c r="L2486" i="3" s="1"/>
  <c r="K1763" i="3"/>
  <c r="L1763" i="3" s="1"/>
  <c r="S2485" i="3"/>
  <c r="R2485" i="3"/>
  <c r="N1401" i="3"/>
  <c r="J1402" i="3" s="1"/>
  <c r="S1762" i="3"/>
  <c r="R1762" i="3"/>
  <c r="L2362" i="3"/>
  <c r="K2362" i="3"/>
  <c r="O563" i="3"/>
  <c r="O323" i="3"/>
  <c r="N925" i="3"/>
  <c r="J926" i="3" s="1"/>
  <c r="S1043" i="3"/>
  <c r="R1043" i="3"/>
  <c r="L1163" i="3"/>
  <c r="K1163" i="3"/>
  <c r="S682" i="3"/>
  <c r="R682" i="3"/>
  <c r="O1401" i="3"/>
  <c r="K2245" i="3"/>
  <c r="L2245" i="3" s="1"/>
  <c r="Q80" i="3"/>
  <c r="P80" i="3"/>
  <c r="O925" i="3"/>
  <c r="P106" i="1" l="1"/>
  <c r="R106" i="1"/>
  <c r="Q106" i="1"/>
  <c r="M107" i="1" s="1"/>
  <c r="M2245" i="3"/>
  <c r="N1763" i="3"/>
  <c r="J1764" i="3" s="1"/>
  <c r="O1763" i="3"/>
  <c r="M1763" i="3"/>
  <c r="M2486" i="3"/>
  <c r="K1523" i="3"/>
  <c r="L1523" i="3" s="1"/>
  <c r="Q443" i="3"/>
  <c r="P443" i="3"/>
  <c r="N443" i="3"/>
  <c r="J444" i="3" s="1"/>
  <c r="S1640" i="3"/>
  <c r="R1640" i="3"/>
  <c r="Q2123" i="3"/>
  <c r="P2123" i="3"/>
  <c r="K2003" i="3"/>
  <c r="L2003" i="3"/>
  <c r="S1281" i="3"/>
  <c r="R1281" i="3"/>
  <c r="K2124" i="3"/>
  <c r="L2124" i="3" s="1"/>
  <c r="Q805" i="3"/>
  <c r="P805" i="3"/>
  <c r="O2123" i="3"/>
  <c r="N805" i="3"/>
  <c r="J806" i="3" s="1"/>
  <c r="M1163" i="3"/>
  <c r="K1282" i="3"/>
  <c r="L1282" i="3" s="1"/>
  <c r="O81" i="3"/>
  <c r="N81" i="3"/>
  <c r="J82" i="3" s="1"/>
  <c r="M81" i="3"/>
  <c r="Q1044" i="3"/>
  <c r="P1044" i="3"/>
  <c r="O805" i="3"/>
  <c r="S80" i="3"/>
  <c r="R80" i="3"/>
  <c r="L206" i="3"/>
  <c r="K206" i="3"/>
  <c r="S323" i="3"/>
  <c r="R323" i="3"/>
  <c r="K926" i="3"/>
  <c r="L926" i="3" s="1"/>
  <c r="S925" i="3"/>
  <c r="R925" i="3"/>
  <c r="S563" i="3"/>
  <c r="R563" i="3"/>
  <c r="N1044" i="3"/>
  <c r="J1045" i="3" s="1"/>
  <c r="Q2601" i="3"/>
  <c r="P2601" i="3"/>
  <c r="O2362" i="3"/>
  <c r="M2362" i="3"/>
  <c r="Q1522" i="3"/>
  <c r="P1522" i="3"/>
  <c r="O443" i="3"/>
  <c r="O1522" i="3"/>
  <c r="K1641" i="3"/>
  <c r="L1641" i="3" s="1"/>
  <c r="K1402" i="3"/>
  <c r="L1402" i="3" s="1"/>
  <c r="M683" i="3"/>
  <c r="O683" i="3" s="1"/>
  <c r="Q1884" i="3"/>
  <c r="P1884" i="3"/>
  <c r="O1044" i="3"/>
  <c r="O2601" i="3"/>
  <c r="S1401" i="3"/>
  <c r="R1401" i="3"/>
  <c r="K324" i="3"/>
  <c r="L324" i="3" s="1"/>
  <c r="K564" i="3"/>
  <c r="L564" i="3" s="1"/>
  <c r="S2002" i="3"/>
  <c r="R2002" i="3"/>
  <c r="V105" i="1"/>
  <c r="U105" i="1"/>
  <c r="N1884" i="3"/>
  <c r="J1885" i="3" s="1"/>
  <c r="Q205" i="3"/>
  <c r="P205" i="3"/>
  <c r="N2601" i="3"/>
  <c r="J2602" i="3" s="1"/>
  <c r="M564" i="3" l="1"/>
  <c r="M1402" i="3"/>
  <c r="O1641" i="3"/>
  <c r="N1641" i="3"/>
  <c r="J1642" i="3" s="1"/>
  <c r="M1641" i="3"/>
  <c r="M926" i="3"/>
  <c r="N324" i="3"/>
  <c r="J325" i="3" s="1"/>
  <c r="M324" i="3"/>
  <c r="O2124" i="3"/>
  <c r="M2124" i="3"/>
  <c r="M1282" i="3"/>
  <c r="M1523" i="3"/>
  <c r="N1523" i="3" s="1"/>
  <c r="J1524" i="3" s="1"/>
  <c r="M206" i="3"/>
  <c r="K1885" i="3"/>
  <c r="L1885" i="3" s="1"/>
  <c r="S443" i="3"/>
  <c r="R443" i="3"/>
  <c r="K1764" i="3"/>
  <c r="L1764" i="3"/>
  <c r="S805" i="3"/>
  <c r="R805" i="3"/>
  <c r="Q2245" i="3"/>
  <c r="P2245" i="3"/>
  <c r="O2003" i="3"/>
  <c r="M2003" i="3"/>
  <c r="S1884" i="3"/>
  <c r="R1884" i="3"/>
  <c r="S2123" i="3"/>
  <c r="R2123" i="3"/>
  <c r="N2245" i="3"/>
  <c r="J2246" i="3" s="1"/>
  <c r="K82" i="3"/>
  <c r="L82" i="3" s="1"/>
  <c r="N683" i="3"/>
  <c r="J684" i="3" s="1"/>
  <c r="Q1163" i="3"/>
  <c r="P1163" i="3"/>
  <c r="Q2486" i="3"/>
  <c r="P2486" i="3"/>
  <c r="O2245" i="3"/>
  <c r="S2601" i="3"/>
  <c r="R2601" i="3"/>
  <c r="K1045" i="3"/>
  <c r="L1045" i="3" s="1"/>
  <c r="S1522" i="3"/>
  <c r="R1522" i="3"/>
  <c r="N1163" i="3"/>
  <c r="J1164" i="3" s="1"/>
  <c r="O2486" i="3"/>
  <c r="N107" i="1"/>
  <c r="O107" i="1" s="1"/>
  <c r="Q2362" i="3"/>
  <c r="P2362" i="3"/>
  <c r="S1044" i="3"/>
  <c r="R1044" i="3"/>
  <c r="O1163" i="3"/>
  <c r="N2486" i="3"/>
  <c r="J2487" i="3" s="1"/>
  <c r="S205" i="3"/>
  <c r="R205" i="3"/>
  <c r="Q683" i="3"/>
  <c r="P683" i="3"/>
  <c r="K2602" i="3"/>
  <c r="L2602" i="3" s="1"/>
  <c r="N2362" i="3"/>
  <c r="J2363" i="3" s="1"/>
  <c r="Q81" i="3"/>
  <c r="P81" i="3"/>
  <c r="K806" i="3"/>
  <c r="L806" i="3" s="1"/>
  <c r="K444" i="3"/>
  <c r="L444" i="3" s="1"/>
  <c r="Q1763" i="3"/>
  <c r="P1763" i="3"/>
  <c r="T106" i="1"/>
  <c r="S106" i="1"/>
  <c r="M1885" i="3" l="1"/>
  <c r="M1045" i="3"/>
  <c r="O82" i="3"/>
  <c r="N82" i="3"/>
  <c r="J83" i="3" s="1"/>
  <c r="M82" i="3"/>
  <c r="M444" i="3"/>
  <c r="O2602" i="3"/>
  <c r="M2602" i="3"/>
  <c r="P107" i="1"/>
  <c r="Q107" i="1" s="1"/>
  <c r="M108" i="1" s="1"/>
  <c r="K1524" i="3"/>
  <c r="L1524" i="3" s="1"/>
  <c r="N806" i="3"/>
  <c r="J807" i="3" s="1"/>
  <c r="M806" i="3"/>
  <c r="S2486" i="3"/>
  <c r="R2486" i="3"/>
  <c r="O1523" i="3"/>
  <c r="Q324" i="3"/>
  <c r="P324" i="3"/>
  <c r="S683" i="3"/>
  <c r="R683" i="3"/>
  <c r="K325" i="3"/>
  <c r="L325" i="3" s="1"/>
  <c r="Q1402" i="3"/>
  <c r="P1402" i="3"/>
  <c r="K1642" i="3"/>
  <c r="L1642" i="3" s="1"/>
  <c r="Q1282" i="3"/>
  <c r="P1282" i="3"/>
  <c r="O324" i="3"/>
  <c r="N1402" i="3"/>
  <c r="J1403" i="3" s="1"/>
  <c r="O1282" i="3"/>
  <c r="Q926" i="3"/>
  <c r="P926" i="3"/>
  <c r="O1402" i="3"/>
  <c r="S2362" i="3"/>
  <c r="R2362" i="3"/>
  <c r="S2245" i="3"/>
  <c r="R2245" i="3"/>
  <c r="K2487" i="3"/>
  <c r="L2487" i="3"/>
  <c r="K684" i="3"/>
  <c r="L684" i="3" s="1"/>
  <c r="Q206" i="3"/>
  <c r="P206" i="3"/>
  <c r="N1282" i="3"/>
  <c r="J1283" i="3" s="1"/>
  <c r="N926" i="3"/>
  <c r="J927" i="3" s="1"/>
  <c r="Q564" i="3"/>
  <c r="P564" i="3"/>
  <c r="V106" i="1"/>
  <c r="U106" i="1"/>
  <c r="S1163" i="3"/>
  <c r="R1163" i="3"/>
  <c r="K2363" i="3"/>
  <c r="L2363" i="3"/>
  <c r="Q2003" i="3"/>
  <c r="P2003" i="3"/>
  <c r="M1764" i="3"/>
  <c r="N206" i="3"/>
  <c r="J207" i="3" s="1"/>
  <c r="Q2124" i="3"/>
  <c r="P2124" i="3"/>
  <c r="O926" i="3"/>
  <c r="O564" i="3"/>
  <c r="Q1523" i="3"/>
  <c r="P1523" i="3"/>
  <c r="S81" i="3"/>
  <c r="R81" i="3"/>
  <c r="S1763" i="3"/>
  <c r="R1763" i="3"/>
  <c r="K1164" i="3"/>
  <c r="L1164" i="3" s="1"/>
  <c r="K2246" i="3"/>
  <c r="L2246" i="3" s="1"/>
  <c r="N2003" i="3"/>
  <c r="J2004" i="3" s="1"/>
  <c r="O206" i="3"/>
  <c r="N2124" i="3"/>
  <c r="J2125" i="3" s="1"/>
  <c r="Q1641" i="3"/>
  <c r="P1641" i="3"/>
  <c r="N564" i="3"/>
  <c r="J565" i="3" s="1"/>
  <c r="M1642" i="3" l="1"/>
  <c r="M1524" i="3"/>
  <c r="O684" i="3"/>
  <c r="N684" i="3"/>
  <c r="J685" i="3" s="1"/>
  <c r="M684" i="3"/>
  <c r="M325" i="3"/>
  <c r="N2246" i="3"/>
  <c r="J2247" i="3" s="1"/>
  <c r="M2246" i="3"/>
  <c r="O1164" i="3"/>
  <c r="M1164" i="3"/>
  <c r="N108" i="1"/>
  <c r="O108" i="1"/>
  <c r="K2125" i="3"/>
  <c r="L2125" i="3" s="1"/>
  <c r="S1282" i="3"/>
  <c r="R1282" i="3"/>
  <c r="Q806" i="3"/>
  <c r="P806" i="3"/>
  <c r="Q2602" i="3"/>
  <c r="P2602" i="3"/>
  <c r="L83" i="3"/>
  <c r="K83" i="3"/>
  <c r="N2363" i="3"/>
  <c r="J2364" i="3" s="1"/>
  <c r="M2363" i="3"/>
  <c r="K807" i="3"/>
  <c r="L807" i="3" s="1"/>
  <c r="Q1045" i="3"/>
  <c r="P1045" i="3"/>
  <c r="K2004" i="3"/>
  <c r="L2004" i="3" s="1"/>
  <c r="S564" i="3"/>
  <c r="R564" i="3"/>
  <c r="O806" i="3"/>
  <c r="N2602" i="3"/>
  <c r="J2603" i="3" s="1"/>
  <c r="N1045" i="3"/>
  <c r="J1046" i="3" s="1"/>
  <c r="S2003" i="3"/>
  <c r="R2003" i="3"/>
  <c r="S926" i="3"/>
  <c r="R926" i="3"/>
  <c r="S324" i="3"/>
  <c r="R324" i="3"/>
  <c r="Q444" i="3"/>
  <c r="P444" i="3"/>
  <c r="O1045" i="3"/>
  <c r="S1641" i="3"/>
  <c r="R1641" i="3"/>
  <c r="M2487" i="3"/>
  <c r="N2487" i="3" s="1"/>
  <c r="J2488" i="3" s="1"/>
  <c r="K207" i="3"/>
  <c r="L207" i="3" s="1"/>
  <c r="Q1764" i="3"/>
  <c r="P1764" i="3"/>
  <c r="K1283" i="3"/>
  <c r="L1283" i="3"/>
  <c r="S1402" i="3"/>
  <c r="R1402" i="3"/>
  <c r="N444" i="3"/>
  <c r="J445" i="3" s="1"/>
  <c r="Q1885" i="3"/>
  <c r="P1885" i="3"/>
  <c r="S2124" i="3"/>
  <c r="R2124" i="3"/>
  <c r="N1764" i="3"/>
  <c r="J1765" i="3" s="1"/>
  <c r="K1403" i="3"/>
  <c r="L1403" i="3" s="1"/>
  <c r="O444" i="3"/>
  <c r="N1885" i="3"/>
  <c r="J1886" i="3" s="1"/>
  <c r="T107" i="1"/>
  <c r="S107" i="1"/>
  <c r="K927" i="3"/>
  <c r="L927" i="3" s="1"/>
  <c r="K565" i="3"/>
  <c r="L565" i="3"/>
  <c r="S1523" i="3"/>
  <c r="R1523" i="3"/>
  <c r="O1764" i="3"/>
  <c r="S206" i="3"/>
  <c r="R206" i="3"/>
  <c r="R107" i="1"/>
  <c r="Q82" i="3"/>
  <c r="P82" i="3"/>
  <c r="O1885" i="3"/>
  <c r="M807" i="3" l="1"/>
  <c r="M2125" i="3"/>
  <c r="N207" i="3"/>
  <c r="J208" i="3" s="1"/>
  <c r="O207" i="3"/>
  <c r="M207" i="3"/>
  <c r="M927" i="3"/>
  <c r="K2488" i="3"/>
  <c r="L2488" i="3" s="1"/>
  <c r="N2004" i="3"/>
  <c r="J2005" i="3" s="1"/>
  <c r="O2004" i="3"/>
  <c r="M2004" i="3"/>
  <c r="M1403" i="3"/>
  <c r="K685" i="3"/>
  <c r="L685" i="3"/>
  <c r="Q2246" i="3"/>
  <c r="P2246" i="3"/>
  <c r="K1765" i="3"/>
  <c r="L1765" i="3" s="1"/>
  <c r="K1046" i="3"/>
  <c r="L1046" i="3" s="1"/>
  <c r="M83" i="3"/>
  <c r="L2247" i="3"/>
  <c r="K2247" i="3"/>
  <c r="Q1524" i="3"/>
  <c r="P1524" i="3"/>
  <c r="Q2487" i="3"/>
  <c r="P2487" i="3"/>
  <c r="V107" i="1"/>
  <c r="U107" i="1"/>
  <c r="K2603" i="3"/>
  <c r="L2603" i="3"/>
  <c r="S1045" i="3"/>
  <c r="R1045" i="3"/>
  <c r="O2246" i="3"/>
  <c r="N1524" i="3"/>
  <c r="J1525" i="3" s="1"/>
  <c r="S2602" i="3"/>
  <c r="R2602" i="3"/>
  <c r="P108" i="1"/>
  <c r="R108" i="1" s="1"/>
  <c r="Q325" i="3"/>
  <c r="P325" i="3"/>
  <c r="O1524" i="3"/>
  <c r="K2364" i="3"/>
  <c r="L2364" i="3"/>
  <c r="O2487" i="3"/>
  <c r="K1886" i="3"/>
  <c r="L1886" i="3" s="1"/>
  <c r="S1764" i="3"/>
  <c r="R1764" i="3"/>
  <c r="N325" i="3"/>
  <c r="J326" i="3" s="1"/>
  <c r="Q1642" i="3"/>
  <c r="P1642" i="3"/>
  <c r="S444" i="3"/>
  <c r="R444" i="3"/>
  <c r="N1283" i="3"/>
  <c r="J1284" i="3" s="1"/>
  <c r="O1283" i="3"/>
  <c r="M1283" i="3"/>
  <c r="S1885" i="3"/>
  <c r="R1885" i="3"/>
  <c r="M565" i="3"/>
  <c r="O565" i="3" s="1"/>
  <c r="L445" i="3"/>
  <c r="K445" i="3"/>
  <c r="Q2363" i="3"/>
  <c r="P2363" i="3"/>
  <c r="S806" i="3"/>
  <c r="R806" i="3"/>
  <c r="Q1164" i="3"/>
  <c r="P1164" i="3"/>
  <c r="O325" i="3"/>
  <c r="N1642" i="3"/>
  <c r="J1643" i="3" s="1"/>
  <c r="S82" i="3"/>
  <c r="R82" i="3"/>
  <c r="O2363" i="3"/>
  <c r="N1164" i="3"/>
  <c r="J1165" i="3" s="1"/>
  <c r="Q684" i="3"/>
  <c r="P684" i="3"/>
  <c r="O1642" i="3"/>
  <c r="M1765" i="3" l="1"/>
  <c r="M2488" i="3"/>
  <c r="O1886" i="3"/>
  <c r="N1886" i="3"/>
  <c r="J1887" i="3" s="1"/>
  <c r="M1886" i="3"/>
  <c r="M1046" i="3"/>
  <c r="Q83" i="3"/>
  <c r="P83" i="3"/>
  <c r="S2246" i="3"/>
  <c r="R2246" i="3"/>
  <c r="K2005" i="3"/>
  <c r="L2005" i="3" s="1"/>
  <c r="K208" i="3"/>
  <c r="L208" i="3"/>
  <c r="N83" i="3"/>
  <c r="J84" i="3" s="1"/>
  <c r="O685" i="3"/>
  <c r="N685" i="3"/>
  <c r="J686" i="3" s="1"/>
  <c r="M685" i="3"/>
  <c r="Q2125" i="3"/>
  <c r="P2125" i="3"/>
  <c r="M445" i="3"/>
  <c r="O83" i="3"/>
  <c r="N2125" i="3"/>
  <c r="J2126" i="3" s="1"/>
  <c r="M2247" i="3"/>
  <c r="K1525" i="3"/>
  <c r="L1525" i="3"/>
  <c r="S325" i="3"/>
  <c r="R325" i="3"/>
  <c r="S2487" i="3"/>
  <c r="R2487" i="3"/>
  <c r="Q1403" i="3"/>
  <c r="P1403" i="3"/>
  <c r="Q927" i="3"/>
  <c r="P927" i="3"/>
  <c r="O2125" i="3"/>
  <c r="K1165" i="3"/>
  <c r="L1165" i="3" s="1"/>
  <c r="Q565" i="3"/>
  <c r="P565" i="3"/>
  <c r="T108" i="1"/>
  <c r="S108" i="1"/>
  <c r="Q108" i="1"/>
  <c r="M109" i="1" s="1"/>
  <c r="N1403" i="3"/>
  <c r="J1404" i="3" s="1"/>
  <c r="N927" i="3"/>
  <c r="J928" i="3" s="1"/>
  <c r="Q807" i="3"/>
  <c r="P807" i="3"/>
  <c r="S684" i="3"/>
  <c r="R684" i="3"/>
  <c r="S1164" i="3"/>
  <c r="R1164" i="3"/>
  <c r="S2363" i="3"/>
  <c r="R2363" i="3"/>
  <c r="S1642" i="3"/>
  <c r="R1642" i="3"/>
  <c r="O2364" i="3"/>
  <c r="M2364" i="3"/>
  <c r="M2603" i="3"/>
  <c r="O2603" i="3" s="1"/>
  <c r="S1524" i="3"/>
  <c r="R1524" i="3"/>
  <c r="O1403" i="3"/>
  <c r="O927" i="3"/>
  <c r="N807" i="3"/>
  <c r="J808" i="3" s="1"/>
  <c r="K1284" i="3"/>
  <c r="L1284" i="3"/>
  <c r="N565" i="3"/>
  <c r="J566" i="3" s="1"/>
  <c r="K1643" i="3"/>
  <c r="L1643" i="3" s="1"/>
  <c r="Q1283" i="3"/>
  <c r="P1283" i="3"/>
  <c r="K326" i="3"/>
  <c r="L326" i="3" s="1"/>
  <c r="Q2004" i="3"/>
  <c r="P2004" i="3"/>
  <c r="Q207" i="3"/>
  <c r="P207" i="3"/>
  <c r="O807" i="3"/>
  <c r="M1643" i="3" l="1"/>
  <c r="M326" i="3"/>
  <c r="O1165" i="3"/>
  <c r="N1165" i="3"/>
  <c r="J1166" i="3" s="1"/>
  <c r="M1165" i="3"/>
  <c r="M2005" i="3"/>
  <c r="K2126" i="3"/>
  <c r="L2126" i="3" s="1"/>
  <c r="N109" i="1"/>
  <c r="O109" i="1" s="1"/>
  <c r="S207" i="3"/>
  <c r="R207" i="3"/>
  <c r="S927" i="3"/>
  <c r="R927" i="3"/>
  <c r="Q445" i="3"/>
  <c r="P445" i="3"/>
  <c r="K84" i="3"/>
  <c r="L84" i="3" s="1"/>
  <c r="Q2488" i="3"/>
  <c r="P2488" i="3"/>
  <c r="K1887" i="3"/>
  <c r="L1887" i="3" s="1"/>
  <c r="V108" i="1"/>
  <c r="U108" i="1"/>
  <c r="M208" i="3"/>
  <c r="S83" i="3"/>
  <c r="R83" i="3"/>
  <c r="O2488" i="3"/>
  <c r="N445" i="3"/>
  <c r="J446" i="3" s="1"/>
  <c r="S1403" i="3"/>
  <c r="R1403" i="3"/>
  <c r="O445" i="3"/>
  <c r="Q1046" i="3"/>
  <c r="P1046" i="3"/>
  <c r="N2488" i="3"/>
  <c r="J2489" i="3" s="1"/>
  <c r="K1404" i="3"/>
  <c r="L1404" i="3" s="1"/>
  <c r="M1284" i="3"/>
  <c r="M1525" i="3"/>
  <c r="N1525" i="3" s="1"/>
  <c r="J1526" i="3" s="1"/>
  <c r="N2603" i="3"/>
  <c r="J2604" i="3" s="1"/>
  <c r="K808" i="3"/>
  <c r="L808" i="3" s="1"/>
  <c r="S565" i="3"/>
  <c r="R565" i="3"/>
  <c r="Q2247" i="3"/>
  <c r="P2247" i="3"/>
  <c r="O1046" i="3"/>
  <c r="Q1765" i="3"/>
  <c r="P1765" i="3"/>
  <c r="K686" i="3"/>
  <c r="L686" i="3" s="1"/>
  <c r="Q2603" i="3"/>
  <c r="P2603" i="3"/>
  <c r="S807" i="3"/>
  <c r="R807" i="3"/>
  <c r="N2247" i="3"/>
  <c r="J2248" i="3" s="1"/>
  <c r="S2125" i="3"/>
  <c r="R2125" i="3"/>
  <c r="N1046" i="3"/>
  <c r="J1047" i="3" s="1"/>
  <c r="O1765" i="3"/>
  <c r="K566" i="3"/>
  <c r="L566" i="3" s="1"/>
  <c r="S2004" i="3"/>
  <c r="R2004" i="3"/>
  <c r="Q2364" i="3"/>
  <c r="P2364" i="3"/>
  <c r="S1283" i="3"/>
  <c r="R1283" i="3"/>
  <c r="N2364" i="3"/>
  <c r="J2365" i="3" s="1"/>
  <c r="K928" i="3"/>
  <c r="L928" i="3" s="1"/>
  <c r="O2247" i="3"/>
  <c r="Q685" i="3"/>
  <c r="P685" i="3"/>
  <c r="Q1886" i="3"/>
  <c r="P1886" i="3"/>
  <c r="N1765" i="3"/>
  <c r="J1766" i="3" s="1"/>
  <c r="M1404" i="3" l="1"/>
  <c r="M2126" i="3"/>
  <c r="O686" i="3"/>
  <c r="N686" i="3"/>
  <c r="J687" i="3" s="1"/>
  <c r="M686" i="3"/>
  <c r="P109" i="1"/>
  <c r="N566" i="3"/>
  <c r="J567" i="3" s="1"/>
  <c r="M566" i="3"/>
  <c r="O84" i="3"/>
  <c r="M84" i="3"/>
  <c r="M928" i="3"/>
  <c r="M808" i="3"/>
  <c r="O808" i="3" s="1"/>
  <c r="K1526" i="3"/>
  <c r="L1526" i="3" s="1"/>
  <c r="M1887" i="3"/>
  <c r="K2489" i="3"/>
  <c r="L2489" i="3" s="1"/>
  <c r="S445" i="3"/>
  <c r="R445" i="3"/>
  <c r="S2247" i="3"/>
  <c r="R2247" i="3"/>
  <c r="Q326" i="3"/>
  <c r="P326" i="3"/>
  <c r="Q1284" i="3"/>
  <c r="P1284" i="3"/>
  <c r="N326" i="3"/>
  <c r="J327" i="3" s="1"/>
  <c r="N1284" i="3"/>
  <c r="J1285" i="3" s="1"/>
  <c r="Q208" i="3"/>
  <c r="P208" i="3"/>
  <c r="Q2005" i="3"/>
  <c r="P2005" i="3"/>
  <c r="O326" i="3"/>
  <c r="Q1525" i="3"/>
  <c r="P1525" i="3"/>
  <c r="S685" i="3"/>
  <c r="R685" i="3"/>
  <c r="S2603" i="3"/>
  <c r="R2603" i="3"/>
  <c r="O1525" i="3"/>
  <c r="K2365" i="3"/>
  <c r="L2365" i="3" s="1"/>
  <c r="K2248" i="3"/>
  <c r="L2248" i="3" s="1"/>
  <c r="O1284" i="3"/>
  <c r="O208" i="3"/>
  <c r="S2488" i="3"/>
  <c r="R2488" i="3"/>
  <c r="N2005" i="3"/>
  <c r="J2006" i="3" s="1"/>
  <c r="Q1643" i="3"/>
  <c r="P1643" i="3"/>
  <c r="K1047" i="3"/>
  <c r="L1047" i="3" s="1"/>
  <c r="S2364" i="3"/>
  <c r="R2364" i="3"/>
  <c r="K1766" i="3"/>
  <c r="L1766" i="3"/>
  <c r="S1765" i="3"/>
  <c r="R1765" i="3"/>
  <c r="N208" i="3"/>
  <c r="J209" i="3" s="1"/>
  <c r="O2005" i="3"/>
  <c r="O1643" i="3"/>
  <c r="K1166" i="3"/>
  <c r="L1166" i="3" s="1"/>
  <c r="S1046" i="3"/>
  <c r="R1046" i="3"/>
  <c r="S1886" i="3"/>
  <c r="R1886" i="3"/>
  <c r="K2604" i="3"/>
  <c r="L2604" i="3" s="1"/>
  <c r="K446" i="3"/>
  <c r="L446" i="3" s="1"/>
  <c r="Q1165" i="3"/>
  <c r="P1165" i="3"/>
  <c r="N1643" i="3"/>
  <c r="J1644" i="3" s="1"/>
  <c r="M446" i="3" l="1"/>
  <c r="M2248" i="3"/>
  <c r="O2604" i="3"/>
  <c r="N2604" i="3"/>
  <c r="J2605" i="3" s="1"/>
  <c r="M2604" i="3"/>
  <c r="M1047" i="3"/>
  <c r="M2489" i="3"/>
  <c r="N2365" i="3"/>
  <c r="J2366" i="3" s="1"/>
  <c r="M2365" i="3"/>
  <c r="M1526" i="3"/>
  <c r="M1166" i="3"/>
  <c r="S1165" i="3"/>
  <c r="R1165" i="3"/>
  <c r="N808" i="3"/>
  <c r="J809" i="3" s="1"/>
  <c r="Q566" i="3"/>
  <c r="P566" i="3"/>
  <c r="K687" i="3"/>
  <c r="L687" i="3" s="1"/>
  <c r="S326" i="3"/>
  <c r="R326" i="3"/>
  <c r="K567" i="3"/>
  <c r="L567" i="3" s="1"/>
  <c r="Q2126" i="3"/>
  <c r="P2126" i="3"/>
  <c r="Q1887" i="3"/>
  <c r="P1887" i="3"/>
  <c r="Q928" i="3"/>
  <c r="P928" i="3"/>
  <c r="O566" i="3"/>
  <c r="N2126" i="3"/>
  <c r="J2127" i="3" s="1"/>
  <c r="S2005" i="3"/>
  <c r="R2005" i="3"/>
  <c r="M1766" i="3"/>
  <c r="S208" i="3"/>
  <c r="R208" i="3"/>
  <c r="O1887" i="3"/>
  <c r="O928" i="3"/>
  <c r="T109" i="1"/>
  <c r="S109" i="1"/>
  <c r="O2126" i="3"/>
  <c r="Q808" i="3"/>
  <c r="P808" i="3"/>
  <c r="K2006" i="3"/>
  <c r="L2006" i="3" s="1"/>
  <c r="K1285" i="3"/>
  <c r="L1285" i="3" s="1"/>
  <c r="N1887" i="3"/>
  <c r="J1888" i="3" s="1"/>
  <c r="N928" i="3"/>
  <c r="J929" i="3" s="1"/>
  <c r="Q109" i="1"/>
  <c r="M110" i="1" s="1"/>
  <c r="Q1404" i="3"/>
  <c r="P1404" i="3"/>
  <c r="S1284" i="3"/>
  <c r="R1284" i="3"/>
  <c r="S1643" i="3"/>
  <c r="R1643" i="3"/>
  <c r="K327" i="3"/>
  <c r="L327" i="3" s="1"/>
  <c r="Q84" i="3"/>
  <c r="P84" i="3"/>
  <c r="R109" i="1"/>
  <c r="N1404" i="3"/>
  <c r="J1405" i="3" s="1"/>
  <c r="K209" i="3"/>
  <c r="L209" i="3"/>
  <c r="K1644" i="3"/>
  <c r="L1644" i="3" s="1"/>
  <c r="S1525" i="3"/>
  <c r="R1525" i="3"/>
  <c r="N84" i="3"/>
  <c r="J85" i="3" s="1"/>
  <c r="Q686" i="3"/>
  <c r="P686" i="3"/>
  <c r="O1404" i="3"/>
  <c r="M327" i="3" l="1"/>
  <c r="M567" i="3"/>
  <c r="O1644" i="3"/>
  <c r="N1644" i="3"/>
  <c r="J1645" i="3" s="1"/>
  <c r="M1644" i="3"/>
  <c r="M1285" i="3"/>
  <c r="M2006" i="3"/>
  <c r="O687" i="3"/>
  <c r="M687" i="3"/>
  <c r="Q1166" i="3"/>
  <c r="P1166" i="3"/>
  <c r="O1166" i="3"/>
  <c r="Q2489" i="3"/>
  <c r="P2489" i="3"/>
  <c r="L2605" i="3"/>
  <c r="K2605" i="3"/>
  <c r="S2126" i="3"/>
  <c r="R2126" i="3"/>
  <c r="N1166" i="3"/>
  <c r="J1167" i="3" s="1"/>
  <c r="N2489" i="3"/>
  <c r="J2490" i="3" s="1"/>
  <c r="Q2248" i="3"/>
  <c r="P2248" i="3"/>
  <c r="N110" i="1"/>
  <c r="O110" i="1" s="1"/>
  <c r="K2127" i="3"/>
  <c r="L2127" i="3" s="1"/>
  <c r="S566" i="3"/>
  <c r="R566" i="3"/>
  <c r="Q1526" i="3"/>
  <c r="P1526" i="3"/>
  <c r="O2489" i="3"/>
  <c r="N2248" i="3"/>
  <c r="J2249" i="3" s="1"/>
  <c r="S1404" i="3"/>
  <c r="R1404" i="3"/>
  <c r="N209" i="3"/>
  <c r="J210" i="3" s="1"/>
  <c r="O209" i="3"/>
  <c r="M209" i="3"/>
  <c r="K809" i="3"/>
  <c r="L809" i="3" s="1"/>
  <c r="N1526" i="3"/>
  <c r="J1527" i="3" s="1"/>
  <c r="Q1047" i="3"/>
  <c r="P1047" i="3"/>
  <c r="O2248" i="3"/>
  <c r="L2366" i="3"/>
  <c r="K2366" i="3"/>
  <c r="S808" i="3"/>
  <c r="R808" i="3"/>
  <c r="K929" i="3"/>
  <c r="L929" i="3" s="1"/>
  <c r="K1888" i="3"/>
  <c r="L1888" i="3"/>
  <c r="Q1766" i="3"/>
  <c r="P1766" i="3"/>
  <c r="O1526" i="3"/>
  <c r="O1047" i="3"/>
  <c r="Q446" i="3"/>
  <c r="P446" i="3"/>
  <c r="S84" i="3"/>
  <c r="R84" i="3"/>
  <c r="S686" i="3"/>
  <c r="R686" i="3"/>
  <c r="K85" i="3"/>
  <c r="L85" i="3" s="1"/>
  <c r="V109" i="1"/>
  <c r="U109" i="1"/>
  <c r="N1766" i="3"/>
  <c r="J1767" i="3" s="1"/>
  <c r="S928" i="3"/>
  <c r="R928" i="3"/>
  <c r="Q2365" i="3"/>
  <c r="P2365" i="3"/>
  <c r="N1047" i="3"/>
  <c r="J1048" i="3" s="1"/>
  <c r="N446" i="3"/>
  <c r="J447" i="3" s="1"/>
  <c r="S1887" i="3"/>
  <c r="R1887" i="3"/>
  <c r="K1405" i="3"/>
  <c r="L1405" i="3" s="1"/>
  <c r="O1766" i="3"/>
  <c r="O2365" i="3"/>
  <c r="Q2604" i="3"/>
  <c r="P2604" i="3"/>
  <c r="O446" i="3"/>
  <c r="P110" i="1" l="1"/>
  <c r="M2127" i="3"/>
  <c r="O1405" i="3"/>
  <c r="N1405" i="3"/>
  <c r="J1406" i="3" s="1"/>
  <c r="M1405" i="3"/>
  <c r="M929" i="3"/>
  <c r="M809" i="3"/>
  <c r="O85" i="3"/>
  <c r="M85" i="3"/>
  <c r="K210" i="3"/>
  <c r="L210" i="3"/>
  <c r="S2248" i="3"/>
  <c r="R2248" i="3"/>
  <c r="Q2006" i="3"/>
  <c r="P2006" i="3"/>
  <c r="M2366" i="3"/>
  <c r="K2490" i="3"/>
  <c r="L2490" i="3" s="1"/>
  <c r="S2489" i="3"/>
  <c r="R2489" i="3"/>
  <c r="N2006" i="3"/>
  <c r="J2007" i="3" s="1"/>
  <c r="Q567" i="3"/>
  <c r="P567" i="3"/>
  <c r="M2605" i="3"/>
  <c r="O2605" i="3" s="1"/>
  <c r="S1047" i="3"/>
  <c r="R1047" i="3"/>
  <c r="K1167" i="3"/>
  <c r="L1167" i="3" s="1"/>
  <c r="O2006" i="3"/>
  <c r="N567" i="3"/>
  <c r="J568" i="3" s="1"/>
  <c r="S446" i="3"/>
  <c r="R446" i="3"/>
  <c r="K1527" i="3"/>
  <c r="L1527" i="3" s="1"/>
  <c r="Q1285" i="3"/>
  <c r="P1285" i="3"/>
  <c r="O567" i="3"/>
  <c r="O1888" i="3"/>
  <c r="N1888" i="3"/>
  <c r="J1889" i="3" s="1"/>
  <c r="M1888" i="3"/>
  <c r="K1645" i="3"/>
  <c r="L1645" i="3" s="1"/>
  <c r="K2249" i="3"/>
  <c r="L2249" i="3" s="1"/>
  <c r="S1166" i="3"/>
  <c r="R1166" i="3"/>
  <c r="N1285" i="3"/>
  <c r="J1286" i="3" s="1"/>
  <c r="Q327" i="3"/>
  <c r="P327" i="3"/>
  <c r="K1767" i="3"/>
  <c r="L1767" i="3" s="1"/>
  <c r="S2604" i="3"/>
  <c r="R2604" i="3"/>
  <c r="K447" i="3"/>
  <c r="L447" i="3" s="1"/>
  <c r="Q687" i="3"/>
  <c r="P687" i="3"/>
  <c r="O1285" i="3"/>
  <c r="N327" i="3"/>
  <c r="J328" i="3" s="1"/>
  <c r="S1526" i="3"/>
  <c r="R1526" i="3"/>
  <c r="S2365" i="3"/>
  <c r="R2365" i="3"/>
  <c r="K1048" i="3"/>
  <c r="L1048" i="3"/>
  <c r="S1766" i="3"/>
  <c r="R1766" i="3"/>
  <c r="Q209" i="3"/>
  <c r="P209" i="3"/>
  <c r="N687" i="3"/>
  <c r="J688" i="3" s="1"/>
  <c r="Q1644" i="3"/>
  <c r="P1644" i="3"/>
  <c r="O327" i="3"/>
  <c r="M447" i="3" l="1"/>
  <c r="M2249" i="3"/>
  <c r="O1527" i="3"/>
  <c r="N1527" i="3"/>
  <c r="J1528" i="3" s="1"/>
  <c r="M1527" i="3"/>
  <c r="M1645" i="3"/>
  <c r="M1767" i="3"/>
  <c r="O1167" i="3"/>
  <c r="M1167" i="3"/>
  <c r="M2490" i="3"/>
  <c r="Q809" i="3"/>
  <c r="P809" i="3"/>
  <c r="L1406" i="3"/>
  <c r="K1406" i="3"/>
  <c r="K328" i="3"/>
  <c r="L328" i="3" s="1"/>
  <c r="K568" i="3"/>
  <c r="L568" i="3" s="1"/>
  <c r="N2605" i="3"/>
  <c r="J2606" i="3" s="1"/>
  <c r="O809" i="3"/>
  <c r="Q2127" i="3"/>
  <c r="P2127" i="3"/>
  <c r="S1644" i="3"/>
  <c r="R1644" i="3"/>
  <c r="N809" i="3"/>
  <c r="J810" i="3" s="1"/>
  <c r="N2127" i="3"/>
  <c r="J2128" i="3" s="1"/>
  <c r="K1889" i="3"/>
  <c r="L1889" i="3" s="1"/>
  <c r="S1285" i="3"/>
  <c r="R1285" i="3"/>
  <c r="Q2366" i="3"/>
  <c r="P2366" i="3"/>
  <c r="M210" i="3"/>
  <c r="O210" i="3" s="1"/>
  <c r="Q929" i="3"/>
  <c r="P929" i="3"/>
  <c r="O2127" i="3"/>
  <c r="S567" i="3"/>
  <c r="R567" i="3"/>
  <c r="N2366" i="3"/>
  <c r="J2367" i="3" s="1"/>
  <c r="N929" i="3"/>
  <c r="J930" i="3" s="1"/>
  <c r="T110" i="1"/>
  <c r="S110" i="1"/>
  <c r="S2006" i="3"/>
  <c r="R2006" i="3"/>
  <c r="K688" i="3"/>
  <c r="L688" i="3" s="1"/>
  <c r="S687" i="3"/>
  <c r="R687" i="3"/>
  <c r="S327" i="3"/>
  <c r="R327" i="3"/>
  <c r="K2007" i="3"/>
  <c r="L2007" i="3" s="1"/>
  <c r="O2366" i="3"/>
  <c r="Q85" i="3"/>
  <c r="P85" i="3"/>
  <c r="O929" i="3"/>
  <c r="Q110" i="1"/>
  <c r="M111" i="1" s="1"/>
  <c r="Q2605" i="3"/>
  <c r="P2605" i="3"/>
  <c r="O1048" i="3"/>
  <c r="M1048" i="3"/>
  <c r="S209" i="3"/>
  <c r="R209" i="3"/>
  <c r="K1286" i="3"/>
  <c r="L1286" i="3" s="1"/>
  <c r="Q1888" i="3"/>
  <c r="P1888" i="3"/>
  <c r="N85" i="3"/>
  <c r="J86" i="3" s="1"/>
  <c r="Q1405" i="3"/>
  <c r="P1405" i="3"/>
  <c r="R110" i="1"/>
  <c r="M568" i="3" l="1"/>
  <c r="M2007" i="3"/>
  <c r="N328" i="3"/>
  <c r="J329" i="3" s="1"/>
  <c r="O328" i="3"/>
  <c r="M328" i="3"/>
  <c r="M1286" i="3"/>
  <c r="M688" i="3"/>
  <c r="N1889" i="3"/>
  <c r="J1890" i="3" s="1"/>
  <c r="M1889" i="3"/>
  <c r="K930" i="3"/>
  <c r="L930" i="3" s="1"/>
  <c r="K2367" i="3"/>
  <c r="L2367" i="3" s="1"/>
  <c r="N210" i="3"/>
  <c r="J211" i="3" s="1"/>
  <c r="Q1767" i="3"/>
  <c r="P1767" i="3"/>
  <c r="K2128" i="3"/>
  <c r="L2128" i="3" s="1"/>
  <c r="K2606" i="3"/>
  <c r="L2606" i="3" s="1"/>
  <c r="S809" i="3"/>
  <c r="R809" i="3"/>
  <c r="N1767" i="3"/>
  <c r="J1768" i="3" s="1"/>
  <c r="Q2249" i="3"/>
  <c r="P2249" i="3"/>
  <c r="S2127" i="3"/>
  <c r="R2127" i="3"/>
  <c r="K810" i="3"/>
  <c r="L810" i="3"/>
  <c r="Q2490" i="3"/>
  <c r="P2490" i="3"/>
  <c r="O1767" i="3"/>
  <c r="N2249" i="3"/>
  <c r="J2250" i="3" s="1"/>
  <c r="K1528" i="3"/>
  <c r="L1528" i="3" s="1"/>
  <c r="N111" i="1"/>
  <c r="O111" i="1" s="1"/>
  <c r="S2366" i="3"/>
  <c r="R2366" i="3"/>
  <c r="N2490" i="3"/>
  <c r="J2491" i="3" s="1"/>
  <c r="Q1645" i="3"/>
  <c r="P1645" i="3"/>
  <c r="O2249" i="3"/>
  <c r="O2490" i="3"/>
  <c r="N1645" i="3"/>
  <c r="J1646" i="3" s="1"/>
  <c r="Q447" i="3"/>
  <c r="P447" i="3"/>
  <c r="S1888" i="3"/>
  <c r="R1888" i="3"/>
  <c r="Q1167" i="3"/>
  <c r="P1167" i="3"/>
  <c r="O1645" i="3"/>
  <c r="N447" i="3"/>
  <c r="J448" i="3" s="1"/>
  <c r="Q210" i="3"/>
  <c r="P210" i="3"/>
  <c r="M1406" i="3"/>
  <c r="S2605" i="3"/>
  <c r="R2605" i="3"/>
  <c r="S1405" i="3"/>
  <c r="R1405" i="3"/>
  <c r="K86" i="3"/>
  <c r="L86" i="3" s="1"/>
  <c r="Q1048" i="3"/>
  <c r="P1048" i="3"/>
  <c r="S85" i="3"/>
  <c r="R85" i="3"/>
  <c r="N1048" i="3"/>
  <c r="J1049" i="3" s="1"/>
  <c r="V110" i="1"/>
  <c r="U110" i="1"/>
  <c r="S929" i="3"/>
  <c r="R929" i="3"/>
  <c r="N1167" i="3"/>
  <c r="J1168" i="3" s="1"/>
  <c r="Q1527" i="3"/>
  <c r="P1527" i="3"/>
  <c r="O447" i="3"/>
  <c r="P111" i="1" l="1"/>
  <c r="M2606" i="3"/>
  <c r="O2606" i="3" s="1"/>
  <c r="O86" i="3"/>
  <c r="N86" i="3"/>
  <c r="J87" i="3" s="1"/>
  <c r="M86" i="3"/>
  <c r="M2128" i="3"/>
  <c r="M1528" i="3"/>
  <c r="N2367" i="3"/>
  <c r="J2368" i="3" s="1"/>
  <c r="M2367" i="3"/>
  <c r="M930" i="3"/>
  <c r="K211" i="3"/>
  <c r="L211" i="3" s="1"/>
  <c r="Q688" i="3"/>
  <c r="P688" i="3"/>
  <c r="K329" i="3"/>
  <c r="L329" i="3"/>
  <c r="N810" i="3"/>
  <c r="J811" i="3" s="1"/>
  <c r="M810" i="3"/>
  <c r="N688" i="3"/>
  <c r="J689" i="3" s="1"/>
  <c r="Q2007" i="3"/>
  <c r="P2007" i="3"/>
  <c r="S1048" i="3"/>
  <c r="R1048" i="3"/>
  <c r="K1890" i="3"/>
  <c r="L1890" i="3" s="1"/>
  <c r="S1167" i="3"/>
  <c r="R1167" i="3"/>
  <c r="K1168" i="3"/>
  <c r="L1168" i="3" s="1"/>
  <c r="S1645" i="3"/>
  <c r="R1645" i="3"/>
  <c r="O688" i="3"/>
  <c r="O2007" i="3"/>
  <c r="K2250" i="3"/>
  <c r="L2250" i="3" s="1"/>
  <c r="Q1286" i="3"/>
  <c r="P1286" i="3"/>
  <c r="N2007" i="3"/>
  <c r="J2008" i="3" s="1"/>
  <c r="Q1406" i="3"/>
  <c r="P1406" i="3"/>
  <c r="N1286" i="3"/>
  <c r="J1287" i="3" s="1"/>
  <c r="Q568" i="3"/>
  <c r="P568" i="3"/>
  <c r="S1527" i="3"/>
  <c r="R1527" i="3"/>
  <c r="N1406" i="3"/>
  <c r="J1407" i="3" s="1"/>
  <c r="K2491" i="3"/>
  <c r="L2491" i="3" s="1"/>
  <c r="S2249" i="3"/>
  <c r="R2249" i="3"/>
  <c r="Q1889" i="3"/>
  <c r="P1889" i="3"/>
  <c r="O1286" i="3"/>
  <c r="N568" i="3"/>
  <c r="J569" i="3" s="1"/>
  <c r="S1767" i="3"/>
  <c r="R1767" i="3"/>
  <c r="K1049" i="3"/>
  <c r="L1049" i="3" s="1"/>
  <c r="O1406" i="3"/>
  <c r="S210" i="3"/>
  <c r="R210" i="3"/>
  <c r="K448" i="3"/>
  <c r="L448" i="3" s="1"/>
  <c r="S447" i="3"/>
  <c r="R447" i="3"/>
  <c r="K1646" i="3"/>
  <c r="L1646" i="3" s="1"/>
  <c r="S2490" i="3"/>
  <c r="R2490" i="3"/>
  <c r="K1768" i="3"/>
  <c r="L1768" i="3" s="1"/>
  <c r="O1889" i="3"/>
  <c r="Q328" i="3"/>
  <c r="P328" i="3"/>
  <c r="O568" i="3"/>
  <c r="M1768" i="3" l="1"/>
  <c r="M211" i="3"/>
  <c r="N448" i="3"/>
  <c r="J449" i="3" s="1"/>
  <c r="O448" i="3"/>
  <c r="M448" i="3"/>
  <c r="M2250" i="3"/>
  <c r="N1890" i="3"/>
  <c r="J1891" i="3" s="1"/>
  <c r="M1890" i="3"/>
  <c r="O1049" i="3"/>
  <c r="M1049" i="3"/>
  <c r="M1646" i="3"/>
  <c r="M2491" i="3"/>
  <c r="M1168" i="3"/>
  <c r="K689" i="3"/>
  <c r="L689" i="3" s="1"/>
  <c r="Q1528" i="3"/>
  <c r="P1528" i="3"/>
  <c r="S688" i="3"/>
  <c r="R688" i="3"/>
  <c r="S1406" i="3"/>
  <c r="R1406" i="3"/>
  <c r="Q810" i="3"/>
  <c r="P810" i="3"/>
  <c r="O1528" i="3"/>
  <c r="S2007" i="3"/>
  <c r="R2007" i="3"/>
  <c r="K811" i="3"/>
  <c r="L811" i="3" s="1"/>
  <c r="Q930" i="3"/>
  <c r="P930" i="3"/>
  <c r="N1528" i="3"/>
  <c r="J1529" i="3" s="1"/>
  <c r="Q2606" i="3"/>
  <c r="P2606" i="3"/>
  <c r="K1287" i="3"/>
  <c r="L1287" i="3" s="1"/>
  <c r="O810" i="3"/>
  <c r="N930" i="3"/>
  <c r="J931" i="3" s="1"/>
  <c r="Q2128" i="3"/>
  <c r="P2128" i="3"/>
  <c r="N2606" i="3"/>
  <c r="J2607" i="3" s="1"/>
  <c r="K87" i="3"/>
  <c r="L87" i="3" s="1"/>
  <c r="K1407" i="3"/>
  <c r="L1407" i="3" s="1"/>
  <c r="L2008" i="3"/>
  <c r="K2008" i="3"/>
  <c r="S1286" i="3"/>
  <c r="R1286" i="3"/>
  <c r="M329" i="3"/>
  <c r="N329" i="3" s="1"/>
  <c r="J330" i="3" s="1"/>
  <c r="O930" i="3"/>
  <c r="O2128" i="3"/>
  <c r="T111" i="1"/>
  <c r="S111" i="1"/>
  <c r="K2368" i="3"/>
  <c r="L2368" i="3"/>
  <c r="S328" i="3"/>
  <c r="R328" i="3"/>
  <c r="S1889" i="3"/>
  <c r="R1889" i="3"/>
  <c r="Q2367" i="3"/>
  <c r="P2367" i="3"/>
  <c r="N2128" i="3"/>
  <c r="J2129" i="3" s="1"/>
  <c r="R111" i="1"/>
  <c r="K569" i="3"/>
  <c r="L569" i="3" s="1"/>
  <c r="S568" i="3"/>
  <c r="R568" i="3"/>
  <c r="O2367" i="3"/>
  <c r="Q86" i="3"/>
  <c r="P86" i="3"/>
  <c r="Q111" i="1"/>
  <c r="M112" i="1" s="1"/>
  <c r="M689" i="3" l="1"/>
  <c r="M1287" i="3"/>
  <c r="O87" i="3"/>
  <c r="N87" i="3"/>
  <c r="J88" i="3" s="1"/>
  <c r="M87" i="3"/>
  <c r="K330" i="3"/>
  <c r="L330" i="3"/>
  <c r="M811" i="3"/>
  <c r="O1407" i="3"/>
  <c r="N1407" i="3"/>
  <c r="J1408" i="3" s="1"/>
  <c r="M1407" i="3"/>
  <c r="M569" i="3"/>
  <c r="K1529" i="3"/>
  <c r="L1529" i="3"/>
  <c r="Q2491" i="3"/>
  <c r="P2491" i="3"/>
  <c r="S2128" i="3"/>
  <c r="R2128" i="3"/>
  <c r="N2491" i="3"/>
  <c r="J2492" i="3" s="1"/>
  <c r="Q1890" i="3"/>
  <c r="P1890" i="3"/>
  <c r="K449" i="3"/>
  <c r="L449" i="3"/>
  <c r="S1528" i="3"/>
  <c r="R1528" i="3"/>
  <c r="O2491" i="3"/>
  <c r="K1891" i="3"/>
  <c r="L1891" i="3" s="1"/>
  <c r="Q211" i="3"/>
  <c r="P211" i="3"/>
  <c r="N112" i="1"/>
  <c r="O112" i="1" s="1"/>
  <c r="S810" i="3"/>
  <c r="R810" i="3"/>
  <c r="Q1646" i="3"/>
  <c r="P1646" i="3"/>
  <c r="O1890" i="3"/>
  <c r="N211" i="3"/>
  <c r="J212" i="3" s="1"/>
  <c r="S86" i="3"/>
  <c r="R86" i="3"/>
  <c r="O2368" i="3"/>
  <c r="N2368" i="3"/>
  <c r="J2369" i="3" s="1"/>
  <c r="M2368" i="3"/>
  <c r="O329" i="3"/>
  <c r="N1646" i="3"/>
  <c r="J1647" i="3" s="1"/>
  <c r="Q2250" i="3"/>
  <c r="P2250" i="3"/>
  <c r="O211" i="3"/>
  <c r="K931" i="3"/>
  <c r="L931" i="3" s="1"/>
  <c r="S2367" i="3"/>
  <c r="R2367" i="3"/>
  <c r="Q1168" i="3"/>
  <c r="P1168" i="3"/>
  <c r="O1646" i="3"/>
  <c r="O2250" i="3"/>
  <c r="Q1768" i="3"/>
  <c r="P1768" i="3"/>
  <c r="N2008" i="3"/>
  <c r="J2009" i="3" s="1"/>
  <c r="M2008" i="3"/>
  <c r="O1168" i="3"/>
  <c r="Q1049" i="3"/>
  <c r="P1049" i="3"/>
  <c r="N2250" i="3"/>
  <c r="J2251" i="3" s="1"/>
  <c r="N1768" i="3"/>
  <c r="J1769" i="3" s="1"/>
  <c r="V111" i="1"/>
  <c r="U111" i="1"/>
  <c r="S930" i="3"/>
  <c r="R930" i="3"/>
  <c r="K2129" i="3"/>
  <c r="L2129" i="3"/>
  <c r="Q329" i="3"/>
  <c r="P329" i="3"/>
  <c r="K2607" i="3"/>
  <c r="L2607" i="3" s="1"/>
  <c r="S2606" i="3"/>
  <c r="R2606" i="3"/>
  <c r="N1168" i="3"/>
  <c r="J1169" i="3" s="1"/>
  <c r="N1049" i="3"/>
  <c r="J1050" i="3" s="1"/>
  <c r="Q448" i="3"/>
  <c r="P448" i="3"/>
  <c r="O1768" i="3"/>
  <c r="M2607" i="3" l="1"/>
  <c r="M931" i="3"/>
  <c r="R112" i="1"/>
  <c r="Q112" i="1"/>
  <c r="M113" i="1" s="1"/>
  <c r="P112" i="1"/>
  <c r="M1891" i="3"/>
  <c r="M2129" i="3"/>
  <c r="N449" i="3"/>
  <c r="J450" i="3" s="1"/>
  <c r="M449" i="3"/>
  <c r="K1769" i="3"/>
  <c r="L1769" i="3" s="1"/>
  <c r="Q2368" i="3"/>
  <c r="P2368" i="3"/>
  <c r="S211" i="3"/>
  <c r="R211" i="3"/>
  <c r="S2491" i="3"/>
  <c r="R2491" i="3"/>
  <c r="K2251" i="3"/>
  <c r="L2251" i="3" s="1"/>
  <c r="K2369" i="3"/>
  <c r="L2369" i="3" s="1"/>
  <c r="S1646" i="3"/>
  <c r="R1646" i="3"/>
  <c r="O1529" i="3"/>
  <c r="M1529" i="3"/>
  <c r="Q811" i="3"/>
  <c r="P811" i="3"/>
  <c r="Q1287" i="3"/>
  <c r="P1287" i="3"/>
  <c r="S1890" i="3"/>
  <c r="R1890" i="3"/>
  <c r="N811" i="3"/>
  <c r="J812" i="3" s="1"/>
  <c r="N1287" i="3"/>
  <c r="J1288" i="3" s="1"/>
  <c r="L1408" i="3"/>
  <c r="K1408" i="3"/>
  <c r="S1049" i="3"/>
  <c r="R1049" i="3"/>
  <c r="L2492" i="3"/>
  <c r="K2492" i="3"/>
  <c r="Q569" i="3"/>
  <c r="P569" i="3"/>
  <c r="O811" i="3"/>
  <c r="O1287" i="3"/>
  <c r="K1169" i="3"/>
  <c r="L1169" i="3"/>
  <c r="N569" i="3"/>
  <c r="J570" i="3" s="1"/>
  <c r="M330" i="3"/>
  <c r="Q689" i="3"/>
  <c r="P689" i="3"/>
  <c r="Q2008" i="3"/>
  <c r="P2008" i="3"/>
  <c r="S1168" i="3"/>
  <c r="R1168" i="3"/>
  <c r="S2250" i="3"/>
  <c r="R2250" i="3"/>
  <c r="O569" i="3"/>
  <c r="O689" i="3"/>
  <c r="K2009" i="3"/>
  <c r="L2009" i="3" s="1"/>
  <c r="K88" i="3"/>
  <c r="L88" i="3" s="1"/>
  <c r="S1768" i="3"/>
  <c r="R1768" i="3"/>
  <c r="S448" i="3"/>
  <c r="R448" i="3"/>
  <c r="K1050" i="3"/>
  <c r="L1050" i="3" s="1"/>
  <c r="S329" i="3"/>
  <c r="R329" i="3"/>
  <c r="O2008" i="3"/>
  <c r="K1647" i="3"/>
  <c r="L1647" i="3" s="1"/>
  <c r="K212" i="3"/>
  <c r="L212" i="3" s="1"/>
  <c r="Q1407" i="3"/>
  <c r="P1407" i="3"/>
  <c r="Q87" i="3"/>
  <c r="P87" i="3"/>
  <c r="N689" i="3"/>
  <c r="J690" i="3" s="1"/>
  <c r="M2009" i="3" l="1"/>
  <c r="M1050" i="3"/>
  <c r="O212" i="3"/>
  <c r="N212" i="3"/>
  <c r="J213" i="3" s="1"/>
  <c r="M212" i="3"/>
  <c r="M2369" i="3"/>
  <c r="M1769" i="3"/>
  <c r="N88" i="3"/>
  <c r="J89" i="3" s="1"/>
  <c r="M88" i="3"/>
  <c r="N1647" i="3"/>
  <c r="J1648" i="3" s="1"/>
  <c r="M1647" i="3"/>
  <c r="M2251" i="3"/>
  <c r="O2251" i="3" s="1"/>
  <c r="Q330" i="3"/>
  <c r="P330" i="3"/>
  <c r="S569" i="3"/>
  <c r="R569" i="3"/>
  <c r="K1288" i="3"/>
  <c r="L1288" i="3" s="1"/>
  <c r="S811" i="3"/>
  <c r="R811" i="3"/>
  <c r="Q2129" i="3"/>
  <c r="P2129" i="3"/>
  <c r="M1408" i="3"/>
  <c r="O1408" i="3"/>
  <c r="N330" i="3"/>
  <c r="J331" i="3" s="1"/>
  <c r="K812" i="3"/>
  <c r="L812" i="3" s="1"/>
  <c r="Q1529" i="3"/>
  <c r="P1529" i="3"/>
  <c r="O2129" i="3"/>
  <c r="Q931" i="3"/>
  <c r="P931" i="3"/>
  <c r="K690" i="3"/>
  <c r="L690" i="3" s="1"/>
  <c r="S2368" i="3"/>
  <c r="R2368" i="3"/>
  <c r="N2129" i="3"/>
  <c r="J2130" i="3" s="1"/>
  <c r="N931" i="3"/>
  <c r="J932" i="3" s="1"/>
  <c r="O1169" i="3"/>
  <c r="N1169" i="3"/>
  <c r="J1170" i="3" s="1"/>
  <c r="M1169" i="3"/>
  <c r="N1529" i="3"/>
  <c r="J1530" i="3" s="1"/>
  <c r="Q1891" i="3"/>
  <c r="P1891" i="3"/>
  <c r="O931" i="3"/>
  <c r="O330" i="3"/>
  <c r="K570" i="3"/>
  <c r="L570" i="3" s="1"/>
  <c r="N1891" i="3"/>
  <c r="J1892" i="3" s="1"/>
  <c r="Q2607" i="3"/>
  <c r="P2607" i="3"/>
  <c r="K450" i="3"/>
  <c r="L450" i="3" s="1"/>
  <c r="M2492" i="3"/>
  <c r="Q449" i="3"/>
  <c r="P449" i="3"/>
  <c r="O1891" i="3"/>
  <c r="N2607" i="3"/>
  <c r="J2608" i="3" s="1"/>
  <c r="N113" i="1"/>
  <c r="O113" i="1"/>
  <c r="S87" i="3"/>
  <c r="R87" i="3"/>
  <c r="S2008" i="3"/>
  <c r="R2008" i="3"/>
  <c r="S1407" i="3"/>
  <c r="R1407" i="3"/>
  <c r="S689" i="3"/>
  <c r="R689" i="3"/>
  <c r="S1287" i="3"/>
  <c r="R1287" i="3"/>
  <c r="O449" i="3"/>
  <c r="T112" i="1"/>
  <c r="S112" i="1"/>
  <c r="O2607" i="3"/>
  <c r="M450" i="3" l="1"/>
  <c r="M690" i="3"/>
  <c r="N570" i="3"/>
  <c r="J571" i="3" s="1"/>
  <c r="O570" i="3"/>
  <c r="M570" i="3"/>
  <c r="M812" i="3"/>
  <c r="M1288" i="3"/>
  <c r="N2251" i="3"/>
  <c r="J2252" i="3" s="1"/>
  <c r="Q1769" i="3"/>
  <c r="P1769" i="3"/>
  <c r="Q2492" i="3"/>
  <c r="P2492" i="3"/>
  <c r="P113" i="1"/>
  <c r="O2492" i="3"/>
  <c r="K932" i="3"/>
  <c r="L932" i="3" s="1"/>
  <c r="S931" i="3"/>
  <c r="R931" i="3"/>
  <c r="Q1408" i="3"/>
  <c r="P1408" i="3"/>
  <c r="O1769" i="3"/>
  <c r="Q1050" i="3"/>
  <c r="P1050" i="3"/>
  <c r="K331" i="3"/>
  <c r="L331" i="3"/>
  <c r="Q2251" i="3"/>
  <c r="P2251" i="3"/>
  <c r="K2130" i="3"/>
  <c r="L2130" i="3"/>
  <c r="N1408" i="3"/>
  <c r="J1409" i="3" s="1"/>
  <c r="Q1647" i="3"/>
  <c r="P1647" i="3"/>
  <c r="N1769" i="3"/>
  <c r="J1770" i="3" s="1"/>
  <c r="N1050" i="3"/>
  <c r="J1051" i="3" s="1"/>
  <c r="K89" i="3"/>
  <c r="L89" i="3"/>
  <c r="L1648" i="3"/>
  <c r="K1648" i="3"/>
  <c r="Q2369" i="3"/>
  <c r="P2369" i="3"/>
  <c r="O1050" i="3"/>
  <c r="V112" i="1"/>
  <c r="U112" i="1"/>
  <c r="S1891" i="3"/>
  <c r="R1891" i="3"/>
  <c r="S1529" i="3"/>
  <c r="R1529" i="3"/>
  <c r="S2129" i="3"/>
  <c r="R2129" i="3"/>
  <c r="O1647" i="3"/>
  <c r="N2369" i="3"/>
  <c r="J2370" i="3" s="1"/>
  <c r="Q2009" i="3"/>
  <c r="P2009" i="3"/>
  <c r="K1170" i="3"/>
  <c r="L1170" i="3" s="1"/>
  <c r="L213" i="3"/>
  <c r="K213" i="3"/>
  <c r="N2492" i="3"/>
  <c r="J2493" i="3" s="1"/>
  <c r="K2608" i="3"/>
  <c r="L2608" i="3" s="1"/>
  <c r="S2607" i="3"/>
  <c r="R2607" i="3"/>
  <c r="K1530" i="3"/>
  <c r="L1530" i="3" s="1"/>
  <c r="Q88" i="3"/>
  <c r="P88" i="3"/>
  <c r="O2369" i="3"/>
  <c r="O2009" i="3"/>
  <c r="S449" i="3"/>
  <c r="R449" i="3"/>
  <c r="K1892" i="3"/>
  <c r="L1892" i="3" s="1"/>
  <c r="Q1169" i="3"/>
  <c r="P1169" i="3"/>
  <c r="S330" i="3"/>
  <c r="R330" i="3"/>
  <c r="O88" i="3"/>
  <c r="Q212" i="3"/>
  <c r="P212" i="3"/>
  <c r="N2009" i="3"/>
  <c r="J2010" i="3" s="1"/>
  <c r="M1530" i="3" l="1"/>
  <c r="M932" i="3"/>
  <c r="O1170" i="3"/>
  <c r="N1170" i="3"/>
  <c r="J1171" i="3" s="1"/>
  <c r="M1170" i="3"/>
  <c r="M1892" i="3"/>
  <c r="M2608" i="3"/>
  <c r="K2252" i="3"/>
  <c r="L2252" i="3" s="1"/>
  <c r="T113" i="1"/>
  <c r="S113" i="1"/>
  <c r="Q1288" i="3"/>
  <c r="P1288" i="3"/>
  <c r="K571" i="3"/>
  <c r="L571" i="3"/>
  <c r="M89" i="3"/>
  <c r="S1408" i="3"/>
  <c r="R1408" i="3"/>
  <c r="Q113" i="1"/>
  <c r="M114" i="1" s="1"/>
  <c r="N1288" i="3"/>
  <c r="J1289" i="3" s="1"/>
  <c r="Q690" i="3"/>
  <c r="P690" i="3"/>
  <c r="R113" i="1"/>
  <c r="O1288" i="3"/>
  <c r="N690" i="3"/>
  <c r="J691" i="3" s="1"/>
  <c r="M1648" i="3"/>
  <c r="O1648" i="3" s="1"/>
  <c r="K1770" i="3"/>
  <c r="L1770" i="3"/>
  <c r="M331" i="3"/>
  <c r="O331" i="3" s="1"/>
  <c r="Q812" i="3"/>
  <c r="P812" i="3"/>
  <c r="O690" i="3"/>
  <c r="M213" i="3"/>
  <c r="S2251" i="3"/>
  <c r="R2251" i="3"/>
  <c r="S2009" i="3"/>
  <c r="R2009" i="3"/>
  <c r="K2370" i="3"/>
  <c r="L2370" i="3" s="1"/>
  <c r="S2492" i="3"/>
  <c r="R2492" i="3"/>
  <c r="N812" i="3"/>
  <c r="J813" i="3" s="1"/>
  <c r="Q450" i="3"/>
  <c r="P450" i="3"/>
  <c r="S1169" i="3"/>
  <c r="R1169" i="3"/>
  <c r="K2493" i="3"/>
  <c r="L2493" i="3" s="1"/>
  <c r="S2369" i="3"/>
  <c r="R2369" i="3"/>
  <c r="S1647" i="3"/>
  <c r="R1647" i="3"/>
  <c r="O812" i="3"/>
  <c r="O450" i="3"/>
  <c r="O2130" i="3"/>
  <c r="N2130" i="3"/>
  <c r="J2131" i="3" s="1"/>
  <c r="M2130" i="3"/>
  <c r="K1051" i="3"/>
  <c r="L1051" i="3"/>
  <c r="K2010" i="3"/>
  <c r="L2010" i="3"/>
  <c r="S88" i="3"/>
  <c r="R88" i="3"/>
  <c r="S212" i="3"/>
  <c r="R212" i="3"/>
  <c r="K1409" i="3"/>
  <c r="L1409" i="3"/>
  <c r="S1050" i="3"/>
  <c r="R1050" i="3"/>
  <c r="S1769" i="3"/>
  <c r="R1769" i="3"/>
  <c r="Q570" i="3"/>
  <c r="P570" i="3"/>
  <c r="N450" i="3"/>
  <c r="J451" i="3" s="1"/>
  <c r="M2252" i="3" l="1"/>
  <c r="N2252" i="3"/>
  <c r="J2253" i="3" s="1"/>
  <c r="M2493" i="3"/>
  <c r="O2370" i="3"/>
  <c r="N2370" i="3"/>
  <c r="J2371" i="3" s="1"/>
  <c r="M2370" i="3"/>
  <c r="M571" i="3"/>
  <c r="K813" i="3"/>
  <c r="L813" i="3" s="1"/>
  <c r="N1648" i="3"/>
  <c r="J1649" i="3" s="1"/>
  <c r="O114" i="1"/>
  <c r="N114" i="1"/>
  <c r="Q2608" i="3"/>
  <c r="P2608" i="3"/>
  <c r="K1171" i="3"/>
  <c r="L1171" i="3" s="1"/>
  <c r="S812" i="3"/>
  <c r="R812" i="3"/>
  <c r="O2608" i="3"/>
  <c r="Q932" i="3"/>
  <c r="P932" i="3"/>
  <c r="S450" i="3"/>
  <c r="R450" i="3"/>
  <c r="K691" i="3"/>
  <c r="L691" i="3" s="1"/>
  <c r="S1288" i="3"/>
  <c r="R1288" i="3"/>
  <c r="N2608" i="3"/>
  <c r="J2609" i="3" s="1"/>
  <c r="N932" i="3"/>
  <c r="J933" i="3" s="1"/>
  <c r="K2131" i="3"/>
  <c r="L2131" i="3" s="1"/>
  <c r="Q1648" i="3"/>
  <c r="P1648" i="3"/>
  <c r="K451" i="3"/>
  <c r="L451" i="3"/>
  <c r="Q1892" i="3"/>
  <c r="P1892" i="3"/>
  <c r="O932" i="3"/>
  <c r="S570" i="3"/>
  <c r="R570" i="3"/>
  <c r="N331" i="3"/>
  <c r="J332" i="3" s="1"/>
  <c r="Q213" i="3"/>
  <c r="P213" i="3"/>
  <c r="Q89" i="3"/>
  <c r="P89" i="3"/>
  <c r="N1892" i="3"/>
  <c r="J1893" i="3" s="1"/>
  <c r="Q1530" i="3"/>
  <c r="P1530" i="3"/>
  <c r="K1289" i="3"/>
  <c r="L1289" i="3" s="1"/>
  <c r="M2010" i="3"/>
  <c r="O1051" i="3"/>
  <c r="N1051" i="3"/>
  <c r="J1052" i="3" s="1"/>
  <c r="M1051" i="3"/>
  <c r="N213" i="3"/>
  <c r="J214" i="3" s="1"/>
  <c r="M1770" i="3"/>
  <c r="N89" i="3"/>
  <c r="J90" i="3" s="1"/>
  <c r="V113" i="1"/>
  <c r="U113" i="1"/>
  <c r="O1892" i="3"/>
  <c r="N1530" i="3"/>
  <c r="J1531" i="3" s="1"/>
  <c r="M1409" i="3"/>
  <c r="O1409" i="3" s="1"/>
  <c r="Q331" i="3"/>
  <c r="P331" i="3"/>
  <c r="Q2130" i="3"/>
  <c r="P2130" i="3"/>
  <c r="O213" i="3"/>
  <c r="S690" i="3"/>
  <c r="R690" i="3"/>
  <c r="O89" i="3"/>
  <c r="Q1170" i="3"/>
  <c r="P1170" i="3"/>
  <c r="O1530" i="3"/>
  <c r="M813" i="3" l="1"/>
  <c r="M2131" i="3"/>
  <c r="O691" i="3"/>
  <c r="N691" i="3"/>
  <c r="J692" i="3" s="1"/>
  <c r="M691" i="3"/>
  <c r="M1171" i="3"/>
  <c r="M1289" i="3"/>
  <c r="L1649" i="3"/>
  <c r="K1649" i="3"/>
  <c r="S331" i="3"/>
  <c r="R331" i="3"/>
  <c r="P114" i="1"/>
  <c r="R114" i="1" s="1"/>
  <c r="Q2493" i="3"/>
  <c r="P2493" i="3"/>
  <c r="K1052" i="3"/>
  <c r="L1052" i="3" s="1"/>
  <c r="N2493" i="3"/>
  <c r="J2494" i="3" s="1"/>
  <c r="K1893" i="3"/>
  <c r="L1893" i="3" s="1"/>
  <c r="N1409" i="3"/>
  <c r="J1410" i="3" s="1"/>
  <c r="Q2010" i="3"/>
  <c r="P2010" i="3"/>
  <c r="Q1770" i="3"/>
  <c r="P1770" i="3"/>
  <c r="O2010" i="3"/>
  <c r="K1531" i="3"/>
  <c r="L1531" i="3" s="1"/>
  <c r="N1770" i="3"/>
  <c r="J1771" i="3" s="1"/>
  <c r="N2010" i="3"/>
  <c r="J2011" i="3" s="1"/>
  <c r="S1892" i="3"/>
  <c r="R1892" i="3"/>
  <c r="K2609" i="3"/>
  <c r="L2609" i="3"/>
  <c r="Q571" i="3"/>
  <c r="P571" i="3"/>
  <c r="O2493" i="3"/>
  <c r="S1530" i="3"/>
  <c r="R1530" i="3"/>
  <c r="K2371" i="3"/>
  <c r="L2371" i="3"/>
  <c r="Q1409" i="3"/>
  <c r="P1409" i="3"/>
  <c r="L90" i="3"/>
  <c r="K90" i="3"/>
  <c r="S89" i="3"/>
  <c r="R89" i="3"/>
  <c r="O1770" i="3"/>
  <c r="S213" i="3"/>
  <c r="R213" i="3"/>
  <c r="O451" i="3"/>
  <c r="M451" i="3"/>
  <c r="N571" i="3"/>
  <c r="J572" i="3" s="1"/>
  <c r="K2253" i="3"/>
  <c r="L2253" i="3" s="1"/>
  <c r="K214" i="3"/>
  <c r="L214" i="3" s="1"/>
  <c r="K332" i="3"/>
  <c r="L332" i="3" s="1"/>
  <c r="S932" i="3"/>
  <c r="R932" i="3"/>
  <c r="S2608" i="3"/>
  <c r="R2608" i="3"/>
  <c r="O571" i="3"/>
  <c r="Q2252" i="3"/>
  <c r="P2252" i="3"/>
  <c r="S1648" i="3"/>
  <c r="R1648" i="3"/>
  <c r="K933" i="3"/>
  <c r="L933" i="3" s="1"/>
  <c r="S2130" i="3"/>
  <c r="R2130" i="3"/>
  <c r="S1170" i="3"/>
  <c r="R1170" i="3"/>
  <c r="Q1051" i="3"/>
  <c r="P1051" i="3"/>
  <c r="Q2370" i="3"/>
  <c r="P2370" i="3"/>
  <c r="O2252" i="3"/>
  <c r="M933" i="3" l="1"/>
  <c r="O1531" i="3"/>
  <c r="M1531" i="3"/>
  <c r="O2253" i="3"/>
  <c r="N2253" i="3"/>
  <c r="J2254" i="3" s="1"/>
  <c r="M2253" i="3"/>
  <c r="M1052" i="3"/>
  <c r="M332" i="3"/>
  <c r="O332" i="3" s="1"/>
  <c r="O214" i="3"/>
  <c r="M214" i="3"/>
  <c r="O1893" i="3"/>
  <c r="N1893" i="3"/>
  <c r="J1894" i="3" s="1"/>
  <c r="M1893" i="3"/>
  <c r="S1051" i="3"/>
  <c r="R1051" i="3"/>
  <c r="K1771" i="3"/>
  <c r="L1771" i="3" s="1"/>
  <c r="K1410" i="3"/>
  <c r="L1410" i="3" s="1"/>
  <c r="Q1289" i="3"/>
  <c r="P1289" i="3"/>
  <c r="S1409" i="3"/>
  <c r="R1409" i="3"/>
  <c r="T114" i="1"/>
  <c r="S114" i="1"/>
  <c r="N1289" i="3"/>
  <c r="J1290" i="3" s="1"/>
  <c r="Q2131" i="3"/>
  <c r="P2131" i="3"/>
  <c r="K2011" i="3"/>
  <c r="L2011" i="3" s="1"/>
  <c r="M1649" i="3"/>
  <c r="O2609" i="3"/>
  <c r="N2609" i="3"/>
  <c r="J2610" i="3" s="1"/>
  <c r="M2609" i="3"/>
  <c r="Q114" i="1"/>
  <c r="M115" i="1" s="1"/>
  <c r="O1289" i="3"/>
  <c r="N2131" i="3"/>
  <c r="J2132" i="3" s="1"/>
  <c r="S2010" i="3"/>
  <c r="R2010" i="3"/>
  <c r="S571" i="3"/>
  <c r="R571" i="3"/>
  <c r="L2494" i="3"/>
  <c r="K2494" i="3"/>
  <c r="Q1171" i="3"/>
  <c r="P1171" i="3"/>
  <c r="O2131" i="3"/>
  <c r="L692" i="3"/>
  <c r="K692" i="3"/>
  <c r="N2371" i="3"/>
  <c r="J2372" i="3" s="1"/>
  <c r="O2371" i="3"/>
  <c r="M2371" i="3"/>
  <c r="K572" i="3"/>
  <c r="L572" i="3" s="1"/>
  <c r="Q451" i="3"/>
  <c r="P451" i="3"/>
  <c r="N1171" i="3"/>
  <c r="J1172" i="3" s="1"/>
  <c r="Q813" i="3"/>
  <c r="P813" i="3"/>
  <c r="S1770" i="3"/>
  <c r="R1770" i="3"/>
  <c r="O1171" i="3"/>
  <c r="N813" i="3"/>
  <c r="J814" i="3" s="1"/>
  <c r="M90" i="3"/>
  <c r="S2493" i="3"/>
  <c r="R2493" i="3"/>
  <c r="S2252" i="3"/>
  <c r="R2252" i="3"/>
  <c r="S2370" i="3"/>
  <c r="R2370" i="3"/>
  <c r="N451" i="3"/>
  <c r="J452" i="3" s="1"/>
  <c r="Q691" i="3"/>
  <c r="P691" i="3"/>
  <c r="O813" i="3"/>
  <c r="M1771" i="3" l="1"/>
  <c r="M2011" i="3"/>
  <c r="N572" i="3"/>
  <c r="J573" i="3" s="1"/>
  <c r="O572" i="3"/>
  <c r="M572" i="3"/>
  <c r="M1410" i="3"/>
  <c r="Q90" i="3"/>
  <c r="P90" i="3"/>
  <c r="K2254" i="3"/>
  <c r="L2254" i="3" s="1"/>
  <c r="N90" i="3"/>
  <c r="J91" i="3" s="1"/>
  <c r="O90" i="3"/>
  <c r="K1172" i="3"/>
  <c r="L1172" i="3" s="1"/>
  <c r="Q2609" i="3"/>
  <c r="P2609" i="3"/>
  <c r="N332" i="3"/>
  <c r="J333" i="3" s="1"/>
  <c r="Q1531" i="3"/>
  <c r="P1531" i="3"/>
  <c r="K814" i="3"/>
  <c r="L814" i="3" s="1"/>
  <c r="M692" i="3"/>
  <c r="K2610" i="3"/>
  <c r="L2610" i="3" s="1"/>
  <c r="S2131" i="3"/>
  <c r="R2131" i="3"/>
  <c r="S1289" i="3"/>
  <c r="R1289" i="3"/>
  <c r="Q1893" i="3"/>
  <c r="P1893" i="3"/>
  <c r="N1531" i="3"/>
  <c r="J1532" i="3" s="1"/>
  <c r="M2494" i="3"/>
  <c r="S813" i="3"/>
  <c r="R813" i="3"/>
  <c r="L1290" i="3"/>
  <c r="K1290" i="3"/>
  <c r="K1894" i="3"/>
  <c r="L1894" i="3" s="1"/>
  <c r="Q1052" i="3"/>
  <c r="P1052" i="3"/>
  <c r="N115" i="1"/>
  <c r="O115" i="1" s="1"/>
  <c r="S691" i="3"/>
  <c r="R691" i="3"/>
  <c r="N1052" i="3"/>
  <c r="J1053" i="3" s="1"/>
  <c r="Q933" i="3"/>
  <c r="P933" i="3"/>
  <c r="K2372" i="3"/>
  <c r="L2372" i="3"/>
  <c r="Q332" i="3"/>
  <c r="P332" i="3"/>
  <c r="S451" i="3"/>
  <c r="R451" i="3"/>
  <c r="Q1649" i="3"/>
  <c r="P1649" i="3"/>
  <c r="N1649" i="3"/>
  <c r="J1650" i="3" s="1"/>
  <c r="V114" i="1"/>
  <c r="U114" i="1"/>
  <c r="Q214" i="3"/>
  <c r="P214" i="3"/>
  <c r="O1052" i="3"/>
  <c r="N933" i="3"/>
  <c r="J934" i="3" s="1"/>
  <c r="K452" i="3"/>
  <c r="L452" i="3"/>
  <c r="S1171" i="3"/>
  <c r="R1171" i="3"/>
  <c r="Q2371" i="3"/>
  <c r="P2371" i="3"/>
  <c r="K2132" i="3"/>
  <c r="L2132" i="3" s="1"/>
  <c r="O1649" i="3"/>
  <c r="N214" i="3"/>
  <c r="J215" i="3" s="1"/>
  <c r="Q2253" i="3"/>
  <c r="P2253" i="3"/>
  <c r="O933" i="3"/>
  <c r="P115" i="1" l="1"/>
  <c r="R115" i="1"/>
  <c r="Q115" i="1"/>
  <c r="M116" i="1" s="1"/>
  <c r="M1172" i="3"/>
  <c r="O814" i="3"/>
  <c r="N814" i="3"/>
  <c r="J815" i="3" s="1"/>
  <c r="M814" i="3"/>
  <c r="M2132" i="3"/>
  <c r="M2610" i="3"/>
  <c r="N2610" i="3" s="1"/>
  <c r="J2611" i="3" s="1"/>
  <c r="O1894" i="3"/>
  <c r="M1894" i="3"/>
  <c r="O2254" i="3"/>
  <c r="M2254" i="3"/>
  <c r="S1531" i="3"/>
  <c r="R1531" i="3"/>
  <c r="Q692" i="3"/>
  <c r="P692" i="3"/>
  <c r="Q2011" i="3"/>
  <c r="P2011" i="3"/>
  <c r="M452" i="3"/>
  <c r="N452" i="3" s="1"/>
  <c r="J453" i="3" s="1"/>
  <c r="L1650" i="3"/>
  <c r="K1650" i="3"/>
  <c r="K573" i="3"/>
  <c r="L573" i="3"/>
  <c r="S1649" i="3"/>
  <c r="R1649" i="3"/>
  <c r="N692" i="3"/>
  <c r="J693" i="3" s="1"/>
  <c r="S2609" i="3"/>
  <c r="R2609" i="3"/>
  <c r="S90" i="3"/>
  <c r="R90" i="3"/>
  <c r="N2011" i="3"/>
  <c r="J2012" i="3" s="1"/>
  <c r="S1052" i="3"/>
  <c r="R1052" i="3"/>
  <c r="Q2494" i="3"/>
  <c r="P2494" i="3"/>
  <c r="O692" i="3"/>
  <c r="Q1410" i="3"/>
  <c r="P1410" i="3"/>
  <c r="O2011" i="3"/>
  <c r="S332" i="3"/>
  <c r="R332" i="3"/>
  <c r="K333" i="3"/>
  <c r="L333" i="3" s="1"/>
  <c r="S2371" i="3"/>
  <c r="R2371" i="3"/>
  <c r="S214" i="3"/>
  <c r="R214" i="3"/>
  <c r="K1053" i="3"/>
  <c r="L1053" i="3" s="1"/>
  <c r="O2494" i="3"/>
  <c r="N1410" i="3"/>
  <c r="J1411" i="3" s="1"/>
  <c r="Q1771" i="3"/>
  <c r="P1771" i="3"/>
  <c r="M1290" i="3"/>
  <c r="O2372" i="3"/>
  <c r="N2372" i="3"/>
  <c r="J2373" i="3" s="1"/>
  <c r="M2372" i="3"/>
  <c r="S933" i="3"/>
  <c r="R933" i="3"/>
  <c r="N2494" i="3"/>
  <c r="J2495" i="3" s="1"/>
  <c r="O1410" i="3"/>
  <c r="O1771" i="3"/>
  <c r="S1893" i="3"/>
  <c r="R1893" i="3"/>
  <c r="L934" i="3"/>
  <c r="K934" i="3"/>
  <c r="S2253" i="3"/>
  <c r="R2253" i="3"/>
  <c r="K215" i="3"/>
  <c r="L215" i="3" s="1"/>
  <c r="K1532" i="3"/>
  <c r="L1532" i="3"/>
  <c r="K91" i="3"/>
  <c r="L91" i="3" s="1"/>
  <c r="Q572" i="3"/>
  <c r="P572" i="3"/>
  <c r="N1771" i="3"/>
  <c r="J1772" i="3" s="1"/>
  <c r="M1053" i="3" l="1"/>
  <c r="M333" i="3"/>
  <c r="O91" i="3"/>
  <c r="N91" i="3"/>
  <c r="J92" i="3" s="1"/>
  <c r="M91" i="3"/>
  <c r="K453" i="3"/>
  <c r="L453" i="3" s="1"/>
  <c r="M215" i="3"/>
  <c r="K2611" i="3"/>
  <c r="L2611" i="3"/>
  <c r="K815" i="3"/>
  <c r="L815" i="3" s="1"/>
  <c r="K693" i="3"/>
  <c r="L693" i="3" s="1"/>
  <c r="Q2372" i="3"/>
  <c r="P2372" i="3"/>
  <c r="K1411" i="3"/>
  <c r="L1411" i="3" s="1"/>
  <c r="K2012" i="3"/>
  <c r="L2012" i="3" s="1"/>
  <c r="O452" i="3"/>
  <c r="O2610" i="3"/>
  <c r="Q1172" i="3"/>
  <c r="P1172" i="3"/>
  <c r="N1532" i="3"/>
  <c r="J1533" i="3" s="1"/>
  <c r="O1532" i="3"/>
  <c r="M1532" i="3"/>
  <c r="K1772" i="3"/>
  <c r="L1772" i="3"/>
  <c r="K2373" i="3"/>
  <c r="L2373" i="3" s="1"/>
  <c r="S1410" i="3"/>
  <c r="R1410" i="3"/>
  <c r="Q2254" i="3"/>
  <c r="P2254" i="3"/>
  <c r="N1172" i="3"/>
  <c r="J1173" i="3" s="1"/>
  <c r="Q2610" i="3"/>
  <c r="P2610" i="3"/>
  <c r="Q2132" i="3"/>
  <c r="P2132" i="3"/>
  <c r="O1172" i="3"/>
  <c r="Q1290" i="3"/>
  <c r="P1290" i="3"/>
  <c r="M573" i="3"/>
  <c r="S2011" i="3"/>
  <c r="R2011" i="3"/>
  <c r="N2254" i="3"/>
  <c r="J2255" i="3" s="1"/>
  <c r="O2132" i="3"/>
  <c r="N116" i="1"/>
  <c r="O116" i="1"/>
  <c r="M1650" i="3"/>
  <c r="K2495" i="3"/>
  <c r="L2495" i="3" s="1"/>
  <c r="O1290" i="3"/>
  <c r="S2494" i="3"/>
  <c r="R2494" i="3"/>
  <c r="Q1894" i="3"/>
  <c r="P1894" i="3"/>
  <c r="N2132" i="3"/>
  <c r="J2133" i="3" s="1"/>
  <c r="M934" i="3"/>
  <c r="S1771" i="3"/>
  <c r="R1771" i="3"/>
  <c r="Q452" i="3"/>
  <c r="P452" i="3"/>
  <c r="S572" i="3"/>
  <c r="R572" i="3"/>
  <c r="N1290" i="3"/>
  <c r="J1291" i="3" s="1"/>
  <c r="S692" i="3"/>
  <c r="R692" i="3"/>
  <c r="N1894" i="3"/>
  <c r="J1895" i="3" s="1"/>
  <c r="Q814" i="3"/>
  <c r="P814" i="3"/>
  <c r="T115" i="1"/>
  <c r="S115" i="1"/>
  <c r="M453" i="3" l="1"/>
  <c r="M2495" i="3"/>
  <c r="N2012" i="3"/>
  <c r="J2013" i="3" s="1"/>
  <c r="O2012" i="3"/>
  <c r="M2012" i="3"/>
  <c r="M1411" i="3"/>
  <c r="M693" i="3"/>
  <c r="O693" i="3" s="1"/>
  <c r="O815" i="3"/>
  <c r="M815" i="3"/>
  <c r="M2373" i="3"/>
  <c r="S452" i="3"/>
  <c r="R452" i="3"/>
  <c r="Q1650" i="3"/>
  <c r="P1650" i="3"/>
  <c r="K1533" i="3"/>
  <c r="L1533" i="3" s="1"/>
  <c r="K2133" i="3"/>
  <c r="L2133" i="3"/>
  <c r="K92" i="3"/>
  <c r="L92" i="3" s="1"/>
  <c r="S2132" i="3"/>
  <c r="R2132" i="3"/>
  <c r="Q215" i="3"/>
  <c r="P215" i="3"/>
  <c r="Q333" i="3"/>
  <c r="P333" i="3"/>
  <c r="Q573" i="3"/>
  <c r="P573" i="3"/>
  <c r="S1172" i="3"/>
  <c r="R1172" i="3"/>
  <c r="S2372" i="3"/>
  <c r="R2372" i="3"/>
  <c r="O215" i="3"/>
  <c r="N333" i="3"/>
  <c r="J334" i="3" s="1"/>
  <c r="N1650" i="3"/>
  <c r="J1651" i="3" s="1"/>
  <c r="S2610" i="3"/>
  <c r="R2610" i="3"/>
  <c r="N215" i="3"/>
  <c r="J216" i="3" s="1"/>
  <c r="O333" i="3"/>
  <c r="S1894" i="3"/>
  <c r="R1894" i="3"/>
  <c r="O1650" i="3"/>
  <c r="P116" i="1"/>
  <c r="Q934" i="3"/>
  <c r="P934" i="3"/>
  <c r="K1173" i="3"/>
  <c r="L1173" i="3" s="1"/>
  <c r="M1772" i="3"/>
  <c r="O1772" i="3" s="1"/>
  <c r="Q1053" i="3"/>
  <c r="P1053" i="3"/>
  <c r="O2611" i="3"/>
  <c r="M2611" i="3"/>
  <c r="K1291" i="3"/>
  <c r="L1291" i="3"/>
  <c r="N573" i="3"/>
  <c r="J574" i="3" s="1"/>
  <c r="N1053" i="3"/>
  <c r="J1054" i="3" s="1"/>
  <c r="K1895" i="3"/>
  <c r="L1895" i="3" s="1"/>
  <c r="V115" i="1"/>
  <c r="U115" i="1"/>
  <c r="O573" i="3"/>
  <c r="O934" i="3"/>
  <c r="S814" i="3"/>
  <c r="R814" i="3"/>
  <c r="N934" i="3"/>
  <c r="J935" i="3" s="1"/>
  <c r="K2255" i="3"/>
  <c r="L2255" i="3" s="1"/>
  <c r="S1290" i="3"/>
  <c r="R1290" i="3"/>
  <c r="S2254" i="3"/>
  <c r="R2254" i="3"/>
  <c r="Q1532" i="3"/>
  <c r="P1532" i="3"/>
  <c r="Q91" i="3"/>
  <c r="P91" i="3"/>
  <c r="O1053" i="3"/>
  <c r="M1533" i="3" l="1"/>
  <c r="M2255" i="3"/>
  <c r="O1173" i="3"/>
  <c r="N1173" i="3"/>
  <c r="J1174" i="3" s="1"/>
  <c r="M1173" i="3"/>
  <c r="M1895" i="3"/>
  <c r="M92" i="3"/>
  <c r="K2013" i="3"/>
  <c r="L2013" i="3" s="1"/>
  <c r="S1053" i="3"/>
  <c r="R1053" i="3"/>
  <c r="T116" i="1"/>
  <c r="S116" i="1"/>
  <c r="K216" i="3"/>
  <c r="L216" i="3"/>
  <c r="S333" i="3"/>
  <c r="R333" i="3"/>
  <c r="M2133" i="3"/>
  <c r="N693" i="3"/>
  <c r="J694" i="3" s="1"/>
  <c r="Q2495" i="3"/>
  <c r="P2495" i="3"/>
  <c r="K574" i="3"/>
  <c r="L574" i="3" s="1"/>
  <c r="R116" i="1"/>
  <c r="Q2373" i="3"/>
  <c r="P2373" i="3"/>
  <c r="N2495" i="3"/>
  <c r="J2496" i="3" s="1"/>
  <c r="S573" i="3"/>
  <c r="R573" i="3"/>
  <c r="S934" i="3"/>
  <c r="R934" i="3"/>
  <c r="S91" i="3"/>
  <c r="R91" i="3"/>
  <c r="S215" i="3"/>
  <c r="R215" i="3"/>
  <c r="N2373" i="3"/>
  <c r="J2374" i="3" s="1"/>
  <c r="Q1411" i="3"/>
  <c r="P1411" i="3"/>
  <c r="O2495" i="3"/>
  <c r="Q693" i="3"/>
  <c r="P693" i="3"/>
  <c r="O2373" i="3"/>
  <c r="N1411" i="3"/>
  <c r="J1412" i="3" s="1"/>
  <c r="Q453" i="3"/>
  <c r="P453" i="3"/>
  <c r="K1054" i="3"/>
  <c r="L1054" i="3" s="1"/>
  <c r="Q1772" i="3"/>
  <c r="P1772" i="3"/>
  <c r="M1291" i="3"/>
  <c r="N1291" i="3" s="1"/>
  <c r="J1292" i="3" s="1"/>
  <c r="N1772" i="3"/>
  <c r="J1773" i="3" s="1"/>
  <c r="Q2611" i="3"/>
  <c r="P2611" i="3"/>
  <c r="L1651" i="3"/>
  <c r="K1651" i="3"/>
  <c r="Q815" i="3"/>
  <c r="P815" i="3"/>
  <c r="O1411" i="3"/>
  <c r="N453" i="3"/>
  <c r="J454" i="3" s="1"/>
  <c r="Q116" i="1"/>
  <c r="M117" i="1" s="1"/>
  <c r="S1532" i="3"/>
  <c r="R1532" i="3"/>
  <c r="K935" i="3"/>
  <c r="L935" i="3"/>
  <c r="N2611" i="3"/>
  <c r="J2612" i="3" s="1"/>
  <c r="K334" i="3"/>
  <c r="L334" i="3" s="1"/>
  <c r="S1650" i="3"/>
  <c r="R1650" i="3"/>
  <c r="N815" i="3"/>
  <c r="J816" i="3" s="1"/>
  <c r="Q2012" i="3"/>
  <c r="P2012" i="3"/>
  <c r="O453" i="3"/>
  <c r="M334" i="3" l="1"/>
  <c r="M2013" i="3"/>
  <c r="N2013" i="3" s="1"/>
  <c r="J2014" i="3" s="1"/>
  <c r="K1292" i="3"/>
  <c r="L1292" i="3" s="1"/>
  <c r="M574" i="3"/>
  <c r="M1054" i="3"/>
  <c r="N1054" i="3" s="1"/>
  <c r="J1055" i="3" s="1"/>
  <c r="L2496" i="3"/>
  <c r="K2496" i="3"/>
  <c r="K694" i="3"/>
  <c r="L694" i="3" s="1"/>
  <c r="Q92" i="3"/>
  <c r="P92" i="3"/>
  <c r="N117" i="1"/>
  <c r="O117" i="1" s="1"/>
  <c r="Q2133" i="3"/>
  <c r="P2133" i="3"/>
  <c r="N92" i="3"/>
  <c r="J93" i="3" s="1"/>
  <c r="Q2255" i="3"/>
  <c r="P2255" i="3"/>
  <c r="S693" i="3"/>
  <c r="R693" i="3"/>
  <c r="S2611" i="3"/>
  <c r="R2611" i="3"/>
  <c r="S1411" i="3"/>
  <c r="R1411" i="3"/>
  <c r="S2373" i="3"/>
  <c r="R2373" i="3"/>
  <c r="N2133" i="3"/>
  <c r="J2134" i="3" s="1"/>
  <c r="V116" i="1"/>
  <c r="U116" i="1"/>
  <c r="O92" i="3"/>
  <c r="N2255" i="3"/>
  <c r="J2256" i="3" s="1"/>
  <c r="L1174" i="3"/>
  <c r="K1174" i="3"/>
  <c r="O2133" i="3"/>
  <c r="Q1895" i="3"/>
  <c r="P1895" i="3"/>
  <c r="O2255" i="3"/>
  <c r="M1651" i="3"/>
  <c r="S2012" i="3"/>
  <c r="R2012" i="3"/>
  <c r="O1895" i="3"/>
  <c r="Q1533" i="3"/>
  <c r="P1533" i="3"/>
  <c r="S1772" i="3"/>
  <c r="R1772" i="3"/>
  <c r="N216" i="3"/>
  <c r="J217" i="3" s="1"/>
  <c r="O216" i="3"/>
  <c r="M216" i="3"/>
  <c r="K454" i="3"/>
  <c r="L454" i="3" s="1"/>
  <c r="S453" i="3"/>
  <c r="R453" i="3"/>
  <c r="O1291" i="3"/>
  <c r="S815" i="3"/>
  <c r="R815" i="3"/>
  <c r="N1895" i="3"/>
  <c r="J1896" i="3" s="1"/>
  <c r="N1533" i="3"/>
  <c r="J1534" i="3" s="1"/>
  <c r="S2495" i="3"/>
  <c r="R2495" i="3"/>
  <c r="L1773" i="3"/>
  <c r="K1773" i="3"/>
  <c r="K2612" i="3"/>
  <c r="L2612" i="3" s="1"/>
  <c r="Q1291" i="3"/>
  <c r="P1291" i="3"/>
  <c r="L2374" i="3"/>
  <c r="K2374" i="3"/>
  <c r="N935" i="3"/>
  <c r="J936" i="3" s="1"/>
  <c r="M935" i="3"/>
  <c r="K1412" i="3"/>
  <c r="L1412" i="3" s="1"/>
  <c r="K816" i="3"/>
  <c r="L816" i="3" s="1"/>
  <c r="Q1173" i="3"/>
  <c r="P1173" i="3"/>
  <c r="O1533" i="3"/>
  <c r="M454" i="3" l="1"/>
  <c r="M816" i="3"/>
  <c r="O1292" i="3"/>
  <c r="N1292" i="3"/>
  <c r="J1293" i="3" s="1"/>
  <c r="M1292" i="3"/>
  <c r="K1055" i="3"/>
  <c r="L1055" i="3"/>
  <c r="M2612" i="3"/>
  <c r="K2014" i="3"/>
  <c r="L2014" i="3"/>
  <c r="M694" i="3"/>
  <c r="P117" i="1"/>
  <c r="O1412" i="3"/>
  <c r="N1412" i="3"/>
  <c r="J1413" i="3" s="1"/>
  <c r="M1412" i="3"/>
  <c r="S1173" i="3"/>
  <c r="R1173" i="3"/>
  <c r="K217" i="3"/>
  <c r="L217" i="3"/>
  <c r="K2134" i="3"/>
  <c r="L2134" i="3" s="1"/>
  <c r="S2133" i="3"/>
  <c r="R2133" i="3"/>
  <c r="M2496" i="3"/>
  <c r="Q1651" i="3"/>
  <c r="P1651" i="3"/>
  <c r="S1291" i="3"/>
  <c r="R1291" i="3"/>
  <c r="O1651" i="3"/>
  <c r="O1054" i="3"/>
  <c r="Q2013" i="3"/>
  <c r="P2013" i="3"/>
  <c r="L1534" i="3"/>
  <c r="K1534" i="3"/>
  <c r="K1896" i="3"/>
  <c r="L1896" i="3"/>
  <c r="N1651" i="3"/>
  <c r="J1652" i="3" s="1"/>
  <c r="O2013" i="3"/>
  <c r="M1174" i="3"/>
  <c r="Q1054" i="3"/>
  <c r="P1054" i="3"/>
  <c r="S1533" i="3"/>
  <c r="R1533" i="3"/>
  <c r="S92" i="3"/>
  <c r="R92" i="3"/>
  <c r="Q574" i="3"/>
  <c r="P574" i="3"/>
  <c r="Q334" i="3"/>
  <c r="P334" i="3"/>
  <c r="Q935" i="3"/>
  <c r="P935" i="3"/>
  <c r="O935" i="3"/>
  <c r="Q216" i="3"/>
  <c r="P216" i="3"/>
  <c r="S2255" i="3"/>
  <c r="R2255" i="3"/>
  <c r="N574" i="3"/>
  <c r="J575" i="3" s="1"/>
  <c r="N334" i="3"/>
  <c r="J335" i="3" s="1"/>
  <c r="O2374" i="3"/>
  <c r="N2374" i="3"/>
  <c r="J2375" i="3" s="1"/>
  <c r="M2374" i="3"/>
  <c r="K2256" i="3"/>
  <c r="L2256" i="3" s="1"/>
  <c r="K936" i="3"/>
  <c r="L936" i="3"/>
  <c r="M1773" i="3"/>
  <c r="N1773" i="3" s="1"/>
  <c r="J1774" i="3" s="1"/>
  <c r="S1895" i="3"/>
  <c r="R1895" i="3"/>
  <c r="K93" i="3"/>
  <c r="L93" i="3" s="1"/>
  <c r="O574" i="3"/>
  <c r="O334" i="3"/>
  <c r="K1774" i="3" l="1"/>
  <c r="L1774" i="3" s="1"/>
  <c r="M2134" i="3"/>
  <c r="M2256" i="3"/>
  <c r="N2256" i="3" s="1"/>
  <c r="J2257" i="3" s="1"/>
  <c r="M93" i="3"/>
  <c r="K2375" i="3"/>
  <c r="L2375" i="3" s="1"/>
  <c r="Q1174" i="3"/>
  <c r="P1174" i="3"/>
  <c r="O2014" i="3"/>
  <c r="M2014" i="3"/>
  <c r="N1174" i="3"/>
  <c r="J1175" i="3" s="1"/>
  <c r="S2013" i="3"/>
  <c r="R2013" i="3"/>
  <c r="Q2496" i="3"/>
  <c r="P2496" i="3"/>
  <c r="M217" i="3"/>
  <c r="T117" i="1"/>
  <c r="S117" i="1"/>
  <c r="Q2612" i="3"/>
  <c r="P2612" i="3"/>
  <c r="Q816" i="3"/>
  <c r="P816" i="3"/>
  <c r="S216" i="3"/>
  <c r="R216" i="3"/>
  <c r="K1293" i="3"/>
  <c r="L1293" i="3"/>
  <c r="K575" i="3"/>
  <c r="L575" i="3" s="1"/>
  <c r="O2496" i="3"/>
  <c r="Q117" i="1"/>
  <c r="M118" i="1" s="1"/>
  <c r="N2612" i="3"/>
  <c r="J2613" i="3" s="1"/>
  <c r="N816" i="3"/>
  <c r="J817" i="3" s="1"/>
  <c r="K1413" i="3"/>
  <c r="L1413" i="3" s="1"/>
  <c r="R117" i="1"/>
  <c r="O2612" i="3"/>
  <c r="O816" i="3"/>
  <c r="Q1773" i="3"/>
  <c r="P1773" i="3"/>
  <c r="S935" i="3"/>
  <c r="R935" i="3"/>
  <c r="S334" i="3"/>
  <c r="R334" i="3"/>
  <c r="M1896" i="3"/>
  <c r="Q694" i="3"/>
  <c r="P694" i="3"/>
  <c r="N1055" i="3"/>
  <c r="J1056" i="3" s="1"/>
  <c r="O1055" i="3"/>
  <c r="M1055" i="3"/>
  <c r="Q454" i="3"/>
  <c r="P454" i="3"/>
  <c r="M1534" i="3"/>
  <c r="N1534" i="3" s="1"/>
  <c r="J1535" i="3" s="1"/>
  <c r="S1651" i="3"/>
  <c r="R1651" i="3"/>
  <c r="O1773" i="3"/>
  <c r="N2496" i="3"/>
  <c r="J2497" i="3" s="1"/>
  <c r="N694" i="3"/>
  <c r="J695" i="3" s="1"/>
  <c r="N454" i="3"/>
  <c r="J455" i="3" s="1"/>
  <c r="O1174" i="3"/>
  <c r="K335" i="3"/>
  <c r="L335" i="3" s="1"/>
  <c r="N936" i="3"/>
  <c r="J937" i="3" s="1"/>
  <c r="O936" i="3"/>
  <c r="M936" i="3"/>
  <c r="K1652" i="3"/>
  <c r="L1652" i="3"/>
  <c r="Q2374" i="3"/>
  <c r="P2374" i="3"/>
  <c r="S574" i="3"/>
  <c r="R574" i="3"/>
  <c r="S1054" i="3"/>
  <c r="R1054" i="3"/>
  <c r="Q1412" i="3"/>
  <c r="P1412" i="3"/>
  <c r="O694" i="3"/>
  <c r="Q1292" i="3"/>
  <c r="P1292" i="3"/>
  <c r="O454" i="3"/>
  <c r="M2375" i="3" l="1"/>
  <c r="K2257" i="3"/>
  <c r="L2257" i="3" s="1"/>
  <c r="M1413" i="3"/>
  <c r="M575" i="3"/>
  <c r="M335" i="3"/>
  <c r="K1535" i="3"/>
  <c r="L1535" i="3" s="1"/>
  <c r="M1774" i="3"/>
  <c r="S2496" i="3"/>
  <c r="R2496" i="3"/>
  <c r="Q2256" i="3"/>
  <c r="P2256" i="3"/>
  <c r="M1293" i="3"/>
  <c r="S2612" i="3"/>
  <c r="R2612" i="3"/>
  <c r="S1174" i="3"/>
  <c r="R1174" i="3"/>
  <c r="O2256" i="3"/>
  <c r="K455" i="3"/>
  <c r="L455" i="3" s="1"/>
  <c r="S694" i="3"/>
  <c r="R694" i="3"/>
  <c r="Q2134" i="3"/>
  <c r="P2134" i="3"/>
  <c r="S816" i="3"/>
  <c r="R816" i="3"/>
  <c r="S2374" i="3"/>
  <c r="R2374" i="3"/>
  <c r="L695" i="3"/>
  <c r="K695" i="3"/>
  <c r="Q1896" i="3"/>
  <c r="P1896" i="3"/>
  <c r="K817" i="3"/>
  <c r="L817" i="3" s="1"/>
  <c r="V117" i="1"/>
  <c r="U117" i="1"/>
  <c r="N2134" i="3"/>
  <c r="J2135" i="3" s="1"/>
  <c r="Q1534" i="3"/>
  <c r="P1534" i="3"/>
  <c r="O1534" i="3"/>
  <c r="Q936" i="3"/>
  <c r="P936" i="3"/>
  <c r="K2497" i="3"/>
  <c r="L2497" i="3"/>
  <c r="N1896" i="3"/>
  <c r="J1897" i="3" s="1"/>
  <c r="K2613" i="3"/>
  <c r="L2613" i="3" s="1"/>
  <c r="Q217" i="3"/>
  <c r="P217" i="3"/>
  <c r="K1175" i="3"/>
  <c r="L1175" i="3"/>
  <c r="Q93" i="3"/>
  <c r="P93" i="3"/>
  <c r="O2134" i="3"/>
  <c r="K1056" i="3"/>
  <c r="L1056" i="3"/>
  <c r="S454" i="3"/>
  <c r="R454" i="3"/>
  <c r="O1896" i="3"/>
  <c r="S1773" i="3"/>
  <c r="R1773" i="3"/>
  <c r="N118" i="1"/>
  <c r="O118" i="1" s="1"/>
  <c r="O217" i="3"/>
  <c r="Q2014" i="3"/>
  <c r="P2014" i="3"/>
  <c r="N93" i="3"/>
  <c r="J94" i="3" s="1"/>
  <c r="S1412" i="3"/>
  <c r="R1412" i="3"/>
  <c r="M1652" i="3"/>
  <c r="N1652" i="3" s="1"/>
  <c r="J1653" i="3" s="1"/>
  <c r="S1292" i="3"/>
  <c r="R1292" i="3"/>
  <c r="K937" i="3"/>
  <c r="L937" i="3"/>
  <c r="Q1055" i="3"/>
  <c r="P1055" i="3"/>
  <c r="N217" i="3"/>
  <c r="J218" i="3" s="1"/>
  <c r="N2014" i="3"/>
  <c r="J2015" i="3" s="1"/>
  <c r="O93" i="3"/>
  <c r="O1535" i="3" l="1"/>
  <c r="N1535" i="3"/>
  <c r="J1536" i="3" s="1"/>
  <c r="M1535" i="3"/>
  <c r="M2613" i="3"/>
  <c r="N817" i="3"/>
  <c r="J818" i="3" s="1"/>
  <c r="O817" i="3"/>
  <c r="M817" i="3"/>
  <c r="P118" i="1"/>
  <c r="M455" i="3"/>
  <c r="N2257" i="3"/>
  <c r="J2258" i="3" s="1"/>
  <c r="M2257" i="3"/>
  <c r="O2257" i="3"/>
  <c r="K1653" i="3"/>
  <c r="L1653" i="3" s="1"/>
  <c r="M695" i="3"/>
  <c r="Q1413" i="3"/>
  <c r="P1413" i="3"/>
  <c r="Q335" i="3"/>
  <c r="P335" i="3"/>
  <c r="N1413" i="3"/>
  <c r="J1414" i="3" s="1"/>
  <c r="K2015" i="3"/>
  <c r="L2015" i="3" s="1"/>
  <c r="S93" i="3"/>
  <c r="R93" i="3"/>
  <c r="S2014" i="3"/>
  <c r="R2014" i="3"/>
  <c r="O1413" i="3"/>
  <c r="S1055" i="3"/>
  <c r="R1055" i="3"/>
  <c r="S936" i="3"/>
  <c r="R936" i="3"/>
  <c r="N335" i="3"/>
  <c r="J336" i="3" s="1"/>
  <c r="N937" i="3"/>
  <c r="J938" i="3" s="1"/>
  <c r="M937" i="3"/>
  <c r="O1056" i="3"/>
  <c r="M1056" i="3"/>
  <c r="S217" i="3"/>
  <c r="R217" i="3"/>
  <c r="O335" i="3"/>
  <c r="Q1293" i="3"/>
  <c r="P1293" i="3"/>
  <c r="P1774" i="3"/>
  <c r="Q1774" i="3"/>
  <c r="Q575" i="3"/>
  <c r="P575" i="3"/>
  <c r="Q2375" i="3"/>
  <c r="P2375" i="3"/>
  <c r="S2134" i="3"/>
  <c r="R2134" i="3"/>
  <c r="K218" i="3"/>
  <c r="L218" i="3" s="1"/>
  <c r="M1175" i="3"/>
  <c r="O1175" i="3" s="1"/>
  <c r="S2256" i="3"/>
  <c r="R2256" i="3"/>
  <c r="S1534" i="3"/>
  <c r="R1534" i="3"/>
  <c r="S1896" i="3"/>
  <c r="R1896" i="3"/>
  <c r="N1293" i="3"/>
  <c r="J1294" i="3" s="1"/>
  <c r="N1774" i="3"/>
  <c r="J1775" i="3" s="1"/>
  <c r="N575" i="3"/>
  <c r="J576" i="3" s="1"/>
  <c r="O2375" i="3"/>
  <c r="M2497" i="3"/>
  <c r="Q1652" i="3"/>
  <c r="P1652" i="3"/>
  <c r="O1652" i="3"/>
  <c r="K94" i="3"/>
  <c r="L94" i="3" s="1"/>
  <c r="K1897" i="3"/>
  <c r="L1897" i="3" s="1"/>
  <c r="K2135" i="3"/>
  <c r="L2135" i="3" s="1"/>
  <c r="O1293" i="3"/>
  <c r="O1774" i="3"/>
  <c r="O575" i="3"/>
  <c r="N2375" i="3"/>
  <c r="J2376" i="3" s="1"/>
  <c r="M218" i="3" l="1"/>
  <c r="M2015" i="3"/>
  <c r="O94" i="3"/>
  <c r="N94" i="3"/>
  <c r="J95" i="3" s="1"/>
  <c r="M94" i="3"/>
  <c r="M1653" i="3"/>
  <c r="M2135" i="3"/>
  <c r="N1897" i="3"/>
  <c r="J1898" i="3" s="1"/>
  <c r="M1897" i="3"/>
  <c r="S1413" i="3"/>
  <c r="R1413" i="3"/>
  <c r="K2258" i="3"/>
  <c r="L2258" i="3" s="1"/>
  <c r="S1293" i="3"/>
  <c r="R1293" i="3"/>
  <c r="Q937" i="3"/>
  <c r="P937" i="3"/>
  <c r="Q695" i="3"/>
  <c r="P695" i="3"/>
  <c r="Q455" i="3"/>
  <c r="P455" i="3"/>
  <c r="K818" i="3"/>
  <c r="L818" i="3"/>
  <c r="Q2497" i="3"/>
  <c r="P2497" i="3"/>
  <c r="L938" i="3"/>
  <c r="K938" i="3"/>
  <c r="O695" i="3"/>
  <c r="N455" i="3"/>
  <c r="J456" i="3" s="1"/>
  <c r="Q2613" i="3"/>
  <c r="P2613" i="3"/>
  <c r="N2497" i="3"/>
  <c r="J2498" i="3" s="1"/>
  <c r="N1175" i="3"/>
  <c r="J1176" i="3" s="1"/>
  <c r="S2375" i="3"/>
  <c r="R2375" i="3"/>
  <c r="O937" i="3"/>
  <c r="N695" i="3"/>
  <c r="J696" i="3" s="1"/>
  <c r="O455" i="3"/>
  <c r="N2613" i="3"/>
  <c r="J2614" i="3" s="1"/>
  <c r="S1652" i="3"/>
  <c r="R1652" i="3"/>
  <c r="K1414" i="3"/>
  <c r="L1414" i="3" s="1"/>
  <c r="T118" i="1"/>
  <c r="S118" i="1"/>
  <c r="O2613" i="3"/>
  <c r="K2376" i="3"/>
  <c r="L2376" i="3"/>
  <c r="S575" i="3"/>
  <c r="R575" i="3"/>
  <c r="Q118" i="1"/>
  <c r="M119" i="1" s="1"/>
  <c r="Q1535" i="3"/>
  <c r="P1535" i="3"/>
  <c r="K336" i="3"/>
  <c r="L336" i="3" s="1"/>
  <c r="K576" i="3"/>
  <c r="L576" i="3" s="1"/>
  <c r="S1774" i="3"/>
  <c r="R1774" i="3"/>
  <c r="Q1056" i="3"/>
  <c r="P1056" i="3"/>
  <c r="S335" i="3"/>
  <c r="R335" i="3"/>
  <c r="R118" i="1"/>
  <c r="K1536" i="3"/>
  <c r="L1536" i="3" s="1"/>
  <c r="K1294" i="3"/>
  <c r="L1294" i="3"/>
  <c r="Q1175" i="3"/>
  <c r="P1175" i="3"/>
  <c r="O2497" i="3"/>
  <c r="L1775" i="3"/>
  <c r="K1775" i="3"/>
  <c r="N1056" i="3"/>
  <c r="J1057" i="3" s="1"/>
  <c r="Q2257" i="3"/>
  <c r="P2257" i="3"/>
  <c r="Q817" i="3"/>
  <c r="P817" i="3"/>
  <c r="M1536" i="3" l="1"/>
  <c r="M336" i="3"/>
  <c r="N2258" i="3"/>
  <c r="J2259" i="3" s="1"/>
  <c r="O2258" i="3"/>
  <c r="M2258" i="3"/>
  <c r="M576" i="3"/>
  <c r="M1414" i="3"/>
  <c r="L456" i="3"/>
  <c r="K456" i="3"/>
  <c r="K1898" i="3"/>
  <c r="L1898" i="3"/>
  <c r="K95" i="3"/>
  <c r="L95" i="3" s="1"/>
  <c r="S455" i="3"/>
  <c r="R455" i="3"/>
  <c r="Q2135" i="3"/>
  <c r="P2135" i="3"/>
  <c r="N2135" i="3"/>
  <c r="J2136" i="3" s="1"/>
  <c r="Q2015" i="3"/>
  <c r="P2015" i="3"/>
  <c r="S695" i="3"/>
  <c r="R695" i="3"/>
  <c r="O2135" i="3"/>
  <c r="O2015" i="3"/>
  <c r="S1175" i="3"/>
  <c r="R1175" i="3"/>
  <c r="L1176" i="3"/>
  <c r="K1176" i="3"/>
  <c r="Q1653" i="3"/>
  <c r="P1653" i="3"/>
  <c r="N2015" i="3"/>
  <c r="J2016" i="3" s="1"/>
  <c r="S1056" i="3"/>
  <c r="R1056" i="3"/>
  <c r="L2614" i="3"/>
  <c r="K2614" i="3"/>
  <c r="L2498" i="3"/>
  <c r="K2498" i="3"/>
  <c r="S2497" i="3"/>
  <c r="R2497" i="3"/>
  <c r="S937" i="3"/>
  <c r="R937" i="3"/>
  <c r="N1653" i="3"/>
  <c r="J1654" i="3" s="1"/>
  <c r="Q218" i="3"/>
  <c r="P218" i="3"/>
  <c r="S817" i="3"/>
  <c r="R817" i="3"/>
  <c r="M2376" i="3"/>
  <c r="O2376" i="3" s="1"/>
  <c r="M1294" i="3"/>
  <c r="M818" i="3"/>
  <c r="Q1897" i="3"/>
  <c r="P1897" i="3"/>
  <c r="O1653" i="3"/>
  <c r="N218" i="3"/>
  <c r="J219" i="3" s="1"/>
  <c r="M1775" i="3"/>
  <c r="N1775" i="3"/>
  <c r="J1776" i="3" s="1"/>
  <c r="M938" i="3"/>
  <c r="O938" i="3" s="1"/>
  <c r="S2257" i="3"/>
  <c r="R2257" i="3"/>
  <c r="K1057" i="3"/>
  <c r="L1057" i="3" s="1"/>
  <c r="S1535" i="3"/>
  <c r="R1535" i="3"/>
  <c r="N119" i="1"/>
  <c r="O119" i="1" s="1"/>
  <c r="V118" i="1"/>
  <c r="U118" i="1"/>
  <c r="K696" i="3"/>
  <c r="L696" i="3" s="1"/>
  <c r="S2613" i="3"/>
  <c r="R2613" i="3"/>
  <c r="O1897" i="3"/>
  <c r="Q94" i="3"/>
  <c r="P94" i="3"/>
  <c r="O218" i="3"/>
  <c r="M95" i="3" l="1"/>
  <c r="P119" i="1"/>
  <c r="O696" i="3"/>
  <c r="N696" i="3"/>
  <c r="J697" i="3" s="1"/>
  <c r="M696" i="3"/>
  <c r="M1057" i="3"/>
  <c r="K1654" i="3"/>
  <c r="L1654" i="3" s="1"/>
  <c r="N2376" i="3"/>
  <c r="J2377" i="3" s="1"/>
  <c r="Q1414" i="3"/>
  <c r="P1414" i="3"/>
  <c r="K2259" i="3"/>
  <c r="L2259" i="3" s="1"/>
  <c r="S1653" i="3"/>
  <c r="R1653" i="3"/>
  <c r="M2614" i="3"/>
  <c r="M1176" i="3"/>
  <c r="N1176" i="3" s="1"/>
  <c r="J1177" i="3" s="1"/>
  <c r="N1414" i="3"/>
  <c r="J1415" i="3" s="1"/>
  <c r="Q336" i="3"/>
  <c r="P336" i="3"/>
  <c r="S1897" i="3"/>
  <c r="R1897" i="3"/>
  <c r="Q818" i="3"/>
  <c r="P818" i="3"/>
  <c r="K1776" i="3"/>
  <c r="L1776" i="3" s="1"/>
  <c r="N818" i="3"/>
  <c r="J819" i="3" s="1"/>
  <c r="O1414" i="3"/>
  <c r="O336" i="3"/>
  <c r="M2498" i="3"/>
  <c r="N2498" i="3" s="1"/>
  <c r="J2499" i="3" s="1"/>
  <c r="M456" i="3"/>
  <c r="N456" i="3" s="1"/>
  <c r="J457" i="3" s="1"/>
  <c r="Q1775" i="3"/>
  <c r="P1775" i="3"/>
  <c r="O818" i="3"/>
  <c r="S2015" i="3"/>
  <c r="R2015" i="3"/>
  <c r="Q576" i="3"/>
  <c r="P576" i="3"/>
  <c r="N336" i="3"/>
  <c r="J337" i="3" s="1"/>
  <c r="Q938" i="3"/>
  <c r="P938" i="3"/>
  <c r="O1775" i="3"/>
  <c r="Q1294" i="3"/>
  <c r="P1294" i="3"/>
  <c r="K2136" i="3"/>
  <c r="L2136" i="3" s="1"/>
  <c r="O1898" i="3"/>
  <c r="M1898" i="3"/>
  <c r="N576" i="3"/>
  <c r="J577" i="3" s="1"/>
  <c r="Q1536" i="3"/>
  <c r="P1536" i="3"/>
  <c r="N938" i="3"/>
  <c r="J939" i="3" s="1"/>
  <c r="K219" i="3"/>
  <c r="L219" i="3" s="1"/>
  <c r="N1294" i="3"/>
  <c r="J1295" i="3" s="1"/>
  <c r="K2016" i="3"/>
  <c r="L2016" i="3" s="1"/>
  <c r="O576" i="3"/>
  <c r="O1536" i="3"/>
  <c r="Q2376" i="3"/>
  <c r="P2376" i="3"/>
  <c r="S94" i="3"/>
  <c r="R94" i="3"/>
  <c r="O1294" i="3"/>
  <c r="S218" i="3"/>
  <c r="R218" i="3"/>
  <c r="S2135" i="3"/>
  <c r="R2135" i="3"/>
  <c r="Q2258" i="3"/>
  <c r="P2258" i="3"/>
  <c r="N1536" i="3"/>
  <c r="J1537" i="3" s="1"/>
  <c r="K1177" i="3" l="1"/>
  <c r="L1177" i="3"/>
  <c r="K457" i="3"/>
  <c r="L457" i="3"/>
  <c r="M2136" i="3"/>
  <c r="O1776" i="3"/>
  <c r="M1776" i="3"/>
  <c r="M1654" i="3"/>
  <c r="M2016" i="3"/>
  <c r="O2016" i="3" s="1"/>
  <c r="K2499" i="3"/>
  <c r="L2499" i="3" s="1"/>
  <c r="M2259" i="3"/>
  <c r="M219" i="3"/>
  <c r="O219" i="3" s="1"/>
  <c r="T119" i="1"/>
  <c r="S119" i="1"/>
  <c r="K2377" i="3"/>
  <c r="L2377" i="3" s="1"/>
  <c r="K939" i="3"/>
  <c r="L939" i="3" s="1"/>
  <c r="O456" i="3"/>
  <c r="R119" i="1"/>
  <c r="S1775" i="3"/>
  <c r="R1775" i="3"/>
  <c r="S336" i="3"/>
  <c r="R336" i="3"/>
  <c r="Q1057" i="3"/>
  <c r="P1057" i="3"/>
  <c r="Q119" i="1"/>
  <c r="M120" i="1" s="1"/>
  <c r="K337" i="3"/>
  <c r="L337" i="3" s="1"/>
  <c r="Q2614" i="3"/>
  <c r="P2614" i="3"/>
  <c r="Q456" i="3"/>
  <c r="P456" i="3"/>
  <c r="S576" i="3"/>
  <c r="R576" i="3"/>
  <c r="K577" i="3"/>
  <c r="L577" i="3" s="1"/>
  <c r="S818" i="3"/>
  <c r="R818" i="3"/>
  <c r="O1176" i="3"/>
  <c r="N1057" i="3"/>
  <c r="J1058" i="3" s="1"/>
  <c r="Q95" i="3"/>
  <c r="P95" i="3"/>
  <c r="K697" i="3"/>
  <c r="L697" i="3" s="1"/>
  <c r="O2614" i="3"/>
  <c r="S2376" i="3"/>
  <c r="R2376" i="3"/>
  <c r="L1415" i="3"/>
  <c r="K1415" i="3"/>
  <c r="S1294" i="3"/>
  <c r="R1294" i="3"/>
  <c r="Q2498" i="3"/>
  <c r="P2498" i="3"/>
  <c r="Q1898" i="3"/>
  <c r="P1898" i="3"/>
  <c r="O2498" i="3"/>
  <c r="O1057" i="3"/>
  <c r="N95" i="3"/>
  <c r="J96" i="3" s="1"/>
  <c r="S1414" i="3"/>
  <c r="R1414" i="3"/>
  <c r="K819" i="3"/>
  <c r="L819" i="3" s="1"/>
  <c r="K1537" i="3"/>
  <c r="L1537" i="3"/>
  <c r="S1536" i="3"/>
  <c r="R1536" i="3"/>
  <c r="Q1176" i="3"/>
  <c r="P1176" i="3"/>
  <c r="S2258" i="3"/>
  <c r="R2258" i="3"/>
  <c r="K1295" i="3"/>
  <c r="L1295" i="3"/>
  <c r="N1898" i="3"/>
  <c r="J1899" i="3" s="1"/>
  <c r="S938" i="3"/>
  <c r="R938" i="3"/>
  <c r="N2614" i="3"/>
  <c r="J2615" i="3" s="1"/>
  <c r="Q696" i="3"/>
  <c r="P696" i="3"/>
  <c r="O95" i="3"/>
  <c r="M2377" i="3" l="1"/>
  <c r="M697" i="3"/>
  <c r="O2499" i="3"/>
  <c r="N2499" i="3"/>
  <c r="J2500" i="3" s="1"/>
  <c r="M2499" i="3"/>
  <c r="M939" i="3"/>
  <c r="M337" i="3"/>
  <c r="O819" i="3"/>
  <c r="M819" i="3"/>
  <c r="M577" i="3"/>
  <c r="S2498" i="3"/>
  <c r="R2498" i="3"/>
  <c r="S1057" i="3"/>
  <c r="R1057" i="3"/>
  <c r="N219" i="3"/>
  <c r="J220" i="3" s="1"/>
  <c r="N2016" i="3"/>
  <c r="J2017" i="3" s="1"/>
  <c r="Q2136" i="3"/>
  <c r="P2136" i="3"/>
  <c r="S456" i="3"/>
  <c r="R456" i="3"/>
  <c r="N2136" i="3"/>
  <c r="J2137" i="3" s="1"/>
  <c r="Q2016" i="3"/>
  <c r="P2016" i="3"/>
  <c r="P2259" i="3"/>
  <c r="Q2259" i="3"/>
  <c r="Q1654" i="3"/>
  <c r="P1654" i="3"/>
  <c r="O2136" i="3"/>
  <c r="M1295" i="3"/>
  <c r="S2614" i="3"/>
  <c r="R2614" i="3"/>
  <c r="O2259" i="3"/>
  <c r="N1654" i="3"/>
  <c r="J1655" i="3" s="1"/>
  <c r="M457" i="3"/>
  <c r="K1899" i="3"/>
  <c r="L1899" i="3" s="1"/>
  <c r="L2615" i="3"/>
  <c r="K2615" i="3"/>
  <c r="N2259" i="3"/>
  <c r="J2260" i="3" s="1"/>
  <c r="O1654" i="3"/>
  <c r="K96" i="3"/>
  <c r="L96" i="3" s="1"/>
  <c r="M1537" i="3"/>
  <c r="M1415" i="3"/>
  <c r="S95" i="3"/>
  <c r="R95" i="3"/>
  <c r="Q1776" i="3"/>
  <c r="P1776" i="3"/>
  <c r="M1177" i="3"/>
  <c r="S1176" i="3"/>
  <c r="R1176" i="3"/>
  <c r="Q219" i="3"/>
  <c r="P219" i="3"/>
  <c r="S696" i="3"/>
  <c r="R696" i="3"/>
  <c r="S1898" i="3"/>
  <c r="R1898" i="3"/>
  <c r="K1058" i="3"/>
  <c r="L1058" i="3" s="1"/>
  <c r="N120" i="1"/>
  <c r="O120" i="1"/>
  <c r="V119" i="1"/>
  <c r="U119" i="1"/>
  <c r="N1776" i="3"/>
  <c r="J1777" i="3" s="1"/>
  <c r="M96" i="3" l="1"/>
  <c r="M1058" i="3"/>
  <c r="O1899" i="3"/>
  <c r="N1899" i="3"/>
  <c r="J1900" i="3" s="1"/>
  <c r="M1899" i="3"/>
  <c r="S1654" i="3"/>
  <c r="R1654" i="3"/>
  <c r="S1776" i="3"/>
  <c r="R1776" i="3"/>
  <c r="S2259" i="3"/>
  <c r="R2259" i="3"/>
  <c r="Q337" i="3"/>
  <c r="P337" i="3"/>
  <c r="S2136" i="3"/>
  <c r="R2136" i="3"/>
  <c r="O337" i="3"/>
  <c r="Q697" i="3"/>
  <c r="P697" i="3"/>
  <c r="Q457" i="3"/>
  <c r="P457" i="3"/>
  <c r="Q577" i="3"/>
  <c r="P577" i="3"/>
  <c r="N337" i="3"/>
  <c r="J338" i="3" s="1"/>
  <c r="O697" i="3"/>
  <c r="K2500" i="3"/>
  <c r="L2500" i="3" s="1"/>
  <c r="S2016" i="3"/>
  <c r="R2016" i="3"/>
  <c r="K220" i="3"/>
  <c r="L220" i="3" s="1"/>
  <c r="N577" i="3"/>
  <c r="J578" i="3" s="1"/>
  <c r="Q939" i="3"/>
  <c r="P939" i="3"/>
  <c r="N697" i="3"/>
  <c r="J698" i="3" s="1"/>
  <c r="Q1537" i="3"/>
  <c r="P1537" i="3"/>
  <c r="K1777" i="3"/>
  <c r="L1777" i="3"/>
  <c r="Q1295" i="3"/>
  <c r="P1295" i="3"/>
  <c r="O457" i="3"/>
  <c r="Q1177" i="3"/>
  <c r="P1177" i="3"/>
  <c r="Q1415" i="3"/>
  <c r="P1415" i="3"/>
  <c r="N457" i="3"/>
  <c r="J458" i="3" s="1"/>
  <c r="O1295" i="3"/>
  <c r="K2137" i="3"/>
  <c r="L2137" i="3" s="1"/>
  <c r="O577" i="3"/>
  <c r="N939" i="3"/>
  <c r="J940" i="3" s="1"/>
  <c r="Q2377" i="3"/>
  <c r="P2377" i="3"/>
  <c r="O2615" i="3"/>
  <c r="N2615" i="3"/>
  <c r="J2616" i="3" s="1"/>
  <c r="M2615" i="3"/>
  <c r="S219" i="3"/>
  <c r="R219" i="3"/>
  <c r="O1537" i="3"/>
  <c r="N1537" i="3"/>
  <c r="J1538" i="3" s="1"/>
  <c r="K2017" i="3"/>
  <c r="L2017" i="3" s="1"/>
  <c r="P120" i="1"/>
  <c r="N1177" i="3"/>
  <c r="J1178" i="3" s="1"/>
  <c r="N1415" i="3"/>
  <c r="J1416" i="3" s="1"/>
  <c r="K2260" i="3"/>
  <c r="L2260" i="3"/>
  <c r="L1655" i="3"/>
  <c r="K1655" i="3"/>
  <c r="Q819" i="3"/>
  <c r="P819" i="3"/>
  <c r="O939" i="3"/>
  <c r="N2377" i="3"/>
  <c r="J2378" i="3" s="1"/>
  <c r="N1295" i="3"/>
  <c r="J1296" i="3" s="1"/>
  <c r="O1177" i="3"/>
  <c r="O1415" i="3"/>
  <c r="N819" i="3"/>
  <c r="J820" i="3" s="1"/>
  <c r="Q2499" i="3"/>
  <c r="P2499" i="3"/>
  <c r="O2377" i="3"/>
  <c r="M2017" i="3" l="1"/>
  <c r="M2137" i="3"/>
  <c r="O220" i="3"/>
  <c r="N220" i="3"/>
  <c r="J221" i="3" s="1"/>
  <c r="M220" i="3"/>
  <c r="M2500" i="3"/>
  <c r="K2616" i="3"/>
  <c r="L2616" i="3" s="1"/>
  <c r="K458" i="3"/>
  <c r="L458" i="3"/>
  <c r="M1777" i="3"/>
  <c r="K338" i="3"/>
  <c r="L338" i="3"/>
  <c r="M1655" i="3"/>
  <c r="N1655" i="3" s="1"/>
  <c r="J1656" i="3" s="1"/>
  <c r="K1538" i="3"/>
  <c r="L1538" i="3"/>
  <c r="Q1058" i="3"/>
  <c r="P1058" i="3"/>
  <c r="K578" i="3"/>
  <c r="L578" i="3" s="1"/>
  <c r="N1058" i="3"/>
  <c r="J1059" i="3" s="1"/>
  <c r="L2378" i="3"/>
  <c r="K2378" i="3"/>
  <c r="S1415" i="3"/>
  <c r="R1415" i="3"/>
  <c r="S1537" i="3"/>
  <c r="R1537" i="3"/>
  <c r="O1058" i="3"/>
  <c r="S1295" i="3"/>
  <c r="R1295" i="3"/>
  <c r="M2260" i="3"/>
  <c r="K1416" i="3"/>
  <c r="L1416" i="3" s="1"/>
  <c r="K1178" i="3"/>
  <c r="L1178" i="3" s="1"/>
  <c r="S1177" i="3"/>
  <c r="R1177" i="3"/>
  <c r="K698" i="3"/>
  <c r="L698" i="3"/>
  <c r="S457" i="3"/>
  <c r="R457" i="3"/>
  <c r="S337" i="3"/>
  <c r="R337" i="3"/>
  <c r="Q96" i="3"/>
  <c r="P96" i="3"/>
  <c r="L1296" i="3"/>
  <c r="K1296" i="3"/>
  <c r="K940" i="3"/>
  <c r="L940" i="3" s="1"/>
  <c r="T120" i="1"/>
  <c r="S120" i="1"/>
  <c r="S819" i="3"/>
  <c r="R819" i="3"/>
  <c r="Q120" i="1"/>
  <c r="M121" i="1" s="1"/>
  <c r="O96" i="3"/>
  <c r="K1900" i="3"/>
  <c r="L1900" i="3" s="1"/>
  <c r="S2377" i="3"/>
  <c r="R2377" i="3"/>
  <c r="S577" i="3"/>
  <c r="R577" i="3"/>
  <c r="S2499" i="3"/>
  <c r="R2499" i="3"/>
  <c r="K820" i="3"/>
  <c r="L820" i="3" s="1"/>
  <c r="R120" i="1"/>
  <c r="Q2615" i="3"/>
  <c r="P2615" i="3"/>
  <c r="S939" i="3"/>
  <c r="R939" i="3"/>
  <c r="S697" i="3"/>
  <c r="R697" i="3"/>
  <c r="Q1899" i="3"/>
  <c r="P1899" i="3"/>
  <c r="N96" i="3"/>
  <c r="J97" i="3" s="1"/>
  <c r="M1178" i="3" l="1"/>
  <c r="K1656" i="3"/>
  <c r="L1656" i="3" s="1"/>
  <c r="N2616" i="3"/>
  <c r="J2617" i="3" s="1"/>
  <c r="O2616" i="3"/>
  <c r="M2616" i="3"/>
  <c r="M1416" i="3"/>
  <c r="M940" i="3"/>
  <c r="N940" i="3" s="1"/>
  <c r="J941" i="3" s="1"/>
  <c r="O1900" i="3"/>
  <c r="N1900" i="3"/>
  <c r="J1901" i="3" s="1"/>
  <c r="M1900" i="3"/>
  <c r="M820" i="3"/>
  <c r="O578" i="3"/>
  <c r="M578" i="3"/>
  <c r="O698" i="3"/>
  <c r="M698" i="3"/>
  <c r="K1059" i="3"/>
  <c r="L1059" i="3" s="1"/>
  <c r="Q1655" i="3"/>
  <c r="P1655" i="3"/>
  <c r="Q2260" i="3"/>
  <c r="P2260" i="3"/>
  <c r="O1655" i="3"/>
  <c r="Q2137" i="3"/>
  <c r="P2137" i="3"/>
  <c r="M2378" i="3"/>
  <c r="N2260" i="3"/>
  <c r="J2261" i="3" s="1"/>
  <c r="N338" i="3"/>
  <c r="J339" i="3" s="1"/>
  <c r="M338" i="3"/>
  <c r="N2137" i="3"/>
  <c r="J2138" i="3" s="1"/>
  <c r="M1296" i="3"/>
  <c r="N1296" i="3" s="1"/>
  <c r="J1297" i="3" s="1"/>
  <c r="O458" i="3"/>
  <c r="N458" i="3"/>
  <c r="J459" i="3" s="1"/>
  <c r="M458" i="3"/>
  <c r="O2260" i="3"/>
  <c r="Q2500" i="3"/>
  <c r="P2500" i="3"/>
  <c r="O2137" i="3"/>
  <c r="K221" i="3"/>
  <c r="L221" i="3" s="1"/>
  <c r="S96" i="3"/>
  <c r="R96" i="3"/>
  <c r="K97" i="3"/>
  <c r="L97" i="3"/>
  <c r="S1058" i="3"/>
  <c r="R1058" i="3"/>
  <c r="Q1777" i="3"/>
  <c r="P1777" i="3"/>
  <c r="N2500" i="3"/>
  <c r="J2501" i="3" s="1"/>
  <c r="Q2017" i="3"/>
  <c r="P2017" i="3"/>
  <c r="V120" i="1"/>
  <c r="U120" i="1"/>
  <c r="O1538" i="3"/>
  <c r="M1538" i="3"/>
  <c r="N1777" i="3"/>
  <c r="J1778" i="3" s="1"/>
  <c r="O2500" i="3"/>
  <c r="N2017" i="3"/>
  <c r="J2018" i="3" s="1"/>
  <c r="S1899" i="3"/>
  <c r="R1899" i="3"/>
  <c r="S2615" i="3"/>
  <c r="R2615" i="3"/>
  <c r="N121" i="1"/>
  <c r="O121" i="1"/>
  <c r="O1777" i="3"/>
  <c r="Q220" i="3"/>
  <c r="P220" i="3"/>
  <c r="O2017" i="3"/>
  <c r="M1059" i="3" l="1"/>
  <c r="M221" i="3"/>
  <c r="N221" i="3" s="1"/>
  <c r="J222" i="3" s="1"/>
  <c r="K941" i="3"/>
  <c r="L941" i="3" s="1"/>
  <c r="K1297" i="3"/>
  <c r="L1297" i="3" s="1"/>
  <c r="M1656" i="3"/>
  <c r="S1777" i="3"/>
  <c r="R1777" i="3"/>
  <c r="K459" i="3"/>
  <c r="L459" i="3" s="1"/>
  <c r="K339" i="3"/>
  <c r="L339" i="3" s="1"/>
  <c r="K1901" i="3"/>
  <c r="L1901" i="3" s="1"/>
  <c r="Q2616" i="3"/>
  <c r="P2616" i="3"/>
  <c r="S220" i="3"/>
  <c r="R220" i="3"/>
  <c r="K2261" i="3"/>
  <c r="L2261" i="3" s="1"/>
  <c r="S2260" i="3"/>
  <c r="R2260" i="3"/>
  <c r="Q578" i="3"/>
  <c r="P578" i="3"/>
  <c r="Q2378" i="3"/>
  <c r="P2378" i="3"/>
  <c r="S1655" i="3"/>
  <c r="R1655" i="3"/>
  <c r="Q940" i="3"/>
  <c r="P940" i="3"/>
  <c r="K2018" i="3"/>
  <c r="L2018" i="3" s="1"/>
  <c r="N2378" i="3"/>
  <c r="J2379" i="3" s="1"/>
  <c r="N97" i="3"/>
  <c r="J98" i="3" s="1"/>
  <c r="M97" i="3"/>
  <c r="O2378" i="3"/>
  <c r="Q820" i="3"/>
  <c r="P820" i="3"/>
  <c r="O940" i="3"/>
  <c r="Q1296" i="3"/>
  <c r="P1296" i="3"/>
  <c r="K2617" i="3"/>
  <c r="L2617" i="3" s="1"/>
  <c r="S2017" i="3"/>
  <c r="R2017" i="3"/>
  <c r="S2500" i="3"/>
  <c r="R2500" i="3"/>
  <c r="K2138" i="3"/>
  <c r="L2138" i="3" s="1"/>
  <c r="N820" i="3"/>
  <c r="J821" i="3" s="1"/>
  <c r="Q1416" i="3"/>
  <c r="P1416" i="3"/>
  <c r="Q1178" i="3"/>
  <c r="P1178" i="3"/>
  <c r="P121" i="1"/>
  <c r="N578" i="3"/>
  <c r="J579" i="3" s="1"/>
  <c r="K1778" i="3"/>
  <c r="L1778" i="3" s="1"/>
  <c r="Q1538" i="3"/>
  <c r="P1538" i="3"/>
  <c r="K2501" i="3"/>
  <c r="L2501" i="3" s="1"/>
  <c r="Q338" i="3"/>
  <c r="P338" i="3"/>
  <c r="S2137" i="3"/>
  <c r="R2137" i="3"/>
  <c r="Q698" i="3"/>
  <c r="P698" i="3"/>
  <c r="O820" i="3"/>
  <c r="N1416" i="3"/>
  <c r="J1417" i="3" s="1"/>
  <c r="N1178" i="3"/>
  <c r="J1179" i="3" s="1"/>
  <c r="O1296" i="3"/>
  <c r="N1538" i="3"/>
  <c r="J1539" i="3" s="1"/>
  <c r="Q458" i="3"/>
  <c r="P458" i="3"/>
  <c r="O338" i="3"/>
  <c r="N698" i="3"/>
  <c r="J699" i="3" s="1"/>
  <c r="Q1900" i="3"/>
  <c r="P1900" i="3"/>
  <c r="O1416" i="3"/>
  <c r="O1178" i="3"/>
  <c r="M2617" i="3" l="1"/>
  <c r="M459" i="3"/>
  <c r="N459" i="3" s="1"/>
  <c r="J460" i="3" s="1"/>
  <c r="O1297" i="3"/>
  <c r="N1297" i="3"/>
  <c r="J1298" i="3" s="1"/>
  <c r="M1297" i="3"/>
  <c r="M1901" i="3"/>
  <c r="K222" i="3"/>
  <c r="L222" i="3" s="1"/>
  <c r="O2261" i="3"/>
  <c r="N2261" i="3"/>
  <c r="J2262" i="3" s="1"/>
  <c r="M2261" i="3"/>
  <c r="M2501" i="3"/>
  <c r="N941" i="3"/>
  <c r="J942" i="3" s="1"/>
  <c r="M941" i="3"/>
  <c r="O2018" i="3"/>
  <c r="M2018" i="3"/>
  <c r="M1778" i="3"/>
  <c r="O2138" i="3"/>
  <c r="M2138" i="3"/>
  <c r="M339" i="3"/>
  <c r="K579" i="3"/>
  <c r="L579" i="3"/>
  <c r="S940" i="3"/>
  <c r="R940" i="3"/>
  <c r="S338" i="3"/>
  <c r="R338" i="3"/>
  <c r="Q97" i="3"/>
  <c r="P97" i="3"/>
  <c r="S2616" i="3"/>
  <c r="R2616" i="3"/>
  <c r="K1179" i="3"/>
  <c r="L1179" i="3" s="1"/>
  <c r="T121" i="1"/>
  <c r="S121" i="1"/>
  <c r="O97" i="3"/>
  <c r="Q1656" i="3"/>
  <c r="P1656" i="3"/>
  <c r="K1417" i="3"/>
  <c r="L1417" i="3" s="1"/>
  <c r="K98" i="3"/>
  <c r="L98" i="3" s="1"/>
  <c r="Q221" i="3"/>
  <c r="P221" i="3"/>
  <c r="S1296" i="3"/>
  <c r="R1296" i="3"/>
  <c r="K2379" i="3"/>
  <c r="L2379" i="3" s="1"/>
  <c r="N1656" i="3"/>
  <c r="J1657" i="3" s="1"/>
  <c r="O221" i="3"/>
  <c r="L821" i="3"/>
  <c r="K821" i="3"/>
  <c r="K699" i="3"/>
  <c r="L699" i="3" s="1"/>
  <c r="S698" i="3"/>
  <c r="R698" i="3"/>
  <c r="S1538" i="3"/>
  <c r="R1538" i="3"/>
  <c r="S2378" i="3"/>
  <c r="R2378" i="3"/>
  <c r="O1656" i="3"/>
  <c r="Q1059" i="3"/>
  <c r="P1059" i="3"/>
  <c r="Q121" i="1"/>
  <c r="M122" i="1" s="1"/>
  <c r="R121" i="1"/>
  <c r="S1178" i="3"/>
  <c r="R1178" i="3"/>
  <c r="K1539" i="3"/>
  <c r="L1539" i="3" s="1"/>
  <c r="N1059" i="3"/>
  <c r="J1060" i="3" s="1"/>
  <c r="S1900" i="3"/>
  <c r="R1900" i="3"/>
  <c r="S458" i="3"/>
  <c r="R458" i="3"/>
  <c r="S1416" i="3"/>
  <c r="R1416" i="3"/>
  <c r="S820" i="3"/>
  <c r="R820" i="3"/>
  <c r="S578" i="3"/>
  <c r="R578" i="3"/>
  <c r="O1059" i="3"/>
  <c r="M1539" i="3" l="1"/>
  <c r="M1179" i="3"/>
  <c r="N1179" i="3" s="1"/>
  <c r="J1180" i="3" s="1"/>
  <c r="L460" i="3"/>
  <c r="K460" i="3"/>
  <c r="M699" i="3"/>
  <c r="M222" i="3"/>
  <c r="O222" i="3" s="1"/>
  <c r="O98" i="3"/>
  <c r="N98" i="3"/>
  <c r="J99" i="3" s="1"/>
  <c r="M98" i="3"/>
  <c r="M1417" i="3"/>
  <c r="O2379" i="3"/>
  <c r="M2379" i="3"/>
  <c r="Q2138" i="3"/>
  <c r="P2138" i="3"/>
  <c r="K2262" i="3"/>
  <c r="L2262" i="3"/>
  <c r="K1298" i="3"/>
  <c r="L1298" i="3" s="1"/>
  <c r="S1656" i="3"/>
  <c r="R1656" i="3"/>
  <c r="N2138" i="3"/>
  <c r="J2139" i="3" s="1"/>
  <c r="Q941" i="3"/>
  <c r="P941" i="3"/>
  <c r="M821" i="3"/>
  <c r="N821" i="3" s="1"/>
  <c r="J822" i="3" s="1"/>
  <c r="S221" i="3"/>
  <c r="R221" i="3"/>
  <c r="M579" i="3"/>
  <c r="Q1778" i="3"/>
  <c r="P1778" i="3"/>
  <c r="O941" i="3"/>
  <c r="O459" i="3"/>
  <c r="V121" i="1"/>
  <c r="U121" i="1"/>
  <c r="S97" i="3"/>
  <c r="R97" i="3"/>
  <c r="O1778" i="3"/>
  <c r="Q2501" i="3"/>
  <c r="P2501" i="3"/>
  <c r="Q1901" i="3"/>
  <c r="P1901" i="3"/>
  <c r="Q339" i="3"/>
  <c r="P339" i="3"/>
  <c r="N1778" i="3"/>
  <c r="J1779" i="3" s="1"/>
  <c r="N2501" i="3"/>
  <c r="J2502" i="3" s="1"/>
  <c r="N1901" i="3"/>
  <c r="J1902" i="3" s="1"/>
  <c r="Q2617" i="3"/>
  <c r="P2617" i="3"/>
  <c r="N122" i="1"/>
  <c r="O122" i="1" s="1"/>
  <c r="K942" i="3"/>
  <c r="L942" i="3" s="1"/>
  <c r="Q459" i="3"/>
  <c r="P459" i="3"/>
  <c r="K1060" i="3"/>
  <c r="L1060" i="3" s="1"/>
  <c r="S1059" i="3"/>
  <c r="R1059" i="3"/>
  <c r="K1657" i="3"/>
  <c r="L1657" i="3" s="1"/>
  <c r="N339" i="3"/>
  <c r="J340" i="3" s="1"/>
  <c r="Q2018" i="3"/>
  <c r="P2018" i="3"/>
  <c r="O2501" i="3"/>
  <c r="O1901" i="3"/>
  <c r="N2617" i="3"/>
  <c r="J2618" i="3" s="1"/>
  <c r="O339" i="3"/>
  <c r="N2018" i="3"/>
  <c r="J2019" i="3" s="1"/>
  <c r="Q2261" i="3"/>
  <c r="P2261" i="3"/>
  <c r="Q1297" i="3"/>
  <c r="P1297" i="3"/>
  <c r="O2617" i="3"/>
  <c r="P122" i="1" l="1"/>
  <c r="K1180" i="3"/>
  <c r="L1180" i="3" s="1"/>
  <c r="N942" i="3"/>
  <c r="J943" i="3" s="1"/>
  <c r="M942" i="3"/>
  <c r="K822" i="3"/>
  <c r="L822" i="3" s="1"/>
  <c r="M1657" i="3"/>
  <c r="O1060" i="3"/>
  <c r="M1060" i="3"/>
  <c r="M1298" i="3"/>
  <c r="K2019" i="3"/>
  <c r="L2019" i="3" s="1"/>
  <c r="S459" i="3"/>
  <c r="R459" i="3"/>
  <c r="K2502" i="3"/>
  <c r="L2502" i="3" s="1"/>
  <c r="S2138" i="3"/>
  <c r="R2138" i="3"/>
  <c r="L99" i="3"/>
  <c r="K99" i="3"/>
  <c r="Q2379" i="3"/>
  <c r="P2379" i="3"/>
  <c r="O460" i="3"/>
  <c r="M460" i="3"/>
  <c r="K2618" i="3"/>
  <c r="L2618" i="3"/>
  <c r="S1778" i="3"/>
  <c r="R1778" i="3"/>
  <c r="N2379" i="3"/>
  <c r="J2380" i="3" s="1"/>
  <c r="N222" i="3"/>
  <c r="J223" i="3" s="1"/>
  <c r="Q821" i="3"/>
  <c r="P821" i="3"/>
  <c r="Q1179" i="3"/>
  <c r="P1179" i="3"/>
  <c r="Q579" i="3"/>
  <c r="P579" i="3"/>
  <c r="O821" i="3"/>
  <c r="Q1417" i="3"/>
  <c r="P1417" i="3"/>
  <c r="O1179" i="3"/>
  <c r="S339" i="3"/>
  <c r="R339" i="3"/>
  <c r="S1297" i="3"/>
  <c r="R1297" i="3"/>
  <c r="S1901" i="3"/>
  <c r="R1901" i="3"/>
  <c r="N579" i="3"/>
  <c r="J580" i="3" s="1"/>
  <c r="O2262" i="3"/>
  <c r="M2262" i="3"/>
  <c r="N1417" i="3"/>
  <c r="J1418" i="3" s="1"/>
  <c r="Q699" i="3"/>
  <c r="P699" i="3"/>
  <c r="Q1539" i="3"/>
  <c r="P1539" i="3"/>
  <c r="O579" i="3"/>
  <c r="S941" i="3"/>
  <c r="R941" i="3"/>
  <c r="O1417" i="3"/>
  <c r="N699" i="3"/>
  <c r="J700" i="3" s="1"/>
  <c r="N1539" i="3"/>
  <c r="J1540" i="3" s="1"/>
  <c r="K1779" i="3"/>
  <c r="L1779" i="3" s="1"/>
  <c r="Q222" i="3"/>
  <c r="P222" i="3"/>
  <c r="S2018" i="3"/>
  <c r="R2018" i="3"/>
  <c r="S2617" i="3"/>
  <c r="R2617" i="3"/>
  <c r="S2261" i="3"/>
  <c r="R2261" i="3"/>
  <c r="K340" i="3"/>
  <c r="L340" i="3" s="1"/>
  <c r="L1902" i="3"/>
  <c r="K1902" i="3"/>
  <c r="S2501" i="3"/>
  <c r="R2501" i="3"/>
  <c r="K2139" i="3"/>
  <c r="L2139" i="3" s="1"/>
  <c r="Q98" i="3"/>
  <c r="P98" i="3"/>
  <c r="O699" i="3"/>
  <c r="O1539" i="3"/>
  <c r="M2502" i="3" l="1"/>
  <c r="M2019" i="3"/>
  <c r="O2019" i="3" s="1"/>
  <c r="O2139" i="3"/>
  <c r="N2139" i="3"/>
  <c r="J2140" i="3" s="1"/>
  <c r="M2139" i="3"/>
  <c r="M822" i="3"/>
  <c r="N340" i="3"/>
  <c r="J341" i="3" s="1"/>
  <c r="M340" i="3"/>
  <c r="N1779" i="3"/>
  <c r="J1780" i="3" s="1"/>
  <c r="M1779" i="3"/>
  <c r="M1180" i="3"/>
  <c r="S579" i="3"/>
  <c r="R579" i="3"/>
  <c r="S2379" i="3"/>
  <c r="R2379" i="3"/>
  <c r="Q1060" i="3"/>
  <c r="P1060" i="3"/>
  <c r="Q942" i="3"/>
  <c r="P942" i="3"/>
  <c r="L580" i="3"/>
  <c r="K580" i="3"/>
  <c r="N1060" i="3"/>
  <c r="J1061" i="3" s="1"/>
  <c r="O942" i="3"/>
  <c r="M2618" i="3"/>
  <c r="N2618" i="3" s="1"/>
  <c r="J2619" i="3" s="1"/>
  <c r="Q1657" i="3"/>
  <c r="P1657" i="3"/>
  <c r="S1179" i="3"/>
  <c r="R1179" i="3"/>
  <c r="K943" i="3"/>
  <c r="L943" i="3"/>
  <c r="S699" i="3"/>
  <c r="R699" i="3"/>
  <c r="S821" i="3"/>
  <c r="R821" i="3"/>
  <c r="Q460" i="3"/>
  <c r="P460" i="3"/>
  <c r="N1657" i="3"/>
  <c r="J1658" i="3" s="1"/>
  <c r="S1539" i="3"/>
  <c r="R1539" i="3"/>
  <c r="M99" i="3"/>
  <c r="O99" i="3" s="1"/>
  <c r="S98" i="3"/>
  <c r="R98" i="3"/>
  <c r="L1418" i="3"/>
  <c r="K1418" i="3"/>
  <c r="S1417" i="3"/>
  <c r="R1417" i="3"/>
  <c r="K223" i="3"/>
  <c r="L223" i="3" s="1"/>
  <c r="Q1298" i="3"/>
  <c r="P1298" i="3"/>
  <c r="O1657" i="3"/>
  <c r="T122" i="1"/>
  <c r="S122" i="1"/>
  <c r="M1902" i="3"/>
  <c r="O1902" i="3" s="1"/>
  <c r="Q2262" i="3"/>
  <c r="P2262" i="3"/>
  <c r="K2380" i="3"/>
  <c r="L2380" i="3"/>
  <c r="N460" i="3"/>
  <c r="J461" i="3" s="1"/>
  <c r="O1298" i="3"/>
  <c r="Q122" i="1"/>
  <c r="M123" i="1" s="1"/>
  <c r="K1540" i="3"/>
  <c r="L1540" i="3" s="1"/>
  <c r="K700" i="3"/>
  <c r="L700" i="3" s="1"/>
  <c r="S222" i="3"/>
  <c r="R222" i="3"/>
  <c r="N2262" i="3"/>
  <c r="J2263" i="3" s="1"/>
  <c r="N1298" i="3"/>
  <c r="J1299" i="3" s="1"/>
  <c r="R122" i="1"/>
  <c r="M1540" i="3" l="1"/>
  <c r="K2619" i="3"/>
  <c r="L2619" i="3"/>
  <c r="N223" i="3"/>
  <c r="J224" i="3" s="1"/>
  <c r="M223" i="3"/>
  <c r="M700" i="3"/>
  <c r="S2262" i="3"/>
  <c r="R2262" i="3"/>
  <c r="O1418" i="3"/>
  <c r="N1418" i="3"/>
  <c r="J1419" i="3" s="1"/>
  <c r="M1418" i="3"/>
  <c r="M580" i="3"/>
  <c r="K1780" i="3"/>
  <c r="L1780" i="3" s="1"/>
  <c r="K2140" i="3"/>
  <c r="L2140" i="3" s="1"/>
  <c r="S1298" i="3"/>
  <c r="R1298" i="3"/>
  <c r="S1657" i="3"/>
  <c r="R1657" i="3"/>
  <c r="Q340" i="3"/>
  <c r="P340" i="3"/>
  <c r="N123" i="1"/>
  <c r="O123" i="1" s="1"/>
  <c r="K1658" i="3"/>
  <c r="L1658" i="3" s="1"/>
  <c r="O943" i="3"/>
  <c r="M943" i="3"/>
  <c r="O2618" i="3"/>
  <c r="Q1180" i="3"/>
  <c r="P1180" i="3"/>
  <c r="O340" i="3"/>
  <c r="N2019" i="3"/>
  <c r="J2020" i="3" s="1"/>
  <c r="Q1902" i="3"/>
  <c r="P1902" i="3"/>
  <c r="K341" i="3"/>
  <c r="L341" i="3" s="1"/>
  <c r="S460" i="3"/>
  <c r="R460" i="3"/>
  <c r="S1060" i="3"/>
  <c r="R1060" i="3"/>
  <c r="N1180" i="3"/>
  <c r="J1181" i="3" s="1"/>
  <c r="Q822" i="3"/>
  <c r="P822" i="3"/>
  <c r="K1299" i="3"/>
  <c r="L1299" i="3"/>
  <c r="K2263" i="3"/>
  <c r="L2263" i="3" s="1"/>
  <c r="N1902" i="3"/>
  <c r="J1903" i="3" s="1"/>
  <c r="S942" i="3"/>
  <c r="R942" i="3"/>
  <c r="Q2019" i="3"/>
  <c r="P2019" i="3"/>
  <c r="K461" i="3"/>
  <c r="L461" i="3"/>
  <c r="N99" i="3"/>
  <c r="J100" i="3" s="1"/>
  <c r="O1180" i="3"/>
  <c r="N822" i="3"/>
  <c r="J823" i="3" s="1"/>
  <c r="Q2502" i="3"/>
  <c r="P2502" i="3"/>
  <c r="Q2618" i="3"/>
  <c r="P2618" i="3"/>
  <c r="V122" i="1"/>
  <c r="U122" i="1"/>
  <c r="K1061" i="3"/>
  <c r="L1061" i="3" s="1"/>
  <c r="Q1779" i="3"/>
  <c r="P1779" i="3"/>
  <c r="O822" i="3"/>
  <c r="N2502" i="3"/>
  <c r="J2503" i="3" s="1"/>
  <c r="Q99" i="3"/>
  <c r="P99" i="3"/>
  <c r="M2380" i="3"/>
  <c r="O1779" i="3"/>
  <c r="Q2139" i="3"/>
  <c r="P2139" i="3"/>
  <c r="O2502" i="3"/>
  <c r="M2140" i="3" l="1"/>
  <c r="N341" i="3"/>
  <c r="J342" i="3" s="1"/>
  <c r="M341" i="3"/>
  <c r="O1658" i="3"/>
  <c r="N1658" i="3"/>
  <c r="J1659" i="3" s="1"/>
  <c r="M1658" i="3"/>
  <c r="M1061" i="3"/>
  <c r="P123" i="1"/>
  <c r="R123" i="1" s="1"/>
  <c r="Q123" i="1"/>
  <c r="M124" i="1" s="1"/>
  <c r="O1780" i="3"/>
  <c r="M1780" i="3"/>
  <c r="M2263" i="3"/>
  <c r="K823" i="3"/>
  <c r="L823" i="3" s="1"/>
  <c r="S822" i="3"/>
  <c r="R822" i="3"/>
  <c r="K1419" i="3"/>
  <c r="L1419" i="3" s="1"/>
  <c r="Q223" i="3"/>
  <c r="P223" i="3"/>
  <c r="K1181" i="3"/>
  <c r="L1181" i="3" s="1"/>
  <c r="Q943" i="3"/>
  <c r="P943" i="3"/>
  <c r="S340" i="3"/>
  <c r="R340" i="3"/>
  <c r="O223" i="3"/>
  <c r="S99" i="3"/>
  <c r="R99" i="3"/>
  <c r="S1902" i="3"/>
  <c r="R1902" i="3"/>
  <c r="M2619" i="3"/>
  <c r="O2619" i="3" s="1"/>
  <c r="L1903" i="3"/>
  <c r="K1903" i="3"/>
  <c r="K2020" i="3"/>
  <c r="L2020" i="3" s="1"/>
  <c r="Q580" i="3"/>
  <c r="P580" i="3"/>
  <c r="K100" i="3"/>
  <c r="L100" i="3" s="1"/>
  <c r="K224" i="3"/>
  <c r="L224" i="3" s="1"/>
  <c r="M461" i="3"/>
  <c r="N943" i="3"/>
  <c r="J944" i="3" s="1"/>
  <c r="S2618" i="3"/>
  <c r="R2618" i="3"/>
  <c r="M1299" i="3"/>
  <c r="O580" i="3"/>
  <c r="Q700" i="3"/>
  <c r="P700" i="3"/>
  <c r="Q1540" i="3"/>
  <c r="P1540" i="3"/>
  <c r="K2503" i="3"/>
  <c r="L2503" i="3" s="1"/>
  <c r="S2139" i="3"/>
  <c r="R2139" i="3"/>
  <c r="S1779" i="3"/>
  <c r="R1779" i="3"/>
  <c r="S2019" i="3"/>
  <c r="R2019" i="3"/>
  <c r="N580" i="3"/>
  <c r="J581" i="3" s="1"/>
  <c r="N700" i="3"/>
  <c r="J701" i="3" s="1"/>
  <c r="N1540" i="3"/>
  <c r="J1541" i="3" s="1"/>
  <c r="Q2380" i="3"/>
  <c r="P2380" i="3"/>
  <c r="N2380" i="3"/>
  <c r="J2381" i="3" s="1"/>
  <c r="O2380" i="3"/>
  <c r="S2502" i="3"/>
  <c r="R2502" i="3"/>
  <c r="S1180" i="3"/>
  <c r="R1180" i="3"/>
  <c r="Q1418" i="3"/>
  <c r="P1418" i="3"/>
  <c r="O700" i="3"/>
  <c r="O1540" i="3"/>
  <c r="M2503" i="3" l="1"/>
  <c r="M2020" i="3"/>
  <c r="N1419" i="3"/>
  <c r="J1420" i="3" s="1"/>
  <c r="O1419" i="3"/>
  <c r="M1419" i="3"/>
  <c r="M823" i="3"/>
  <c r="O224" i="3"/>
  <c r="M224" i="3"/>
  <c r="O100" i="3"/>
  <c r="M100" i="3"/>
  <c r="M1181" i="3"/>
  <c r="N124" i="1"/>
  <c r="O124" i="1" s="1"/>
  <c r="L1541" i="3"/>
  <c r="K1541" i="3"/>
  <c r="Q341" i="3"/>
  <c r="P341" i="3"/>
  <c r="K1659" i="3"/>
  <c r="L1659" i="3" s="1"/>
  <c r="S700" i="3"/>
  <c r="R700" i="3"/>
  <c r="S223" i="3"/>
  <c r="R223" i="3"/>
  <c r="Q2263" i="3"/>
  <c r="P2263" i="3"/>
  <c r="T123" i="1"/>
  <c r="S123" i="1"/>
  <c r="K342" i="3"/>
  <c r="L342" i="3" s="1"/>
  <c r="Q2619" i="3"/>
  <c r="P2619" i="3"/>
  <c r="S580" i="3"/>
  <c r="R580" i="3"/>
  <c r="N2263" i="3"/>
  <c r="J2264" i="3" s="1"/>
  <c r="Q1061" i="3"/>
  <c r="P1061" i="3"/>
  <c r="O341" i="3"/>
  <c r="M1903" i="3"/>
  <c r="S1540" i="3"/>
  <c r="R1540" i="3"/>
  <c r="K944" i="3"/>
  <c r="L944" i="3" s="1"/>
  <c r="N2619" i="3"/>
  <c r="J2620" i="3" s="1"/>
  <c r="K581" i="3"/>
  <c r="L581" i="3"/>
  <c r="Q461" i="3"/>
  <c r="P461" i="3"/>
  <c r="Q1299" i="3"/>
  <c r="P1299" i="3"/>
  <c r="N461" i="3"/>
  <c r="J462" i="3" s="1"/>
  <c r="O2263" i="3"/>
  <c r="N1061" i="3"/>
  <c r="J1062" i="3" s="1"/>
  <c r="Q2140" i="3"/>
  <c r="P2140" i="3"/>
  <c r="K701" i="3"/>
  <c r="L701" i="3" s="1"/>
  <c r="O1299" i="3"/>
  <c r="O461" i="3"/>
  <c r="Q1780" i="3"/>
  <c r="P1780" i="3"/>
  <c r="O1061" i="3"/>
  <c r="O2140" i="3"/>
  <c r="S2380" i="3"/>
  <c r="R2380" i="3"/>
  <c r="S1418" i="3"/>
  <c r="R1418" i="3"/>
  <c r="K2381" i="3"/>
  <c r="L2381" i="3" s="1"/>
  <c r="N1299" i="3"/>
  <c r="J1300" i="3" s="1"/>
  <c r="S943" i="3"/>
  <c r="R943" i="3"/>
  <c r="N1780" i="3"/>
  <c r="J1781" i="3" s="1"/>
  <c r="Q1658" i="3"/>
  <c r="P1658" i="3"/>
  <c r="N2140" i="3"/>
  <c r="J2141" i="3" s="1"/>
  <c r="M2381" i="3" l="1"/>
  <c r="M701" i="3"/>
  <c r="Q124" i="1"/>
  <c r="M125" i="1" s="1"/>
  <c r="R124" i="1"/>
  <c r="P124" i="1"/>
  <c r="M342" i="3"/>
  <c r="O944" i="3"/>
  <c r="M944" i="3"/>
  <c r="N1659" i="3"/>
  <c r="J1660" i="3" s="1"/>
  <c r="M1659" i="3"/>
  <c r="Q224" i="3"/>
  <c r="P224" i="3"/>
  <c r="K1420" i="3"/>
  <c r="L1420" i="3" s="1"/>
  <c r="K1300" i="3"/>
  <c r="L1300" i="3"/>
  <c r="Q1903" i="3"/>
  <c r="P1903" i="3"/>
  <c r="Q2020" i="3"/>
  <c r="P2020" i="3"/>
  <c r="K2264" i="3"/>
  <c r="L2264" i="3" s="1"/>
  <c r="K2141" i="3"/>
  <c r="L2141" i="3"/>
  <c r="O1903" i="3"/>
  <c r="Q1181" i="3"/>
  <c r="P1181" i="3"/>
  <c r="N224" i="3"/>
  <c r="J225" i="3" s="1"/>
  <c r="O2020" i="3"/>
  <c r="V123" i="1"/>
  <c r="U123" i="1"/>
  <c r="S1780" i="3"/>
  <c r="R1780" i="3"/>
  <c r="K2620" i="3"/>
  <c r="L2620" i="3" s="1"/>
  <c r="N1903" i="3"/>
  <c r="J1904" i="3" s="1"/>
  <c r="S2263" i="3"/>
  <c r="R2263" i="3"/>
  <c r="N1181" i="3"/>
  <c r="J1182" i="3" s="1"/>
  <c r="Q823" i="3"/>
  <c r="P823" i="3"/>
  <c r="N2020" i="3"/>
  <c r="J2021" i="3" s="1"/>
  <c r="K1062" i="3"/>
  <c r="L1062" i="3" s="1"/>
  <c r="L462" i="3"/>
  <c r="K462" i="3"/>
  <c r="S2619" i="3"/>
  <c r="R2619" i="3"/>
  <c r="O1181" i="3"/>
  <c r="N823" i="3"/>
  <c r="J824" i="3" s="1"/>
  <c r="Q2503" i="3"/>
  <c r="P2503" i="3"/>
  <c r="M1541" i="3"/>
  <c r="S2140" i="3"/>
  <c r="R2140" i="3"/>
  <c r="S1658" i="3"/>
  <c r="R1658" i="3"/>
  <c r="K1781" i="3"/>
  <c r="L1781" i="3" s="1"/>
  <c r="S341" i="3"/>
  <c r="R341" i="3"/>
  <c r="Q100" i="3"/>
  <c r="P100" i="3"/>
  <c r="O823" i="3"/>
  <c r="N2503" i="3"/>
  <c r="J2504" i="3" s="1"/>
  <c r="S461" i="3"/>
  <c r="R461" i="3"/>
  <c r="M581" i="3"/>
  <c r="S1299" i="3"/>
  <c r="R1299" i="3"/>
  <c r="S1061" i="3"/>
  <c r="R1061" i="3"/>
  <c r="N100" i="3"/>
  <c r="J101" i="3" s="1"/>
  <c r="Q1419" i="3"/>
  <c r="P1419" i="3"/>
  <c r="O2503" i="3"/>
  <c r="M1062" i="3" l="1"/>
  <c r="M1420" i="3"/>
  <c r="O1420" i="3" s="1"/>
  <c r="O2620" i="3"/>
  <c r="N2620" i="3"/>
  <c r="J2621" i="3" s="1"/>
  <c r="M2620" i="3"/>
  <c r="M1781" i="3"/>
  <c r="N2264" i="3"/>
  <c r="J2265" i="3" s="1"/>
  <c r="M2264" i="3"/>
  <c r="Q581" i="3"/>
  <c r="P581" i="3"/>
  <c r="N581" i="3"/>
  <c r="J582" i="3" s="1"/>
  <c r="M1300" i="3"/>
  <c r="L824" i="3"/>
  <c r="K824" i="3"/>
  <c r="K1904" i="3"/>
  <c r="L1904" i="3" s="1"/>
  <c r="Q944" i="3"/>
  <c r="P944" i="3"/>
  <c r="N125" i="1"/>
  <c r="O125" i="1" s="1"/>
  <c r="L101" i="3"/>
  <c r="K101" i="3"/>
  <c r="Q701" i="3"/>
  <c r="P701" i="3"/>
  <c r="S100" i="3"/>
  <c r="R100" i="3"/>
  <c r="O2141" i="3"/>
  <c r="N2141" i="3"/>
  <c r="J2142" i="3" s="1"/>
  <c r="M2141" i="3"/>
  <c r="N944" i="3"/>
  <c r="J945" i="3" s="1"/>
  <c r="N701" i="3"/>
  <c r="J702" i="3" s="1"/>
  <c r="O581" i="3"/>
  <c r="K2021" i="3"/>
  <c r="L2021" i="3"/>
  <c r="Q1541" i="3"/>
  <c r="P1541" i="3"/>
  <c r="S823" i="3"/>
  <c r="R823" i="3"/>
  <c r="K225" i="3"/>
  <c r="L225" i="3"/>
  <c r="Q342" i="3"/>
  <c r="P342" i="3"/>
  <c r="O701" i="3"/>
  <c r="S2503" i="3"/>
  <c r="R2503" i="3"/>
  <c r="K1660" i="3"/>
  <c r="L1660" i="3"/>
  <c r="K2504" i="3"/>
  <c r="L2504" i="3" s="1"/>
  <c r="N1541" i="3"/>
  <c r="J1542" i="3" s="1"/>
  <c r="K1182" i="3"/>
  <c r="L1182" i="3" s="1"/>
  <c r="S2020" i="3"/>
  <c r="R2020" i="3"/>
  <c r="S224" i="3"/>
  <c r="R224" i="3"/>
  <c r="N342" i="3"/>
  <c r="J343" i="3" s="1"/>
  <c r="Q2381" i="3"/>
  <c r="P2381" i="3"/>
  <c r="O1541" i="3"/>
  <c r="S1181" i="3"/>
  <c r="R1181" i="3"/>
  <c r="Q1659" i="3"/>
  <c r="P1659" i="3"/>
  <c r="O342" i="3"/>
  <c r="N2381" i="3"/>
  <c r="J2382" i="3" s="1"/>
  <c r="S1419" i="3"/>
  <c r="R1419" i="3"/>
  <c r="N462" i="3"/>
  <c r="J463" i="3" s="1"/>
  <c r="M462" i="3"/>
  <c r="S1903" i="3"/>
  <c r="R1903" i="3"/>
  <c r="O1659" i="3"/>
  <c r="T124" i="1"/>
  <c r="S124" i="1"/>
  <c r="O2381" i="3"/>
  <c r="M1182" i="3" l="1"/>
  <c r="M1904" i="3"/>
  <c r="O2504" i="3"/>
  <c r="N2504" i="3"/>
  <c r="J2505" i="3" s="1"/>
  <c r="M2504" i="3"/>
  <c r="P125" i="1"/>
  <c r="K945" i="3"/>
  <c r="L945" i="3"/>
  <c r="S701" i="3"/>
  <c r="R701" i="3"/>
  <c r="S581" i="3"/>
  <c r="R581" i="3"/>
  <c r="K2621" i="3"/>
  <c r="L2621" i="3" s="1"/>
  <c r="S2381" i="3"/>
  <c r="R2381" i="3"/>
  <c r="Q462" i="3"/>
  <c r="P462" i="3"/>
  <c r="K343" i="3"/>
  <c r="L343" i="3" s="1"/>
  <c r="Q2141" i="3"/>
  <c r="P2141" i="3"/>
  <c r="Q2264" i="3"/>
  <c r="P2264" i="3"/>
  <c r="K2265" i="3"/>
  <c r="L2265" i="3" s="1"/>
  <c r="O462" i="3"/>
  <c r="Q1300" i="3"/>
  <c r="P1300" i="3"/>
  <c r="O2264" i="3"/>
  <c r="N1420" i="3"/>
  <c r="J1421" i="3" s="1"/>
  <c r="S1659" i="3"/>
  <c r="R1659" i="3"/>
  <c r="M824" i="3"/>
  <c r="S342" i="3"/>
  <c r="R342" i="3"/>
  <c r="N1300" i="3"/>
  <c r="J1301" i="3" s="1"/>
  <c r="Q1781" i="3"/>
  <c r="P1781" i="3"/>
  <c r="M1660" i="3"/>
  <c r="N225" i="3"/>
  <c r="J226" i="3" s="1"/>
  <c r="M225" i="3"/>
  <c r="O1300" i="3"/>
  <c r="N1781" i="3"/>
  <c r="J1782" i="3" s="1"/>
  <c r="Q1062" i="3"/>
  <c r="P1062" i="3"/>
  <c r="K463" i="3"/>
  <c r="L463" i="3" s="1"/>
  <c r="K2142" i="3"/>
  <c r="L2142" i="3" s="1"/>
  <c r="Q1420" i="3"/>
  <c r="P1420" i="3"/>
  <c r="V124" i="1"/>
  <c r="U124" i="1"/>
  <c r="S944" i="3"/>
  <c r="R944" i="3"/>
  <c r="K582" i="3"/>
  <c r="L582" i="3" s="1"/>
  <c r="O1781" i="3"/>
  <c r="O1062" i="3"/>
  <c r="L1542" i="3"/>
  <c r="K1542" i="3"/>
  <c r="M101" i="3"/>
  <c r="S1541" i="3"/>
  <c r="R1541" i="3"/>
  <c r="O2021" i="3"/>
  <c r="M2021" i="3"/>
  <c r="K2382" i="3"/>
  <c r="L2382" i="3" s="1"/>
  <c r="K702" i="3"/>
  <c r="L702" i="3" s="1"/>
  <c r="Q2620" i="3"/>
  <c r="P2620" i="3"/>
  <c r="N1062" i="3"/>
  <c r="J1063" i="3" s="1"/>
  <c r="M702" i="3" l="1"/>
  <c r="M582" i="3"/>
  <c r="O2265" i="3"/>
  <c r="N2265" i="3"/>
  <c r="J2266" i="3" s="1"/>
  <c r="M2265" i="3"/>
  <c r="M2142" i="3"/>
  <c r="M2621" i="3"/>
  <c r="O343" i="3"/>
  <c r="M343" i="3"/>
  <c r="M2382" i="3"/>
  <c r="M463" i="3"/>
  <c r="O463" i="3" s="1"/>
  <c r="Q1660" i="3"/>
  <c r="P1660" i="3"/>
  <c r="M1542" i="3"/>
  <c r="S2264" i="3"/>
  <c r="R2264" i="3"/>
  <c r="S2620" i="3"/>
  <c r="R2620" i="3"/>
  <c r="Q824" i="3"/>
  <c r="P824" i="3"/>
  <c r="S2141" i="3"/>
  <c r="R2141" i="3"/>
  <c r="N945" i="3"/>
  <c r="J946" i="3" s="1"/>
  <c r="M945" i="3"/>
  <c r="Q1904" i="3"/>
  <c r="P1904" i="3"/>
  <c r="K226" i="3"/>
  <c r="L226" i="3" s="1"/>
  <c r="S1062" i="3"/>
  <c r="R1062" i="3"/>
  <c r="O1660" i="3"/>
  <c r="N824" i="3"/>
  <c r="J825" i="3" s="1"/>
  <c r="S1300" i="3"/>
  <c r="R1300" i="3"/>
  <c r="N1904" i="3"/>
  <c r="J1905" i="3" s="1"/>
  <c r="K1421" i="3"/>
  <c r="L1421" i="3" s="1"/>
  <c r="Q101" i="3"/>
  <c r="P101" i="3"/>
  <c r="K1782" i="3"/>
  <c r="L1782" i="3" s="1"/>
  <c r="O824" i="3"/>
  <c r="T125" i="1"/>
  <c r="S125" i="1"/>
  <c r="O1904" i="3"/>
  <c r="N1660" i="3"/>
  <c r="J1661" i="3" s="1"/>
  <c r="N101" i="3"/>
  <c r="J102" i="3" s="1"/>
  <c r="S1420" i="3"/>
  <c r="R1420" i="3"/>
  <c r="S1781" i="3"/>
  <c r="R1781" i="3"/>
  <c r="Q125" i="1"/>
  <c r="M126" i="1" s="1"/>
  <c r="Q1182" i="3"/>
  <c r="P1182" i="3"/>
  <c r="K2505" i="3"/>
  <c r="L2505" i="3" s="1"/>
  <c r="Q2021" i="3"/>
  <c r="P2021" i="3"/>
  <c r="O101" i="3"/>
  <c r="Q225" i="3"/>
  <c r="P225" i="3"/>
  <c r="K1301" i="3"/>
  <c r="L1301" i="3" s="1"/>
  <c r="S462" i="3"/>
  <c r="R462" i="3"/>
  <c r="R125" i="1"/>
  <c r="O1182" i="3"/>
  <c r="K1063" i="3"/>
  <c r="L1063" i="3"/>
  <c r="N2021" i="3"/>
  <c r="J2022" i="3" s="1"/>
  <c r="O225" i="3"/>
  <c r="Q2504" i="3"/>
  <c r="P2504" i="3"/>
  <c r="N1182" i="3"/>
  <c r="J1183" i="3" s="1"/>
  <c r="M1782" i="3" l="1"/>
  <c r="M1421" i="3"/>
  <c r="O2505" i="3"/>
  <c r="N2505" i="3"/>
  <c r="J2506" i="3" s="1"/>
  <c r="M2505" i="3"/>
  <c r="M226" i="3"/>
  <c r="M1301" i="3"/>
  <c r="V125" i="1"/>
  <c r="U125" i="1"/>
  <c r="L2266" i="3"/>
  <c r="K2266" i="3"/>
  <c r="K2022" i="3"/>
  <c r="L2022" i="3" s="1"/>
  <c r="N463" i="3"/>
  <c r="J464" i="3" s="1"/>
  <c r="Q2621" i="3"/>
  <c r="P2621" i="3"/>
  <c r="N2621" i="3"/>
  <c r="J2622" i="3" s="1"/>
  <c r="Q582" i="3"/>
  <c r="P582" i="3"/>
  <c r="K1905" i="3"/>
  <c r="L1905" i="3" s="1"/>
  <c r="Q463" i="3"/>
  <c r="P463" i="3"/>
  <c r="O1063" i="3"/>
  <c r="M1063" i="3"/>
  <c r="S1182" i="3"/>
  <c r="R1182" i="3"/>
  <c r="L102" i="3"/>
  <c r="K102" i="3"/>
  <c r="Q1542" i="3"/>
  <c r="P1542" i="3"/>
  <c r="Q2382" i="3"/>
  <c r="P2382" i="3"/>
  <c r="O2621" i="3"/>
  <c r="N582" i="3"/>
  <c r="J583" i="3" s="1"/>
  <c r="S225" i="3"/>
  <c r="R225" i="3"/>
  <c r="N126" i="1"/>
  <c r="O126" i="1" s="1"/>
  <c r="K1661" i="3"/>
  <c r="L1661" i="3" s="1"/>
  <c r="K825" i="3"/>
  <c r="L825" i="3" s="1"/>
  <c r="S1904" i="3"/>
  <c r="R1904" i="3"/>
  <c r="S824" i="3"/>
  <c r="R824" i="3"/>
  <c r="N1542" i="3"/>
  <c r="J1543" i="3" s="1"/>
  <c r="O2382" i="3"/>
  <c r="Q2142" i="3"/>
  <c r="P2142" i="3"/>
  <c r="O582" i="3"/>
  <c r="K1183" i="3"/>
  <c r="L1183" i="3" s="1"/>
  <c r="S101" i="3"/>
  <c r="R101" i="3"/>
  <c r="Q945" i="3"/>
  <c r="P945" i="3"/>
  <c r="O1542" i="3"/>
  <c r="N2382" i="3"/>
  <c r="J2383" i="3" s="1"/>
  <c r="N2142" i="3"/>
  <c r="J2143" i="3" s="1"/>
  <c r="Q702" i="3"/>
  <c r="P702" i="3"/>
  <c r="L946" i="3"/>
  <c r="K946" i="3"/>
  <c r="Q343" i="3"/>
  <c r="P343" i="3"/>
  <c r="O2142" i="3"/>
  <c r="N702" i="3"/>
  <c r="J703" i="3" s="1"/>
  <c r="S2504" i="3"/>
  <c r="R2504" i="3"/>
  <c r="S2021" i="3"/>
  <c r="R2021" i="3"/>
  <c r="O945" i="3"/>
  <c r="S1660" i="3"/>
  <c r="R1660" i="3"/>
  <c r="N343" i="3"/>
  <c r="J344" i="3" s="1"/>
  <c r="Q2265" i="3"/>
  <c r="P2265" i="3"/>
  <c r="O702" i="3"/>
  <c r="M825" i="3" l="1"/>
  <c r="M1661" i="3"/>
  <c r="O1183" i="3"/>
  <c r="N1183" i="3"/>
  <c r="J1184" i="3" s="1"/>
  <c r="M1183" i="3"/>
  <c r="P126" i="1"/>
  <c r="M2022" i="3"/>
  <c r="N1905" i="3"/>
  <c r="J1906" i="3" s="1"/>
  <c r="M1905" i="3"/>
  <c r="M102" i="3"/>
  <c r="K1543" i="3"/>
  <c r="L1543" i="3" s="1"/>
  <c r="L583" i="3"/>
  <c r="K583" i="3"/>
  <c r="Q1301" i="3"/>
  <c r="P1301" i="3"/>
  <c r="K2506" i="3"/>
  <c r="L2506" i="3" s="1"/>
  <c r="N1301" i="3"/>
  <c r="J1302" i="3" s="1"/>
  <c r="Q1421" i="3"/>
  <c r="P1421" i="3"/>
  <c r="S702" i="3"/>
  <c r="R702" i="3"/>
  <c r="K703" i="3"/>
  <c r="L703" i="3" s="1"/>
  <c r="K2143" i="3"/>
  <c r="L2143" i="3" s="1"/>
  <c r="O1301" i="3"/>
  <c r="O1421" i="3"/>
  <c r="O946" i="3"/>
  <c r="N946" i="3"/>
  <c r="J947" i="3" s="1"/>
  <c r="M946" i="3"/>
  <c r="S463" i="3"/>
  <c r="R463" i="3"/>
  <c r="L2383" i="3"/>
  <c r="K2383" i="3"/>
  <c r="S2382" i="3"/>
  <c r="R2382" i="3"/>
  <c r="Q1063" i="3"/>
  <c r="P1063" i="3"/>
  <c r="S582" i="3"/>
  <c r="R582" i="3"/>
  <c r="M2266" i="3"/>
  <c r="Q226" i="3"/>
  <c r="P226" i="3"/>
  <c r="N1421" i="3"/>
  <c r="J1422" i="3" s="1"/>
  <c r="O226" i="3"/>
  <c r="Q1782" i="3"/>
  <c r="P1782" i="3"/>
  <c r="K344" i="3"/>
  <c r="L344" i="3" s="1"/>
  <c r="L2622" i="3"/>
  <c r="K2622" i="3"/>
  <c r="S343" i="3"/>
  <c r="R343" i="3"/>
  <c r="S1542" i="3"/>
  <c r="R1542" i="3"/>
  <c r="N1063" i="3"/>
  <c r="J1064" i="3" s="1"/>
  <c r="N226" i="3"/>
  <c r="J227" i="3" s="1"/>
  <c r="N1782" i="3"/>
  <c r="J1783" i="3" s="1"/>
  <c r="L464" i="3"/>
  <c r="K464" i="3"/>
  <c r="S2265" i="3"/>
  <c r="R2265" i="3"/>
  <c r="S945" i="3"/>
  <c r="R945" i="3"/>
  <c r="S2142" i="3"/>
  <c r="R2142" i="3"/>
  <c r="S2621" i="3"/>
  <c r="R2621" i="3"/>
  <c r="Q2505" i="3"/>
  <c r="P2505" i="3"/>
  <c r="O1782" i="3"/>
  <c r="M2506" i="3" l="1"/>
  <c r="M2143" i="3"/>
  <c r="O2143" i="3" s="1"/>
  <c r="N344" i="3"/>
  <c r="J345" i="3" s="1"/>
  <c r="O344" i="3"/>
  <c r="M344" i="3"/>
  <c r="M703" i="3"/>
  <c r="N1543" i="3"/>
  <c r="J1544" i="3" s="1"/>
  <c r="M1543" i="3"/>
  <c r="N464" i="3"/>
  <c r="J465" i="3" s="1"/>
  <c r="M464" i="3"/>
  <c r="M583" i="3"/>
  <c r="K1422" i="3"/>
  <c r="L1422" i="3" s="1"/>
  <c r="S1421" i="3"/>
  <c r="R1421" i="3"/>
  <c r="Q2022" i="3"/>
  <c r="P2022" i="3"/>
  <c r="S2505" i="3"/>
  <c r="R2505" i="3"/>
  <c r="K227" i="3"/>
  <c r="L227" i="3" s="1"/>
  <c r="K1302" i="3"/>
  <c r="L1302" i="3" s="1"/>
  <c r="N2022" i="3"/>
  <c r="J2023" i="3" s="1"/>
  <c r="Q1661" i="3"/>
  <c r="P1661" i="3"/>
  <c r="K1906" i="3"/>
  <c r="L1906" i="3" s="1"/>
  <c r="S1063" i="3"/>
  <c r="R1063" i="3"/>
  <c r="Q102" i="3"/>
  <c r="P102" i="3"/>
  <c r="O2022" i="3"/>
  <c r="N1661" i="3"/>
  <c r="J1662" i="3" s="1"/>
  <c r="Q2266" i="3"/>
  <c r="P2266" i="3"/>
  <c r="Q946" i="3"/>
  <c r="P946" i="3"/>
  <c r="N102" i="3"/>
  <c r="J103" i="3" s="1"/>
  <c r="T126" i="1"/>
  <c r="S126" i="1"/>
  <c r="O1661" i="3"/>
  <c r="N2383" i="3"/>
  <c r="J2384" i="3" s="1"/>
  <c r="M2383" i="3"/>
  <c r="S226" i="3"/>
  <c r="R226" i="3"/>
  <c r="O2266" i="3"/>
  <c r="L947" i="3"/>
  <c r="K947" i="3"/>
  <c r="O102" i="3"/>
  <c r="Q126" i="1"/>
  <c r="M127" i="1" s="1"/>
  <c r="Q825" i="3"/>
  <c r="P825" i="3"/>
  <c r="M2622" i="3"/>
  <c r="S1301" i="3"/>
  <c r="R1301" i="3"/>
  <c r="Q1905" i="3"/>
  <c r="P1905" i="3"/>
  <c r="R126" i="1"/>
  <c r="O825" i="3"/>
  <c r="L1184" i="3"/>
  <c r="K1184" i="3"/>
  <c r="K1783" i="3"/>
  <c r="L1783" i="3" s="1"/>
  <c r="K1064" i="3"/>
  <c r="L1064" i="3" s="1"/>
  <c r="N2266" i="3"/>
  <c r="J2267" i="3" s="1"/>
  <c r="S1782" i="3"/>
  <c r="R1782" i="3"/>
  <c r="O1905" i="3"/>
  <c r="Q1183" i="3"/>
  <c r="P1183" i="3"/>
  <c r="N825" i="3"/>
  <c r="J826" i="3" s="1"/>
  <c r="M1064" i="3" l="1"/>
  <c r="M1422" i="3"/>
  <c r="O1906" i="3"/>
  <c r="N1906" i="3"/>
  <c r="J1907" i="3" s="1"/>
  <c r="M1906" i="3"/>
  <c r="M1302" i="3"/>
  <c r="M1783" i="3"/>
  <c r="O227" i="3"/>
  <c r="M227" i="3"/>
  <c r="K2384" i="3"/>
  <c r="L2384" i="3"/>
  <c r="S2266" i="3"/>
  <c r="R2266" i="3"/>
  <c r="K465" i="3"/>
  <c r="L465" i="3" s="1"/>
  <c r="Q2622" i="3"/>
  <c r="P2622" i="3"/>
  <c r="Q1543" i="3"/>
  <c r="P1543" i="3"/>
  <c r="K345" i="3"/>
  <c r="L345" i="3"/>
  <c r="L1662" i="3"/>
  <c r="K1662" i="3"/>
  <c r="N2622" i="3"/>
  <c r="J2623" i="3" s="1"/>
  <c r="S1661" i="3"/>
  <c r="R1661" i="3"/>
  <c r="Q583" i="3"/>
  <c r="P583" i="3"/>
  <c r="O1543" i="3"/>
  <c r="N2143" i="3"/>
  <c r="J2144" i="3" s="1"/>
  <c r="M947" i="3"/>
  <c r="K1544" i="3"/>
  <c r="L1544" i="3" s="1"/>
  <c r="K2267" i="3"/>
  <c r="L2267" i="3" s="1"/>
  <c r="O2622" i="3"/>
  <c r="K103" i="3"/>
  <c r="L103" i="3" s="1"/>
  <c r="S102" i="3"/>
  <c r="R102" i="3"/>
  <c r="K2023" i="3"/>
  <c r="L2023" i="3" s="1"/>
  <c r="N583" i="3"/>
  <c r="J584" i="3" s="1"/>
  <c r="Q703" i="3"/>
  <c r="P703" i="3"/>
  <c r="M1184" i="3"/>
  <c r="O1184" i="3" s="1"/>
  <c r="S1905" i="3"/>
  <c r="R1905" i="3"/>
  <c r="S825" i="3"/>
  <c r="R825" i="3"/>
  <c r="S2022" i="3"/>
  <c r="R2022" i="3"/>
  <c r="O583" i="3"/>
  <c r="N703" i="3"/>
  <c r="J704" i="3" s="1"/>
  <c r="Q2506" i="3"/>
  <c r="P2506" i="3"/>
  <c r="V126" i="1"/>
  <c r="U126" i="1"/>
  <c r="S1183" i="3"/>
  <c r="R1183" i="3"/>
  <c r="N127" i="1"/>
  <c r="O127" i="1" s="1"/>
  <c r="Q2383" i="3"/>
  <c r="P2383" i="3"/>
  <c r="S946" i="3"/>
  <c r="R946" i="3"/>
  <c r="Q464" i="3"/>
  <c r="P464" i="3"/>
  <c r="O703" i="3"/>
  <c r="O2506" i="3"/>
  <c r="Q2143" i="3"/>
  <c r="P2143" i="3"/>
  <c r="K826" i="3"/>
  <c r="L826" i="3"/>
  <c r="O2383" i="3"/>
  <c r="O464" i="3"/>
  <c r="Q344" i="3"/>
  <c r="P344" i="3"/>
  <c r="N2506" i="3"/>
  <c r="J2507" i="3" s="1"/>
  <c r="P127" i="1" l="1"/>
  <c r="M2267" i="3"/>
  <c r="N465" i="3"/>
  <c r="J466" i="3" s="1"/>
  <c r="O465" i="3"/>
  <c r="M465" i="3"/>
  <c r="M103" i="3"/>
  <c r="M1544" i="3"/>
  <c r="O2023" i="3"/>
  <c r="M2023" i="3"/>
  <c r="O345" i="3"/>
  <c r="M345" i="3"/>
  <c r="Q1783" i="3"/>
  <c r="P1783" i="3"/>
  <c r="O1662" i="3"/>
  <c r="M1662" i="3"/>
  <c r="S583" i="3"/>
  <c r="R583" i="3"/>
  <c r="O1783" i="3"/>
  <c r="Q1422" i="3"/>
  <c r="P1422" i="3"/>
  <c r="N1783" i="3"/>
  <c r="J1784" i="3" s="1"/>
  <c r="N1422" i="3"/>
  <c r="J1423" i="3" s="1"/>
  <c r="K2507" i="3"/>
  <c r="L2507" i="3" s="1"/>
  <c r="S2383" i="3"/>
  <c r="R2383" i="3"/>
  <c r="Q947" i="3"/>
  <c r="P947" i="3"/>
  <c r="S1543" i="3"/>
  <c r="R1543" i="3"/>
  <c r="M2384" i="3"/>
  <c r="Q1302" i="3"/>
  <c r="P1302" i="3"/>
  <c r="O1422" i="3"/>
  <c r="S2143" i="3"/>
  <c r="R2143" i="3"/>
  <c r="N947" i="3"/>
  <c r="J948" i="3" s="1"/>
  <c r="N1302" i="3"/>
  <c r="J1303" i="3" s="1"/>
  <c r="Q1064" i="3"/>
  <c r="P1064" i="3"/>
  <c r="Q1184" i="3"/>
  <c r="P1184" i="3"/>
  <c r="N1184" i="3"/>
  <c r="J1185" i="3" s="1"/>
  <c r="S2506" i="3"/>
  <c r="R2506" i="3"/>
  <c r="S703" i="3"/>
  <c r="R703" i="3"/>
  <c r="O947" i="3"/>
  <c r="K2623" i="3"/>
  <c r="L2623" i="3"/>
  <c r="S2622" i="3"/>
  <c r="R2622" i="3"/>
  <c r="Q227" i="3"/>
  <c r="P227" i="3"/>
  <c r="O1302" i="3"/>
  <c r="N1064" i="3"/>
  <c r="J1065" i="3" s="1"/>
  <c r="M826" i="3"/>
  <c r="L1907" i="3"/>
  <c r="K1907" i="3"/>
  <c r="S344" i="3"/>
  <c r="R344" i="3"/>
  <c r="S464" i="3"/>
  <c r="R464" i="3"/>
  <c r="L704" i="3"/>
  <c r="K704" i="3"/>
  <c r="L584" i="3"/>
  <c r="K584" i="3"/>
  <c r="K2144" i="3"/>
  <c r="L2144" i="3" s="1"/>
  <c r="N227" i="3"/>
  <c r="J228" i="3" s="1"/>
  <c r="Q1906" i="3"/>
  <c r="P1906" i="3"/>
  <c r="O1064" i="3"/>
  <c r="M2507" i="3" l="1"/>
  <c r="M2144" i="3"/>
  <c r="Q826" i="3"/>
  <c r="P826" i="3"/>
  <c r="Q2384" i="3"/>
  <c r="P2384" i="3"/>
  <c r="S1422" i="3"/>
  <c r="R1422" i="3"/>
  <c r="Q1544" i="3"/>
  <c r="P1544" i="3"/>
  <c r="K466" i="3"/>
  <c r="L466" i="3" s="1"/>
  <c r="K948" i="3"/>
  <c r="L948" i="3" s="1"/>
  <c r="N2384" i="3"/>
  <c r="J2385" i="3" s="1"/>
  <c r="S1783" i="3"/>
  <c r="R1783" i="3"/>
  <c r="O1544" i="3"/>
  <c r="Q2267" i="3"/>
  <c r="P2267" i="3"/>
  <c r="M704" i="3"/>
  <c r="O2384" i="3"/>
  <c r="Q345" i="3"/>
  <c r="P345" i="3"/>
  <c r="N1544" i="3"/>
  <c r="J1545" i="3" s="1"/>
  <c r="O2267" i="3"/>
  <c r="S947" i="3"/>
  <c r="R947" i="3"/>
  <c r="Q103" i="3"/>
  <c r="P103" i="3"/>
  <c r="N2267" i="3"/>
  <c r="J2268" i="3" s="1"/>
  <c r="N1907" i="3"/>
  <c r="J1908" i="3" s="1"/>
  <c r="M1907" i="3"/>
  <c r="K1303" i="3"/>
  <c r="L1303" i="3" s="1"/>
  <c r="N826" i="3"/>
  <c r="J827" i="3" s="1"/>
  <c r="O826" i="3"/>
  <c r="N345" i="3"/>
  <c r="J346" i="3" s="1"/>
  <c r="N103" i="3"/>
  <c r="J104" i="3" s="1"/>
  <c r="T127" i="1"/>
  <c r="S127" i="1"/>
  <c r="S1064" i="3"/>
  <c r="R1064" i="3"/>
  <c r="O584" i="3"/>
  <c r="N584" i="3"/>
  <c r="J585" i="3" s="1"/>
  <c r="M584" i="3"/>
  <c r="S1184" i="3"/>
  <c r="R1184" i="3"/>
  <c r="K1423" i="3"/>
  <c r="L1423" i="3"/>
  <c r="Q1662" i="3"/>
  <c r="P1662" i="3"/>
  <c r="Q2023" i="3"/>
  <c r="P2023" i="3"/>
  <c r="O103" i="3"/>
  <c r="R127" i="1"/>
  <c r="S1302" i="3"/>
  <c r="R1302" i="3"/>
  <c r="S1906" i="3"/>
  <c r="R1906" i="3"/>
  <c r="K228" i="3"/>
  <c r="L228" i="3" s="1"/>
  <c r="M2623" i="3"/>
  <c r="N2623" i="3" s="1"/>
  <c r="J2624" i="3" s="1"/>
  <c r="L1065" i="3"/>
  <c r="K1065" i="3"/>
  <c r="K1185" i="3"/>
  <c r="L1185" i="3" s="1"/>
  <c r="S227" i="3"/>
  <c r="R227" i="3"/>
  <c r="K1784" i="3"/>
  <c r="L1784" i="3"/>
  <c r="N1662" i="3"/>
  <c r="J1663" i="3" s="1"/>
  <c r="N2023" i="3"/>
  <c r="J2024" i="3" s="1"/>
  <c r="Q465" i="3"/>
  <c r="P465" i="3"/>
  <c r="Q127" i="1"/>
  <c r="M128" i="1" s="1"/>
  <c r="M948" i="3" l="1"/>
  <c r="N466" i="3"/>
  <c r="J467" i="3" s="1"/>
  <c r="M466" i="3"/>
  <c r="O1303" i="3"/>
  <c r="N1303" i="3"/>
  <c r="J1304" i="3" s="1"/>
  <c r="M1303" i="3"/>
  <c r="M1185" i="3"/>
  <c r="N1185" i="3" s="1"/>
  <c r="J1186" i="3" s="1"/>
  <c r="M228" i="3"/>
  <c r="L2624" i="3"/>
  <c r="K2624" i="3"/>
  <c r="S345" i="3"/>
  <c r="R345" i="3"/>
  <c r="S826" i="3"/>
  <c r="R826" i="3"/>
  <c r="K346" i="3"/>
  <c r="L346" i="3" s="1"/>
  <c r="K827" i="3"/>
  <c r="L827" i="3" s="1"/>
  <c r="S103" i="3"/>
  <c r="R103" i="3"/>
  <c r="S1544" i="3"/>
  <c r="R1544" i="3"/>
  <c r="Q2144" i="3"/>
  <c r="P2144" i="3"/>
  <c r="L2268" i="3"/>
  <c r="K2268" i="3"/>
  <c r="Q704" i="3"/>
  <c r="P704" i="3"/>
  <c r="O2144" i="3"/>
  <c r="S1662" i="3"/>
  <c r="R1662" i="3"/>
  <c r="O2623" i="3"/>
  <c r="N704" i="3"/>
  <c r="J705" i="3" s="1"/>
  <c r="K2385" i="3"/>
  <c r="L2385" i="3" s="1"/>
  <c r="N2144" i="3"/>
  <c r="J2145" i="3" s="1"/>
  <c r="K585" i="3"/>
  <c r="L585" i="3" s="1"/>
  <c r="S465" i="3"/>
  <c r="R465" i="3"/>
  <c r="Q1907" i="3"/>
  <c r="P1907" i="3"/>
  <c r="O704" i="3"/>
  <c r="Q2507" i="3"/>
  <c r="P2507" i="3"/>
  <c r="M1065" i="3"/>
  <c r="N128" i="1"/>
  <c r="O128" i="1" s="1"/>
  <c r="L2024" i="3"/>
  <c r="K2024" i="3"/>
  <c r="K1908" i="3"/>
  <c r="L1908" i="3" s="1"/>
  <c r="O2507" i="3"/>
  <c r="M1784" i="3"/>
  <c r="Q2623" i="3"/>
  <c r="P2623" i="3"/>
  <c r="M1423" i="3"/>
  <c r="N1423" i="3" s="1"/>
  <c r="J1424" i="3" s="1"/>
  <c r="V127" i="1"/>
  <c r="U127" i="1"/>
  <c r="L1663" i="3"/>
  <c r="K1663" i="3"/>
  <c r="S2023" i="3"/>
  <c r="R2023" i="3"/>
  <c r="Q584" i="3"/>
  <c r="P584" i="3"/>
  <c r="K104" i="3"/>
  <c r="L104" i="3" s="1"/>
  <c r="O1907" i="3"/>
  <c r="K1545" i="3"/>
  <c r="L1545" i="3"/>
  <c r="S2267" i="3"/>
  <c r="R2267" i="3"/>
  <c r="S2384" i="3"/>
  <c r="R2384" i="3"/>
  <c r="N2507" i="3"/>
  <c r="J2508" i="3" s="1"/>
  <c r="K1186" i="3" l="1"/>
  <c r="L1186" i="3" s="1"/>
  <c r="M2385" i="3"/>
  <c r="R128" i="1"/>
  <c r="P128" i="1"/>
  <c r="M827" i="3"/>
  <c r="M346" i="3"/>
  <c r="O346" i="3" s="1"/>
  <c r="O1908" i="3"/>
  <c r="N1908" i="3"/>
  <c r="J1909" i="3" s="1"/>
  <c r="M1908" i="3"/>
  <c r="M104" i="3"/>
  <c r="K1424" i="3"/>
  <c r="L1424" i="3"/>
  <c r="O585" i="3"/>
  <c r="N585" i="3"/>
  <c r="J586" i="3" s="1"/>
  <c r="M585" i="3"/>
  <c r="S2623" i="3"/>
  <c r="R2623" i="3"/>
  <c r="O2024" i="3"/>
  <c r="M2024" i="3"/>
  <c r="K2145" i="3"/>
  <c r="L2145" i="3" s="1"/>
  <c r="M2624" i="3"/>
  <c r="K1304" i="3"/>
  <c r="L1304" i="3" s="1"/>
  <c r="Q228" i="3"/>
  <c r="P228" i="3"/>
  <c r="Q1784" i="3"/>
  <c r="P1784" i="3"/>
  <c r="S704" i="3"/>
  <c r="R704" i="3"/>
  <c r="N228" i="3"/>
  <c r="J229" i="3" s="1"/>
  <c r="Q466" i="3"/>
  <c r="P466" i="3"/>
  <c r="N1784" i="3"/>
  <c r="J1785" i="3" s="1"/>
  <c r="K705" i="3"/>
  <c r="L705" i="3" s="1"/>
  <c r="O228" i="3"/>
  <c r="O466" i="3"/>
  <c r="S584" i="3"/>
  <c r="R584" i="3"/>
  <c r="Q1065" i="3"/>
  <c r="P1065" i="3"/>
  <c r="O1065" i="3"/>
  <c r="Q948" i="3"/>
  <c r="P948" i="3"/>
  <c r="M1663" i="3"/>
  <c r="O1663" i="3" s="1"/>
  <c r="S1907" i="3"/>
  <c r="R1907" i="3"/>
  <c r="Q1423" i="3"/>
  <c r="P1423" i="3"/>
  <c r="N1065" i="3"/>
  <c r="J1066" i="3" s="1"/>
  <c r="O2268" i="3"/>
  <c r="N2268" i="3"/>
  <c r="J2269" i="3" s="1"/>
  <c r="M2268" i="3"/>
  <c r="Q1185" i="3"/>
  <c r="P1185" i="3"/>
  <c r="M1545" i="3"/>
  <c r="K2508" i="3"/>
  <c r="L2508" i="3"/>
  <c r="O1423" i="3"/>
  <c r="S2144" i="3"/>
  <c r="R2144" i="3"/>
  <c r="O1185" i="3"/>
  <c r="N948" i="3"/>
  <c r="J949" i="3" s="1"/>
  <c r="O1784" i="3"/>
  <c r="K467" i="3"/>
  <c r="L467" i="3" s="1"/>
  <c r="S2507" i="3"/>
  <c r="R2507" i="3"/>
  <c r="Q1303" i="3"/>
  <c r="P1303" i="3"/>
  <c r="O948" i="3"/>
  <c r="M467" i="3" l="1"/>
  <c r="M1304" i="3"/>
  <c r="O2145" i="3"/>
  <c r="N2145" i="3"/>
  <c r="J2146" i="3" s="1"/>
  <c r="M2145" i="3"/>
  <c r="M705" i="3"/>
  <c r="M1186" i="3"/>
  <c r="L586" i="3"/>
  <c r="K586" i="3"/>
  <c r="K1909" i="3"/>
  <c r="L1909" i="3" s="1"/>
  <c r="T128" i="1"/>
  <c r="S128" i="1"/>
  <c r="N1663" i="3"/>
  <c r="J1664" i="3" s="1"/>
  <c r="S228" i="3"/>
  <c r="R228" i="3"/>
  <c r="Q2024" i="3"/>
  <c r="P2024" i="3"/>
  <c r="Q128" i="1"/>
  <c r="M129" i="1" s="1"/>
  <c r="S466" i="3"/>
  <c r="R466" i="3"/>
  <c r="Q1545" i="3"/>
  <c r="P1545" i="3"/>
  <c r="N2024" i="3"/>
  <c r="J2025" i="3" s="1"/>
  <c r="Q2385" i="3"/>
  <c r="P2385" i="3"/>
  <c r="Q1663" i="3"/>
  <c r="P1663" i="3"/>
  <c r="K949" i="3"/>
  <c r="L949" i="3" s="1"/>
  <c r="Q346" i="3"/>
  <c r="P346" i="3"/>
  <c r="Q2624" i="3"/>
  <c r="P2624" i="3"/>
  <c r="Q104" i="3"/>
  <c r="P104" i="3"/>
  <c r="N346" i="3"/>
  <c r="J347" i="3" s="1"/>
  <c r="N2385" i="3"/>
  <c r="J2386" i="3" s="1"/>
  <c r="K2269" i="3"/>
  <c r="L2269" i="3" s="1"/>
  <c r="O1545" i="3"/>
  <c r="S1423" i="3"/>
  <c r="R1423" i="3"/>
  <c r="O2624" i="3"/>
  <c r="O104" i="3"/>
  <c r="Q827" i="3"/>
  <c r="P827" i="3"/>
  <c r="O2385" i="3"/>
  <c r="M2508" i="3"/>
  <c r="N2508" i="3" s="1"/>
  <c r="J2509" i="3" s="1"/>
  <c r="K1066" i="3"/>
  <c r="L1066" i="3" s="1"/>
  <c r="S1303" i="3"/>
  <c r="R1303" i="3"/>
  <c r="S948" i="3"/>
  <c r="R948" i="3"/>
  <c r="S1185" i="3"/>
  <c r="R1185" i="3"/>
  <c r="N2624" i="3"/>
  <c r="J2625" i="3" s="1"/>
  <c r="N104" i="3"/>
  <c r="J105" i="3" s="1"/>
  <c r="N827" i="3"/>
  <c r="J828" i="3" s="1"/>
  <c r="K229" i="3"/>
  <c r="L229" i="3" s="1"/>
  <c r="O1424" i="3"/>
  <c r="N1424" i="3"/>
  <c r="J1425" i="3" s="1"/>
  <c r="M1424" i="3"/>
  <c r="N1545" i="3"/>
  <c r="J1546" i="3" s="1"/>
  <c r="Q2268" i="3"/>
  <c r="P2268" i="3"/>
  <c r="S1065" i="3"/>
  <c r="R1065" i="3"/>
  <c r="K1785" i="3"/>
  <c r="L1785" i="3" s="1"/>
  <c r="S1784" i="3"/>
  <c r="R1784" i="3"/>
  <c r="Q585" i="3"/>
  <c r="P585" i="3"/>
  <c r="Q1908" i="3"/>
  <c r="P1908" i="3"/>
  <c r="O827" i="3"/>
  <c r="M1066" i="3" l="1"/>
  <c r="K2509" i="3"/>
  <c r="L2509" i="3" s="1"/>
  <c r="O949" i="3"/>
  <c r="M949" i="3"/>
  <c r="M1785" i="3"/>
  <c r="M1909" i="3"/>
  <c r="O1909" i="3" s="1"/>
  <c r="O2269" i="3"/>
  <c r="N2269" i="3"/>
  <c r="J2270" i="3" s="1"/>
  <c r="M2269" i="3"/>
  <c r="M229" i="3"/>
  <c r="S1908" i="3"/>
  <c r="R1908" i="3"/>
  <c r="K347" i="3"/>
  <c r="L347" i="3" s="1"/>
  <c r="Q1186" i="3"/>
  <c r="P1186" i="3"/>
  <c r="K2146" i="3"/>
  <c r="L2146" i="3" s="1"/>
  <c r="K1664" i="3"/>
  <c r="L1664" i="3" s="1"/>
  <c r="N1186" i="3"/>
  <c r="J1187" i="3" s="1"/>
  <c r="Q1304" i="3"/>
  <c r="P1304" i="3"/>
  <c r="S1545" i="3"/>
  <c r="R1545" i="3"/>
  <c r="O1186" i="3"/>
  <c r="O1304" i="3"/>
  <c r="S585" i="3"/>
  <c r="R585" i="3"/>
  <c r="O2508" i="3"/>
  <c r="N129" i="1"/>
  <c r="O129" i="1"/>
  <c r="V128" i="1"/>
  <c r="U128" i="1"/>
  <c r="Q705" i="3"/>
  <c r="P705" i="3"/>
  <c r="N1304" i="3"/>
  <c r="J1305" i="3" s="1"/>
  <c r="K1425" i="3"/>
  <c r="L1425" i="3" s="1"/>
  <c r="S104" i="3"/>
  <c r="R104" i="3"/>
  <c r="K828" i="3"/>
  <c r="L828" i="3" s="1"/>
  <c r="S2268" i="3"/>
  <c r="R2268" i="3"/>
  <c r="S2624" i="3"/>
  <c r="R2624" i="3"/>
  <c r="S2385" i="3"/>
  <c r="R2385" i="3"/>
  <c r="O705" i="3"/>
  <c r="Q467" i="3"/>
  <c r="P467" i="3"/>
  <c r="Q2508" i="3"/>
  <c r="P2508" i="3"/>
  <c r="K105" i="3"/>
  <c r="L105" i="3"/>
  <c r="K1546" i="3"/>
  <c r="L1546" i="3"/>
  <c r="K2625" i="3"/>
  <c r="L2625" i="3"/>
  <c r="K2025" i="3"/>
  <c r="L2025" i="3" s="1"/>
  <c r="S2024" i="3"/>
  <c r="R2024" i="3"/>
  <c r="N705" i="3"/>
  <c r="J706" i="3" s="1"/>
  <c r="N467" i="3"/>
  <c r="J468" i="3" s="1"/>
  <c r="K2386" i="3"/>
  <c r="L2386" i="3" s="1"/>
  <c r="N586" i="3"/>
  <c r="J587" i="3" s="1"/>
  <c r="M586" i="3"/>
  <c r="S1663" i="3"/>
  <c r="R1663" i="3"/>
  <c r="Q1424" i="3"/>
  <c r="P1424" i="3"/>
  <c r="S827" i="3"/>
  <c r="R827" i="3"/>
  <c r="S346" i="3"/>
  <c r="R346" i="3"/>
  <c r="Q2145" i="3"/>
  <c r="P2145" i="3"/>
  <c r="O467" i="3"/>
  <c r="M1425" i="3" l="1"/>
  <c r="M2146" i="3"/>
  <c r="N2146" i="3" s="1"/>
  <c r="J2147" i="3" s="1"/>
  <c r="O828" i="3"/>
  <c r="N828" i="3"/>
  <c r="J829" i="3" s="1"/>
  <c r="M828" i="3"/>
  <c r="M2386" i="3"/>
  <c r="N2509" i="3"/>
  <c r="J2510" i="3" s="1"/>
  <c r="M2509" i="3"/>
  <c r="O2025" i="3"/>
  <c r="M2025" i="3"/>
  <c r="M347" i="3"/>
  <c r="O1664" i="3"/>
  <c r="M1664" i="3"/>
  <c r="K1187" i="3"/>
  <c r="L1187" i="3" s="1"/>
  <c r="K2270" i="3"/>
  <c r="L2270" i="3" s="1"/>
  <c r="Q949" i="3"/>
  <c r="P949" i="3"/>
  <c r="N949" i="3"/>
  <c r="J950" i="3" s="1"/>
  <c r="S2508" i="3"/>
  <c r="R2508" i="3"/>
  <c r="S467" i="3"/>
  <c r="R467" i="3"/>
  <c r="N1909" i="3"/>
  <c r="J1910" i="3" s="1"/>
  <c r="S1424" i="3"/>
  <c r="R1424" i="3"/>
  <c r="K706" i="3"/>
  <c r="L706" i="3"/>
  <c r="Q229" i="3"/>
  <c r="P229" i="3"/>
  <c r="K587" i="3"/>
  <c r="L587" i="3" s="1"/>
  <c r="O2625" i="3"/>
  <c r="M2625" i="3"/>
  <c r="Q1909" i="3"/>
  <c r="P1909" i="3"/>
  <c r="P129" i="1"/>
  <c r="K1305" i="3"/>
  <c r="L1305" i="3" s="1"/>
  <c r="N229" i="3"/>
  <c r="J230" i="3" s="1"/>
  <c r="Q1785" i="3"/>
  <c r="P1785" i="3"/>
  <c r="Q1066" i="3"/>
  <c r="P1066" i="3"/>
  <c r="K468" i="3"/>
  <c r="L468" i="3" s="1"/>
  <c r="Q586" i="3"/>
  <c r="P586" i="3"/>
  <c r="M105" i="3"/>
  <c r="S1186" i="3"/>
  <c r="R1186" i="3"/>
  <c r="O229" i="3"/>
  <c r="N1785" i="3"/>
  <c r="J1786" i="3" s="1"/>
  <c r="O1066" i="3"/>
  <c r="S2145" i="3"/>
  <c r="R2145" i="3"/>
  <c r="O1546" i="3"/>
  <c r="N1546" i="3"/>
  <c r="J1547" i="3" s="1"/>
  <c r="M1546" i="3"/>
  <c r="O586" i="3"/>
  <c r="S705" i="3"/>
  <c r="R705" i="3"/>
  <c r="S1304" i="3"/>
  <c r="R1304" i="3"/>
  <c r="Q2269" i="3"/>
  <c r="P2269" i="3"/>
  <c r="O1785" i="3"/>
  <c r="N1066" i="3"/>
  <c r="J1067" i="3" s="1"/>
  <c r="M2270" i="3" l="1"/>
  <c r="M587" i="3"/>
  <c r="O587" i="3" s="1"/>
  <c r="N468" i="3"/>
  <c r="J469" i="3" s="1"/>
  <c r="O468" i="3"/>
  <c r="M468" i="3"/>
  <c r="M1187" i="3"/>
  <c r="O1305" i="3"/>
  <c r="M1305" i="3"/>
  <c r="L2147" i="3"/>
  <c r="K2147" i="3"/>
  <c r="Q1664" i="3"/>
  <c r="P1664" i="3"/>
  <c r="K829" i="3"/>
  <c r="L829" i="3" s="1"/>
  <c r="T129" i="1"/>
  <c r="S129" i="1"/>
  <c r="L950" i="3"/>
  <c r="K950" i="3"/>
  <c r="N1664" i="3"/>
  <c r="J1665" i="3" s="1"/>
  <c r="Q2509" i="3"/>
  <c r="P2509" i="3"/>
  <c r="K1547" i="3"/>
  <c r="L1547" i="3" s="1"/>
  <c r="Q129" i="1"/>
  <c r="M130" i="1" s="1"/>
  <c r="Q105" i="3"/>
  <c r="P105" i="3"/>
  <c r="S949" i="3"/>
  <c r="R949" i="3"/>
  <c r="Q347" i="3"/>
  <c r="P347" i="3"/>
  <c r="O2509" i="3"/>
  <c r="Q2146" i="3"/>
  <c r="P2146" i="3"/>
  <c r="K1067" i="3"/>
  <c r="L1067" i="3" s="1"/>
  <c r="S229" i="3"/>
  <c r="R229" i="3"/>
  <c r="N347" i="3"/>
  <c r="J348" i="3" s="1"/>
  <c r="Q2386" i="3"/>
  <c r="P2386" i="3"/>
  <c r="O2146" i="3"/>
  <c r="K1910" i="3"/>
  <c r="L1910" i="3" s="1"/>
  <c r="S1909" i="3"/>
  <c r="R1909" i="3"/>
  <c r="O706" i="3"/>
  <c r="M706" i="3"/>
  <c r="O347" i="3"/>
  <c r="O2386" i="3"/>
  <c r="Q1425" i="3"/>
  <c r="P1425" i="3"/>
  <c r="S1066" i="3"/>
  <c r="R1066" i="3"/>
  <c r="N105" i="3"/>
  <c r="J106" i="3" s="1"/>
  <c r="S1785" i="3"/>
  <c r="R1785" i="3"/>
  <c r="K1786" i="3"/>
  <c r="L1786" i="3" s="1"/>
  <c r="L230" i="3"/>
  <c r="K230" i="3"/>
  <c r="Q2625" i="3"/>
  <c r="P2625" i="3"/>
  <c r="Q2025" i="3"/>
  <c r="P2025" i="3"/>
  <c r="N2386" i="3"/>
  <c r="J2387" i="3" s="1"/>
  <c r="N1425" i="3"/>
  <c r="J1426" i="3" s="1"/>
  <c r="L2510" i="3"/>
  <c r="K2510" i="3"/>
  <c r="R129" i="1"/>
  <c r="O105" i="3"/>
  <c r="S2269" i="3"/>
  <c r="R2269" i="3"/>
  <c r="Q1546" i="3"/>
  <c r="P1546" i="3"/>
  <c r="S586" i="3"/>
  <c r="R586" i="3"/>
  <c r="N2625" i="3"/>
  <c r="J2626" i="3" s="1"/>
  <c r="N2025" i="3"/>
  <c r="J2026" i="3" s="1"/>
  <c r="Q828" i="3"/>
  <c r="P828" i="3"/>
  <c r="O1425" i="3"/>
  <c r="M1067" i="3" l="1"/>
  <c r="M1910" i="3"/>
  <c r="O1786" i="3"/>
  <c r="N1786" i="3"/>
  <c r="J1787" i="3" s="1"/>
  <c r="M1786" i="3"/>
  <c r="M1547" i="3"/>
  <c r="N829" i="3"/>
  <c r="J830" i="3" s="1"/>
  <c r="M829" i="3"/>
  <c r="O2510" i="3"/>
  <c r="M2510" i="3"/>
  <c r="M230" i="3"/>
  <c r="S2386" i="3"/>
  <c r="R2386" i="3"/>
  <c r="S2146" i="3"/>
  <c r="R2146" i="3"/>
  <c r="S105" i="3"/>
  <c r="R105" i="3"/>
  <c r="N950" i="3"/>
  <c r="J951" i="3" s="1"/>
  <c r="O950" i="3"/>
  <c r="M950" i="3"/>
  <c r="M2147" i="3"/>
  <c r="K348" i="3"/>
  <c r="L348" i="3" s="1"/>
  <c r="N130" i="1"/>
  <c r="O130" i="1" s="1"/>
  <c r="Q1305" i="3"/>
  <c r="P1305" i="3"/>
  <c r="K469" i="3"/>
  <c r="L469" i="3" s="1"/>
  <c r="S828" i="3"/>
  <c r="R828" i="3"/>
  <c r="S347" i="3"/>
  <c r="R347" i="3"/>
  <c r="N1305" i="3"/>
  <c r="J1306" i="3" s="1"/>
  <c r="N587" i="3"/>
  <c r="J588" i="3" s="1"/>
  <c r="V129" i="1"/>
  <c r="U129" i="1"/>
  <c r="Q1187" i="3"/>
  <c r="P1187" i="3"/>
  <c r="K2387" i="3"/>
  <c r="L2387" i="3" s="1"/>
  <c r="K2626" i="3"/>
  <c r="L2626" i="3" s="1"/>
  <c r="S2509" i="3"/>
  <c r="R2509" i="3"/>
  <c r="N1187" i="3"/>
  <c r="J1188" i="3" s="1"/>
  <c r="Q2270" i="3"/>
  <c r="P2270" i="3"/>
  <c r="K1426" i="3"/>
  <c r="L1426" i="3" s="1"/>
  <c r="K2026" i="3"/>
  <c r="L2026" i="3" s="1"/>
  <c r="S1425" i="3"/>
  <c r="R1425" i="3"/>
  <c r="S2025" i="3"/>
  <c r="R2025" i="3"/>
  <c r="S2625" i="3"/>
  <c r="R2625" i="3"/>
  <c r="K106" i="3"/>
  <c r="L106" i="3" s="1"/>
  <c r="Q706" i="3"/>
  <c r="P706" i="3"/>
  <c r="K1665" i="3"/>
  <c r="L1665" i="3" s="1"/>
  <c r="S1664" i="3"/>
  <c r="R1664" i="3"/>
  <c r="O1187" i="3"/>
  <c r="N2270" i="3"/>
  <c r="J2271" i="3" s="1"/>
  <c r="S1546" i="3"/>
  <c r="R1546" i="3"/>
  <c r="Q587" i="3"/>
  <c r="P587" i="3"/>
  <c r="N706" i="3"/>
  <c r="J707" i="3" s="1"/>
  <c r="Q468" i="3"/>
  <c r="P468" i="3"/>
  <c r="O2270" i="3"/>
  <c r="O2387" i="3" l="1"/>
  <c r="M2387" i="3"/>
  <c r="P130" i="1"/>
  <c r="O348" i="3"/>
  <c r="N348" i="3"/>
  <c r="J349" i="3" s="1"/>
  <c r="M348" i="3"/>
  <c r="M106" i="3"/>
  <c r="M469" i="3"/>
  <c r="O469" i="3" s="1"/>
  <c r="N1665" i="3"/>
  <c r="J1666" i="3" s="1"/>
  <c r="M1665" i="3"/>
  <c r="M2626" i="3"/>
  <c r="M2026" i="3"/>
  <c r="N2026" i="3" s="1"/>
  <c r="J2027" i="3" s="1"/>
  <c r="N1426" i="3"/>
  <c r="J1427" i="3" s="1"/>
  <c r="M1426" i="3"/>
  <c r="K951" i="3"/>
  <c r="L951" i="3"/>
  <c r="Q829" i="3"/>
  <c r="P829" i="3"/>
  <c r="S1187" i="3"/>
  <c r="R1187" i="3"/>
  <c r="K830" i="3"/>
  <c r="L830" i="3" s="1"/>
  <c r="Q1910" i="3"/>
  <c r="P1910" i="3"/>
  <c r="Q230" i="3"/>
  <c r="P230" i="3"/>
  <c r="O829" i="3"/>
  <c r="N1910" i="3"/>
  <c r="J1911" i="3" s="1"/>
  <c r="K588" i="3"/>
  <c r="L588" i="3" s="1"/>
  <c r="Q2147" i="3"/>
  <c r="P2147" i="3"/>
  <c r="N230" i="3"/>
  <c r="J231" i="3" s="1"/>
  <c r="Q1547" i="3"/>
  <c r="P1547" i="3"/>
  <c r="O1910" i="3"/>
  <c r="S587" i="3"/>
  <c r="R587" i="3"/>
  <c r="K2271" i="3"/>
  <c r="L2271" i="3" s="1"/>
  <c r="S706" i="3"/>
  <c r="R706" i="3"/>
  <c r="K1306" i="3"/>
  <c r="L1306" i="3"/>
  <c r="N2147" i="3"/>
  <c r="J2148" i="3" s="1"/>
  <c r="O230" i="3"/>
  <c r="N1547" i="3"/>
  <c r="J1548" i="3" s="1"/>
  <c r="Q1067" i="3"/>
  <c r="P1067" i="3"/>
  <c r="S2270" i="3"/>
  <c r="R2270" i="3"/>
  <c r="O2147" i="3"/>
  <c r="Q2510" i="3"/>
  <c r="P2510" i="3"/>
  <c r="O1547" i="3"/>
  <c r="N1067" i="3"/>
  <c r="J1068" i="3" s="1"/>
  <c r="L1787" i="3"/>
  <c r="K1787" i="3"/>
  <c r="S468" i="3"/>
  <c r="R468" i="3"/>
  <c r="K707" i="3"/>
  <c r="L707" i="3" s="1"/>
  <c r="K1188" i="3"/>
  <c r="L1188" i="3" s="1"/>
  <c r="S1305" i="3"/>
  <c r="R1305" i="3"/>
  <c r="Q950" i="3"/>
  <c r="P950" i="3"/>
  <c r="N2510" i="3"/>
  <c r="J2511" i="3" s="1"/>
  <c r="Q1786" i="3"/>
  <c r="P1786" i="3"/>
  <c r="O1067" i="3"/>
  <c r="M830" i="3" l="1"/>
  <c r="K2027" i="3"/>
  <c r="L2027" i="3" s="1"/>
  <c r="M1188" i="3"/>
  <c r="N1188" i="3" s="1"/>
  <c r="J1189" i="3" s="1"/>
  <c r="M2271" i="3"/>
  <c r="O588" i="3"/>
  <c r="M588" i="3"/>
  <c r="O707" i="3"/>
  <c r="N707" i="3"/>
  <c r="J708" i="3" s="1"/>
  <c r="M707" i="3"/>
  <c r="S230" i="3"/>
  <c r="R230" i="3"/>
  <c r="S829" i="3"/>
  <c r="R829" i="3"/>
  <c r="O2026" i="3"/>
  <c r="N469" i="3"/>
  <c r="J470" i="3" s="1"/>
  <c r="T130" i="1"/>
  <c r="S130" i="1"/>
  <c r="S1067" i="3"/>
  <c r="R1067" i="3"/>
  <c r="K231" i="3"/>
  <c r="L231" i="3" s="1"/>
  <c r="S1910" i="3"/>
  <c r="R1910" i="3"/>
  <c r="O951" i="3"/>
  <c r="M951" i="3"/>
  <c r="Q2626" i="3"/>
  <c r="P2626" i="3"/>
  <c r="Q130" i="1"/>
  <c r="M131" i="1" s="1"/>
  <c r="K2511" i="3"/>
  <c r="L2511" i="3" s="1"/>
  <c r="K1666" i="3"/>
  <c r="L1666" i="3"/>
  <c r="M1306" i="3"/>
  <c r="O1306" i="3" s="1"/>
  <c r="O2626" i="3"/>
  <c r="Q106" i="3"/>
  <c r="P106" i="3"/>
  <c r="R130" i="1"/>
  <c r="Q2026" i="3"/>
  <c r="P2026" i="3"/>
  <c r="Q1426" i="3"/>
  <c r="P1426" i="3"/>
  <c r="N2626" i="3"/>
  <c r="J2627" i="3" s="1"/>
  <c r="N106" i="3"/>
  <c r="J107" i="3" s="1"/>
  <c r="Q2387" i="3"/>
  <c r="P2387" i="3"/>
  <c r="K349" i="3"/>
  <c r="L349" i="3" s="1"/>
  <c r="S950" i="3"/>
  <c r="R950" i="3"/>
  <c r="K2148" i="3"/>
  <c r="L2148" i="3" s="1"/>
  <c r="K1911" i="3"/>
  <c r="L1911" i="3" s="1"/>
  <c r="K1427" i="3"/>
  <c r="L1427" i="3" s="1"/>
  <c r="Q1665" i="3"/>
  <c r="P1665" i="3"/>
  <c r="O106" i="3"/>
  <c r="S1547" i="3"/>
  <c r="R1547" i="3"/>
  <c r="K1548" i="3"/>
  <c r="L1548" i="3" s="1"/>
  <c r="Q469" i="3"/>
  <c r="P469" i="3"/>
  <c r="S2510" i="3"/>
  <c r="R2510" i="3"/>
  <c r="S2147" i="3"/>
  <c r="R2147" i="3"/>
  <c r="O1787" i="3"/>
  <c r="M1787" i="3"/>
  <c r="S1786" i="3"/>
  <c r="R1786" i="3"/>
  <c r="K1068" i="3"/>
  <c r="L1068" i="3" s="1"/>
  <c r="O1426" i="3"/>
  <c r="O1665" i="3"/>
  <c r="Q348" i="3"/>
  <c r="P348" i="3"/>
  <c r="N2387" i="3"/>
  <c r="J2388" i="3" s="1"/>
  <c r="K1189" i="3" l="1"/>
  <c r="L1189" i="3" s="1"/>
  <c r="M1911" i="3"/>
  <c r="M1548" i="3"/>
  <c r="M231" i="3"/>
  <c r="M2027" i="3"/>
  <c r="N2148" i="3"/>
  <c r="J2149" i="3" s="1"/>
  <c r="O2148" i="3"/>
  <c r="M2148" i="3"/>
  <c r="M349" i="3"/>
  <c r="M2511" i="3"/>
  <c r="N2511" i="3" s="1"/>
  <c r="J2512" i="3" s="1"/>
  <c r="O1068" i="3"/>
  <c r="M1068" i="3"/>
  <c r="M1427" i="3"/>
  <c r="S469" i="3"/>
  <c r="R469" i="3"/>
  <c r="N1306" i="3"/>
  <c r="J1307" i="3" s="1"/>
  <c r="Q951" i="3"/>
  <c r="P951" i="3"/>
  <c r="Q588" i="3"/>
  <c r="P588" i="3"/>
  <c r="O1188" i="3"/>
  <c r="K708" i="3"/>
  <c r="L708" i="3" s="1"/>
  <c r="S2026" i="3"/>
  <c r="R2026" i="3"/>
  <c r="M1666" i="3"/>
  <c r="Q1306" i="3"/>
  <c r="P1306" i="3"/>
  <c r="S1426" i="3"/>
  <c r="R1426" i="3"/>
  <c r="N951" i="3"/>
  <c r="J952" i="3" s="1"/>
  <c r="N588" i="3"/>
  <c r="J589" i="3" s="1"/>
  <c r="Q1188" i="3"/>
  <c r="P1188" i="3"/>
  <c r="S2387" i="3"/>
  <c r="R2387" i="3"/>
  <c r="Q2271" i="3"/>
  <c r="P2271" i="3"/>
  <c r="Q830" i="3"/>
  <c r="P830" i="3"/>
  <c r="K2388" i="3"/>
  <c r="L2388" i="3"/>
  <c r="K107" i="3"/>
  <c r="L107" i="3" s="1"/>
  <c r="S106" i="3"/>
  <c r="R106" i="3"/>
  <c r="V130" i="1"/>
  <c r="U130" i="1"/>
  <c r="O2271" i="3"/>
  <c r="N830" i="3"/>
  <c r="J831" i="3" s="1"/>
  <c r="S1665" i="3"/>
  <c r="R1665" i="3"/>
  <c r="S2626" i="3"/>
  <c r="R2626" i="3"/>
  <c r="S348" i="3"/>
  <c r="R348" i="3"/>
  <c r="Q1787" i="3"/>
  <c r="P1787" i="3"/>
  <c r="N1787" i="3"/>
  <c r="J1788" i="3" s="1"/>
  <c r="K2627" i="3"/>
  <c r="L2627" i="3"/>
  <c r="N131" i="1"/>
  <c r="O131" i="1" s="1"/>
  <c r="K470" i="3"/>
  <c r="L470" i="3" s="1"/>
  <c r="Q707" i="3"/>
  <c r="P707" i="3"/>
  <c r="N2271" i="3"/>
  <c r="J2272" i="3" s="1"/>
  <c r="O830" i="3"/>
  <c r="M708" i="3" l="1"/>
  <c r="M470" i="3"/>
  <c r="O107" i="3"/>
  <c r="N107" i="3"/>
  <c r="J108" i="3" s="1"/>
  <c r="M107" i="3"/>
  <c r="K2512" i="3"/>
  <c r="L2512" i="3" s="1"/>
  <c r="P131" i="1"/>
  <c r="R131" i="1"/>
  <c r="Q131" i="1"/>
  <c r="M132" i="1" s="1"/>
  <c r="O1189" i="3"/>
  <c r="N1189" i="3"/>
  <c r="J1190" i="3" s="1"/>
  <c r="M1189" i="3"/>
  <c r="Q1548" i="3"/>
  <c r="P1548" i="3"/>
  <c r="S1188" i="3"/>
  <c r="R1188" i="3"/>
  <c r="Q1666" i="3"/>
  <c r="P1666" i="3"/>
  <c r="O2511" i="3"/>
  <c r="Q2027" i="3"/>
  <c r="P2027" i="3"/>
  <c r="N1548" i="3"/>
  <c r="J1549" i="3" s="1"/>
  <c r="K2149" i="3"/>
  <c r="L2149" i="3"/>
  <c r="S830" i="3"/>
  <c r="R830" i="3"/>
  <c r="K589" i="3"/>
  <c r="L589" i="3" s="1"/>
  <c r="N1666" i="3"/>
  <c r="J1667" i="3" s="1"/>
  <c r="Q1427" i="3"/>
  <c r="P1427" i="3"/>
  <c r="N2027" i="3"/>
  <c r="J2028" i="3" s="1"/>
  <c r="Q1911" i="3"/>
  <c r="P1911" i="3"/>
  <c r="M2627" i="3"/>
  <c r="N2388" i="3"/>
  <c r="J2389" i="3" s="1"/>
  <c r="M2388" i="3"/>
  <c r="L1788" i="3"/>
  <c r="K1788" i="3"/>
  <c r="K952" i="3"/>
  <c r="L952" i="3" s="1"/>
  <c r="O1666" i="3"/>
  <c r="S588" i="3"/>
  <c r="R588" i="3"/>
  <c r="O1427" i="3"/>
  <c r="Q349" i="3"/>
  <c r="P349" i="3"/>
  <c r="O2027" i="3"/>
  <c r="O1911" i="3"/>
  <c r="K2272" i="3"/>
  <c r="L2272" i="3" s="1"/>
  <c r="S1306" i="3"/>
  <c r="R1306" i="3"/>
  <c r="O1548" i="3"/>
  <c r="S2271" i="3"/>
  <c r="R2271" i="3"/>
  <c r="N1427" i="3"/>
  <c r="J1428" i="3" s="1"/>
  <c r="N349" i="3"/>
  <c r="J350" i="3" s="1"/>
  <c r="Q231" i="3"/>
  <c r="P231" i="3"/>
  <c r="N1911" i="3"/>
  <c r="J1912" i="3" s="1"/>
  <c r="S707" i="3"/>
  <c r="R707" i="3"/>
  <c r="S951" i="3"/>
  <c r="R951" i="3"/>
  <c r="Q1068" i="3"/>
  <c r="P1068" i="3"/>
  <c r="O349" i="3"/>
  <c r="N231" i="3"/>
  <c r="J232" i="3" s="1"/>
  <c r="Q2511" i="3"/>
  <c r="P2511" i="3"/>
  <c r="S1787" i="3"/>
  <c r="R1787" i="3"/>
  <c r="L831" i="3"/>
  <c r="K831" i="3"/>
  <c r="K1307" i="3"/>
  <c r="L1307" i="3"/>
  <c r="N1068" i="3"/>
  <c r="J1069" i="3" s="1"/>
  <c r="Q2148" i="3"/>
  <c r="P2148" i="3"/>
  <c r="O231" i="3"/>
  <c r="M952" i="3" l="1"/>
  <c r="M2272" i="3"/>
  <c r="N2272" i="3" s="1"/>
  <c r="J2273" i="3" s="1"/>
  <c r="O2512" i="3"/>
  <c r="N2512" i="3"/>
  <c r="J2513" i="3" s="1"/>
  <c r="M2512" i="3"/>
  <c r="N589" i="3"/>
  <c r="J590" i="3" s="1"/>
  <c r="M589" i="3"/>
  <c r="Q2388" i="3"/>
  <c r="P2388" i="3"/>
  <c r="L2028" i="3"/>
  <c r="K2028" i="3"/>
  <c r="S1666" i="3"/>
  <c r="R1666" i="3"/>
  <c r="N132" i="1"/>
  <c r="O132" i="1"/>
  <c r="Q470" i="3"/>
  <c r="P470" i="3"/>
  <c r="L108" i="3"/>
  <c r="K108" i="3"/>
  <c r="K1069" i="3"/>
  <c r="L1069" i="3" s="1"/>
  <c r="M1307" i="3"/>
  <c r="N1307" i="3" s="1"/>
  <c r="J1308" i="3" s="1"/>
  <c r="S1427" i="3"/>
  <c r="R1427" i="3"/>
  <c r="N470" i="3"/>
  <c r="J471" i="3" s="1"/>
  <c r="S2148" i="3"/>
  <c r="R2148" i="3"/>
  <c r="K1428" i="3"/>
  <c r="L1428" i="3" s="1"/>
  <c r="Q2627" i="3"/>
  <c r="P2627" i="3"/>
  <c r="K1667" i="3"/>
  <c r="L1667" i="3" s="1"/>
  <c r="T131" i="1"/>
  <c r="S131" i="1"/>
  <c r="O470" i="3"/>
  <c r="S231" i="3"/>
  <c r="R231" i="3"/>
  <c r="M1788" i="3"/>
  <c r="K232" i="3"/>
  <c r="L232" i="3" s="1"/>
  <c r="K1549" i="3"/>
  <c r="L1549" i="3" s="1"/>
  <c r="N2627" i="3"/>
  <c r="J2628" i="3" s="1"/>
  <c r="Q708" i="3"/>
  <c r="P708" i="3"/>
  <c r="K1190" i="3"/>
  <c r="L1190" i="3" s="1"/>
  <c r="K1912" i="3"/>
  <c r="L1912" i="3"/>
  <c r="O2627" i="3"/>
  <c r="S2027" i="3"/>
  <c r="R2027" i="3"/>
  <c r="S1548" i="3"/>
  <c r="R1548" i="3"/>
  <c r="N708" i="3"/>
  <c r="J709" i="3" s="1"/>
  <c r="S1911" i="3"/>
  <c r="R1911" i="3"/>
  <c r="K350" i="3"/>
  <c r="L350" i="3" s="1"/>
  <c r="K2389" i="3"/>
  <c r="L2389" i="3" s="1"/>
  <c r="O2149" i="3"/>
  <c r="N2149" i="3"/>
  <c r="J2150" i="3" s="1"/>
  <c r="M2149" i="3"/>
  <c r="S2511" i="3"/>
  <c r="R2511" i="3"/>
  <c r="O2388" i="3"/>
  <c r="O831" i="3"/>
  <c r="N831" i="3"/>
  <c r="J832" i="3" s="1"/>
  <c r="M831" i="3"/>
  <c r="S1068" i="3"/>
  <c r="R1068" i="3"/>
  <c r="S349" i="3"/>
  <c r="R349" i="3"/>
  <c r="Q1189" i="3"/>
  <c r="P1189" i="3"/>
  <c r="Q107" i="3"/>
  <c r="P107" i="3"/>
  <c r="O708" i="3"/>
  <c r="M232" i="3" l="1"/>
  <c r="M1667" i="3"/>
  <c r="N1667" i="3" s="1"/>
  <c r="J1668" i="3" s="1"/>
  <c r="O1549" i="3"/>
  <c r="N1549" i="3"/>
  <c r="J1550" i="3" s="1"/>
  <c r="M1549" i="3"/>
  <c r="M350" i="3"/>
  <c r="K2273" i="3"/>
  <c r="L2273" i="3"/>
  <c r="O2389" i="3"/>
  <c r="N2389" i="3"/>
  <c r="J2390" i="3" s="1"/>
  <c r="M2389" i="3"/>
  <c r="K1308" i="3"/>
  <c r="L1308" i="3"/>
  <c r="M1069" i="3"/>
  <c r="O1069" i="3" s="1"/>
  <c r="O1428" i="3"/>
  <c r="N1428" i="3"/>
  <c r="J1429" i="3" s="1"/>
  <c r="M1428" i="3"/>
  <c r="M1190" i="3"/>
  <c r="K709" i="3"/>
  <c r="L709" i="3" s="1"/>
  <c r="Q831" i="3"/>
  <c r="P831" i="3"/>
  <c r="K2150" i="3"/>
  <c r="L2150" i="3" s="1"/>
  <c r="S2627" i="3"/>
  <c r="R2627" i="3"/>
  <c r="O108" i="3"/>
  <c r="M108" i="3"/>
  <c r="K2513" i="3"/>
  <c r="L2513" i="3" s="1"/>
  <c r="M1912" i="3"/>
  <c r="N2028" i="3"/>
  <c r="J2029" i="3" s="1"/>
  <c r="M2028" i="3"/>
  <c r="O1307" i="3"/>
  <c r="R132" i="1"/>
  <c r="P132" i="1"/>
  <c r="S2388" i="3"/>
  <c r="R2388" i="3"/>
  <c r="O2272" i="3"/>
  <c r="V131" i="1"/>
  <c r="U131" i="1"/>
  <c r="Q589" i="3"/>
  <c r="P589" i="3"/>
  <c r="S470" i="3"/>
  <c r="R470" i="3"/>
  <c r="Q1788" i="3"/>
  <c r="P1788" i="3"/>
  <c r="K590" i="3"/>
  <c r="L590" i="3" s="1"/>
  <c r="Q952" i="3"/>
  <c r="P952" i="3"/>
  <c r="S1189" i="3"/>
  <c r="R1189" i="3"/>
  <c r="Q2272" i="3"/>
  <c r="P2272" i="3"/>
  <c r="N1788" i="3"/>
  <c r="J1789" i="3" s="1"/>
  <c r="S708" i="3"/>
  <c r="R708" i="3"/>
  <c r="O1788" i="3"/>
  <c r="K471" i="3"/>
  <c r="L471" i="3" s="1"/>
  <c r="O589" i="3"/>
  <c r="O952" i="3"/>
  <c r="K832" i="3"/>
  <c r="L832" i="3" s="1"/>
  <c r="Q1307" i="3"/>
  <c r="P1307" i="3"/>
  <c r="S107" i="3"/>
  <c r="R107" i="3"/>
  <c r="Q2149" i="3"/>
  <c r="P2149" i="3"/>
  <c r="K2628" i="3"/>
  <c r="L2628" i="3" s="1"/>
  <c r="Q2512" i="3"/>
  <c r="P2512" i="3"/>
  <c r="N952" i="3"/>
  <c r="J953" i="3" s="1"/>
  <c r="M832" i="3" l="1"/>
  <c r="M471" i="3"/>
  <c r="O471" i="3"/>
  <c r="O2150" i="3"/>
  <c r="N2150" i="3"/>
  <c r="J2151" i="3" s="1"/>
  <c r="M2150" i="3"/>
  <c r="M590" i="3"/>
  <c r="N2513" i="3"/>
  <c r="J2514" i="3" s="1"/>
  <c r="M2513" i="3"/>
  <c r="O2628" i="3"/>
  <c r="M2628" i="3"/>
  <c r="K1668" i="3"/>
  <c r="L1668" i="3" s="1"/>
  <c r="N709" i="3"/>
  <c r="J710" i="3" s="1"/>
  <c r="M709" i="3"/>
  <c r="Q2028" i="3"/>
  <c r="P2028" i="3"/>
  <c r="Q108" i="3"/>
  <c r="P108" i="3"/>
  <c r="K1429" i="3"/>
  <c r="L1429" i="3" s="1"/>
  <c r="L2390" i="3"/>
  <c r="K2390" i="3"/>
  <c r="L1550" i="3"/>
  <c r="K1550" i="3"/>
  <c r="O2028" i="3"/>
  <c r="N108" i="3"/>
  <c r="J109" i="3" s="1"/>
  <c r="S831" i="3"/>
  <c r="R831" i="3"/>
  <c r="S2512" i="3"/>
  <c r="R2512" i="3"/>
  <c r="S952" i="3"/>
  <c r="R952" i="3"/>
  <c r="Q1912" i="3"/>
  <c r="P1912" i="3"/>
  <c r="N1069" i="3"/>
  <c r="J1070" i="3" s="1"/>
  <c r="S1307" i="3"/>
  <c r="R1307" i="3"/>
  <c r="K2029" i="3"/>
  <c r="L2029" i="3"/>
  <c r="Q1667" i="3"/>
  <c r="P1667" i="3"/>
  <c r="S589" i="3"/>
  <c r="R589" i="3"/>
  <c r="T132" i="1"/>
  <c r="S132" i="1"/>
  <c r="N1912" i="3"/>
  <c r="J1913" i="3" s="1"/>
  <c r="Q1190" i="3"/>
  <c r="P1190" i="3"/>
  <c r="Q350" i="3"/>
  <c r="P350" i="3"/>
  <c r="O1667" i="3"/>
  <c r="O1912" i="3"/>
  <c r="O1190" i="3"/>
  <c r="M1308" i="3"/>
  <c r="N1308" i="3" s="1"/>
  <c r="J1309" i="3" s="1"/>
  <c r="N350" i="3"/>
  <c r="J351" i="3" s="1"/>
  <c r="Q232" i="3"/>
  <c r="P232" i="3"/>
  <c r="Q1069" i="3"/>
  <c r="P1069" i="3"/>
  <c r="K1789" i="3"/>
  <c r="L1789" i="3" s="1"/>
  <c r="K953" i="3"/>
  <c r="L953" i="3" s="1"/>
  <c r="S2272" i="3"/>
  <c r="R2272" i="3"/>
  <c r="Q132" i="1"/>
  <c r="M133" i="1" s="1"/>
  <c r="N1190" i="3"/>
  <c r="J1191" i="3" s="1"/>
  <c r="O350" i="3"/>
  <c r="O232" i="3"/>
  <c r="N2273" i="3"/>
  <c r="J2274" i="3" s="1"/>
  <c r="O2273" i="3"/>
  <c r="M2273" i="3"/>
  <c r="S2149" i="3"/>
  <c r="R2149" i="3"/>
  <c r="S1788" i="3"/>
  <c r="R1788" i="3"/>
  <c r="Q1428" i="3"/>
  <c r="P1428" i="3"/>
  <c r="Q2389" i="3"/>
  <c r="P2389" i="3"/>
  <c r="Q1549" i="3"/>
  <c r="P1549" i="3"/>
  <c r="N232" i="3"/>
  <c r="J233" i="3" s="1"/>
  <c r="M1429" i="3" l="1"/>
  <c r="M1668" i="3"/>
  <c r="N1668" i="3" s="1"/>
  <c r="J1669" i="3" s="1"/>
  <c r="K1309" i="3"/>
  <c r="L1309" i="3" s="1"/>
  <c r="M953" i="3"/>
  <c r="M1789" i="3"/>
  <c r="O1789" i="3" s="1"/>
  <c r="S2028" i="3"/>
  <c r="R2028" i="3"/>
  <c r="K2274" i="3"/>
  <c r="L2274" i="3" s="1"/>
  <c r="K351" i="3"/>
  <c r="L351" i="3" s="1"/>
  <c r="S350" i="3"/>
  <c r="R350" i="3"/>
  <c r="K1070" i="3"/>
  <c r="L1070" i="3" s="1"/>
  <c r="Q709" i="3"/>
  <c r="P709" i="3"/>
  <c r="Q2513" i="3"/>
  <c r="P2513" i="3"/>
  <c r="S1190" i="3"/>
  <c r="R1190" i="3"/>
  <c r="S1667" i="3"/>
  <c r="R1667" i="3"/>
  <c r="S1912" i="3"/>
  <c r="R1912" i="3"/>
  <c r="O709" i="3"/>
  <c r="O2513" i="3"/>
  <c r="Q471" i="3"/>
  <c r="P471" i="3"/>
  <c r="S1428" i="3"/>
  <c r="R1428" i="3"/>
  <c r="K710" i="3"/>
  <c r="L710" i="3" s="1"/>
  <c r="O1308" i="3"/>
  <c r="K1191" i="3"/>
  <c r="L1191" i="3"/>
  <c r="M2029" i="3"/>
  <c r="O2029" i="3" s="1"/>
  <c r="Q590" i="3"/>
  <c r="P590" i="3"/>
  <c r="N471" i="3"/>
  <c r="J472" i="3" s="1"/>
  <c r="K2151" i="3"/>
  <c r="L2151" i="3" s="1"/>
  <c r="K1913" i="3"/>
  <c r="L1913" i="3" s="1"/>
  <c r="O133" i="1"/>
  <c r="N133" i="1"/>
  <c r="L109" i="3"/>
  <c r="K109" i="3"/>
  <c r="N590" i="3"/>
  <c r="J591" i="3" s="1"/>
  <c r="Q832" i="3"/>
  <c r="P832" i="3"/>
  <c r="N2390" i="3"/>
  <c r="J2391" i="3" s="1"/>
  <c r="M2390" i="3"/>
  <c r="S1549" i="3"/>
  <c r="R1549" i="3"/>
  <c r="S1069" i="3"/>
  <c r="R1069" i="3"/>
  <c r="V132" i="1"/>
  <c r="U132" i="1"/>
  <c r="S108" i="3"/>
  <c r="R108" i="3"/>
  <c r="Q2628" i="3"/>
  <c r="P2628" i="3"/>
  <c r="O590" i="3"/>
  <c r="N832" i="3"/>
  <c r="J833" i="3" s="1"/>
  <c r="S232" i="3"/>
  <c r="R232" i="3"/>
  <c r="M1550" i="3"/>
  <c r="K233" i="3"/>
  <c r="L233" i="3" s="1"/>
  <c r="Q1308" i="3"/>
  <c r="P1308" i="3"/>
  <c r="K2514" i="3"/>
  <c r="L2514" i="3" s="1"/>
  <c r="S2389" i="3"/>
  <c r="R2389" i="3"/>
  <c r="Q2273" i="3"/>
  <c r="P2273" i="3"/>
  <c r="N2628" i="3"/>
  <c r="J2629" i="3" s="1"/>
  <c r="Q2150" i="3"/>
  <c r="P2150" i="3"/>
  <c r="O832" i="3"/>
  <c r="M233" i="3" l="1"/>
  <c r="M2274" i="3"/>
  <c r="N2274" i="3" s="1"/>
  <c r="J2275" i="3" s="1"/>
  <c r="N1913" i="3"/>
  <c r="J1914" i="3" s="1"/>
  <c r="O1913" i="3"/>
  <c r="M1913" i="3"/>
  <c r="M1309" i="3"/>
  <c r="O2151" i="3"/>
  <c r="N2151" i="3"/>
  <c r="J2152" i="3" s="1"/>
  <c r="M2151" i="3"/>
  <c r="N1070" i="3"/>
  <c r="J1071" i="3" s="1"/>
  <c r="M1070" i="3"/>
  <c r="K1669" i="3"/>
  <c r="L1669" i="3" s="1"/>
  <c r="O710" i="3"/>
  <c r="N710" i="3"/>
  <c r="J711" i="3" s="1"/>
  <c r="M710" i="3"/>
  <c r="O2514" i="3"/>
  <c r="M2514" i="3"/>
  <c r="M351" i="3"/>
  <c r="S2273" i="3"/>
  <c r="R2273" i="3"/>
  <c r="K833" i="3"/>
  <c r="L833" i="3" s="1"/>
  <c r="Q2390" i="3"/>
  <c r="P2390" i="3"/>
  <c r="S590" i="3"/>
  <c r="R590" i="3"/>
  <c r="R133" i="1"/>
  <c r="P133" i="1"/>
  <c r="Q1550" i="3"/>
  <c r="P1550" i="3"/>
  <c r="O2390" i="3"/>
  <c r="N2029" i="3"/>
  <c r="J2030" i="3" s="1"/>
  <c r="S2513" i="3"/>
  <c r="R2513" i="3"/>
  <c r="N1789" i="3"/>
  <c r="J1790" i="3" s="1"/>
  <c r="Q1668" i="3"/>
  <c r="P1668" i="3"/>
  <c r="N1550" i="3"/>
  <c r="J1551" i="3" s="1"/>
  <c r="S2628" i="3"/>
  <c r="R2628" i="3"/>
  <c r="O1668" i="3"/>
  <c r="Q2029" i="3"/>
  <c r="P2029" i="3"/>
  <c r="Q1789" i="3"/>
  <c r="P1789" i="3"/>
  <c r="O1550" i="3"/>
  <c r="S832" i="3"/>
  <c r="R832" i="3"/>
  <c r="M1191" i="3"/>
  <c r="S709" i="3"/>
  <c r="R709" i="3"/>
  <c r="Q953" i="3"/>
  <c r="P953" i="3"/>
  <c r="Q1429" i="3"/>
  <c r="P1429" i="3"/>
  <c r="S1308" i="3"/>
  <c r="R1308" i="3"/>
  <c r="K591" i="3"/>
  <c r="L591" i="3" s="1"/>
  <c r="S471" i="3"/>
  <c r="R471" i="3"/>
  <c r="O953" i="3"/>
  <c r="O1429" i="3"/>
  <c r="M109" i="3"/>
  <c r="N109" i="3" s="1"/>
  <c r="J110" i="3" s="1"/>
  <c r="K2391" i="3"/>
  <c r="L2391" i="3" s="1"/>
  <c r="S2150" i="3"/>
  <c r="R2150" i="3"/>
  <c r="L2629" i="3"/>
  <c r="K2629" i="3"/>
  <c r="L472" i="3"/>
  <c r="K472" i="3"/>
  <c r="N953" i="3"/>
  <c r="J954" i="3" s="1"/>
  <c r="N1429" i="3"/>
  <c r="J1430" i="3" s="1"/>
  <c r="M2391" i="3" l="1"/>
  <c r="M833" i="3"/>
  <c r="N833" i="3" s="1"/>
  <c r="J834" i="3" s="1"/>
  <c r="K2275" i="3"/>
  <c r="L2275" i="3"/>
  <c r="K110" i="3"/>
  <c r="L110" i="3" s="1"/>
  <c r="M1669" i="3"/>
  <c r="M591" i="3"/>
  <c r="N591" i="3" s="1"/>
  <c r="J592" i="3" s="1"/>
  <c r="K1071" i="3"/>
  <c r="L1071" i="3"/>
  <c r="Q710" i="3"/>
  <c r="P710" i="3"/>
  <c r="Q2151" i="3"/>
  <c r="P2151" i="3"/>
  <c r="K1914" i="3"/>
  <c r="L1914" i="3"/>
  <c r="Q109" i="3"/>
  <c r="P109" i="3"/>
  <c r="M2629" i="3"/>
  <c r="O109" i="3"/>
  <c r="K1551" i="3"/>
  <c r="L1551" i="3" s="1"/>
  <c r="Q351" i="3"/>
  <c r="P351" i="3"/>
  <c r="O2274" i="3"/>
  <c r="K711" i="3"/>
  <c r="L711" i="3" s="1"/>
  <c r="Q1191" i="3"/>
  <c r="P1191" i="3"/>
  <c r="S1789" i="3"/>
  <c r="R1789" i="3"/>
  <c r="N351" i="3"/>
  <c r="J352" i="3" s="1"/>
  <c r="Q1309" i="3"/>
  <c r="P1309" i="3"/>
  <c r="S953" i="3"/>
  <c r="R953" i="3"/>
  <c r="K2152" i="3"/>
  <c r="L2152" i="3" s="1"/>
  <c r="K1430" i="3"/>
  <c r="L1430" i="3"/>
  <c r="N1191" i="3"/>
  <c r="J1192" i="3" s="1"/>
  <c r="S1668" i="3"/>
  <c r="R1668" i="3"/>
  <c r="S1550" i="3"/>
  <c r="R1550" i="3"/>
  <c r="S2390" i="3"/>
  <c r="R2390" i="3"/>
  <c r="O351" i="3"/>
  <c r="N1309" i="3"/>
  <c r="J1310" i="3" s="1"/>
  <c r="Q233" i="3"/>
  <c r="P233" i="3"/>
  <c r="M472" i="3"/>
  <c r="N472" i="3" s="1"/>
  <c r="J473" i="3" s="1"/>
  <c r="K2030" i="3"/>
  <c r="L2030" i="3" s="1"/>
  <c r="L954" i="3"/>
  <c r="K954" i="3"/>
  <c r="S1429" i="3"/>
  <c r="R1429" i="3"/>
  <c r="O1191" i="3"/>
  <c r="S2029" i="3"/>
  <c r="R2029" i="3"/>
  <c r="L1790" i="3"/>
  <c r="K1790" i="3"/>
  <c r="T133" i="1"/>
  <c r="S133" i="1"/>
  <c r="Q2514" i="3"/>
  <c r="P2514" i="3"/>
  <c r="Q1070" i="3"/>
  <c r="P1070" i="3"/>
  <c r="O1309" i="3"/>
  <c r="O233" i="3"/>
  <c r="Q2274" i="3"/>
  <c r="P2274" i="3"/>
  <c r="Q133" i="1"/>
  <c r="M134" i="1" s="1"/>
  <c r="N2514" i="3"/>
  <c r="J2515" i="3" s="1"/>
  <c r="O1070" i="3"/>
  <c r="Q1913" i="3"/>
  <c r="P1913" i="3"/>
  <c r="N233" i="3"/>
  <c r="J234" i="3" s="1"/>
  <c r="K473" i="3" l="1"/>
  <c r="L473" i="3"/>
  <c r="M110" i="3"/>
  <c r="M711" i="3"/>
  <c r="O711" i="3" s="1"/>
  <c r="K834" i="3"/>
  <c r="L834" i="3"/>
  <c r="K592" i="3"/>
  <c r="L592" i="3" s="1"/>
  <c r="O1551" i="3"/>
  <c r="N1551" i="3"/>
  <c r="J1552" i="3" s="1"/>
  <c r="M1551" i="3"/>
  <c r="N2152" i="3"/>
  <c r="J2153" i="3" s="1"/>
  <c r="M2152" i="3"/>
  <c r="M2030" i="3"/>
  <c r="M2275" i="3"/>
  <c r="O2275" i="3" s="1"/>
  <c r="K2515" i="3"/>
  <c r="L2515" i="3" s="1"/>
  <c r="S1070" i="3"/>
  <c r="R1070" i="3"/>
  <c r="M954" i="3"/>
  <c r="O954" i="3" s="1"/>
  <c r="K1192" i="3"/>
  <c r="L1192" i="3" s="1"/>
  <c r="Q2629" i="3"/>
  <c r="P2629" i="3"/>
  <c r="S2151" i="3"/>
  <c r="R2151" i="3"/>
  <c r="Q1669" i="3"/>
  <c r="P1669" i="3"/>
  <c r="O833" i="3"/>
  <c r="O472" i="3"/>
  <c r="M1430" i="3"/>
  <c r="S1309" i="3"/>
  <c r="R1309" i="3"/>
  <c r="N2629" i="3"/>
  <c r="J2630" i="3" s="1"/>
  <c r="N1669" i="3"/>
  <c r="J1670" i="3" s="1"/>
  <c r="Q591" i="3"/>
  <c r="P591" i="3"/>
  <c r="Q833" i="3"/>
  <c r="P833" i="3"/>
  <c r="S2274" i="3"/>
  <c r="R2274" i="3"/>
  <c r="K352" i="3"/>
  <c r="L352" i="3" s="1"/>
  <c r="O2629" i="3"/>
  <c r="S710" i="3"/>
  <c r="R710" i="3"/>
  <c r="O1669" i="3"/>
  <c r="Q2391" i="3"/>
  <c r="P2391" i="3"/>
  <c r="M1914" i="3"/>
  <c r="S2514" i="3"/>
  <c r="R2514" i="3"/>
  <c r="S1191" i="3"/>
  <c r="R1191" i="3"/>
  <c r="O591" i="3"/>
  <c r="V133" i="1"/>
  <c r="U133" i="1"/>
  <c r="M1071" i="3"/>
  <c r="N1071" i="3" s="1"/>
  <c r="J1072" i="3" s="1"/>
  <c r="O2391" i="3"/>
  <c r="K1310" i="3"/>
  <c r="L1310" i="3" s="1"/>
  <c r="O134" i="1"/>
  <c r="N134" i="1"/>
  <c r="Q472" i="3"/>
  <c r="P472" i="3"/>
  <c r="K234" i="3"/>
  <c r="L234" i="3"/>
  <c r="S1913" i="3"/>
  <c r="R1913" i="3"/>
  <c r="M1790" i="3"/>
  <c r="S233" i="3"/>
  <c r="R233" i="3"/>
  <c r="S351" i="3"/>
  <c r="R351" i="3"/>
  <c r="S109" i="3"/>
  <c r="R109" i="3"/>
  <c r="N2391" i="3"/>
  <c r="J2392" i="3" s="1"/>
  <c r="M352" i="3" l="1"/>
  <c r="K1072" i="3"/>
  <c r="L1072" i="3"/>
  <c r="M1192" i="3"/>
  <c r="N1192" i="3" s="1"/>
  <c r="J1193" i="3" s="1"/>
  <c r="M1310" i="3"/>
  <c r="M2515" i="3"/>
  <c r="N2515" i="3" s="1"/>
  <c r="J2516" i="3" s="1"/>
  <c r="O592" i="3"/>
  <c r="N592" i="3"/>
  <c r="J593" i="3" s="1"/>
  <c r="M592" i="3"/>
  <c r="N954" i="3"/>
  <c r="J955" i="3" s="1"/>
  <c r="N2275" i="3"/>
  <c r="J2276" i="3" s="1"/>
  <c r="Q1551" i="3"/>
  <c r="P1551" i="3"/>
  <c r="K2153" i="3"/>
  <c r="L2153" i="3" s="1"/>
  <c r="Q1914" i="3"/>
  <c r="P1914" i="3"/>
  <c r="Q1430" i="3"/>
  <c r="P1430" i="3"/>
  <c r="N1430" i="3"/>
  <c r="J1431" i="3" s="1"/>
  <c r="Q2030" i="3"/>
  <c r="P2030" i="3"/>
  <c r="Q110" i="3"/>
  <c r="P110" i="3"/>
  <c r="Q711" i="3"/>
  <c r="P711" i="3"/>
  <c r="K2392" i="3"/>
  <c r="L2392" i="3"/>
  <c r="S591" i="3"/>
  <c r="R591" i="3"/>
  <c r="O1430" i="3"/>
  <c r="N2030" i="3"/>
  <c r="J2031" i="3" s="1"/>
  <c r="N110" i="3"/>
  <c r="J111" i="3" s="1"/>
  <c r="Q954" i="3"/>
  <c r="P954" i="3"/>
  <c r="O1914" i="3"/>
  <c r="Q1790" i="3"/>
  <c r="P1790" i="3"/>
  <c r="O1071" i="3"/>
  <c r="K1670" i="3"/>
  <c r="L1670" i="3" s="1"/>
  <c r="S2629" i="3"/>
  <c r="R2629" i="3"/>
  <c r="O2030" i="3"/>
  <c r="O110" i="3"/>
  <c r="Q134" i="1"/>
  <c r="M135" i="1" s="1"/>
  <c r="P134" i="1"/>
  <c r="Q2275" i="3"/>
  <c r="P2275" i="3"/>
  <c r="S833" i="3"/>
  <c r="R833" i="3"/>
  <c r="N711" i="3"/>
  <c r="J712" i="3" s="1"/>
  <c r="N1914" i="3"/>
  <c r="J1915" i="3" s="1"/>
  <c r="N1790" i="3"/>
  <c r="J1791" i="3" s="1"/>
  <c r="S472" i="3"/>
  <c r="R472" i="3"/>
  <c r="S2391" i="3"/>
  <c r="R2391" i="3"/>
  <c r="K2630" i="3"/>
  <c r="L2630" i="3" s="1"/>
  <c r="Q2152" i="3"/>
  <c r="P2152" i="3"/>
  <c r="M834" i="3"/>
  <c r="N473" i="3"/>
  <c r="J474" i="3" s="1"/>
  <c r="M473" i="3"/>
  <c r="S1669" i="3"/>
  <c r="R1669" i="3"/>
  <c r="K1552" i="3"/>
  <c r="L1552" i="3" s="1"/>
  <c r="N234" i="3"/>
  <c r="J235" i="3" s="1"/>
  <c r="M234" i="3"/>
  <c r="Q1071" i="3"/>
  <c r="P1071" i="3"/>
  <c r="O1790" i="3"/>
  <c r="O2152" i="3"/>
  <c r="M2153" i="3" l="1"/>
  <c r="M1670" i="3"/>
  <c r="K1193" i="3"/>
  <c r="L1193" i="3"/>
  <c r="K2516" i="3"/>
  <c r="L2516" i="3"/>
  <c r="M1552" i="3"/>
  <c r="M2630" i="3"/>
  <c r="K235" i="3"/>
  <c r="L235" i="3"/>
  <c r="K593" i="3"/>
  <c r="L593" i="3" s="1"/>
  <c r="Q834" i="3"/>
  <c r="P834" i="3"/>
  <c r="S110" i="3"/>
  <c r="R110" i="3"/>
  <c r="O1192" i="3"/>
  <c r="S2030" i="3"/>
  <c r="R2030" i="3"/>
  <c r="O2515" i="3"/>
  <c r="O1072" i="3"/>
  <c r="N1072" i="3"/>
  <c r="J1073" i="3" s="1"/>
  <c r="M1072" i="3"/>
  <c r="K712" i="3"/>
  <c r="L712" i="3"/>
  <c r="N2392" i="3"/>
  <c r="J2393" i="3" s="1"/>
  <c r="M2392" i="3"/>
  <c r="K1431" i="3"/>
  <c r="L1431" i="3" s="1"/>
  <c r="S1551" i="3"/>
  <c r="R1551" i="3"/>
  <c r="N135" i="1"/>
  <c r="O135" i="1" s="1"/>
  <c r="Q1192" i="3"/>
  <c r="P1192" i="3"/>
  <c r="N834" i="3"/>
  <c r="J835" i="3" s="1"/>
  <c r="Q2515" i="3"/>
  <c r="P2515" i="3"/>
  <c r="S2152" i="3"/>
  <c r="R2152" i="3"/>
  <c r="S2275" i="3"/>
  <c r="R2275" i="3"/>
  <c r="S954" i="3"/>
  <c r="R954" i="3"/>
  <c r="K2276" i="3"/>
  <c r="L2276" i="3" s="1"/>
  <c r="Q1310" i="3"/>
  <c r="P1310" i="3"/>
  <c r="Q352" i="3"/>
  <c r="P352" i="3"/>
  <c r="K1791" i="3"/>
  <c r="L1791" i="3"/>
  <c r="T134" i="1"/>
  <c r="S134" i="1"/>
  <c r="K111" i="3"/>
  <c r="L111" i="3" s="1"/>
  <c r="S1430" i="3"/>
  <c r="R1430" i="3"/>
  <c r="K955" i="3"/>
  <c r="L955" i="3" s="1"/>
  <c r="N1310" i="3"/>
  <c r="J1311" i="3" s="1"/>
  <c r="O352" i="3"/>
  <c r="K474" i="3"/>
  <c r="L474" i="3" s="1"/>
  <c r="S1914" i="3"/>
  <c r="R1914" i="3"/>
  <c r="S1790" i="3"/>
  <c r="R1790" i="3"/>
  <c r="O834" i="3"/>
  <c r="S1071" i="3"/>
  <c r="R1071" i="3"/>
  <c r="Q234" i="3"/>
  <c r="P234" i="3"/>
  <c r="Q473" i="3"/>
  <c r="P473" i="3"/>
  <c r="O234" i="3"/>
  <c r="O473" i="3"/>
  <c r="K1915" i="3"/>
  <c r="L1915" i="3" s="1"/>
  <c r="R134" i="1"/>
  <c r="K2031" i="3"/>
  <c r="L2031" i="3" s="1"/>
  <c r="S711" i="3"/>
  <c r="R711" i="3"/>
  <c r="Q592" i="3"/>
  <c r="P592" i="3"/>
  <c r="O1310" i="3"/>
  <c r="N352" i="3"/>
  <c r="J353" i="3" s="1"/>
  <c r="P135" i="1" l="1"/>
  <c r="M593" i="3"/>
  <c r="O955" i="3"/>
  <c r="N955" i="3"/>
  <c r="J956" i="3" s="1"/>
  <c r="M955" i="3"/>
  <c r="M2276" i="3"/>
  <c r="O1915" i="3"/>
  <c r="N1915" i="3"/>
  <c r="J1916" i="3" s="1"/>
  <c r="M1915" i="3"/>
  <c r="O111" i="3"/>
  <c r="M111" i="3"/>
  <c r="M1431" i="3"/>
  <c r="M2031" i="3"/>
  <c r="N2031" i="3" s="1"/>
  <c r="J2032" i="3" s="1"/>
  <c r="M474" i="3"/>
  <c r="N474" i="3" s="1"/>
  <c r="J475" i="3" s="1"/>
  <c r="S352" i="3"/>
  <c r="R352" i="3"/>
  <c r="Q2630" i="3"/>
  <c r="P2630" i="3"/>
  <c r="N2630" i="3"/>
  <c r="J2631" i="3" s="1"/>
  <c r="S1310" i="3"/>
  <c r="R1310" i="3"/>
  <c r="S1192" i="3"/>
  <c r="R1192" i="3"/>
  <c r="Q2392" i="3"/>
  <c r="P2392" i="3"/>
  <c r="O2630" i="3"/>
  <c r="Q1670" i="3"/>
  <c r="P1670" i="3"/>
  <c r="K1073" i="3"/>
  <c r="L1073" i="3" s="1"/>
  <c r="K2393" i="3"/>
  <c r="L2393" i="3" s="1"/>
  <c r="S834" i="3"/>
  <c r="R834" i="3"/>
  <c r="Q1552" i="3"/>
  <c r="P1552" i="3"/>
  <c r="N1670" i="3"/>
  <c r="J1671" i="3" s="1"/>
  <c r="O1193" i="3"/>
  <c r="N1193" i="3"/>
  <c r="J1194" i="3" s="1"/>
  <c r="M1193" i="3"/>
  <c r="K1311" i="3"/>
  <c r="L1311" i="3" s="1"/>
  <c r="V134" i="1"/>
  <c r="U134" i="1"/>
  <c r="O2392" i="3"/>
  <c r="O1552" i="3"/>
  <c r="O1670" i="3"/>
  <c r="S473" i="3"/>
  <c r="R473" i="3"/>
  <c r="M1791" i="3"/>
  <c r="N1791" i="3" s="1"/>
  <c r="J1792" i="3" s="1"/>
  <c r="M712" i="3"/>
  <c r="N712" i="3" s="1"/>
  <c r="J713" i="3" s="1"/>
  <c r="N1552" i="3"/>
  <c r="J1553" i="3" s="1"/>
  <c r="P2153" i="3"/>
  <c r="Q2153" i="3"/>
  <c r="K835" i="3"/>
  <c r="L835" i="3" s="1"/>
  <c r="K353" i="3"/>
  <c r="L353" i="3" s="1"/>
  <c r="S234" i="3"/>
  <c r="R234" i="3"/>
  <c r="M235" i="3"/>
  <c r="O235" i="3" s="1"/>
  <c r="M2516" i="3"/>
  <c r="N2516" i="3" s="1"/>
  <c r="J2517" i="3" s="1"/>
  <c r="N2153" i="3"/>
  <c r="J2154" i="3" s="1"/>
  <c r="S592" i="3"/>
  <c r="R592" i="3"/>
  <c r="S2515" i="3"/>
  <c r="R2515" i="3"/>
  <c r="Q1072" i="3"/>
  <c r="P1072" i="3"/>
  <c r="O2153" i="3"/>
  <c r="K1792" i="3" l="1"/>
  <c r="L1792" i="3"/>
  <c r="K475" i="3"/>
  <c r="L475" i="3" s="1"/>
  <c r="M835" i="3"/>
  <c r="O1311" i="3"/>
  <c r="M1311" i="3"/>
  <c r="M1073" i="3"/>
  <c r="K713" i="3"/>
  <c r="L713" i="3" s="1"/>
  <c r="O2393" i="3"/>
  <c r="M2393" i="3"/>
  <c r="M353" i="3"/>
  <c r="K2032" i="3"/>
  <c r="L2032" i="3" s="1"/>
  <c r="L2517" i="3"/>
  <c r="K2517" i="3"/>
  <c r="S2630" i="3"/>
  <c r="R2630" i="3"/>
  <c r="O2031" i="3"/>
  <c r="Q1915" i="3"/>
  <c r="P1915" i="3"/>
  <c r="S2392" i="3"/>
  <c r="R2392" i="3"/>
  <c r="K1916" i="3"/>
  <c r="L1916" i="3" s="1"/>
  <c r="Q593" i="3"/>
  <c r="P593" i="3"/>
  <c r="Q235" i="3"/>
  <c r="P235" i="3"/>
  <c r="Q1791" i="3"/>
  <c r="P1791" i="3"/>
  <c r="O1791" i="3"/>
  <c r="Q1431" i="3"/>
  <c r="P1431" i="3"/>
  <c r="N593" i="3"/>
  <c r="J594" i="3" s="1"/>
  <c r="K956" i="3"/>
  <c r="L956" i="3" s="1"/>
  <c r="S2153" i="3"/>
  <c r="R2153" i="3"/>
  <c r="K2154" i="3"/>
  <c r="L2154" i="3" s="1"/>
  <c r="S1552" i="3"/>
  <c r="R1552" i="3"/>
  <c r="N1431" i="3"/>
  <c r="J1432" i="3" s="1"/>
  <c r="P2276" i="3"/>
  <c r="Q2276" i="3"/>
  <c r="O593" i="3"/>
  <c r="Q2031" i="3"/>
  <c r="P2031" i="3"/>
  <c r="S1072" i="3"/>
  <c r="R1072" i="3"/>
  <c r="S1670" i="3"/>
  <c r="R1670" i="3"/>
  <c r="O1431" i="3"/>
  <c r="N2276" i="3"/>
  <c r="J2277" i="3" s="1"/>
  <c r="T135" i="1"/>
  <c r="S135" i="1"/>
  <c r="N235" i="3"/>
  <c r="J236" i="3" s="1"/>
  <c r="K1671" i="3"/>
  <c r="L1671" i="3" s="1"/>
  <c r="Q474" i="3"/>
  <c r="P474" i="3"/>
  <c r="Q111" i="3"/>
  <c r="P111" i="3"/>
  <c r="O2276" i="3"/>
  <c r="R135" i="1"/>
  <c r="K1194" i="3"/>
  <c r="L1194" i="3" s="1"/>
  <c r="K1553" i="3"/>
  <c r="L1553" i="3"/>
  <c r="Q2516" i="3"/>
  <c r="P2516" i="3"/>
  <c r="Q712" i="3"/>
  <c r="P712" i="3"/>
  <c r="O2516" i="3"/>
  <c r="O712" i="3"/>
  <c r="Q1193" i="3"/>
  <c r="P1193" i="3"/>
  <c r="K2631" i="3"/>
  <c r="L2631" i="3" s="1"/>
  <c r="O474" i="3"/>
  <c r="N111" i="3"/>
  <c r="J112" i="3" s="1"/>
  <c r="Q955" i="3"/>
  <c r="P955" i="3"/>
  <c r="Q135" i="1"/>
  <c r="M136" i="1" s="1"/>
  <c r="M2631" i="3" l="1"/>
  <c r="M1194" i="3"/>
  <c r="O475" i="3"/>
  <c r="N475" i="3"/>
  <c r="J476" i="3" s="1"/>
  <c r="M475" i="3"/>
  <c r="M713" i="3"/>
  <c r="M1671" i="3"/>
  <c r="O2154" i="3"/>
  <c r="M2154" i="3"/>
  <c r="M1916" i="3"/>
  <c r="M2032" i="3"/>
  <c r="M956" i="3"/>
  <c r="M2517" i="3"/>
  <c r="S235" i="3"/>
  <c r="R235" i="3"/>
  <c r="Q835" i="3"/>
  <c r="P835" i="3"/>
  <c r="S712" i="3"/>
  <c r="R712" i="3"/>
  <c r="S2516" i="3"/>
  <c r="R2516" i="3"/>
  <c r="M1553" i="3"/>
  <c r="K2277" i="3"/>
  <c r="L2277" i="3" s="1"/>
  <c r="K594" i="3"/>
  <c r="L594" i="3" s="1"/>
  <c r="S1915" i="3"/>
  <c r="R1915" i="3"/>
  <c r="N835" i="3"/>
  <c r="J836" i="3" s="1"/>
  <c r="V135" i="1"/>
  <c r="U135" i="1"/>
  <c r="S474" i="3"/>
  <c r="R474" i="3"/>
  <c r="S593" i="3"/>
  <c r="R593" i="3"/>
  <c r="Q353" i="3"/>
  <c r="P353" i="3"/>
  <c r="Q1073" i="3"/>
  <c r="P1073" i="3"/>
  <c r="O835" i="3"/>
  <c r="K112" i="3"/>
  <c r="L112" i="3" s="1"/>
  <c r="S111" i="3"/>
  <c r="R111" i="3"/>
  <c r="S2031" i="3"/>
  <c r="R2031" i="3"/>
  <c r="O353" i="3"/>
  <c r="N1073" i="3"/>
  <c r="J1074" i="3" s="1"/>
  <c r="N136" i="1"/>
  <c r="O136" i="1" s="1"/>
  <c r="S1193" i="3"/>
  <c r="R1193" i="3"/>
  <c r="S1431" i="3"/>
  <c r="R1431" i="3"/>
  <c r="S955" i="3"/>
  <c r="R955" i="3"/>
  <c r="S2276" i="3"/>
  <c r="R2276" i="3"/>
  <c r="N353" i="3"/>
  <c r="J354" i="3" s="1"/>
  <c r="O1073" i="3"/>
  <c r="K236" i="3"/>
  <c r="L236" i="3" s="1"/>
  <c r="Q2393" i="3"/>
  <c r="P2393" i="3"/>
  <c r="Q1311" i="3"/>
  <c r="P1311" i="3"/>
  <c r="M1792" i="3"/>
  <c r="K1432" i="3"/>
  <c r="L1432" i="3" s="1"/>
  <c r="S1791" i="3"/>
  <c r="R1791" i="3"/>
  <c r="N2393" i="3"/>
  <c r="J2394" i="3" s="1"/>
  <c r="N1311" i="3"/>
  <c r="J1312" i="3" s="1"/>
  <c r="M112" i="3" l="1"/>
  <c r="M594" i="3"/>
  <c r="R136" i="1"/>
  <c r="Q136" i="1"/>
  <c r="M137" i="1" s="1"/>
  <c r="P136" i="1"/>
  <c r="M1432" i="3"/>
  <c r="M2277" i="3"/>
  <c r="O236" i="3"/>
  <c r="M236" i="3"/>
  <c r="Q2032" i="3"/>
  <c r="P2032" i="3"/>
  <c r="S353" i="3"/>
  <c r="R353" i="3"/>
  <c r="N2032" i="3"/>
  <c r="J2033" i="3" s="1"/>
  <c r="Q1671" i="3"/>
  <c r="P1671" i="3"/>
  <c r="Q2517" i="3"/>
  <c r="P2517" i="3"/>
  <c r="O2032" i="3"/>
  <c r="N1671" i="3"/>
  <c r="J1672" i="3" s="1"/>
  <c r="Q1194" i="3"/>
  <c r="P1194" i="3"/>
  <c r="S2393" i="3"/>
  <c r="R2393" i="3"/>
  <c r="N2517" i="3"/>
  <c r="J2518" i="3" s="1"/>
  <c r="Q1916" i="3"/>
  <c r="P1916" i="3"/>
  <c r="O1671" i="3"/>
  <c r="N1194" i="3"/>
  <c r="J1195" i="3" s="1"/>
  <c r="K476" i="3"/>
  <c r="L476" i="3" s="1"/>
  <c r="Q1792" i="3"/>
  <c r="P1792" i="3"/>
  <c r="K2394" i="3"/>
  <c r="L2394" i="3" s="1"/>
  <c r="N1792" i="3"/>
  <c r="J1793" i="3" s="1"/>
  <c r="K354" i="3"/>
  <c r="L354" i="3" s="1"/>
  <c r="K836" i="3"/>
  <c r="L836" i="3" s="1"/>
  <c r="Q1553" i="3"/>
  <c r="P1553" i="3"/>
  <c r="O2517" i="3"/>
  <c r="N1916" i="3"/>
  <c r="J1917" i="3" s="1"/>
  <c r="Q713" i="3"/>
  <c r="P713" i="3"/>
  <c r="O1194" i="3"/>
  <c r="K1312" i="3"/>
  <c r="L1312" i="3" s="1"/>
  <c r="O1792" i="3"/>
  <c r="N1553" i="3"/>
  <c r="J1554" i="3" s="1"/>
  <c r="Q956" i="3"/>
  <c r="P956" i="3"/>
  <c r="O1916" i="3"/>
  <c r="O713" i="3"/>
  <c r="Q2631" i="3"/>
  <c r="P2631" i="3"/>
  <c r="S1311" i="3"/>
  <c r="R1311" i="3"/>
  <c r="O1553" i="3"/>
  <c r="S835" i="3"/>
  <c r="R835" i="3"/>
  <c r="N956" i="3"/>
  <c r="J957" i="3" s="1"/>
  <c r="Q2154" i="3"/>
  <c r="P2154" i="3"/>
  <c r="N713" i="3"/>
  <c r="J714" i="3" s="1"/>
  <c r="N2631" i="3"/>
  <c r="J2632" i="3" s="1"/>
  <c r="K1074" i="3"/>
  <c r="L1074" i="3" s="1"/>
  <c r="S1073" i="3"/>
  <c r="R1073" i="3"/>
  <c r="O956" i="3"/>
  <c r="N2154" i="3"/>
  <c r="J2155" i="3" s="1"/>
  <c r="Q475" i="3"/>
  <c r="P475" i="3"/>
  <c r="O2631" i="3"/>
  <c r="M476" i="3" l="1"/>
  <c r="M354" i="3"/>
  <c r="O1074" i="3"/>
  <c r="N1074" i="3"/>
  <c r="J1075" i="3" s="1"/>
  <c r="M1074" i="3"/>
  <c r="M1312" i="3"/>
  <c r="M836" i="3"/>
  <c r="O2394" i="3"/>
  <c r="M2394" i="3"/>
  <c r="Q2277" i="3"/>
  <c r="P2277" i="3"/>
  <c r="K2632" i="3"/>
  <c r="L2632" i="3" s="1"/>
  <c r="K1195" i="3"/>
  <c r="L1195" i="3" s="1"/>
  <c r="S956" i="3"/>
  <c r="R956" i="3"/>
  <c r="K1672" i="3"/>
  <c r="L1672" i="3" s="1"/>
  <c r="N2277" i="3"/>
  <c r="J2278" i="3" s="1"/>
  <c r="Q594" i="3"/>
  <c r="P594" i="3"/>
  <c r="S713" i="3"/>
  <c r="R713" i="3"/>
  <c r="K2155" i="3"/>
  <c r="L2155" i="3" s="1"/>
  <c r="S1916" i="3"/>
  <c r="R1916" i="3"/>
  <c r="O2277" i="3"/>
  <c r="O594" i="3"/>
  <c r="K1793" i="3"/>
  <c r="L1793" i="3" s="1"/>
  <c r="K957" i="3"/>
  <c r="L957" i="3" s="1"/>
  <c r="S1553" i="3"/>
  <c r="R1553" i="3"/>
  <c r="K2518" i="3"/>
  <c r="L2518" i="3" s="1"/>
  <c r="Q1432" i="3"/>
  <c r="P1432" i="3"/>
  <c r="N594" i="3"/>
  <c r="J595" i="3" s="1"/>
  <c r="N137" i="1"/>
  <c r="O137" i="1"/>
  <c r="S1194" i="3"/>
  <c r="R1194" i="3"/>
  <c r="S1792" i="3"/>
  <c r="R1792" i="3"/>
  <c r="S2517" i="3"/>
  <c r="R2517" i="3"/>
  <c r="S2032" i="3"/>
  <c r="R2032" i="3"/>
  <c r="N1432" i="3"/>
  <c r="J1433" i="3" s="1"/>
  <c r="Q112" i="3"/>
  <c r="P112" i="3"/>
  <c r="L2033" i="3"/>
  <c r="K2033" i="3"/>
  <c r="K714" i="3"/>
  <c r="L714" i="3"/>
  <c r="K1554" i="3"/>
  <c r="L1554" i="3" s="1"/>
  <c r="Q236" i="3"/>
  <c r="P236" i="3"/>
  <c r="O1432" i="3"/>
  <c r="O112" i="3"/>
  <c r="S475" i="3"/>
  <c r="R475" i="3"/>
  <c r="K1917" i="3"/>
  <c r="L1917" i="3" s="1"/>
  <c r="S2154" i="3"/>
  <c r="R2154" i="3"/>
  <c r="S2631" i="3"/>
  <c r="R2631" i="3"/>
  <c r="S1671" i="3"/>
  <c r="R1671" i="3"/>
  <c r="N236" i="3"/>
  <c r="J237" i="3" s="1"/>
  <c r="T136" i="1"/>
  <c r="S136" i="1"/>
  <c r="N112" i="3"/>
  <c r="J113" i="3" s="1"/>
  <c r="M1554" i="3" l="1"/>
  <c r="M1672" i="3"/>
  <c r="O2155" i="3"/>
  <c r="N2155" i="3"/>
  <c r="J2156" i="3" s="1"/>
  <c r="M2155" i="3"/>
  <c r="M957" i="3"/>
  <c r="M1917" i="3"/>
  <c r="O2518" i="3"/>
  <c r="M2518" i="3"/>
  <c r="M1195" i="3"/>
  <c r="M2632" i="3"/>
  <c r="M1793" i="3"/>
  <c r="K237" i="3"/>
  <c r="L237" i="3" s="1"/>
  <c r="S594" i="3"/>
  <c r="R594" i="3"/>
  <c r="Q836" i="3"/>
  <c r="P836" i="3"/>
  <c r="M2033" i="3"/>
  <c r="K1075" i="3"/>
  <c r="L1075" i="3" s="1"/>
  <c r="S112" i="3"/>
  <c r="R112" i="3"/>
  <c r="K595" i="3"/>
  <c r="L595" i="3"/>
  <c r="K2278" i="3"/>
  <c r="L2278" i="3" s="1"/>
  <c r="N836" i="3"/>
  <c r="J837" i="3" s="1"/>
  <c r="Q354" i="3"/>
  <c r="P354" i="3"/>
  <c r="K1433" i="3"/>
  <c r="L1433" i="3" s="1"/>
  <c r="O836" i="3"/>
  <c r="O354" i="3"/>
  <c r="P137" i="1"/>
  <c r="R137" i="1" s="1"/>
  <c r="S1432" i="3"/>
  <c r="R1432" i="3"/>
  <c r="Q1312" i="3"/>
  <c r="P1312" i="3"/>
  <c r="N354" i="3"/>
  <c r="J355" i="3" s="1"/>
  <c r="O714" i="3"/>
  <c r="N714" i="3"/>
  <c r="J715" i="3" s="1"/>
  <c r="M714" i="3"/>
  <c r="S2277" i="3"/>
  <c r="R2277" i="3"/>
  <c r="O1312" i="3"/>
  <c r="Q476" i="3"/>
  <c r="P476" i="3"/>
  <c r="S236" i="3"/>
  <c r="R236" i="3"/>
  <c r="Q2394" i="3"/>
  <c r="P2394" i="3"/>
  <c r="N1312" i="3"/>
  <c r="J1313" i="3" s="1"/>
  <c r="N476" i="3"/>
  <c r="J477" i="3" s="1"/>
  <c r="K113" i="3"/>
  <c r="L113" i="3"/>
  <c r="V136" i="1"/>
  <c r="U136" i="1"/>
  <c r="N2394" i="3"/>
  <c r="J2395" i="3" s="1"/>
  <c r="Q1074" i="3"/>
  <c r="P1074" i="3"/>
  <c r="O476" i="3"/>
  <c r="M237" i="3" l="1"/>
  <c r="M1433" i="3"/>
  <c r="O2278" i="3"/>
  <c r="N2278" i="3"/>
  <c r="J2279" i="3" s="1"/>
  <c r="M2278" i="3"/>
  <c r="M1075" i="3"/>
  <c r="M113" i="3"/>
  <c r="Q2632" i="3"/>
  <c r="P2632" i="3"/>
  <c r="Q137" i="1"/>
  <c r="M138" i="1" s="1"/>
  <c r="K837" i="3"/>
  <c r="L837" i="3" s="1"/>
  <c r="O2632" i="3"/>
  <c r="Q1917" i="3"/>
  <c r="P1917" i="3"/>
  <c r="K715" i="3"/>
  <c r="L715" i="3" s="1"/>
  <c r="K2156" i="3"/>
  <c r="L2156" i="3" s="1"/>
  <c r="S476" i="3"/>
  <c r="R476" i="3"/>
  <c r="N2632" i="3"/>
  <c r="J2633" i="3" s="1"/>
  <c r="N1917" i="3"/>
  <c r="J1918" i="3" s="1"/>
  <c r="Q1672" i="3"/>
  <c r="P1672" i="3"/>
  <c r="K477" i="3"/>
  <c r="L477" i="3"/>
  <c r="K1313" i="3"/>
  <c r="L1313" i="3"/>
  <c r="Q2033" i="3"/>
  <c r="P2033" i="3"/>
  <c r="Q1195" i="3"/>
  <c r="P1195" i="3"/>
  <c r="O1917" i="3"/>
  <c r="N1672" i="3"/>
  <c r="J1673" i="3" s="1"/>
  <c r="S354" i="3"/>
  <c r="R354" i="3"/>
  <c r="K355" i="3"/>
  <c r="L355" i="3" s="1"/>
  <c r="S1312" i="3"/>
  <c r="R1312" i="3"/>
  <c r="M595" i="3"/>
  <c r="O595" i="3" s="1"/>
  <c r="N2033" i="3"/>
  <c r="J2034" i="3" s="1"/>
  <c r="N1195" i="3"/>
  <c r="J1196" i="3" s="1"/>
  <c r="Q957" i="3"/>
  <c r="P957" i="3"/>
  <c r="O1672" i="3"/>
  <c r="T137" i="1"/>
  <c r="S137" i="1"/>
  <c r="S2394" i="3"/>
  <c r="R2394" i="3"/>
  <c r="O2033" i="3"/>
  <c r="Q1793" i="3"/>
  <c r="P1793" i="3"/>
  <c r="O1195" i="3"/>
  <c r="N957" i="3"/>
  <c r="J958" i="3" s="1"/>
  <c r="Q1554" i="3"/>
  <c r="P1554" i="3"/>
  <c r="S1074" i="3"/>
  <c r="R1074" i="3"/>
  <c r="K2395" i="3"/>
  <c r="L2395" i="3" s="1"/>
  <c r="N1793" i="3"/>
  <c r="J1794" i="3" s="1"/>
  <c r="Q2518" i="3"/>
  <c r="P2518" i="3"/>
  <c r="O957" i="3"/>
  <c r="N1554" i="3"/>
  <c r="J1555" i="3" s="1"/>
  <c r="Q714" i="3"/>
  <c r="P714" i="3"/>
  <c r="S836" i="3"/>
  <c r="R836" i="3"/>
  <c r="O1793" i="3"/>
  <c r="N2518" i="3"/>
  <c r="J2519" i="3" s="1"/>
  <c r="Q2155" i="3"/>
  <c r="P2155" i="3"/>
  <c r="O1554" i="3"/>
  <c r="M715" i="3" l="1"/>
  <c r="N355" i="3"/>
  <c r="J356" i="3" s="1"/>
  <c r="M355" i="3"/>
  <c r="N2156" i="3"/>
  <c r="J2157" i="3" s="1"/>
  <c r="O2156" i="3"/>
  <c r="M2156" i="3"/>
  <c r="M837" i="3"/>
  <c r="N2395" i="3"/>
  <c r="J2396" i="3" s="1"/>
  <c r="M2395" i="3"/>
  <c r="S2033" i="3"/>
  <c r="R2033" i="3"/>
  <c r="K2633" i="3"/>
  <c r="L2633" i="3" s="1"/>
  <c r="Q113" i="3"/>
  <c r="P113" i="3"/>
  <c r="S1554" i="3"/>
  <c r="R1554" i="3"/>
  <c r="S2632" i="3"/>
  <c r="R2632" i="3"/>
  <c r="L1794" i="3"/>
  <c r="K1794" i="3"/>
  <c r="N1313" i="3"/>
  <c r="J1314" i="3" s="1"/>
  <c r="O1313" i="3"/>
  <c r="M1313" i="3"/>
  <c r="S1917" i="3"/>
  <c r="R1917" i="3"/>
  <c r="N113" i="3"/>
  <c r="J114" i="3" s="1"/>
  <c r="Q1433" i="3"/>
  <c r="P1433" i="3"/>
  <c r="L2279" i="3"/>
  <c r="K2279" i="3"/>
  <c r="V137" i="1"/>
  <c r="U137" i="1"/>
  <c r="O113" i="3"/>
  <c r="O1433" i="3"/>
  <c r="L1918" i="3"/>
  <c r="K1918" i="3"/>
  <c r="K1673" i="3"/>
  <c r="L1673" i="3" s="1"/>
  <c r="N477" i="3"/>
  <c r="J478" i="3" s="1"/>
  <c r="M477" i="3"/>
  <c r="Q1075" i="3"/>
  <c r="P1075" i="3"/>
  <c r="N1433" i="3"/>
  <c r="J1434" i="3" s="1"/>
  <c r="S2518" i="3"/>
  <c r="R2518" i="3"/>
  <c r="L958" i="3"/>
  <c r="K958" i="3"/>
  <c r="N1075" i="3"/>
  <c r="J1076" i="3" s="1"/>
  <c r="Q237" i="3"/>
  <c r="P237" i="3"/>
  <c r="S714" i="3"/>
  <c r="R714" i="3"/>
  <c r="L1555" i="3"/>
  <c r="K1555" i="3"/>
  <c r="S957" i="3"/>
  <c r="R957" i="3"/>
  <c r="N138" i="1"/>
  <c r="O138" i="1" s="1"/>
  <c r="O1075" i="3"/>
  <c r="N237" i="3"/>
  <c r="J238" i="3" s="1"/>
  <c r="K2034" i="3"/>
  <c r="L2034" i="3" s="1"/>
  <c r="Q595" i="3"/>
  <c r="P595" i="3"/>
  <c r="N595" i="3"/>
  <c r="J596" i="3" s="1"/>
  <c r="S1793" i="3"/>
  <c r="R1793" i="3"/>
  <c r="S2155" i="3"/>
  <c r="R2155" i="3"/>
  <c r="K2519" i="3"/>
  <c r="L2519" i="3" s="1"/>
  <c r="K1196" i="3"/>
  <c r="L1196" i="3" s="1"/>
  <c r="S1195" i="3"/>
  <c r="R1195" i="3"/>
  <c r="S1672" i="3"/>
  <c r="R1672" i="3"/>
  <c r="Q2278" i="3"/>
  <c r="P2278" i="3"/>
  <c r="O237" i="3"/>
  <c r="M2633" i="3" l="1"/>
  <c r="M2034" i="3"/>
  <c r="R138" i="1"/>
  <c r="Q138" i="1"/>
  <c r="M139" i="1" s="1"/>
  <c r="P138" i="1"/>
  <c r="M1673" i="3"/>
  <c r="M1196" i="3"/>
  <c r="O1196" i="3" s="1"/>
  <c r="N2519" i="3"/>
  <c r="J2520" i="3" s="1"/>
  <c r="M2519" i="3"/>
  <c r="S595" i="3"/>
  <c r="R595" i="3"/>
  <c r="S237" i="3"/>
  <c r="R237" i="3"/>
  <c r="M1918" i="3"/>
  <c r="M2279" i="3"/>
  <c r="K1076" i="3"/>
  <c r="L1076" i="3" s="1"/>
  <c r="S1075" i="3"/>
  <c r="R1075" i="3"/>
  <c r="K1314" i="3"/>
  <c r="L1314" i="3"/>
  <c r="Q2395" i="3"/>
  <c r="P2395" i="3"/>
  <c r="K2157" i="3"/>
  <c r="L2157" i="3" s="1"/>
  <c r="Q477" i="3"/>
  <c r="P477" i="3"/>
  <c r="S1433" i="3"/>
  <c r="R1433" i="3"/>
  <c r="O2395" i="3"/>
  <c r="Q355" i="3"/>
  <c r="P355" i="3"/>
  <c r="M1555" i="3"/>
  <c r="N1555" i="3" s="1"/>
  <c r="J1556" i="3" s="1"/>
  <c r="M1794" i="3"/>
  <c r="N1794" i="3" s="1"/>
  <c r="J1795" i="3" s="1"/>
  <c r="O477" i="3"/>
  <c r="Q837" i="3"/>
  <c r="P837" i="3"/>
  <c r="O355" i="3"/>
  <c r="K478" i="3"/>
  <c r="L478" i="3" s="1"/>
  <c r="K356" i="3"/>
  <c r="L356" i="3" s="1"/>
  <c r="N837" i="3"/>
  <c r="J838" i="3" s="1"/>
  <c r="Q715" i="3"/>
  <c r="P715" i="3"/>
  <c r="K114" i="3"/>
  <c r="L114" i="3" s="1"/>
  <c r="S113" i="3"/>
  <c r="R113" i="3"/>
  <c r="S2278" i="3"/>
  <c r="R2278" i="3"/>
  <c r="K596" i="3"/>
  <c r="L596" i="3" s="1"/>
  <c r="O837" i="3"/>
  <c r="N715" i="3"/>
  <c r="J716" i="3" s="1"/>
  <c r="K238" i="3"/>
  <c r="L238" i="3" s="1"/>
  <c r="M958" i="3"/>
  <c r="K2396" i="3"/>
  <c r="L2396" i="3"/>
  <c r="K1434" i="3"/>
  <c r="L1434" i="3" s="1"/>
  <c r="Q1313" i="3"/>
  <c r="P1313" i="3"/>
  <c r="Q2156" i="3"/>
  <c r="P2156" i="3"/>
  <c r="O715" i="3"/>
  <c r="K1795" i="3" l="1"/>
  <c r="L1795" i="3" s="1"/>
  <c r="K1556" i="3"/>
  <c r="L1556" i="3" s="1"/>
  <c r="O596" i="3"/>
  <c r="M596" i="3"/>
  <c r="O2157" i="3"/>
  <c r="M2157" i="3"/>
  <c r="M1434" i="3"/>
  <c r="O238" i="3"/>
  <c r="N238" i="3"/>
  <c r="J239" i="3" s="1"/>
  <c r="M238" i="3"/>
  <c r="M1076" i="3"/>
  <c r="M356" i="3"/>
  <c r="O356" i="3" s="1"/>
  <c r="O478" i="3"/>
  <c r="N478" i="3"/>
  <c r="J479" i="3" s="1"/>
  <c r="M478" i="3"/>
  <c r="M114" i="3"/>
  <c r="S2395" i="3"/>
  <c r="R2395" i="3"/>
  <c r="N1196" i="3"/>
  <c r="J1197" i="3" s="1"/>
  <c r="Q2034" i="3"/>
  <c r="P2034" i="3"/>
  <c r="K838" i="3"/>
  <c r="L838" i="3" s="1"/>
  <c r="Q2279" i="3"/>
  <c r="P2279" i="3"/>
  <c r="N1314" i="3"/>
  <c r="J1315" i="3" s="1"/>
  <c r="O1314" i="3"/>
  <c r="M1314" i="3"/>
  <c r="N2279" i="3"/>
  <c r="J2280" i="3" s="1"/>
  <c r="N2034" i="3"/>
  <c r="J2035" i="3" s="1"/>
  <c r="S1313" i="3"/>
  <c r="R1313" i="3"/>
  <c r="L716" i="3"/>
  <c r="K716" i="3"/>
  <c r="M2396" i="3"/>
  <c r="O2279" i="3"/>
  <c r="Q1673" i="3"/>
  <c r="P1673" i="3"/>
  <c r="O2034" i="3"/>
  <c r="S355" i="3"/>
  <c r="R355" i="3"/>
  <c r="K2520" i="3"/>
  <c r="L2520" i="3"/>
  <c r="Q1196" i="3"/>
  <c r="P1196" i="3"/>
  <c r="Q958" i="3"/>
  <c r="P958" i="3"/>
  <c r="Q1918" i="3"/>
  <c r="P1918" i="3"/>
  <c r="O1673" i="3"/>
  <c r="Q2633" i="3"/>
  <c r="P2633" i="3"/>
  <c r="N139" i="1"/>
  <c r="O139" i="1" s="1"/>
  <c r="O958" i="3"/>
  <c r="S477" i="3"/>
  <c r="R477" i="3"/>
  <c r="N1918" i="3"/>
  <c r="J1919" i="3" s="1"/>
  <c r="Q2519" i="3"/>
  <c r="P2519" i="3"/>
  <c r="N1673" i="3"/>
  <c r="J1674" i="3" s="1"/>
  <c r="O2633" i="3"/>
  <c r="Q1794" i="3"/>
  <c r="P1794" i="3"/>
  <c r="O1794" i="3"/>
  <c r="Q1555" i="3"/>
  <c r="P1555" i="3"/>
  <c r="S2156" i="3"/>
  <c r="R2156" i="3"/>
  <c r="O1555" i="3"/>
  <c r="N958" i="3"/>
  <c r="J959" i="3" s="1"/>
  <c r="S715" i="3"/>
  <c r="R715" i="3"/>
  <c r="S837" i="3"/>
  <c r="R837" i="3"/>
  <c r="O1918" i="3"/>
  <c r="O2519" i="3"/>
  <c r="T138" i="1"/>
  <c r="S138" i="1"/>
  <c r="N2633" i="3"/>
  <c r="J2634" i="3" s="1"/>
  <c r="M838" i="3" l="1"/>
  <c r="M1556" i="3"/>
  <c r="O1556" i="3" s="1"/>
  <c r="P139" i="1"/>
  <c r="Q139" i="1" s="1"/>
  <c r="M140" i="1" s="1"/>
  <c r="M1795" i="3"/>
  <c r="K1197" i="3"/>
  <c r="L1197" i="3" s="1"/>
  <c r="K479" i="3"/>
  <c r="L479" i="3" s="1"/>
  <c r="Q238" i="3"/>
  <c r="P238" i="3"/>
  <c r="K1315" i="3"/>
  <c r="L1315" i="3"/>
  <c r="K239" i="3"/>
  <c r="L239" i="3" s="1"/>
  <c r="Q596" i="3"/>
  <c r="P596" i="3"/>
  <c r="M716" i="3"/>
  <c r="S2519" i="3"/>
  <c r="R2519" i="3"/>
  <c r="S1673" i="3"/>
  <c r="R1673" i="3"/>
  <c r="S2279" i="3"/>
  <c r="R2279" i="3"/>
  <c r="N356" i="3"/>
  <c r="J357" i="3" s="1"/>
  <c r="Q1434" i="3"/>
  <c r="P1434" i="3"/>
  <c r="N596" i="3"/>
  <c r="J597" i="3" s="1"/>
  <c r="S1555" i="3"/>
  <c r="R1555" i="3"/>
  <c r="Q114" i="3"/>
  <c r="P114" i="3"/>
  <c r="N1434" i="3"/>
  <c r="J1435" i="3" s="1"/>
  <c r="Q356" i="3"/>
  <c r="P356" i="3"/>
  <c r="K2634" i="3"/>
  <c r="L2634" i="3" s="1"/>
  <c r="K1919" i="3"/>
  <c r="L1919" i="3" s="1"/>
  <c r="M2520" i="3"/>
  <c r="Q2396" i="3"/>
  <c r="P2396" i="3"/>
  <c r="K2035" i="3"/>
  <c r="L2035" i="3"/>
  <c r="N114" i="3"/>
  <c r="J115" i="3" s="1"/>
  <c r="Q1076" i="3"/>
  <c r="P1076" i="3"/>
  <c r="O1434" i="3"/>
  <c r="L1674" i="3"/>
  <c r="K1674" i="3"/>
  <c r="S1196" i="3"/>
  <c r="R1196" i="3"/>
  <c r="S2633" i="3"/>
  <c r="R2633" i="3"/>
  <c r="K959" i="3"/>
  <c r="L959" i="3" s="1"/>
  <c r="N2396" i="3"/>
  <c r="J2397" i="3" s="1"/>
  <c r="K2280" i="3"/>
  <c r="L2280" i="3" s="1"/>
  <c r="O114" i="3"/>
  <c r="N1076" i="3"/>
  <c r="J1077" i="3" s="1"/>
  <c r="Q2157" i="3"/>
  <c r="P2157" i="3"/>
  <c r="S958" i="3"/>
  <c r="R958" i="3"/>
  <c r="V138" i="1"/>
  <c r="U138" i="1"/>
  <c r="S1794" i="3"/>
  <c r="R1794" i="3"/>
  <c r="S1918" i="3"/>
  <c r="R1918" i="3"/>
  <c r="O2396" i="3"/>
  <c r="Q1314" i="3"/>
  <c r="P1314" i="3"/>
  <c r="S2034" i="3"/>
  <c r="R2034" i="3"/>
  <c r="Q478" i="3"/>
  <c r="P478" i="3"/>
  <c r="O1076" i="3"/>
  <c r="N2157" i="3"/>
  <c r="J2158" i="3" s="1"/>
  <c r="M479" i="3" l="1"/>
  <c r="N140" i="1"/>
  <c r="O140" i="1"/>
  <c r="N2634" i="3"/>
  <c r="J2635" i="3" s="1"/>
  <c r="M2634" i="3"/>
  <c r="M1197" i="3"/>
  <c r="M2280" i="3"/>
  <c r="N2280" i="3" s="1"/>
  <c r="J2281" i="3" s="1"/>
  <c r="O239" i="3"/>
  <c r="N239" i="3"/>
  <c r="J240" i="3" s="1"/>
  <c r="M239" i="3"/>
  <c r="M959" i="3"/>
  <c r="N1919" i="3"/>
  <c r="J1920" i="3" s="1"/>
  <c r="M1919" i="3"/>
  <c r="S2396" i="3"/>
  <c r="R2396" i="3"/>
  <c r="K597" i="3"/>
  <c r="L597" i="3"/>
  <c r="S2157" i="3"/>
  <c r="R2157" i="3"/>
  <c r="Q2520" i="3"/>
  <c r="P2520" i="3"/>
  <c r="S356" i="3"/>
  <c r="R356" i="3"/>
  <c r="S596" i="3"/>
  <c r="R596" i="3"/>
  <c r="T139" i="1"/>
  <c r="S139" i="1"/>
  <c r="K2158" i="3"/>
  <c r="L2158" i="3" s="1"/>
  <c r="S1076" i="3"/>
  <c r="R1076" i="3"/>
  <c r="O2520" i="3"/>
  <c r="L357" i="3"/>
  <c r="K357" i="3"/>
  <c r="N2520" i="3"/>
  <c r="J2521" i="3" s="1"/>
  <c r="S1434" i="3"/>
  <c r="R1434" i="3"/>
  <c r="Q1556" i="3"/>
  <c r="P1556" i="3"/>
  <c r="S114" i="3"/>
  <c r="R114" i="3"/>
  <c r="M1315" i="3"/>
  <c r="O1315" i="3" s="1"/>
  <c r="Q1795" i="3"/>
  <c r="P1795" i="3"/>
  <c r="N1556" i="3"/>
  <c r="J1557" i="3" s="1"/>
  <c r="Q716" i="3"/>
  <c r="P716" i="3"/>
  <c r="N1795" i="3"/>
  <c r="J1796" i="3" s="1"/>
  <c r="Q838" i="3"/>
  <c r="P838" i="3"/>
  <c r="K1077" i="3"/>
  <c r="L1077" i="3" s="1"/>
  <c r="L115" i="3"/>
  <c r="K115" i="3"/>
  <c r="S478" i="3"/>
  <c r="R478" i="3"/>
  <c r="K2397" i="3"/>
  <c r="L2397" i="3" s="1"/>
  <c r="N716" i="3"/>
  <c r="J717" i="3" s="1"/>
  <c r="O1795" i="3"/>
  <c r="N838" i="3"/>
  <c r="J839" i="3" s="1"/>
  <c r="M1674" i="3"/>
  <c r="N1674" i="3" s="1"/>
  <c r="J1675" i="3" s="1"/>
  <c r="S1314" i="3"/>
  <c r="R1314" i="3"/>
  <c r="L1435" i="3"/>
  <c r="K1435" i="3"/>
  <c r="M2035" i="3"/>
  <c r="O716" i="3"/>
  <c r="S238" i="3"/>
  <c r="R238" i="3"/>
  <c r="R139" i="1"/>
  <c r="O838" i="3"/>
  <c r="K1675" i="3" l="1"/>
  <c r="L1675" i="3" s="1"/>
  <c r="K2281" i="3"/>
  <c r="L2281" i="3"/>
  <c r="M1077" i="3"/>
  <c r="O2397" i="3"/>
  <c r="M2397" i="3"/>
  <c r="M2158" i="3"/>
  <c r="M1435" i="3"/>
  <c r="V139" i="1"/>
  <c r="U139" i="1"/>
  <c r="S2520" i="3"/>
  <c r="R2520" i="3"/>
  <c r="K240" i="3"/>
  <c r="L240" i="3" s="1"/>
  <c r="Q2634" i="3"/>
  <c r="P2634" i="3"/>
  <c r="K1557" i="3"/>
  <c r="L1557" i="3" s="1"/>
  <c r="Q1919" i="3"/>
  <c r="P1919" i="3"/>
  <c r="O2634" i="3"/>
  <c r="O1919" i="3"/>
  <c r="O2280" i="3"/>
  <c r="P140" i="1"/>
  <c r="L717" i="3"/>
  <c r="K717" i="3"/>
  <c r="S1556" i="3"/>
  <c r="R1556" i="3"/>
  <c r="S838" i="3"/>
  <c r="R838" i="3"/>
  <c r="M597" i="3"/>
  <c r="Q959" i="3"/>
  <c r="P959" i="3"/>
  <c r="M357" i="3"/>
  <c r="N357" i="3" s="1"/>
  <c r="J358" i="3" s="1"/>
  <c r="S1795" i="3"/>
  <c r="R1795" i="3"/>
  <c r="L1920" i="3"/>
  <c r="K1920" i="3"/>
  <c r="Q2035" i="3"/>
  <c r="P2035" i="3"/>
  <c r="N2035" i="3"/>
  <c r="J2036" i="3" s="1"/>
  <c r="K1796" i="3"/>
  <c r="L1796" i="3" s="1"/>
  <c r="O959" i="3"/>
  <c r="Q1197" i="3"/>
  <c r="P1197" i="3"/>
  <c r="Q479" i="3"/>
  <c r="P479" i="3"/>
  <c r="Q2280" i="3"/>
  <c r="P2280" i="3"/>
  <c r="O1674" i="3"/>
  <c r="O2035" i="3"/>
  <c r="L2521" i="3"/>
  <c r="K2521" i="3"/>
  <c r="N959" i="3"/>
  <c r="J960" i="3" s="1"/>
  <c r="N1197" i="3"/>
  <c r="J1198" i="3" s="1"/>
  <c r="N479" i="3"/>
  <c r="J480" i="3" s="1"/>
  <c r="M115" i="3"/>
  <c r="K2635" i="3"/>
  <c r="L2635" i="3" s="1"/>
  <c r="Q1315" i="3"/>
  <c r="P1315" i="3"/>
  <c r="Q1674" i="3"/>
  <c r="P1674" i="3"/>
  <c r="N1315" i="3"/>
  <c r="J1316" i="3" s="1"/>
  <c r="K839" i="3"/>
  <c r="L839" i="3" s="1"/>
  <c r="S716" i="3"/>
  <c r="R716" i="3"/>
  <c r="Q239" i="3"/>
  <c r="P239" i="3"/>
  <c r="O1197" i="3"/>
  <c r="O479" i="3"/>
  <c r="M2635" i="3" l="1"/>
  <c r="M1557" i="3"/>
  <c r="N1557" i="3" s="1"/>
  <c r="J1558" i="3" s="1"/>
  <c r="O1796" i="3"/>
  <c r="N1796" i="3"/>
  <c r="J1797" i="3" s="1"/>
  <c r="M1796" i="3"/>
  <c r="K358" i="3"/>
  <c r="L358" i="3" s="1"/>
  <c r="M839" i="3"/>
  <c r="O839" i="3" s="1"/>
  <c r="N240" i="3"/>
  <c r="J241" i="3" s="1"/>
  <c r="O240" i="3"/>
  <c r="M240" i="3"/>
  <c r="M1675" i="3"/>
  <c r="S959" i="3"/>
  <c r="R959" i="3"/>
  <c r="Q1435" i="3"/>
  <c r="P1435" i="3"/>
  <c r="Q597" i="3"/>
  <c r="P597" i="3"/>
  <c r="O1435" i="3"/>
  <c r="Q1077" i="3"/>
  <c r="P1077" i="3"/>
  <c r="O2521" i="3"/>
  <c r="N2521" i="3"/>
  <c r="J2522" i="3" s="1"/>
  <c r="M2521" i="3"/>
  <c r="Q115" i="3"/>
  <c r="P115" i="3"/>
  <c r="K1316" i="3"/>
  <c r="L1316" i="3" s="1"/>
  <c r="N115" i="3"/>
  <c r="J116" i="3" s="1"/>
  <c r="N597" i="3"/>
  <c r="J598" i="3" s="1"/>
  <c r="N1435" i="3"/>
  <c r="J1436" i="3" s="1"/>
  <c r="N1077" i="3"/>
  <c r="J1078" i="3" s="1"/>
  <c r="S1197" i="3"/>
  <c r="R1197" i="3"/>
  <c r="O115" i="3"/>
  <c r="O597" i="3"/>
  <c r="O717" i="3"/>
  <c r="N717" i="3"/>
  <c r="J718" i="3" s="1"/>
  <c r="M717" i="3"/>
  <c r="S1919" i="3"/>
  <c r="R1919" i="3"/>
  <c r="Q2158" i="3"/>
  <c r="P2158" i="3"/>
  <c r="O1077" i="3"/>
  <c r="T140" i="1"/>
  <c r="S140" i="1"/>
  <c r="N2158" i="3"/>
  <c r="J2159" i="3" s="1"/>
  <c r="M2281" i="3"/>
  <c r="M1920" i="3"/>
  <c r="S2280" i="3"/>
  <c r="R2280" i="3"/>
  <c r="R140" i="1"/>
  <c r="O2158" i="3"/>
  <c r="S239" i="3"/>
  <c r="R239" i="3"/>
  <c r="S1674" i="3"/>
  <c r="R1674" i="3"/>
  <c r="K2036" i="3"/>
  <c r="L2036" i="3" s="1"/>
  <c r="Q357" i="3"/>
  <c r="P357" i="3"/>
  <c r="L1198" i="3"/>
  <c r="K1198" i="3"/>
  <c r="S479" i="3"/>
  <c r="R479" i="3"/>
  <c r="Q140" i="1"/>
  <c r="M141" i="1" s="1"/>
  <c r="Q2397" i="3"/>
  <c r="P2397" i="3"/>
  <c r="K480" i="3"/>
  <c r="L480" i="3" s="1"/>
  <c r="S1315" i="3"/>
  <c r="R1315" i="3"/>
  <c r="K960" i="3"/>
  <c r="L960" i="3"/>
  <c r="S2035" i="3"/>
  <c r="R2035" i="3"/>
  <c r="O357" i="3"/>
  <c r="S2634" i="3"/>
  <c r="R2634" i="3"/>
  <c r="N2397" i="3"/>
  <c r="J2398" i="3" s="1"/>
  <c r="M358" i="3" l="1"/>
  <c r="M480" i="3"/>
  <c r="N480" i="3" s="1"/>
  <c r="J481" i="3" s="1"/>
  <c r="K1558" i="3"/>
  <c r="L1558" i="3" s="1"/>
  <c r="M2036" i="3"/>
  <c r="M1316" i="3"/>
  <c r="O1316" i="3" s="1"/>
  <c r="Q1920" i="3"/>
  <c r="P1920" i="3"/>
  <c r="V140" i="1"/>
  <c r="U140" i="1"/>
  <c r="K718" i="3"/>
  <c r="L718" i="3" s="1"/>
  <c r="K1436" i="3"/>
  <c r="L1436" i="3" s="1"/>
  <c r="L2522" i="3"/>
  <c r="K2522" i="3"/>
  <c r="S1435" i="3"/>
  <c r="R1435" i="3"/>
  <c r="K1797" i="3"/>
  <c r="L1797" i="3" s="1"/>
  <c r="N1920" i="3"/>
  <c r="J1921" i="3" s="1"/>
  <c r="L598" i="3"/>
  <c r="K598" i="3"/>
  <c r="K241" i="3"/>
  <c r="L241" i="3"/>
  <c r="K2398" i="3"/>
  <c r="L2398" i="3" s="1"/>
  <c r="N141" i="1"/>
  <c r="O141" i="1" s="1"/>
  <c r="S2158" i="3"/>
  <c r="R2158" i="3"/>
  <c r="S1077" i="3"/>
  <c r="R1077" i="3"/>
  <c r="N839" i="3"/>
  <c r="J840" i="3" s="1"/>
  <c r="S2397" i="3"/>
  <c r="R2397" i="3"/>
  <c r="K116" i="3"/>
  <c r="L116" i="3" s="1"/>
  <c r="Q1557" i="3"/>
  <c r="P1557" i="3"/>
  <c r="Q1675" i="3"/>
  <c r="P1675" i="3"/>
  <c r="O1557" i="3"/>
  <c r="M960" i="3"/>
  <c r="O1920" i="3"/>
  <c r="Q839" i="3"/>
  <c r="P839" i="3"/>
  <c r="N1675" i="3"/>
  <c r="J1676" i="3" s="1"/>
  <c r="Q2635" i="3"/>
  <c r="P2635" i="3"/>
  <c r="S357" i="3"/>
  <c r="R357" i="3"/>
  <c r="Q2281" i="3"/>
  <c r="P2281" i="3"/>
  <c r="O2281" i="3"/>
  <c r="N2281" i="3"/>
  <c r="J2282" i="3" s="1"/>
  <c r="K2159" i="3"/>
  <c r="L2159" i="3" s="1"/>
  <c r="S115" i="3"/>
  <c r="R115" i="3"/>
  <c r="S597" i="3"/>
  <c r="R597" i="3"/>
  <c r="O1675" i="3"/>
  <c r="N2635" i="3"/>
  <c r="J2636" i="3" s="1"/>
  <c r="M1198" i="3"/>
  <c r="Q717" i="3"/>
  <c r="P717" i="3"/>
  <c r="K1078" i="3"/>
  <c r="L1078" i="3" s="1"/>
  <c r="Q2521" i="3"/>
  <c r="P2521" i="3"/>
  <c r="Q240" i="3"/>
  <c r="P240" i="3"/>
  <c r="Q1796" i="3"/>
  <c r="P1796" i="3"/>
  <c r="O2635" i="3"/>
  <c r="M116" i="3" l="1"/>
  <c r="P141" i="1"/>
  <c r="Q141" i="1" s="1"/>
  <c r="M142" i="1" s="1"/>
  <c r="O1078" i="3"/>
  <c r="N1078" i="3"/>
  <c r="J1079" i="3" s="1"/>
  <c r="M1078" i="3"/>
  <c r="M1558" i="3"/>
  <c r="K481" i="3"/>
  <c r="L481" i="3"/>
  <c r="O1797" i="3"/>
  <c r="N1797" i="3"/>
  <c r="J1798" i="3" s="1"/>
  <c r="M1797" i="3"/>
  <c r="M2398" i="3"/>
  <c r="M1436" i="3"/>
  <c r="N1436" i="3" s="1"/>
  <c r="J1437" i="3" s="1"/>
  <c r="O2159" i="3"/>
  <c r="M2159" i="3"/>
  <c r="M718" i="3"/>
  <c r="K2282" i="3"/>
  <c r="L2282" i="3" s="1"/>
  <c r="S2635" i="3"/>
  <c r="R2635" i="3"/>
  <c r="M598" i="3"/>
  <c r="O2522" i="3"/>
  <c r="M2522" i="3"/>
  <c r="K1921" i="3"/>
  <c r="L1921" i="3" s="1"/>
  <c r="S1920" i="3"/>
  <c r="R1920" i="3"/>
  <c r="S717" i="3"/>
  <c r="R717" i="3"/>
  <c r="Q1198" i="3"/>
  <c r="P1198" i="3"/>
  <c r="S839" i="3"/>
  <c r="R839" i="3"/>
  <c r="N1316" i="3"/>
  <c r="J1317" i="3" s="1"/>
  <c r="O480" i="3"/>
  <c r="S1557" i="3"/>
  <c r="R1557" i="3"/>
  <c r="S240" i="3"/>
  <c r="R240" i="3"/>
  <c r="O1198" i="3"/>
  <c r="N1198" i="3"/>
  <c r="J1199" i="3" s="1"/>
  <c r="Q960" i="3"/>
  <c r="P960" i="3"/>
  <c r="M241" i="3"/>
  <c r="O241" i="3" s="1"/>
  <c r="Q2036" i="3"/>
  <c r="P2036" i="3"/>
  <c r="Q358" i="3"/>
  <c r="P358" i="3"/>
  <c r="S1796" i="3"/>
  <c r="R1796" i="3"/>
  <c r="S1675" i="3"/>
  <c r="R1675" i="3"/>
  <c r="Q480" i="3"/>
  <c r="P480" i="3"/>
  <c r="S2281" i="3"/>
  <c r="R2281" i="3"/>
  <c r="K2636" i="3"/>
  <c r="L2636" i="3" s="1"/>
  <c r="O960" i="3"/>
  <c r="O2036" i="3"/>
  <c r="N358" i="3"/>
  <c r="J359" i="3" s="1"/>
  <c r="K1676" i="3"/>
  <c r="L1676" i="3" s="1"/>
  <c r="K840" i="3"/>
  <c r="L840" i="3" s="1"/>
  <c r="Q1316" i="3"/>
  <c r="P1316" i="3"/>
  <c r="S2521" i="3"/>
  <c r="R2521" i="3"/>
  <c r="N960" i="3"/>
  <c r="J961" i="3" s="1"/>
  <c r="N2036" i="3"/>
  <c r="J2037" i="3" s="1"/>
  <c r="O358" i="3"/>
  <c r="M2636" i="3" l="1"/>
  <c r="M1921" i="3"/>
  <c r="O1921" i="3" s="1"/>
  <c r="O1676" i="3"/>
  <c r="N1676" i="3"/>
  <c r="J1677" i="3" s="1"/>
  <c r="M1676" i="3"/>
  <c r="N142" i="1"/>
  <c r="O142" i="1" s="1"/>
  <c r="K1437" i="3"/>
  <c r="L1437" i="3" s="1"/>
  <c r="O840" i="3"/>
  <c r="M840" i="3"/>
  <c r="M2282" i="3"/>
  <c r="S960" i="3"/>
  <c r="R960" i="3"/>
  <c r="Q2522" i="3"/>
  <c r="P2522" i="3"/>
  <c r="K1798" i="3"/>
  <c r="L1798" i="3" s="1"/>
  <c r="K1079" i="3"/>
  <c r="L1079" i="3" s="1"/>
  <c r="K359" i="3"/>
  <c r="L359" i="3" s="1"/>
  <c r="S358" i="3"/>
  <c r="R358" i="3"/>
  <c r="K1199" i="3"/>
  <c r="L1199" i="3"/>
  <c r="N2522" i="3"/>
  <c r="J2523" i="3" s="1"/>
  <c r="O1436" i="3"/>
  <c r="Q598" i="3"/>
  <c r="P598" i="3"/>
  <c r="Q718" i="3"/>
  <c r="P718" i="3"/>
  <c r="S480" i="3"/>
  <c r="R480" i="3"/>
  <c r="T141" i="1"/>
  <c r="S141" i="1"/>
  <c r="N718" i="3"/>
  <c r="J719" i="3" s="1"/>
  <c r="Q2398" i="3"/>
  <c r="P2398" i="3"/>
  <c r="Q1558" i="3"/>
  <c r="P1558" i="3"/>
  <c r="R141" i="1"/>
  <c r="K1317" i="3"/>
  <c r="L1317" i="3" s="1"/>
  <c r="O481" i="3"/>
  <c r="N481" i="3"/>
  <c r="J482" i="3" s="1"/>
  <c r="M481" i="3"/>
  <c r="S2036" i="3"/>
  <c r="R2036" i="3"/>
  <c r="O598" i="3"/>
  <c r="O718" i="3"/>
  <c r="N2398" i="3"/>
  <c r="J2399" i="3" s="1"/>
  <c r="N1558" i="3"/>
  <c r="J1559" i="3" s="1"/>
  <c r="Q116" i="3"/>
  <c r="P116" i="3"/>
  <c r="S1316" i="3"/>
  <c r="R1316" i="3"/>
  <c r="Q241" i="3"/>
  <c r="P241" i="3"/>
  <c r="K2037" i="3"/>
  <c r="L2037" i="3" s="1"/>
  <c r="N241" i="3"/>
  <c r="J242" i="3" s="1"/>
  <c r="Q2159" i="3"/>
  <c r="P2159" i="3"/>
  <c r="O2398" i="3"/>
  <c r="O1558" i="3"/>
  <c r="N116" i="3"/>
  <c r="J117" i="3" s="1"/>
  <c r="Q1436" i="3"/>
  <c r="P1436" i="3"/>
  <c r="N598" i="3"/>
  <c r="J599" i="3" s="1"/>
  <c r="K961" i="3"/>
  <c r="L961" i="3"/>
  <c r="S1198" i="3"/>
  <c r="R1198" i="3"/>
  <c r="N2159" i="3"/>
  <c r="J2160" i="3" s="1"/>
  <c r="Q1797" i="3"/>
  <c r="P1797" i="3"/>
  <c r="Q1078" i="3"/>
  <c r="P1078" i="3"/>
  <c r="O116" i="3"/>
  <c r="M1437" i="3" l="1"/>
  <c r="M1079" i="3"/>
  <c r="N1798" i="3"/>
  <c r="J1799" i="3" s="1"/>
  <c r="O1798" i="3"/>
  <c r="M1798" i="3"/>
  <c r="M2037" i="3"/>
  <c r="M1317" i="3"/>
  <c r="R142" i="1"/>
  <c r="P142" i="1"/>
  <c r="M359" i="3"/>
  <c r="K1559" i="3"/>
  <c r="L1559" i="3" s="1"/>
  <c r="L482" i="3"/>
  <c r="K482" i="3"/>
  <c r="S2398" i="3"/>
  <c r="R2398" i="3"/>
  <c r="S718" i="3"/>
  <c r="R718" i="3"/>
  <c r="Q840" i="3"/>
  <c r="P840" i="3"/>
  <c r="K1677" i="3"/>
  <c r="L1677" i="3" s="1"/>
  <c r="K2160" i="3"/>
  <c r="L2160" i="3" s="1"/>
  <c r="K719" i="3"/>
  <c r="L719" i="3" s="1"/>
  <c r="S2522" i="3"/>
  <c r="R2522" i="3"/>
  <c r="N840" i="3"/>
  <c r="J841" i="3" s="1"/>
  <c r="V141" i="1"/>
  <c r="U141" i="1"/>
  <c r="K117" i="3"/>
  <c r="L117" i="3" s="1"/>
  <c r="S598" i="3"/>
  <c r="R598" i="3"/>
  <c r="Q1921" i="3"/>
  <c r="P1921" i="3"/>
  <c r="N1921" i="3"/>
  <c r="J1922" i="3" s="1"/>
  <c r="O961" i="3"/>
  <c r="N961" i="3"/>
  <c r="J962" i="3" s="1"/>
  <c r="M961" i="3"/>
  <c r="S1078" i="3"/>
  <c r="R1078" i="3"/>
  <c r="N1199" i="3"/>
  <c r="J1200" i="3" s="1"/>
  <c r="M1199" i="3"/>
  <c r="Q2282" i="3"/>
  <c r="P2282" i="3"/>
  <c r="Q2636" i="3"/>
  <c r="P2636" i="3"/>
  <c r="L2399" i="3"/>
  <c r="K2399" i="3"/>
  <c r="L2523" i="3"/>
  <c r="K2523" i="3"/>
  <c r="S2159" i="3"/>
  <c r="R2159" i="3"/>
  <c r="K242" i="3"/>
  <c r="L242" i="3"/>
  <c r="S1558" i="3"/>
  <c r="R1558" i="3"/>
  <c r="N2282" i="3"/>
  <c r="J2283" i="3" s="1"/>
  <c r="N2636" i="3"/>
  <c r="J2637" i="3" s="1"/>
  <c r="S1436" i="3"/>
  <c r="R1436" i="3"/>
  <c r="S241" i="3"/>
  <c r="R241" i="3"/>
  <c r="L599" i="3"/>
  <c r="K599" i="3"/>
  <c r="S1797" i="3"/>
  <c r="R1797" i="3"/>
  <c r="S116" i="3"/>
  <c r="R116" i="3"/>
  <c r="Q481" i="3"/>
  <c r="P481" i="3"/>
  <c r="O2282" i="3"/>
  <c r="Q1676" i="3"/>
  <c r="P1676" i="3"/>
  <c r="O2636" i="3"/>
  <c r="M117" i="3" l="1"/>
  <c r="M719" i="3"/>
  <c r="N2160" i="3"/>
  <c r="J2161" i="3" s="1"/>
  <c r="O2160" i="3"/>
  <c r="M2160" i="3"/>
  <c r="M1677" i="3"/>
  <c r="M1559" i="3"/>
  <c r="K2283" i="3"/>
  <c r="L2283" i="3" s="1"/>
  <c r="M482" i="3"/>
  <c r="Q1199" i="3"/>
  <c r="P1199" i="3"/>
  <c r="Q1317" i="3"/>
  <c r="P1317" i="3"/>
  <c r="K1799" i="3"/>
  <c r="L1799" i="3" s="1"/>
  <c r="K962" i="3"/>
  <c r="L962" i="3" s="1"/>
  <c r="M2523" i="3"/>
  <c r="L1200" i="3"/>
  <c r="K1200" i="3"/>
  <c r="K1922" i="3"/>
  <c r="L1922" i="3" s="1"/>
  <c r="N1317" i="3"/>
  <c r="J1318" i="3" s="1"/>
  <c r="Q1079" i="3"/>
  <c r="P1079" i="3"/>
  <c r="O599" i="3"/>
  <c r="N599" i="3"/>
  <c r="J600" i="3" s="1"/>
  <c r="M599" i="3"/>
  <c r="O1199" i="3"/>
  <c r="Q359" i="3"/>
  <c r="P359" i="3"/>
  <c r="O1317" i="3"/>
  <c r="N1079" i="3"/>
  <c r="J1080" i="3" s="1"/>
  <c r="S481" i="3"/>
  <c r="R481" i="3"/>
  <c r="S840" i="3"/>
  <c r="R840" i="3"/>
  <c r="M2399" i="3"/>
  <c r="N2399" i="3" s="1"/>
  <c r="J2400" i="3" s="1"/>
  <c r="S1921" i="3"/>
  <c r="R1921" i="3"/>
  <c r="N359" i="3"/>
  <c r="J360" i="3" s="1"/>
  <c r="Q2037" i="3"/>
  <c r="P2037" i="3"/>
  <c r="O1079" i="3"/>
  <c r="S1676" i="3"/>
  <c r="R1676" i="3"/>
  <c r="K841" i="3"/>
  <c r="L841" i="3" s="1"/>
  <c r="O359" i="3"/>
  <c r="O2037" i="3"/>
  <c r="Q1437" i="3"/>
  <c r="P1437" i="3"/>
  <c r="S2282" i="3"/>
  <c r="R2282" i="3"/>
  <c r="M242" i="3"/>
  <c r="O242" i="3" s="1"/>
  <c r="S2636" i="3"/>
  <c r="R2636" i="3"/>
  <c r="T142" i="1"/>
  <c r="S142" i="1"/>
  <c r="N2037" i="3"/>
  <c r="J2038" i="3" s="1"/>
  <c r="O1437" i="3"/>
  <c r="K2637" i="3"/>
  <c r="L2637" i="3" s="1"/>
  <c r="Q961" i="3"/>
  <c r="P961" i="3"/>
  <c r="Q142" i="1"/>
  <c r="M143" i="1" s="1"/>
  <c r="Q1798" i="3"/>
  <c r="P1798" i="3"/>
  <c r="N1437" i="3"/>
  <c r="J1438" i="3" s="1"/>
  <c r="M2283" i="3" l="1"/>
  <c r="M841" i="3"/>
  <c r="N1922" i="3"/>
  <c r="J1923" i="3" s="1"/>
  <c r="O1922" i="3"/>
  <c r="M1922" i="3"/>
  <c r="M962" i="3"/>
  <c r="M2637" i="3"/>
  <c r="O2637" i="3" s="1"/>
  <c r="N1799" i="3"/>
  <c r="J1800" i="3" s="1"/>
  <c r="M1799" i="3"/>
  <c r="K2400" i="3"/>
  <c r="L2400" i="3"/>
  <c r="K600" i="3"/>
  <c r="L600" i="3" s="1"/>
  <c r="Q2523" i="3"/>
  <c r="P2523" i="3"/>
  <c r="S1317" i="3"/>
  <c r="R1317" i="3"/>
  <c r="Q1559" i="3"/>
  <c r="P1559" i="3"/>
  <c r="K2161" i="3"/>
  <c r="L2161" i="3"/>
  <c r="S1437" i="3"/>
  <c r="R1437" i="3"/>
  <c r="O2399" i="3"/>
  <c r="K1080" i="3"/>
  <c r="L1080" i="3" s="1"/>
  <c r="O2523" i="3"/>
  <c r="N1559" i="3"/>
  <c r="J1560" i="3" s="1"/>
  <c r="Q719" i="3"/>
  <c r="P719" i="3"/>
  <c r="S1079" i="3"/>
  <c r="R1079" i="3"/>
  <c r="N2523" i="3"/>
  <c r="S1199" i="3"/>
  <c r="R1199" i="3"/>
  <c r="O1559" i="3"/>
  <c r="O719" i="3"/>
  <c r="S2037" i="3"/>
  <c r="R2037" i="3"/>
  <c r="K1318" i="3"/>
  <c r="L1318" i="3" s="1"/>
  <c r="Q482" i="3"/>
  <c r="P482" i="3"/>
  <c r="Q1677" i="3"/>
  <c r="P1677" i="3"/>
  <c r="N719" i="3"/>
  <c r="J720" i="3" s="1"/>
  <c r="K1438" i="3"/>
  <c r="L1438" i="3" s="1"/>
  <c r="K360" i="3"/>
  <c r="L360" i="3" s="1"/>
  <c r="S359" i="3"/>
  <c r="R359" i="3"/>
  <c r="O482" i="3"/>
  <c r="N1677" i="3"/>
  <c r="J1678" i="3" s="1"/>
  <c r="Q117" i="3"/>
  <c r="P117" i="3"/>
  <c r="N1200" i="3"/>
  <c r="J1201" i="3" s="1"/>
  <c r="O1200" i="3"/>
  <c r="M1200" i="3"/>
  <c r="Q242" i="3"/>
  <c r="P242" i="3"/>
  <c r="K2038" i="3"/>
  <c r="L2038" i="3" s="1"/>
  <c r="S1798" i="3"/>
  <c r="R1798" i="3"/>
  <c r="N482" i="3"/>
  <c r="J483" i="3" s="1"/>
  <c r="O1677" i="3"/>
  <c r="N117" i="3"/>
  <c r="J118" i="3" s="1"/>
  <c r="S961" i="3"/>
  <c r="R961" i="3"/>
  <c r="Q2399" i="3"/>
  <c r="P2399" i="3"/>
  <c r="N242" i="3"/>
  <c r="J243" i="3" s="1"/>
  <c r="N143" i="1"/>
  <c r="O143" i="1" s="1"/>
  <c r="V142" i="1"/>
  <c r="U142" i="1"/>
  <c r="Q599" i="3"/>
  <c r="P599" i="3"/>
  <c r="Q2160" i="3"/>
  <c r="P2160" i="3"/>
  <c r="O117" i="3"/>
  <c r="M1080" i="3" l="1"/>
  <c r="M1318" i="3"/>
  <c r="N360" i="3"/>
  <c r="J361" i="3" s="1"/>
  <c r="O360" i="3"/>
  <c r="M360" i="3"/>
  <c r="M1438" i="3"/>
  <c r="O600" i="3"/>
  <c r="N600" i="3"/>
  <c r="J601" i="3" s="1"/>
  <c r="M600" i="3"/>
  <c r="Q143" i="1"/>
  <c r="M144" i="1" s="1"/>
  <c r="P143" i="1"/>
  <c r="M2038" i="3"/>
  <c r="N2038" i="3" s="1"/>
  <c r="J2039" i="3" s="1"/>
  <c r="S719" i="3"/>
  <c r="R719" i="3"/>
  <c r="S2523" i="3"/>
  <c r="R2523" i="3"/>
  <c r="S117" i="3"/>
  <c r="R117" i="3"/>
  <c r="N2637" i="3"/>
  <c r="J2638" i="3" s="1"/>
  <c r="Q841" i="3"/>
  <c r="P841" i="3"/>
  <c r="S599" i="3"/>
  <c r="R599" i="3"/>
  <c r="K1201" i="3"/>
  <c r="L1201" i="3"/>
  <c r="K1800" i="3"/>
  <c r="L1800" i="3" s="1"/>
  <c r="K1678" i="3"/>
  <c r="L1678" i="3" s="1"/>
  <c r="O841" i="3"/>
  <c r="S482" i="3"/>
  <c r="R482" i="3"/>
  <c r="L1560" i="3"/>
  <c r="K1560" i="3"/>
  <c r="L118" i="3"/>
  <c r="K118" i="3"/>
  <c r="K720" i="3"/>
  <c r="L720" i="3" s="1"/>
  <c r="S1559" i="3"/>
  <c r="R1559" i="3"/>
  <c r="O2400" i="3"/>
  <c r="N2400" i="3"/>
  <c r="J2401" i="3" s="1"/>
  <c r="M2400" i="3"/>
  <c r="Q962" i="3"/>
  <c r="P962" i="3"/>
  <c r="N841" i="3"/>
  <c r="J842" i="3" s="1"/>
  <c r="S2399" i="3"/>
  <c r="R2399" i="3"/>
  <c r="O2161" i="3"/>
  <c r="M2161" i="3"/>
  <c r="Q2637" i="3"/>
  <c r="P2637" i="3"/>
  <c r="S242" i="3"/>
  <c r="R242" i="3"/>
  <c r="N962" i="3"/>
  <c r="J963" i="3" s="1"/>
  <c r="Q2283" i="3"/>
  <c r="P2283" i="3"/>
  <c r="K1923" i="3"/>
  <c r="L1923" i="3"/>
  <c r="S2160" i="3"/>
  <c r="R2160" i="3"/>
  <c r="K243" i="3"/>
  <c r="L243" i="3" s="1"/>
  <c r="L483" i="3"/>
  <c r="K483" i="3"/>
  <c r="Q1200" i="3"/>
  <c r="P1200" i="3"/>
  <c r="S1677" i="3"/>
  <c r="R1677" i="3"/>
  <c r="Q1799" i="3"/>
  <c r="P1799" i="3"/>
  <c r="O962" i="3"/>
  <c r="O2283" i="3"/>
  <c r="O1799" i="3"/>
  <c r="Q1922" i="3"/>
  <c r="P1922" i="3"/>
  <c r="N2283" i="3"/>
  <c r="K2039" i="3" l="1"/>
  <c r="L2039" i="3" s="1"/>
  <c r="M243" i="3"/>
  <c r="M720" i="3"/>
  <c r="O720" i="3" s="1"/>
  <c r="N1678" i="3"/>
  <c r="J1679" i="3" s="1"/>
  <c r="M1678" i="3"/>
  <c r="M1800" i="3"/>
  <c r="K963" i="3"/>
  <c r="L963" i="3" s="1"/>
  <c r="K2401" i="3"/>
  <c r="L2401" i="3" s="1"/>
  <c r="M118" i="3"/>
  <c r="O144" i="1"/>
  <c r="N144" i="1"/>
  <c r="S841" i="3"/>
  <c r="R841" i="3"/>
  <c r="Q600" i="3"/>
  <c r="P600" i="3"/>
  <c r="K361" i="3"/>
  <c r="L361" i="3"/>
  <c r="Q1318" i="3"/>
  <c r="P1318" i="3"/>
  <c r="S1922" i="3"/>
  <c r="R1922" i="3"/>
  <c r="M1560" i="3"/>
  <c r="O1201" i="3"/>
  <c r="N1201" i="3"/>
  <c r="J1202" i="3" s="1"/>
  <c r="M1201" i="3"/>
  <c r="N1318" i="3"/>
  <c r="J1319" i="3" s="1"/>
  <c r="K842" i="3"/>
  <c r="L842" i="3" s="1"/>
  <c r="Q1438" i="3"/>
  <c r="P1438" i="3"/>
  <c r="O1318" i="3"/>
  <c r="Q2038" i="3"/>
  <c r="P2038" i="3"/>
  <c r="S1200" i="3"/>
  <c r="R1200" i="3"/>
  <c r="M1923" i="3"/>
  <c r="S2637" i="3"/>
  <c r="R2637" i="3"/>
  <c r="O2038" i="3"/>
  <c r="N1438" i="3"/>
  <c r="J1439" i="3" s="1"/>
  <c r="Q1080" i="3"/>
  <c r="P1080" i="3"/>
  <c r="K2638" i="3"/>
  <c r="L2638" i="3" s="1"/>
  <c r="S962" i="3"/>
  <c r="R962" i="3"/>
  <c r="T143" i="1"/>
  <c r="S143" i="1"/>
  <c r="O1438" i="3"/>
  <c r="N1080" i="3"/>
  <c r="J1081" i="3" s="1"/>
  <c r="L601" i="3"/>
  <c r="K601" i="3"/>
  <c r="M483" i="3"/>
  <c r="Q2161" i="3"/>
  <c r="P2161" i="3"/>
  <c r="S1799" i="3"/>
  <c r="R1799" i="3"/>
  <c r="S2283" i="3"/>
  <c r="R2283" i="3"/>
  <c r="N2161" i="3"/>
  <c r="J2162" i="3" s="1"/>
  <c r="Q2400" i="3"/>
  <c r="P2400" i="3"/>
  <c r="R143" i="1"/>
  <c r="Q360" i="3"/>
  <c r="P360" i="3"/>
  <c r="O1080" i="3"/>
  <c r="M2401" i="3" l="1"/>
  <c r="M842" i="3"/>
  <c r="O963" i="3"/>
  <c r="N963" i="3"/>
  <c r="M963" i="3"/>
  <c r="M2638" i="3"/>
  <c r="M2039" i="3"/>
  <c r="L1202" i="3"/>
  <c r="K1202" i="3"/>
  <c r="K1081" i="3"/>
  <c r="L1081" i="3" s="1"/>
  <c r="Q1923" i="3"/>
  <c r="P1923" i="3"/>
  <c r="S1318" i="3"/>
  <c r="R1318" i="3"/>
  <c r="N720" i="3"/>
  <c r="J721" i="3" s="1"/>
  <c r="O1923" i="3"/>
  <c r="Q1560" i="3"/>
  <c r="P1560" i="3"/>
  <c r="M361" i="3"/>
  <c r="R144" i="1"/>
  <c r="P144" i="1"/>
  <c r="Q1800" i="3"/>
  <c r="P1800" i="3"/>
  <c r="N1923" i="3"/>
  <c r="S1438" i="3"/>
  <c r="R1438" i="3"/>
  <c r="O1560" i="3"/>
  <c r="Q118" i="3"/>
  <c r="P118" i="3"/>
  <c r="O1800" i="3"/>
  <c r="Q243" i="3"/>
  <c r="P243" i="3"/>
  <c r="Q720" i="3"/>
  <c r="P720" i="3"/>
  <c r="K2162" i="3"/>
  <c r="L2162" i="3" s="1"/>
  <c r="V143" i="1"/>
  <c r="U143" i="1"/>
  <c r="K1439" i="3"/>
  <c r="L1439" i="3" s="1"/>
  <c r="N1560" i="3"/>
  <c r="J1561" i="3" s="1"/>
  <c r="N118" i="3"/>
  <c r="J119" i="3" s="1"/>
  <c r="N1800" i="3"/>
  <c r="J1801" i="3" s="1"/>
  <c r="N243" i="3"/>
  <c r="M601" i="3"/>
  <c r="S2400" i="3"/>
  <c r="R2400" i="3"/>
  <c r="S1080" i="3"/>
  <c r="R1080" i="3"/>
  <c r="Q483" i="3"/>
  <c r="P483" i="3"/>
  <c r="N483" i="3"/>
  <c r="S600" i="3"/>
  <c r="R600" i="3"/>
  <c r="O118" i="3"/>
  <c r="Q1678" i="3"/>
  <c r="P1678" i="3"/>
  <c r="O243" i="3"/>
  <c r="S360" i="3"/>
  <c r="R360" i="3"/>
  <c r="S2038" i="3"/>
  <c r="R2038" i="3"/>
  <c r="S2161" i="3"/>
  <c r="R2161" i="3"/>
  <c r="O483" i="3"/>
  <c r="K1319" i="3"/>
  <c r="L1319" i="3" s="1"/>
  <c r="K1679" i="3"/>
  <c r="L1679" i="3" s="1"/>
  <c r="Q1201" i="3"/>
  <c r="P1201" i="3"/>
  <c r="O1678" i="3"/>
  <c r="N1319" i="3" l="1"/>
  <c r="J1320" i="3" s="1"/>
  <c r="M1319" i="3"/>
  <c r="M1439" i="3"/>
  <c r="M2162" i="3"/>
  <c r="O2162" i="3"/>
  <c r="M1081" i="3"/>
  <c r="O1679" i="3"/>
  <c r="M1679" i="3"/>
  <c r="S720" i="3"/>
  <c r="R720" i="3"/>
  <c r="Q361" i="3"/>
  <c r="P361" i="3"/>
  <c r="Q2039" i="3"/>
  <c r="P2039" i="3"/>
  <c r="K1561" i="3"/>
  <c r="L1561" i="3"/>
  <c r="Q601" i="3"/>
  <c r="P601" i="3"/>
  <c r="O361" i="3"/>
  <c r="N2039" i="3"/>
  <c r="J2040" i="3" s="1"/>
  <c r="Q842" i="3"/>
  <c r="P842" i="3"/>
  <c r="S243" i="3"/>
  <c r="R243" i="3"/>
  <c r="N361" i="3"/>
  <c r="J362" i="3" s="1"/>
  <c r="O2039" i="3"/>
  <c r="N842" i="3"/>
  <c r="J843" i="3" s="1"/>
  <c r="M1202" i="3"/>
  <c r="O1202" i="3" s="1"/>
  <c r="S1923" i="3"/>
  <c r="R1923" i="3"/>
  <c r="Q2638" i="3"/>
  <c r="P2638" i="3"/>
  <c r="O842" i="3"/>
  <c r="S1678" i="3"/>
  <c r="R1678" i="3"/>
  <c r="S1800" i="3"/>
  <c r="R1800" i="3"/>
  <c r="S1560" i="3"/>
  <c r="R1560" i="3"/>
  <c r="N2638" i="3"/>
  <c r="J2639" i="3" s="1"/>
  <c r="Q2401" i="3"/>
  <c r="P2401" i="3"/>
  <c r="S483" i="3"/>
  <c r="R483" i="3"/>
  <c r="N601" i="3"/>
  <c r="J602" i="3" s="1"/>
  <c r="O601" i="3"/>
  <c r="K1801" i="3"/>
  <c r="L1801" i="3"/>
  <c r="S118" i="3"/>
  <c r="R118" i="3"/>
  <c r="T144" i="1"/>
  <c r="S144" i="1"/>
  <c r="O2638" i="3"/>
  <c r="N2401" i="3"/>
  <c r="J2402" i="3" s="1"/>
  <c r="S1201" i="3"/>
  <c r="R1201" i="3"/>
  <c r="L119" i="3"/>
  <c r="K119" i="3"/>
  <c r="Q144" i="1"/>
  <c r="M145" i="1" s="1"/>
  <c r="K721" i="3"/>
  <c r="L721" i="3" s="1"/>
  <c r="Q963" i="3"/>
  <c r="P963" i="3"/>
  <c r="O2401" i="3"/>
  <c r="M721" i="3" l="1"/>
  <c r="Q1679" i="3"/>
  <c r="P1679" i="3"/>
  <c r="Q2162" i="3"/>
  <c r="P2162" i="3"/>
  <c r="Q1439" i="3"/>
  <c r="P1439" i="3"/>
  <c r="M1801" i="3"/>
  <c r="N1202" i="3"/>
  <c r="J1203" i="3" s="1"/>
  <c r="S842" i="3"/>
  <c r="R842" i="3"/>
  <c r="S2039" i="3"/>
  <c r="R2039" i="3"/>
  <c r="N1679" i="3"/>
  <c r="J1680" i="3" s="1"/>
  <c r="N1439" i="3"/>
  <c r="J1440" i="3" s="1"/>
  <c r="M1561" i="3"/>
  <c r="N1561" i="3" s="1"/>
  <c r="J1562" i="3" s="1"/>
  <c r="K2402" i="3"/>
  <c r="L2402" i="3" s="1"/>
  <c r="K2040" i="3"/>
  <c r="L2040" i="3" s="1"/>
  <c r="Q1081" i="3"/>
  <c r="P1081" i="3"/>
  <c r="O1439" i="3"/>
  <c r="O119" i="3"/>
  <c r="M119" i="3"/>
  <c r="S963" i="3"/>
  <c r="R963" i="3"/>
  <c r="K843" i="3"/>
  <c r="L843" i="3" s="1"/>
  <c r="S361" i="3"/>
  <c r="R361" i="3"/>
  <c r="N1081" i="3"/>
  <c r="J1082" i="3" s="1"/>
  <c r="Q1319" i="3"/>
  <c r="P1319" i="3"/>
  <c r="Q1202" i="3"/>
  <c r="P1202" i="3"/>
  <c r="N145" i="1"/>
  <c r="O145" i="1"/>
  <c r="K602" i="3"/>
  <c r="L602" i="3" s="1"/>
  <c r="O1081" i="3"/>
  <c r="K1320" i="3"/>
  <c r="L1320" i="3" s="1"/>
  <c r="S2401" i="3"/>
  <c r="R2401" i="3"/>
  <c r="K2639" i="3"/>
  <c r="L2639" i="3"/>
  <c r="V144" i="1"/>
  <c r="U144" i="1"/>
  <c r="S2638" i="3"/>
  <c r="R2638" i="3"/>
  <c r="K362" i="3"/>
  <c r="L362" i="3"/>
  <c r="S601" i="3"/>
  <c r="R601" i="3"/>
  <c r="N2162" i="3"/>
  <c r="J2163" i="3" s="1"/>
  <c r="O1319" i="3"/>
  <c r="K1562" i="3" l="1"/>
  <c r="L1562" i="3" s="1"/>
  <c r="M843" i="3"/>
  <c r="M1320" i="3"/>
  <c r="N1320" i="3" s="1"/>
  <c r="J1321" i="3" s="1"/>
  <c r="M602" i="3"/>
  <c r="M2040" i="3"/>
  <c r="O2040" i="3"/>
  <c r="O2402" i="3"/>
  <c r="N2402" i="3"/>
  <c r="J2403" i="3" s="1"/>
  <c r="M2402" i="3"/>
  <c r="S2162" i="3"/>
  <c r="R2162" i="3"/>
  <c r="S1439" i="3"/>
  <c r="R1439" i="3"/>
  <c r="S1081" i="3"/>
  <c r="R1081" i="3"/>
  <c r="K1203" i="3"/>
  <c r="L1203" i="3" s="1"/>
  <c r="Q1561" i="3"/>
  <c r="P1561" i="3"/>
  <c r="K1680" i="3"/>
  <c r="L1680" i="3"/>
  <c r="Q1801" i="3"/>
  <c r="P1801" i="3"/>
  <c r="S1679" i="3"/>
  <c r="R1679" i="3"/>
  <c r="K2163" i="3"/>
  <c r="L2163" i="3" s="1"/>
  <c r="S1202" i="3"/>
  <c r="R1202" i="3"/>
  <c r="K1440" i="3"/>
  <c r="L1440" i="3" s="1"/>
  <c r="S1319" i="3"/>
  <c r="R1319" i="3"/>
  <c r="O1801" i="3"/>
  <c r="Q721" i="3"/>
  <c r="P721" i="3"/>
  <c r="Q119" i="3"/>
  <c r="P119" i="3"/>
  <c r="N1801" i="3"/>
  <c r="J1802" i="3" s="1"/>
  <c r="O721" i="3"/>
  <c r="R145" i="1"/>
  <c r="Q145" i="1"/>
  <c r="M146" i="1" s="1"/>
  <c r="P145" i="1"/>
  <c r="O1561" i="3"/>
  <c r="M362" i="3"/>
  <c r="O362" i="3" s="1"/>
  <c r="M2639" i="3"/>
  <c r="K1082" i="3"/>
  <c r="L1082" i="3"/>
  <c r="N119" i="3"/>
  <c r="J120" i="3" s="1"/>
  <c r="N721" i="3"/>
  <c r="J722" i="3" s="1"/>
  <c r="M1203" i="3" l="1"/>
  <c r="M1440" i="3"/>
  <c r="K1321" i="3"/>
  <c r="L1321" i="3"/>
  <c r="M2163" i="3"/>
  <c r="M1562" i="3"/>
  <c r="Q2639" i="3"/>
  <c r="P2639" i="3"/>
  <c r="O1320" i="3"/>
  <c r="K2403" i="3"/>
  <c r="L2403" i="3" s="1"/>
  <c r="N146" i="1"/>
  <c r="O146" i="1" s="1"/>
  <c r="Q1320" i="3"/>
  <c r="P1320" i="3"/>
  <c r="Q2040" i="3"/>
  <c r="P2040" i="3"/>
  <c r="Q843" i="3"/>
  <c r="P843" i="3"/>
  <c r="M1680" i="3"/>
  <c r="N2040" i="3"/>
  <c r="J2041" i="3" s="1"/>
  <c r="N843" i="3"/>
  <c r="Q362" i="3"/>
  <c r="P362" i="3"/>
  <c r="S1561" i="3"/>
  <c r="R1561" i="3"/>
  <c r="K120" i="3"/>
  <c r="L120" i="3" s="1"/>
  <c r="N362" i="3"/>
  <c r="J363" i="3" s="1"/>
  <c r="S119" i="3"/>
  <c r="R119" i="3"/>
  <c r="Q602" i="3"/>
  <c r="P602" i="3"/>
  <c r="O843" i="3"/>
  <c r="O2639" i="3"/>
  <c r="K1802" i="3"/>
  <c r="L1802" i="3" s="1"/>
  <c r="K722" i="3"/>
  <c r="L722" i="3"/>
  <c r="M1082" i="3"/>
  <c r="O602" i="3"/>
  <c r="N2639" i="3"/>
  <c r="J2640" i="3" s="1"/>
  <c r="T145" i="1"/>
  <c r="S145" i="1"/>
  <c r="S721" i="3"/>
  <c r="R721" i="3"/>
  <c r="S1801" i="3"/>
  <c r="R1801" i="3"/>
  <c r="Q2402" i="3"/>
  <c r="P2402" i="3"/>
  <c r="N602" i="3"/>
  <c r="J603" i="3" s="1"/>
  <c r="P146" i="1" l="1"/>
  <c r="M2403" i="3"/>
  <c r="O1802" i="3"/>
  <c r="N1802" i="3"/>
  <c r="J1803" i="3" s="1"/>
  <c r="M1802" i="3"/>
  <c r="M120" i="3"/>
  <c r="K2041" i="3"/>
  <c r="L2041" i="3" s="1"/>
  <c r="S2639" i="3"/>
  <c r="R2639" i="3"/>
  <c r="S1320" i="3"/>
  <c r="R1320" i="3"/>
  <c r="Q1562" i="3"/>
  <c r="P1562" i="3"/>
  <c r="Q1440" i="3"/>
  <c r="P1440" i="3"/>
  <c r="O1321" i="3"/>
  <c r="M1321" i="3"/>
  <c r="N1440" i="3"/>
  <c r="J1441" i="3" s="1"/>
  <c r="K2640" i="3"/>
  <c r="L2640" i="3" s="1"/>
  <c r="S2040" i="3"/>
  <c r="R2040" i="3"/>
  <c r="Q1082" i="3"/>
  <c r="P1082" i="3"/>
  <c r="Q1680" i="3"/>
  <c r="P1680" i="3"/>
  <c r="O1082" i="3"/>
  <c r="K603" i="3"/>
  <c r="L603" i="3"/>
  <c r="S602" i="3"/>
  <c r="R602" i="3"/>
  <c r="O1680" i="3"/>
  <c r="O1562" i="3"/>
  <c r="O1440" i="3"/>
  <c r="K363" i="3"/>
  <c r="L363" i="3"/>
  <c r="N1680" i="3"/>
  <c r="J1681" i="3" s="1"/>
  <c r="M722" i="3"/>
  <c r="N722" i="3" s="1"/>
  <c r="J723" i="3" s="1"/>
  <c r="Q2163" i="3"/>
  <c r="P2163" i="3"/>
  <c r="Q1203" i="3"/>
  <c r="P1203" i="3"/>
  <c r="S843" i="3"/>
  <c r="R843" i="3"/>
  <c r="N2163" i="3"/>
  <c r="N1203" i="3"/>
  <c r="N1562" i="3"/>
  <c r="J1563" i="3" s="1"/>
  <c r="N1082" i="3"/>
  <c r="J1083" i="3" s="1"/>
  <c r="S2402" i="3"/>
  <c r="R2402" i="3"/>
  <c r="V145" i="1"/>
  <c r="U145" i="1"/>
  <c r="S362" i="3"/>
  <c r="R362" i="3"/>
  <c r="O2163" i="3"/>
  <c r="O1203" i="3"/>
  <c r="M2041" i="3" l="1"/>
  <c r="K723" i="3"/>
  <c r="L723" i="3"/>
  <c r="M2640" i="3"/>
  <c r="N2640" i="3" s="1"/>
  <c r="J2641" i="3" s="1"/>
  <c r="M603" i="3"/>
  <c r="S1440" i="3"/>
  <c r="R1440" i="3"/>
  <c r="S1203" i="3"/>
  <c r="R1203" i="3"/>
  <c r="Q2403" i="3"/>
  <c r="P2403" i="3"/>
  <c r="K1803" i="3"/>
  <c r="L1803" i="3"/>
  <c r="K1083" i="3"/>
  <c r="L1083" i="3" s="1"/>
  <c r="S1562" i="3"/>
  <c r="R1562" i="3"/>
  <c r="O2403" i="3"/>
  <c r="E30" i="2"/>
  <c r="E38" i="2"/>
  <c r="E40" i="2"/>
  <c r="E29" i="2"/>
  <c r="E26" i="2"/>
  <c r="E24" i="2"/>
  <c r="E32" i="2"/>
  <c r="S2163" i="3"/>
  <c r="D29" i="2"/>
  <c r="D38" i="2"/>
  <c r="H38" i="2"/>
  <c r="D30" i="2"/>
  <c r="H30" i="2"/>
  <c r="I10" i="2"/>
  <c r="H29" i="2"/>
  <c r="J10" i="2"/>
  <c r="K13" i="2"/>
  <c r="D40" i="2"/>
  <c r="I13" i="2"/>
  <c r="H26" i="2"/>
  <c r="H24" i="2"/>
  <c r="J8" i="2"/>
  <c r="D26" i="2"/>
  <c r="I9" i="2"/>
  <c r="D24" i="2"/>
  <c r="D32" i="2"/>
  <c r="H32" i="2"/>
  <c r="I11" i="2"/>
  <c r="R2163" i="3"/>
  <c r="H40" i="2" s="1"/>
  <c r="S1680" i="3"/>
  <c r="R1680" i="3"/>
  <c r="L1441" i="3"/>
  <c r="K1441" i="3"/>
  <c r="Q120" i="3"/>
  <c r="P120" i="3"/>
  <c r="N2403" i="3"/>
  <c r="Q1321" i="3"/>
  <c r="P1321" i="3"/>
  <c r="O120" i="3"/>
  <c r="T146" i="1"/>
  <c r="S146" i="1"/>
  <c r="L1563" i="3"/>
  <c r="K1563" i="3"/>
  <c r="S1082" i="3"/>
  <c r="R1082" i="3"/>
  <c r="N120" i="3"/>
  <c r="J121" i="3" s="1"/>
  <c r="Q146" i="1"/>
  <c r="M147" i="1" s="1"/>
  <c r="N363" i="3"/>
  <c r="M363" i="3"/>
  <c r="Q722" i="3"/>
  <c r="P722" i="3"/>
  <c r="O722" i="3"/>
  <c r="I29" i="2"/>
  <c r="I40" i="2"/>
  <c r="I30" i="2"/>
  <c r="I24" i="2"/>
  <c r="I26" i="2"/>
  <c r="I32" i="2"/>
  <c r="I38" i="2"/>
  <c r="K1681" i="3"/>
  <c r="L1681" i="3" s="1"/>
  <c r="N1321" i="3"/>
  <c r="J1322" i="3" s="1"/>
  <c r="Q1802" i="3"/>
  <c r="P1802" i="3"/>
  <c r="R146" i="1"/>
  <c r="O1083" i="3" l="1"/>
  <c r="I31" i="2" s="1"/>
  <c r="M1083" i="3"/>
  <c r="N1681" i="3"/>
  <c r="J1682" i="3" s="1"/>
  <c r="M1681" i="3"/>
  <c r="O1681" i="3" s="1"/>
  <c r="K2641" i="3"/>
  <c r="L2641" i="3" s="1"/>
  <c r="K121" i="3"/>
  <c r="L121" i="3" s="1"/>
  <c r="V146" i="1"/>
  <c r="U146" i="1"/>
  <c r="O1441" i="3"/>
  <c r="N1441" i="3"/>
  <c r="J1442" i="3" s="1"/>
  <c r="M1441" i="3"/>
  <c r="Q2640" i="3"/>
  <c r="P2640" i="3"/>
  <c r="O2640" i="3"/>
  <c r="S1802" i="3"/>
  <c r="R1802" i="3"/>
  <c r="S722" i="3"/>
  <c r="R722" i="3"/>
  <c r="S1321" i="3"/>
  <c r="R1321" i="3"/>
  <c r="F29" i="2"/>
  <c r="G29" i="2"/>
  <c r="F40" i="2"/>
  <c r="F24" i="2"/>
  <c r="G30" i="2"/>
  <c r="G26" i="2"/>
  <c r="F38" i="2"/>
  <c r="G38" i="2"/>
  <c r="F32" i="2"/>
  <c r="G40" i="2"/>
  <c r="F30" i="2"/>
  <c r="G24" i="2"/>
  <c r="F26" i="2"/>
  <c r="G32" i="2"/>
  <c r="M723" i="3"/>
  <c r="K1322" i="3"/>
  <c r="L1322" i="3" s="1"/>
  <c r="Q363" i="3"/>
  <c r="P363" i="3"/>
  <c r="E25" i="2" s="1"/>
  <c r="O1803" i="3"/>
  <c r="I37" i="2" s="1"/>
  <c r="M1803" i="3"/>
  <c r="O1563" i="3"/>
  <c r="I35" i="2" s="1"/>
  <c r="N1563" i="3"/>
  <c r="M1563" i="3"/>
  <c r="Q603" i="3"/>
  <c r="P603" i="3"/>
  <c r="E27" i="2" s="1"/>
  <c r="Q2041" i="3"/>
  <c r="P2041" i="3"/>
  <c r="O363" i="3"/>
  <c r="I25" i="2" s="1"/>
  <c r="S120" i="3"/>
  <c r="R120" i="3"/>
  <c r="N603" i="3"/>
  <c r="N2041" i="3"/>
  <c r="J2042" i="3" s="1"/>
  <c r="N147" i="1"/>
  <c r="O147" i="1" s="1"/>
  <c r="S2403" i="3"/>
  <c r="R2403" i="3"/>
  <c r="O603" i="3"/>
  <c r="I27" i="2" s="1"/>
  <c r="O2041" i="3"/>
  <c r="M2641" i="3" l="1"/>
  <c r="N2641" i="3"/>
  <c r="J2642" i="3" s="1"/>
  <c r="O121" i="3"/>
  <c r="N121" i="3"/>
  <c r="J122" i="3" s="1"/>
  <c r="M121" i="3"/>
  <c r="P147" i="1"/>
  <c r="M1322" i="3"/>
  <c r="S2640" i="3"/>
  <c r="R2640" i="3"/>
  <c r="K1682" i="3"/>
  <c r="L1682" i="3" s="1"/>
  <c r="S363" i="3"/>
  <c r="R363" i="3"/>
  <c r="K8" i="2"/>
  <c r="D25" i="2"/>
  <c r="H25" i="2"/>
  <c r="Q1563" i="3"/>
  <c r="P1563" i="3"/>
  <c r="E35" i="2" s="1"/>
  <c r="Q1441" i="3"/>
  <c r="P1441" i="3"/>
  <c r="Q1083" i="3"/>
  <c r="P1083" i="3"/>
  <c r="E31" i="2" s="1"/>
  <c r="K1442" i="3"/>
  <c r="L1442" i="3" s="1"/>
  <c r="N1083" i="3"/>
  <c r="K2042" i="3"/>
  <c r="L2042" i="3" s="1"/>
  <c r="S603" i="3"/>
  <c r="R603" i="3"/>
  <c r="H27" i="2"/>
  <c r="J9" i="2"/>
  <c r="D27" i="2"/>
  <c r="Q723" i="3"/>
  <c r="P723" i="3"/>
  <c r="E28" i="2" s="1"/>
  <c r="Q1803" i="3"/>
  <c r="P1803" i="3"/>
  <c r="E37" i="2" s="1"/>
  <c r="N723" i="3"/>
  <c r="S2041" i="3"/>
  <c r="R2041" i="3"/>
  <c r="N1803" i="3"/>
  <c r="O723" i="3"/>
  <c r="I28" i="2" s="1"/>
  <c r="Q1681" i="3"/>
  <c r="P1681" i="3"/>
  <c r="M2042" i="3" l="1"/>
  <c r="M1442" i="3"/>
  <c r="O1682" i="3"/>
  <c r="N1682" i="3"/>
  <c r="J1683" i="3" s="1"/>
  <c r="M1682" i="3"/>
  <c r="Q121" i="3"/>
  <c r="P121" i="3"/>
  <c r="S1803" i="3"/>
  <c r="K12" i="2"/>
  <c r="R1803" i="3"/>
  <c r="H37" i="2"/>
  <c r="D37" i="2"/>
  <c r="F27" i="2"/>
  <c r="G27" i="2"/>
  <c r="S1083" i="3"/>
  <c r="K10" i="2"/>
  <c r="L10" i="2" s="1"/>
  <c r="R1083" i="3"/>
  <c r="H31" i="2"/>
  <c r="D31" i="2"/>
  <c r="K122" i="3"/>
  <c r="L122" i="3" s="1"/>
  <c r="F25" i="2"/>
  <c r="G25" i="2"/>
  <c r="Q1322" i="3"/>
  <c r="P1322" i="3"/>
  <c r="S1441" i="3"/>
  <c r="R1441" i="3"/>
  <c r="O1322" i="3"/>
  <c r="K2642" i="3"/>
  <c r="L2642" i="3" s="1"/>
  <c r="T147" i="1"/>
  <c r="S147" i="1"/>
  <c r="S723" i="3"/>
  <c r="H28" i="2"/>
  <c r="R723" i="3"/>
  <c r="K9" i="2"/>
  <c r="L9" i="2" s="1"/>
  <c r="D28" i="2"/>
  <c r="N1322" i="3"/>
  <c r="J1323" i="3" s="1"/>
  <c r="Q2641" i="3"/>
  <c r="P2641" i="3"/>
  <c r="S1681" i="3"/>
  <c r="R1681" i="3"/>
  <c r="S1563" i="3"/>
  <c r="D35" i="2"/>
  <c r="I12" i="2"/>
  <c r="H35" i="2"/>
  <c r="R1563" i="3"/>
  <c r="Q147" i="1"/>
  <c r="M148" i="1" s="1"/>
  <c r="O2641" i="3"/>
  <c r="R147" i="1"/>
  <c r="M2642" i="3" l="1"/>
  <c r="N122" i="3"/>
  <c r="J123" i="3" s="1"/>
  <c r="M122" i="3"/>
  <c r="G28" i="2"/>
  <c r="F28" i="2"/>
  <c r="K1683" i="3"/>
  <c r="L1683" i="3" s="1"/>
  <c r="S1322" i="3"/>
  <c r="R1322" i="3"/>
  <c r="Q1442" i="3"/>
  <c r="P1442" i="3"/>
  <c r="G37" i="2"/>
  <c r="F37" i="2"/>
  <c r="N1442" i="3"/>
  <c r="J1443" i="3" s="1"/>
  <c r="K1323" i="3"/>
  <c r="L1323" i="3" s="1"/>
  <c r="G31" i="2"/>
  <c r="F31" i="2"/>
  <c r="O1442" i="3"/>
  <c r="G35" i="2"/>
  <c r="F35" i="2"/>
  <c r="S2641" i="3"/>
  <c r="R2641" i="3"/>
  <c r="N148" i="1"/>
  <c r="O148" i="1"/>
  <c r="S121" i="3"/>
  <c r="R121" i="3"/>
  <c r="Q2042" i="3"/>
  <c r="P2042" i="3"/>
  <c r="V147" i="1"/>
  <c r="U147" i="1"/>
  <c r="N2042" i="3"/>
  <c r="J2043" i="3" s="1"/>
  <c r="Q1682" i="3"/>
  <c r="P1682" i="3"/>
  <c r="O2042" i="3"/>
  <c r="M1323" i="3" l="1"/>
  <c r="M1683" i="3"/>
  <c r="S2042" i="3"/>
  <c r="R2042" i="3"/>
  <c r="K2043" i="3"/>
  <c r="L2043" i="3" s="1"/>
  <c r="Q122" i="3"/>
  <c r="P122" i="3"/>
  <c r="S1442" i="3"/>
  <c r="R1442" i="3"/>
  <c r="K123" i="3"/>
  <c r="L123" i="3" s="1"/>
  <c r="S1682" i="3"/>
  <c r="R1682" i="3"/>
  <c r="O122" i="3"/>
  <c r="P148" i="1"/>
  <c r="K1443" i="3"/>
  <c r="L1443" i="3" s="1"/>
  <c r="Q2642" i="3"/>
  <c r="P2642" i="3"/>
  <c r="O2642" i="3"/>
  <c r="N2642" i="3"/>
  <c r="J2643" i="3" s="1"/>
  <c r="M1443" i="3" l="1"/>
  <c r="M2043" i="3"/>
  <c r="O123" i="3"/>
  <c r="N123" i="3"/>
  <c r="M123" i="3"/>
  <c r="S122" i="3"/>
  <c r="R122" i="3"/>
  <c r="K2643" i="3"/>
  <c r="L2643" i="3" s="1"/>
  <c r="T148" i="1"/>
  <c r="S148" i="1"/>
  <c r="R148" i="1"/>
  <c r="Q1683" i="3"/>
  <c r="P1683" i="3"/>
  <c r="S2642" i="3"/>
  <c r="R2642" i="3"/>
  <c r="Q148" i="1"/>
  <c r="M149" i="1" s="1"/>
  <c r="I23" i="2"/>
  <c r="N1683" i="3"/>
  <c r="O1683" i="3"/>
  <c r="Q1323" i="3"/>
  <c r="P1323" i="3"/>
  <c r="E33" i="2" s="1"/>
  <c r="N1323" i="3"/>
  <c r="O1323" i="3"/>
  <c r="I33" i="2" s="1"/>
  <c r="M2643" i="3" l="1"/>
  <c r="Q2043" i="3"/>
  <c r="P2043" i="3"/>
  <c r="N2043" i="3"/>
  <c r="S1683" i="3"/>
  <c r="D36" i="2"/>
  <c r="J12" i="2"/>
  <c r="L12" i="2" s="1"/>
  <c r="R1683" i="3"/>
  <c r="H36" i="2"/>
  <c r="O2043" i="3"/>
  <c r="Q1443" i="3"/>
  <c r="P1443" i="3"/>
  <c r="S1323" i="3"/>
  <c r="H33" i="2"/>
  <c r="R1323" i="3"/>
  <c r="D33" i="2"/>
  <c r="J11" i="2"/>
  <c r="V148" i="1"/>
  <c r="U148" i="1"/>
  <c r="O1443" i="3"/>
  <c r="O149" i="1"/>
  <c r="N149" i="1"/>
  <c r="Q123" i="3"/>
  <c r="P123" i="3"/>
  <c r="N1443" i="3"/>
  <c r="P149" i="1" l="1"/>
  <c r="G36" i="2"/>
  <c r="F33" i="2"/>
  <c r="G33" i="2"/>
  <c r="S123" i="3"/>
  <c r="G23" i="2" s="1"/>
  <c r="R123" i="3"/>
  <c r="D23" i="2"/>
  <c r="I8" i="2"/>
  <c r="L8" i="2" s="1"/>
  <c r="S1443" i="3"/>
  <c r="R1443" i="3"/>
  <c r="H34" i="2"/>
  <c r="K11" i="2"/>
  <c r="L11" i="2" s="1"/>
  <c r="D34" i="2"/>
  <c r="E23" i="2"/>
  <c r="E36" i="2"/>
  <c r="F36" i="2" s="1"/>
  <c r="E39" i="2"/>
  <c r="E34" i="2"/>
  <c r="I36" i="2"/>
  <c r="I39" i="2"/>
  <c r="I34" i="2"/>
  <c r="S2043" i="3"/>
  <c r="H39" i="2"/>
  <c r="D39" i="2"/>
  <c r="J13" i="2"/>
  <c r="L13" i="2" s="1"/>
  <c r="R2043" i="3"/>
  <c r="H23" i="2"/>
  <c r="Q2643" i="3"/>
  <c r="P2643" i="3"/>
  <c r="N2643" i="3"/>
  <c r="O2643" i="3"/>
  <c r="F39" i="2" l="1"/>
  <c r="G39" i="2"/>
  <c r="F23" i="2"/>
  <c r="S2643" i="3"/>
  <c r="L27" i="2"/>
  <c r="O27" i="2" s="1"/>
  <c r="L26" i="2"/>
  <c r="O26" i="2" s="1"/>
  <c r="L24" i="2"/>
  <c r="O24" i="2" s="1"/>
  <c r="L25" i="2"/>
  <c r="O25" i="2" s="1"/>
  <c r="R2643" i="3"/>
  <c r="F34" i="2"/>
  <c r="G34" i="2"/>
  <c r="T149" i="1"/>
  <c r="S149" i="1"/>
  <c r="Q149" i="1"/>
  <c r="M150" i="1" s="1"/>
  <c r="M27" i="2"/>
  <c r="M26" i="2"/>
  <c r="M25" i="2"/>
  <c r="M24" i="2"/>
  <c r="N27" i="2"/>
  <c r="N24" i="2"/>
  <c r="N26" i="2"/>
  <c r="N25" i="2"/>
  <c r="R149" i="1"/>
  <c r="N150" i="1" l="1"/>
  <c r="O150" i="1" s="1"/>
  <c r="V149" i="1"/>
  <c r="U149" i="1"/>
  <c r="P150" i="1" l="1"/>
  <c r="T150" i="1" l="1"/>
  <c r="S150" i="1"/>
  <c r="Q150" i="1"/>
  <c r="M151" i="1" s="1"/>
  <c r="R150" i="1"/>
  <c r="O151" i="1" l="1"/>
  <c r="N151" i="1"/>
  <c r="V150" i="1"/>
  <c r="U150" i="1"/>
  <c r="P151" i="1" l="1"/>
  <c r="T151" i="1" l="1"/>
  <c r="S151" i="1"/>
  <c r="R151" i="1"/>
  <c r="Q151" i="1"/>
  <c r="M152" i="1" s="1"/>
  <c r="N152" i="1" l="1"/>
  <c r="O152" i="1" s="1"/>
  <c r="V151" i="1"/>
  <c r="U151" i="1"/>
  <c r="P152" i="1" l="1"/>
  <c r="T152" i="1" l="1"/>
  <c r="S152" i="1"/>
  <c r="Q152" i="1"/>
  <c r="M153" i="1" s="1"/>
  <c r="R152" i="1"/>
  <c r="N153" i="1" l="1"/>
  <c r="O153" i="1"/>
  <c r="V152" i="1"/>
  <c r="U152" i="1"/>
  <c r="P153" i="1" l="1"/>
  <c r="Q153" i="1"/>
  <c r="M154" i="1" s="1"/>
  <c r="N154" i="1" l="1"/>
  <c r="O154" i="1" s="1"/>
  <c r="T153" i="1"/>
  <c r="S153" i="1"/>
  <c r="R153" i="1"/>
  <c r="P154" i="1" l="1"/>
  <c r="V153" i="1"/>
  <c r="U153" i="1"/>
  <c r="T154" i="1" l="1"/>
  <c r="S154" i="1"/>
  <c r="Q154" i="1"/>
  <c r="M155" i="1" s="1"/>
  <c r="R154" i="1"/>
  <c r="N155" i="1" l="1"/>
  <c r="O155" i="1" s="1"/>
  <c r="V154" i="1"/>
  <c r="U154" i="1"/>
  <c r="P155" i="1" l="1"/>
  <c r="R155" i="1"/>
  <c r="Q155" i="1"/>
  <c r="M156" i="1" s="1"/>
  <c r="N156" i="1" l="1"/>
  <c r="O156" i="1"/>
  <c r="T155" i="1"/>
  <c r="S155" i="1"/>
  <c r="V155" i="1" l="1"/>
  <c r="U155" i="1"/>
  <c r="P156" i="1"/>
  <c r="T156" i="1" l="1"/>
  <c r="S156" i="1"/>
  <c r="R156" i="1"/>
  <c r="Q156" i="1"/>
  <c r="M157" i="1" s="1"/>
  <c r="N157" i="1" l="1"/>
  <c r="O157" i="1" s="1"/>
  <c r="V156" i="1"/>
  <c r="U156" i="1"/>
  <c r="P157" i="1" l="1"/>
  <c r="T157" i="1" l="1"/>
  <c r="S157" i="1"/>
  <c r="Q157" i="1"/>
  <c r="M158" i="1" s="1"/>
  <c r="R157" i="1"/>
  <c r="N158" i="1" l="1"/>
  <c r="O158" i="1" s="1"/>
  <c r="V157" i="1"/>
  <c r="U157" i="1"/>
  <c r="P158" i="1" l="1"/>
  <c r="T158" i="1" l="1"/>
  <c r="S158" i="1"/>
  <c r="Q158" i="1"/>
  <c r="M159" i="1" s="1"/>
  <c r="R158" i="1"/>
  <c r="N159" i="1" l="1"/>
  <c r="O159" i="1" s="1"/>
  <c r="V158" i="1"/>
  <c r="U158" i="1"/>
  <c r="P159" i="1" l="1"/>
  <c r="T159" i="1" l="1"/>
  <c r="S159" i="1"/>
  <c r="R159" i="1"/>
  <c r="Q159" i="1"/>
  <c r="M160" i="1" s="1"/>
  <c r="N160" i="1" l="1"/>
  <c r="O160" i="1" s="1"/>
  <c r="V159" i="1"/>
  <c r="U159" i="1"/>
  <c r="P160" i="1" l="1"/>
  <c r="T160" i="1" l="1"/>
  <c r="S160" i="1"/>
  <c r="Q160" i="1"/>
  <c r="M161" i="1" s="1"/>
  <c r="R160" i="1"/>
  <c r="N161" i="1" l="1"/>
  <c r="O161" i="1"/>
  <c r="V160" i="1"/>
  <c r="U160" i="1"/>
  <c r="P161" i="1" l="1"/>
  <c r="T161" i="1" l="1"/>
  <c r="S161" i="1"/>
  <c r="Q161" i="1"/>
  <c r="M162" i="1" s="1"/>
  <c r="R161" i="1"/>
  <c r="N162" i="1" l="1"/>
  <c r="O162" i="1" s="1"/>
  <c r="V161" i="1"/>
  <c r="U161" i="1"/>
  <c r="P162" i="1" l="1"/>
  <c r="T162" i="1" l="1"/>
  <c r="S162" i="1"/>
  <c r="Q162" i="1"/>
  <c r="M163" i="1" s="1"/>
  <c r="R162" i="1"/>
  <c r="N163" i="1" l="1"/>
  <c r="O163" i="1" s="1"/>
  <c r="V162" i="1"/>
  <c r="U162" i="1"/>
  <c r="P163" i="1" l="1"/>
  <c r="R163" i="1"/>
  <c r="Q163" i="1"/>
  <c r="M164" i="1" s="1"/>
  <c r="N164" i="1" l="1"/>
  <c r="O164" i="1"/>
  <c r="T163" i="1"/>
  <c r="S163" i="1"/>
  <c r="V163" i="1" l="1"/>
  <c r="U163" i="1"/>
  <c r="P164" i="1"/>
  <c r="T164" i="1" l="1"/>
  <c r="S164" i="1"/>
  <c r="R164" i="1"/>
  <c r="Q164" i="1"/>
  <c r="M165" i="1" s="1"/>
  <c r="N165" i="1" l="1"/>
  <c r="O165" i="1" s="1"/>
  <c r="V164" i="1"/>
  <c r="U164" i="1"/>
  <c r="P165" i="1" l="1"/>
  <c r="T165" i="1" l="1"/>
  <c r="S165" i="1"/>
  <c r="Q165" i="1"/>
  <c r="M166" i="1" s="1"/>
  <c r="R165" i="1"/>
  <c r="N166" i="1" l="1"/>
  <c r="O166" i="1" s="1"/>
  <c r="V165" i="1"/>
  <c r="U165" i="1"/>
  <c r="P166" i="1" l="1"/>
  <c r="T166" i="1" l="1"/>
  <c r="S166" i="1"/>
  <c r="Q166" i="1"/>
  <c r="M167" i="1" s="1"/>
  <c r="R166" i="1"/>
  <c r="N167" i="1" l="1"/>
  <c r="O167" i="1" s="1"/>
  <c r="V166" i="1"/>
  <c r="U166" i="1"/>
  <c r="P167" i="1" l="1"/>
  <c r="T167" i="1" l="1"/>
  <c r="S167" i="1"/>
  <c r="R167" i="1"/>
  <c r="Q167" i="1"/>
  <c r="M168" i="1" s="1"/>
  <c r="N168" i="1" l="1"/>
  <c r="O168" i="1" s="1"/>
  <c r="V167" i="1"/>
  <c r="U167" i="1"/>
  <c r="P168" i="1" l="1"/>
  <c r="T168" i="1" l="1"/>
  <c r="S168" i="1"/>
  <c r="Q168" i="1"/>
  <c r="M169" i="1" s="1"/>
  <c r="R168" i="1"/>
  <c r="N169" i="1" l="1"/>
  <c r="O169" i="1"/>
  <c r="V168" i="1"/>
  <c r="U168" i="1"/>
  <c r="P169" i="1" l="1"/>
  <c r="T169" i="1" l="1"/>
  <c r="S169" i="1"/>
  <c r="Q169" i="1"/>
  <c r="M170" i="1" s="1"/>
  <c r="R169" i="1"/>
  <c r="N170" i="1" l="1"/>
  <c r="O170" i="1" s="1"/>
  <c r="V169" i="1"/>
  <c r="U169" i="1"/>
  <c r="P170" i="1" l="1"/>
  <c r="R170" i="1"/>
  <c r="Q170" i="1"/>
  <c r="M171" i="1" s="1"/>
  <c r="N171" i="1" l="1"/>
  <c r="O171" i="1" s="1"/>
  <c r="T170" i="1"/>
  <c r="S170" i="1"/>
  <c r="P171" i="1" l="1"/>
  <c r="R171" i="1"/>
  <c r="Q171" i="1"/>
  <c r="M172" i="1" s="1"/>
  <c r="V170" i="1"/>
  <c r="U170" i="1"/>
  <c r="N172" i="1" l="1"/>
  <c r="O172" i="1"/>
  <c r="T171" i="1"/>
  <c r="S171" i="1"/>
  <c r="V171" i="1" l="1"/>
  <c r="U171" i="1"/>
  <c r="P172" i="1"/>
  <c r="R172" i="1" s="1"/>
  <c r="T172" i="1" l="1"/>
  <c r="S172" i="1"/>
  <c r="Q172" i="1"/>
  <c r="M173" i="1" s="1"/>
  <c r="N173" i="1" l="1"/>
  <c r="O173" i="1" s="1"/>
  <c r="V172" i="1"/>
  <c r="U172" i="1"/>
  <c r="P173" i="1" l="1"/>
  <c r="T173" i="1" l="1"/>
  <c r="S173" i="1"/>
  <c r="Q173" i="1"/>
  <c r="M174" i="1" s="1"/>
  <c r="R173" i="1"/>
  <c r="N174" i="1" l="1"/>
  <c r="O174" i="1" s="1"/>
  <c r="V173" i="1"/>
  <c r="U173" i="1"/>
  <c r="P174" i="1" l="1"/>
  <c r="T174" i="1" l="1"/>
  <c r="S174" i="1"/>
  <c r="Q174" i="1"/>
  <c r="M175" i="1" s="1"/>
  <c r="R174" i="1"/>
  <c r="N175" i="1" l="1"/>
  <c r="O175" i="1" s="1"/>
  <c r="V174" i="1"/>
  <c r="U174" i="1"/>
  <c r="P175" i="1" l="1"/>
  <c r="T175" i="1" l="1"/>
  <c r="S175" i="1"/>
  <c r="R175" i="1"/>
  <c r="Q175" i="1"/>
  <c r="M176" i="1" s="1"/>
  <c r="N176" i="1" l="1"/>
  <c r="O176" i="1" s="1"/>
  <c r="V175" i="1"/>
  <c r="U175" i="1"/>
  <c r="P176" i="1" l="1"/>
  <c r="T176" i="1" l="1"/>
  <c r="S176" i="1"/>
  <c r="Q176" i="1"/>
  <c r="M177" i="1" s="1"/>
  <c r="R176" i="1"/>
  <c r="N177" i="1" l="1"/>
  <c r="O177" i="1"/>
  <c r="V176" i="1"/>
  <c r="U176" i="1"/>
  <c r="P177" i="1" l="1"/>
  <c r="T177" i="1" l="1"/>
  <c r="S177" i="1"/>
  <c r="Q177" i="1"/>
  <c r="M178" i="1" s="1"/>
  <c r="R177" i="1"/>
  <c r="N178" i="1" l="1"/>
  <c r="O178" i="1" s="1"/>
  <c r="V177" i="1"/>
  <c r="U177" i="1"/>
  <c r="P178" i="1" l="1"/>
  <c r="R178" i="1"/>
  <c r="T178" i="1" l="1"/>
  <c r="S178" i="1"/>
  <c r="Q178" i="1"/>
  <c r="M179" i="1" s="1"/>
  <c r="N179" i="1" l="1"/>
  <c r="O179" i="1" s="1"/>
  <c r="V178" i="1"/>
  <c r="U178" i="1"/>
  <c r="P179" i="1" l="1"/>
  <c r="R179" i="1"/>
  <c r="Q179" i="1"/>
  <c r="M180" i="1" s="1"/>
  <c r="N180" i="1" l="1"/>
  <c r="O180" i="1"/>
  <c r="T179" i="1"/>
  <c r="S179" i="1"/>
  <c r="V179" i="1" l="1"/>
  <c r="U179" i="1"/>
  <c r="P180" i="1"/>
  <c r="T180" i="1" l="1"/>
  <c r="S180" i="1"/>
  <c r="R180" i="1"/>
  <c r="Q180" i="1"/>
  <c r="M181" i="1" s="1"/>
  <c r="N181" i="1" l="1"/>
  <c r="O181" i="1" s="1"/>
  <c r="V180" i="1"/>
  <c r="U180" i="1"/>
  <c r="P181" i="1" l="1"/>
  <c r="T181" i="1" l="1"/>
  <c r="S181" i="1"/>
  <c r="Q181" i="1"/>
  <c r="M182" i="1" s="1"/>
  <c r="R181" i="1"/>
  <c r="N182" i="1" l="1"/>
  <c r="O182" i="1" s="1"/>
  <c r="V181" i="1"/>
  <c r="U181" i="1"/>
  <c r="P182" i="1" l="1"/>
  <c r="Q182" i="1" s="1"/>
  <c r="M183" i="1" s="1"/>
  <c r="N183" i="1" l="1"/>
  <c r="O183" i="1" s="1"/>
  <c r="T182" i="1"/>
  <c r="S182" i="1"/>
  <c r="R182" i="1"/>
  <c r="P183" i="1" l="1"/>
  <c r="V182" i="1"/>
  <c r="U182" i="1"/>
  <c r="T183" i="1" l="1"/>
  <c r="S183" i="1"/>
  <c r="R183" i="1"/>
  <c r="Q183" i="1"/>
  <c r="M184" i="1" s="1"/>
  <c r="N184" i="1" l="1"/>
  <c r="O184" i="1"/>
  <c r="V183" i="1"/>
  <c r="U183" i="1"/>
  <c r="P184" i="1" l="1"/>
  <c r="T184" i="1" l="1"/>
  <c r="S184" i="1"/>
  <c r="Q184" i="1"/>
  <c r="M185" i="1" s="1"/>
  <c r="R184" i="1"/>
  <c r="N185" i="1" l="1"/>
  <c r="O185" i="1"/>
  <c r="V184" i="1"/>
  <c r="U184" i="1"/>
  <c r="P185" i="1" l="1"/>
  <c r="T185" i="1" l="1"/>
  <c r="S185" i="1"/>
  <c r="Q185" i="1"/>
  <c r="M186" i="1" s="1"/>
  <c r="R185" i="1"/>
  <c r="N186" i="1" l="1"/>
  <c r="O186" i="1" s="1"/>
  <c r="V185" i="1"/>
  <c r="U185" i="1"/>
  <c r="P186" i="1" l="1"/>
  <c r="T186" i="1" l="1"/>
  <c r="S186" i="1"/>
  <c r="Q186" i="1"/>
  <c r="M187" i="1" s="1"/>
  <c r="R186" i="1"/>
  <c r="N187" i="1" l="1"/>
  <c r="O187" i="1" s="1"/>
  <c r="V186" i="1"/>
  <c r="U186" i="1"/>
  <c r="P187" i="1" l="1"/>
  <c r="T187" i="1" l="1"/>
  <c r="S187" i="1"/>
  <c r="Q187" i="1"/>
  <c r="M188" i="1" s="1"/>
  <c r="R187" i="1"/>
  <c r="N188" i="1" l="1"/>
  <c r="O188" i="1" s="1"/>
  <c r="V187" i="1"/>
  <c r="U187" i="1"/>
  <c r="P188" i="1" l="1"/>
  <c r="R188" i="1"/>
  <c r="T188" i="1" l="1"/>
  <c r="S188" i="1"/>
  <c r="Q188" i="1"/>
  <c r="M189" i="1" s="1"/>
  <c r="N189" i="1" l="1"/>
  <c r="O189" i="1" s="1"/>
  <c r="V188" i="1"/>
  <c r="U188" i="1"/>
  <c r="P189" i="1" l="1"/>
  <c r="T189" i="1" l="1"/>
  <c r="S189" i="1"/>
  <c r="Q189" i="1"/>
  <c r="M190" i="1" s="1"/>
  <c r="R189" i="1"/>
  <c r="N190" i="1" l="1"/>
  <c r="O190" i="1"/>
  <c r="V189" i="1"/>
  <c r="U189" i="1"/>
  <c r="P190" i="1" l="1"/>
  <c r="T190" i="1" l="1"/>
  <c r="S190" i="1"/>
  <c r="Q190" i="1"/>
  <c r="M191" i="1" s="1"/>
  <c r="R190" i="1"/>
  <c r="N191" i="1" l="1"/>
  <c r="O191" i="1" s="1"/>
  <c r="V190" i="1"/>
  <c r="U190" i="1"/>
  <c r="P191" i="1" l="1"/>
  <c r="T191" i="1" l="1"/>
  <c r="S191" i="1"/>
  <c r="Q191" i="1"/>
  <c r="M192" i="1" s="1"/>
  <c r="R191" i="1"/>
  <c r="N192" i="1" l="1"/>
  <c r="O192" i="1"/>
  <c r="V191" i="1"/>
  <c r="U191" i="1"/>
  <c r="P192" i="1" l="1"/>
  <c r="T192" i="1" l="1"/>
  <c r="S192" i="1"/>
  <c r="Q192" i="1"/>
  <c r="M193" i="1" s="1"/>
  <c r="R192" i="1"/>
  <c r="N193" i="1" l="1"/>
  <c r="O193" i="1" s="1"/>
  <c r="V192" i="1"/>
  <c r="U192" i="1"/>
  <c r="P193" i="1" l="1"/>
  <c r="R193" i="1"/>
  <c r="T193" i="1" l="1"/>
  <c r="S193" i="1"/>
  <c r="Q193" i="1"/>
  <c r="M194" i="1" s="1"/>
  <c r="N194" i="1" l="1"/>
  <c r="O194" i="1" s="1"/>
  <c r="V193" i="1"/>
  <c r="U193" i="1"/>
  <c r="P194" i="1" l="1"/>
  <c r="T194" i="1" l="1"/>
  <c r="S194" i="1"/>
  <c r="Q194" i="1"/>
  <c r="M195" i="1" s="1"/>
  <c r="R194" i="1"/>
  <c r="N195" i="1" l="1"/>
  <c r="O195" i="1"/>
  <c r="V194" i="1"/>
  <c r="U194" i="1"/>
  <c r="P195" i="1" l="1"/>
  <c r="T195" i="1" l="1"/>
  <c r="S195" i="1"/>
  <c r="Q195" i="1"/>
  <c r="M196" i="1" s="1"/>
  <c r="R195" i="1"/>
  <c r="N196" i="1" l="1"/>
  <c r="O196" i="1" s="1"/>
  <c r="V195" i="1"/>
  <c r="U195" i="1"/>
  <c r="P196" i="1" l="1"/>
  <c r="T196" i="1" l="1"/>
  <c r="S196" i="1"/>
  <c r="Q196" i="1"/>
  <c r="M197" i="1" s="1"/>
  <c r="R196" i="1"/>
  <c r="N197" i="1" l="1"/>
  <c r="O197" i="1" s="1"/>
  <c r="V196" i="1"/>
  <c r="U196" i="1"/>
  <c r="P197" i="1" l="1"/>
  <c r="T197" i="1" l="1"/>
  <c r="S197" i="1"/>
  <c r="Q197" i="1"/>
  <c r="M198" i="1" s="1"/>
  <c r="R197" i="1"/>
  <c r="N198" i="1" l="1"/>
  <c r="O198" i="1"/>
  <c r="V197" i="1"/>
  <c r="U197" i="1"/>
  <c r="P198" i="1" l="1"/>
  <c r="T198" i="1" l="1"/>
  <c r="S198" i="1"/>
  <c r="Q198" i="1"/>
  <c r="M199" i="1" s="1"/>
  <c r="R198" i="1"/>
  <c r="N199" i="1" l="1"/>
  <c r="O199" i="1" s="1"/>
  <c r="V198" i="1"/>
  <c r="U198" i="1"/>
  <c r="P199" i="1" l="1"/>
  <c r="R199" i="1"/>
  <c r="Q199" i="1"/>
  <c r="M200" i="1" s="1"/>
  <c r="N200" i="1" l="1"/>
  <c r="O200" i="1"/>
  <c r="T199" i="1"/>
  <c r="S199" i="1"/>
  <c r="V199" i="1" l="1"/>
  <c r="U199" i="1"/>
  <c r="P200" i="1"/>
  <c r="T200" i="1" l="1"/>
  <c r="S200" i="1"/>
  <c r="Q200" i="1"/>
  <c r="M201" i="1" s="1"/>
  <c r="R200" i="1"/>
  <c r="N201" i="1" l="1"/>
  <c r="O201" i="1" s="1"/>
  <c r="V200" i="1"/>
  <c r="U200" i="1"/>
  <c r="P201" i="1" l="1"/>
  <c r="R201" i="1" s="1"/>
  <c r="T201" i="1" l="1"/>
  <c r="S201" i="1"/>
  <c r="Q201" i="1"/>
  <c r="M202" i="1" s="1"/>
  <c r="N202" i="1" l="1"/>
  <c r="O202" i="1" s="1"/>
  <c r="V201" i="1"/>
  <c r="U201" i="1"/>
  <c r="P202" i="1" l="1"/>
  <c r="T202" i="1" l="1"/>
  <c r="S202" i="1"/>
  <c r="Q202" i="1"/>
  <c r="M203" i="1" s="1"/>
  <c r="R202" i="1"/>
  <c r="N203" i="1" l="1"/>
  <c r="O203" i="1" s="1"/>
  <c r="V202" i="1"/>
  <c r="U202" i="1"/>
  <c r="P203" i="1" l="1"/>
  <c r="R203" i="1"/>
  <c r="Q203" i="1"/>
  <c r="M204" i="1" s="1"/>
  <c r="N204" i="1" l="1"/>
  <c r="O204" i="1" s="1"/>
  <c r="T203" i="1"/>
  <c r="S203" i="1"/>
  <c r="P204" i="1" l="1"/>
  <c r="V203" i="1"/>
  <c r="U203" i="1"/>
  <c r="T204" i="1" l="1"/>
  <c r="S204" i="1"/>
  <c r="Q204" i="1"/>
  <c r="M205" i="1" s="1"/>
  <c r="R204" i="1"/>
  <c r="N205" i="1" l="1"/>
  <c r="O205" i="1" s="1"/>
  <c r="V204" i="1"/>
  <c r="U204" i="1"/>
  <c r="P205" i="1" l="1"/>
  <c r="T205" i="1" l="1"/>
  <c r="S205" i="1"/>
  <c r="Q205" i="1"/>
  <c r="M206" i="1" s="1"/>
  <c r="R205" i="1"/>
  <c r="N206" i="1" l="1"/>
  <c r="O206" i="1"/>
  <c r="V205" i="1"/>
  <c r="U205" i="1"/>
  <c r="P206" i="1" l="1"/>
  <c r="R206" i="1"/>
  <c r="Q206" i="1"/>
  <c r="M207" i="1" s="1"/>
  <c r="N207" i="1" l="1"/>
  <c r="O207" i="1" s="1"/>
  <c r="T206" i="1"/>
  <c r="S206" i="1"/>
  <c r="P207" i="1" l="1"/>
  <c r="V206" i="1"/>
  <c r="U206" i="1"/>
  <c r="T207" i="1" l="1"/>
  <c r="S207" i="1"/>
  <c r="R207" i="1"/>
  <c r="Q207" i="1"/>
  <c r="M208" i="1" s="1"/>
  <c r="N208" i="1" l="1"/>
  <c r="O208" i="1" s="1"/>
  <c r="V207" i="1"/>
  <c r="U207" i="1"/>
  <c r="P208" i="1" l="1"/>
  <c r="T208" i="1" l="1"/>
  <c r="S208" i="1"/>
  <c r="Q208" i="1"/>
  <c r="M209" i="1" s="1"/>
  <c r="R208" i="1"/>
  <c r="N209" i="1" l="1"/>
  <c r="O209" i="1"/>
  <c r="V208" i="1"/>
  <c r="U208" i="1"/>
  <c r="P209" i="1" l="1"/>
  <c r="T209" i="1" l="1"/>
  <c r="S209" i="1"/>
  <c r="R209" i="1"/>
  <c r="Q209" i="1"/>
  <c r="M210" i="1" s="1"/>
  <c r="N210" i="1" l="1"/>
  <c r="O210" i="1" s="1"/>
  <c r="V209" i="1"/>
  <c r="U209" i="1"/>
  <c r="P210" i="1" l="1"/>
  <c r="Q210" i="1"/>
  <c r="M211" i="1" s="1"/>
  <c r="N211" i="1" l="1"/>
  <c r="O211" i="1" s="1"/>
  <c r="T210" i="1"/>
  <c r="S210" i="1"/>
  <c r="R210" i="1"/>
  <c r="P211" i="1" l="1"/>
  <c r="V210" i="1"/>
  <c r="U210" i="1"/>
  <c r="T211" i="1" l="1"/>
  <c r="S211" i="1"/>
  <c r="Q211" i="1"/>
  <c r="M212" i="1" s="1"/>
  <c r="R211" i="1"/>
  <c r="N212" i="1" l="1"/>
  <c r="O212" i="1" s="1"/>
  <c r="V211" i="1"/>
  <c r="U211" i="1"/>
  <c r="P212" i="1" l="1"/>
  <c r="T212" i="1" l="1"/>
  <c r="S212" i="1"/>
  <c r="Q212" i="1"/>
  <c r="M213" i="1" s="1"/>
  <c r="R212" i="1"/>
  <c r="N213" i="1" l="1"/>
  <c r="O213" i="1" s="1"/>
  <c r="V212" i="1"/>
  <c r="U212" i="1"/>
  <c r="P213" i="1" l="1"/>
  <c r="R213" i="1"/>
  <c r="Q213" i="1"/>
  <c r="M214" i="1" s="1"/>
  <c r="N214" i="1" l="1"/>
  <c r="O214" i="1"/>
  <c r="T213" i="1"/>
  <c r="S213" i="1"/>
  <c r="V213" i="1" l="1"/>
  <c r="U213" i="1"/>
  <c r="P214" i="1"/>
  <c r="T214" i="1" l="1"/>
  <c r="S214" i="1"/>
  <c r="Q214" i="1"/>
  <c r="M215" i="1" s="1"/>
  <c r="R214" i="1"/>
  <c r="N215" i="1" l="1"/>
  <c r="O215" i="1" s="1"/>
  <c r="V214" i="1"/>
  <c r="U214" i="1"/>
  <c r="P215" i="1" l="1"/>
  <c r="T215" i="1" l="1"/>
  <c r="S215" i="1"/>
  <c r="Q215" i="1"/>
  <c r="M216" i="1" s="1"/>
  <c r="R215" i="1"/>
  <c r="N216" i="1" l="1"/>
  <c r="O216" i="1" s="1"/>
  <c r="V215" i="1"/>
  <c r="U215" i="1"/>
  <c r="P216" i="1" l="1"/>
  <c r="T216" i="1" l="1"/>
  <c r="S216" i="1"/>
  <c r="Q216" i="1"/>
  <c r="M217" i="1" s="1"/>
  <c r="R216" i="1"/>
  <c r="N217" i="1" l="1"/>
  <c r="O217" i="1"/>
  <c r="V216" i="1"/>
  <c r="U216" i="1"/>
  <c r="P217" i="1" l="1"/>
  <c r="T217" i="1" l="1"/>
  <c r="S217" i="1"/>
  <c r="R217" i="1"/>
  <c r="Q217" i="1"/>
  <c r="M218" i="1" s="1"/>
  <c r="N218" i="1" l="1"/>
  <c r="O218" i="1" s="1"/>
  <c r="V217" i="1"/>
  <c r="U217" i="1"/>
  <c r="P218" i="1" l="1"/>
  <c r="T218" i="1" l="1"/>
  <c r="S218" i="1"/>
  <c r="Q218" i="1"/>
  <c r="M219" i="1" s="1"/>
  <c r="R218" i="1"/>
  <c r="N219" i="1" l="1"/>
  <c r="O219" i="1"/>
  <c r="V218" i="1"/>
  <c r="U218" i="1"/>
  <c r="P219" i="1" l="1"/>
  <c r="T219" i="1" l="1"/>
  <c r="S219" i="1"/>
  <c r="Q219" i="1"/>
  <c r="M220" i="1" s="1"/>
  <c r="R219" i="1"/>
  <c r="N220" i="1" l="1"/>
  <c r="O220" i="1" s="1"/>
  <c r="V219" i="1"/>
  <c r="U219" i="1"/>
  <c r="P220" i="1" l="1"/>
  <c r="R220" i="1"/>
  <c r="Q220" i="1"/>
  <c r="M221" i="1" s="1"/>
  <c r="N221" i="1" l="1"/>
  <c r="O221" i="1" s="1"/>
  <c r="T220" i="1"/>
  <c r="S220" i="1"/>
  <c r="P221" i="1" l="1"/>
  <c r="V220" i="1"/>
  <c r="U220" i="1"/>
  <c r="T221" i="1" l="1"/>
  <c r="S221" i="1"/>
  <c r="Q221" i="1"/>
  <c r="M222" i="1" s="1"/>
  <c r="R221" i="1"/>
  <c r="N222" i="1" l="1"/>
  <c r="O222" i="1"/>
  <c r="V221" i="1"/>
  <c r="U221" i="1"/>
  <c r="P222" i="1" l="1"/>
  <c r="T222" i="1" l="1"/>
  <c r="S222" i="1"/>
  <c r="Q222" i="1"/>
  <c r="M223" i="1" s="1"/>
  <c r="R222" i="1"/>
  <c r="N223" i="1" l="1"/>
  <c r="O223" i="1" s="1"/>
  <c r="V222" i="1"/>
  <c r="U222" i="1"/>
  <c r="P223" i="1" l="1"/>
  <c r="T223" i="1" l="1"/>
  <c r="S223" i="1"/>
  <c r="R223" i="1"/>
  <c r="Q223" i="1"/>
  <c r="M224" i="1" s="1"/>
  <c r="N224" i="1" l="1"/>
  <c r="O224" i="1" s="1"/>
  <c r="V223" i="1"/>
  <c r="U223" i="1"/>
  <c r="P224" i="1" l="1"/>
  <c r="T224" i="1" l="1"/>
  <c r="S224" i="1"/>
  <c r="Q224" i="1"/>
  <c r="M225" i="1" s="1"/>
  <c r="R224" i="1"/>
  <c r="N225" i="1" l="1"/>
  <c r="O225" i="1" s="1"/>
  <c r="V224" i="1"/>
  <c r="U224" i="1"/>
  <c r="P225" i="1" l="1"/>
  <c r="S225" i="1" l="1"/>
  <c r="T225" i="1"/>
  <c r="R225" i="1"/>
  <c r="Q225" i="1"/>
  <c r="M226" i="1" s="1"/>
  <c r="V225" i="1" l="1"/>
  <c r="U225" i="1"/>
  <c r="N226" i="1"/>
  <c r="O226" i="1" s="1"/>
  <c r="P226" i="1" l="1"/>
  <c r="T226" i="1" l="1"/>
  <c r="S226" i="1"/>
  <c r="Q226" i="1"/>
  <c r="M227" i="1" s="1"/>
  <c r="R226" i="1"/>
  <c r="N227" i="1" l="1"/>
  <c r="O227" i="1"/>
  <c r="V226" i="1"/>
  <c r="U226" i="1"/>
  <c r="P227" i="1" l="1"/>
  <c r="T227" i="1" l="1"/>
  <c r="S227" i="1"/>
  <c r="R227" i="1"/>
  <c r="Q227" i="1"/>
  <c r="M228" i="1" s="1"/>
  <c r="N228" i="1" l="1"/>
  <c r="O228" i="1" s="1"/>
  <c r="V227" i="1"/>
  <c r="U227" i="1"/>
  <c r="P228" i="1" l="1"/>
  <c r="R228" i="1"/>
  <c r="Q228" i="1"/>
  <c r="M229" i="1" s="1"/>
  <c r="N229" i="1" l="1"/>
  <c r="O229" i="1"/>
  <c r="T228" i="1"/>
  <c r="S228" i="1"/>
  <c r="V228" i="1" l="1"/>
  <c r="U228" i="1"/>
  <c r="P229" i="1"/>
  <c r="R229" i="1" s="1"/>
  <c r="T229" i="1" l="1"/>
  <c r="S229" i="1"/>
  <c r="Q229" i="1"/>
  <c r="M230" i="1" s="1"/>
  <c r="N230" i="1" l="1"/>
  <c r="O230" i="1"/>
  <c r="V229" i="1"/>
  <c r="U229" i="1"/>
  <c r="P230" i="1" l="1"/>
  <c r="R230" i="1"/>
  <c r="T230" i="1" l="1"/>
  <c r="S230" i="1"/>
  <c r="Q230" i="1"/>
  <c r="M231" i="1" s="1"/>
  <c r="N231" i="1" l="1"/>
  <c r="O231" i="1" s="1"/>
  <c r="V230" i="1"/>
  <c r="U230" i="1"/>
  <c r="P231" i="1" l="1"/>
  <c r="T231" i="1" l="1"/>
  <c r="S231" i="1"/>
  <c r="R231" i="1"/>
  <c r="Q231" i="1"/>
  <c r="M232" i="1" s="1"/>
  <c r="N232" i="1" l="1"/>
  <c r="O232" i="1" s="1"/>
  <c r="V231" i="1"/>
  <c r="U231" i="1"/>
  <c r="P232" i="1" l="1"/>
  <c r="T232" i="1" l="1"/>
  <c r="S232" i="1"/>
  <c r="Q232" i="1"/>
  <c r="M233" i="1" s="1"/>
  <c r="R232" i="1"/>
  <c r="N233" i="1" l="1"/>
  <c r="O233" i="1" s="1"/>
  <c r="V232" i="1"/>
  <c r="U232" i="1"/>
  <c r="P233" i="1" l="1"/>
  <c r="T233" i="1" l="1"/>
  <c r="S233" i="1"/>
  <c r="R233" i="1"/>
  <c r="Q233" i="1"/>
  <c r="M234" i="1" s="1"/>
  <c r="N234" i="1" l="1"/>
  <c r="O234" i="1"/>
  <c r="V233" i="1"/>
  <c r="U233" i="1"/>
  <c r="P234" i="1" l="1"/>
  <c r="T234" i="1" l="1"/>
  <c r="S234" i="1"/>
  <c r="Q234" i="1"/>
  <c r="M235" i="1" s="1"/>
  <c r="R234" i="1"/>
  <c r="N235" i="1" l="1"/>
  <c r="O235" i="1" s="1"/>
  <c r="V234" i="1"/>
  <c r="U234" i="1"/>
  <c r="P235" i="1" l="1"/>
  <c r="T235" i="1" l="1"/>
  <c r="S235" i="1"/>
  <c r="R235" i="1"/>
  <c r="Q235" i="1"/>
  <c r="M236" i="1" s="1"/>
  <c r="N236" i="1" l="1"/>
  <c r="O236" i="1"/>
  <c r="V235" i="1"/>
  <c r="U235" i="1"/>
  <c r="P236" i="1" l="1"/>
  <c r="T236" i="1" l="1"/>
  <c r="S236" i="1"/>
  <c r="Q236" i="1"/>
  <c r="M237" i="1" s="1"/>
  <c r="R236" i="1"/>
  <c r="N237" i="1" l="1"/>
  <c r="O237" i="1"/>
  <c r="V236" i="1"/>
  <c r="U236" i="1"/>
  <c r="P237" i="1" l="1"/>
  <c r="S237" i="1" l="1"/>
  <c r="T237" i="1"/>
  <c r="R237" i="1"/>
  <c r="Q237" i="1"/>
  <c r="M238" i="1" s="1"/>
  <c r="N238" i="1" l="1"/>
  <c r="O238" i="1"/>
  <c r="V237" i="1"/>
  <c r="U237" i="1"/>
  <c r="P238" i="1" l="1"/>
  <c r="T238" i="1" l="1"/>
  <c r="S238" i="1"/>
  <c r="R238" i="1"/>
  <c r="Q238" i="1"/>
  <c r="M239" i="1" s="1"/>
  <c r="N239" i="1" l="1"/>
  <c r="O239" i="1" s="1"/>
  <c r="V238" i="1"/>
  <c r="U238" i="1"/>
  <c r="P239" i="1" l="1"/>
  <c r="T239" i="1" l="1"/>
  <c r="S239" i="1"/>
  <c r="Q239" i="1"/>
  <c r="M240" i="1" s="1"/>
  <c r="R239" i="1"/>
  <c r="N240" i="1" l="1"/>
  <c r="O240" i="1" s="1"/>
  <c r="V239" i="1"/>
  <c r="U239" i="1"/>
  <c r="P240" i="1" l="1"/>
  <c r="T240" i="1" l="1"/>
  <c r="S240" i="1"/>
  <c r="R240" i="1"/>
  <c r="Q240" i="1"/>
  <c r="M241" i="1" s="1"/>
  <c r="N241" i="1" l="1"/>
  <c r="O241" i="1" s="1"/>
  <c r="V240" i="1"/>
  <c r="U240" i="1"/>
  <c r="P241" i="1" l="1"/>
  <c r="T241" i="1" l="1"/>
  <c r="S241" i="1"/>
  <c r="R241" i="1"/>
  <c r="Q241" i="1"/>
  <c r="M242" i="1" s="1"/>
  <c r="N242" i="1" l="1"/>
  <c r="O242" i="1"/>
  <c r="V241" i="1"/>
  <c r="U241" i="1"/>
  <c r="P242" i="1" l="1"/>
  <c r="T242" i="1" l="1"/>
  <c r="S242" i="1"/>
  <c r="Q242" i="1"/>
  <c r="M243" i="1" s="1"/>
  <c r="R242" i="1"/>
  <c r="N243" i="1" l="1"/>
  <c r="O243" i="1" s="1"/>
  <c r="V242" i="1"/>
  <c r="U242" i="1"/>
  <c r="P243" i="1" l="1"/>
  <c r="T243" i="1" l="1"/>
  <c r="S243" i="1"/>
  <c r="Q243" i="1"/>
  <c r="M244" i="1" s="1"/>
  <c r="R243" i="1"/>
  <c r="N244" i="1" l="1"/>
  <c r="O244" i="1"/>
  <c r="V243" i="1"/>
  <c r="U243" i="1"/>
  <c r="P244" i="1" l="1"/>
  <c r="T244" i="1" l="1"/>
  <c r="S244" i="1"/>
  <c r="R244" i="1"/>
  <c r="Q244" i="1"/>
  <c r="M245" i="1" s="1"/>
  <c r="N245" i="1" l="1"/>
  <c r="O245" i="1" s="1"/>
  <c r="V244" i="1"/>
  <c r="U244" i="1"/>
  <c r="P245" i="1" l="1"/>
  <c r="T245" i="1" l="1"/>
  <c r="S245" i="1"/>
  <c r="R245" i="1"/>
  <c r="Q245" i="1"/>
  <c r="M246" i="1" s="1"/>
  <c r="N246" i="1" l="1"/>
  <c r="O246" i="1"/>
  <c r="V245" i="1"/>
  <c r="U245" i="1"/>
  <c r="P246" i="1" l="1"/>
  <c r="T246" i="1" l="1"/>
  <c r="S246" i="1"/>
  <c r="Q246" i="1"/>
  <c r="M247" i="1" s="1"/>
  <c r="R246" i="1"/>
  <c r="N247" i="1" l="1"/>
  <c r="O247" i="1" s="1"/>
  <c r="V246" i="1"/>
  <c r="U246" i="1"/>
  <c r="P247" i="1" l="1"/>
  <c r="T247" i="1" l="1"/>
  <c r="S247" i="1"/>
  <c r="Q247" i="1"/>
  <c r="M248" i="1" s="1"/>
  <c r="R247" i="1"/>
  <c r="N248" i="1" l="1"/>
  <c r="O248" i="1" s="1"/>
  <c r="V247" i="1"/>
  <c r="U247" i="1"/>
  <c r="P248" i="1" l="1"/>
  <c r="T248" i="1" l="1"/>
  <c r="S248" i="1"/>
  <c r="R248" i="1"/>
  <c r="Q248" i="1"/>
  <c r="M249" i="1" s="1"/>
  <c r="N249" i="1" l="1"/>
  <c r="O249" i="1" s="1"/>
  <c r="V248" i="1"/>
  <c r="U248" i="1"/>
  <c r="P249" i="1" l="1"/>
  <c r="T249" i="1" l="1"/>
  <c r="S249" i="1"/>
  <c r="R249" i="1"/>
  <c r="Q249" i="1"/>
  <c r="M250" i="1" s="1"/>
  <c r="N250" i="1" l="1"/>
  <c r="O250" i="1" s="1"/>
  <c r="V249" i="1"/>
  <c r="U249" i="1"/>
  <c r="P250" i="1" l="1"/>
  <c r="T250" i="1" l="1"/>
  <c r="S250" i="1"/>
  <c r="Q250" i="1"/>
  <c r="M251" i="1" s="1"/>
  <c r="R250" i="1"/>
  <c r="N251" i="1" l="1"/>
  <c r="O251" i="1" s="1"/>
  <c r="V250" i="1"/>
  <c r="U250" i="1"/>
  <c r="P251" i="1" l="1"/>
  <c r="T251" i="1" l="1"/>
  <c r="S251" i="1"/>
  <c r="Q251" i="1"/>
  <c r="M252" i="1" s="1"/>
  <c r="R251" i="1"/>
  <c r="N252" i="1" l="1"/>
  <c r="O252" i="1" s="1"/>
  <c r="V251" i="1"/>
  <c r="U251" i="1"/>
  <c r="P252" i="1" l="1"/>
  <c r="R252" i="1"/>
  <c r="T252" i="1" l="1"/>
  <c r="S252" i="1"/>
  <c r="Q252" i="1"/>
  <c r="M253" i="1" s="1"/>
  <c r="N253" i="1" l="1"/>
  <c r="O253" i="1" s="1"/>
  <c r="V252" i="1"/>
  <c r="U252" i="1"/>
  <c r="P253" i="1" l="1"/>
  <c r="T253" i="1" l="1"/>
  <c r="S253" i="1"/>
  <c r="Q253" i="1"/>
  <c r="M254" i="1" s="1"/>
  <c r="R253" i="1"/>
  <c r="N254" i="1" l="1"/>
  <c r="O254" i="1"/>
  <c r="V253" i="1"/>
  <c r="U253" i="1"/>
  <c r="P254" i="1" l="1"/>
  <c r="Q254" i="1" s="1"/>
  <c r="M255" i="1" s="1"/>
  <c r="N255" i="1" l="1"/>
  <c r="O255" i="1" s="1"/>
  <c r="T254" i="1"/>
  <c r="S254" i="1"/>
  <c r="R254" i="1"/>
  <c r="P255" i="1" l="1"/>
  <c r="V254" i="1"/>
  <c r="U254" i="1"/>
  <c r="T255" i="1" l="1"/>
  <c r="S255" i="1"/>
  <c r="Q255" i="1"/>
  <c r="M256" i="1" s="1"/>
  <c r="R255" i="1"/>
  <c r="N256" i="1" l="1"/>
  <c r="O256" i="1"/>
  <c r="V255" i="1"/>
  <c r="U255" i="1"/>
  <c r="P256" i="1" l="1"/>
  <c r="T256" i="1" l="1"/>
  <c r="S256" i="1"/>
  <c r="Q256" i="1"/>
  <c r="M257" i="1" s="1"/>
  <c r="R256" i="1"/>
  <c r="N257" i="1" l="1"/>
  <c r="O257" i="1" s="1"/>
  <c r="V256" i="1"/>
  <c r="U256" i="1"/>
  <c r="P257" i="1" l="1"/>
  <c r="R257" i="1"/>
  <c r="T257" i="1" l="1"/>
  <c r="S257" i="1"/>
  <c r="Q257" i="1"/>
  <c r="M258" i="1" s="1"/>
  <c r="N258" i="1" l="1"/>
  <c r="O258" i="1" s="1"/>
  <c r="V257" i="1"/>
  <c r="U257" i="1"/>
  <c r="P258" i="1" l="1"/>
  <c r="T258" i="1" l="1"/>
  <c r="S258" i="1"/>
  <c r="Q258" i="1"/>
  <c r="M259" i="1" s="1"/>
  <c r="R258" i="1"/>
  <c r="N259" i="1" l="1"/>
  <c r="O259" i="1" s="1"/>
  <c r="V258" i="1"/>
  <c r="U258" i="1"/>
  <c r="P259" i="1" l="1"/>
  <c r="T259" i="1" l="1"/>
  <c r="S259" i="1"/>
  <c r="Q259" i="1"/>
  <c r="M260" i="1" s="1"/>
  <c r="R259" i="1"/>
  <c r="N260" i="1" l="1"/>
  <c r="O260" i="1" s="1"/>
  <c r="V259" i="1"/>
  <c r="U259" i="1"/>
  <c r="P260" i="1" l="1"/>
  <c r="T260" i="1" l="1"/>
  <c r="S260" i="1"/>
  <c r="Q260" i="1"/>
  <c r="M261" i="1" s="1"/>
  <c r="R260" i="1"/>
  <c r="N261" i="1" l="1"/>
  <c r="O261" i="1" s="1"/>
  <c r="V260" i="1"/>
  <c r="U260" i="1"/>
  <c r="P261" i="1" l="1"/>
  <c r="T261" i="1" l="1"/>
  <c r="S261" i="1"/>
  <c r="Q261" i="1"/>
  <c r="M262" i="1" s="1"/>
  <c r="R261" i="1"/>
  <c r="N262" i="1" l="1"/>
  <c r="O262" i="1" s="1"/>
  <c r="V261" i="1"/>
  <c r="U261" i="1"/>
  <c r="P262" i="1" l="1"/>
  <c r="T262" i="1" l="1"/>
  <c r="S262" i="1"/>
  <c r="Q262" i="1"/>
  <c r="M263" i="1" s="1"/>
  <c r="R262" i="1"/>
  <c r="N263" i="1" l="1"/>
  <c r="O263" i="1" s="1"/>
  <c r="V262" i="1"/>
  <c r="U262" i="1"/>
  <c r="P263" i="1" l="1"/>
  <c r="R263" i="1" s="1"/>
  <c r="Q263" i="1"/>
  <c r="M264" i="1" s="1"/>
  <c r="N264" i="1" l="1"/>
  <c r="O264" i="1"/>
  <c r="T263" i="1"/>
  <c r="S263" i="1"/>
  <c r="V263" i="1" l="1"/>
  <c r="U263" i="1"/>
  <c r="P264" i="1"/>
  <c r="T264" i="1" l="1"/>
  <c r="S264" i="1"/>
  <c r="Q264" i="1"/>
  <c r="M265" i="1" s="1"/>
  <c r="R264" i="1"/>
  <c r="N265" i="1" l="1"/>
  <c r="O265" i="1" s="1"/>
  <c r="V264" i="1"/>
  <c r="U264" i="1"/>
  <c r="P265" i="1" l="1"/>
  <c r="T265" i="1" l="1"/>
  <c r="S265" i="1"/>
  <c r="R265" i="1"/>
  <c r="Q265" i="1"/>
  <c r="M266" i="1" s="1"/>
  <c r="N266" i="1" l="1"/>
  <c r="O266" i="1" s="1"/>
  <c r="V265" i="1"/>
  <c r="U265" i="1"/>
  <c r="P266" i="1" l="1"/>
  <c r="T266" i="1" l="1"/>
  <c r="S266" i="1"/>
  <c r="Q266" i="1"/>
  <c r="M267" i="1" s="1"/>
  <c r="R266" i="1"/>
  <c r="N267" i="1" l="1"/>
  <c r="O267" i="1" s="1"/>
  <c r="V266" i="1"/>
  <c r="U266" i="1"/>
  <c r="P267" i="1" l="1"/>
  <c r="Q267" i="1"/>
  <c r="M268" i="1" s="1"/>
  <c r="R267" i="1"/>
  <c r="N268" i="1" l="1"/>
  <c r="O268" i="1" s="1"/>
  <c r="T267" i="1"/>
  <c r="S267" i="1"/>
  <c r="P268" i="1" l="1"/>
  <c r="V267" i="1"/>
  <c r="U267" i="1"/>
  <c r="T268" i="1" l="1"/>
  <c r="S268" i="1"/>
  <c r="Q268" i="1"/>
  <c r="M269" i="1" s="1"/>
  <c r="R268" i="1"/>
  <c r="N269" i="1" l="1"/>
  <c r="O269" i="1" s="1"/>
  <c r="V268" i="1"/>
  <c r="U268" i="1"/>
  <c r="P269" i="1" l="1"/>
  <c r="T269" i="1" l="1"/>
  <c r="S269" i="1"/>
  <c r="Q269" i="1"/>
  <c r="M270" i="1" s="1"/>
  <c r="R269" i="1"/>
  <c r="N270" i="1" l="1"/>
  <c r="O270" i="1"/>
  <c r="V269" i="1"/>
  <c r="U269" i="1"/>
  <c r="P270" i="1" l="1"/>
  <c r="R270" i="1"/>
  <c r="Q270" i="1"/>
  <c r="M271" i="1" s="1"/>
  <c r="N271" i="1" l="1"/>
  <c r="O271" i="1" s="1"/>
  <c r="T270" i="1"/>
  <c r="S270" i="1"/>
  <c r="P271" i="1" l="1"/>
  <c r="V270" i="1"/>
  <c r="U270" i="1"/>
  <c r="T271" i="1" l="1"/>
  <c r="S271" i="1"/>
  <c r="Q271" i="1"/>
  <c r="M272" i="1" s="1"/>
  <c r="R271" i="1"/>
  <c r="N272" i="1" l="1"/>
  <c r="O272" i="1" s="1"/>
  <c r="V271" i="1"/>
  <c r="U271" i="1"/>
  <c r="P272" i="1" l="1"/>
  <c r="T272" i="1" l="1"/>
  <c r="S272" i="1"/>
  <c r="Q272" i="1"/>
  <c r="M273" i="1" s="1"/>
  <c r="R272" i="1"/>
  <c r="N273" i="1" l="1"/>
  <c r="O273" i="1"/>
  <c r="V272" i="1"/>
  <c r="U272" i="1"/>
  <c r="P273" i="1" l="1"/>
  <c r="T273" i="1" l="1"/>
  <c r="S273" i="1"/>
  <c r="R273" i="1"/>
  <c r="Q273" i="1"/>
  <c r="M274" i="1" s="1"/>
  <c r="N274" i="1" l="1"/>
  <c r="O274" i="1" s="1"/>
  <c r="V273" i="1"/>
  <c r="U273" i="1"/>
  <c r="P274" i="1" l="1"/>
  <c r="Q274" i="1"/>
  <c r="M275" i="1" s="1"/>
  <c r="N275" i="1" l="1"/>
  <c r="O275" i="1" s="1"/>
  <c r="T274" i="1"/>
  <c r="S274" i="1"/>
  <c r="R274" i="1"/>
  <c r="P275" i="1" l="1"/>
  <c r="V274" i="1"/>
  <c r="U274" i="1"/>
  <c r="T275" i="1" l="1"/>
  <c r="S275" i="1"/>
  <c r="Q275" i="1"/>
  <c r="M276" i="1" s="1"/>
  <c r="R275" i="1"/>
  <c r="N276" i="1" l="1"/>
  <c r="O276" i="1" s="1"/>
  <c r="V275" i="1"/>
  <c r="U275" i="1"/>
  <c r="P276" i="1" l="1"/>
  <c r="T276" i="1" l="1"/>
  <c r="S276" i="1"/>
  <c r="Q276" i="1"/>
  <c r="M277" i="1" s="1"/>
  <c r="R276" i="1"/>
  <c r="N277" i="1" l="1"/>
  <c r="O277" i="1" s="1"/>
  <c r="V276" i="1"/>
  <c r="U276" i="1"/>
  <c r="P277" i="1" l="1"/>
  <c r="Q277" i="1"/>
  <c r="M278" i="1" s="1"/>
  <c r="R277" i="1"/>
  <c r="N278" i="1" l="1"/>
  <c r="O278" i="1"/>
  <c r="T277" i="1"/>
  <c r="S277" i="1"/>
  <c r="V277" i="1" l="1"/>
  <c r="U277" i="1"/>
  <c r="P278" i="1"/>
  <c r="T278" i="1" l="1"/>
  <c r="S278" i="1"/>
  <c r="Q278" i="1"/>
  <c r="M279" i="1" s="1"/>
  <c r="R278" i="1"/>
  <c r="N279" i="1" l="1"/>
  <c r="O279" i="1" s="1"/>
  <c r="V278" i="1"/>
  <c r="U278" i="1"/>
  <c r="P279" i="1" l="1"/>
  <c r="T279" i="1" l="1"/>
  <c r="S279" i="1"/>
  <c r="Q279" i="1"/>
  <c r="M280" i="1" s="1"/>
  <c r="R279" i="1"/>
  <c r="N280" i="1" l="1"/>
  <c r="O280" i="1" s="1"/>
  <c r="V279" i="1"/>
  <c r="U279" i="1"/>
  <c r="P280" i="1" l="1"/>
  <c r="T280" i="1" l="1"/>
  <c r="S280" i="1"/>
  <c r="Q280" i="1"/>
  <c r="M281" i="1" s="1"/>
  <c r="R280" i="1"/>
  <c r="N281" i="1" l="1"/>
  <c r="O281" i="1"/>
  <c r="V280" i="1"/>
  <c r="U280" i="1"/>
  <c r="P281" i="1" l="1"/>
  <c r="T281" i="1" l="1"/>
  <c r="S281" i="1"/>
  <c r="R281" i="1"/>
  <c r="Q281" i="1"/>
  <c r="M282" i="1" s="1"/>
  <c r="N282" i="1" l="1"/>
  <c r="O282" i="1" s="1"/>
  <c r="V281" i="1"/>
  <c r="U281" i="1"/>
  <c r="P282" i="1" l="1"/>
  <c r="T282" i="1" l="1"/>
  <c r="S282" i="1"/>
  <c r="Q282" i="1"/>
  <c r="M283" i="1" s="1"/>
  <c r="R282" i="1"/>
  <c r="N283" i="1" l="1"/>
  <c r="O283" i="1"/>
  <c r="V282" i="1"/>
  <c r="U282" i="1"/>
  <c r="P283" i="1" l="1"/>
  <c r="T283" i="1" l="1"/>
  <c r="S283" i="1"/>
  <c r="Q283" i="1"/>
  <c r="M284" i="1" s="1"/>
  <c r="R283" i="1"/>
  <c r="N284" i="1" l="1"/>
  <c r="O284" i="1" s="1"/>
  <c r="V283" i="1"/>
  <c r="U283" i="1"/>
  <c r="P284" i="1" l="1"/>
  <c r="R284" i="1"/>
  <c r="Q284" i="1"/>
  <c r="M285" i="1" s="1"/>
  <c r="N285" i="1" l="1"/>
  <c r="O285" i="1" s="1"/>
  <c r="T284" i="1"/>
  <c r="S284" i="1"/>
  <c r="P285" i="1" l="1"/>
  <c r="V284" i="1"/>
  <c r="U284" i="1"/>
  <c r="T285" i="1" l="1"/>
  <c r="S285" i="1"/>
  <c r="Q285" i="1"/>
  <c r="M286" i="1" s="1"/>
  <c r="R285" i="1"/>
  <c r="N286" i="1" l="1"/>
  <c r="O286" i="1"/>
  <c r="V285" i="1"/>
  <c r="U285" i="1"/>
  <c r="P286" i="1" l="1"/>
  <c r="Q286" i="1" s="1"/>
  <c r="M287" i="1" s="1"/>
  <c r="N287" i="1" l="1"/>
  <c r="O287" i="1" s="1"/>
  <c r="T286" i="1"/>
  <c r="S286" i="1"/>
  <c r="R286" i="1"/>
  <c r="P287" i="1" l="1"/>
  <c r="R287" i="1" s="1"/>
  <c r="V286" i="1"/>
  <c r="U286" i="1"/>
  <c r="T287" i="1" l="1"/>
  <c r="S287" i="1"/>
  <c r="Q287" i="1"/>
  <c r="M288" i="1" s="1"/>
  <c r="N288" i="1" l="1"/>
  <c r="O288" i="1" s="1"/>
  <c r="V287" i="1"/>
  <c r="U287" i="1"/>
  <c r="P288" i="1" l="1"/>
  <c r="T288" i="1" l="1"/>
  <c r="S288" i="1"/>
  <c r="Q288" i="1"/>
  <c r="M289" i="1" s="1"/>
  <c r="R288" i="1"/>
  <c r="N289" i="1" l="1"/>
  <c r="O289" i="1" s="1"/>
  <c r="V288" i="1"/>
  <c r="U288" i="1"/>
  <c r="P289" i="1" l="1"/>
  <c r="T289" i="1" l="1"/>
  <c r="S289" i="1"/>
  <c r="R289" i="1"/>
  <c r="Q289" i="1"/>
  <c r="M290" i="1" s="1"/>
  <c r="N290" i="1" l="1"/>
  <c r="O290" i="1"/>
  <c r="V289" i="1"/>
  <c r="U289" i="1"/>
  <c r="P290" i="1" l="1"/>
  <c r="T290" i="1" l="1"/>
  <c r="S290" i="1"/>
  <c r="Q290" i="1"/>
  <c r="M291" i="1" s="1"/>
  <c r="R290" i="1"/>
  <c r="N291" i="1" l="1"/>
  <c r="O291" i="1"/>
  <c r="V290" i="1"/>
  <c r="U290" i="1"/>
  <c r="P291" i="1" l="1"/>
  <c r="T291" i="1" l="1"/>
  <c r="S291" i="1"/>
  <c r="R291" i="1"/>
  <c r="Q291" i="1"/>
  <c r="M292" i="1" s="1"/>
  <c r="N292" i="1" l="1"/>
  <c r="O292" i="1" s="1"/>
  <c r="V291" i="1"/>
  <c r="U291" i="1"/>
  <c r="P292" i="1" l="1"/>
  <c r="R292" i="1"/>
  <c r="Q292" i="1"/>
  <c r="M293" i="1" s="1"/>
  <c r="N293" i="1" l="1"/>
  <c r="O293" i="1"/>
  <c r="T292" i="1"/>
  <c r="S292" i="1"/>
  <c r="V292" i="1" l="1"/>
  <c r="U292" i="1"/>
  <c r="P293" i="1"/>
  <c r="T293" i="1" l="1"/>
  <c r="S293" i="1"/>
  <c r="Q293" i="1"/>
  <c r="M294" i="1" s="1"/>
  <c r="R293" i="1"/>
  <c r="N294" i="1" l="1"/>
  <c r="O294" i="1" s="1"/>
  <c r="V293" i="1"/>
  <c r="U293" i="1"/>
  <c r="P294" i="1" l="1"/>
  <c r="T294" i="1" l="1"/>
  <c r="S294" i="1"/>
  <c r="R294" i="1"/>
  <c r="Q294" i="1"/>
  <c r="M295" i="1" s="1"/>
  <c r="N295" i="1" l="1"/>
  <c r="O295" i="1" s="1"/>
  <c r="V294" i="1"/>
  <c r="U294" i="1"/>
  <c r="P295" i="1" l="1"/>
  <c r="T295" i="1" l="1"/>
  <c r="S295" i="1"/>
  <c r="R295" i="1"/>
  <c r="Q295" i="1"/>
  <c r="M296" i="1" s="1"/>
  <c r="N296" i="1" l="1"/>
  <c r="O296" i="1" s="1"/>
  <c r="V295" i="1"/>
  <c r="U295" i="1"/>
  <c r="P296" i="1" l="1"/>
  <c r="T296" i="1" l="1"/>
  <c r="S296" i="1"/>
  <c r="Q296" i="1"/>
  <c r="M297" i="1" s="1"/>
  <c r="R296" i="1"/>
  <c r="N297" i="1" l="1"/>
  <c r="O297" i="1" s="1"/>
  <c r="V296" i="1"/>
  <c r="U296" i="1"/>
  <c r="P297" i="1" l="1"/>
  <c r="R297" i="1"/>
  <c r="T297" i="1" l="1"/>
  <c r="S297" i="1"/>
  <c r="Q297" i="1"/>
  <c r="M298" i="1" s="1"/>
  <c r="N298" i="1" l="1"/>
  <c r="O298" i="1"/>
  <c r="V297" i="1"/>
  <c r="U297" i="1"/>
  <c r="P298" i="1" l="1"/>
  <c r="T298" i="1" l="1"/>
  <c r="S298" i="1"/>
  <c r="Q298" i="1"/>
  <c r="M299" i="1" s="1"/>
  <c r="R298" i="1"/>
  <c r="N299" i="1" l="1"/>
  <c r="O299" i="1" s="1"/>
  <c r="V298" i="1"/>
  <c r="U298" i="1"/>
  <c r="P299" i="1" l="1"/>
  <c r="T299" i="1" l="1"/>
  <c r="S299" i="1"/>
  <c r="R299" i="1"/>
  <c r="Q299" i="1"/>
  <c r="M300" i="1" s="1"/>
  <c r="N300" i="1" l="1"/>
  <c r="O300" i="1"/>
  <c r="V299" i="1"/>
  <c r="U299" i="1"/>
  <c r="P300" i="1" l="1"/>
  <c r="T300" i="1" l="1"/>
  <c r="S300" i="1"/>
  <c r="Q300" i="1"/>
  <c r="M301" i="1" s="1"/>
  <c r="R300" i="1"/>
  <c r="N301" i="1" l="1"/>
  <c r="O301" i="1"/>
  <c r="V300" i="1"/>
  <c r="U300" i="1"/>
  <c r="P301" i="1" l="1"/>
  <c r="T301" i="1" l="1"/>
  <c r="S301" i="1"/>
  <c r="R301" i="1"/>
  <c r="Q301" i="1"/>
  <c r="M302" i="1" s="1"/>
  <c r="N302" i="1" l="1"/>
  <c r="O302" i="1"/>
  <c r="V301" i="1"/>
  <c r="U301" i="1"/>
  <c r="P302" i="1" l="1"/>
  <c r="T302" i="1" l="1"/>
  <c r="S302" i="1"/>
  <c r="R302" i="1"/>
  <c r="Q302" i="1"/>
  <c r="M303" i="1" s="1"/>
  <c r="N303" i="1" l="1"/>
  <c r="O303" i="1" s="1"/>
  <c r="V302" i="1"/>
  <c r="U302" i="1"/>
  <c r="P303" i="1" l="1"/>
  <c r="T303" i="1" l="1"/>
  <c r="S303" i="1"/>
  <c r="Q303" i="1"/>
  <c r="M304" i="1" s="1"/>
  <c r="R303" i="1"/>
  <c r="N304" i="1" l="1"/>
  <c r="O304" i="1" s="1"/>
  <c r="V303" i="1"/>
  <c r="U303" i="1"/>
  <c r="P304" i="1" l="1"/>
  <c r="T304" i="1" l="1"/>
  <c r="S304" i="1"/>
  <c r="R304" i="1"/>
  <c r="Q304" i="1"/>
  <c r="M305" i="1" s="1"/>
  <c r="N305" i="1" l="1"/>
  <c r="O305" i="1" s="1"/>
  <c r="V304" i="1"/>
  <c r="U304" i="1"/>
  <c r="P305" i="1" l="1"/>
  <c r="T305" i="1" l="1"/>
  <c r="S305" i="1"/>
  <c r="R305" i="1"/>
  <c r="Q305" i="1"/>
  <c r="M306" i="1" s="1"/>
  <c r="N306" i="1" l="1"/>
  <c r="O306" i="1" s="1"/>
  <c r="V305" i="1"/>
  <c r="U305" i="1"/>
  <c r="P306" i="1" l="1"/>
  <c r="T306" i="1" l="1"/>
  <c r="S306" i="1"/>
  <c r="Q306" i="1"/>
  <c r="M307" i="1" s="1"/>
  <c r="R306" i="1"/>
  <c r="N307" i="1" l="1"/>
  <c r="O307" i="1" s="1"/>
  <c r="V306" i="1"/>
  <c r="U306" i="1"/>
  <c r="P307" i="1" l="1"/>
  <c r="Q307" i="1"/>
  <c r="M308" i="1" s="1"/>
  <c r="N308" i="1" l="1"/>
  <c r="O308" i="1"/>
  <c r="T307" i="1"/>
  <c r="S307" i="1"/>
  <c r="R307" i="1"/>
  <c r="V307" i="1" l="1"/>
  <c r="U307" i="1"/>
  <c r="P308" i="1"/>
  <c r="T308" i="1" l="1"/>
  <c r="S308" i="1"/>
  <c r="R308" i="1"/>
  <c r="Q308" i="1"/>
  <c r="M309" i="1" s="1"/>
  <c r="N309" i="1" l="1"/>
  <c r="O309" i="1" s="1"/>
  <c r="V308" i="1"/>
  <c r="U308" i="1"/>
  <c r="P309" i="1" l="1"/>
  <c r="T309" i="1" l="1"/>
  <c r="S309" i="1"/>
  <c r="R309" i="1"/>
  <c r="Q309" i="1"/>
  <c r="M310" i="1" s="1"/>
  <c r="N310" i="1" l="1"/>
  <c r="O310" i="1"/>
  <c r="V309" i="1"/>
  <c r="U309" i="1"/>
  <c r="P310" i="1" l="1"/>
  <c r="T310" i="1" l="1"/>
  <c r="S310" i="1"/>
  <c r="Q310" i="1"/>
  <c r="M311" i="1" s="1"/>
  <c r="R310" i="1"/>
  <c r="N311" i="1" l="1"/>
  <c r="O311" i="1" s="1"/>
  <c r="V310" i="1"/>
  <c r="U310" i="1"/>
  <c r="P311" i="1" l="1"/>
  <c r="T311" i="1" l="1"/>
  <c r="S311" i="1"/>
  <c r="Q311" i="1"/>
  <c r="M312" i="1" s="1"/>
  <c r="R311" i="1"/>
  <c r="N312" i="1" l="1"/>
  <c r="O312" i="1" s="1"/>
  <c r="V311" i="1"/>
  <c r="U311" i="1"/>
  <c r="P312" i="1" l="1"/>
  <c r="T312" i="1" l="1"/>
  <c r="S312" i="1"/>
  <c r="R312" i="1"/>
  <c r="Q312" i="1"/>
  <c r="M313" i="1" s="1"/>
  <c r="N313" i="1" l="1"/>
  <c r="O313" i="1" s="1"/>
  <c r="V312" i="1"/>
  <c r="U312" i="1"/>
  <c r="P313" i="1" l="1"/>
  <c r="T313" i="1" l="1"/>
  <c r="S313" i="1"/>
  <c r="R313" i="1"/>
  <c r="Q313" i="1"/>
  <c r="M314" i="1" s="1"/>
  <c r="N314" i="1" l="1"/>
  <c r="O314" i="1" s="1"/>
  <c r="V313" i="1"/>
  <c r="U313" i="1"/>
  <c r="P314" i="1" l="1"/>
  <c r="Q314" i="1" s="1"/>
  <c r="M315" i="1" s="1"/>
  <c r="N315" i="1" l="1"/>
  <c r="O315" i="1" s="1"/>
  <c r="T314" i="1"/>
  <c r="S314" i="1"/>
  <c r="R314" i="1"/>
  <c r="P315" i="1" l="1"/>
  <c r="V314" i="1"/>
  <c r="U314" i="1"/>
  <c r="T315" i="1" l="1"/>
  <c r="S315" i="1"/>
  <c r="Q315" i="1"/>
  <c r="M316" i="1" s="1"/>
  <c r="R315" i="1"/>
  <c r="N316" i="1" l="1"/>
  <c r="O316" i="1" s="1"/>
  <c r="V315" i="1"/>
  <c r="U315" i="1"/>
  <c r="P316" i="1" l="1"/>
  <c r="T316" i="1" l="1"/>
  <c r="S316" i="1"/>
  <c r="R316" i="1"/>
  <c r="Q316" i="1"/>
  <c r="M317" i="1" s="1"/>
  <c r="N317" i="1" l="1"/>
  <c r="O317" i="1" s="1"/>
  <c r="V316" i="1"/>
  <c r="U316" i="1"/>
  <c r="P317" i="1" l="1"/>
  <c r="T317" i="1" l="1"/>
  <c r="S317" i="1"/>
  <c r="Q317" i="1"/>
  <c r="M318" i="1" s="1"/>
  <c r="R317" i="1"/>
  <c r="N318" i="1" l="1"/>
  <c r="O318" i="1" s="1"/>
  <c r="V317" i="1"/>
  <c r="U317" i="1"/>
  <c r="P318" i="1" l="1"/>
  <c r="T318" i="1" l="1"/>
  <c r="S318" i="1"/>
  <c r="Q318" i="1"/>
  <c r="M319" i="1" s="1"/>
  <c r="R318" i="1"/>
  <c r="N319" i="1" l="1"/>
  <c r="O319" i="1" s="1"/>
  <c r="V318" i="1"/>
  <c r="U318" i="1"/>
  <c r="P319" i="1" l="1"/>
  <c r="T319" i="1" l="1"/>
  <c r="S319" i="1"/>
  <c r="Q319" i="1"/>
  <c r="M320" i="1" s="1"/>
  <c r="R319" i="1"/>
  <c r="N320" i="1" l="1"/>
  <c r="O320" i="1" s="1"/>
  <c r="V319" i="1"/>
  <c r="U319" i="1"/>
  <c r="P320" i="1" l="1"/>
  <c r="T320" i="1" l="1"/>
  <c r="S320" i="1"/>
  <c r="Q320" i="1"/>
  <c r="M321" i="1" s="1"/>
  <c r="R320" i="1"/>
  <c r="N321" i="1" l="1"/>
  <c r="O321" i="1" s="1"/>
  <c r="V320" i="1"/>
  <c r="U320" i="1"/>
  <c r="P321" i="1" l="1"/>
  <c r="T321" i="1" l="1"/>
  <c r="S321" i="1"/>
  <c r="R321" i="1"/>
  <c r="Q321" i="1"/>
  <c r="M322" i="1" s="1"/>
  <c r="N322" i="1" l="1"/>
  <c r="O322" i="1" s="1"/>
  <c r="V321" i="1"/>
  <c r="U321" i="1"/>
  <c r="P322" i="1" l="1"/>
  <c r="Q322" i="1" s="1"/>
  <c r="M323" i="1" s="1"/>
  <c r="N323" i="1" l="1"/>
  <c r="O323" i="1" s="1"/>
  <c r="T322" i="1"/>
  <c r="S322" i="1"/>
  <c r="R322" i="1"/>
  <c r="P323" i="1" l="1"/>
  <c r="V322" i="1"/>
  <c r="U322" i="1"/>
  <c r="T323" i="1" l="1"/>
  <c r="S323" i="1"/>
  <c r="Q323" i="1"/>
  <c r="M324" i="1" s="1"/>
  <c r="R323" i="1"/>
  <c r="N324" i="1" l="1"/>
  <c r="O324" i="1" s="1"/>
  <c r="V323" i="1"/>
  <c r="U323" i="1"/>
  <c r="P324" i="1" l="1"/>
  <c r="Q324" i="1" s="1"/>
  <c r="M325" i="1" s="1"/>
  <c r="N325" i="1" l="1"/>
  <c r="O325" i="1" s="1"/>
  <c r="T324" i="1"/>
  <c r="S324" i="1"/>
  <c r="R324" i="1"/>
  <c r="P325" i="1" l="1"/>
  <c r="V324" i="1"/>
  <c r="U324" i="1"/>
  <c r="T325" i="1" l="1"/>
  <c r="S325" i="1"/>
  <c r="Q325" i="1"/>
  <c r="M326" i="1" s="1"/>
  <c r="R325" i="1"/>
  <c r="N326" i="1" l="1"/>
  <c r="O326" i="1"/>
  <c r="V325" i="1"/>
  <c r="U325" i="1"/>
  <c r="P326" i="1" l="1"/>
  <c r="S326" i="1" l="1"/>
  <c r="T326" i="1"/>
  <c r="Q326" i="1"/>
  <c r="M327" i="1" s="1"/>
  <c r="R326" i="1"/>
  <c r="N327" i="1" l="1"/>
  <c r="O327" i="1" s="1"/>
  <c r="V326" i="1"/>
  <c r="U326" i="1"/>
  <c r="P327" i="1" l="1"/>
  <c r="Q327" i="1"/>
  <c r="M328" i="1" s="1"/>
  <c r="R327" i="1"/>
  <c r="N328" i="1" l="1"/>
  <c r="O328" i="1"/>
  <c r="T327" i="1"/>
  <c r="S327" i="1"/>
  <c r="P328" i="1" l="1"/>
  <c r="V327" i="1"/>
  <c r="U327" i="1"/>
  <c r="T328" i="1" l="1"/>
  <c r="S328" i="1"/>
  <c r="Q328" i="1"/>
  <c r="M329" i="1" s="1"/>
  <c r="R328" i="1"/>
  <c r="N329" i="1" l="1"/>
  <c r="O329" i="1" s="1"/>
  <c r="V328" i="1"/>
  <c r="U328" i="1"/>
  <c r="P329" i="1" l="1"/>
  <c r="T329" i="1" l="1"/>
  <c r="S329" i="1"/>
  <c r="R329" i="1"/>
  <c r="Q329" i="1"/>
  <c r="M330" i="1" s="1"/>
  <c r="N330" i="1" l="1"/>
  <c r="O330" i="1" s="1"/>
  <c r="V329" i="1"/>
  <c r="U329" i="1"/>
  <c r="P330" i="1" l="1"/>
  <c r="Q330" i="1" s="1"/>
  <c r="M331" i="1" s="1"/>
  <c r="N331" i="1" l="1"/>
  <c r="O331" i="1" s="1"/>
  <c r="T330" i="1"/>
  <c r="S330" i="1"/>
  <c r="R330" i="1"/>
  <c r="P331" i="1" l="1"/>
  <c r="R331" i="1"/>
  <c r="Q331" i="1"/>
  <c r="M332" i="1" s="1"/>
  <c r="V330" i="1"/>
  <c r="U330" i="1"/>
  <c r="N332" i="1" l="1"/>
  <c r="O332" i="1" s="1"/>
  <c r="T331" i="1"/>
  <c r="S331" i="1"/>
  <c r="P332" i="1" l="1"/>
  <c r="V331" i="1"/>
  <c r="U331" i="1"/>
  <c r="T332" i="1" l="1"/>
  <c r="S332" i="1"/>
  <c r="Q332" i="1"/>
  <c r="M333" i="1" s="1"/>
  <c r="R332" i="1"/>
  <c r="N333" i="1" l="1"/>
  <c r="O333" i="1" s="1"/>
  <c r="V332" i="1"/>
  <c r="U332" i="1"/>
  <c r="P333" i="1" l="1"/>
  <c r="T333" i="1" l="1"/>
  <c r="S333" i="1"/>
  <c r="Q333" i="1"/>
  <c r="M334" i="1" s="1"/>
  <c r="R333" i="1"/>
  <c r="N334" i="1" l="1"/>
  <c r="O334" i="1"/>
  <c r="V333" i="1"/>
  <c r="U333" i="1"/>
  <c r="P334" i="1" l="1"/>
  <c r="R334" i="1"/>
  <c r="Q334" i="1"/>
  <c r="M335" i="1" s="1"/>
  <c r="N335" i="1" l="1"/>
  <c r="O335" i="1" s="1"/>
  <c r="T334" i="1"/>
  <c r="S334" i="1"/>
  <c r="P335" i="1" l="1"/>
  <c r="V334" i="1"/>
  <c r="U334" i="1"/>
  <c r="T335" i="1" l="1"/>
  <c r="S335" i="1"/>
  <c r="Q335" i="1"/>
  <c r="M336" i="1" s="1"/>
  <c r="R335" i="1"/>
  <c r="N336" i="1" l="1"/>
  <c r="O336" i="1" s="1"/>
  <c r="V335" i="1"/>
  <c r="U335" i="1"/>
  <c r="P336" i="1" l="1"/>
  <c r="S336" i="1" l="1"/>
  <c r="T336" i="1"/>
  <c r="Q336" i="1"/>
  <c r="M337" i="1" s="1"/>
  <c r="R336" i="1"/>
  <c r="V336" i="1" l="1"/>
  <c r="U336" i="1"/>
  <c r="N337" i="1"/>
  <c r="O337" i="1"/>
  <c r="P337" i="1" l="1"/>
  <c r="R337" i="1" s="1"/>
  <c r="T337" i="1" l="1"/>
  <c r="S337" i="1"/>
  <c r="Q337" i="1"/>
  <c r="M338" i="1" s="1"/>
  <c r="N338" i="1" l="1"/>
  <c r="O338" i="1"/>
  <c r="V337" i="1"/>
  <c r="U337" i="1"/>
  <c r="P338" i="1" l="1"/>
  <c r="Q338" i="1" s="1"/>
  <c r="M339" i="1" s="1"/>
  <c r="N339" i="1" l="1"/>
  <c r="O339" i="1" s="1"/>
  <c r="T338" i="1"/>
  <c r="S338" i="1"/>
  <c r="R338" i="1"/>
  <c r="P339" i="1" l="1"/>
  <c r="Q339" i="1" s="1"/>
  <c r="M340" i="1" s="1"/>
  <c r="V338" i="1"/>
  <c r="U338" i="1"/>
  <c r="N340" i="1" l="1"/>
  <c r="O340" i="1" s="1"/>
  <c r="T339" i="1"/>
  <c r="S339" i="1"/>
  <c r="R339" i="1"/>
  <c r="P340" i="1" l="1"/>
  <c r="V339" i="1"/>
  <c r="U339" i="1"/>
  <c r="T340" i="1" l="1"/>
  <c r="S340" i="1"/>
  <c r="Q340" i="1"/>
  <c r="M341" i="1" s="1"/>
  <c r="R340" i="1"/>
  <c r="N341" i="1" l="1"/>
  <c r="O341" i="1" s="1"/>
  <c r="V340" i="1"/>
  <c r="U340" i="1"/>
  <c r="P341" i="1" l="1"/>
  <c r="R341" i="1"/>
  <c r="Q341" i="1"/>
  <c r="M342" i="1" s="1"/>
  <c r="N342" i="1" l="1"/>
  <c r="O342" i="1"/>
  <c r="T341" i="1"/>
  <c r="S341" i="1"/>
  <c r="P342" i="1" l="1"/>
  <c r="V341" i="1"/>
  <c r="U341" i="1"/>
  <c r="T342" i="1" l="1"/>
  <c r="S342" i="1"/>
  <c r="Q342" i="1"/>
  <c r="M343" i="1" s="1"/>
  <c r="R342" i="1"/>
  <c r="N343" i="1" l="1"/>
  <c r="O343" i="1" s="1"/>
  <c r="V342" i="1"/>
  <c r="U342" i="1"/>
  <c r="P343" i="1" l="1"/>
  <c r="T343" i="1" l="1"/>
  <c r="S343" i="1"/>
  <c r="Q343" i="1"/>
  <c r="M344" i="1" s="1"/>
  <c r="R343" i="1"/>
  <c r="N344" i="1" l="1"/>
  <c r="O344" i="1" s="1"/>
  <c r="V343" i="1"/>
  <c r="U343" i="1"/>
  <c r="P344" i="1" l="1"/>
  <c r="Q344" i="1" s="1"/>
  <c r="M345" i="1" s="1"/>
  <c r="N345" i="1" l="1"/>
  <c r="O345" i="1"/>
  <c r="T344" i="1"/>
  <c r="S344" i="1"/>
  <c r="R344" i="1"/>
  <c r="V344" i="1" l="1"/>
  <c r="U344" i="1"/>
  <c r="P345" i="1"/>
  <c r="S345" i="1" l="1"/>
  <c r="T345" i="1"/>
  <c r="Q345" i="1"/>
  <c r="M346" i="1" s="1"/>
  <c r="R345" i="1"/>
  <c r="V345" i="1" l="1"/>
  <c r="U345" i="1"/>
  <c r="N346" i="1"/>
  <c r="O346" i="1" s="1"/>
  <c r="P346" i="1" l="1"/>
  <c r="T346" i="1" l="1"/>
  <c r="S346" i="1"/>
  <c r="Q346" i="1"/>
  <c r="M347" i="1" s="1"/>
  <c r="R346" i="1"/>
  <c r="N347" i="1" l="1"/>
  <c r="O347" i="1"/>
  <c r="V346" i="1"/>
  <c r="U346" i="1"/>
  <c r="P347" i="1" l="1"/>
  <c r="T347" i="1" l="1"/>
  <c r="S347" i="1"/>
  <c r="Q347" i="1"/>
  <c r="M348" i="1" s="1"/>
  <c r="R347" i="1"/>
  <c r="N348" i="1" l="1"/>
  <c r="O348" i="1"/>
  <c r="V347" i="1"/>
  <c r="U347" i="1"/>
  <c r="P348" i="1" l="1"/>
  <c r="R348" i="1"/>
  <c r="Q348" i="1"/>
  <c r="M349" i="1" s="1"/>
  <c r="N349" i="1" l="1"/>
  <c r="O349" i="1" s="1"/>
  <c r="T348" i="1"/>
  <c r="S348" i="1"/>
  <c r="P349" i="1" l="1"/>
  <c r="V348" i="1"/>
  <c r="U348" i="1"/>
  <c r="T349" i="1" l="1"/>
  <c r="S349" i="1"/>
  <c r="Q349" i="1"/>
  <c r="M350" i="1" s="1"/>
  <c r="R349" i="1"/>
  <c r="N350" i="1" l="1"/>
  <c r="O350" i="1" s="1"/>
  <c r="V349" i="1"/>
  <c r="U349" i="1"/>
  <c r="P350" i="1" l="1"/>
  <c r="T350" i="1" l="1"/>
  <c r="S350" i="1"/>
  <c r="Q350" i="1"/>
  <c r="M351" i="1" s="1"/>
  <c r="R350" i="1"/>
  <c r="N351" i="1" l="1"/>
  <c r="O351" i="1" s="1"/>
  <c r="V350" i="1"/>
  <c r="U350" i="1"/>
  <c r="P351" i="1" l="1"/>
  <c r="T351" i="1" l="1"/>
  <c r="S351" i="1"/>
  <c r="R351" i="1"/>
  <c r="Q351" i="1"/>
  <c r="M352" i="1" s="1"/>
  <c r="N352" i="1" l="1"/>
  <c r="O352" i="1" s="1"/>
  <c r="V351" i="1"/>
  <c r="U351" i="1"/>
  <c r="P352" i="1" l="1"/>
  <c r="T352" i="1" l="1"/>
  <c r="S352" i="1"/>
  <c r="Q352" i="1"/>
  <c r="M353" i="1" s="1"/>
  <c r="R352" i="1"/>
  <c r="N353" i="1" l="1"/>
  <c r="O353" i="1" s="1"/>
  <c r="V352" i="1"/>
  <c r="U352" i="1"/>
  <c r="P353" i="1" l="1"/>
  <c r="T353" i="1" l="1"/>
  <c r="S353" i="1"/>
  <c r="R353" i="1"/>
  <c r="Q353" i="1"/>
  <c r="M354" i="1" s="1"/>
  <c r="N354" i="1" l="1"/>
  <c r="O354" i="1"/>
  <c r="V353" i="1"/>
  <c r="U353" i="1"/>
  <c r="P354" i="1" l="1"/>
  <c r="T354" i="1" l="1"/>
  <c r="S354" i="1"/>
  <c r="Q354" i="1"/>
  <c r="M355" i="1" s="1"/>
  <c r="R354" i="1"/>
  <c r="N355" i="1" l="1"/>
  <c r="O355" i="1"/>
  <c r="V354" i="1"/>
  <c r="U354" i="1"/>
  <c r="P355" i="1" l="1"/>
  <c r="T355" i="1" l="1"/>
  <c r="S355" i="1"/>
  <c r="R355" i="1"/>
  <c r="Q355" i="1"/>
  <c r="M356" i="1" s="1"/>
  <c r="N356" i="1" l="1"/>
  <c r="O356" i="1" s="1"/>
  <c r="V355" i="1"/>
  <c r="U355" i="1"/>
  <c r="P356" i="1" l="1"/>
  <c r="R356" i="1"/>
  <c r="Q356" i="1"/>
  <c r="M357" i="1" s="1"/>
  <c r="N357" i="1" l="1"/>
  <c r="O357" i="1" s="1"/>
  <c r="T356" i="1"/>
  <c r="S356" i="1"/>
  <c r="P357" i="1" l="1"/>
  <c r="V356" i="1"/>
  <c r="U356" i="1"/>
  <c r="T357" i="1" l="1"/>
  <c r="S357" i="1"/>
  <c r="Q357" i="1"/>
  <c r="M358" i="1" s="1"/>
  <c r="R357" i="1"/>
  <c r="N358" i="1" l="1"/>
  <c r="O358" i="1"/>
  <c r="V357" i="1"/>
  <c r="U357" i="1"/>
  <c r="P358" i="1" l="1"/>
  <c r="T358" i="1" l="1"/>
  <c r="S358" i="1"/>
  <c r="R358" i="1"/>
  <c r="Q358" i="1"/>
  <c r="M359" i="1" s="1"/>
  <c r="N359" i="1" l="1"/>
  <c r="O359" i="1" s="1"/>
  <c r="V358" i="1"/>
  <c r="U358" i="1"/>
  <c r="P359" i="1" l="1"/>
  <c r="T359" i="1" l="1"/>
  <c r="S359" i="1"/>
  <c r="R359" i="1"/>
  <c r="Q359" i="1"/>
  <c r="M360" i="1" s="1"/>
  <c r="N360" i="1" l="1"/>
  <c r="O360" i="1" s="1"/>
  <c r="V359" i="1"/>
  <c r="U359" i="1"/>
  <c r="P360" i="1" l="1"/>
  <c r="T360" i="1" l="1"/>
  <c r="S360" i="1"/>
  <c r="Q360" i="1"/>
  <c r="M361" i="1" s="1"/>
  <c r="R360" i="1"/>
  <c r="N361" i="1" l="1"/>
  <c r="O361" i="1" s="1"/>
  <c r="V360" i="1"/>
  <c r="U360" i="1"/>
  <c r="P361" i="1" l="1"/>
  <c r="T361" i="1" l="1"/>
  <c r="S361" i="1"/>
  <c r="R361" i="1"/>
  <c r="Q361" i="1"/>
  <c r="M362" i="1" s="1"/>
  <c r="N362" i="1" l="1"/>
  <c r="O362" i="1" s="1"/>
  <c r="V361" i="1"/>
  <c r="U361" i="1"/>
  <c r="P362" i="1" l="1"/>
  <c r="T362" i="1" l="1"/>
  <c r="S362" i="1"/>
  <c r="Q362" i="1"/>
  <c r="M363" i="1" s="1"/>
  <c r="R362" i="1"/>
  <c r="N363" i="1" l="1"/>
  <c r="O363" i="1" s="1"/>
  <c r="V362" i="1"/>
  <c r="U362" i="1"/>
  <c r="P363" i="1" l="1"/>
  <c r="R363" i="1" s="1"/>
  <c r="T363" i="1" l="1"/>
  <c r="S363" i="1"/>
  <c r="Q363" i="1"/>
  <c r="M364" i="1" s="1"/>
  <c r="N364" i="1" l="1"/>
  <c r="O364" i="1"/>
  <c r="V363" i="1"/>
  <c r="U363" i="1"/>
  <c r="P364" i="1" l="1"/>
  <c r="T364" i="1" l="1"/>
  <c r="S364" i="1"/>
  <c r="Q364" i="1"/>
  <c r="M365" i="1" s="1"/>
  <c r="R364" i="1"/>
  <c r="N365" i="1" l="1"/>
  <c r="O365" i="1"/>
  <c r="V364" i="1"/>
  <c r="U364" i="1"/>
  <c r="P365" i="1" l="1"/>
  <c r="T365" i="1" l="1"/>
  <c r="S365" i="1"/>
  <c r="R365" i="1"/>
  <c r="Q365" i="1"/>
  <c r="M366" i="1" s="1"/>
  <c r="N366" i="1" l="1"/>
  <c r="O366" i="1"/>
  <c r="V365" i="1"/>
  <c r="U365" i="1"/>
  <c r="P366" i="1" l="1"/>
  <c r="T366" i="1" l="1"/>
  <c r="S366" i="1"/>
  <c r="R366" i="1"/>
  <c r="Q366" i="1"/>
  <c r="M367" i="1" s="1"/>
  <c r="N367" i="1" l="1"/>
  <c r="O367" i="1" s="1"/>
  <c r="V366" i="1"/>
  <c r="U366" i="1"/>
  <c r="P367" i="1" l="1"/>
  <c r="Q367" i="1" s="1"/>
  <c r="M368" i="1" s="1"/>
  <c r="N368" i="1" l="1"/>
  <c r="O368" i="1" s="1"/>
  <c r="T367" i="1"/>
  <c r="S367" i="1"/>
  <c r="R367" i="1"/>
  <c r="P368" i="1" l="1"/>
  <c r="V367" i="1"/>
  <c r="U367" i="1"/>
  <c r="T368" i="1" l="1"/>
  <c r="S368" i="1"/>
  <c r="R368" i="1"/>
  <c r="Q368" i="1"/>
  <c r="M369" i="1" s="1"/>
  <c r="N369" i="1" l="1"/>
  <c r="O369" i="1" s="1"/>
  <c r="V368" i="1"/>
  <c r="U368" i="1"/>
  <c r="P369" i="1" l="1"/>
  <c r="R369" i="1" s="1"/>
  <c r="T369" i="1" l="1"/>
  <c r="S369" i="1"/>
  <c r="Q369" i="1"/>
  <c r="M370" i="1" s="1"/>
  <c r="N370" i="1" l="1"/>
  <c r="O370" i="1" s="1"/>
  <c r="V369" i="1"/>
  <c r="U369" i="1"/>
  <c r="P370" i="1" l="1"/>
  <c r="Q370" i="1" s="1"/>
  <c r="M371" i="1" s="1"/>
  <c r="N371" i="1" l="1"/>
  <c r="O371" i="1" s="1"/>
  <c r="T370" i="1"/>
  <c r="S370" i="1"/>
  <c r="R370" i="1"/>
  <c r="P371" i="1" l="1"/>
  <c r="V370" i="1"/>
  <c r="U370" i="1"/>
  <c r="T371" i="1" l="1"/>
  <c r="S371" i="1"/>
  <c r="Q371" i="1"/>
  <c r="M372" i="1" s="1"/>
  <c r="R371" i="1"/>
  <c r="N372" i="1" l="1"/>
  <c r="O372" i="1"/>
  <c r="V371" i="1"/>
  <c r="U371" i="1"/>
  <c r="P372" i="1" l="1"/>
  <c r="T372" i="1" l="1"/>
  <c r="S372" i="1"/>
  <c r="R372" i="1"/>
  <c r="Q372" i="1"/>
  <c r="M373" i="1" s="1"/>
  <c r="N373" i="1" l="1"/>
  <c r="O373" i="1" s="1"/>
  <c r="V372" i="1"/>
  <c r="U372" i="1"/>
  <c r="P373" i="1" l="1"/>
  <c r="T373" i="1" l="1"/>
  <c r="S373" i="1"/>
  <c r="R373" i="1"/>
  <c r="Q373" i="1"/>
  <c r="M374" i="1" s="1"/>
  <c r="N374" i="1" l="1"/>
  <c r="O374" i="1"/>
  <c r="V373" i="1"/>
  <c r="U373" i="1"/>
  <c r="P374" i="1" l="1"/>
  <c r="T374" i="1" l="1"/>
  <c r="S374" i="1"/>
  <c r="Q374" i="1"/>
  <c r="M375" i="1" s="1"/>
  <c r="R374" i="1"/>
  <c r="N375" i="1" l="1"/>
  <c r="O375" i="1" s="1"/>
  <c r="V374" i="1"/>
  <c r="U374" i="1"/>
  <c r="P375" i="1" l="1"/>
  <c r="T375" i="1" l="1"/>
  <c r="S375" i="1"/>
  <c r="Q375" i="1"/>
  <c r="M376" i="1" s="1"/>
  <c r="R375" i="1"/>
  <c r="N376" i="1" l="1"/>
  <c r="O376" i="1" s="1"/>
  <c r="V375" i="1"/>
  <c r="U375" i="1"/>
  <c r="P376" i="1" l="1"/>
  <c r="T376" i="1" l="1"/>
  <c r="S376" i="1"/>
  <c r="R376" i="1"/>
  <c r="Q376" i="1"/>
  <c r="M377" i="1" s="1"/>
  <c r="N377" i="1" l="1"/>
  <c r="O377" i="1" s="1"/>
  <c r="V376" i="1"/>
  <c r="U376" i="1"/>
  <c r="P377" i="1" l="1"/>
  <c r="T377" i="1" l="1"/>
  <c r="S377" i="1"/>
  <c r="R377" i="1"/>
  <c r="Q377" i="1"/>
  <c r="M378" i="1" s="1"/>
  <c r="N378" i="1" l="1"/>
  <c r="O378" i="1" s="1"/>
  <c r="V377" i="1"/>
  <c r="U377" i="1"/>
  <c r="P378" i="1" l="1"/>
  <c r="T378" i="1" l="1"/>
  <c r="S378" i="1"/>
  <c r="Q378" i="1"/>
  <c r="M379" i="1" s="1"/>
  <c r="R378" i="1"/>
  <c r="N379" i="1" l="1"/>
  <c r="O379" i="1" s="1"/>
  <c r="V378" i="1"/>
  <c r="U378" i="1"/>
  <c r="P379" i="1" l="1"/>
  <c r="T379" i="1" l="1"/>
  <c r="S379" i="1"/>
  <c r="Q379" i="1"/>
  <c r="M380" i="1" s="1"/>
  <c r="R379" i="1"/>
  <c r="N380" i="1" l="1"/>
  <c r="O380" i="1" s="1"/>
  <c r="V379" i="1"/>
  <c r="U379" i="1"/>
  <c r="P380" i="1" l="1"/>
  <c r="R380" i="1"/>
  <c r="T380" i="1" l="1"/>
  <c r="S380" i="1"/>
  <c r="Q380" i="1"/>
  <c r="M381" i="1" s="1"/>
  <c r="N381" i="1" l="1"/>
  <c r="O381" i="1" s="1"/>
  <c r="V380" i="1"/>
  <c r="U380" i="1"/>
  <c r="P381" i="1" l="1"/>
  <c r="T381" i="1" l="1"/>
  <c r="S381" i="1"/>
  <c r="Q381" i="1"/>
  <c r="M382" i="1" s="1"/>
  <c r="R381" i="1"/>
  <c r="N382" i="1" l="1"/>
  <c r="O382" i="1"/>
  <c r="V381" i="1"/>
  <c r="U381" i="1"/>
  <c r="P382" i="1" l="1"/>
  <c r="T382" i="1" l="1"/>
  <c r="S382" i="1"/>
  <c r="Q382" i="1"/>
  <c r="M383" i="1" s="1"/>
  <c r="R382" i="1"/>
  <c r="N383" i="1" l="1"/>
  <c r="O383" i="1" s="1"/>
  <c r="V382" i="1"/>
  <c r="U382" i="1"/>
  <c r="P383" i="1" l="1"/>
  <c r="T383" i="1" l="1"/>
  <c r="S383" i="1"/>
  <c r="Q383" i="1"/>
  <c r="M384" i="1" s="1"/>
  <c r="R383" i="1"/>
  <c r="N384" i="1" l="1"/>
  <c r="O384" i="1"/>
  <c r="V383" i="1"/>
  <c r="U383" i="1"/>
  <c r="P384" i="1" l="1"/>
  <c r="T384" i="1" l="1"/>
  <c r="S384" i="1"/>
  <c r="Z8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Q384" i="1"/>
  <c r="T10" i="1" s="1"/>
  <c r="W10" i="1" s="1"/>
  <c r="R384" i="1"/>
  <c r="AF9" i="1" s="1"/>
  <c r="T9" i="1" l="1"/>
  <c r="Z9" i="1"/>
  <c r="V384" i="1"/>
  <c r="AI9" i="1" s="1"/>
  <c r="AF8" i="1"/>
  <c r="AC8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U384" i="1"/>
  <c r="AK8" i="1" l="1"/>
  <c r="AI10" i="1"/>
  <c r="AI8" i="1"/>
  <c r="W9" i="1"/>
  <c r="AC9" i="1"/>
</calcChain>
</file>

<file path=xl/sharedStrings.xml><?xml version="1.0" encoding="utf-8"?>
<sst xmlns="http://schemas.openxmlformats.org/spreadsheetml/2006/main" count="680" uniqueCount="252">
  <si>
    <t>HERRAMIENTA CF2 · HOJA 4 · ALMACENAMIENTO, RENDIMIENTO Y FIABILIDAD</t>
  </si>
  <si>
    <t>Programa 22230071_v1 · RA2 · Integre una serie mensual validada de CF1, estime la entrada captada, ejecute el balance del tanque y evalúe fiabilidad, resiliencia, vulnerabilidad y rebose. Datos precargados: ejemplo didáctico.</t>
  </si>
  <si>
    <t>LEYENDA</t>
  </si>
  <si>
    <t>Entrada</t>
  </si>
  <si>
    <t>Fórmula</t>
  </si>
  <si>
    <t>Alerta</t>
  </si>
  <si>
    <t>Ejemplo</t>
  </si>
  <si>
    <t>Unidades en encabezado</t>
  </si>
  <si>
    <t>PARÁMETROS DE DISEÑO Y OPERACIÓN</t>
  </si>
  <si>
    <t>INTERPRETACIÓN DEL IPE · INGRESO DE RESULTADOS</t>
  </si>
  <si>
    <t>RESULTADOS DEL SISTEMA SELECCIONADO</t>
  </si>
  <si>
    <t>Parámetro</t>
  </si>
  <si>
    <t>Valor</t>
  </si>
  <si>
    <t>Reglas de configuración: uso único = sanitarios; uso múltiple = demanda media conjunta constante; uso prioritario = sanitarios + limpieza como servicio esencial; uso variable = suma mensual de sanitarios, riego y limpieza. Estas reglas son editables mediante las demandas de la matriz.</t>
  </si>
  <si>
    <t>Escala</t>
  </si>
  <si>
    <t>Valor IPE</t>
  </si>
  <si>
    <t>Clasificación</t>
  </si>
  <si>
    <t>Lectura temporal</t>
  </si>
  <si>
    <t>Indicador</t>
  </si>
  <si>
    <t>Resultado</t>
  </si>
  <si>
    <t>Unidad</t>
  </si>
  <si>
    <t>Estado</t>
  </si>
  <si>
    <t>Serie utilizada</t>
  </si>
  <si>
    <t>Ejemplo CF1 · 1981-2010</t>
  </si>
  <si>
    <t>IPE-1</t>
  </si>
  <si>
    <t>Condición reciente</t>
  </si>
  <si>
    <t>IPE-6</t>
  </si>
  <si>
    <t>Corto a mediano plazo</t>
  </si>
  <si>
    <t>Entrada captada</t>
  </si>
  <si>
    <t>m³</t>
  </si>
  <si>
    <t>Demanda</t>
  </si>
  <si>
    <t>Suministro</t>
  </si>
  <si>
    <t>Fiabilidad</t>
  </si>
  <si>
    <t>%</t>
  </si>
  <si>
    <t>Periodos de falla</t>
  </si>
  <si>
    <t>periodos</t>
  </si>
  <si>
    <t>Resiliencia</t>
  </si>
  <si>
    <t>probabilidad</t>
  </si>
  <si>
    <t>Configuración de uso</t>
  </si>
  <si>
    <t>Uso variable</t>
  </si>
  <si>
    <t>IPE-3</t>
  </si>
  <si>
    <t>Condición estacional</t>
  </si>
  <si>
    <t>IPE-12</t>
  </si>
  <si>
    <t>Condición acumulada</t>
  </si>
  <si>
    <t>Déficit total</t>
  </si>
  <si>
    <t>Vulnerabilidad media</t>
  </si>
  <si>
    <t>m³/evento</t>
  </si>
  <si>
    <t>Déficit máximo</t>
  </si>
  <si>
    <t>m³/periodo</t>
  </si>
  <si>
    <t>Duración media</t>
  </si>
  <si>
    <t>Rebose</t>
  </si>
  <si>
    <t>Eventos de falla</t>
  </si>
  <si>
    <t>eventos</t>
  </si>
  <si>
    <t>Capacidad del tanque (m³)</t>
  </si>
  <si>
    <t>Interpretación integrada</t>
  </si>
  <si>
    <t>Almacenamiento medio</t>
  </si>
  <si>
    <t>Utilización del tanque</t>
  </si>
  <si>
    <t>Fiabilidad objetivo</t>
  </si>
  <si>
    <t>Capacidad</t>
  </si>
  <si>
    <t>Configuración</t>
  </si>
  <si>
    <t>tipo</t>
  </si>
  <si>
    <t>Conclusión</t>
  </si>
  <si>
    <t>Almacenamiento inicial (m³)</t>
  </si>
  <si>
    <t>Nota</t>
  </si>
  <si>
    <t>La hoja interpreta valores IPE ya calculados mediante metodología válida; no sustituye el ajuste gamma ni la transformación normal descritos por la OMM.</t>
  </si>
  <si>
    <t>Área de captación (m²)</t>
  </si>
  <si>
    <t>Uso</t>
  </si>
  <si>
    <t>Utilice IPE-1/3 para condiciones recientes y IPE-6/12 para persistencia con posible incidencia en el almacenamiento.</t>
  </si>
  <si>
    <t>Coeficiente de escorrentía</t>
  </si>
  <si>
    <t>Eficiencia de captación</t>
  </si>
  <si>
    <t>Volumen captado: Q = P(mm) × A(m²) × C × E / 1000. Balance: almacenamiento inicial + entrada − pérdidas − suministro − rebose = almacenamiento final, sujeto a 0 ≤ S ≤ Smax.</t>
  </si>
  <si>
    <t>Pérdidas del periodo</t>
  </si>
  <si>
    <t>Umbral de servicio</t>
  </si>
  <si>
    <t>Número de periodos</t>
  </si>
  <si>
    <t>BALANCE MENSUAL DEL TANQUE · DATOS DE ENTRADA Y RESULTADOS</t>
  </si>
  <si>
    <t>RESUMEN ANUAL DEL BALANCE</t>
  </si>
  <si>
    <t>Fecha</t>
  </si>
  <si>
    <t>Año</t>
  </si>
  <si>
    <t>Mes</t>
  </si>
  <si>
    <t>Precipitación (mm)</t>
  </si>
  <si>
    <t>Área (m²)</t>
  </si>
  <si>
    <t>Coef. C</t>
  </si>
  <si>
    <t>Eficiencia</t>
  </si>
  <si>
    <t>Entrada Q (m³)</t>
  </si>
  <si>
    <t>Dem. sanitarios</t>
  </si>
  <si>
    <t>Dem. riego</t>
  </si>
  <si>
    <t>Dem. limpieza</t>
  </si>
  <si>
    <t>Demanda aplicable</t>
  </si>
  <si>
    <t>Almac. inicial</t>
  </si>
  <si>
    <t>Pérdidas</t>
  </si>
  <si>
    <t>Disponible neto</t>
  </si>
  <si>
    <t>Suministro Y</t>
  </si>
  <si>
    <t>Almac. final</t>
  </si>
  <si>
    <t>Déficit</t>
  </si>
  <si>
    <t>Recuperación F→S</t>
  </si>
  <si>
    <t>Inicio evento</t>
  </si>
  <si>
    <t>Entrada (m³)</t>
  </si>
  <si>
    <t>Demanda (m³)</t>
  </si>
  <si>
    <t>Suministro (m³)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</si>
  <si>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</si>
  <si>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</si>
  <si>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</si>
  <si>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</si>
  <si>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</si>
  <si>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</si>
  <si>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</si>
  <si>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</si>
  <si>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</si>
  <si>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</si>
  <si>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</si>
  <si>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</si>
  <si>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Decisión del aprendiz: compare la fiabilidad obtenida con la meta, revise déficit, duración de fallas y rebose. Una capacidad mayor no es automáticamente óptima: identifique cuándo las mejoras son marginales y contraste configuraciones en la hoja Curvas SRY.</t>
  </si>
  <si>
    <t>CF2 · CURVAS SRY Y COMPARACIÓN DE ALTERNATIVAS</t>
  </si>
  <si>
    <t>Evalúe un rango de capacidades y tres niveles de rendimiento. La simulación aplica el mismo balance temporal de la Hoja 4; las celdas azules son decisiones de diseño y los resultados se actualizan automáticamente.</t>
  </si>
  <si>
    <t>CONTROLES DE LA SIMULACIÓN SRY</t>
  </si>
  <si>
    <t>MATRIZ PARA LA CURVA SRY</t>
  </si>
  <si>
    <t>Capacidad candidata (m³)</t>
  </si>
  <si>
    <t>Rendimiento objetivo</t>
  </si>
  <si>
    <t>Factor</t>
  </si>
  <si>
    <t>Capacidad (m³)</t>
  </si>
  <si>
    <t>R bajo</t>
  </si>
  <si>
    <t>R base</t>
  </si>
  <si>
    <t>R alto</t>
  </si>
  <si>
    <t>C1</t>
  </si>
  <si>
    <t>Bajo</t>
  </si>
  <si>
    <t>C2</t>
  </si>
  <si>
    <t>Base</t>
  </si>
  <si>
    <t>C3</t>
  </si>
  <si>
    <t>Alto</t>
  </si>
  <si>
    <t>C4</t>
  </si>
  <si>
    <t>Capacidad para comparar usos (m³)</t>
  </si>
  <si>
    <t>C5</t>
  </si>
  <si>
    <t>C6</t>
  </si>
  <si>
    <t>Periodos en curvas SRY</t>
  </si>
  <si>
    <t>Configuración evaluada</t>
  </si>
  <si>
    <t>Curva SRY: para cada capacidad se repite el balance, se identifican fallas y se calcula R = 1 − Nf/N. La comparación didáctica usa 120 meses consecutivos; para un estudio técnico debe ampliarse a toda la serie validada. Los tres factores representan niveles de demanda/rendimiento.</t>
  </si>
  <si>
    <t>RESUMEN DETALLADO DE 18 ALTERNATIVAS</t>
  </si>
  <si>
    <t>ID</t>
  </si>
  <si>
    <t>Factor demanda</t>
  </si>
  <si>
    <t>Déficit total (m³)</t>
  </si>
  <si>
    <t>Vulnerabilidad media (m³/evento)</t>
  </si>
  <si>
    <t>Duración media (periodos)</t>
  </si>
  <si>
    <t>Rebose (m³)</t>
  </si>
  <si>
    <t>COMPARACIÓN DE CONFIGURACIONES</t>
  </si>
  <si>
    <t>Déficit (m³)</t>
  </si>
  <si>
    <t>Lectura</t>
  </si>
  <si>
    <t>Uso único</t>
  </si>
  <si>
    <t>Uso múltiple</t>
  </si>
  <si>
    <t>Uso prioritario</t>
  </si>
  <si>
    <t>Producto del aprendiz: seleccione una alternativa justificando capacidad, nivel de rendimiento, fiabilidad, resiliencia, vulnerabilidad, rebose y configuración de uso. Señale las limitaciones de la serie de precipitación y del criterio de servicio adoptado.</t>
  </si>
  <si>
    <t>SOPORTE DE CÁLCULO · SIMULACIONES SRY</t>
  </si>
  <si>
    <t>Hoja técnica auditable. Cada bloque repite el balance mensual para una combinación de capacidad, rendimiento o configuración. No modifique las fórmulas; ajuste los controles en Curvas SRY o los datos de entrada en Hoja 4.</t>
  </si>
  <si>
    <t>ID alternativa</t>
  </si>
  <si>
    <t>Periodo</t>
  </si>
  <si>
    <t>Demanda base</t>
  </si>
  <si>
    <t>Demanda ajustada</t>
  </si>
  <si>
    <t>Disponible</t>
  </si>
  <si>
    <t>Recuperación</t>
  </si>
  <si>
    <t>INSTRUCCIONES DE USO Y DILIGENCIAMIENTO · HERRAMIENTA CF2</t>
  </si>
  <si>
    <t>Programa 22230071_v1 · Componente formativo 2 · Evaluación de alternativas de almacenamiento y reúso de agua lluvia. Esta guía está dirigida al aprendiz y debe leerse antes de modificar la hoja 4 y las curvas SRY.</t>
  </si>
  <si>
    <t>1. PROPÓSITO FORMATIVO</t>
  </si>
  <si>
    <t>Transformar una serie mensual de precipitación previamente validada en una evaluación reproducible de captación, almacenamiento, suministro, déficit, rebose y desempeño del sistema. Al finalizar, el aprendiz debe comparar alternativas de tanque y demanda, interpretar fiabilidad, resiliencia y vulnerabilidad, y justificar técnicamente una configuración sin asumir que la mayor capacidad siempre es la mejor.</t>
  </si>
  <si>
    <t>2. REQUISITOS DE ENTRADA</t>
  </si>
  <si>
    <t>1</t>
  </si>
  <si>
    <t>Utilice una serie mensual validada en CF1 y verifique que la unidad sea milímetros (mm).</t>
  </si>
  <si>
    <t>4</t>
  </si>
  <si>
    <t>Establezca el umbral de servicio y el objetivo de fiabilidad que utilizará para aceptar o rechazar una alternativa.</t>
  </si>
  <si>
    <t>2</t>
  </si>
  <si>
    <t>Defina área de captación (m²), coeficiente de escorrentía, eficiencia, pérdidas, almacenamiento inicial y capacidad del tanque (m³).</t>
  </si>
  <si>
    <t>5</t>
  </si>
  <si>
    <t>Prepare capacidades candidatas y factores de demanda para construir y comparar las curvas SRY.</t>
  </si>
  <si>
    <t>3</t>
  </si>
  <si>
    <t>Defina las demandas mensuales de sanitarios, riego y limpieza o justifique otra configuración de uso.</t>
  </si>
  <si>
    <t>6</t>
  </si>
  <si>
    <t>Si utiliza valores IPE, calcúlelos con una metodología válida y conserve la fuente. El libro solo los clasifica e interpreta.</t>
  </si>
  <si>
    <t>3. CÓDIGO DE COLORES</t>
  </si>
  <si>
    <t>ENTRADA</t>
  </si>
  <si>
    <t>FÓRMULA</t>
  </si>
  <si>
    <t>ALERTA</t>
  </si>
  <si>
    <t>EJEMPLO</t>
  </si>
  <si>
    <t>Diligencie o reemplace datos</t>
  </si>
  <si>
    <t>Resultado automático; no sobrescribir</t>
  </si>
  <si>
    <t>Revise antes de avanzar</t>
  </si>
  <si>
    <t>Dato demostrativo; sustituir</t>
  </si>
  <si>
    <t>4. RUTA DE DILIGENCIAMIENTO</t>
  </si>
  <si>
    <t>Paso</t>
  </si>
  <si>
    <t>Pestaña / bloque</t>
  </si>
  <si>
    <t>Acción del aprendiz</t>
  </si>
  <si>
    <t>Dónde diligenciar</t>
  </si>
  <si>
    <t>Control antes de continuar</t>
  </si>
  <si>
    <t>Hoja 4 · Parámetros</t>
  </si>
  <si>
    <t>Reemplace los parámetros del caso didáctico y seleccione la configuración de uso.</t>
  </si>
  <si>
    <t>Celdas azules del bloque PARÁMETROS DE DISEÑO Y OPERACIÓN, especialmente B8:B18.</t>
  </si>
  <si>
    <t>Unidades coherentes: área en m², capacidades y demandas en m³, coeficientes y eficiencias entre 0 y 1.</t>
  </si>
  <si>
    <t>Hoja 4 · Precipitación</t>
  </si>
  <si>
    <t>Transfiera desde CF1 únicamente la serie mensual validada y conserve la correspondencia fecha–mes–valor.</t>
  </si>
  <si>
    <t>Columna azul Precipitación (mm). Mantenga la estructura temporal del balance.</t>
  </si>
  <si>
    <t>No hay meses duplicados, desordenados o vacíos sin justificar; la serie corresponde al mismo sitio y periodo del análisis.</t>
  </si>
  <si>
    <t>Hoja 4 · Demanda</t>
  </si>
  <si>
    <t>Diligencie o ajuste las demandas mensuales de sanitarios, riego y limpieza según el caso.</t>
  </si>
  <si>
    <t>Columnas azules de demanda y controles de configuración.</t>
  </si>
  <si>
    <t>La demanda es mensual, está en m³ y corresponde a la configuración seleccionada.</t>
  </si>
  <si>
    <t>Hoja 4 · IPE</t>
  </si>
  <si>
    <t>Ingrese IPE-1 e IPE-3 solo cuando hayan sido calculados con una metodología técnicamente sustentada.</t>
  </si>
  <si>
    <t>Celdas azules K8, K9, O8 y O9. Las clasificaciones son automáticas.</t>
  </si>
  <si>
    <t>La escala y el periodo temporal están documentados. No se presenta la clasificación como cálculo del índice.</t>
  </si>
  <si>
    <t>Hoja 4 · Balance</t>
  </si>
  <si>
    <t>Revise captación, almacenamiento, pérdidas, suministro, déficit y rebose mes a mes.</t>
  </si>
  <si>
    <t>Columnas verdes E:H y L:V son fórmulas; no las sobrescriba.</t>
  </si>
  <si>
    <t>Se cumple el balance: entrada y almacenamiento respetan la capacidad, el suministro no excede la demanda y no existen volúmenes negativos.</t>
  </si>
  <si>
    <t>Hoja 4 · Indicadores</t>
  </si>
  <si>
    <t>Interprete fiabilidad, periodos de falla, resiliencia, vulnerabilidad, déficit máximo, duración media y rebose.</t>
  </si>
  <si>
    <t>Bloque RESULTADOS DEL SISTEMA SELECCIONADO y resumen anual.</t>
  </si>
  <si>
    <t>La conclusión CUMPLE/NO CUMPLE se contrasta con el objetivo y se explican las causas del desempeño.</t>
  </si>
  <si>
    <t>Curvas SRY</t>
  </si>
  <si>
    <t>Modifique capacidades candidatas, configuración, factores de demanda, capacidad seleccionada y objetivo de fiabilidad.</t>
  </si>
  <si>
    <t>Celdas azules B8:B14 y E8:E12. E13 indica la ventana didáctica de 120 periodos y no debe modificarse.</t>
  </si>
  <si>
    <t>Compare curvas de suministro–rendimiento–almacenamiento y seleccione una alternativa viable, no solo la de mayor tamaño.</t>
  </si>
  <si>
    <t>Soporte SRY</t>
  </si>
  <si>
    <t>Utilice esta pestaña para auditar cómo se construyen las curvas y verificar la trazabilidad de los resultados.</t>
  </si>
  <si>
    <t>Consulta únicamente. No modifique fórmulas ni valores de soporte.</t>
  </si>
  <si>
    <t>La alternativa elegida coincide con los datos de la hoja 4 y con la curva correspondiente a la demanda evaluada.</t>
  </si>
  <si>
    <t>5. CÓMO INTERPRETAR LOS INDICADORES</t>
  </si>
  <si>
    <t>Fiabilidad: proporción de periodos en los que el sistema satisface el criterio de servicio definido.</t>
  </si>
  <si>
    <t>Déficit máximo y duración media: describen la severidad y persistencia de las fallas.</t>
  </si>
  <si>
    <t>Resiliencia: capacidad de recuperación después de una falla; valores mayores indican recuperación más frecuente.</t>
  </si>
  <si>
    <t>Rebose: agua captada que no puede almacenarse; puede indicar oportunidad de uso adicional o capacidad insuficiente.</t>
  </si>
  <si>
    <t>Vulnerabilidad: magnitud del déficit durante las fallas; debe interpretarse con la unidad y la demanda del caso.</t>
  </si>
  <si>
    <t>Curva SRY: relaciona almacenamiento, rendimiento o demanda y nivel de servicio para comparar alternativas.</t>
  </si>
  <si>
    <t>6. CONFIGURACIONES DE DEMANDA DE LA HERRAMIENTA</t>
  </si>
  <si>
    <t>Uso único sanitarios: considera únicamente la demanda sanitaria. Úsela cuando el objetivo sea abastecer ese servicio de forma independiente.</t>
  </si>
  <si>
    <t>Uso múltiple variable: suma sanitarios, riego y limpieza según el patrón mensual ingresado. Úsela cuando la estacionalidad de la demanda sea relevante.</t>
  </si>
  <si>
    <t>Uso múltiple medio: representa una demanda conjunta constante basada en un promedio. Explique por qué esta simplificación es pertinente para el caso.</t>
  </si>
  <si>
    <t>Uso prioritario sanitarios + limpieza: representa usos esenciales antes que riego. Verifique y documente el criterio de prioridad aplicado.</t>
  </si>
  <si>
    <t>7. REGLAS CRÍTICAS Y ERRORES FRECUENTES</t>
  </si>
  <si>
    <t>No pegue fechas, encabezados ni unidades dentro de la columna numérica de precipitación.</t>
  </si>
  <si>
    <t>La ventana SRY de 120 meses es didáctica; para un estudio técnico amplíe el análisis a toda la serie validada.</t>
  </si>
  <si>
    <t>No sobrescriba celdas verdes ni la pestaña Soporte SRY; contienen cálculos enlazados.</t>
  </si>
  <si>
    <t>Una capacidad mayor no es automáticamente óptima: compare mejora del servicio, rebose, costo y restricciones del sitio.</t>
  </si>
  <si>
    <t>No compare alternativas con series, demandas u objetivos distintos sin declarar el cambio.</t>
  </si>
  <si>
    <t>Los valores IPE deben provenir de un cálculo externo válido; esta herramienta no reemplaza ese procedimiento.</t>
  </si>
  <si>
    <t>8. PRODUCTO ESPERADO DEL APRENDIZ</t>
  </si>
  <si>
    <t>Entregue el libro con parámetros y demandas justificadas, serie de CF1 transferida y verificada, balance mensual calculado, lectura de indicadores, curvas SRY comparadas y una conclusión técnica sobre la alternativa seleccionada. La conclusión debe indicar configuración, capacidad, demanda, fiabilidad alcanzada, fallas, rebose, limitaciones y recomendaciones. Nombre sugerido: CF2_Apellidos_Nombre_Ficha_Fecha.xlsx.</t>
  </si>
  <si>
    <t>9. LISTA DE VERIFICACIÓN ANTES DE ENTREGAR</t>
  </si>
  <si>
    <t>☐</t>
  </si>
  <si>
    <t>La precipitación proviene de CF1, está en mm y conserva una secuencia mensual coherente.</t>
  </si>
  <si>
    <t>Área, coeficiente, eficiencia, pérdidas, capacidad, almacenamiento inicial y demandas tienen unidades correctas.</t>
  </si>
  <si>
    <t>No sobrescribí fórmulas y comprobé que el balance no produzca volúmenes negativos ni suministros superiores a la demanda.</t>
  </si>
  <si>
    <t>Interpreté fiabilidad, fallas, resiliencia, vulnerabilidad, déficit y rebose respecto del objetivo definido.</t>
  </si>
  <si>
    <t>Comparé capacidades y configuraciones en las curvas SRY con el mismo conjunto de supuestos.</t>
  </si>
  <si>
    <t>Justifiqué la alternativa seleccionada y documenté limitaciones, incertidumbres y recomendaciones.</t>
  </si>
  <si>
    <t>IMPORTANTE: la herramienta apoya el aprendizaje y la comparación técnica; no reemplaza estudios de detalle, verificación normativa, análisis de calidad del agua, costos, condiciones constructivas ni validación por un profesional competente.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</si>
</sst>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"/>
    <numFmt numFmtId="166" formatCode="#,##0.0"/>
  </numFmts>
  <fonts count="26">
    <font>
      <sz val="11"/>
      <name val="Carlito"/>
    </font>
    <font>
      <b/>
      <sz val="16"/>
      <color rgb="FFFFFFFF"/>
      <name val="Carlito"/>
    </font>
    <font>
      <i/>
      <sz val="10"/>
      <color rgb="FF1F1F1F"/>
      <name val="Carlito"/>
    </font>
    <font>
      <b/>
      <sz val="11"/>
      <color rgb="FFFFFFFF"/>
      <name val="Carlito"/>
    </font>
    <font>
      <sz val="11"/>
      <color rgb="FF0070C0"/>
      <name val="Carlito"/>
    </font>
    <font>
      <sz val="11"/>
      <color rgb="FF375623"/>
      <name val="Carlito"/>
    </font>
    <font>
      <sz val="11"/>
      <color rgb="FF7F6000"/>
      <name val="Carlito"/>
    </font>
    <font>
      <i/>
      <sz val="11"/>
      <color rgb="FF595959"/>
      <name val="Carlito"/>
    </font>
    <font>
      <b/>
      <sz val="9"/>
      <color rgb="FFFFFFFF"/>
      <name val="Carlito"/>
    </font>
    <font>
      <sz val="9"/>
      <color rgb="FF1F1F1F"/>
      <name val="Carlito"/>
    </font>
    <font>
      <sz val="9"/>
      <color rgb="FF0070C0"/>
      <name val="Carlito"/>
    </font>
    <font>
      <i/>
      <sz val="9"/>
      <color rgb="FF7F6000"/>
      <name val="Carlito"/>
    </font>
    <font>
      <sz val="9"/>
      <color rgb="FF375623"/>
      <name val="Carlito"/>
    </font>
    <font>
      <b/>
      <i/>
      <sz val="9"/>
      <color rgb="FFFFFFFF"/>
      <name val="Carlito"/>
    </font>
    <font>
      <sz val="10"/>
      <color rgb="FF1F1F1F"/>
      <name val="Carlito"/>
    </font>
    <font>
      <b/>
      <sz val="10"/>
      <color rgb="FF17365D"/>
      <name val="Carlito"/>
    </font>
    <font>
      <b/>
      <sz val="9"/>
      <color rgb="FF0070C0"/>
      <name val="Carlito"/>
    </font>
    <font>
      <b/>
      <sz val="9"/>
      <color rgb="FF375623"/>
      <name val="Carlito"/>
    </font>
    <font>
      <b/>
      <sz val="9"/>
      <color rgb="FF7F6000"/>
      <name val="Carlito"/>
    </font>
    <font>
      <sz val="9"/>
      <color rgb="FF7F6000"/>
      <name val="Carlito"/>
    </font>
    <font>
      <b/>
      <sz val="9"/>
      <color rgb="FF595959"/>
      <name val="Carlito"/>
    </font>
    <font>
      <sz val="9"/>
      <color rgb="FF595959"/>
      <name val="Carlito"/>
    </font>
    <font>
      <b/>
      <sz val="11"/>
      <color rgb="FF17365D"/>
      <name val="Carlito"/>
    </font>
    <font>
      <i/>
      <sz val="10"/>
      <color rgb="FF7F6000"/>
      <name val="Carlito"/>
    </font>
    <font>
      <b/>
      <sz val="12"/>
      <color rgb="FF17365D"/>
      <name val="Carlito"/>
    </font>
    <font>
      <b/>
      <sz val="10"/>
      <color rgb="FF9C0006"/>
      <name val="Carlito"/>
    </font>
  </fonts>
  <fills count="23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595959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595959"/>
      </patternFill>
    </fill>
    <fill>
      <patternFill patternType="solid">
        <fgColor rgb="FFF7F9FB"/>
      </patternFill>
    </fill>
    <fill>
      <patternFill patternType="solid">
        <fgColor rgb="FFF4CCCC"/>
      </patternFill>
    </fill>
  </fills>
  <borders count="27">
    <border>
      <left/>
      <right/>
      <top/>
      <bottom/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1F4E78"/>
      </left>
      <right/>
      <top style="medium">
        <color rgb="FF1F4E78"/>
      </top>
      <bottom style="medium">
        <color rgb="FF1F4E78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BF9000"/>
      </left>
      <right/>
      <top style="thin">
        <color rgb="FFBF9000"/>
      </top>
      <bottom/>
      <diagonal/>
    </border>
    <border>
      <left/>
      <right/>
      <top style="thin">
        <color rgb="FFBF9000"/>
      </top>
      <bottom/>
      <diagonal/>
    </border>
    <border>
      <left/>
      <right style="thin">
        <color rgb="FFBF9000"/>
      </right>
      <top style="thin">
        <color rgb="FFBF9000"/>
      </top>
      <bottom/>
      <diagonal/>
    </border>
    <border>
      <left style="thin">
        <color rgb="FFBF9000"/>
      </left>
      <right/>
      <top/>
      <bottom/>
      <diagonal/>
    </border>
    <border>
      <left/>
      <right style="thin">
        <color rgb="FFBF9000"/>
      </right>
      <top/>
      <bottom/>
      <diagonal/>
    </border>
    <border>
      <left style="thin">
        <color rgb="FFBF9000"/>
      </left>
      <right/>
      <top/>
      <bottom style="thin">
        <color rgb="FFBF9000"/>
      </bottom>
      <diagonal/>
    </border>
    <border>
      <left/>
      <right/>
      <top/>
      <bottom style="thin">
        <color rgb="FFBF9000"/>
      </bottom>
      <diagonal/>
    </border>
    <border>
      <left/>
      <right style="thin">
        <color rgb="FFBF9000"/>
      </right>
      <top/>
      <bottom style="thin">
        <color rgb="FFBF9000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3" fillId="2" borderId="10" xfId="0" applyFont="1" applyFill="1" applyBorder="1" applyAlignment="1">
      <alignment horizontal="center"/>
    </xf>
    <xf numFmtId="0" fontId="4" fillId="4" borderId="10" xfId="0" applyFont="1" applyFill="1" applyBorder="1"/>
    <xf numFmtId="0" fontId="5" fillId="5" borderId="10" xfId="0" applyFont="1" applyFill="1" applyBorder="1"/>
    <xf numFmtId="0" fontId="6" fillId="6" borderId="10" xfId="0" applyFont="1" applyFill="1" applyBorder="1"/>
    <xf numFmtId="0" fontId="7" fillId="7" borderId="10" xfId="0" applyFont="1" applyFill="1" applyBorder="1"/>
    <xf numFmtId="0" fontId="7" fillId="8" borderId="10" xfId="0" applyFont="1" applyFill="1" applyBorder="1"/>
    <xf numFmtId="0" fontId="0" fillId="0" borderId="10" xfId="0" applyBorder="1"/>
    <xf numFmtId="0" fontId="8" fillId="10" borderId="10" xfId="0" applyFont="1" applyFill="1" applyBorder="1" applyAlignment="1">
      <alignment horizontal="center" vertical="center" wrapText="1"/>
    </xf>
    <xf numFmtId="0" fontId="9" fillId="8" borderId="10" xfId="0" applyFont="1" applyFill="1" applyBorder="1" applyAlignment="1">
      <alignment vertical="center" wrapText="1"/>
    </xf>
    <xf numFmtId="0" fontId="10" fillId="4" borderId="10" xfId="0" applyFont="1" applyFill="1" applyBorder="1" applyAlignment="1">
      <alignment vertical="center" wrapText="1"/>
    </xf>
    <xf numFmtId="4" fontId="10" fillId="4" borderId="10" xfId="0" applyNumberFormat="1" applyFont="1" applyFill="1" applyBorder="1" applyAlignment="1">
      <alignment vertical="center" wrapText="1"/>
    </xf>
    <xf numFmtId="164" fontId="10" fillId="4" borderId="10" xfId="0" applyNumberFormat="1" applyFont="1" applyFill="1" applyBorder="1" applyAlignment="1">
      <alignment vertical="center" wrapText="1"/>
    </xf>
    <xf numFmtId="3" fontId="10" fillId="4" borderId="10" xfId="0" applyNumberFormat="1" applyFont="1" applyFill="1" applyBorder="1" applyAlignment="1">
      <alignment vertical="center" wrapText="1"/>
    </xf>
    <xf numFmtId="0" fontId="12" fillId="5" borderId="10" xfId="0" applyFont="1" applyFill="1" applyBorder="1" applyAlignment="1">
      <alignment vertical="center" wrapText="1"/>
    </xf>
    <xf numFmtId="4" fontId="12" fillId="5" borderId="10" xfId="0" applyNumberFormat="1" applyFont="1" applyFill="1" applyBorder="1" applyAlignment="1">
      <alignment vertical="center" wrapText="1"/>
    </xf>
    <xf numFmtId="164" fontId="12" fillId="5" borderId="10" xfId="0" applyNumberFormat="1" applyFont="1" applyFill="1" applyBorder="1" applyAlignment="1">
      <alignment vertical="center" wrapText="1"/>
    </xf>
    <xf numFmtId="165" fontId="9" fillId="8" borderId="10" xfId="0" applyNumberFormat="1" applyFont="1" applyFill="1" applyBorder="1" applyAlignment="1">
      <alignment vertical="center" wrapText="1"/>
    </xf>
    <xf numFmtId="9" fontId="10" fillId="4" borderId="10" xfId="0" applyNumberFormat="1" applyFont="1" applyFill="1" applyBorder="1" applyAlignment="1">
      <alignment vertical="center" wrapText="1"/>
    </xf>
    <xf numFmtId="166" fontId="12" fillId="5" borderId="10" xfId="0" applyNumberFormat="1" applyFont="1" applyFill="1" applyBorder="1" applyAlignment="1">
      <alignment vertical="center" wrapText="1"/>
    </xf>
    <xf numFmtId="0" fontId="13" fillId="10" borderId="10" xfId="0" applyFont="1" applyFill="1" applyBorder="1" applyAlignment="1">
      <alignment horizontal="center" vertical="center" wrapText="1"/>
    </xf>
    <xf numFmtId="165" fontId="12" fillId="5" borderId="10" xfId="0" applyNumberFormat="1" applyFont="1" applyFill="1" applyBorder="1" applyAlignment="1">
      <alignment vertical="center" wrapText="1"/>
    </xf>
    <xf numFmtId="0" fontId="15" fillId="13" borderId="10" xfId="0" applyFont="1" applyFill="1" applyBorder="1" applyAlignment="1">
      <alignment horizontal="center" vertical="center" wrapText="1"/>
    </xf>
    <xf numFmtId="0" fontId="8" fillId="20" borderId="10" xfId="0" applyFont="1" applyFill="1" applyBorder="1" applyAlignment="1">
      <alignment horizontal="center" vertical="center" wrapText="1"/>
    </xf>
    <xf numFmtId="0" fontId="22" fillId="13" borderId="10" xfId="0" applyFont="1" applyFill="1" applyBorder="1" applyAlignment="1">
      <alignment horizontal="center" vertical="center" wrapText="1"/>
    </xf>
    <xf numFmtId="0" fontId="24" fillId="13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3" fillId="9" borderId="11" xfId="0" applyFont="1" applyFill="1" applyBorder="1" applyAlignment="1">
      <alignment horizontal="left" vertical="center"/>
    </xf>
    <xf numFmtId="0" fontId="3" fillId="9" borderId="12" xfId="0" applyFont="1" applyFill="1" applyBorder="1" applyAlignment="1">
      <alignment horizontal="left" vertical="center"/>
    </xf>
    <xf numFmtId="0" fontId="3" fillId="9" borderId="13" xfId="0" applyFont="1" applyFill="1" applyBorder="1" applyAlignment="1">
      <alignment horizontal="left" vertical="center"/>
    </xf>
    <xf numFmtId="0" fontId="11" fillId="6" borderId="14" xfId="0" applyFont="1" applyFill="1" applyBorder="1" applyAlignment="1">
      <alignment vertical="center" wrapText="1"/>
    </xf>
    <xf numFmtId="0" fontId="11" fillId="6" borderId="15" xfId="0" applyFont="1" applyFill="1" applyBorder="1" applyAlignment="1">
      <alignment vertical="center" wrapText="1"/>
    </xf>
    <xf numFmtId="0" fontId="11" fillId="6" borderId="16" xfId="0" applyFont="1" applyFill="1" applyBorder="1" applyAlignment="1">
      <alignment vertical="center" wrapText="1"/>
    </xf>
    <xf numFmtId="0" fontId="11" fillId="6" borderId="17" xfId="0" applyFont="1" applyFill="1" applyBorder="1" applyAlignment="1">
      <alignment vertical="center" wrapText="1"/>
    </xf>
    <xf numFmtId="0" fontId="11" fillId="6" borderId="0" xfId="0" applyFont="1" applyFill="1" applyAlignment="1">
      <alignment vertical="center" wrapText="1"/>
    </xf>
    <xf numFmtId="0" fontId="11" fillId="6" borderId="18" xfId="0" applyFont="1" applyFill="1" applyBorder="1" applyAlignment="1">
      <alignment vertical="center" wrapText="1"/>
    </xf>
    <xf numFmtId="0" fontId="11" fillId="6" borderId="19" xfId="0" applyFont="1" applyFill="1" applyBorder="1" applyAlignment="1">
      <alignment vertical="center" wrapText="1"/>
    </xf>
    <xf numFmtId="0" fontId="11" fillId="6" borderId="20" xfId="0" applyFont="1" applyFill="1" applyBorder="1" applyAlignment="1">
      <alignment vertical="center" wrapText="1"/>
    </xf>
    <xf numFmtId="0" fontId="11" fillId="6" borderId="21" xfId="0" applyFont="1" applyFill="1" applyBorder="1" applyAlignment="1">
      <alignment vertical="center" wrapText="1"/>
    </xf>
    <xf numFmtId="0" fontId="12" fillId="5" borderId="10" xfId="0" applyFont="1" applyFill="1" applyBorder="1" applyAlignment="1">
      <alignment vertical="center" wrapText="1"/>
    </xf>
    <xf numFmtId="0" fontId="9" fillId="8" borderId="10" xfId="0" applyFont="1" applyFill="1" applyBorder="1" applyAlignment="1">
      <alignment vertical="center" wrapText="1"/>
    </xf>
    <xf numFmtId="0" fontId="2" fillId="11" borderId="22" xfId="0" applyFont="1" applyFill="1" applyBorder="1" applyAlignment="1">
      <alignment horizontal="left" vertical="center" wrapText="1"/>
    </xf>
    <xf numFmtId="0" fontId="2" fillId="11" borderId="23" xfId="0" applyFont="1" applyFill="1" applyBorder="1" applyAlignment="1">
      <alignment horizontal="left" vertical="center" wrapText="1"/>
    </xf>
    <xf numFmtId="0" fontId="2" fillId="11" borderId="24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left" vertical="center" wrapText="1"/>
    </xf>
    <xf numFmtId="0" fontId="2" fillId="13" borderId="5" xfId="0" applyFont="1" applyFill="1" applyBorder="1" applyAlignment="1">
      <alignment horizontal="left" vertical="center" wrapText="1"/>
    </xf>
    <xf numFmtId="0" fontId="2" fillId="13" borderId="6" xfId="0" applyFont="1" applyFill="1" applyBorder="1" applyAlignment="1">
      <alignment horizontal="left" vertical="center" wrapText="1"/>
    </xf>
    <xf numFmtId="0" fontId="2" fillId="13" borderId="7" xfId="0" applyFont="1" applyFill="1" applyBorder="1" applyAlignment="1">
      <alignment horizontal="left" vertical="center" wrapText="1"/>
    </xf>
    <xf numFmtId="0" fontId="2" fillId="13" borderId="8" xfId="0" applyFont="1" applyFill="1" applyBorder="1" applyAlignment="1">
      <alignment horizontal="left" vertical="center" wrapText="1"/>
    </xf>
    <xf numFmtId="0" fontId="2" fillId="13" borderId="9" xfId="0" applyFont="1" applyFill="1" applyBorder="1" applyAlignment="1">
      <alignment horizontal="left" vertical="center" wrapText="1"/>
    </xf>
    <xf numFmtId="0" fontId="3" fillId="14" borderId="11" xfId="0" applyFont="1" applyFill="1" applyBorder="1" applyAlignment="1">
      <alignment horizontal="left" vertical="center"/>
    </xf>
    <xf numFmtId="0" fontId="3" fillId="14" borderId="12" xfId="0" applyFont="1" applyFill="1" applyBorder="1" applyAlignment="1">
      <alignment horizontal="left" vertical="center"/>
    </xf>
    <xf numFmtId="0" fontId="3" fillId="14" borderId="13" xfId="0" applyFont="1" applyFill="1" applyBorder="1" applyAlignment="1">
      <alignment horizontal="left" vertical="center"/>
    </xf>
    <xf numFmtId="0" fontId="14" fillId="15" borderId="4" xfId="0" applyFont="1" applyFill="1" applyBorder="1" applyAlignment="1">
      <alignment horizontal="left" vertical="center" wrapText="1"/>
    </xf>
    <xf numFmtId="0" fontId="14" fillId="15" borderId="5" xfId="0" applyFont="1" applyFill="1" applyBorder="1" applyAlignment="1">
      <alignment horizontal="left" vertical="center" wrapText="1"/>
    </xf>
    <xf numFmtId="0" fontId="14" fillId="15" borderId="6" xfId="0" applyFont="1" applyFill="1" applyBorder="1" applyAlignment="1">
      <alignment horizontal="left" vertical="center" wrapText="1"/>
    </xf>
    <xf numFmtId="0" fontId="14" fillId="15" borderId="7" xfId="0" applyFont="1" applyFill="1" applyBorder="1" applyAlignment="1">
      <alignment horizontal="left" vertical="center" wrapText="1"/>
    </xf>
    <xf numFmtId="0" fontId="14" fillId="15" borderId="8" xfId="0" applyFont="1" applyFill="1" applyBorder="1" applyAlignment="1">
      <alignment horizontal="left" vertical="center" wrapText="1"/>
    </xf>
    <xf numFmtId="0" fontId="14" fillId="15" borderId="9" xfId="0" applyFont="1" applyFill="1" applyBorder="1" applyAlignment="1">
      <alignment horizontal="left" vertical="center" wrapText="1"/>
    </xf>
    <xf numFmtId="0" fontId="9" fillId="15" borderId="10" xfId="0" applyFont="1" applyFill="1" applyBorder="1" applyAlignment="1">
      <alignment horizontal="left" vertical="center" wrapText="1"/>
    </xf>
    <xf numFmtId="0" fontId="16" fillId="16" borderId="10" xfId="0" applyFont="1" applyFill="1" applyBorder="1" applyAlignment="1">
      <alignment horizontal="center" vertical="center"/>
    </xf>
    <xf numFmtId="0" fontId="10" fillId="16" borderId="10" xfId="0" applyFont="1" applyFill="1" applyBorder="1" applyAlignment="1">
      <alignment horizontal="center" vertical="center" wrapText="1"/>
    </xf>
    <xf numFmtId="0" fontId="17" fillId="17" borderId="10" xfId="0" applyFont="1" applyFill="1" applyBorder="1" applyAlignment="1">
      <alignment horizontal="center" vertical="center"/>
    </xf>
    <xf numFmtId="0" fontId="12" fillId="17" borderId="10" xfId="0" applyFont="1" applyFill="1" applyBorder="1" applyAlignment="1">
      <alignment horizontal="center" vertical="center" wrapText="1"/>
    </xf>
    <xf numFmtId="0" fontId="18" fillId="18" borderId="10" xfId="0" applyFont="1" applyFill="1" applyBorder="1" applyAlignment="1">
      <alignment horizontal="center" vertical="center"/>
    </xf>
    <xf numFmtId="0" fontId="19" fillId="18" borderId="10" xfId="0" applyFont="1" applyFill="1" applyBorder="1" applyAlignment="1">
      <alignment horizontal="center" vertical="center" wrapText="1"/>
    </xf>
    <xf numFmtId="0" fontId="20" fillId="19" borderId="10" xfId="0" applyFont="1" applyFill="1" applyBorder="1" applyAlignment="1">
      <alignment horizontal="center" vertical="center"/>
    </xf>
    <xf numFmtId="0" fontId="21" fillId="19" borderId="10" xfId="0" applyFont="1" applyFill="1" applyBorder="1" applyAlignment="1">
      <alignment horizontal="center" vertical="center" wrapText="1"/>
    </xf>
    <xf numFmtId="0" fontId="8" fillId="20" borderId="10" xfId="0" applyFont="1" applyFill="1" applyBorder="1" applyAlignment="1">
      <alignment horizontal="center" vertical="center" wrapText="1"/>
    </xf>
    <xf numFmtId="0" fontId="9" fillId="21" borderId="10" xfId="0" applyFont="1" applyFill="1" applyBorder="1" applyAlignment="1">
      <alignment horizontal="left" vertical="center" wrapText="1"/>
    </xf>
    <xf numFmtId="0" fontId="14" fillId="15" borderId="25" xfId="0" applyFont="1" applyFill="1" applyBorder="1" applyAlignment="1">
      <alignment horizontal="left" vertical="center" wrapText="1"/>
    </xf>
    <xf numFmtId="0" fontId="14" fillId="15" borderId="0" xfId="0" applyFont="1" applyFill="1" applyAlignment="1">
      <alignment horizontal="left" vertical="center" wrapText="1"/>
    </xf>
    <xf numFmtId="0" fontId="14" fillId="15" borderId="26" xfId="0" applyFont="1" applyFill="1" applyBorder="1" applyAlignment="1">
      <alignment horizontal="left" vertical="center" wrapText="1"/>
    </xf>
    <xf numFmtId="0" fontId="23" fillId="18" borderId="4" xfId="0" applyFont="1" applyFill="1" applyBorder="1" applyAlignment="1">
      <alignment horizontal="left" vertical="center" wrapText="1"/>
    </xf>
    <xf numFmtId="0" fontId="23" fillId="18" borderId="5" xfId="0" applyFont="1" applyFill="1" applyBorder="1" applyAlignment="1">
      <alignment horizontal="left" vertical="center" wrapText="1"/>
    </xf>
    <xf numFmtId="0" fontId="23" fillId="18" borderId="6" xfId="0" applyFont="1" applyFill="1" applyBorder="1" applyAlignment="1">
      <alignment horizontal="left" vertical="center" wrapText="1"/>
    </xf>
    <xf numFmtId="0" fontId="23" fillId="18" borderId="25" xfId="0" applyFont="1" applyFill="1" applyBorder="1" applyAlignment="1">
      <alignment horizontal="left" vertical="center" wrapText="1"/>
    </xf>
    <xf numFmtId="0" fontId="23" fillId="18" borderId="0" xfId="0" applyFont="1" applyFill="1" applyAlignment="1">
      <alignment horizontal="left" vertical="center" wrapText="1"/>
    </xf>
    <xf numFmtId="0" fontId="23" fillId="18" borderId="26" xfId="0" applyFont="1" applyFill="1" applyBorder="1" applyAlignment="1">
      <alignment horizontal="left" vertical="center" wrapText="1"/>
    </xf>
    <xf numFmtId="0" fontId="23" fillId="18" borderId="7" xfId="0" applyFont="1" applyFill="1" applyBorder="1" applyAlignment="1">
      <alignment horizontal="left" vertical="center" wrapText="1"/>
    </xf>
    <xf numFmtId="0" fontId="23" fillId="18" borderId="8" xfId="0" applyFont="1" applyFill="1" applyBorder="1" applyAlignment="1">
      <alignment horizontal="left" vertical="center" wrapText="1"/>
    </xf>
    <xf numFmtId="0" fontId="23" fillId="18" borderId="9" xfId="0" applyFont="1" applyFill="1" applyBorder="1" applyAlignment="1">
      <alignment horizontal="left" vertical="center" wrapText="1"/>
    </xf>
    <xf numFmtId="0" fontId="25" fillId="22" borderId="4" xfId="0" applyFont="1" applyFill="1" applyBorder="1" applyAlignment="1">
      <alignment horizontal="left" vertical="center" wrapText="1"/>
    </xf>
    <xf numFmtId="0" fontId="25" fillId="22" borderId="5" xfId="0" applyFont="1" applyFill="1" applyBorder="1" applyAlignment="1">
      <alignment horizontal="left" vertical="center" wrapText="1"/>
    </xf>
    <xf numFmtId="0" fontId="25" fillId="22" borderId="6" xfId="0" applyFont="1" applyFill="1" applyBorder="1" applyAlignment="1">
      <alignment horizontal="left" vertical="center" wrapText="1"/>
    </xf>
    <xf numFmtId="0" fontId="25" fillId="22" borderId="25" xfId="0" applyFont="1" applyFill="1" applyBorder="1" applyAlignment="1">
      <alignment horizontal="left" vertical="center" wrapText="1"/>
    </xf>
    <xf numFmtId="0" fontId="25" fillId="22" borderId="0" xfId="0" applyFont="1" applyFill="1" applyAlignment="1">
      <alignment horizontal="left" vertical="center" wrapText="1"/>
    </xf>
    <xf numFmtId="0" fontId="25" fillId="22" borderId="26" xfId="0" applyFont="1" applyFill="1" applyBorder="1" applyAlignment="1">
      <alignment horizontal="left" vertical="center" wrapText="1"/>
    </xf>
    <xf numFmtId="0" fontId="25" fillId="22" borderId="7" xfId="0" applyFont="1" applyFill="1" applyBorder="1" applyAlignment="1">
      <alignment horizontal="left" vertical="center" wrapText="1"/>
    </xf>
    <xf numFmtId="0" fontId="25" fillId="22" borderId="8" xfId="0" applyFont="1" applyFill="1" applyBorder="1" applyAlignment="1">
      <alignment horizontal="left" vertical="center" wrapText="1"/>
    </xf>
    <xf numFmtId="0" fontId="25" fillId="22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19">
    <dxf>
      <font>
        <color rgb="FF9C0006"/>
      </font>
      <fill>
        <patternFill>
          <bgColor rgb="FFF4CCCC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9C5700"/>
      </font>
      <fill>
        <patternFill>
          <bgColor rgb="FFF4B183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color rgb="FF9C5700"/>
      </font>
      <fill>
        <patternFill>
          <bgColor rgb="FFF4B183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color rgb="FF9C5700"/>
      </font>
      <fill>
        <patternFill>
          <bgColor rgb="FFF4B183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Entrada, demanda y suministro anual (m³)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Entrada (m³)</c:v>
          </c:tx>
          <c:marker>
            <c:symbol val="none"/>
          </c:marker>
          <c:cat>
            <c:numRef>
              <c:f>'Hoja 4 - Cálculo'!$X$25:$X$54</c:f>
              <c:numCache>
                <c:formatCode>General</c:formatCode>
                <c:ptCount val="30"/>
                <c:pt idx="0">
                  <c:v>1981</c:v>
                </c:pt>
                <c:pt idx="1">
                  <c:v>1982</c:v>
                </c:pt>
                <c:pt idx="2">
                  <c:v>1983</c:v>
                </c:pt>
                <c:pt idx="3">
                  <c:v>1984</c:v>
                </c:pt>
                <c:pt idx="4">
                  <c:v>1985</c:v>
                </c:pt>
                <c:pt idx="5">
                  <c:v>1986</c:v>
                </c:pt>
                <c:pt idx="6">
                  <c:v>1987</c:v>
                </c:pt>
                <c:pt idx="7">
                  <c:v>1988</c:v>
                </c:pt>
                <c:pt idx="8">
                  <c:v>1989</c:v>
                </c:pt>
                <c:pt idx="9">
                  <c:v>1990</c:v>
                </c:pt>
                <c:pt idx="10">
                  <c:v>1991</c:v>
                </c:pt>
                <c:pt idx="11">
                  <c:v>1992</c:v>
                </c:pt>
                <c:pt idx="12">
                  <c:v>1993</c:v>
                </c:pt>
                <c:pt idx="13">
                  <c:v>1994</c:v>
                </c:pt>
                <c:pt idx="14">
                  <c:v>1995</c:v>
                </c:pt>
                <c:pt idx="15">
                  <c:v>1996</c:v>
                </c:pt>
                <c:pt idx="16">
                  <c:v>1997</c:v>
                </c:pt>
                <c:pt idx="17">
                  <c:v>1998</c:v>
                </c:pt>
                <c:pt idx="18">
                  <c:v>1999</c:v>
                </c:pt>
                <c:pt idx="19">
                  <c:v>2000</c:v>
                </c:pt>
                <c:pt idx="20">
                  <c:v>2001</c:v>
                </c:pt>
                <c:pt idx="21">
                  <c:v>2002</c:v>
                </c:pt>
                <c:pt idx="22">
                  <c:v>2003</c:v>
                </c:pt>
                <c:pt idx="23">
                  <c:v>2004</c:v>
                </c:pt>
                <c:pt idx="24">
                  <c:v>2005</c:v>
                </c:pt>
                <c:pt idx="25">
                  <c:v>2006</c:v>
                </c:pt>
                <c:pt idx="26">
                  <c:v>2007</c:v>
                </c:pt>
                <c:pt idx="27">
                  <c:v>2008</c:v>
                </c:pt>
                <c:pt idx="28">
                  <c:v>2009</c:v>
                </c:pt>
                <c:pt idx="29">
                  <c:v>2010</c:v>
                </c:pt>
              </c:numCache>
            </c:numRef>
          </c:cat>
          <c:val>
            <c:numRef>
              <c:f>'Hoja 4 - Cálculo'!$Y$25:$Y$54</c:f>
              <c:numCache>
                <c:formatCode>#,##0.00</c:formatCode>
                <c:ptCount val="30"/>
                <c:pt idx="0">
                  <c:v>238.79475000000002</c:v>
                </c:pt>
                <c:pt idx="1">
                  <c:v>265.89487500000001</c:v>
                </c:pt>
                <c:pt idx="2">
                  <c:v>258.11099999999999</c:v>
                </c:pt>
                <c:pt idx="3">
                  <c:v>223.53300000000002</c:v>
                </c:pt>
                <c:pt idx="4">
                  <c:v>219.22987499999999</c:v>
                </c:pt>
                <c:pt idx="5">
                  <c:v>249.96374999999998</c:v>
                </c:pt>
                <c:pt idx="6">
                  <c:v>269.681625</c:v>
                </c:pt>
                <c:pt idx="7">
                  <c:v>250.07850000000002</c:v>
                </c:pt>
                <c:pt idx="8">
                  <c:v>220.12875000000003</c:v>
                </c:pt>
                <c:pt idx="9">
                  <c:v>224.24062499999999</c:v>
                </c:pt>
                <c:pt idx="10">
                  <c:v>256.48537500000003</c:v>
                </c:pt>
                <c:pt idx="11">
                  <c:v>267.998625</c:v>
                </c:pt>
                <c:pt idx="12">
                  <c:v>242.103375</c:v>
                </c:pt>
                <c:pt idx="13">
                  <c:v>218.90475000000006</c:v>
                </c:pt>
                <c:pt idx="14">
                  <c:v>227.12850000000003</c:v>
                </c:pt>
                <c:pt idx="15">
                  <c:v>257.86237499999999</c:v>
                </c:pt>
                <c:pt idx="16">
                  <c:v>276.71962499999995</c:v>
                </c:pt>
                <c:pt idx="17">
                  <c:v>231.62287499999999</c:v>
                </c:pt>
                <c:pt idx="18">
                  <c:v>213.22462499999997</c:v>
                </c:pt>
                <c:pt idx="19">
                  <c:v>238.39312500000003</c:v>
                </c:pt>
                <c:pt idx="20">
                  <c:v>265.93312500000002</c:v>
                </c:pt>
                <c:pt idx="21">
                  <c:v>260.82675</c:v>
                </c:pt>
                <c:pt idx="22">
                  <c:v>229.060125</c:v>
                </c:pt>
                <c:pt idx="23">
                  <c:v>217.27912499999999</c:v>
                </c:pt>
                <c:pt idx="24">
                  <c:v>243.95850000000002</c:v>
                </c:pt>
                <c:pt idx="25">
                  <c:v>269.31824999999998</c:v>
                </c:pt>
                <c:pt idx="26">
                  <c:v>255.77775</c:v>
                </c:pt>
                <c:pt idx="27">
                  <c:v>223.49474999999998</c:v>
                </c:pt>
                <c:pt idx="28">
                  <c:v>219.51675</c:v>
                </c:pt>
                <c:pt idx="29">
                  <c:v>250.05937499999999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0E-4360-8FA3-81993BA76A82}"/>
            </c:ext>
          </c:extLst>
        </c:ser>
        <c:ser>
          <c:idx val="1"/>
          <c:order val="1"/>
          <c:tx>
            <c:v>Demanda (m³)</c:v>
          </c:tx>
          <c:marker>
            <c:symbol val="none"/>
          </c:marker>
          <c:cat>
            <c:numRef>
              <c:f>'Hoja 4 - Cálculo'!$X$25:$X$54</c:f>
              <c:numCache>
                <c:formatCode>General</c:formatCode>
                <c:ptCount val="30"/>
                <c:pt idx="0">
                  <c:v>1981</c:v>
                </c:pt>
                <c:pt idx="1">
                  <c:v>1982</c:v>
                </c:pt>
                <c:pt idx="2">
                  <c:v>1983</c:v>
                </c:pt>
                <c:pt idx="3">
                  <c:v>1984</c:v>
                </c:pt>
                <c:pt idx="4">
                  <c:v>1985</c:v>
                </c:pt>
                <c:pt idx="5">
                  <c:v>1986</c:v>
                </c:pt>
                <c:pt idx="6">
                  <c:v>1987</c:v>
                </c:pt>
                <c:pt idx="7">
                  <c:v>1988</c:v>
                </c:pt>
                <c:pt idx="8">
                  <c:v>1989</c:v>
                </c:pt>
                <c:pt idx="9">
                  <c:v>1990</c:v>
                </c:pt>
                <c:pt idx="10">
                  <c:v>1991</c:v>
                </c:pt>
                <c:pt idx="11">
                  <c:v>1992</c:v>
                </c:pt>
                <c:pt idx="12">
                  <c:v>1993</c:v>
                </c:pt>
                <c:pt idx="13">
                  <c:v>1994</c:v>
                </c:pt>
                <c:pt idx="14">
                  <c:v>1995</c:v>
                </c:pt>
                <c:pt idx="15">
                  <c:v>1996</c:v>
                </c:pt>
                <c:pt idx="16">
                  <c:v>1997</c:v>
                </c:pt>
                <c:pt idx="17">
                  <c:v>1998</c:v>
                </c:pt>
                <c:pt idx="18">
                  <c:v>1999</c:v>
                </c:pt>
                <c:pt idx="19">
                  <c:v>2000</c:v>
                </c:pt>
                <c:pt idx="20">
                  <c:v>2001</c:v>
                </c:pt>
                <c:pt idx="21">
                  <c:v>2002</c:v>
                </c:pt>
                <c:pt idx="22">
                  <c:v>2003</c:v>
                </c:pt>
                <c:pt idx="23">
                  <c:v>2004</c:v>
                </c:pt>
                <c:pt idx="24">
                  <c:v>2005</c:v>
                </c:pt>
                <c:pt idx="25">
                  <c:v>2006</c:v>
                </c:pt>
                <c:pt idx="26">
                  <c:v>2007</c:v>
                </c:pt>
                <c:pt idx="27">
                  <c:v>2008</c:v>
                </c:pt>
                <c:pt idx="28">
                  <c:v>2009</c:v>
                </c:pt>
                <c:pt idx="29">
                  <c:v>2010</c:v>
                </c:pt>
              </c:numCache>
            </c:numRef>
          </c:cat>
          <c:val>
            <c:numRef>
              <c:f>'Hoja 4 - Cálculo'!$Z$25:$Z$54</c:f>
              <c:numCache>
                <c:formatCode>#,##0.00</c:formatCode>
                <c:ptCount val="30"/>
                <c:pt idx="0">
                  <c:v>165</c:v>
                </c:pt>
                <c:pt idx="1">
                  <c:v>165</c:v>
                </c:pt>
                <c:pt idx="2">
                  <c:v>165</c:v>
                </c:pt>
                <c:pt idx="3">
                  <c:v>165</c:v>
                </c:pt>
                <c:pt idx="4">
                  <c:v>165</c:v>
                </c:pt>
                <c:pt idx="5">
                  <c:v>165</c:v>
                </c:pt>
                <c:pt idx="6">
                  <c:v>165</c:v>
                </c:pt>
                <c:pt idx="7">
                  <c:v>165</c:v>
                </c:pt>
                <c:pt idx="8">
                  <c:v>165</c:v>
                </c:pt>
                <c:pt idx="9">
                  <c:v>165</c:v>
                </c:pt>
                <c:pt idx="10">
                  <c:v>165</c:v>
                </c:pt>
                <c:pt idx="11">
                  <c:v>165</c:v>
                </c:pt>
                <c:pt idx="12">
                  <c:v>165</c:v>
                </c:pt>
                <c:pt idx="13">
                  <c:v>165</c:v>
                </c:pt>
                <c:pt idx="14">
                  <c:v>165</c:v>
                </c:pt>
                <c:pt idx="15">
                  <c:v>165</c:v>
                </c:pt>
                <c:pt idx="16">
                  <c:v>165</c:v>
                </c:pt>
                <c:pt idx="17">
                  <c:v>165</c:v>
                </c:pt>
                <c:pt idx="18">
                  <c:v>165</c:v>
                </c:pt>
                <c:pt idx="19">
                  <c:v>165</c:v>
                </c:pt>
                <c:pt idx="20">
                  <c:v>165</c:v>
                </c:pt>
                <c:pt idx="21">
                  <c:v>165</c:v>
                </c:pt>
                <c:pt idx="22">
                  <c:v>165</c:v>
                </c:pt>
                <c:pt idx="23">
                  <c:v>165</c:v>
                </c:pt>
                <c:pt idx="24">
                  <c:v>165</c:v>
                </c:pt>
                <c:pt idx="25">
                  <c:v>165</c:v>
                </c:pt>
                <c:pt idx="26">
                  <c:v>165</c:v>
                </c:pt>
                <c:pt idx="27">
                  <c:v>165</c:v>
                </c:pt>
                <c:pt idx="28">
                  <c:v>165</c:v>
                </c:pt>
                <c:pt idx="29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0E-4360-8FA3-81993BA76A82}"/>
            </c:ext>
          </c:extLst>
        </c:ser>
        <c:ser>
          <c:idx val="2"/>
          <c:order val="2"/>
          <c:tx>
            <c:v>Suministro (m³)</c:v>
          </c:tx>
          <c:marker>
            <c:symbol val="none"/>
          </c:marker>
          <c:cat>
            <c:numRef>
              <c:f>'Hoja 4 - Cálculo'!$X$25:$X$54</c:f>
              <c:numCache>
                <c:formatCode>General</c:formatCode>
                <c:ptCount val="30"/>
                <c:pt idx="0">
                  <c:v>1981</c:v>
                </c:pt>
                <c:pt idx="1">
                  <c:v>1982</c:v>
                </c:pt>
                <c:pt idx="2">
                  <c:v>1983</c:v>
                </c:pt>
                <c:pt idx="3">
                  <c:v>1984</c:v>
                </c:pt>
                <c:pt idx="4">
                  <c:v>1985</c:v>
                </c:pt>
                <c:pt idx="5">
                  <c:v>1986</c:v>
                </c:pt>
                <c:pt idx="6">
                  <c:v>1987</c:v>
                </c:pt>
                <c:pt idx="7">
                  <c:v>1988</c:v>
                </c:pt>
                <c:pt idx="8">
                  <c:v>1989</c:v>
                </c:pt>
                <c:pt idx="9">
                  <c:v>1990</c:v>
                </c:pt>
                <c:pt idx="10">
                  <c:v>1991</c:v>
                </c:pt>
                <c:pt idx="11">
                  <c:v>1992</c:v>
                </c:pt>
                <c:pt idx="12">
                  <c:v>1993</c:v>
                </c:pt>
                <c:pt idx="13">
                  <c:v>1994</c:v>
                </c:pt>
                <c:pt idx="14">
                  <c:v>1995</c:v>
                </c:pt>
                <c:pt idx="15">
                  <c:v>1996</c:v>
                </c:pt>
                <c:pt idx="16">
                  <c:v>1997</c:v>
                </c:pt>
                <c:pt idx="17">
                  <c:v>1998</c:v>
                </c:pt>
                <c:pt idx="18">
                  <c:v>1999</c:v>
                </c:pt>
                <c:pt idx="19">
                  <c:v>2000</c:v>
                </c:pt>
                <c:pt idx="20">
                  <c:v>2001</c:v>
                </c:pt>
                <c:pt idx="21">
                  <c:v>2002</c:v>
                </c:pt>
                <c:pt idx="22">
                  <c:v>2003</c:v>
                </c:pt>
                <c:pt idx="23">
                  <c:v>2004</c:v>
                </c:pt>
                <c:pt idx="24">
                  <c:v>2005</c:v>
                </c:pt>
                <c:pt idx="25">
                  <c:v>2006</c:v>
                </c:pt>
                <c:pt idx="26">
                  <c:v>2007</c:v>
                </c:pt>
                <c:pt idx="27">
                  <c:v>2008</c:v>
                </c:pt>
                <c:pt idx="28">
                  <c:v>2009</c:v>
                </c:pt>
                <c:pt idx="29">
                  <c:v>2010</c:v>
                </c:pt>
              </c:numCache>
            </c:numRef>
          </c:cat>
          <c:val>
            <c:numRef>
              <c:f>'Hoja 4 - Cálculo'!$AA$25:$AA$54</c:f>
              <c:numCache>
                <c:formatCode>#,##0.00</c:formatCode>
                <c:ptCount val="30"/>
                <c:pt idx="0">
                  <c:v>158.78130285</c:v>
                </c:pt>
                <c:pt idx="1">
                  <c:v>165</c:v>
                </c:pt>
                <c:pt idx="2">
                  <c:v>164.43621765</c:v>
                </c:pt>
                <c:pt idx="3">
                  <c:v>159.7361928</c:v>
                </c:pt>
                <c:pt idx="4">
                  <c:v>156.78125025</c:v>
                </c:pt>
                <c:pt idx="5">
                  <c:v>163.17144865</c:v>
                </c:pt>
                <c:pt idx="6">
                  <c:v>165</c:v>
                </c:pt>
                <c:pt idx="7">
                  <c:v>164.79445175000001</c:v>
                </c:pt>
                <c:pt idx="8">
                  <c:v>158.97038435600001</c:v>
                </c:pt>
                <c:pt idx="9">
                  <c:v>158.07298335000002</c:v>
                </c:pt>
                <c:pt idx="10">
                  <c:v>163.46120769999999</c:v>
                </c:pt>
                <c:pt idx="11">
                  <c:v>165</c:v>
                </c:pt>
                <c:pt idx="12">
                  <c:v>163.36065049999999</c:v>
                </c:pt>
                <c:pt idx="13">
                  <c:v>156.0326748</c:v>
                </c:pt>
                <c:pt idx="14">
                  <c:v>159.34409969999999</c:v>
                </c:pt>
                <c:pt idx="15">
                  <c:v>164.37846565000001</c:v>
                </c:pt>
                <c:pt idx="16">
                  <c:v>165</c:v>
                </c:pt>
                <c:pt idx="17">
                  <c:v>162.05491749999999</c:v>
                </c:pt>
                <c:pt idx="18">
                  <c:v>157.69963275000001</c:v>
                </c:pt>
                <c:pt idx="19">
                  <c:v>157.45747964999998</c:v>
                </c:pt>
                <c:pt idx="20">
                  <c:v>164.24951725</c:v>
                </c:pt>
                <c:pt idx="21">
                  <c:v>165</c:v>
                </c:pt>
                <c:pt idx="22">
                  <c:v>162.09952465000001</c:v>
                </c:pt>
                <c:pt idx="23">
                  <c:v>156.08552865000001</c:v>
                </c:pt>
                <c:pt idx="24">
                  <c:v>161.0726635</c:v>
                </c:pt>
                <c:pt idx="25">
                  <c:v>165</c:v>
                </c:pt>
                <c:pt idx="26">
                  <c:v>165</c:v>
                </c:pt>
                <c:pt idx="27">
                  <c:v>160.28759715000001</c:v>
                </c:pt>
                <c:pt idx="28">
                  <c:v>155.58697814999999</c:v>
                </c:pt>
                <c:pt idx="29">
                  <c:v>161.97380290000001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0E-4360-8FA3-81993BA76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s-CO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Volumen (m³/año)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/>
              <a:t>Curvas almacenamiento–fiabilidad por rendimiento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 bajo</c:v>
          </c:tx>
          <c:marker>
            <c:symbol val="none"/>
          </c:marker>
          <c:cat>
            <c:numRef>
              <c:f>'Curvas SRY'!$H$8:$H$13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15</c:v>
                </c:pt>
              </c:numCache>
            </c:numRef>
          </c:cat>
          <c:val>
            <c:numRef>
              <c:f>'Curvas SRY'!$I$8:$I$13</c:f>
              <c:numCache>
                <c:formatCode>0.0%</c:formatCode>
                <c:ptCount val="6"/>
                <c:pt idx="0">
                  <c:v>0.98333333333333328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1A-4A2F-AF92-307DE382FC66}"/>
            </c:ext>
          </c:extLst>
        </c:ser>
        <c:ser>
          <c:idx val="1"/>
          <c:order val="1"/>
          <c:tx>
            <c:v>R base</c:v>
          </c:tx>
          <c:marker>
            <c:symbol val="none"/>
          </c:marker>
          <c:cat>
            <c:numRef>
              <c:f>'Curvas SRY'!$H$8:$H$13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15</c:v>
                </c:pt>
              </c:numCache>
            </c:numRef>
          </c:cat>
          <c:val>
            <c:numRef>
              <c:f>'Curvas SRY'!$J$8:$J$13</c:f>
              <c:numCache>
                <c:formatCode>0.0%</c:formatCode>
                <c:ptCount val="6"/>
                <c:pt idx="0">
                  <c:v>0.64166666666666672</c:v>
                </c:pt>
                <c:pt idx="1">
                  <c:v>0.67500000000000004</c:v>
                </c:pt>
                <c:pt idx="2">
                  <c:v>0.72499999999999998</c:v>
                </c:pt>
                <c:pt idx="3">
                  <c:v>0.85</c:v>
                </c:pt>
                <c:pt idx="4">
                  <c:v>0.97499999999999998</c:v>
                </c:pt>
                <c:pt idx="5">
                  <c:v>0.98333333333333328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1A-4A2F-AF92-307DE382FC66}"/>
            </c:ext>
          </c:extLst>
        </c:ser>
        <c:ser>
          <c:idx val="2"/>
          <c:order val="2"/>
          <c:tx>
            <c:v>R alto</c:v>
          </c:tx>
          <c:marker>
            <c:symbol val="none"/>
          </c:marker>
          <c:cat>
            <c:numRef>
              <c:f>'Curvas SRY'!$H$8:$H$13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15</c:v>
                </c:pt>
              </c:numCache>
            </c:numRef>
          </c:cat>
          <c:val>
            <c:numRef>
              <c:f>'Curvas SRY'!$K$8:$K$13</c:f>
              <c:numCache>
                <c:formatCode>0.0%</c:formatCode>
                <c:ptCount val="6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0.58333333333333337</c:v>
                </c:pt>
                <c:pt idx="4">
                  <c:v>0.72499999999999998</c:v>
                </c:pt>
                <c:pt idx="5">
                  <c:v>0.84166666666666667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1A-4A2F-AF92-307DE382F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CO"/>
                  <a:t>Capacidad (m³)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CO"/>
                  <a:t>Fiabilidad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/>
              <a:t>Fiabilidad por configuración de uso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Fiabilidad</c:v>
          </c:tx>
          <c:invertIfNegative val="1"/>
          <c:cat>
            <c:strRef>
              <c:f>'Curvas SRY'!$K$24:$K$27</c:f>
              <c:strCache>
                <c:ptCount val="4"/>
                <c:pt idx="0">
                  <c:v>Uso único</c:v>
                </c:pt>
                <c:pt idx="1">
                  <c:v>Uso múltiple</c:v>
                </c:pt>
                <c:pt idx="2">
                  <c:v>Uso prioritario</c:v>
                </c:pt>
                <c:pt idx="3">
                  <c:v>Uso variable</c:v>
                </c:pt>
              </c:strCache>
            </c:strRef>
          </c:cat>
          <c:val>
            <c:numRef>
              <c:f>'Curvas SRY'!$L$24:$L$27</c:f>
              <c:numCache>
                <c:formatCode>0.0%</c:formatCode>
                <c:ptCount val="4"/>
                <c:pt idx="0">
                  <c:v>1</c:v>
                </c:pt>
                <c:pt idx="1">
                  <c:v>0.9916666666666667</c:v>
                </c:pt>
                <c:pt idx="2">
                  <c:v>1</c:v>
                </c:pt>
                <c:pt idx="3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7-4EB7-9370-904B16D47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CO"/>
                  <a:t>Fiabilidad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21</xdr:row>
      <xdr:rowOff>0</xdr:rowOff>
    </xdr:from>
    <xdr:to>
      <xdr:col>37</xdr:col>
      <xdr:colOff>0</xdr:colOff>
      <xdr:row>39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5</xdr:row>
      <xdr:rowOff>0</xdr:rowOff>
    </xdr:from>
    <xdr:to>
      <xdr:col>22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22</xdr:col>
      <xdr:colOff>0</xdr:colOff>
      <xdr:row>43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2"/>
  <sheetViews>
    <sheetView showGridLines="0" tabSelected="1" workbookViewId="0">
      <selection sqref="A1:L1"/>
    </sheetView>
  </sheetViews>
  <sheetFormatPr baseColWidth="10" defaultColWidth="8.796875" defaultRowHeight="13.8"/>
  <cols>
    <col min="1" max="1" width="5" customWidth="1"/>
    <col min="2" max="6" width="17" customWidth="1"/>
    <col min="7" max="7" width="5" customWidth="1"/>
    <col min="8" max="12" width="17" customWidth="1"/>
  </cols>
  <sheetData>
    <row r="1" spans="1:12" ht="31.95" customHeight="1">
      <c r="A1" s="52" t="s">
        <v>158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4"/>
    </row>
    <row r="2" spans="1:12" ht="22.95" customHeight="1">
      <c r="A2" s="55" t="s">
        <v>159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7"/>
    </row>
    <row r="3" spans="1:12" ht="22.95" customHeight="1">
      <c r="A3" s="58"/>
      <c r="B3" s="59"/>
      <c r="C3" s="59"/>
      <c r="D3" s="59"/>
      <c r="E3" s="59"/>
      <c r="F3" s="59"/>
      <c r="G3" s="59"/>
      <c r="H3" s="59"/>
      <c r="I3" s="59"/>
      <c r="J3" s="59"/>
      <c r="K3" s="59"/>
      <c r="L3" s="60"/>
    </row>
    <row r="5" spans="1:12" ht="22.95" customHeight="1">
      <c r="A5" s="61" t="s">
        <v>160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3"/>
    </row>
    <row r="6" spans="1:12">
      <c r="A6" s="64" t="s">
        <v>161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6"/>
    </row>
    <row r="7" spans="1:12">
      <c r="A7" s="67"/>
      <c r="B7" s="68"/>
      <c r="C7" s="68"/>
      <c r="D7" s="68"/>
      <c r="E7" s="68"/>
      <c r="F7" s="68"/>
      <c r="G7" s="68"/>
      <c r="H7" s="68"/>
      <c r="I7" s="68"/>
      <c r="J7" s="68"/>
      <c r="K7" s="68"/>
      <c r="L7" s="69"/>
    </row>
    <row r="9" spans="1:12" ht="22.95" customHeight="1">
      <c r="A9" s="61" t="s">
        <v>162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3"/>
    </row>
    <row r="10" spans="1:12" ht="43.05" customHeight="1">
      <c r="A10" s="22" t="s">
        <v>163</v>
      </c>
      <c r="B10" s="70" t="s">
        <v>164</v>
      </c>
      <c r="C10" s="70"/>
      <c r="D10" s="70"/>
      <c r="E10" s="70"/>
      <c r="F10" s="70"/>
      <c r="G10" s="22" t="s">
        <v>165</v>
      </c>
      <c r="H10" s="70" t="s">
        <v>166</v>
      </c>
      <c r="I10" s="70"/>
      <c r="J10" s="70"/>
      <c r="K10" s="70"/>
      <c r="L10" s="70"/>
    </row>
    <row r="11" spans="1:12" ht="43.05" customHeight="1">
      <c r="A11" s="22" t="s">
        <v>167</v>
      </c>
      <c r="B11" s="70" t="s">
        <v>168</v>
      </c>
      <c r="C11" s="70"/>
      <c r="D11" s="70"/>
      <c r="E11" s="70"/>
      <c r="F11" s="70"/>
      <c r="G11" s="22" t="s">
        <v>169</v>
      </c>
      <c r="H11" s="70" t="s">
        <v>170</v>
      </c>
      <c r="I11" s="70"/>
      <c r="J11" s="70"/>
      <c r="K11" s="70"/>
      <c r="L11" s="70"/>
    </row>
    <row r="12" spans="1:12" ht="43.05" customHeight="1">
      <c r="A12" s="22" t="s">
        <v>171</v>
      </c>
      <c r="B12" s="70" t="s">
        <v>172</v>
      </c>
      <c r="C12" s="70"/>
      <c r="D12" s="70"/>
      <c r="E12" s="70"/>
      <c r="F12" s="70"/>
      <c r="G12" s="22" t="s">
        <v>173</v>
      </c>
      <c r="H12" s="70" t="s">
        <v>174</v>
      </c>
      <c r="I12" s="70"/>
      <c r="J12" s="70"/>
      <c r="K12" s="70"/>
      <c r="L12" s="70"/>
    </row>
    <row r="14" spans="1:12" ht="22.95" customHeight="1">
      <c r="A14" s="61" t="s">
        <v>175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3"/>
    </row>
    <row r="15" spans="1:12" ht="22.95" customHeight="1">
      <c r="A15" s="71" t="s">
        <v>176</v>
      </c>
      <c r="B15" s="71"/>
      <c r="C15" s="71"/>
      <c r="D15" s="73" t="s">
        <v>177</v>
      </c>
      <c r="E15" s="73"/>
      <c r="F15" s="73"/>
      <c r="G15" s="75" t="s">
        <v>178</v>
      </c>
      <c r="H15" s="75"/>
      <c r="I15" s="75"/>
      <c r="J15" s="77" t="s">
        <v>179</v>
      </c>
      <c r="K15" s="77"/>
      <c r="L15" s="77"/>
    </row>
    <row r="16" spans="1:12" ht="34.049999999999997" customHeight="1">
      <c r="A16" s="72" t="s">
        <v>180</v>
      </c>
      <c r="B16" s="72"/>
      <c r="C16" s="72"/>
      <c r="D16" s="74" t="s">
        <v>181</v>
      </c>
      <c r="E16" s="74"/>
      <c r="F16" s="74"/>
      <c r="G16" s="76" t="s">
        <v>182</v>
      </c>
      <c r="H16" s="76"/>
      <c r="I16" s="76"/>
      <c r="J16" s="78" t="s">
        <v>183</v>
      </c>
      <c r="K16" s="78"/>
      <c r="L16" s="78"/>
    </row>
    <row r="18" spans="1:12" ht="22.95" customHeight="1">
      <c r="A18" s="61" t="s">
        <v>184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3"/>
    </row>
    <row r="19" spans="1:12" ht="28.05" customHeight="1">
      <c r="A19" s="23" t="s">
        <v>185</v>
      </c>
      <c r="B19" s="79" t="s">
        <v>186</v>
      </c>
      <c r="C19" s="79"/>
      <c r="D19" s="79" t="s">
        <v>187</v>
      </c>
      <c r="E19" s="79"/>
      <c r="F19" s="79"/>
      <c r="G19" s="79" t="s">
        <v>188</v>
      </c>
      <c r="H19" s="79"/>
      <c r="I19" s="79"/>
      <c r="J19" s="79" t="s">
        <v>189</v>
      </c>
      <c r="K19" s="79"/>
      <c r="L19" s="79"/>
    </row>
    <row r="20" spans="1:12" ht="61.95" customHeight="1">
      <c r="A20" s="24">
        <v>1</v>
      </c>
      <c r="B20" s="70" t="s">
        <v>190</v>
      </c>
      <c r="C20" s="70"/>
      <c r="D20" s="70" t="s">
        <v>191</v>
      </c>
      <c r="E20" s="70"/>
      <c r="F20" s="70"/>
      <c r="G20" s="70" t="s">
        <v>192</v>
      </c>
      <c r="H20" s="70"/>
      <c r="I20" s="70"/>
      <c r="J20" s="70" t="s">
        <v>193</v>
      </c>
      <c r="K20" s="70"/>
      <c r="L20" s="70"/>
    </row>
    <row r="21" spans="1:12" ht="66" customHeight="1">
      <c r="A21" s="24">
        <v>2</v>
      </c>
      <c r="B21" s="80" t="s">
        <v>194</v>
      </c>
      <c r="C21" s="80"/>
      <c r="D21" s="80" t="s">
        <v>195</v>
      </c>
      <c r="E21" s="80"/>
      <c r="F21" s="80"/>
      <c r="G21" s="80" t="s">
        <v>196</v>
      </c>
      <c r="H21" s="80"/>
      <c r="I21" s="80"/>
      <c r="J21" s="80" t="s">
        <v>197</v>
      </c>
      <c r="K21" s="80"/>
      <c r="L21" s="80"/>
    </row>
    <row r="22" spans="1:12" ht="58.05" customHeight="1">
      <c r="A22" s="24">
        <v>3</v>
      </c>
      <c r="B22" s="70" t="s">
        <v>198</v>
      </c>
      <c r="C22" s="70"/>
      <c r="D22" s="70" t="s">
        <v>199</v>
      </c>
      <c r="E22" s="70"/>
      <c r="F22" s="70"/>
      <c r="G22" s="70" t="s">
        <v>200</v>
      </c>
      <c r="H22" s="70"/>
      <c r="I22" s="70"/>
      <c r="J22" s="70" t="s">
        <v>201</v>
      </c>
      <c r="K22" s="70"/>
      <c r="L22" s="70"/>
    </row>
    <row r="23" spans="1:12" ht="61.95" customHeight="1">
      <c r="A23" s="24">
        <v>4</v>
      </c>
      <c r="B23" s="80" t="s">
        <v>202</v>
      </c>
      <c r="C23" s="80"/>
      <c r="D23" s="80" t="s">
        <v>203</v>
      </c>
      <c r="E23" s="80"/>
      <c r="F23" s="80"/>
      <c r="G23" s="80" t="s">
        <v>204</v>
      </c>
      <c r="H23" s="80"/>
      <c r="I23" s="80"/>
      <c r="J23" s="80" t="s">
        <v>205</v>
      </c>
      <c r="K23" s="80"/>
      <c r="L23" s="80"/>
    </row>
    <row r="24" spans="1:12" ht="66" customHeight="1">
      <c r="A24" s="24">
        <v>5</v>
      </c>
      <c r="B24" s="70" t="s">
        <v>206</v>
      </c>
      <c r="C24" s="70"/>
      <c r="D24" s="70" t="s">
        <v>207</v>
      </c>
      <c r="E24" s="70"/>
      <c r="F24" s="70"/>
      <c r="G24" s="70" t="s">
        <v>208</v>
      </c>
      <c r="H24" s="70"/>
      <c r="I24" s="70"/>
      <c r="J24" s="70" t="s">
        <v>209</v>
      </c>
      <c r="K24" s="70"/>
      <c r="L24" s="70"/>
    </row>
    <row r="25" spans="1:12" ht="61.95" customHeight="1">
      <c r="A25" s="24">
        <v>6</v>
      </c>
      <c r="B25" s="80" t="s">
        <v>210</v>
      </c>
      <c r="C25" s="80"/>
      <c r="D25" s="80" t="s">
        <v>211</v>
      </c>
      <c r="E25" s="80"/>
      <c r="F25" s="80"/>
      <c r="G25" s="80" t="s">
        <v>212</v>
      </c>
      <c r="H25" s="80"/>
      <c r="I25" s="80"/>
      <c r="J25" s="80" t="s">
        <v>213</v>
      </c>
      <c r="K25" s="80"/>
      <c r="L25" s="80"/>
    </row>
    <row r="26" spans="1:12" ht="66" customHeight="1">
      <c r="A26" s="24">
        <v>7</v>
      </c>
      <c r="B26" s="70" t="s">
        <v>214</v>
      </c>
      <c r="C26" s="70"/>
      <c r="D26" s="70" t="s">
        <v>215</v>
      </c>
      <c r="E26" s="70"/>
      <c r="F26" s="70"/>
      <c r="G26" s="70" t="s">
        <v>216</v>
      </c>
      <c r="H26" s="70"/>
      <c r="I26" s="70"/>
      <c r="J26" s="70" t="s">
        <v>217</v>
      </c>
      <c r="K26" s="70"/>
      <c r="L26" s="70"/>
    </row>
    <row r="27" spans="1:12" ht="58.05" customHeight="1">
      <c r="A27" s="24">
        <v>8</v>
      </c>
      <c r="B27" s="80" t="s">
        <v>218</v>
      </c>
      <c r="C27" s="80"/>
      <c r="D27" s="80" t="s">
        <v>219</v>
      </c>
      <c r="E27" s="80"/>
      <c r="F27" s="80"/>
      <c r="G27" s="80" t="s">
        <v>220</v>
      </c>
      <c r="H27" s="80"/>
      <c r="I27" s="80"/>
      <c r="J27" s="80" t="s">
        <v>221</v>
      </c>
      <c r="K27" s="80"/>
      <c r="L27" s="80"/>
    </row>
    <row r="29" spans="1:12" ht="22.95" customHeight="1">
      <c r="A29" s="61" t="s">
        <v>222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3"/>
    </row>
    <row r="30" spans="1:12" ht="43.05" customHeight="1">
      <c r="A30" s="22" t="s">
        <v>163</v>
      </c>
      <c r="B30" s="70" t="s">
        <v>223</v>
      </c>
      <c r="C30" s="70"/>
      <c r="D30" s="70"/>
      <c r="E30" s="70"/>
      <c r="F30" s="70"/>
      <c r="G30" s="22" t="s">
        <v>165</v>
      </c>
      <c r="H30" s="70" t="s">
        <v>224</v>
      </c>
      <c r="I30" s="70"/>
      <c r="J30" s="70"/>
      <c r="K30" s="70"/>
      <c r="L30" s="70"/>
    </row>
    <row r="31" spans="1:12" ht="43.05" customHeight="1">
      <c r="A31" s="22" t="s">
        <v>167</v>
      </c>
      <c r="B31" s="70" t="s">
        <v>225</v>
      </c>
      <c r="C31" s="70"/>
      <c r="D31" s="70"/>
      <c r="E31" s="70"/>
      <c r="F31" s="70"/>
      <c r="G31" s="22" t="s">
        <v>169</v>
      </c>
      <c r="H31" s="70" t="s">
        <v>226</v>
      </c>
      <c r="I31" s="70"/>
      <c r="J31" s="70"/>
      <c r="K31" s="70"/>
      <c r="L31" s="70"/>
    </row>
    <row r="32" spans="1:12" ht="43.05" customHeight="1">
      <c r="A32" s="22" t="s">
        <v>171</v>
      </c>
      <c r="B32" s="70" t="s">
        <v>227</v>
      </c>
      <c r="C32" s="70"/>
      <c r="D32" s="70"/>
      <c r="E32" s="70"/>
      <c r="F32" s="70"/>
      <c r="G32" s="22" t="s">
        <v>173</v>
      </c>
      <c r="H32" s="70" t="s">
        <v>228</v>
      </c>
      <c r="I32" s="70"/>
      <c r="J32" s="70"/>
      <c r="K32" s="70"/>
      <c r="L32" s="70"/>
    </row>
    <row r="34" spans="1:12" ht="22.95" customHeight="1">
      <c r="A34" s="61" t="s">
        <v>229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2">
      <c r="A35" s="64" t="s">
        <v>230</v>
      </c>
      <c r="B35" s="65"/>
      <c r="C35" s="65"/>
      <c r="D35" s="65"/>
      <c r="E35" s="65"/>
      <c r="F35" s="66"/>
      <c r="G35" s="64" t="s">
        <v>231</v>
      </c>
      <c r="H35" s="65"/>
      <c r="I35" s="65"/>
      <c r="J35" s="65"/>
      <c r="K35" s="65"/>
      <c r="L35" s="66"/>
    </row>
    <row r="36" spans="1:12">
      <c r="A36" s="81"/>
      <c r="B36" s="82"/>
      <c r="C36" s="82"/>
      <c r="D36" s="82"/>
      <c r="E36" s="82"/>
      <c r="F36" s="83"/>
      <c r="G36" s="81"/>
      <c r="H36" s="82"/>
      <c r="I36" s="82"/>
      <c r="J36" s="82"/>
      <c r="K36" s="82"/>
      <c r="L36" s="83"/>
    </row>
    <row r="37" spans="1:12">
      <c r="A37" s="67"/>
      <c r="B37" s="68"/>
      <c r="C37" s="68"/>
      <c r="D37" s="68"/>
      <c r="E37" s="68"/>
      <c r="F37" s="69"/>
      <c r="G37" s="67"/>
      <c r="H37" s="68"/>
      <c r="I37" s="68"/>
      <c r="J37" s="68"/>
      <c r="K37" s="68"/>
      <c r="L37" s="69"/>
    </row>
    <row r="38" spans="1:12">
      <c r="A38" s="64" t="s">
        <v>232</v>
      </c>
      <c r="B38" s="65"/>
      <c r="C38" s="65"/>
      <c r="D38" s="65"/>
      <c r="E38" s="65"/>
      <c r="F38" s="66"/>
      <c r="G38" s="64" t="s">
        <v>233</v>
      </c>
      <c r="H38" s="65"/>
      <c r="I38" s="65"/>
      <c r="J38" s="65"/>
      <c r="K38" s="65"/>
      <c r="L38" s="66"/>
    </row>
    <row r="39" spans="1:12">
      <c r="A39" s="81"/>
      <c r="B39" s="82"/>
      <c r="C39" s="82"/>
      <c r="D39" s="82"/>
      <c r="E39" s="82"/>
      <c r="F39" s="83"/>
      <c r="G39" s="81"/>
      <c r="H39" s="82"/>
      <c r="I39" s="82"/>
      <c r="J39" s="82"/>
      <c r="K39" s="82"/>
      <c r="L39" s="83"/>
    </row>
    <row r="40" spans="1:12">
      <c r="A40" s="67"/>
      <c r="B40" s="68"/>
      <c r="C40" s="68"/>
      <c r="D40" s="68"/>
      <c r="E40" s="68"/>
      <c r="F40" s="69"/>
      <c r="G40" s="67"/>
      <c r="H40" s="68"/>
      <c r="I40" s="68"/>
      <c r="J40" s="68"/>
      <c r="K40" s="68"/>
      <c r="L40" s="69"/>
    </row>
    <row r="42" spans="1:12" ht="22.95" customHeight="1">
      <c r="A42" s="61" t="s">
        <v>234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3"/>
    </row>
    <row r="43" spans="1:12" ht="43.05" customHeight="1">
      <c r="A43" s="22" t="s">
        <v>163</v>
      </c>
      <c r="B43" s="70" t="s">
        <v>235</v>
      </c>
      <c r="C43" s="70"/>
      <c r="D43" s="70"/>
      <c r="E43" s="70"/>
      <c r="F43" s="70"/>
      <c r="G43" s="22" t="s">
        <v>165</v>
      </c>
      <c r="H43" s="70" t="s">
        <v>236</v>
      </c>
      <c r="I43" s="70"/>
      <c r="J43" s="70"/>
      <c r="K43" s="70"/>
      <c r="L43" s="70"/>
    </row>
    <row r="44" spans="1:12" ht="43.05" customHeight="1">
      <c r="A44" s="22" t="s">
        <v>167</v>
      </c>
      <c r="B44" s="70" t="s">
        <v>237</v>
      </c>
      <c r="C44" s="70"/>
      <c r="D44" s="70"/>
      <c r="E44" s="70"/>
      <c r="F44" s="70"/>
      <c r="G44" s="22" t="s">
        <v>169</v>
      </c>
      <c r="H44" s="70" t="s">
        <v>238</v>
      </c>
      <c r="I44" s="70"/>
      <c r="J44" s="70"/>
      <c r="K44" s="70"/>
      <c r="L44" s="70"/>
    </row>
    <row r="45" spans="1:12" ht="43.05" customHeight="1">
      <c r="A45" s="22" t="s">
        <v>171</v>
      </c>
      <c r="B45" s="70" t="s">
        <v>239</v>
      </c>
      <c r="C45" s="70"/>
      <c r="D45" s="70"/>
      <c r="E45" s="70"/>
      <c r="F45" s="70"/>
      <c r="G45" s="22" t="s">
        <v>173</v>
      </c>
      <c r="H45" s="70" t="s">
        <v>240</v>
      </c>
      <c r="I45" s="70"/>
      <c r="J45" s="70"/>
      <c r="K45" s="70"/>
      <c r="L45" s="70"/>
    </row>
    <row r="47" spans="1:12" ht="22.95" customHeight="1">
      <c r="A47" s="61" t="s">
        <v>241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3"/>
    </row>
    <row r="48" spans="1:12">
      <c r="A48" s="84" t="s">
        <v>242</v>
      </c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6"/>
    </row>
    <row r="49" spans="1:12">
      <c r="A49" s="87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9"/>
    </row>
    <row r="50" spans="1:12">
      <c r="A50" s="90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2"/>
    </row>
    <row r="52" spans="1:12" ht="22.95" customHeight="1">
      <c r="A52" s="61" t="s">
        <v>243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3"/>
    </row>
    <row r="53" spans="1:12" ht="28.05" customHeight="1">
      <c r="A53" s="25" t="s">
        <v>244</v>
      </c>
      <c r="B53" s="70" t="s">
        <v>245</v>
      </c>
      <c r="C53" s="70"/>
      <c r="D53" s="70"/>
      <c r="E53" s="70"/>
      <c r="F53" s="70"/>
      <c r="G53" s="70"/>
      <c r="H53" s="70"/>
      <c r="I53" s="70"/>
      <c r="J53" s="70"/>
      <c r="K53" s="70"/>
      <c r="L53" s="70"/>
    </row>
    <row r="54" spans="1:12" ht="28.05" customHeight="1">
      <c r="A54" s="25" t="s">
        <v>244</v>
      </c>
      <c r="B54" s="80" t="s">
        <v>246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</row>
    <row r="55" spans="1:12" ht="28.05" customHeight="1">
      <c r="A55" s="25" t="s">
        <v>244</v>
      </c>
      <c r="B55" s="70" t="s">
        <v>247</v>
      </c>
      <c r="C55" s="70"/>
      <c r="D55" s="70"/>
      <c r="E55" s="70"/>
      <c r="F55" s="70"/>
      <c r="G55" s="70"/>
      <c r="H55" s="70"/>
      <c r="I55" s="70"/>
      <c r="J55" s="70"/>
      <c r="K55" s="70"/>
      <c r="L55" s="70"/>
    </row>
    <row r="56" spans="1:12" ht="28.05" customHeight="1">
      <c r="A56" s="25" t="s">
        <v>244</v>
      </c>
      <c r="B56" s="80" t="s">
        <v>248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2" ht="28.05" customHeight="1">
      <c r="A57" s="25" t="s">
        <v>244</v>
      </c>
      <c r="B57" s="70" t="s">
        <v>249</v>
      </c>
      <c r="C57" s="70"/>
      <c r="D57" s="70"/>
      <c r="E57" s="70"/>
      <c r="F57" s="70"/>
      <c r="G57" s="70"/>
      <c r="H57" s="70"/>
      <c r="I57" s="70"/>
      <c r="J57" s="70"/>
      <c r="K57" s="70"/>
      <c r="L57" s="70"/>
    </row>
    <row r="58" spans="1:12" ht="28.05" customHeight="1">
      <c r="A58" s="25" t="s">
        <v>244</v>
      </c>
      <c r="B58" s="80" t="s">
        <v>250</v>
      </c>
      <c r="C58" s="80"/>
      <c r="D58" s="80"/>
      <c r="E58" s="80"/>
      <c r="F58" s="80"/>
      <c r="G58" s="80"/>
      <c r="H58" s="80"/>
      <c r="I58" s="80"/>
      <c r="J58" s="80"/>
      <c r="K58" s="80"/>
      <c r="L58" s="80"/>
    </row>
    <row r="60" spans="1:12">
      <c r="A60" s="93" t="s">
        <v>251</v>
      </c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5"/>
    </row>
    <row r="61" spans="1:12">
      <c r="A61" s="96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8"/>
    </row>
    <row r="62" spans="1:12">
      <c r="A62" s="99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1"/>
    </row>
  </sheetData>
  <mergeCells count="86">
    <mergeCell ref="B56:L56"/>
    <mergeCell ref="B57:L57"/>
    <mergeCell ref="B58:L58"/>
    <mergeCell ref="A60:L62"/>
    <mergeCell ref="A48:L50"/>
    <mergeCell ref="A52:L52"/>
    <mergeCell ref="B53:L53"/>
    <mergeCell ref="B54:L54"/>
    <mergeCell ref="B55:L55"/>
    <mergeCell ref="B44:F44"/>
    <mergeCell ref="H44:L44"/>
    <mergeCell ref="B45:F45"/>
    <mergeCell ref="H45:L45"/>
    <mergeCell ref="A47:L47"/>
    <mergeCell ref="A38:F40"/>
    <mergeCell ref="G38:L40"/>
    <mergeCell ref="A42:L42"/>
    <mergeCell ref="B43:F43"/>
    <mergeCell ref="H43:L43"/>
    <mergeCell ref="B32:F32"/>
    <mergeCell ref="H32:L32"/>
    <mergeCell ref="A34:L34"/>
    <mergeCell ref="A35:F37"/>
    <mergeCell ref="G35:L37"/>
    <mergeCell ref="A29:L29"/>
    <mergeCell ref="B30:F30"/>
    <mergeCell ref="H30:L30"/>
    <mergeCell ref="B31:F31"/>
    <mergeCell ref="H31:L31"/>
    <mergeCell ref="B26:C26"/>
    <mergeCell ref="D26:F26"/>
    <mergeCell ref="G26:I26"/>
    <mergeCell ref="J26:L26"/>
    <mergeCell ref="B27:C27"/>
    <mergeCell ref="D27:F27"/>
    <mergeCell ref="G27:I27"/>
    <mergeCell ref="J27:L27"/>
    <mergeCell ref="B24:C24"/>
    <mergeCell ref="D24:F24"/>
    <mergeCell ref="G24:I24"/>
    <mergeCell ref="J24:L24"/>
    <mergeCell ref="B25:C25"/>
    <mergeCell ref="D25:F25"/>
    <mergeCell ref="G25:I25"/>
    <mergeCell ref="J25:L25"/>
    <mergeCell ref="B22:C22"/>
    <mergeCell ref="D22:F22"/>
    <mergeCell ref="G22:I22"/>
    <mergeCell ref="J22:L22"/>
    <mergeCell ref="B23:C23"/>
    <mergeCell ref="D23:F23"/>
    <mergeCell ref="G23:I23"/>
    <mergeCell ref="J23:L23"/>
    <mergeCell ref="B20:C20"/>
    <mergeCell ref="D20:F20"/>
    <mergeCell ref="G20:I20"/>
    <mergeCell ref="J20:L20"/>
    <mergeCell ref="B21:C21"/>
    <mergeCell ref="D21:F21"/>
    <mergeCell ref="G21:I21"/>
    <mergeCell ref="J21:L21"/>
    <mergeCell ref="A18:L18"/>
    <mergeCell ref="B19:C19"/>
    <mergeCell ref="D19:F19"/>
    <mergeCell ref="G19:I19"/>
    <mergeCell ref="J19:L19"/>
    <mergeCell ref="A14:L14"/>
    <mergeCell ref="A15:C15"/>
    <mergeCell ref="A16:C16"/>
    <mergeCell ref="D15:F15"/>
    <mergeCell ref="D16:F16"/>
    <mergeCell ref="G15:I15"/>
    <mergeCell ref="G16:I16"/>
    <mergeCell ref="J15:L15"/>
    <mergeCell ref="J16:L16"/>
    <mergeCell ref="B10:F10"/>
    <mergeCell ref="H10:L10"/>
    <mergeCell ref="B11:F11"/>
    <mergeCell ref="H11:L11"/>
    <mergeCell ref="B12:F12"/>
    <mergeCell ref="H12:L12"/>
    <mergeCell ref="A1:L1"/>
    <mergeCell ref="A2:L3"/>
    <mergeCell ref="A5:L5"/>
    <mergeCell ref="A6:L7"/>
    <mergeCell ref="A9:L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84"/>
  <sheetViews>
    <sheetView showGridLines="0" topLeftCell="A35" workbookViewId="0">
      <selection sqref="A1:AK1"/>
    </sheetView>
  </sheetViews>
  <sheetFormatPr baseColWidth="10" defaultColWidth="8.796875" defaultRowHeight="13.8"/>
  <cols>
    <col min="1" max="1" width="13" customWidth="1"/>
    <col min="2" max="2" width="9" customWidth="1"/>
    <col min="3" max="3" width="12" customWidth="1"/>
    <col min="4" max="4" width="16" customWidth="1"/>
    <col min="5" max="5" width="12" customWidth="1"/>
    <col min="6" max="6" width="10" customWidth="1"/>
    <col min="7" max="7" width="11" customWidth="1"/>
    <col min="8" max="9" width="14" customWidth="1"/>
    <col min="10" max="10" width="12" customWidth="1"/>
    <col min="11" max="11" width="13" customWidth="1"/>
    <col min="12" max="12" width="15" customWidth="1"/>
    <col min="13" max="13" width="14" customWidth="1"/>
    <col min="14" max="14" width="12" customWidth="1"/>
    <col min="15" max="15" width="14" customWidth="1"/>
    <col min="16" max="17" width="13" customWidth="1"/>
    <col min="18" max="19" width="11" customWidth="1"/>
    <col min="20" max="20" width="15" customWidth="1"/>
    <col min="21" max="21" width="14" customWidth="1"/>
    <col min="22" max="22" width="12" customWidth="1"/>
    <col min="23" max="23" width="3" customWidth="1"/>
    <col min="24" max="24" width="10" customWidth="1"/>
    <col min="25" max="27" width="14" customWidth="1"/>
    <col min="28" max="34" width="12" customWidth="1"/>
    <col min="35" max="35" width="15" customWidth="1"/>
    <col min="36" max="36" width="12" customWidth="1"/>
    <col min="37" max="37" width="18" customWidth="1"/>
  </cols>
  <sheetData>
    <row r="1" spans="1:37" ht="30" customHeight="1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8"/>
    </row>
    <row r="2" spans="1:37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1"/>
    </row>
    <row r="3" spans="1:37">
      <c r="A3" s="32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4"/>
    </row>
    <row r="4" spans="1:37" ht="14.4">
      <c r="A4" s="1" t="s">
        <v>2</v>
      </c>
      <c r="B4" s="2" t="s">
        <v>3</v>
      </c>
      <c r="C4" s="3" t="s">
        <v>4</v>
      </c>
      <c r="D4" s="4" t="s">
        <v>5</v>
      </c>
      <c r="E4" s="5" t="s">
        <v>6</v>
      </c>
      <c r="F4" s="6" t="s">
        <v>7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6" spans="1:37" ht="22.05" customHeight="1">
      <c r="A6" s="35" t="s">
        <v>8</v>
      </c>
      <c r="B6" s="36"/>
      <c r="C6" s="36"/>
      <c r="D6" s="36"/>
      <c r="E6" s="36"/>
      <c r="F6" s="36"/>
      <c r="G6" s="36"/>
      <c r="H6" s="37"/>
      <c r="J6" s="35" t="s">
        <v>9</v>
      </c>
      <c r="K6" s="36"/>
      <c r="L6" s="36"/>
      <c r="M6" s="36"/>
      <c r="N6" s="36"/>
      <c r="O6" s="36"/>
      <c r="P6" s="36"/>
      <c r="Q6" s="37"/>
      <c r="S6" s="35" t="s">
        <v>10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7"/>
    </row>
    <row r="7" spans="1:37" ht="48">
      <c r="A7" s="8" t="s">
        <v>11</v>
      </c>
      <c r="B7" s="8" t="s">
        <v>12</v>
      </c>
      <c r="D7" s="38" t="s">
        <v>13</v>
      </c>
      <c r="E7" s="39"/>
      <c r="F7" s="39"/>
      <c r="G7" s="39"/>
      <c r="H7" s="40"/>
      <c r="J7" s="8" t="s">
        <v>14</v>
      </c>
      <c r="K7" s="8" t="s">
        <v>15</v>
      </c>
      <c r="L7" s="8" t="s">
        <v>16</v>
      </c>
      <c r="M7" s="8" t="s">
        <v>17</v>
      </c>
      <c r="N7" s="8" t="s">
        <v>14</v>
      </c>
      <c r="O7" s="8" t="s">
        <v>15</v>
      </c>
      <c r="P7" s="8" t="s">
        <v>16</v>
      </c>
      <c r="Q7" s="8" t="s">
        <v>17</v>
      </c>
      <c r="S7" s="8" t="s">
        <v>18</v>
      </c>
      <c r="T7" s="8" t="s">
        <v>19</v>
      </c>
      <c r="U7" s="8" t="s">
        <v>20</v>
      </c>
      <c r="V7" s="8" t="s">
        <v>18</v>
      </c>
      <c r="W7" s="8" t="s">
        <v>19</v>
      </c>
      <c r="X7" s="8" t="s">
        <v>20</v>
      </c>
      <c r="Y7" s="8" t="s">
        <v>18</v>
      </c>
      <c r="Z7" s="8" t="s">
        <v>19</v>
      </c>
      <c r="AA7" s="8" t="s">
        <v>20</v>
      </c>
      <c r="AB7" s="8" t="s">
        <v>18</v>
      </c>
      <c r="AC7" s="8" t="s">
        <v>19</v>
      </c>
      <c r="AD7" s="8" t="s">
        <v>20</v>
      </c>
      <c r="AE7" s="8" t="s">
        <v>18</v>
      </c>
      <c r="AF7" s="8" t="s">
        <v>19</v>
      </c>
      <c r="AG7" s="8" t="s">
        <v>20</v>
      </c>
      <c r="AH7" s="8" t="s">
        <v>18</v>
      </c>
      <c r="AI7" s="8" t="s">
        <v>19</v>
      </c>
      <c r="AJ7" s="8" t="s">
        <v>20</v>
      </c>
      <c r="AK7" s="8" t="s">
        <v>21</v>
      </c>
    </row>
    <row r="8" spans="1:37" ht="34.200000000000003">
      <c r="A8" s="9" t="s">
        <v>22</v>
      </c>
      <c r="B8" s="10" t="s">
        <v>23</v>
      </c>
      <c r="D8" s="41"/>
      <c r="E8" s="42"/>
      <c r="F8" s="42"/>
      <c r="G8" s="42"/>
      <c r="H8" s="43"/>
      <c r="J8" s="9" t="s">
        <v>24</v>
      </c>
      <c r="K8" s="10">
        <v>-1.4</v>
      </c>
      <c r="L8" s="14" t="str">
        <f>IF(K8="","Sin dato",IF(K8&gt;=2,"Extremadamente húmedo",IF(K8&gt;=1.5,"Severamente húmedo",IF(K8&gt;=1,"Moderadamente húmedo",IF(K8&gt;-1,"Cercano a normal",IF(K8&gt;-1.5,"Moderadamente seco",IF(K8&gt;-2,"Severamente seco","Extremadamente seco")))))))</f>
        <v>Moderadamente seco</v>
      </c>
      <c r="M8" s="9" t="s">
        <v>25</v>
      </c>
      <c r="N8" s="9" t="s">
        <v>26</v>
      </c>
      <c r="O8" s="10">
        <v>-1.6</v>
      </c>
      <c r="P8" s="14" t="str">
        <f>IF(O8="","Sin dato",IF(O8&gt;=2,"Extremadamente húmedo",IF(O8&gt;=1.5,"Severamente húmedo",IF(O8&gt;=1,"Moderadamente húmedo",IF(O8&gt;-1,"Cercano a normal",IF(O8&gt;-1.5,"Moderadamente seco",IF(O8&gt;-2,"Severamente seco","Extremadamente seco")))))))</f>
        <v>Severamente seco</v>
      </c>
      <c r="Q8" s="9" t="s">
        <v>27</v>
      </c>
      <c r="S8" s="9" t="s">
        <v>28</v>
      </c>
      <c r="T8" s="15">
        <f>SUM(H25:H384)</f>
        <v>7285.3244999999997</v>
      </c>
      <c r="U8" s="15" t="s">
        <v>29</v>
      </c>
      <c r="V8" s="15" t="s">
        <v>30</v>
      </c>
      <c r="W8" s="15">
        <f>SUM(L25:L384)</f>
        <v>4950</v>
      </c>
      <c r="X8" s="15" t="s">
        <v>29</v>
      </c>
      <c r="Y8" s="15" t="s">
        <v>31</v>
      </c>
      <c r="Z8" s="15">
        <f>SUM(P25:P384)</f>
        <v>4844.8889721560008</v>
      </c>
      <c r="AA8" s="14" t="s">
        <v>29</v>
      </c>
      <c r="AB8" s="14" t="s">
        <v>32</v>
      </c>
      <c r="AC8" s="16">
        <f>COUNTIF(T25:T384,"Satisfactorio")/$B$18</f>
        <v>0.85</v>
      </c>
      <c r="AD8" s="14" t="s">
        <v>33</v>
      </c>
      <c r="AE8" s="14" t="s">
        <v>34</v>
      </c>
      <c r="AF8" s="14">
        <f>COUNTIF(T25:T384,"Falla")</f>
        <v>54</v>
      </c>
      <c r="AG8" s="14" t="s">
        <v>35</v>
      </c>
      <c r="AH8" s="14" t="s">
        <v>36</v>
      </c>
      <c r="AI8" s="16">
        <f>IF(AF8=0,1,SUM(U25:U384)/AF8)</f>
        <v>0.68518518518518523</v>
      </c>
      <c r="AJ8" s="14" t="s">
        <v>37</v>
      </c>
      <c r="AK8" s="14" t="str">
        <f>IF(AC8&gt;=$B$17,"CUMPLE","NO CUMPLE")</f>
        <v>NO CUMPLE</v>
      </c>
    </row>
    <row r="9" spans="1:37" ht="22.8">
      <c r="A9" s="9" t="s">
        <v>38</v>
      </c>
      <c r="B9" s="10" t="s">
        <v>39</v>
      </c>
      <c r="D9" s="41"/>
      <c r="E9" s="42"/>
      <c r="F9" s="42"/>
      <c r="G9" s="42"/>
      <c r="H9" s="43"/>
      <c r="J9" s="9" t="s">
        <v>40</v>
      </c>
      <c r="K9" s="10">
        <v>-0.8</v>
      </c>
      <c r="L9" s="14" t="str">
        <f>IF(K9="","Sin dato",IF(K9&gt;=2,"Extremadamente húmedo",IF(K9&gt;=1.5,"Severamente húmedo",IF(K9&gt;=1,"Moderadamente húmedo",IF(K9&gt;-1,"Cercano a normal",IF(K9&gt;-1.5,"Moderadamente seco",IF(K9&gt;-2,"Severamente seco","Extremadamente seco")))))))</f>
        <v>Cercano a normal</v>
      </c>
      <c r="M9" s="9" t="s">
        <v>41</v>
      </c>
      <c r="N9" s="9" t="s">
        <v>42</v>
      </c>
      <c r="O9" s="10">
        <v>-2.1</v>
      </c>
      <c r="P9" s="14" t="str">
        <f>IF(O9="","Sin dato",IF(O9&gt;=2,"Extremadamente húmedo",IF(O9&gt;=1.5,"Severamente húmedo",IF(O9&gt;=1,"Moderadamente húmedo",IF(O9&gt;-1,"Cercano a normal",IF(O9&gt;-1.5,"Moderadamente seco",IF(O9&gt;-2,"Severamente seco","Extremadamente seco")))))))</f>
        <v>Extremadamente seco</v>
      </c>
      <c r="Q9" s="9" t="s">
        <v>43</v>
      </c>
      <c r="S9" s="9" t="s">
        <v>44</v>
      </c>
      <c r="T9" s="15">
        <f>SUM(S25:S384)</f>
        <v>105.11102784400002</v>
      </c>
      <c r="U9" s="15" t="s">
        <v>29</v>
      </c>
      <c r="V9" s="15" t="s">
        <v>45</v>
      </c>
      <c r="W9" s="15">
        <f>IF(AI9=0,0,T9/AI9)</f>
        <v>2.8408385903783788</v>
      </c>
      <c r="X9" s="15" t="s">
        <v>46</v>
      </c>
      <c r="Y9" s="15" t="s">
        <v>47</v>
      </c>
      <c r="Z9" s="15">
        <f>MAX(S25:S384)</f>
        <v>4.0610274999999998</v>
      </c>
      <c r="AA9" s="14" t="s">
        <v>48</v>
      </c>
      <c r="AB9" s="14" t="s">
        <v>49</v>
      </c>
      <c r="AC9" s="14">
        <f>IF(AI9=0,0,AF8/AI9)</f>
        <v>1.4594594594594594</v>
      </c>
      <c r="AD9" s="14" t="s">
        <v>35</v>
      </c>
      <c r="AE9" s="14" t="s">
        <v>50</v>
      </c>
      <c r="AF9" s="14">
        <f>SUM(R25:R384)</f>
        <v>2264.8070256740998</v>
      </c>
      <c r="AG9" s="14" t="s">
        <v>29</v>
      </c>
      <c r="AH9" s="14" t="s">
        <v>51</v>
      </c>
      <c r="AI9" s="14">
        <f>SUM(V25:V384)</f>
        <v>37</v>
      </c>
      <c r="AJ9" s="14" t="s">
        <v>52</v>
      </c>
      <c r="AK9" s="14"/>
    </row>
    <row r="10" spans="1:37" ht="34.200000000000003">
      <c r="A10" s="9" t="s">
        <v>53</v>
      </c>
      <c r="B10" s="11">
        <v>5</v>
      </c>
      <c r="D10" s="41"/>
      <c r="E10" s="42"/>
      <c r="F10" s="42"/>
      <c r="G10" s="42"/>
      <c r="H10" s="43"/>
      <c r="J10" s="9" t="s">
        <v>54</v>
      </c>
      <c r="K10" s="47" t="str">
        <f>"La escala corta presenta "&amp;LOWER(L8)&amp;"; la escala larga presenta "&amp;LOWER(P9)&amp;". Evalúe la persistencia antes de dimensionar el almacenamiento."</f>
        <v>La escala corta presenta moderadamente seco; la escala larga presenta extremadamente seco. Evalúe la persistencia antes de dimensionar el almacenamiento.</v>
      </c>
      <c r="L10" s="47"/>
      <c r="M10" s="47"/>
      <c r="N10" s="47"/>
      <c r="O10" s="47"/>
      <c r="P10" s="47"/>
      <c r="Q10" s="47"/>
      <c r="S10" s="9" t="s">
        <v>55</v>
      </c>
      <c r="T10" s="15">
        <f>AVERAGE(Q25:Q384)</f>
        <v>3.4752794680416654</v>
      </c>
      <c r="U10" s="15" t="s">
        <v>29</v>
      </c>
      <c r="V10" s="15" t="s">
        <v>56</v>
      </c>
      <c r="W10" s="16">
        <f>IF($B$10=0,0,T10/$B$10)</f>
        <v>0.69505589360833309</v>
      </c>
      <c r="X10" s="16" t="s">
        <v>33</v>
      </c>
      <c r="Y10" s="16" t="s">
        <v>57</v>
      </c>
      <c r="Z10" s="16">
        <f>$B$17</f>
        <v>0.9</v>
      </c>
      <c r="AA10" s="14" t="s">
        <v>33</v>
      </c>
      <c r="AB10" s="14" t="s">
        <v>58</v>
      </c>
      <c r="AC10" s="14">
        <f>$B$10</f>
        <v>5</v>
      </c>
      <c r="AD10" s="14" t="s">
        <v>29</v>
      </c>
      <c r="AE10" s="14" t="s">
        <v>59</v>
      </c>
      <c r="AF10" s="14" t="str">
        <f>$B$9</f>
        <v>Uso variable</v>
      </c>
      <c r="AG10" s="14" t="s">
        <v>60</v>
      </c>
      <c r="AH10" s="14" t="s">
        <v>61</v>
      </c>
      <c r="AI10" s="14" t="str">
        <f>IF(AC8&gt;=$B$17,"Alternativa técnicamente viable según la meta definida","Ajustar capacidad, demanda o regla de operación")</f>
        <v>Ajustar capacidad, demanda o regla de operación</v>
      </c>
      <c r="AJ10" s="14"/>
      <c r="AK10" s="14"/>
    </row>
    <row r="11" spans="1:37" ht="22.8">
      <c r="A11" s="9" t="s">
        <v>62</v>
      </c>
      <c r="B11" s="11">
        <v>0</v>
      </c>
      <c r="D11" s="41"/>
      <c r="E11" s="42"/>
      <c r="F11" s="42"/>
      <c r="G11" s="42"/>
      <c r="H11" s="43"/>
      <c r="J11" s="9" t="s">
        <v>63</v>
      </c>
      <c r="K11" s="48" t="s">
        <v>64</v>
      </c>
      <c r="L11" s="48"/>
      <c r="M11" s="48"/>
      <c r="N11" s="48"/>
      <c r="O11" s="48"/>
      <c r="P11" s="48"/>
      <c r="Q11" s="48"/>
    </row>
    <row r="12" spans="1:37" ht="22.8">
      <c r="A12" s="9" t="s">
        <v>65</v>
      </c>
      <c r="B12" s="11">
        <v>250</v>
      </c>
      <c r="D12" s="44"/>
      <c r="E12" s="45"/>
      <c r="F12" s="45"/>
      <c r="G12" s="45"/>
      <c r="H12" s="46"/>
      <c r="J12" s="9" t="s">
        <v>66</v>
      </c>
      <c r="K12" s="48" t="s">
        <v>67</v>
      </c>
      <c r="L12" s="48"/>
      <c r="M12" s="48"/>
      <c r="N12" s="48"/>
      <c r="O12" s="48"/>
      <c r="P12" s="48"/>
      <c r="Q12" s="48"/>
    </row>
    <row r="13" spans="1:37" ht="22.8">
      <c r="A13" s="9" t="s">
        <v>68</v>
      </c>
      <c r="B13" s="11">
        <v>0.85</v>
      </c>
    </row>
    <row r="14" spans="1:37" ht="22.8">
      <c r="A14" s="9" t="s">
        <v>69</v>
      </c>
      <c r="B14" s="11">
        <v>0.9</v>
      </c>
      <c r="D14" s="38" t="s">
        <v>70</v>
      </c>
      <c r="E14" s="39"/>
      <c r="F14" s="39"/>
      <c r="G14" s="39"/>
      <c r="H14" s="40"/>
    </row>
    <row r="15" spans="1:37" ht="22.8">
      <c r="A15" s="9" t="s">
        <v>71</v>
      </c>
      <c r="B15" s="12">
        <v>0.02</v>
      </c>
      <c r="D15" s="41"/>
      <c r="E15" s="42"/>
      <c r="F15" s="42"/>
      <c r="G15" s="42"/>
      <c r="H15" s="43"/>
    </row>
    <row r="16" spans="1:37">
      <c r="A16" s="9" t="s">
        <v>72</v>
      </c>
      <c r="B16" s="12">
        <v>1</v>
      </c>
      <c r="D16" s="41"/>
      <c r="E16" s="42"/>
      <c r="F16" s="42"/>
      <c r="G16" s="42"/>
      <c r="H16" s="43"/>
    </row>
    <row r="17" spans="1:28">
      <c r="A17" s="9" t="s">
        <v>57</v>
      </c>
      <c r="B17" s="12">
        <v>0.9</v>
      </c>
      <c r="D17" s="41"/>
      <c r="E17" s="42"/>
      <c r="F17" s="42"/>
      <c r="G17" s="42"/>
      <c r="H17" s="43"/>
    </row>
    <row r="18" spans="1:28" ht="22.8">
      <c r="A18" s="9" t="s">
        <v>73</v>
      </c>
      <c r="B18" s="13">
        <v>360</v>
      </c>
      <c r="D18" s="44"/>
      <c r="E18" s="45"/>
      <c r="F18" s="45"/>
      <c r="G18" s="45"/>
      <c r="H18" s="46"/>
    </row>
    <row r="21" spans="1:28" ht="22.05" customHeight="1">
      <c r="A21" s="35" t="s">
        <v>74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7"/>
      <c r="X21" s="35" t="s">
        <v>75</v>
      </c>
      <c r="Y21" s="36"/>
      <c r="Z21" s="36"/>
      <c r="AA21" s="36"/>
      <c r="AB21" s="37"/>
    </row>
    <row r="24" spans="1:28" ht="24">
      <c r="A24" s="8" t="s">
        <v>76</v>
      </c>
      <c r="B24" s="8" t="s">
        <v>77</v>
      </c>
      <c r="C24" s="8" t="s">
        <v>78</v>
      </c>
      <c r="D24" s="8" t="s">
        <v>79</v>
      </c>
      <c r="E24" s="8" t="s">
        <v>80</v>
      </c>
      <c r="F24" s="8" t="s">
        <v>81</v>
      </c>
      <c r="G24" s="8" t="s">
        <v>82</v>
      </c>
      <c r="H24" s="8" t="s">
        <v>83</v>
      </c>
      <c r="I24" s="8" t="s">
        <v>84</v>
      </c>
      <c r="J24" s="8" t="s">
        <v>85</v>
      </c>
      <c r="K24" s="8" t="s">
        <v>86</v>
      </c>
      <c r="L24" s="8" t="s">
        <v>87</v>
      </c>
      <c r="M24" s="8" t="s">
        <v>88</v>
      </c>
      <c r="N24" s="8" t="s">
        <v>89</v>
      </c>
      <c r="O24" s="8" t="s">
        <v>90</v>
      </c>
      <c r="P24" s="8" t="s">
        <v>91</v>
      </c>
      <c r="Q24" s="8" t="s">
        <v>92</v>
      </c>
      <c r="R24" s="8" t="s">
        <v>50</v>
      </c>
      <c r="S24" s="8" t="s">
        <v>93</v>
      </c>
      <c r="T24" s="8" t="s">
        <v>21</v>
      </c>
      <c r="U24" s="8" t="s">
        <v>94</v>
      </c>
      <c r="V24" s="8" t="s">
        <v>95</v>
      </c>
      <c r="X24" s="8" t="s">
        <v>77</v>
      </c>
      <c r="Y24" s="8" t="s">
        <v>96</v>
      </c>
      <c r="Z24" s="8" t="s">
        <v>97</v>
      </c>
      <c r="AA24" s="8" t="s">
        <v>98</v>
      </c>
      <c r="AB24" s="8" t="s">
        <v>32</v>
      </c>
    </row>
    <row r="25" spans="1:28">
      <c r="A25" s="17">
        <v>29587</v>
      </c>
      <c r="B25" s="9">
        <v>1981</v>
      </c>
      <c r="C25" s="9" t="s">
        <v>99</v>
      </c>
      <c r="D25" s="11">
        <v>67.2</v>
      </c>
      <c r="E25" s="15">
        <f>'Hoja 4 - Cálculo'!$B$12</f>
        <v>250</v>
      </c>
      <c r="F25" s="15">
        <f>'Hoja 4 - Cálculo'!$B$13</f>
        <v>0.85</v>
      </c>
      <c r="G25" s="15">
        <f>'Hoja 4 - Cálculo'!$B$14</f>
        <v>0.9</v>
      </c>
      <c r="H25" s="15">
        <f t="shared" ref="H25:H88" si="0">D25*E25*F25*G25/1000</f>
        <v>12.852</v>
      </c>
      <c r="I25" s="11">
        <v>8</v>
      </c>
      <c r="J25" s="11">
        <v>6</v>
      </c>
      <c r="K25" s="11">
        <v>2</v>
      </c>
      <c r="L25" s="15">
        <f t="shared" ref="L25:L88" si="1">IF($B$9="Uso único",I25,IF($B$9="Uso múltiple",AVERAGE($I$25:$I$384)+AVERAGE($J$25:$J$384)+AVERAGE($K$25:$K$384),IF($B$9="Uso prioritario",I25+K25,I25+J25+K25)))</f>
        <v>16</v>
      </c>
      <c r="M25" s="15">
        <f>$B$11</f>
        <v>0</v>
      </c>
      <c r="N25" s="15">
        <f t="shared" ref="N25:N88" si="2">MIN(M25+H25,(M25+H25)*$B$15)</f>
        <v>0.25703999999999999</v>
      </c>
      <c r="O25" s="15">
        <f t="shared" ref="O25:O88" si="3">MAX(0,M25+H25-N25)</f>
        <v>12.59496</v>
      </c>
      <c r="P25" s="15">
        <f t="shared" ref="P25:P88" si="4">MIN(L25,O25)</f>
        <v>12.59496</v>
      </c>
      <c r="Q25" s="15">
        <f t="shared" ref="Q25:Q88" si="5">MIN($B$10,MAX(0,O25-P25))</f>
        <v>0</v>
      </c>
      <c r="R25" s="15">
        <f t="shared" ref="R25:R88" si="6">MAX(0,O25-P25-$B$10)</f>
        <v>0</v>
      </c>
      <c r="S25" s="15">
        <f t="shared" ref="S25:S88" si="7">MAX(0,L25-P25)</f>
        <v>3.4050399999999996</v>
      </c>
      <c r="T25" s="14" t="str">
        <f t="shared" ref="T25:T88" si="8">IF(P25&gt;=L25*$B$16,"Satisfactorio","Falla")</f>
        <v>Falla</v>
      </c>
      <c r="U25" s="14">
        <f>0</f>
        <v>0</v>
      </c>
      <c r="V25" s="14">
        <f>IF(T25="Falla",1,0)</f>
        <v>1</v>
      </c>
      <c r="X25" s="9">
        <v>1981</v>
      </c>
      <c r="Y25" s="15">
        <f t="shared" ref="Y25:Y54" si="9">SUMIF($B$25:$B$384,X25,$H$25:$H$384)</f>
        <v>238.79475000000002</v>
      </c>
      <c r="Z25" s="15">
        <f t="shared" ref="Z25:Z54" si="10">SUMIF($B$25:$B$384,X25,$L$25:$L$384)</f>
        <v>165</v>
      </c>
      <c r="AA25" s="15">
        <f t="shared" ref="AA25:AA54" si="11">SUMIF($B$25:$B$384,X25,$P$25:$P$384)</f>
        <v>158.78130285</v>
      </c>
      <c r="AB25" s="16">
        <f t="shared" ref="AB25:AB54" si="12">COUNTIFS($B$25:$B$384,X25,$T$25:$T$384,"Satisfactorio")/COUNTIF($B$25:$B$384,X25)</f>
        <v>0.75</v>
      </c>
    </row>
    <row r="26" spans="1:28">
      <c r="A26" s="17">
        <v>29618</v>
      </c>
      <c r="B26" s="9">
        <v>1981</v>
      </c>
      <c r="C26" s="9" t="s">
        <v>100</v>
      </c>
      <c r="D26" s="11">
        <v>76.5</v>
      </c>
      <c r="E26" s="15">
        <f>'Hoja 4 - Cálculo'!$B$12</f>
        <v>250</v>
      </c>
      <c r="F26" s="15">
        <f>'Hoja 4 - Cálculo'!$B$13</f>
        <v>0.85</v>
      </c>
      <c r="G26" s="15">
        <f>'Hoja 4 - Cálculo'!$B$14</f>
        <v>0.9</v>
      </c>
      <c r="H26" s="15">
        <f t="shared" si="0"/>
        <v>14.630625</v>
      </c>
      <c r="I26" s="11">
        <v>8</v>
      </c>
      <c r="J26" s="11">
        <v>6</v>
      </c>
      <c r="K26" s="11">
        <v>2</v>
      </c>
      <c r="L26" s="15">
        <f t="shared" si="1"/>
        <v>16</v>
      </c>
      <c r="M26" s="15">
        <f t="shared" ref="M26:M89" si="13">Q25</f>
        <v>0</v>
      </c>
      <c r="N26" s="15">
        <f t="shared" si="2"/>
        <v>0.2926125</v>
      </c>
      <c r="O26" s="15">
        <f t="shared" si="3"/>
        <v>14.3380125</v>
      </c>
      <c r="P26" s="15">
        <f t="shared" si="4"/>
        <v>14.3380125</v>
      </c>
      <c r="Q26" s="15">
        <f t="shared" si="5"/>
        <v>0</v>
      </c>
      <c r="R26" s="15">
        <f t="shared" si="6"/>
        <v>0</v>
      </c>
      <c r="S26" s="15">
        <f t="shared" si="7"/>
        <v>1.6619875000000004</v>
      </c>
      <c r="T26" s="14" t="str">
        <f t="shared" si="8"/>
        <v>Falla</v>
      </c>
      <c r="U26" s="14">
        <f t="shared" ref="U26:U89" si="14">IF(AND(T25="Falla",T26="Satisfactorio"),1,0)</f>
        <v>0</v>
      </c>
      <c r="V26" s="14">
        <f t="shared" ref="V26:V89" si="15">IF(AND(T26="Falla",T25&lt;&gt;"Falla"),1,0)</f>
        <v>0</v>
      </c>
      <c r="X26" s="9">
        <v>1982</v>
      </c>
      <c r="Y26" s="15">
        <f t="shared" si="9"/>
        <v>265.89487500000001</v>
      </c>
      <c r="Z26" s="15">
        <f t="shared" si="10"/>
        <v>165</v>
      </c>
      <c r="AA26" s="15">
        <f t="shared" si="11"/>
        <v>165</v>
      </c>
      <c r="AB26" s="16">
        <f t="shared" si="12"/>
        <v>1</v>
      </c>
    </row>
    <row r="27" spans="1:28">
      <c r="A27" s="17">
        <v>29646</v>
      </c>
      <c r="B27" s="9">
        <v>1981</v>
      </c>
      <c r="C27" s="9" t="s">
        <v>101</v>
      </c>
      <c r="D27" s="11">
        <v>110.4</v>
      </c>
      <c r="E27" s="15">
        <f>'Hoja 4 - Cálculo'!$B$12</f>
        <v>250</v>
      </c>
      <c r="F27" s="15">
        <f>'Hoja 4 - Cálculo'!$B$13</f>
        <v>0.85</v>
      </c>
      <c r="G27" s="15">
        <f>'Hoja 4 - Cálculo'!$B$14</f>
        <v>0.9</v>
      </c>
      <c r="H27" s="15">
        <f t="shared" si="0"/>
        <v>21.114000000000001</v>
      </c>
      <c r="I27" s="11">
        <v>8</v>
      </c>
      <c r="J27" s="11">
        <v>6</v>
      </c>
      <c r="K27" s="11">
        <v>2</v>
      </c>
      <c r="L27" s="15">
        <f t="shared" si="1"/>
        <v>16</v>
      </c>
      <c r="M27" s="15">
        <f t="shared" si="13"/>
        <v>0</v>
      </c>
      <c r="N27" s="15">
        <f t="shared" si="2"/>
        <v>0.42228000000000004</v>
      </c>
      <c r="O27" s="15">
        <f t="shared" si="3"/>
        <v>20.69172</v>
      </c>
      <c r="P27" s="15">
        <f t="shared" si="4"/>
        <v>16</v>
      </c>
      <c r="Q27" s="15">
        <f t="shared" si="5"/>
        <v>4.6917200000000001</v>
      </c>
      <c r="R27" s="15">
        <f t="shared" si="6"/>
        <v>0</v>
      </c>
      <c r="S27" s="15">
        <f t="shared" si="7"/>
        <v>0</v>
      </c>
      <c r="T27" s="14" t="str">
        <f t="shared" si="8"/>
        <v>Satisfactorio</v>
      </c>
      <c r="U27" s="14">
        <f t="shared" si="14"/>
        <v>1</v>
      </c>
      <c r="V27" s="14">
        <f t="shared" si="15"/>
        <v>0</v>
      </c>
      <c r="X27" s="9">
        <v>1983</v>
      </c>
      <c r="Y27" s="15">
        <f t="shared" si="9"/>
        <v>258.11099999999999</v>
      </c>
      <c r="Z27" s="15">
        <f t="shared" si="10"/>
        <v>165</v>
      </c>
      <c r="AA27" s="15">
        <f t="shared" si="11"/>
        <v>164.43621765</v>
      </c>
      <c r="AB27" s="16">
        <f t="shared" si="12"/>
        <v>0.91666666666666663</v>
      </c>
    </row>
    <row r="28" spans="1:28">
      <c r="A28" s="17">
        <v>29677</v>
      </c>
      <c r="B28" s="9">
        <v>1981</v>
      </c>
      <c r="C28" s="9" t="s">
        <v>102</v>
      </c>
      <c r="D28" s="11">
        <v>153.1</v>
      </c>
      <c r="E28" s="15">
        <f>'Hoja 4 - Cálculo'!$B$12</f>
        <v>250</v>
      </c>
      <c r="F28" s="15">
        <f>'Hoja 4 - Cálculo'!$B$13</f>
        <v>0.85</v>
      </c>
      <c r="G28" s="15">
        <f>'Hoja 4 - Cálculo'!$B$14</f>
        <v>0.9</v>
      </c>
      <c r="H28" s="15">
        <f t="shared" si="0"/>
        <v>29.280374999999999</v>
      </c>
      <c r="I28" s="11">
        <v>8</v>
      </c>
      <c r="J28" s="11">
        <v>1.5</v>
      </c>
      <c r="K28" s="11">
        <v>2</v>
      </c>
      <c r="L28" s="15">
        <f t="shared" si="1"/>
        <v>11.5</v>
      </c>
      <c r="M28" s="15">
        <f t="shared" si="13"/>
        <v>4.6917200000000001</v>
      </c>
      <c r="N28" s="15">
        <f t="shared" si="2"/>
        <v>0.67944189999999993</v>
      </c>
      <c r="O28" s="15">
        <f t="shared" si="3"/>
        <v>33.292653099999995</v>
      </c>
      <c r="P28" s="15">
        <f t="shared" si="4"/>
        <v>11.5</v>
      </c>
      <c r="Q28" s="15">
        <f t="shared" si="5"/>
        <v>5</v>
      </c>
      <c r="R28" s="15">
        <f t="shared" si="6"/>
        <v>16.792653099999995</v>
      </c>
      <c r="S28" s="15">
        <f t="shared" si="7"/>
        <v>0</v>
      </c>
      <c r="T28" s="14" t="str">
        <f t="shared" si="8"/>
        <v>Satisfactorio</v>
      </c>
      <c r="U28" s="14">
        <f t="shared" si="14"/>
        <v>0</v>
      </c>
      <c r="V28" s="14">
        <f t="shared" si="15"/>
        <v>0</v>
      </c>
      <c r="X28" s="9">
        <v>1984</v>
      </c>
      <c r="Y28" s="15">
        <f t="shared" si="9"/>
        <v>223.53300000000002</v>
      </c>
      <c r="Z28" s="15">
        <f t="shared" si="10"/>
        <v>165</v>
      </c>
      <c r="AA28" s="15">
        <f t="shared" si="11"/>
        <v>159.7361928</v>
      </c>
      <c r="AB28" s="16">
        <f t="shared" si="12"/>
        <v>0.75</v>
      </c>
    </row>
    <row r="29" spans="1:28">
      <c r="A29" s="17">
        <v>29707</v>
      </c>
      <c r="B29" s="9">
        <v>1981</v>
      </c>
      <c r="C29" s="9" t="s">
        <v>103</v>
      </c>
      <c r="D29" s="11">
        <v>136.19999999999999</v>
      </c>
      <c r="E29" s="15">
        <f>'Hoja 4 - Cálculo'!$B$12</f>
        <v>250</v>
      </c>
      <c r="F29" s="15">
        <f>'Hoja 4 - Cálculo'!$B$13</f>
        <v>0.85</v>
      </c>
      <c r="G29" s="15">
        <f>'Hoja 4 - Cálculo'!$B$14</f>
        <v>0.9</v>
      </c>
      <c r="H29" s="15">
        <f t="shared" si="0"/>
        <v>26.048249999999999</v>
      </c>
      <c r="I29" s="11">
        <v>8</v>
      </c>
      <c r="J29" s="11">
        <v>1.5</v>
      </c>
      <c r="K29" s="11">
        <v>2</v>
      </c>
      <c r="L29" s="15">
        <f t="shared" si="1"/>
        <v>11.5</v>
      </c>
      <c r="M29" s="15">
        <f t="shared" si="13"/>
        <v>5</v>
      </c>
      <c r="N29" s="15">
        <f t="shared" si="2"/>
        <v>0.62096499999999999</v>
      </c>
      <c r="O29" s="15">
        <f t="shared" si="3"/>
        <v>30.427284999999998</v>
      </c>
      <c r="P29" s="15">
        <f t="shared" si="4"/>
        <v>11.5</v>
      </c>
      <c r="Q29" s="15">
        <f t="shared" si="5"/>
        <v>5</v>
      </c>
      <c r="R29" s="15">
        <f t="shared" si="6"/>
        <v>13.927284999999998</v>
      </c>
      <c r="S29" s="15">
        <f t="shared" si="7"/>
        <v>0</v>
      </c>
      <c r="T29" s="14" t="str">
        <f t="shared" si="8"/>
        <v>Satisfactorio</v>
      </c>
      <c r="U29" s="14">
        <f t="shared" si="14"/>
        <v>0</v>
      </c>
      <c r="V29" s="14">
        <f t="shared" si="15"/>
        <v>0</v>
      </c>
      <c r="X29" s="9">
        <v>1985</v>
      </c>
      <c r="Y29" s="15">
        <f t="shared" si="9"/>
        <v>219.22987499999999</v>
      </c>
      <c r="Z29" s="15">
        <f t="shared" si="10"/>
        <v>165</v>
      </c>
      <c r="AA29" s="15">
        <f t="shared" si="11"/>
        <v>156.78125025</v>
      </c>
      <c r="AB29" s="16">
        <f t="shared" si="12"/>
        <v>0.75</v>
      </c>
    </row>
    <row r="30" spans="1:28">
      <c r="A30" s="17">
        <v>29738</v>
      </c>
      <c r="B30" s="9">
        <v>1981</v>
      </c>
      <c r="C30" s="9" t="s">
        <v>104</v>
      </c>
      <c r="D30" s="11">
        <v>81.7</v>
      </c>
      <c r="E30" s="15">
        <f>'Hoja 4 - Cálculo'!$B$12</f>
        <v>250</v>
      </c>
      <c r="F30" s="15">
        <f>'Hoja 4 - Cálculo'!$B$13</f>
        <v>0.85</v>
      </c>
      <c r="G30" s="15">
        <f>'Hoja 4 - Cálculo'!$B$14</f>
        <v>0.9</v>
      </c>
      <c r="H30" s="15">
        <f t="shared" si="0"/>
        <v>15.625125000000001</v>
      </c>
      <c r="I30" s="11">
        <v>8</v>
      </c>
      <c r="J30" s="11">
        <v>1.5</v>
      </c>
      <c r="K30" s="11">
        <v>2</v>
      </c>
      <c r="L30" s="15">
        <f t="shared" si="1"/>
        <v>11.5</v>
      </c>
      <c r="M30" s="15">
        <f t="shared" si="13"/>
        <v>5</v>
      </c>
      <c r="N30" s="15">
        <f t="shared" si="2"/>
        <v>0.41250249999999999</v>
      </c>
      <c r="O30" s="15">
        <f t="shared" si="3"/>
        <v>20.212622500000002</v>
      </c>
      <c r="P30" s="15">
        <f t="shared" si="4"/>
        <v>11.5</v>
      </c>
      <c r="Q30" s="15">
        <f t="shared" si="5"/>
        <v>5</v>
      </c>
      <c r="R30" s="15">
        <f t="shared" si="6"/>
        <v>3.7126225000000019</v>
      </c>
      <c r="S30" s="15">
        <f t="shared" si="7"/>
        <v>0</v>
      </c>
      <c r="T30" s="14" t="str">
        <f t="shared" si="8"/>
        <v>Satisfactorio</v>
      </c>
      <c r="U30" s="14">
        <f t="shared" si="14"/>
        <v>0</v>
      </c>
      <c r="V30" s="14">
        <f t="shared" si="15"/>
        <v>0</v>
      </c>
      <c r="X30" s="9">
        <v>1986</v>
      </c>
      <c r="Y30" s="15">
        <f t="shared" si="9"/>
        <v>249.96374999999998</v>
      </c>
      <c r="Z30" s="15">
        <f t="shared" si="10"/>
        <v>165</v>
      </c>
      <c r="AA30" s="15">
        <f t="shared" si="11"/>
        <v>163.17144865</v>
      </c>
      <c r="AB30" s="16">
        <f t="shared" si="12"/>
        <v>0.83333333333333337</v>
      </c>
    </row>
    <row r="31" spans="1:28">
      <c r="A31" s="17">
        <v>29768</v>
      </c>
      <c r="B31" s="9">
        <v>1981</v>
      </c>
      <c r="C31" s="9" t="s">
        <v>105</v>
      </c>
      <c r="D31" s="11">
        <v>66.900000000000006</v>
      </c>
      <c r="E31" s="15">
        <f>'Hoja 4 - Cálculo'!$B$12</f>
        <v>250</v>
      </c>
      <c r="F31" s="15">
        <f>'Hoja 4 - Cálculo'!$B$13</f>
        <v>0.85</v>
      </c>
      <c r="G31" s="15">
        <f>'Hoja 4 - Cálculo'!$B$14</f>
        <v>0.9</v>
      </c>
      <c r="H31" s="15">
        <f t="shared" si="0"/>
        <v>12.794625</v>
      </c>
      <c r="I31" s="11">
        <v>8</v>
      </c>
      <c r="J31" s="11">
        <v>6</v>
      </c>
      <c r="K31" s="11">
        <v>2</v>
      </c>
      <c r="L31" s="15">
        <f t="shared" si="1"/>
        <v>16</v>
      </c>
      <c r="M31" s="15">
        <f t="shared" si="13"/>
        <v>5</v>
      </c>
      <c r="N31" s="15">
        <f t="shared" si="2"/>
        <v>0.3558925</v>
      </c>
      <c r="O31" s="15">
        <f t="shared" si="3"/>
        <v>17.4387325</v>
      </c>
      <c r="P31" s="15">
        <f t="shared" si="4"/>
        <v>16</v>
      </c>
      <c r="Q31" s="15">
        <f t="shared" si="5"/>
        <v>1.4387325000000004</v>
      </c>
      <c r="R31" s="15">
        <f t="shared" si="6"/>
        <v>0</v>
      </c>
      <c r="S31" s="15">
        <f t="shared" si="7"/>
        <v>0</v>
      </c>
      <c r="T31" s="14" t="str">
        <f t="shared" si="8"/>
        <v>Satisfactorio</v>
      </c>
      <c r="U31" s="14">
        <f t="shared" si="14"/>
        <v>0</v>
      </c>
      <c r="V31" s="14">
        <f t="shared" si="15"/>
        <v>0</v>
      </c>
      <c r="X31" s="9">
        <v>1987</v>
      </c>
      <c r="Y31" s="15">
        <f t="shared" si="9"/>
        <v>269.681625</v>
      </c>
      <c r="Z31" s="15">
        <f t="shared" si="10"/>
        <v>165</v>
      </c>
      <c r="AA31" s="15">
        <f t="shared" si="11"/>
        <v>165</v>
      </c>
      <c r="AB31" s="16">
        <f t="shared" si="12"/>
        <v>1</v>
      </c>
    </row>
    <row r="32" spans="1:28">
      <c r="A32" s="17">
        <v>29799</v>
      </c>
      <c r="B32" s="9">
        <v>1981</v>
      </c>
      <c r="C32" s="9" t="s">
        <v>106</v>
      </c>
      <c r="D32" s="11">
        <v>71.7</v>
      </c>
      <c r="E32" s="15">
        <f>'Hoja 4 - Cálculo'!$B$12</f>
        <v>250</v>
      </c>
      <c r="F32" s="15">
        <f>'Hoja 4 - Cálculo'!$B$13</f>
        <v>0.85</v>
      </c>
      <c r="G32" s="15">
        <f>'Hoja 4 - Cálculo'!$B$14</f>
        <v>0.9</v>
      </c>
      <c r="H32" s="15">
        <f t="shared" si="0"/>
        <v>13.712624999999999</v>
      </c>
      <c r="I32" s="11">
        <v>8</v>
      </c>
      <c r="J32" s="11">
        <v>6</v>
      </c>
      <c r="K32" s="11">
        <v>2</v>
      </c>
      <c r="L32" s="15">
        <f t="shared" si="1"/>
        <v>16</v>
      </c>
      <c r="M32" s="15">
        <f t="shared" si="13"/>
        <v>1.4387325000000004</v>
      </c>
      <c r="N32" s="15">
        <f t="shared" si="2"/>
        <v>0.30302715000000002</v>
      </c>
      <c r="O32" s="15">
        <f t="shared" si="3"/>
        <v>14.848330349999999</v>
      </c>
      <c r="P32" s="15">
        <f t="shared" si="4"/>
        <v>14.848330349999999</v>
      </c>
      <c r="Q32" s="15">
        <f t="shared" si="5"/>
        <v>0</v>
      </c>
      <c r="R32" s="15">
        <f t="shared" si="6"/>
        <v>0</v>
      </c>
      <c r="S32" s="15">
        <f t="shared" si="7"/>
        <v>1.1516696500000005</v>
      </c>
      <c r="T32" s="14" t="str">
        <f t="shared" si="8"/>
        <v>Falla</v>
      </c>
      <c r="U32" s="14">
        <f t="shared" si="14"/>
        <v>0</v>
      </c>
      <c r="V32" s="14">
        <f t="shared" si="15"/>
        <v>1</v>
      </c>
      <c r="X32" s="9">
        <v>1988</v>
      </c>
      <c r="Y32" s="15">
        <f t="shared" si="9"/>
        <v>250.07850000000002</v>
      </c>
      <c r="Z32" s="15">
        <f t="shared" si="10"/>
        <v>165</v>
      </c>
      <c r="AA32" s="15">
        <f t="shared" si="11"/>
        <v>164.79445175000001</v>
      </c>
      <c r="AB32" s="16">
        <f t="shared" si="12"/>
        <v>0.91666666666666663</v>
      </c>
    </row>
    <row r="33" spans="1:37">
      <c r="A33" s="17">
        <v>29830</v>
      </c>
      <c r="B33" s="9">
        <v>1981</v>
      </c>
      <c r="C33" s="9" t="s">
        <v>107</v>
      </c>
      <c r="D33" s="11">
        <v>115.4</v>
      </c>
      <c r="E33" s="15">
        <f>'Hoja 4 - Cálculo'!$B$12</f>
        <v>250</v>
      </c>
      <c r="F33" s="15">
        <f>'Hoja 4 - Cálculo'!$B$13</f>
        <v>0.85</v>
      </c>
      <c r="G33" s="15">
        <f>'Hoja 4 - Cálculo'!$B$14</f>
        <v>0.9</v>
      </c>
      <c r="H33" s="15">
        <f t="shared" si="0"/>
        <v>22.070250000000001</v>
      </c>
      <c r="I33" s="11">
        <v>8</v>
      </c>
      <c r="J33" s="11">
        <v>1.5</v>
      </c>
      <c r="K33" s="11">
        <v>2</v>
      </c>
      <c r="L33" s="15">
        <f t="shared" si="1"/>
        <v>11.5</v>
      </c>
      <c r="M33" s="15">
        <f t="shared" si="13"/>
        <v>0</v>
      </c>
      <c r="N33" s="15">
        <f t="shared" si="2"/>
        <v>0.44140500000000005</v>
      </c>
      <c r="O33" s="15">
        <f t="shared" si="3"/>
        <v>21.628845000000002</v>
      </c>
      <c r="P33" s="15">
        <f t="shared" si="4"/>
        <v>11.5</v>
      </c>
      <c r="Q33" s="15">
        <f t="shared" si="5"/>
        <v>5</v>
      </c>
      <c r="R33" s="15">
        <f t="shared" si="6"/>
        <v>5.1288450000000019</v>
      </c>
      <c r="S33" s="15">
        <f t="shared" si="7"/>
        <v>0</v>
      </c>
      <c r="T33" s="14" t="str">
        <f t="shared" si="8"/>
        <v>Satisfactorio</v>
      </c>
      <c r="U33" s="14">
        <f t="shared" si="14"/>
        <v>1</v>
      </c>
      <c r="V33" s="14">
        <f t="shared" si="15"/>
        <v>0</v>
      </c>
      <c r="X33" s="9">
        <v>1989</v>
      </c>
      <c r="Y33" s="15">
        <f t="shared" si="9"/>
        <v>220.12875000000003</v>
      </c>
      <c r="Z33" s="15">
        <f t="shared" si="10"/>
        <v>165</v>
      </c>
      <c r="AA33" s="15">
        <f t="shared" si="11"/>
        <v>158.97038435600001</v>
      </c>
      <c r="AB33" s="16">
        <f t="shared" si="12"/>
        <v>0.83333333333333337</v>
      </c>
    </row>
    <row r="34" spans="1:37">
      <c r="A34" s="17">
        <v>29860</v>
      </c>
      <c r="B34" s="9">
        <v>1981</v>
      </c>
      <c r="C34" s="9" t="s">
        <v>108</v>
      </c>
      <c r="D34" s="11">
        <v>155.69999999999999</v>
      </c>
      <c r="E34" s="15">
        <f>'Hoja 4 - Cálculo'!$B$12</f>
        <v>250</v>
      </c>
      <c r="F34" s="15">
        <f>'Hoja 4 - Cálculo'!$B$13</f>
        <v>0.85</v>
      </c>
      <c r="G34" s="15">
        <f>'Hoja 4 - Cálculo'!$B$14</f>
        <v>0.9</v>
      </c>
      <c r="H34" s="15">
        <f t="shared" si="0"/>
        <v>29.777625</v>
      </c>
      <c r="I34" s="11">
        <v>8</v>
      </c>
      <c r="J34" s="11">
        <v>1.5</v>
      </c>
      <c r="K34" s="11">
        <v>2</v>
      </c>
      <c r="L34" s="15">
        <f t="shared" si="1"/>
        <v>11.5</v>
      </c>
      <c r="M34" s="15">
        <f t="shared" si="13"/>
        <v>5</v>
      </c>
      <c r="N34" s="15">
        <f t="shared" si="2"/>
        <v>0.69555250000000002</v>
      </c>
      <c r="O34" s="15">
        <f t="shared" si="3"/>
        <v>34.082072500000002</v>
      </c>
      <c r="P34" s="15">
        <f t="shared" si="4"/>
        <v>11.5</v>
      </c>
      <c r="Q34" s="15">
        <f t="shared" si="5"/>
        <v>5</v>
      </c>
      <c r="R34" s="15">
        <f t="shared" si="6"/>
        <v>17.582072500000002</v>
      </c>
      <c r="S34" s="15">
        <f t="shared" si="7"/>
        <v>0</v>
      </c>
      <c r="T34" s="14" t="str">
        <f t="shared" si="8"/>
        <v>Satisfactorio</v>
      </c>
      <c r="U34" s="14">
        <f t="shared" si="14"/>
        <v>0</v>
      </c>
      <c r="V34" s="14">
        <f t="shared" si="15"/>
        <v>0</v>
      </c>
      <c r="X34" s="9">
        <v>1990</v>
      </c>
      <c r="Y34" s="15">
        <f t="shared" si="9"/>
        <v>224.24062499999999</v>
      </c>
      <c r="Z34" s="15">
        <f t="shared" si="10"/>
        <v>165</v>
      </c>
      <c r="AA34" s="15">
        <f t="shared" si="11"/>
        <v>158.07298335000002</v>
      </c>
      <c r="AB34" s="16">
        <f t="shared" si="12"/>
        <v>0.75</v>
      </c>
    </row>
    <row r="35" spans="1:37">
      <c r="A35" s="17">
        <v>29891</v>
      </c>
      <c r="B35" s="9">
        <v>1981</v>
      </c>
      <c r="C35" s="9" t="s">
        <v>109</v>
      </c>
      <c r="D35" s="11">
        <v>133.4</v>
      </c>
      <c r="E35" s="15">
        <f>'Hoja 4 - Cálculo'!$B$12</f>
        <v>250</v>
      </c>
      <c r="F35" s="15">
        <f>'Hoja 4 - Cálculo'!$B$13</f>
        <v>0.85</v>
      </c>
      <c r="G35" s="15">
        <f>'Hoja 4 - Cálculo'!$B$14</f>
        <v>0.9</v>
      </c>
      <c r="H35" s="15">
        <f t="shared" si="0"/>
        <v>25.51275</v>
      </c>
      <c r="I35" s="11">
        <v>8</v>
      </c>
      <c r="J35" s="11">
        <v>1.5</v>
      </c>
      <c r="K35" s="11">
        <v>2</v>
      </c>
      <c r="L35" s="15">
        <f t="shared" si="1"/>
        <v>11.5</v>
      </c>
      <c r="M35" s="15">
        <f t="shared" si="13"/>
        <v>5</v>
      </c>
      <c r="N35" s="15">
        <f t="shared" si="2"/>
        <v>0.61025499999999999</v>
      </c>
      <c r="O35" s="15">
        <f t="shared" si="3"/>
        <v>29.902495000000002</v>
      </c>
      <c r="P35" s="15">
        <f t="shared" si="4"/>
        <v>11.5</v>
      </c>
      <c r="Q35" s="15">
        <f t="shared" si="5"/>
        <v>5</v>
      </c>
      <c r="R35" s="15">
        <f t="shared" si="6"/>
        <v>13.402495000000002</v>
      </c>
      <c r="S35" s="15">
        <f t="shared" si="7"/>
        <v>0</v>
      </c>
      <c r="T35" s="14" t="str">
        <f t="shared" si="8"/>
        <v>Satisfactorio</v>
      </c>
      <c r="U35" s="14">
        <f t="shared" si="14"/>
        <v>0</v>
      </c>
      <c r="V35" s="14">
        <f t="shared" si="15"/>
        <v>0</v>
      </c>
      <c r="X35" s="9">
        <v>1991</v>
      </c>
      <c r="Y35" s="15">
        <f t="shared" si="9"/>
        <v>256.48537500000003</v>
      </c>
      <c r="Z35" s="15">
        <f t="shared" si="10"/>
        <v>165</v>
      </c>
      <c r="AA35" s="15">
        <f t="shared" si="11"/>
        <v>163.46120769999999</v>
      </c>
      <c r="AB35" s="16">
        <f t="shared" si="12"/>
        <v>0.83333333333333337</v>
      </c>
    </row>
    <row r="36" spans="1:37">
      <c r="A36" s="17">
        <v>29921</v>
      </c>
      <c r="B36" s="9">
        <v>1981</v>
      </c>
      <c r="C36" s="9" t="s">
        <v>110</v>
      </c>
      <c r="D36" s="11">
        <v>80.400000000000006</v>
      </c>
      <c r="E36" s="15">
        <f>'Hoja 4 - Cálculo'!$B$12</f>
        <v>250</v>
      </c>
      <c r="F36" s="15">
        <f>'Hoja 4 - Cálculo'!$B$13</f>
        <v>0.85</v>
      </c>
      <c r="G36" s="15">
        <f>'Hoja 4 - Cálculo'!$B$14</f>
        <v>0.9</v>
      </c>
      <c r="H36" s="15">
        <f t="shared" si="0"/>
        <v>15.3765</v>
      </c>
      <c r="I36" s="11">
        <v>8</v>
      </c>
      <c r="J36" s="11">
        <v>6</v>
      </c>
      <c r="K36" s="11">
        <v>2</v>
      </c>
      <c r="L36" s="15">
        <f t="shared" si="1"/>
        <v>16</v>
      </c>
      <c r="M36" s="15">
        <f t="shared" si="13"/>
        <v>5</v>
      </c>
      <c r="N36" s="15">
        <f t="shared" si="2"/>
        <v>0.40753</v>
      </c>
      <c r="O36" s="15">
        <f t="shared" si="3"/>
        <v>19.968969999999999</v>
      </c>
      <c r="P36" s="15">
        <f t="shared" si="4"/>
        <v>16</v>
      </c>
      <c r="Q36" s="15">
        <f t="shared" si="5"/>
        <v>3.9689699999999988</v>
      </c>
      <c r="R36" s="15">
        <f t="shared" si="6"/>
        <v>0</v>
      </c>
      <c r="S36" s="15">
        <f t="shared" si="7"/>
        <v>0</v>
      </c>
      <c r="T36" s="14" t="str">
        <f t="shared" si="8"/>
        <v>Satisfactorio</v>
      </c>
      <c r="U36" s="14">
        <f t="shared" si="14"/>
        <v>0</v>
      </c>
      <c r="V36" s="14">
        <f t="shared" si="15"/>
        <v>0</v>
      </c>
      <c r="X36" s="9">
        <v>1992</v>
      </c>
      <c r="Y36" s="15">
        <f t="shared" si="9"/>
        <v>267.998625</v>
      </c>
      <c r="Z36" s="15">
        <f t="shared" si="10"/>
        <v>165</v>
      </c>
      <c r="AA36" s="15">
        <f t="shared" si="11"/>
        <v>165</v>
      </c>
      <c r="AB36" s="16">
        <f t="shared" si="12"/>
        <v>1</v>
      </c>
    </row>
    <row r="37" spans="1:37">
      <c r="A37" s="17">
        <v>29952</v>
      </c>
      <c r="B37" s="9">
        <v>1982</v>
      </c>
      <c r="C37" s="9" t="s">
        <v>99</v>
      </c>
      <c r="D37" s="11">
        <v>72.2</v>
      </c>
      <c r="E37" s="15">
        <f>'Hoja 4 - Cálculo'!$B$12</f>
        <v>250</v>
      </c>
      <c r="F37" s="15">
        <f>'Hoja 4 - Cálculo'!$B$13</f>
        <v>0.85</v>
      </c>
      <c r="G37" s="15">
        <f>'Hoja 4 - Cálculo'!$B$14</f>
        <v>0.9</v>
      </c>
      <c r="H37" s="15">
        <f t="shared" si="0"/>
        <v>13.808249999999999</v>
      </c>
      <c r="I37" s="11">
        <v>8</v>
      </c>
      <c r="J37" s="11">
        <v>6</v>
      </c>
      <c r="K37" s="11">
        <v>2</v>
      </c>
      <c r="L37" s="15">
        <f t="shared" si="1"/>
        <v>16</v>
      </c>
      <c r="M37" s="15">
        <f t="shared" si="13"/>
        <v>3.9689699999999988</v>
      </c>
      <c r="N37" s="15">
        <f t="shared" si="2"/>
        <v>0.35554439999999998</v>
      </c>
      <c r="O37" s="15">
        <f t="shared" si="3"/>
        <v>17.4216756</v>
      </c>
      <c r="P37" s="15">
        <f t="shared" si="4"/>
        <v>16</v>
      </c>
      <c r="Q37" s="15">
        <f t="shared" si="5"/>
        <v>1.4216756000000004</v>
      </c>
      <c r="R37" s="15">
        <f t="shared" si="6"/>
        <v>0</v>
      </c>
      <c r="S37" s="15">
        <f t="shared" si="7"/>
        <v>0</v>
      </c>
      <c r="T37" s="14" t="str">
        <f t="shared" si="8"/>
        <v>Satisfactorio</v>
      </c>
      <c r="U37" s="14">
        <f t="shared" si="14"/>
        <v>0</v>
      </c>
      <c r="V37" s="14">
        <f t="shared" si="15"/>
        <v>0</v>
      </c>
      <c r="X37" s="9">
        <v>1993</v>
      </c>
      <c r="Y37" s="15">
        <f t="shared" si="9"/>
        <v>242.103375</v>
      </c>
      <c r="Z37" s="15">
        <f t="shared" si="10"/>
        <v>165</v>
      </c>
      <c r="AA37" s="15">
        <f t="shared" si="11"/>
        <v>163.36065049999999</v>
      </c>
      <c r="AB37" s="16">
        <f t="shared" si="12"/>
        <v>0.91666666666666663</v>
      </c>
    </row>
    <row r="38" spans="1:37">
      <c r="A38" s="17">
        <v>29983</v>
      </c>
      <c r="B38" s="9">
        <v>1982</v>
      </c>
      <c r="C38" s="9" t="s">
        <v>100</v>
      </c>
      <c r="D38" s="11">
        <v>80.900000000000006</v>
      </c>
      <c r="E38" s="15">
        <f>'Hoja 4 - Cálculo'!$B$12</f>
        <v>250</v>
      </c>
      <c r="F38" s="15">
        <f>'Hoja 4 - Cálculo'!$B$13</f>
        <v>0.85</v>
      </c>
      <c r="G38" s="15">
        <f>'Hoja 4 - Cálculo'!$B$14</f>
        <v>0.9</v>
      </c>
      <c r="H38" s="15">
        <f t="shared" si="0"/>
        <v>15.472125</v>
      </c>
      <c r="I38" s="11">
        <v>8</v>
      </c>
      <c r="J38" s="11">
        <v>6</v>
      </c>
      <c r="K38" s="11">
        <v>2</v>
      </c>
      <c r="L38" s="15">
        <f t="shared" si="1"/>
        <v>16</v>
      </c>
      <c r="M38" s="15">
        <f t="shared" si="13"/>
        <v>1.4216756000000004</v>
      </c>
      <c r="N38" s="15">
        <f t="shared" si="2"/>
        <v>0.337876012</v>
      </c>
      <c r="O38" s="15">
        <f t="shared" si="3"/>
        <v>16.555924588</v>
      </c>
      <c r="P38" s="15">
        <f t="shared" si="4"/>
        <v>16</v>
      </c>
      <c r="Q38" s="15">
        <f t="shared" si="5"/>
        <v>0.55592458799999989</v>
      </c>
      <c r="R38" s="15">
        <f t="shared" si="6"/>
        <v>0</v>
      </c>
      <c r="S38" s="15">
        <f t="shared" si="7"/>
        <v>0</v>
      </c>
      <c r="T38" s="14" t="str">
        <f t="shared" si="8"/>
        <v>Satisfactorio</v>
      </c>
      <c r="U38" s="14">
        <f t="shared" si="14"/>
        <v>0</v>
      </c>
      <c r="V38" s="14">
        <f t="shared" si="15"/>
        <v>0</v>
      </c>
      <c r="X38" s="9">
        <v>1994</v>
      </c>
      <c r="Y38" s="15">
        <f t="shared" si="9"/>
        <v>218.90475000000006</v>
      </c>
      <c r="Z38" s="15">
        <f t="shared" si="10"/>
        <v>165</v>
      </c>
      <c r="AA38" s="15">
        <f t="shared" si="11"/>
        <v>156.0326748</v>
      </c>
      <c r="AB38" s="16">
        <f t="shared" si="12"/>
        <v>0.75</v>
      </c>
    </row>
    <row r="39" spans="1:37">
      <c r="A39" s="17">
        <v>30011</v>
      </c>
      <c r="B39" s="9">
        <v>1982</v>
      </c>
      <c r="C39" s="9" t="s">
        <v>101</v>
      </c>
      <c r="D39" s="11">
        <v>116.8</v>
      </c>
      <c r="E39" s="15">
        <f>'Hoja 4 - Cálculo'!$B$12</f>
        <v>250</v>
      </c>
      <c r="F39" s="15">
        <f>'Hoja 4 - Cálculo'!$B$13</f>
        <v>0.85</v>
      </c>
      <c r="G39" s="15">
        <f>'Hoja 4 - Cálculo'!$B$14</f>
        <v>0.9</v>
      </c>
      <c r="H39" s="15">
        <f t="shared" si="0"/>
        <v>22.338000000000001</v>
      </c>
      <c r="I39" s="11">
        <v>8</v>
      </c>
      <c r="J39" s="11">
        <v>6</v>
      </c>
      <c r="K39" s="11">
        <v>2</v>
      </c>
      <c r="L39" s="15">
        <f t="shared" si="1"/>
        <v>16</v>
      </c>
      <c r="M39" s="15">
        <f t="shared" si="13"/>
        <v>0.55592458799999989</v>
      </c>
      <c r="N39" s="15">
        <f t="shared" si="2"/>
        <v>0.45787849176000001</v>
      </c>
      <c r="O39" s="15">
        <f t="shared" si="3"/>
        <v>22.436046096240002</v>
      </c>
      <c r="P39" s="15">
        <f t="shared" si="4"/>
        <v>16</v>
      </c>
      <c r="Q39" s="15">
        <f t="shared" si="5"/>
        <v>5</v>
      </c>
      <c r="R39" s="15">
        <f t="shared" si="6"/>
        <v>1.4360460962400019</v>
      </c>
      <c r="S39" s="15">
        <f t="shared" si="7"/>
        <v>0</v>
      </c>
      <c r="T39" s="14" t="str">
        <f t="shared" si="8"/>
        <v>Satisfactorio</v>
      </c>
      <c r="U39" s="14">
        <f t="shared" si="14"/>
        <v>0</v>
      </c>
      <c r="V39" s="14">
        <f t="shared" si="15"/>
        <v>0</v>
      </c>
      <c r="X39" s="9">
        <v>1995</v>
      </c>
      <c r="Y39" s="15">
        <f t="shared" si="9"/>
        <v>227.12850000000003</v>
      </c>
      <c r="Z39" s="15">
        <f t="shared" si="10"/>
        <v>165</v>
      </c>
      <c r="AA39" s="15">
        <f t="shared" si="11"/>
        <v>159.34409969999999</v>
      </c>
      <c r="AB39" s="16">
        <f t="shared" si="12"/>
        <v>0.75</v>
      </c>
    </row>
    <row r="40" spans="1:37">
      <c r="A40" s="17">
        <v>30042</v>
      </c>
      <c r="B40" s="9">
        <v>1982</v>
      </c>
      <c r="C40" s="9" t="s">
        <v>102</v>
      </c>
      <c r="D40" s="11">
        <v>165.6</v>
      </c>
      <c r="E40" s="15">
        <f>'Hoja 4 - Cálculo'!$B$12</f>
        <v>250</v>
      </c>
      <c r="F40" s="15">
        <f>'Hoja 4 - Cálculo'!$B$13</f>
        <v>0.85</v>
      </c>
      <c r="G40" s="15">
        <f>'Hoja 4 - Cálculo'!$B$14</f>
        <v>0.9</v>
      </c>
      <c r="H40" s="15">
        <f t="shared" si="0"/>
        <v>31.670999999999999</v>
      </c>
      <c r="I40" s="11">
        <v>8</v>
      </c>
      <c r="J40" s="11">
        <v>1.5</v>
      </c>
      <c r="K40" s="11">
        <v>2</v>
      </c>
      <c r="L40" s="15">
        <f t="shared" si="1"/>
        <v>11.5</v>
      </c>
      <c r="M40" s="15">
        <f t="shared" si="13"/>
        <v>5</v>
      </c>
      <c r="N40" s="15">
        <f t="shared" si="2"/>
        <v>0.73341999999999996</v>
      </c>
      <c r="O40" s="15">
        <f t="shared" si="3"/>
        <v>35.937579999999997</v>
      </c>
      <c r="P40" s="15">
        <f t="shared" si="4"/>
        <v>11.5</v>
      </c>
      <c r="Q40" s="15">
        <f t="shared" si="5"/>
        <v>5</v>
      </c>
      <c r="R40" s="15">
        <f t="shared" si="6"/>
        <v>19.437579999999997</v>
      </c>
      <c r="S40" s="15">
        <f t="shared" si="7"/>
        <v>0</v>
      </c>
      <c r="T40" s="14" t="str">
        <f t="shared" si="8"/>
        <v>Satisfactorio</v>
      </c>
      <c r="U40" s="14">
        <f t="shared" si="14"/>
        <v>0</v>
      </c>
      <c r="V40" s="14">
        <f t="shared" si="15"/>
        <v>0</v>
      </c>
      <c r="X40" s="9">
        <v>1996</v>
      </c>
      <c r="Y40" s="15">
        <f t="shared" si="9"/>
        <v>257.86237499999999</v>
      </c>
      <c r="Z40" s="15">
        <f t="shared" si="10"/>
        <v>165</v>
      </c>
      <c r="AA40" s="15">
        <f t="shared" si="11"/>
        <v>164.37846565000001</v>
      </c>
      <c r="AB40" s="16">
        <f t="shared" si="12"/>
        <v>0.83333333333333337</v>
      </c>
    </row>
    <row r="41" spans="1:37">
      <c r="A41" s="17">
        <v>30072</v>
      </c>
      <c r="B41" s="9">
        <v>1982</v>
      </c>
      <c r="C41" s="9" t="s">
        <v>103</v>
      </c>
      <c r="D41" s="11">
        <v>153.19999999999999</v>
      </c>
      <c r="E41" s="15">
        <f>'Hoja 4 - Cálculo'!$B$12</f>
        <v>250</v>
      </c>
      <c r="F41" s="15">
        <f>'Hoja 4 - Cálculo'!$B$13</f>
        <v>0.85</v>
      </c>
      <c r="G41" s="15">
        <f>'Hoja 4 - Cálculo'!$B$14</f>
        <v>0.9</v>
      </c>
      <c r="H41" s="15">
        <f t="shared" si="0"/>
        <v>29.299499999999998</v>
      </c>
      <c r="I41" s="11">
        <v>8</v>
      </c>
      <c r="J41" s="11">
        <v>1.5</v>
      </c>
      <c r="K41" s="11">
        <v>2</v>
      </c>
      <c r="L41" s="15">
        <f t="shared" si="1"/>
        <v>11.5</v>
      </c>
      <c r="M41" s="15">
        <f t="shared" si="13"/>
        <v>5</v>
      </c>
      <c r="N41" s="15">
        <f t="shared" si="2"/>
        <v>0.68598999999999988</v>
      </c>
      <c r="O41" s="15">
        <f t="shared" si="3"/>
        <v>33.613509999999998</v>
      </c>
      <c r="P41" s="15">
        <f t="shared" si="4"/>
        <v>11.5</v>
      </c>
      <c r="Q41" s="15">
        <f t="shared" si="5"/>
        <v>5</v>
      </c>
      <c r="R41" s="15">
        <f t="shared" si="6"/>
        <v>17.113509999999998</v>
      </c>
      <c r="S41" s="15">
        <f t="shared" si="7"/>
        <v>0</v>
      </c>
      <c r="T41" s="14" t="str">
        <f t="shared" si="8"/>
        <v>Satisfactorio</v>
      </c>
      <c r="U41" s="14">
        <f t="shared" si="14"/>
        <v>0</v>
      </c>
      <c r="V41" s="14">
        <f t="shared" si="15"/>
        <v>0</v>
      </c>
      <c r="X41" s="9">
        <v>1997</v>
      </c>
      <c r="Y41" s="15">
        <f t="shared" si="9"/>
        <v>276.71962499999995</v>
      </c>
      <c r="Z41" s="15">
        <f t="shared" si="10"/>
        <v>165</v>
      </c>
      <c r="AA41" s="15">
        <f t="shared" si="11"/>
        <v>165</v>
      </c>
      <c r="AB41" s="16">
        <f t="shared" si="12"/>
        <v>1</v>
      </c>
    </row>
    <row r="42" spans="1:37">
      <c r="A42" s="17">
        <v>30103</v>
      </c>
      <c r="B42" s="9">
        <v>1982</v>
      </c>
      <c r="C42" s="9" t="s">
        <v>104</v>
      </c>
      <c r="D42" s="11">
        <v>95.8</v>
      </c>
      <c r="E42" s="15">
        <f>'Hoja 4 - Cálculo'!$B$12</f>
        <v>250</v>
      </c>
      <c r="F42" s="15">
        <f>'Hoja 4 - Cálculo'!$B$13</f>
        <v>0.85</v>
      </c>
      <c r="G42" s="15">
        <f>'Hoja 4 - Cálculo'!$B$14</f>
        <v>0.9</v>
      </c>
      <c r="H42" s="15">
        <f t="shared" si="0"/>
        <v>18.321750000000002</v>
      </c>
      <c r="I42" s="11">
        <v>8</v>
      </c>
      <c r="J42" s="11">
        <v>1.5</v>
      </c>
      <c r="K42" s="11">
        <v>2</v>
      </c>
      <c r="L42" s="15">
        <f t="shared" si="1"/>
        <v>11.5</v>
      </c>
      <c r="M42" s="15">
        <f t="shared" si="13"/>
        <v>5</v>
      </c>
      <c r="N42" s="15">
        <f t="shared" si="2"/>
        <v>0.46643500000000004</v>
      </c>
      <c r="O42" s="15">
        <f t="shared" si="3"/>
        <v>22.855315000000001</v>
      </c>
      <c r="P42" s="15">
        <f t="shared" si="4"/>
        <v>11.5</v>
      </c>
      <c r="Q42" s="15">
        <f t="shared" si="5"/>
        <v>5</v>
      </c>
      <c r="R42" s="15">
        <f t="shared" si="6"/>
        <v>6.3553150000000009</v>
      </c>
      <c r="S42" s="15">
        <f t="shared" si="7"/>
        <v>0</v>
      </c>
      <c r="T42" s="14" t="str">
        <f t="shared" si="8"/>
        <v>Satisfactorio</v>
      </c>
      <c r="U42" s="14">
        <f t="shared" si="14"/>
        <v>0</v>
      </c>
      <c r="V42" s="14">
        <f t="shared" si="15"/>
        <v>0</v>
      </c>
      <c r="X42" s="9">
        <v>1998</v>
      </c>
      <c r="Y42" s="15">
        <f t="shared" si="9"/>
        <v>231.62287499999999</v>
      </c>
      <c r="Z42" s="15">
        <f t="shared" si="10"/>
        <v>165</v>
      </c>
      <c r="AA42" s="15">
        <f t="shared" si="11"/>
        <v>162.05491749999999</v>
      </c>
      <c r="AB42" s="16">
        <f t="shared" si="12"/>
        <v>0.83333333333333337</v>
      </c>
      <c r="AD42" s="38" t="s">
        <v>111</v>
      </c>
      <c r="AE42" s="39"/>
      <c r="AF42" s="39"/>
      <c r="AG42" s="39"/>
      <c r="AH42" s="39"/>
      <c r="AI42" s="39"/>
      <c r="AJ42" s="39"/>
      <c r="AK42" s="40"/>
    </row>
    <row r="43" spans="1:37">
      <c r="A43" s="17">
        <v>30133</v>
      </c>
      <c r="B43" s="9">
        <v>1982</v>
      </c>
      <c r="C43" s="9" t="s">
        <v>105</v>
      </c>
      <c r="D43" s="11">
        <v>80.400000000000006</v>
      </c>
      <c r="E43" s="15">
        <f>'Hoja 4 - Cálculo'!$B$12</f>
        <v>250</v>
      </c>
      <c r="F43" s="15">
        <f>'Hoja 4 - Cálculo'!$B$13</f>
        <v>0.85</v>
      </c>
      <c r="G43" s="15">
        <f>'Hoja 4 - Cálculo'!$B$14</f>
        <v>0.9</v>
      </c>
      <c r="H43" s="15">
        <f t="shared" si="0"/>
        <v>15.3765</v>
      </c>
      <c r="I43" s="11">
        <v>8</v>
      </c>
      <c r="J43" s="11">
        <v>6</v>
      </c>
      <c r="K43" s="11">
        <v>2</v>
      </c>
      <c r="L43" s="15">
        <f t="shared" si="1"/>
        <v>16</v>
      </c>
      <c r="M43" s="15">
        <f t="shared" si="13"/>
        <v>5</v>
      </c>
      <c r="N43" s="15">
        <f t="shared" si="2"/>
        <v>0.40753</v>
      </c>
      <c r="O43" s="15">
        <f t="shared" si="3"/>
        <v>19.968969999999999</v>
      </c>
      <c r="P43" s="15">
        <f t="shared" si="4"/>
        <v>16</v>
      </c>
      <c r="Q43" s="15">
        <f t="shared" si="5"/>
        <v>3.9689699999999988</v>
      </c>
      <c r="R43" s="15">
        <f t="shared" si="6"/>
        <v>0</v>
      </c>
      <c r="S43" s="15">
        <f t="shared" si="7"/>
        <v>0</v>
      </c>
      <c r="T43" s="14" t="str">
        <f t="shared" si="8"/>
        <v>Satisfactorio</v>
      </c>
      <c r="U43" s="14">
        <f t="shared" si="14"/>
        <v>0</v>
      </c>
      <c r="V43" s="14">
        <f t="shared" si="15"/>
        <v>0</v>
      </c>
      <c r="X43" s="9">
        <v>1999</v>
      </c>
      <c r="Y43" s="15">
        <f t="shared" si="9"/>
        <v>213.22462499999997</v>
      </c>
      <c r="Z43" s="15">
        <f t="shared" si="10"/>
        <v>165</v>
      </c>
      <c r="AA43" s="15">
        <f t="shared" si="11"/>
        <v>157.69963275000001</v>
      </c>
      <c r="AB43" s="16">
        <f t="shared" si="12"/>
        <v>0.75</v>
      </c>
      <c r="AD43" s="41"/>
      <c r="AE43" s="42"/>
      <c r="AF43" s="42"/>
      <c r="AG43" s="42"/>
      <c r="AH43" s="42"/>
      <c r="AI43" s="42"/>
      <c r="AJ43" s="42"/>
      <c r="AK43" s="43"/>
    </row>
    <row r="44" spans="1:37">
      <c r="A44" s="17">
        <v>30164</v>
      </c>
      <c r="B44" s="9">
        <v>1982</v>
      </c>
      <c r="C44" s="9" t="s">
        <v>106</v>
      </c>
      <c r="D44" s="11">
        <v>86.1</v>
      </c>
      <c r="E44" s="15">
        <f>'Hoja 4 - Cálculo'!$B$12</f>
        <v>250</v>
      </c>
      <c r="F44" s="15">
        <f>'Hoja 4 - Cálculo'!$B$13</f>
        <v>0.85</v>
      </c>
      <c r="G44" s="15">
        <f>'Hoja 4 - Cálculo'!$B$14</f>
        <v>0.9</v>
      </c>
      <c r="H44" s="15">
        <f t="shared" si="0"/>
        <v>16.466625000000001</v>
      </c>
      <c r="I44" s="11">
        <v>8</v>
      </c>
      <c r="J44" s="11">
        <v>6</v>
      </c>
      <c r="K44" s="11">
        <v>2</v>
      </c>
      <c r="L44" s="15">
        <f t="shared" si="1"/>
        <v>16</v>
      </c>
      <c r="M44" s="15">
        <f t="shared" si="13"/>
        <v>3.9689699999999988</v>
      </c>
      <c r="N44" s="15">
        <f t="shared" si="2"/>
        <v>0.40871190000000002</v>
      </c>
      <c r="O44" s="15">
        <f t="shared" si="3"/>
        <v>20.026883099999999</v>
      </c>
      <c r="P44" s="15">
        <f t="shared" si="4"/>
        <v>16</v>
      </c>
      <c r="Q44" s="15">
        <f t="shared" si="5"/>
        <v>4.0268830999999992</v>
      </c>
      <c r="R44" s="15">
        <f t="shared" si="6"/>
        <v>0</v>
      </c>
      <c r="S44" s="15">
        <f t="shared" si="7"/>
        <v>0</v>
      </c>
      <c r="T44" s="14" t="str">
        <f t="shared" si="8"/>
        <v>Satisfactorio</v>
      </c>
      <c r="U44" s="14">
        <f t="shared" si="14"/>
        <v>0</v>
      </c>
      <c r="V44" s="14">
        <f t="shared" si="15"/>
        <v>0</v>
      </c>
      <c r="X44" s="9">
        <v>2000</v>
      </c>
      <c r="Y44" s="15">
        <f t="shared" si="9"/>
        <v>238.39312500000003</v>
      </c>
      <c r="Z44" s="15">
        <f t="shared" si="10"/>
        <v>165</v>
      </c>
      <c r="AA44" s="15">
        <f t="shared" si="11"/>
        <v>157.45747964999998</v>
      </c>
      <c r="AB44" s="16">
        <f t="shared" si="12"/>
        <v>0.75</v>
      </c>
      <c r="AD44" s="41"/>
      <c r="AE44" s="42"/>
      <c r="AF44" s="42"/>
      <c r="AG44" s="42"/>
      <c r="AH44" s="42"/>
      <c r="AI44" s="42"/>
      <c r="AJ44" s="42"/>
      <c r="AK44" s="43"/>
    </row>
    <row r="45" spans="1:37">
      <c r="A45" s="17">
        <v>30195</v>
      </c>
      <c r="B45" s="9">
        <v>1982</v>
      </c>
      <c r="C45" s="9" t="s">
        <v>107</v>
      </c>
      <c r="D45" s="11">
        <v>135.1</v>
      </c>
      <c r="E45" s="15">
        <f>'Hoja 4 - Cálculo'!$B$12</f>
        <v>250</v>
      </c>
      <c r="F45" s="15">
        <f>'Hoja 4 - Cálculo'!$B$13</f>
        <v>0.85</v>
      </c>
      <c r="G45" s="15">
        <f>'Hoja 4 - Cálculo'!$B$14</f>
        <v>0.9</v>
      </c>
      <c r="H45" s="15">
        <f t="shared" si="0"/>
        <v>25.837875</v>
      </c>
      <c r="I45" s="11">
        <v>8</v>
      </c>
      <c r="J45" s="11">
        <v>1.5</v>
      </c>
      <c r="K45" s="11">
        <v>2</v>
      </c>
      <c r="L45" s="15">
        <f t="shared" si="1"/>
        <v>11.5</v>
      </c>
      <c r="M45" s="15">
        <f t="shared" si="13"/>
        <v>4.0268830999999992</v>
      </c>
      <c r="N45" s="15">
        <f t="shared" si="2"/>
        <v>0.59729516199999999</v>
      </c>
      <c r="O45" s="15">
        <f t="shared" si="3"/>
        <v>29.267462938000001</v>
      </c>
      <c r="P45" s="15">
        <f t="shared" si="4"/>
        <v>11.5</v>
      </c>
      <c r="Q45" s="15">
        <f t="shared" si="5"/>
        <v>5</v>
      </c>
      <c r="R45" s="15">
        <f t="shared" si="6"/>
        <v>12.767462938000001</v>
      </c>
      <c r="S45" s="15">
        <f t="shared" si="7"/>
        <v>0</v>
      </c>
      <c r="T45" s="14" t="str">
        <f t="shared" si="8"/>
        <v>Satisfactorio</v>
      </c>
      <c r="U45" s="14">
        <f t="shared" si="14"/>
        <v>0</v>
      </c>
      <c r="V45" s="14">
        <f t="shared" si="15"/>
        <v>0</v>
      </c>
      <c r="X45" s="9">
        <v>2001</v>
      </c>
      <c r="Y45" s="15">
        <f t="shared" si="9"/>
        <v>265.93312500000002</v>
      </c>
      <c r="Z45" s="15">
        <f t="shared" si="10"/>
        <v>165</v>
      </c>
      <c r="AA45" s="15">
        <f t="shared" si="11"/>
        <v>164.24951725</v>
      </c>
      <c r="AB45" s="16">
        <f t="shared" si="12"/>
        <v>0.83333333333333337</v>
      </c>
      <c r="AD45" s="41"/>
      <c r="AE45" s="42"/>
      <c r="AF45" s="42"/>
      <c r="AG45" s="42"/>
      <c r="AH45" s="42"/>
      <c r="AI45" s="42"/>
      <c r="AJ45" s="42"/>
      <c r="AK45" s="43"/>
    </row>
    <row r="46" spans="1:37">
      <c r="A46" s="17">
        <v>30225</v>
      </c>
      <c r="B46" s="9">
        <v>1982</v>
      </c>
      <c r="C46" s="9" t="s">
        <v>108</v>
      </c>
      <c r="D46" s="11">
        <v>175</v>
      </c>
      <c r="E46" s="15">
        <f>'Hoja 4 - Cálculo'!$B$12</f>
        <v>250</v>
      </c>
      <c r="F46" s="15">
        <f>'Hoja 4 - Cálculo'!$B$13</f>
        <v>0.85</v>
      </c>
      <c r="G46" s="15">
        <f>'Hoja 4 - Cálculo'!$B$14</f>
        <v>0.9</v>
      </c>
      <c r="H46" s="15">
        <f t="shared" si="0"/>
        <v>33.46875</v>
      </c>
      <c r="I46" s="11">
        <v>8</v>
      </c>
      <c r="J46" s="11">
        <v>1.5</v>
      </c>
      <c r="K46" s="11">
        <v>2</v>
      </c>
      <c r="L46" s="15">
        <f t="shared" si="1"/>
        <v>11.5</v>
      </c>
      <c r="M46" s="15">
        <f t="shared" si="13"/>
        <v>5</v>
      </c>
      <c r="N46" s="15">
        <f t="shared" si="2"/>
        <v>0.76937500000000003</v>
      </c>
      <c r="O46" s="15">
        <f t="shared" si="3"/>
        <v>37.699375000000003</v>
      </c>
      <c r="P46" s="15">
        <f t="shared" si="4"/>
        <v>11.5</v>
      </c>
      <c r="Q46" s="15">
        <f t="shared" si="5"/>
        <v>5</v>
      </c>
      <c r="R46" s="15">
        <f t="shared" si="6"/>
        <v>21.199375000000003</v>
      </c>
      <c r="S46" s="15">
        <f t="shared" si="7"/>
        <v>0</v>
      </c>
      <c r="T46" s="14" t="str">
        <f t="shared" si="8"/>
        <v>Satisfactorio</v>
      </c>
      <c r="U46" s="14">
        <f t="shared" si="14"/>
        <v>0</v>
      </c>
      <c r="V46" s="14">
        <f t="shared" si="15"/>
        <v>0</v>
      </c>
      <c r="X46" s="9">
        <v>2002</v>
      </c>
      <c r="Y46" s="15">
        <f t="shared" si="9"/>
        <v>260.82675</v>
      </c>
      <c r="Z46" s="15">
        <f t="shared" si="10"/>
        <v>165</v>
      </c>
      <c r="AA46" s="15">
        <f t="shared" si="11"/>
        <v>165</v>
      </c>
      <c r="AB46" s="16">
        <f t="shared" si="12"/>
        <v>1</v>
      </c>
      <c r="AD46" s="41"/>
      <c r="AE46" s="42"/>
      <c r="AF46" s="42"/>
      <c r="AG46" s="42"/>
      <c r="AH46" s="42"/>
      <c r="AI46" s="42"/>
      <c r="AJ46" s="42"/>
      <c r="AK46" s="43"/>
    </row>
    <row r="47" spans="1:37">
      <c r="A47" s="17">
        <v>30256</v>
      </c>
      <c r="B47" s="9">
        <v>1982</v>
      </c>
      <c r="C47" s="9" t="s">
        <v>109</v>
      </c>
      <c r="D47" s="11">
        <v>144.19999999999999</v>
      </c>
      <c r="E47" s="15">
        <f>'Hoja 4 - Cálculo'!$B$12</f>
        <v>250</v>
      </c>
      <c r="F47" s="15">
        <f>'Hoja 4 - Cálculo'!$B$13</f>
        <v>0.85</v>
      </c>
      <c r="G47" s="15">
        <f>'Hoja 4 - Cálculo'!$B$14</f>
        <v>0.9</v>
      </c>
      <c r="H47" s="15">
        <f t="shared" si="0"/>
        <v>27.578250000000001</v>
      </c>
      <c r="I47" s="11">
        <v>8</v>
      </c>
      <c r="J47" s="11">
        <v>1.5</v>
      </c>
      <c r="K47" s="11">
        <v>2</v>
      </c>
      <c r="L47" s="15">
        <f t="shared" si="1"/>
        <v>11.5</v>
      </c>
      <c r="M47" s="15">
        <f t="shared" si="13"/>
        <v>5</v>
      </c>
      <c r="N47" s="15">
        <f t="shared" si="2"/>
        <v>0.65156499999999995</v>
      </c>
      <c r="O47" s="15">
        <f t="shared" si="3"/>
        <v>31.926684999999996</v>
      </c>
      <c r="P47" s="15">
        <f t="shared" si="4"/>
        <v>11.5</v>
      </c>
      <c r="Q47" s="15">
        <f t="shared" si="5"/>
        <v>5</v>
      </c>
      <c r="R47" s="15">
        <f t="shared" si="6"/>
        <v>15.426684999999996</v>
      </c>
      <c r="S47" s="15">
        <f t="shared" si="7"/>
        <v>0</v>
      </c>
      <c r="T47" s="14" t="str">
        <f t="shared" si="8"/>
        <v>Satisfactorio</v>
      </c>
      <c r="U47" s="14">
        <f t="shared" si="14"/>
        <v>0</v>
      </c>
      <c r="V47" s="14">
        <f t="shared" si="15"/>
        <v>0</v>
      </c>
      <c r="X47" s="9">
        <v>2003</v>
      </c>
      <c r="Y47" s="15">
        <f t="shared" si="9"/>
        <v>229.060125</v>
      </c>
      <c r="Z47" s="15">
        <f t="shared" si="10"/>
        <v>165</v>
      </c>
      <c r="AA47" s="15">
        <f t="shared" si="11"/>
        <v>162.09952465000001</v>
      </c>
      <c r="AB47" s="16">
        <f t="shared" si="12"/>
        <v>0.83333333333333337</v>
      </c>
      <c r="AD47" s="41"/>
      <c r="AE47" s="42"/>
      <c r="AF47" s="42"/>
      <c r="AG47" s="42"/>
      <c r="AH47" s="42"/>
      <c r="AI47" s="42"/>
      <c r="AJ47" s="42"/>
      <c r="AK47" s="43"/>
    </row>
    <row r="48" spans="1:37">
      <c r="A48" s="17">
        <v>30286</v>
      </c>
      <c r="B48" s="9">
        <v>1982</v>
      </c>
      <c r="C48" s="9" t="s">
        <v>110</v>
      </c>
      <c r="D48" s="11">
        <v>85</v>
      </c>
      <c r="E48" s="15">
        <f>'Hoja 4 - Cálculo'!$B$12</f>
        <v>250</v>
      </c>
      <c r="F48" s="15">
        <f>'Hoja 4 - Cálculo'!$B$13</f>
        <v>0.85</v>
      </c>
      <c r="G48" s="15">
        <f>'Hoja 4 - Cálculo'!$B$14</f>
        <v>0.9</v>
      </c>
      <c r="H48" s="15">
        <f t="shared" si="0"/>
        <v>16.256250000000001</v>
      </c>
      <c r="I48" s="11">
        <v>8</v>
      </c>
      <c r="J48" s="11">
        <v>6</v>
      </c>
      <c r="K48" s="11">
        <v>2</v>
      </c>
      <c r="L48" s="15">
        <f t="shared" si="1"/>
        <v>16</v>
      </c>
      <c r="M48" s="15">
        <f t="shared" si="13"/>
        <v>5</v>
      </c>
      <c r="N48" s="15">
        <f t="shared" si="2"/>
        <v>0.42512500000000003</v>
      </c>
      <c r="O48" s="15">
        <f t="shared" si="3"/>
        <v>20.831125</v>
      </c>
      <c r="P48" s="15">
        <f t="shared" si="4"/>
        <v>16</v>
      </c>
      <c r="Q48" s="15">
        <f t="shared" si="5"/>
        <v>4.8311250000000001</v>
      </c>
      <c r="R48" s="15">
        <f t="shared" si="6"/>
        <v>0</v>
      </c>
      <c r="S48" s="15">
        <f t="shared" si="7"/>
        <v>0</v>
      </c>
      <c r="T48" s="14" t="str">
        <f t="shared" si="8"/>
        <v>Satisfactorio</v>
      </c>
      <c r="U48" s="14">
        <f t="shared" si="14"/>
        <v>0</v>
      </c>
      <c r="V48" s="14">
        <f t="shared" si="15"/>
        <v>0</v>
      </c>
      <c r="X48" s="9">
        <v>2004</v>
      </c>
      <c r="Y48" s="15">
        <f t="shared" si="9"/>
        <v>217.27912499999999</v>
      </c>
      <c r="Z48" s="15">
        <f t="shared" si="10"/>
        <v>165</v>
      </c>
      <c r="AA48" s="15">
        <f t="shared" si="11"/>
        <v>156.08552865000001</v>
      </c>
      <c r="AB48" s="16">
        <f t="shared" si="12"/>
        <v>0.75</v>
      </c>
      <c r="AD48" s="44"/>
      <c r="AE48" s="45"/>
      <c r="AF48" s="45"/>
      <c r="AG48" s="45"/>
      <c r="AH48" s="45"/>
      <c r="AI48" s="45"/>
      <c r="AJ48" s="45"/>
      <c r="AK48" s="46"/>
    </row>
    <row r="49" spans="1:28">
      <c r="A49" s="17">
        <v>30317</v>
      </c>
      <c r="B49" s="9">
        <v>1983</v>
      </c>
      <c r="C49" s="9" t="s">
        <v>99</v>
      </c>
      <c r="D49" s="11">
        <v>66.8</v>
      </c>
      <c r="E49" s="15">
        <f>'Hoja 4 - Cálculo'!$B$12</f>
        <v>250</v>
      </c>
      <c r="F49" s="15">
        <f>'Hoja 4 - Cálculo'!$B$13</f>
        <v>0.85</v>
      </c>
      <c r="G49" s="15">
        <f>'Hoja 4 - Cálculo'!$B$14</f>
        <v>0.9</v>
      </c>
      <c r="H49" s="15">
        <f t="shared" si="0"/>
        <v>12.775499999999999</v>
      </c>
      <c r="I49" s="11">
        <v>8</v>
      </c>
      <c r="J49" s="11">
        <v>6</v>
      </c>
      <c r="K49" s="11">
        <v>2</v>
      </c>
      <c r="L49" s="15">
        <f t="shared" si="1"/>
        <v>16</v>
      </c>
      <c r="M49" s="15">
        <f t="shared" si="13"/>
        <v>4.8311250000000001</v>
      </c>
      <c r="N49" s="15">
        <f t="shared" si="2"/>
        <v>0.35213250000000001</v>
      </c>
      <c r="O49" s="15">
        <f t="shared" si="3"/>
        <v>17.254492500000001</v>
      </c>
      <c r="P49" s="15">
        <f t="shared" si="4"/>
        <v>16</v>
      </c>
      <c r="Q49" s="15">
        <f t="shared" si="5"/>
        <v>1.2544925000000013</v>
      </c>
      <c r="R49" s="15">
        <f t="shared" si="6"/>
        <v>0</v>
      </c>
      <c r="S49" s="15">
        <f t="shared" si="7"/>
        <v>0</v>
      </c>
      <c r="T49" s="14" t="str">
        <f t="shared" si="8"/>
        <v>Satisfactorio</v>
      </c>
      <c r="U49" s="14">
        <f t="shared" si="14"/>
        <v>0</v>
      </c>
      <c r="V49" s="14">
        <f t="shared" si="15"/>
        <v>0</v>
      </c>
      <c r="X49" s="9">
        <v>2005</v>
      </c>
      <c r="Y49" s="15">
        <f t="shared" si="9"/>
        <v>243.95850000000002</v>
      </c>
      <c r="Z49" s="15">
        <f t="shared" si="10"/>
        <v>165</v>
      </c>
      <c r="AA49" s="15">
        <f t="shared" si="11"/>
        <v>161.0726635</v>
      </c>
      <c r="AB49" s="16">
        <f t="shared" si="12"/>
        <v>0.83333333333333337</v>
      </c>
    </row>
    <row r="50" spans="1:28">
      <c r="A50" s="17">
        <v>30348</v>
      </c>
      <c r="B50" s="9">
        <v>1983</v>
      </c>
      <c r="C50" s="9" t="s">
        <v>100</v>
      </c>
      <c r="D50" s="11">
        <v>75.8</v>
      </c>
      <c r="E50" s="15">
        <f>'Hoja 4 - Cálculo'!$B$12</f>
        <v>250</v>
      </c>
      <c r="F50" s="15">
        <f>'Hoja 4 - Cálculo'!$B$13</f>
        <v>0.85</v>
      </c>
      <c r="G50" s="15">
        <f>'Hoja 4 - Cálculo'!$B$14</f>
        <v>0.9</v>
      </c>
      <c r="H50" s="15">
        <f t="shared" si="0"/>
        <v>14.49675</v>
      </c>
      <c r="I50" s="11">
        <v>8</v>
      </c>
      <c r="J50" s="11">
        <v>6</v>
      </c>
      <c r="K50" s="11">
        <v>2</v>
      </c>
      <c r="L50" s="15">
        <f t="shared" si="1"/>
        <v>16</v>
      </c>
      <c r="M50" s="15">
        <f t="shared" si="13"/>
        <v>1.2544925000000013</v>
      </c>
      <c r="N50" s="15">
        <f t="shared" si="2"/>
        <v>0.31502485000000002</v>
      </c>
      <c r="O50" s="15">
        <f t="shared" si="3"/>
        <v>15.436217650000001</v>
      </c>
      <c r="P50" s="15">
        <f t="shared" si="4"/>
        <v>15.436217650000001</v>
      </c>
      <c r="Q50" s="15">
        <f t="shared" si="5"/>
        <v>0</v>
      </c>
      <c r="R50" s="15">
        <f t="shared" si="6"/>
        <v>0</v>
      </c>
      <c r="S50" s="15">
        <f t="shared" si="7"/>
        <v>0.56378234999999854</v>
      </c>
      <c r="T50" s="14" t="str">
        <f t="shared" si="8"/>
        <v>Falla</v>
      </c>
      <c r="U50" s="14">
        <f t="shared" si="14"/>
        <v>0</v>
      </c>
      <c r="V50" s="14">
        <f t="shared" si="15"/>
        <v>1</v>
      </c>
      <c r="X50" s="9">
        <v>2006</v>
      </c>
      <c r="Y50" s="15">
        <f t="shared" si="9"/>
        <v>269.31824999999998</v>
      </c>
      <c r="Z50" s="15">
        <f t="shared" si="10"/>
        <v>165</v>
      </c>
      <c r="AA50" s="15">
        <f t="shared" si="11"/>
        <v>165</v>
      </c>
      <c r="AB50" s="16">
        <f t="shared" si="12"/>
        <v>1</v>
      </c>
    </row>
    <row r="51" spans="1:28">
      <c r="A51" s="17">
        <v>30376</v>
      </c>
      <c r="B51" s="9">
        <v>1983</v>
      </c>
      <c r="C51" s="9" t="s">
        <v>101</v>
      </c>
      <c r="D51" s="11">
        <v>114.7</v>
      </c>
      <c r="E51" s="15">
        <f>'Hoja 4 - Cálculo'!$B$12</f>
        <v>250</v>
      </c>
      <c r="F51" s="15">
        <f>'Hoja 4 - Cálculo'!$B$13</f>
        <v>0.85</v>
      </c>
      <c r="G51" s="15">
        <f>'Hoja 4 - Cálculo'!$B$14</f>
        <v>0.9</v>
      </c>
      <c r="H51" s="15">
        <f t="shared" si="0"/>
        <v>21.936375000000002</v>
      </c>
      <c r="I51" s="11">
        <v>8</v>
      </c>
      <c r="J51" s="11">
        <v>6</v>
      </c>
      <c r="K51" s="11">
        <v>2</v>
      </c>
      <c r="L51" s="15">
        <f t="shared" si="1"/>
        <v>16</v>
      </c>
      <c r="M51" s="15">
        <f t="shared" si="13"/>
        <v>0</v>
      </c>
      <c r="N51" s="15">
        <f t="shared" si="2"/>
        <v>0.43872750000000005</v>
      </c>
      <c r="O51" s="15">
        <f t="shared" si="3"/>
        <v>21.497647500000003</v>
      </c>
      <c r="P51" s="15">
        <f t="shared" si="4"/>
        <v>16</v>
      </c>
      <c r="Q51" s="15">
        <f t="shared" si="5"/>
        <v>5</v>
      </c>
      <c r="R51" s="15">
        <f t="shared" si="6"/>
        <v>0.49764750000000291</v>
      </c>
      <c r="S51" s="15">
        <f t="shared" si="7"/>
        <v>0</v>
      </c>
      <c r="T51" s="14" t="str">
        <f t="shared" si="8"/>
        <v>Satisfactorio</v>
      </c>
      <c r="U51" s="14">
        <f t="shared" si="14"/>
        <v>1</v>
      </c>
      <c r="V51" s="14">
        <f t="shared" si="15"/>
        <v>0</v>
      </c>
      <c r="X51" s="9">
        <v>2007</v>
      </c>
      <c r="Y51" s="15">
        <f t="shared" si="9"/>
        <v>255.77775</v>
      </c>
      <c r="Z51" s="15">
        <f t="shared" si="10"/>
        <v>165</v>
      </c>
      <c r="AA51" s="15">
        <f t="shared" si="11"/>
        <v>165</v>
      </c>
      <c r="AB51" s="16">
        <f t="shared" si="12"/>
        <v>1</v>
      </c>
    </row>
    <row r="52" spans="1:28">
      <c r="A52" s="17">
        <v>30407</v>
      </c>
      <c r="B52" s="9">
        <v>1983</v>
      </c>
      <c r="C52" s="9" t="s">
        <v>102</v>
      </c>
      <c r="D52" s="11">
        <v>168.7</v>
      </c>
      <c r="E52" s="15">
        <f>'Hoja 4 - Cálculo'!$B$12</f>
        <v>250</v>
      </c>
      <c r="F52" s="15">
        <f>'Hoja 4 - Cálculo'!$B$13</f>
        <v>0.85</v>
      </c>
      <c r="G52" s="15">
        <f>'Hoja 4 - Cálculo'!$B$14</f>
        <v>0.9</v>
      </c>
      <c r="H52" s="15">
        <f t="shared" si="0"/>
        <v>32.263874999999999</v>
      </c>
      <c r="I52" s="11">
        <v>8</v>
      </c>
      <c r="J52" s="11">
        <v>1.5</v>
      </c>
      <c r="K52" s="11">
        <v>2</v>
      </c>
      <c r="L52" s="15">
        <f t="shared" si="1"/>
        <v>11.5</v>
      </c>
      <c r="M52" s="15">
        <f t="shared" si="13"/>
        <v>5</v>
      </c>
      <c r="N52" s="15">
        <f t="shared" si="2"/>
        <v>0.74527750000000004</v>
      </c>
      <c r="O52" s="15">
        <f t="shared" si="3"/>
        <v>36.518597499999998</v>
      </c>
      <c r="P52" s="15">
        <f t="shared" si="4"/>
        <v>11.5</v>
      </c>
      <c r="Q52" s="15">
        <f t="shared" si="5"/>
        <v>5</v>
      </c>
      <c r="R52" s="15">
        <f t="shared" si="6"/>
        <v>20.018597499999998</v>
      </c>
      <c r="S52" s="15">
        <f t="shared" si="7"/>
        <v>0</v>
      </c>
      <c r="T52" s="14" t="str">
        <f t="shared" si="8"/>
        <v>Satisfactorio</v>
      </c>
      <c r="U52" s="14">
        <f t="shared" si="14"/>
        <v>0</v>
      </c>
      <c r="V52" s="14">
        <f t="shared" si="15"/>
        <v>0</v>
      </c>
      <c r="X52" s="9">
        <v>2008</v>
      </c>
      <c r="Y52" s="15">
        <f t="shared" si="9"/>
        <v>223.49474999999998</v>
      </c>
      <c r="Z52" s="15">
        <f t="shared" si="10"/>
        <v>165</v>
      </c>
      <c r="AA52" s="15">
        <f t="shared" si="11"/>
        <v>160.28759715000001</v>
      </c>
      <c r="AB52" s="16">
        <f t="shared" si="12"/>
        <v>0.75</v>
      </c>
    </row>
    <row r="53" spans="1:28">
      <c r="A53" s="17">
        <v>30437</v>
      </c>
      <c r="B53" s="9">
        <v>1983</v>
      </c>
      <c r="C53" s="9" t="s">
        <v>103</v>
      </c>
      <c r="D53" s="11">
        <v>153.5</v>
      </c>
      <c r="E53" s="15">
        <f>'Hoja 4 - Cálculo'!$B$12</f>
        <v>250</v>
      </c>
      <c r="F53" s="15">
        <f>'Hoja 4 - Cálculo'!$B$13</f>
        <v>0.85</v>
      </c>
      <c r="G53" s="15">
        <f>'Hoja 4 - Cálculo'!$B$14</f>
        <v>0.9</v>
      </c>
      <c r="H53" s="15">
        <f t="shared" si="0"/>
        <v>29.356874999999999</v>
      </c>
      <c r="I53" s="11">
        <v>8</v>
      </c>
      <c r="J53" s="11">
        <v>1.5</v>
      </c>
      <c r="K53" s="11">
        <v>2</v>
      </c>
      <c r="L53" s="15">
        <f t="shared" si="1"/>
        <v>11.5</v>
      </c>
      <c r="M53" s="15">
        <f t="shared" si="13"/>
        <v>5</v>
      </c>
      <c r="N53" s="15">
        <f t="shared" si="2"/>
        <v>0.68713750000000007</v>
      </c>
      <c r="O53" s="15">
        <f t="shared" si="3"/>
        <v>33.669737500000004</v>
      </c>
      <c r="P53" s="15">
        <f t="shared" si="4"/>
        <v>11.5</v>
      </c>
      <c r="Q53" s="15">
        <f t="shared" si="5"/>
        <v>5</v>
      </c>
      <c r="R53" s="15">
        <f t="shared" si="6"/>
        <v>17.169737500000004</v>
      </c>
      <c r="S53" s="15">
        <f t="shared" si="7"/>
        <v>0</v>
      </c>
      <c r="T53" s="14" t="str">
        <f t="shared" si="8"/>
        <v>Satisfactorio</v>
      </c>
      <c r="U53" s="14">
        <f t="shared" si="14"/>
        <v>0</v>
      </c>
      <c r="V53" s="14">
        <f t="shared" si="15"/>
        <v>0</v>
      </c>
      <c r="X53" s="9">
        <v>2009</v>
      </c>
      <c r="Y53" s="15">
        <f t="shared" si="9"/>
        <v>219.51675</v>
      </c>
      <c r="Z53" s="15">
        <f t="shared" si="10"/>
        <v>165</v>
      </c>
      <c r="AA53" s="15">
        <f t="shared" si="11"/>
        <v>155.58697814999999</v>
      </c>
      <c r="AB53" s="16">
        <f t="shared" si="12"/>
        <v>0.75</v>
      </c>
    </row>
    <row r="54" spans="1:28">
      <c r="A54" s="17">
        <v>30468</v>
      </c>
      <c r="B54" s="9">
        <v>1983</v>
      </c>
      <c r="C54" s="9" t="s">
        <v>104</v>
      </c>
      <c r="D54" s="11">
        <v>90</v>
      </c>
      <c r="E54" s="15">
        <f>'Hoja 4 - Cálculo'!$B$12</f>
        <v>250</v>
      </c>
      <c r="F54" s="15">
        <f>'Hoja 4 - Cálculo'!$B$13</f>
        <v>0.85</v>
      </c>
      <c r="G54" s="15">
        <f>'Hoja 4 - Cálculo'!$B$14</f>
        <v>0.9</v>
      </c>
      <c r="H54" s="15">
        <f t="shared" si="0"/>
        <v>17.212499999999999</v>
      </c>
      <c r="I54" s="11">
        <v>8</v>
      </c>
      <c r="J54" s="11">
        <v>1.5</v>
      </c>
      <c r="K54" s="11">
        <v>2</v>
      </c>
      <c r="L54" s="15">
        <f t="shared" si="1"/>
        <v>11.5</v>
      </c>
      <c r="M54" s="15">
        <f t="shared" si="13"/>
        <v>5</v>
      </c>
      <c r="N54" s="15">
        <f t="shared" si="2"/>
        <v>0.44424999999999998</v>
      </c>
      <c r="O54" s="15">
        <f t="shared" si="3"/>
        <v>21.768249999999998</v>
      </c>
      <c r="P54" s="15">
        <f t="shared" si="4"/>
        <v>11.5</v>
      </c>
      <c r="Q54" s="15">
        <f t="shared" si="5"/>
        <v>5</v>
      </c>
      <c r="R54" s="15">
        <f t="shared" si="6"/>
        <v>5.2682499999999983</v>
      </c>
      <c r="S54" s="15">
        <f t="shared" si="7"/>
        <v>0</v>
      </c>
      <c r="T54" s="14" t="str">
        <f t="shared" si="8"/>
        <v>Satisfactorio</v>
      </c>
      <c r="U54" s="14">
        <f t="shared" si="14"/>
        <v>0</v>
      </c>
      <c r="V54" s="14">
        <f t="shared" si="15"/>
        <v>0</v>
      </c>
      <c r="X54" s="9">
        <v>2010</v>
      </c>
      <c r="Y54" s="15">
        <f t="shared" si="9"/>
        <v>250.05937499999999</v>
      </c>
      <c r="Z54" s="15">
        <f t="shared" si="10"/>
        <v>165</v>
      </c>
      <c r="AA54" s="15">
        <f t="shared" si="11"/>
        <v>161.97380290000001</v>
      </c>
      <c r="AB54" s="16">
        <f t="shared" si="12"/>
        <v>0.83333333333333337</v>
      </c>
    </row>
    <row r="55" spans="1:28">
      <c r="A55" s="17">
        <v>30498</v>
      </c>
      <c r="B55" s="9">
        <v>1983</v>
      </c>
      <c r="C55" s="9" t="s">
        <v>105</v>
      </c>
      <c r="D55" s="11">
        <v>71.099999999999994</v>
      </c>
      <c r="E55" s="15">
        <f>'Hoja 4 - Cálculo'!$B$12</f>
        <v>250</v>
      </c>
      <c r="F55" s="15">
        <f>'Hoja 4 - Cálculo'!$B$13</f>
        <v>0.85</v>
      </c>
      <c r="G55" s="15">
        <f>'Hoja 4 - Cálculo'!$B$14</f>
        <v>0.9</v>
      </c>
      <c r="H55" s="15">
        <f t="shared" si="0"/>
        <v>13.597875</v>
      </c>
      <c r="I55" s="11">
        <v>8</v>
      </c>
      <c r="J55" s="11">
        <v>6</v>
      </c>
      <c r="K55" s="11">
        <v>2</v>
      </c>
      <c r="L55" s="15">
        <f t="shared" si="1"/>
        <v>16</v>
      </c>
      <c r="M55" s="15">
        <f t="shared" si="13"/>
        <v>5</v>
      </c>
      <c r="N55" s="15">
        <f t="shared" si="2"/>
        <v>0.37195750000000005</v>
      </c>
      <c r="O55" s="15">
        <f t="shared" si="3"/>
        <v>18.225917500000001</v>
      </c>
      <c r="P55" s="15">
        <f t="shared" si="4"/>
        <v>16</v>
      </c>
      <c r="Q55" s="15">
        <f t="shared" si="5"/>
        <v>2.2259175000000013</v>
      </c>
      <c r="R55" s="15">
        <f t="shared" si="6"/>
        <v>0</v>
      </c>
      <c r="S55" s="15">
        <f t="shared" si="7"/>
        <v>0</v>
      </c>
      <c r="T55" s="14" t="str">
        <f t="shared" si="8"/>
        <v>Satisfactorio</v>
      </c>
      <c r="U55" s="14">
        <f t="shared" si="14"/>
        <v>0</v>
      </c>
      <c r="V55" s="14">
        <f t="shared" si="15"/>
        <v>0</v>
      </c>
    </row>
    <row r="56" spans="1:28">
      <c r="A56" s="17">
        <v>30529</v>
      </c>
      <c r="B56" s="9">
        <v>1983</v>
      </c>
      <c r="C56" s="9" t="s">
        <v>106</v>
      </c>
      <c r="D56" s="11">
        <v>76.3</v>
      </c>
      <c r="E56" s="15">
        <f>'Hoja 4 - Cálculo'!$B$12</f>
        <v>250</v>
      </c>
      <c r="F56" s="15">
        <f>'Hoja 4 - Cálculo'!$B$13</f>
        <v>0.85</v>
      </c>
      <c r="G56" s="15">
        <f>'Hoja 4 - Cálculo'!$B$14</f>
        <v>0.9</v>
      </c>
      <c r="H56" s="15">
        <f t="shared" si="0"/>
        <v>14.592375000000001</v>
      </c>
      <c r="I56" s="11">
        <v>8</v>
      </c>
      <c r="J56" s="11">
        <v>6</v>
      </c>
      <c r="K56" s="11">
        <v>2</v>
      </c>
      <c r="L56" s="15">
        <f t="shared" si="1"/>
        <v>16</v>
      </c>
      <c r="M56" s="15">
        <f t="shared" si="13"/>
        <v>2.2259175000000013</v>
      </c>
      <c r="N56" s="15">
        <f t="shared" si="2"/>
        <v>0.33636585000000002</v>
      </c>
      <c r="O56" s="15">
        <f t="shared" si="3"/>
        <v>16.481926650000002</v>
      </c>
      <c r="P56" s="15">
        <f t="shared" si="4"/>
        <v>16</v>
      </c>
      <c r="Q56" s="15">
        <f t="shared" si="5"/>
        <v>0.4819266500000019</v>
      </c>
      <c r="R56" s="15">
        <f t="shared" si="6"/>
        <v>0</v>
      </c>
      <c r="S56" s="15">
        <f t="shared" si="7"/>
        <v>0</v>
      </c>
      <c r="T56" s="14" t="str">
        <f t="shared" si="8"/>
        <v>Satisfactorio</v>
      </c>
      <c r="U56" s="14">
        <f t="shared" si="14"/>
        <v>0</v>
      </c>
      <c r="V56" s="14">
        <f t="shared" si="15"/>
        <v>0</v>
      </c>
    </row>
    <row r="57" spans="1:28">
      <c r="A57" s="17">
        <v>30560</v>
      </c>
      <c r="B57" s="9">
        <v>1983</v>
      </c>
      <c r="C57" s="9" t="s">
        <v>107</v>
      </c>
      <c r="D57" s="11">
        <v>127.1</v>
      </c>
      <c r="E57" s="15">
        <f>'Hoja 4 - Cálculo'!$B$12</f>
        <v>250</v>
      </c>
      <c r="F57" s="15">
        <f>'Hoja 4 - Cálculo'!$B$13</f>
        <v>0.85</v>
      </c>
      <c r="G57" s="15">
        <f>'Hoja 4 - Cálculo'!$B$14</f>
        <v>0.9</v>
      </c>
      <c r="H57" s="15">
        <f t="shared" si="0"/>
        <v>24.307874999999999</v>
      </c>
      <c r="I57" s="11">
        <v>8</v>
      </c>
      <c r="J57" s="11">
        <v>1.5</v>
      </c>
      <c r="K57" s="11">
        <v>2</v>
      </c>
      <c r="L57" s="15">
        <f t="shared" si="1"/>
        <v>11.5</v>
      </c>
      <c r="M57" s="15">
        <f t="shared" si="13"/>
        <v>0.4819266500000019</v>
      </c>
      <c r="N57" s="15">
        <f t="shared" si="2"/>
        <v>0.49579603300000002</v>
      </c>
      <c r="O57" s="15">
        <f t="shared" si="3"/>
        <v>24.294005617</v>
      </c>
      <c r="P57" s="15">
        <f t="shared" si="4"/>
        <v>11.5</v>
      </c>
      <c r="Q57" s="15">
        <f t="shared" si="5"/>
        <v>5</v>
      </c>
      <c r="R57" s="15">
        <f t="shared" si="6"/>
        <v>7.7940056169999998</v>
      </c>
      <c r="S57" s="15">
        <f t="shared" si="7"/>
        <v>0</v>
      </c>
      <c r="T57" s="14" t="str">
        <f t="shared" si="8"/>
        <v>Satisfactorio</v>
      </c>
      <c r="U57" s="14">
        <f t="shared" si="14"/>
        <v>0</v>
      </c>
      <c r="V57" s="14">
        <f t="shared" si="15"/>
        <v>0</v>
      </c>
    </row>
    <row r="58" spans="1:28">
      <c r="A58" s="17">
        <v>30590</v>
      </c>
      <c r="B58" s="9">
        <v>1983</v>
      </c>
      <c r="C58" s="9" t="s">
        <v>108</v>
      </c>
      <c r="D58" s="11">
        <v>175.5</v>
      </c>
      <c r="E58" s="15">
        <f>'Hoja 4 - Cálculo'!$B$12</f>
        <v>250</v>
      </c>
      <c r="F58" s="15">
        <f>'Hoja 4 - Cálculo'!$B$13</f>
        <v>0.85</v>
      </c>
      <c r="G58" s="15">
        <f>'Hoja 4 - Cálculo'!$B$14</f>
        <v>0.9</v>
      </c>
      <c r="H58" s="15">
        <f t="shared" si="0"/>
        <v>33.564374999999998</v>
      </c>
      <c r="I58" s="11">
        <v>8</v>
      </c>
      <c r="J58" s="11">
        <v>1.5</v>
      </c>
      <c r="K58" s="11">
        <v>2</v>
      </c>
      <c r="L58" s="15">
        <f t="shared" si="1"/>
        <v>11.5</v>
      </c>
      <c r="M58" s="15">
        <f t="shared" si="13"/>
        <v>5</v>
      </c>
      <c r="N58" s="15">
        <f t="shared" si="2"/>
        <v>0.77128750000000001</v>
      </c>
      <c r="O58" s="15">
        <f t="shared" si="3"/>
        <v>37.793087499999999</v>
      </c>
      <c r="P58" s="15">
        <f t="shared" si="4"/>
        <v>11.5</v>
      </c>
      <c r="Q58" s="15">
        <f t="shared" si="5"/>
        <v>5</v>
      </c>
      <c r="R58" s="15">
        <f t="shared" si="6"/>
        <v>21.293087499999999</v>
      </c>
      <c r="S58" s="15">
        <f t="shared" si="7"/>
        <v>0</v>
      </c>
      <c r="T58" s="14" t="str">
        <f t="shared" si="8"/>
        <v>Satisfactorio</v>
      </c>
      <c r="U58" s="14">
        <f t="shared" si="14"/>
        <v>0</v>
      </c>
      <c r="V58" s="14">
        <f t="shared" si="15"/>
        <v>0</v>
      </c>
    </row>
    <row r="59" spans="1:28">
      <c r="A59" s="17">
        <v>30621</v>
      </c>
      <c r="B59" s="9">
        <v>1983</v>
      </c>
      <c r="C59" s="9" t="s">
        <v>109</v>
      </c>
      <c r="D59" s="11">
        <v>146.80000000000001</v>
      </c>
      <c r="E59" s="15">
        <f>'Hoja 4 - Cálculo'!$B$12</f>
        <v>250</v>
      </c>
      <c r="F59" s="15">
        <f>'Hoja 4 - Cálculo'!$B$13</f>
        <v>0.85</v>
      </c>
      <c r="G59" s="15">
        <f>'Hoja 4 - Cálculo'!$B$14</f>
        <v>0.9</v>
      </c>
      <c r="H59" s="15">
        <f t="shared" si="0"/>
        <v>28.075500000000002</v>
      </c>
      <c r="I59" s="11">
        <v>8</v>
      </c>
      <c r="J59" s="11">
        <v>1.5</v>
      </c>
      <c r="K59" s="11">
        <v>2</v>
      </c>
      <c r="L59" s="15">
        <f t="shared" si="1"/>
        <v>11.5</v>
      </c>
      <c r="M59" s="15">
        <f t="shared" si="13"/>
        <v>5</v>
      </c>
      <c r="N59" s="15">
        <f t="shared" si="2"/>
        <v>0.66151000000000015</v>
      </c>
      <c r="O59" s="15">
        <f t="shared" si="3"/>
        <v>32.413990000000005</v>
      </c>
      <c r="P59" s="15">
        <f t="shared" si="4"/>
        <v>11.5</v>
      </c>
      <c r="Q59" s="15">
        <f t="shared" si="5"/>
        <v>5</v>
      </c>
      <c r="R59" s="15">
        <f t="shared" si="6"/>
        <v>15.913990000000005</v>
      </c>
      <c r="S59" s="15">
        <f t="shared" si="7"/>
        <v>0</v>
      </c>
      <c r="T59" s="14" t="str">
        <f t="shared" si="8"/>
        <v>Satisfactorio</v>
      </c>
      <c r="U59" s="14">
        <f t="shared" si="14"/>
        <v>0</v>
      </c>
      <c r="V59" s="14">
        <f t="shared" si="15"/>
        <v>0</v>
      </c>
    </row>
    <row r="60" spans="1:28">
      <c r="A60" s="17">
        <v>30651</v>
      </c>
      <c r="B60" s="9">
        <v>1983</v>
      </c>
      <c r="C60" s="9" t="s">
        <v>110</v>
      </c>
      <c r="D60" s="11">
        <v>83.3</v>
      </c>
      <c r="E60" s="15">
        <f>'Hoja 4 - Cálculo'!$B$12</f>
        <v>250</v>
      </c>
      <c r="F60" s="15">
        <f>'Hoja 4 - Cálculo'!$B$13</f>
        <v>0.85</v>
      </c>
      <c r="G60" s="15">
        <f>'Hoja 4 - Cálculo'!$B$14</f>
        <v>0.9</v>
      </c>
      <c r="H60" s="15">
        <f t="shared" si="0"/>
        <v>15.931125</v>
      </c>
      <c r="I60" s="11">
        <v>8</v>
      </c>
      <c r="J60" s="11">
        <v>6</v>
      </c>
      <c r="K60" s="11">
        <v>2</v>
      </c>
      <c r="L60" s="15">
        <f t="shared" si="1"/>
        <v>16</v>
      </c>
      <c r="M60" s="15">
        <f t="shared" si="13"/>
        <v>5</v>
      </c>
      <c r="N60" s="15">
        <f t="shared" si="2"/>
        <v>0.41862250000000006</v>
      </c>
      <c r="O60" s="15">
        <f t="shared" si="3"/>
        <v>20.5125025</v>
      </c>
      <c r="P60" s="15">
        <f t="shared" si="4"/>
        <v>16</v>
      </c>
      <c r="Q60" s="15">
        <f t="shared" si="5"/>
        <v>4.5125025000000001</v>
      </c>
      <c r="R60" s="15">
        <f t="shared" si="6"/>
        <v>0</v>
      </c>
      <c r="S60" s="15">
        <f t="shared" si="7"/>
        <v>0</v>
      </c>
      <c r="T60" s="14" t="str">
        <f t="shared" si="8"/>
        <v>Satisfactorio</v>
      </c>
      <c r="U60" s="14">
        <f t="shared" si="14"/>
        <v>0</v>
      </c>
      <c r="V60" s="14">
        <f t="shared" si="15"/>
        <v>0</v>
      </c>
    </row>
    <row r="61" spans="1:28">
      <c r="A61" s="17">
        <v>30682</v>
      </c>
      <c r="B61" s="9">
        <v>1984</v>
      </c>
      <c r="C61" s="9" t="s">
        <v>99</v>
      </c>
      <c r="D61" s="11">
        <v>57.1</v>
      </c>
      <c r="E61" s="15">
        <f>'Hoja 4 - Cálculo'!$B$12</f>
        <v>250</v>
      </c>
      <c r="F61" s="15">
        <f>'Hoja 4 - Cálculo'!$B$13</f>
        <v>0.85</v>
      </c>
      <c r="G61" s="15">
        <f>'Hoja 4 - Cálculo'!$B$14</f>
        <v>0.9</v>
      </c>
      <c r="H61" s="15">
        <f t="shared" si="0"/>
        <v>10.920375</v>
      </c>
      <c r="I61" s="11">
        <v>8</v>
      </c>
      <c r="J61" s="11">
        <v>6</v>
      </c>
      <c r="K61" s="11">
        <v>2</v>
      </c>
      <c r="L61" s="15">
        <f t="shared" si="1"/>
        <v>16</v>
      </c>
      <c r="M61" s="15">
        <f t="shared" si="13"/>
        <v>4.5125025000000001</v>
      </c>
      <c r="N61" s="15">
        <f t="shared" si="2"/>
        <v>0.30865755</v>
      </c>
      <c r="O61" s="15">
        <f t="shared" si="3"/>
        <v>15.124219950000001</v>
      </c>
      <c r="P61" s="15">
        <f t="shared" si="4"/>
        <v>15.124219950000001</v>
      </c>
      <c r="Q61" s="15">
        <f t="shared" si="5"/>
        <v>0</v>
      </c>
      <c r="R61" s="15">
        <f t="shared" si="6"/>
        <v>0</v>
      </c>
      <c r="S61" s="15">
        <f t="shared" si="7"/>
        <v>0.87578004999999948</v>
      </c>
      <c r="T61" s="14" t="str">
        <f t="shared" si="8"/>
        <v>Falla</v>
      </c>
      <c r="U61" s="14">
        <f t="shared" si="14"/>
        <v>0</v>
      </c>
      <c r="V61" s="14">
        <f t="shared" si="15"/>
        <v>1</v>
      </c>
    </row>
    <row r="62" spans="1:28">
      <c r="A62" s="17">
        <v>30713</v>
      </c>
      <c r="B62" s="9">
        <v>1984</v>
      </c>
      <c r="C62" s="9" t="s">
        <v>100</v>
      </c>
      <c r="D62" s="11">
        <v>68.2</v>
      </c>
      <c r="E62" s="15">
        <f>'Hoja 4 - Cálculo'!$B$12</f>
        <v>250</v>
      </c>
      <c r="F62" s="15">
        <f>'Hoja 4 - Cálculo'!$B$13</f>
        <v>0.85</v>
      </c>
      <c r="G62" s="15">
        <f>'Hoja 4 - Cálculo'!$B$14</f>
        <v>0.9</v>
      </c>
      <c r="H62" s="15">
        <f t="shared" si="0"/>
        <v>13.04325</v>
      </c>
      <c r="I62" s="11">
        <v>8</v>
      </c>
      <c r="J62" s="11">
        <v>6</v>
      </c>
      <c r="K62" s="11">
        <v>2</v>
      </c>
      <c r="L62" s="15">
        <f t="shared" si="1"/>
        <v>16</v>
      </c>
      <c r="M62" s="15">
        <f t="shared" si="13"/>
        <v>0</v>
      </c>
      <c r="N62" s="15">
        <f t="shared" si="2"/>
        <v>0.26086500000000001</v>
      </c>
      <c r="O62" s="15">
        <f t="shared" si="3"/>
        <v>12.782385</v>
      </c>
      <c r="P62" s="15">
        <f t="shared" si="4"/>
        <v>12.782385</v>
      </c>
      <c r="Q62" s="15">
        <f t="shared" si="5"/>
        <v>0</v>
      </c>
      <c r="R62" s="15">
        <f t="shared" si="6"/>
        <v>0</v>
      </c>
      <c r="S62" s="15">
        <f t="shared" si="7"/>
        <v>3.2176150000000003</v>
      </c>
      <c r="T62" s="14" t="str">
        <f t="shared" si="8"/>
        <v>Falla</v>
      </c>
      <c r="U62" s="14">
        <f t="shared" si="14"/>
        <v>0</v>
      </c>
      <c r="V62" s="14">
        <f t="shared" si="15"/>
        <v>0</v>
      </c>
    </row>
    <row r="63" spans="1:28">
      <c r="A63" s="17">
        <v>30742</v>
      </c>
      <c r="B63" s="9">
        <v>1984</v>
      </c>
      <c r="C63" s="9" t="s">
        <v>101</v>
      </c>
      <c r="D63" s="11">
        <v>106</v>
      </c>
      <c r="E63" s="15">
        <f>'Hoja 4 - Cálculo'!$B$12</f>
        <v>250</v>
      </c>
      <c r="F63" s="15">
        <f>'Hoja 4 - Cálculo'!$B$13</f>
        <v>0.85</v>
      </c>
      <c r="G63" s="15">
        <f>'Hoja 4 - Cálculo'!$B$14</f>
        <v>0.9</v>
      </c>
      <c r="H63" s="15">
        <f t="shared" si="0"/>
        <v>20.272500000000001</v>
      </c>
      <c r="I63" s="11">
        <v>8</v>
      </c>
      <c r="J63" s="11">
        <v>6</v>
      </c>
      <c r="K63" s="11">
        <v>2</v>
      </c>
      <c r="L63" s="15">
        <f t="shared" si="1"/>
        <v>16</v>
      </c>
      <c r="M63" s="15">
        <f t="shared" si="13"/>
        <v>0</v>
      </c>
      <c r="N63" s="15">
        <f t="shared" si="2"/>
        <v>0.40545000000000003</v>
      </c>
      <c r="O63" s="15">
        <f t="shared" si="3"/>
        <v>19.867050000000003</v>
      </c>
      <c r="P63" s="15">
        <f t="shared" si="4"/>
        <v>16</v>
      </c>
      <c r="Q63" s="15">
        <f t="shared" si="5"/>
        <v>3.8670500000000025</v>
      </c>
      <c r="R63" s="15">
        <f t="shared" si="6"/>
        <v>0</v>
      </c>
      <c r="S63" s="15">
        <f t="shared" si="7"/>
        <v>0</v>
      </c>
      <c r="T63" s="14" t="str">
        <f t="shared" si="8"/>
        <v>Satisfactorio</v>
      </c>
      <c r="U63" s="14">
        <f t="shared" si="14"/>
        <v>1</v>
      </c>
      <c r="V63" s="14">
        <f t="shared" si="15"/>
        <v>0</v>
      </c>
    </row>
    <row r="64" spans="1:28">
      <c r="A64" s="17">
        <v>30773</v>
      </c>
      <c r="B64" s="9">
        <v>1984</v>
      </c>
      <c r="C64" s="9" t="s">
        <v>102</v>
      </c>
      <c r="D64" s="11">
        <v>146</v>
      </c>
      <c r="E64" s="15">
        <f>'Hoja 4 - Cálculo'!$B$12</f>
        <v>250</v>
      </c>
      <c r="F64" s="15">
        <f>'Hoja 4 - Cálculo'!$B$13</f>
        <v>0.85</v>
      </c>
      <c r="G64" s="15">
        <f>'Hoja 4 - Cálculo'!$B$14</f>
        <v>0.9</v>
      </c>
      <c r="H64" s="15">
        <f t="shared" si="0"/>
        <v>27.922499999999999</v>
      </c>
      <c r="I64" s="11">
        <v>8</v>
      </c>
      <c r="J64" s="11">
        <v>1.5</v>
      </c>
      <c r="K64" s="11">
        <v>2</v>
      </c>
      <c r="L64" s="15">
        <f t="shared" si="1"/>
        <v>11.5</v>
      </c>
      <c r="M64" s="15">
        <f t="shared" si="13"/>
        <v>3.8670500000000025</v>
      </c>
      <c r="N64" s="15">
        <f t="shared" si="2"/>
        <v>0.63579100000000011</v>
      </c>
      <c r="O64" s="15">
        <f t="shared" si="3"/>
        <v>31.153759000000001</v>
      </c>
      <c r="P64" s="15">
        <f t="shared" si="4"/>
        <v>11.5</v>
      </c>
      <c r="Q64" s="15">
        <f t="shared" si="5"/>
        <v>5</v>
      </c>
      <c r="R64" s="15">
        <f t="shared" si="6"/>
        <v>14.653759000000001</v>
      </c>
      <c r="S64" s="15">
        <f t="shared" si="7"/>
        <v>0</v>
      </c>
      <c r="T64" s="14" t="str">
        <f t="shared" si="8"/>
        <v>Satisfactorio</v>
      </c>
      <c r="U64" s="14">
        <f t="shared" si="14"/>
        <v>0</v>
      </c>
      <c r="V64" s="14">
        <f t="shared" si="15"/>
        <v>0</v>
      </c>
    </row>
    <row r="65" spans="1:22">
      <c r="A65" s="17">
        <v>30803</v>
      </c>
      <c r="B65" s="9">
        <v>1984</v>
      </c>
      <c r="C65" s="9" t="s">
        <v>103</v>
      </c>
      <c r="D65" s="11">
        <v>123.7</v>
      </c>
      <c r="E65" s="15">
        <f>'Hoja 4 - Cálculo'!$B$12</f>
        <v>250</v>
      </c>
      <c r="F65" s="15">
        <f>'Hoja 4 - Cálculo'!$B$13</f>
        <v>0.85</v>
      </c>
      <c r="G65" s="15">
        <f>'Hoja 4 - Cálculo'!$B$14</f>
        <v>0.9</v>
      </c>
      <c r="H65" s="15">
        <f t="shared" si="0"/>
        <v>23.657624999999999</v>
      </c>
      <c r="I65" s="11">
        <v>8</v>
      </c>
      <c r="J65" s="11">
        <v>1.5</v>
      </c>
      <c r="K65" s="11">
        <v>2</v>
      </c>
      <c r="L65" s="15">
        <f t="shared" si="1"/>
        <v>11.5</v>
      </c>
      <c r="M65" s="15">
        <f t="shared" si="13"/>
        <v>5</v>
      </c>
      <c r="N65" s="15">
        <f t="shared" si="2"/>
        <v>0.57315249999999995</v>
      </c>
      <c r="O65" s="15">
        <f t="shared" si="3"/>
        <v>28.0844725</v>
      </c>
      <c r="P65" s="15">
        <f t="shared" si="4"/>
        <v>11.5</v>
      </c>
      <c r="Q65" s="15">
        <f t="shared" si="5"/>
        <v>5</v>
      </c>
      <c r="R65" s="15">
        <f t="shared" si="6"/>
        <v>11.5844725</v>
      </c>
      <c r="S65" s="15">
        <f t="shared" si="7"/>
        <v>0</v>
      </c>
      <c r="T65" s="14" t="str">
        <f t="shared" si="8"/>
        <v>Satisfactorio</v>
      </c>
      <c r="U65" s="14">
        <f t="shared" si="14"/>
        <v>0</v>
      </c>
      <c r="V65" s="14">
        <f t="shared" si="15"/>
        <v>0</v>
      </c>
    </row>
    <row r="66" spans="1:22">
      <c r="A66" s="17">
        <v>30834</v>
      </c>
      <c r="B66" s="9">
        <v>1984</v>
      </c>
      <c r="C66" s="9" t="s">
        <v>104</v>
      </c>
      <c r="D66" s="11">
        <v>76.099999999999994</v>
      </c>
      <c r="E66" s="15">
        <f>'Hoja 4 - Cálculo'!$B$12</f>
        <v>250</v>
      </c>
      <c r="F66" s="15">
        <f>'Hoja 4 - Cálculo'!$B$13</f>
        <v>0.85</v>
      </c>
      <c r="G66" s="15">
        <f>'Hoja 4 - Cálculo'!$B$14</f>
        <v>0.9</v>
      </c>
      <c r="H66" s="15">
        <f t="shared" si="0"/>
        <v>14.554125000000001</v>
      </c>
      <c r="I66" s="11">
        <v>8</v>
      </c>
      <c r="J66" s="11">
        <v>1.5</v>
      </c>
      <c r="K66" s="11">
        <v>2</v>
      </c>
      <c r="L66" s="15">
        <f t="shared" si="1"/>
        <v>11.5</v>
      </c>
      <c r="M66" s="15">
        <f t="shared" si="13"/>
        <v>5</v>
      </c>
      <c r="N66" s="15">
        <f t="shared" si="2"/>
        <v>0.3910825</v>
      </c>
      <c r="O66" s="15">
        <f t="shared" si="3"/>
        <v>19.1630425</v>
      </c>
      <c r="P66" s="15">
        <f t="shared" si="4"/>
        <v>11.5</v>
      </c>
      <c r="Q66" s="15">
        <f t="shared" si="5"/>
        <v>5</v>
      </c>
      <c r="R66" s="15">
        <f t="shared" si="6"/>
        <v>2.6630424999999995</v>
      </c>
      <c r="S66" s="15">
        <f t="shared" si="7"/>
        <v>0</v>
      </c>
      <c r="T66" s="14" t="str">
        <f t="shared" si="8"/>
        <v>Satisfactorio</v>
      </c>
      <c r="U66" s="14">
        <f t="shared" si="14"/>
        <v>0</v>
      </c>
      <c r="V66" s="14">
        <f t="shared" si="15"/>
        <v>0</v>
      </c>
    </row>
    <row r="67" spans="1:22">
      <c r="A67" s="17">
        <v>30864</v>
      </c>
      <c r="B67" s="9">
        <v>1984</v>
      </c>
      <c r="C67" s="9" t="s">
        <v>105</v>
      </c>
      <c r="D67" s="11">
        <v>66.900000000000006</v>
      </c>
      <c r="E67" s="15">
        <f>'Hoja 4 - Cálculo'!$B$12</f>
        <v>250</v>
      </c>
      <c r="F67" s="15">
        <f>'Hoja 4 - Cálculo'!$B$13</f>
        <v>0.85</v>
      </c>
      <c r="G67" s="15">
        <f>'Hoja 4 - Cálculo'!$B$14</f>
        <v>0.9</v>
      </c>
      <c r="H67" s="15">
        <f t="shared" si="0"/>
        <v>12.794625</v>
      </c>
      <c r="I67" s="11">
        <v>8</v>
      </c>
      <c r="J67" s="11">
        <v>6</v>
      </c>
      <c r="K67" s="11">
        <v>2</v>
      </c>
      <c r="L67" s="15">
        <f t="shared" si="1"/>
        <v>16</v>
      </c>
      <c r="M67" s="15">
        <f t="shared" si="13"/>
        <v>5</v>
      </c>
      <c r="N67" s="15">
        <f t="shared" si="2"/>
        <v>0.3558925</v>
      </c>
      <c r="O67" s="15">
        <f t="shared" si="3"/>
        <v>17.4387325</v>
      </c>
      <c r="P67" s="15">
        <f t="shared" si="4"/>
        <v>16</v>
      </c>
      <c r="Q67" s="15">
        <f t="shared" si="5"/>
        <v>1.4387325000000004</v>
      </c>
      <c r="R67" s="15">
        <f t="shared" si="6"/>
        <v>0</v>
      </c>
      <c r="S67" s="15">
        <f t="shared" si="7"/>
        <v>0</v>
      </c>
      <c r="T67" s="14" t="str">
        <f t="shared" si="8"/>
        <v>Satisfactorio</v>
      </c>
      <c r="U67" s="14">
        <f t="shared" si="14"/>
        <v>0</v>
      </c>
      <c r="V67" s="14">
        <f t="shared" si="15"/>
        <v>0</v>
      </c>
    </row>
    <row r="68" spans="1:22">
      <c r="A68" s="17">
        <v>30895</v>
      </c>
      <c r="B68" s="9">
        <v>1984</v>
      </c>
      <c r="C68" s="9" t="s">
        <v>106</v>
      </c>
      <c r="D68" s="11">
        <v>71.599999999999994</v>
      </c>
      <c r="E68" s="15">
        <f>'Hoja 4 - Cálculo'!$B$12</f>
        <v>250</v>
      </c>
      <c r="F68" s="15">
        <f>'Hoja 4 - Cálculo'!$B$13</f>
        <v>0.85</v>
      </c>
      <c r="G68" s="15">
        <f>'Hoja 4 - Cálculo'!$B$14</f>
        <v>0.9</v>
      </c>
      <c r="H68" s="15">
        <f t="shared" si="0"/>
        <v>13.6935</v>
      </c>
      <c r="I68" s="11">
        <v>8</v>
      </c>
      <c r="J68" s="11">
        <v>6</v>
      </c>
      <c r="K68" s="11">
        <v>2</v>
      </c>
      <c r="L68" s="15">
        <f t="shared" si="1"/>
        <v>16</v>
      </c>
      <c r="M68" s="15">
        <f t="shared" si="13"/>
        <v>1.4387325000000004</v>
      </c>
      <c r="N68" s="15">
        <f t="shared" si="2"/>
        <v>0.30264465000000002</v>
      </c>
      <c r="O68" s="15">
        <f t="shared" si="3"/>
        <v>14.829587850000001</v>
      </c>
      <c r="P68" s="15">
        <f t="shared" si="4"/>
        <v>14.829587850000001</v>
      </c>
      <c r="Q68" s="15">
        <f t="shared" si="5"/>
        <v>0</v>
      </c>
      <c r="R68" s="15">
        <f t="shared" si="6"/>
        <v>0</v>
      </c>
      <c r="S68" s="15">
        <f t="shared" si="7"/>
        <v>1.1704121499999989</v>
      </c>
      <c r="T68" s="14" t="str">
        <f t="shared" si="8"/>
        <v>Falla</v>
      </c>
      <c r="U68" s="14">
        <f t="shared" si="14"/>
        <v>0</v>
      </c>
      <c r="V68" s="14">
        <f t="shared" si="15"/>
        <v>1</v>
      </c>
    </row>
    <row r="69" spans="1:22">
      <c r="A69" s="17">
        <v>30926</v>
      </c>
      <c r="B69" s="9">
        <v>1984</v>
      </c>
      <c r="C69" s="9" t="s">
        <v>107</v>
      </c>
      <c r="D69" s="11">
        <v>107.3</v>
      </c>
      <c r="E69" s="15">
        <f>'Hoja 4 - Cálculo'!$B$12</f>
        <v>250</v>
      </c>
      <c r="F69" s="15">
        <f>'Hoja 4 - Cálculo'!$B$13</f>
        <v>0.85</v>
      </c>
      <c r="G69" s="15">
        <f>'Hoja 4 - Cálculo'!$B$14</f>
        <v>0.9</v>
      </c>
      <c r="H69" s="15">
        <f t="shared" si="0"/>
        <v>20.521125000000001</v>
      </c>
      <c r="I69" s="11">
        <v>8</v>
      </c>
      <c r="J69" s="11">
        <v>1.5</v>
      </c>
      <c r="K69" s="11">
        <v>2</v>
      </c>
      <c r="L69" s="15">
        <f t="shared" si="1"/>
        <v>11.5</v>
      </c>
      <c r="M69" s="15">
        <f t="shared" si="13"/>
        <v>0</v>
      </c>
      <c r="N69" s="15">
        <f t="shared" si="2"/>
        <v>0.41042250000000002</v>
      </c>
      <c r="O69" s="15">
        <f t="shared" si="3"/>
        <v>20.110702500000002</v>
      </c>
      <c r="P69" s="15">
        <f t="shared" si="4"/>
        <v>11.5</v>
      </c>
      <c r="Q69" s="15">
        <f t="shared" si="5"/>
        <v>5</v>
      </c>
      <c r="R69" s="15">
        <f t="shared" si="6"/>
        <v>3.6107025000000021</v>
      </c>
      <c r="S69" s="15">
        <f t="shared" si="7"/>
        <v>0</v>
      </c>
      <c r="T69" s="14" t="str">
        <f t="shared" si="8"/>
        <v>Satisfactorio</v>
      </c>
      <c r="U69" s="14">
        <f t="shared" si="14"/>
        <v>1</v>
      </c>
      <c r="V69" s="14">
        <f t="shared" si="15"/>
        <v>0</v>
      </c>
    </row>
    <row r="70" spans="1:22">
      <c r="A70" s="17">
        <v>30956</v>
      </c>
      <c r="B70" s="9">
        <v>1984</v>
      </c>
      <c r="C70" s="9" t="s">
        <v>108</v>
      </c>
      <c r="D70" s="11">
        <v>141.5</v>
      </c>
      <c r="E70" s="15">
        <f>'Hoja 4 - Cálculo'!$B$12</f>
        <v>250</v>
      </c>
      <c r="F70" s="15">
        <f>'Hoja 4 - Cálculo'!$B$13</f>
        <v>0.85</v>
      </c>
      <c r="G70" s="15">
        <f>'Hoja 4 - Cálculo'!$B$14</f>
        <v>0.9</v>
      </c>
      <c r="H70" s="15">
        <f t="shared" si="0"/>
        <v>27.061875000000001</v>
      </c>
      <c r="I70" s="11">
        <v>8</v>
      </c>
      <c r="J70" s="11">
        <v>1.5</v>
      </c>
      <c r="K70" s="11">
        <v>2</v>
      </c>
      <c r="L70" s="15">
        <f t="shared" si="1"/>
        <v>11.5</v>
      </c>
      <c r="M70" s="15">
        <f t="shared" si="13"/>
        <v>5</v>
      </c>
      <c r="N70" s="15">
        <f t="shared" si="2"/>
        <v>0.64123750000000002</v>
      </c>
      <c r="O70" s="15">
        <f t="shared" si="3"/>
        <v>31.420637500000002</v>
      </c>
      <c r="P70" s="15">
        <f t="shared" si="4"/>
        <v>11.5</v>
      </c>
      <c r="Q70" s="15">
        <f t="shared" si="5"/>
        <v>5</v>
      </c>
      <c r="R70" s="15">
        <f t="shared" si="6"/>
        <v>14.920637500000002</v>
      </c>
      <c r="S70" s="15">
        <f t="shared" si="7"/>
        <v>0</v>
      </c>
      <c r="T70" s="14" t="str">
        <f t="shared" si="8"/>
        <v>Satisfactorio</v>
      </c>
      <c r="U70" s="14">
        <f t="shared" si="14"/>
        <v>0</v>
      </c>
      <c r="V70" s="14">
        <f t="shared" si="15"/>
        <v>0</v>
      </c>
    </row>
    <row r="71" spans="1:22">
      <c r="A71" s="17">
        <v>30987</v>
      </c>
      <c r="B71" s="9">
        <v>1984</v>
      </c>
      <c r="C71" s="9" t="s">
        <v>109</v>
      </c>
      <c r="D71" s="11">
        <v>127.3</v>
      </c>
      <c r="E71" s="15">
        <f>'Hoja 4 - Cálculo'!$B$12</f>
        <v>250</v>
      </c>
      <c r="F71" s="15">
        <f>'Hoja 4 - Cálculo'!$B$13</f>
        <v>0.85</v>
      </c>
      <c r="G71" s="15">
        <f>'Hoja 4 - Cálculo'!$B$14</f>
        <v>0.9</v>
      </c>
      <c r="H71" s="15">
        <f t="shared" si="0"/>
        <v>24.346125000000001</v>
      </c>
      <c r="I71" s="11">
        <v>8</v>
      </c>
      <c r="J71" s="11">
        <v>1.5</v>
      </c>
      <c r="K71" s="11">
        <v>2</v>
      </c>
      <c r="L71" s="15">
        <f t="shared" si="1"/>
        <v>11.5</v>
      </c>
      <c r="M71" s="15">
        <f t="shared" si="13"/>
        <v>5</v>
      </c>
      <c r="N71" s="15">
        <f t="shared" si="2"/>
        <v>0.58692250000000001</v>
      </c>
      <c r="O71" s="15">
        <f t="shared" si="3"/>
        <v>28.759202500000001</v>
      </c>
      <c r="P71" s="15">
        <f t="shared" si="4"/>
        <v>11.5</v>
      </c>
      <c r="Q71" s="15">
        <f t="shared" si="5"/>
        <v>5</v>
      </c>
      <c r="R71" s="15">
        <f t="shared" si="6"/>
        <v>12.259202500000001</v>
      </c>
      <c r="S71" s="15">
        <f t="shared" si="7"/>
        <v>0</v>
      </c>
      <c r="T71" s="14" t="str">
        <f t="shared" si="8"/>
        <v>Satisfactorio</v>
      </c>
      <c r="U71" s="14">
        <f t="shared" si="14"/>
        <v>0</v>
      </c>
      <c r="V71" s="14">
        <f t="shared" si="15"/>
        <v>0</v>
      </c>
    </row>
    <row r="72" spans="1:22">
      <c r="A72" s="17">
        <v>31017</v>
      </c>
      <c r="B72" s="9">
        <v>1984</v>
      </c>
      <c r="C72" s="9" t="s">
        <v>110</v>
      </c>
      <c r="D72" s="11">
        <v>77.099999999999994</v>
      </c>
      <c r="E72" s="15">
        <f>'Hoja 4 - Cálculo'!$B$12</f>
        <v>250</v>
      </c>
      <c r="F72" s="15">
        <f>'Hoja 4 - Cálculo'!$B$13</f>
        <v>0.85</v>
      </c>
      <c r="G72" s="15">
        <f>'Hoja 4 - Cálculo'!$B$14</f>
        <v>0.9</v>
      </c>
      <c r="H72" s="15">
        <f t="shared" si="0"/>
        <v>14.745374999999999</v>
      </c>
      <c r="I72" s="11">
        <v>8</v>
      </c>
      <c r="J72" s="11">
        <v>6</v>
      </c>
      <c r="K72" s="11">
        <v>2</v>
      </c>
      <c r="L72" s="15">
        <f t="shared" si="1"/>
        <v>16</v>
      </c>
      <c r="M72" s="15">
        <f t="shared" si="13"/>
        <v>5</v>
      </c>
      <c r="N72" s="15">
        <f t="shared" si="2"/>
        <v>0.39490749999999997</v>
      </c>
      <c r="O72" s="15">
        <f t="shared" si="3"/>
        <v>19.350467500000001</v>
      </c>
      <c r="P72" s="15">
        <f t="shared" si="4"/>
        <v>16</v>
      </c>
      <c r="Q72" s="15">
        <f t="shared" si="5"/>
        <v>3.3504675000000006</v>
      </c>
      <c r="R72" s="15">
        <f t="shared" si="6"/>
        <v>0</v>
      </c>
      <c r="S72" s="15">
        <f t="shared" si="7"/>
        <v>0</v>
      </c>
      <c r="T72" s="14" t="str">
        <f t="shared" si="8"/>
        <v>Satisfactorio</v>
      </c>
      <c r="U72" s="14">
        <f t="shared" si="14"/>
        <v>0</v>
      </c>
      <c r="V72" s="14">
        <f t="shared" si="15"/>
        <v>0</v>
      </c>
    </row>
    <row r="73" spans="1:22">
      <c r="A73" s="17">
        <v>31048</v>
      </c>
      <c r="B73" s="9">
        <v>1985</v>
      </c>
      <c r="C73" s="9" t="s">
        <v>99</v>
      </c>
      <c r="D73" s="11">
        <v>56.3</v>
      </c>
      <c r="E73" s="15">
        <f>'Hoja 4 - Cálculo'!$B$12</f>
        <v>250</v>
      </c>
      <c r="F73" s="15">
        <f>'Hoja 4 - Cálculo'!$B$13</f>
        <v>0.85</v>
      </c>
      <c r="G73" s="15">
        <f>'Hoja 4 - Cálculo'!$B$14</f>
        <v>0.9</v>
      </c>
      <c r="H73" s="15">
        <f t="shared" si="0"/>
        <v>10.767374999999999</v>
      </c>
      <c r="I73" s="11">
        <v>8</v>
      </c>
      <c r="J73" s="11">
        <v>6</v>
      </c>
      <c r="K73" s="11">
        <v>2</v>
      </c>
      <c r="L73" s="15">
        <f t="shared" si="1"/>
        <v>16</v>
      </c>
      <c r="M73" s="15">
        <f t="shared" si="13"/>
        <v>3.3504675000000006</v>
      </c>
      <c r="N73" s="15">
        <f t="shared" si="2"/>
        <v>0.28235684999999999</v>
      </c>
      <c r="O73" s="15">
        <f t="shared" si="3"/>
        <v>13.835485650000001</v>
      </c>
      <c r="P73" s="15">
        <f t="shared" si="4"/>
        <v>13.835485650000001</v>
      </c>
      <c r="Q73" s="15">
        <f t="shared" si="5"/>
        <v>0</v>
      </c>
      <c r="R73" s="15">
        <f t="shared" si="6"/>
        <v>0</v>
      </c>
      <c r="S73" s="15">
        <f t="shared" si="7"/>
        <v>2.1645143499999993</v>
      </c>
      <c r="T73" s="14" t="str">
        <f t="shared" si="8"/>
        <v>Falla</v>
      </c>
      <c r="U73" s="14">
        <f t="shared" si="14"/>
        <v>0</v>
      </c>
      <c r="V73" s="14">
        <f t="shared" si="15"/>
        <v>1</v>
      </c>
    </row>
    <row r="74" spans="1:22">
      <c r="A74" s="17">
        <v>31079</v>
      </c>
      <c r="B74" s="9">
        <v>1985</v>
      </c>
      <c r="C74" s="9" t="s">
        <v>100</v>
      </c>
      <c r="D74" s="11">
        <v>70.400000000000006</v>
      </c>
      <c r="E74" s="15">
        <f>'Hoja 4 - Cálculo'!$B$12</f>
        <v>250</v>
      </c>
      <c r="F74" s="15">
        <f>'Hoja 4 - Cálculo'!$B$13</f>
        <v>0.85</v>
      </c>
      <c r="G74" s="15">
        <f>'Hoja 4 - Cálculo'!$B$14</f>
        <v>0.9</v>
      </c>
      <c r="H74" s="15">
        <f t="shared" si="0"/>
        <v>13.464</v>
      </c>
      <c r="I74" s="11">
        <v>8</v>
      </c>
      <c r="J74" s="11">
        <v>6</v>
      </c>
      <c r="K74" s="11">
        <v>2</v>
      </c>
      <c r="L74" s="15">
        <f t="shared" si="1"/>
        <v>16</v>
      </c>
      <c r="M74" s="15">
        <f t="shared" si="13"/>
        <v>0</v>
      </c>
      <c r="N74" s="15">
        <f t="shared" si="2"/>
        <v>0.26928000000000002</v>
      </c>
      <c r="O74" s="15">
        <f t="shared" si="3"/>
        <v>13.19472</v>
      </c>
      <c r="P74" s="15">
        <f t="shared" si="4"/>
        <v>13.19472</v>
      </c>
      <c r="Q74" s="15">
        <f t="shared" si="5"/>
        <v>0</v>
      </c>
      <c r="R74" s="15">
        <f t="shared" si="6"/>
        <v>0</v>
      </c>
      <c r="S74" s="15">
        <f t="shared" si="7"/>
        <v>2.8052799999999998</v>
      </c>
      <c r="T74" s="14" t="str">
        <f t="shared" si="8"/>
        <v>Falla</v>
      </c>
      <c r="U74" s="14">
        <f t="shared" si="14"/>
        <v>0</v>
      </c>
      <c r="V74" s="14">
        <f t="shared" si="15"/>
        <v>0</v>
      </c>
    </row>
    <row r="75" spans="1:22">
      <c r="A75" s="17">
        <v>31107</v>
      </c>
      <c r="B75" s="9">
        <v>1985</v>
      </c>
      <c r="C75" s="9" t="s">
        <v>101</v>
      </c>
      <c r="D75" s="11">
        <v>101.7</v>
      </c>
      <c r="E75" s="15">
        <f>'Hoja 4 - Cálculo'!$B$12</f>
        <v>250</v>
      </c>
      <c r="F75" s="15">
        <f>'Hoja 4 - Cálculo'!$B$13</f>
        <v>0.85</v>
      </c>
      <c r="G75" s="15">
        <f>'Hoja 4 - Cálculo'!$B$14</f>
        <v>0.9</v>
      </c>
      <c r="H75" s="15">
        <f t="shared" si="0"/>
        <v>19.450125</v>
      </c>
      <c r="I75" s="11">
        <v>8</v>
      </c>
      <c r="J75" s="11">
        <v>6</v>
      </c>
      <c r="K75" s="11">
        <v>2</v>
      </c>
      <c r="L75" s="15">
        <f t="shared" si="1"/>
        <v>16</v>
      </c>
      <c r="M75" s="15">
        <f t="shared" si="13"/>
        <v>0</v>
      </c>
      <c r="N75" s="15">
        <f t="shared" si="2"/>
        <v>0.38900250000000003</v>
      </c>
      <c r="O75" s="15">
        <f t="shared" si="3"/>
        <v>19.0611225</v>
      </c>
      <c r="P75" s="15">
        <f t="shared" si="4"/>
        <v>16</v>
      </c>
      <c r="Q75" s="15">
        <f t="shared" si="5"/>
        <v>3.0611224999999997</v>
      </c>
      <c r="R75" s="15">
        <f t="shared" si="6"/>
        <v>0</v>
      </c>
      <c r="S75" s="15">
        <f t="shared" si="7"/>
        <v>0</v>
      </c>
      <c r="T75" s="14" t="str">
        <f t="shared" si="8"/>
        <v>Satisfactorio</v>
      </c>
      <c r="U75" s="14">
        <f t="shared" si="14"/>
        <v>1</v>
      </c>
      <c r="V75" s="14">
        <f t="shared" si="15"/>
        <v>0</v>
      </c>
    </row>
    <row r="76" spans="1:22">
      <c r="A76" s="17">
        <v>31138</v>
      </c>
      <c r="B76" s="9">
        <v>1985</v>
      </c>
      <c r="C76" s="9" t="s">
        <v>102</v>
      </c>
      <c r="D76" s="11">
        <v>133.4</v>
      </c>
      <c r="E76" s="15">
        <f>'Hoja 4 - Cálculo'!$B$12</f>
        <v>250</v>
      </c>
      <c r="F76" s="15">
        <f>'Hoja 4 - Cálculo'!$B$13</f>
        <v>0.85</v>
      </c>
      <c r="G76" s="15">
        <f>'Hoja 4 - Cálculo'!$B$14</f>
        <v>0.9</v>
      </c>
      <c r="H76" s="15">
        <f t="shared" si="0"/>
        <v>25.51275</v>
      </c>
      <c r="I76" s="11">
        <v>8</v>
      </c>
      <c r="J76" s="11">
        <v>1.5</v>
      </c>
      <c r="K76" s="11">
        <v>2</v>
      </c>
      <c r="L76" s="15">
        <f t="shared" si="1"/>
        <v>11.5</v>
      </c>
      <c r="M76" s="15">
        <f t="shared" si="13"/>
        <v>3.0611224999999997</v>
      </c>
      <c r="N76" s="15">
        <f t="shared" si="2"/>
        <v>0.57147745000000005</v>
      </c>
      <c r="O76" s="15">
        <f t="shared" si="3"/>
        <v>28.002395050000001</v>
      </c>
      <c r="P76" s="15">
        <f t="shared" si="4"/>
        <v>11.5</v>
      </c>
      <c r="Q76" s="15">
        <f t="shared" si="5"/>
        <v>5</v>
      </c>
      <c r="R76" s="15">
        <f t="shared" si="6"/>
        <v>11.502395050000001</v>
      </c>
      <c r="S76" s="15">
        <f t="shared" si="7"/>
        <v>0</v>
      </c>
      <c r="T76" s="14" t="str">
        <f t="shared" si="8"/>
        <v>Satisfactorio</v>
      </c>
      <c r="U76" s="14">
        <f t="shared" si="14"/>
        <v>0</v>
      </c>
      <c r="V76" s="14">
        <f t="shared" si="15"/>
        <v>0</v>
      </c>
    </row>
    <row r="77" spans="1:22">
      <c r="A77" s="17">
        <v>31168</v>
      </c>
      <c r="B77" s="9">
        <v>1985</v>
      </c>
      <c r="C77" s="9" t="s">
        <v>103</v>
      </c>
      <c r="D77" s="11">
        <v>127.4</v>
      </c>
      <c r="E77" s="15">
        <f>'Hoja 4 - Cálculo'!$B$12</f>
        <v>250</v>
      </c>
      <c r="F77" s="15">
        <f>'Hoja 4 - Cálculo'!$B$13</f>
        <v>0.85</v>
      </c>
      <c r="G77" s="15">
        <f>'Hoja 4 - Cálculo'!$B$14</f>
        <v>0.9</v>
      </c>
      <c r="H77" s="15">
        <f t="shared" si="0"/>
        <v>24.36525</v>
      </c>
      <c r="I77" s="11">
        <v>8</v>
      </c>
      <c r="J77" s="11">
        <v>1.5</v>
      </c>
      <c r="K77" s="11">
        <v>2</v>
      </c>
      <c r="L77" s="15">
        <f t="shared" si="1"/>
        <v>11.5</v>
      </c>
      <c r="M77" s="15">
        <f t="shared" si="13"/>
        <v>5</v>
      </c>
      <c r="N77" s="15">
        <f t="shared" si="2"/>
        <v>0.58730499999999997</v>
      </c>
      <c r="O77" s="15">
        <f t="shared" si="3"/>
        <v>28.777944999999999</v>
      </c>
      <c r="P77" s="15">
        <f t="shared" si="4"/>
        <v>11.5</v>
      </c>
      <c r="Q77" s="15">
        <f t="shared" si="5"/>
        <v>5</v>
      </c>
      <c r="R77" s="15">
        <f t="shared" si="6"/>
        <v>12.277944999999999</v>
      </c>
      <c r="S77" s="15">
        <f t="shared" si="7"/>
        <v>0</v>
      </c>
      <c r="T77" s="14" t="str">
        <f t="shared" si="8"/>
        <v>Satisfactorio</v>
      </c>
      <c r="U77" s="14">
        <f t="shared" si="14"/>
        <v>0</v>
      </c>
      <c r="V77" s="14">
        <f t="shared" si="15"/>
        <v>0</v>
      </c>
    </row>
    <row r="78" spans="1:22">
      <c r="A78" s="17">
        <v>31199</v>
      </c>
      <c r="B78" s="9">
        <v>1985</v>
      </c>
      <c r="C78" s="9" t="s">
        <v>104</v>
      </c>
      <c r="D78" s="11">
        <v>80.5</v>
      </c>
      <c r="E78" s="15">
        <f>'Hoja 4 - Cálculo'!$B$12</f>
        <v>250</v>
      </c>
      <c r="F78" s="15">
        <f>'Hoja 4 - Cálculo'!$B$13</f>
        <v>0.85</v>
      </c>
      <c r="G78" s="15">
        <f>'Hoja 4 - Cálculo'!$B$14</f>
        <v>0.9</v>
      </c>
      <c r="H78" s="15">
        <f t="shared" si="0"/>
        <v>15.395625000000001</v>
      </c>
      <c r="I78" s="11">
        <v>8</v>
      </c>
      <c r="J78" s="11">
        <v>1.5</v>
      </c>
      <c r="K78" s="11">
        <v>2</v>
      </c>
      <c r="L78" s="15">
        <f t="shared" si="1"/>
        <v>11.5</v>
      </c>
      <c r="M78" s="15">
        <f t="shared" si="13"/>
        <v>5</v>
      </c>
      <c r="N78" s="15">
        <f t="shared" si="2"/>
        <v>0.40791250000000007</v>
      </c>
      <c r="O78" s="15">
        <f t="shared" si="3"/>
        <v>19.987712500000004</v>
      </c>
      <c r="P78" s="15">
        <f t="shared" si="4"/>
        <v>11.5</v>
      </c>
      <c r="Q78" s="15">
        <f t="shared" si="5"/>
        <v>5</v>
      </c>
      <c r="R78" s="15">
        <f t="shared" si="6"/>
        <v>3.4877125000000042</v>
      </c>
      <c r="S78" s="15">
        <f t="shared" si="7"/>
        <v>0</v>
      </c>
      <c r="T78" s="14" t="str">
        <f t="shared" si="8"/>
        <v>Satisfactorio</v>
      </c>
      <c r="U78" s="14">
        <f t="shared" si="14"/>
        <v>0</v>
      </c>
      <c r="V78" s="14">
        <f t="shared" si="15"/>
        <v>0</v>
      </c>
    </row>
    <row r="79" spans="1:22">
      <c r="A79" s="17">
        <v>31229</v>
      </c>
      <c r="B79" s="9">
        <v>1985</v>
      </c>
      <c r="C79" s="9" t="s">
        <v>105</v>
      </c>
      <c r="D79" s="11">
        <v>61.4</v>
      </c>
      <c r="E79" s="15">
        <f>'Hoja 4 - Cálculo'!$B$12</f>
        <v>250</v>
      </c>
      <c r="F79" s="15">
        <f>'Hoja 4 - Cálculo'!$B$13</f>
        <v>0.85</v>
      </c>
      <c r="G79" s="15">
        <f>'Hoja 4 - Cálculo'!$B$14</f>
        <v>0.9</v>
      </c>
      <c r="H79" s="15">
        <f t="shared" si="0"/>
        <v>11.742749999999999</v>
      </c>
      <c r="I79" s="11">
        <v>8</v>
      </c>
      <c r="J79" s="11">
        <v>6</v>
      </c>
      <c r="K79" s="11">
        <v>2</v>
      </c>
      <c r="L79" s="15">
        <f t="shared" si="1"/>
        <v>16</v>
      </c>
      <c r="M79" s="15">
        <f t="shared" si="13"/>
        <v>5</v>
      </c>
      <c r="N79" s="15">
        <f t="shared" si="2"/>
        <v>0.33485500000000001</v>
      </c>
      <c r="O79" s="15">
        <f t="shared" si="3"/>
        <v>16.407895</v>
      </c>
      <c r="P79" s="15">
        <f t="shared" si="4"/>
        <v>16</v>
      </c>
      <c r="Q79" s="15">
        <f t="shared" si="5"/>
        <v>0.4078949999999999</v>
      </c>
      <c r="R79" s="15">
        <f t="shared" si="6"/>
        <v>0</v>
      </c>
      <c r="S79" s="15">
        <f t="shared" si="7"/>
        <v>0</v>
      </c>
      <c r="T79" s="14" t="str">
        <f t="shared" si="8"/>
        <v>Satisfactorio</v>
      </c>
      <c r="U79" s="14">
        <f t="shared" si="14"/>
        <v>0</v>
      </c>
      <c r="V79" s="14">
        <f t="shared" si="15"/>
        <v>0</v>
      </c>
    </row>
    <row r="80" spans="1:22">
      <c r="A80" s="17">
        <v>31260</v>
      </c>
      <c r="B80" s="9">
        <v>1985</v>
      </c>
      <c r="C80" s="9" t="s">
        <v>106</v>
      </c>
      <c r="D80" s="11">
        <v>65.900000000000006</v>
      </c>
      <c r="E80" s="15">
        <f>'Hoja 4 - Cálculo'!$B$12</f>
        <v>250</v>
      </c>
      <c r="F80" s="15">
        <f>'Hoja 4 - Cálculo'!$B$13</f>
        <v>0.85</v>
      </c>
      <c r="G80" s="15">
        <f>'Hoja 4 - Cálculo'!$B$14</f>
        <v>0.9</v>
      </c>
      <c r="H80" s="15">
        <f t="shared" si="0"/>
        <v>12.603375</v>
      </c>
      <c r="I80" s="11">
        <v>8</v>
      </c>
      <c r="J80" s="11">
        <v>6</v>
      </c>
      <c r="K80" s="11">
        <v>2</v>
      </c>
      <c r="L80" s="15">
        <f t="shared" si="1"/>
        <v>16</v>
      </c>
      <c r="M80" s="15">
        <f t="shared" si="13"/>
        <v>0.4078949999999999</v>
      </c>
      <c r="N80" s="15">
        <f t="shared" si="2"/>
        <v>0.2602254</v>
      </c>
      <c r="O80" s="15">
        <f t="shared" si="3"/>
        <v>12.7510446</v>
      </c>
      <c r="P80" s="15">
        <f t="shared" si="4"/>
        <v>12.7510446</v>
      </c>
      <c r="Q80" s="15">
        <f t="shared" si="5"/>
        <v>0</v>
      </c>
      <c r="R80" s="15">
        <f t="shared" si="6"/>
        <v>0</v>
      </c>
      <c r="S80" s="15">
        <f t="shared" si="7"/>
        <v>3.2489553999999998</v>
      </c>
      <c r="T80" s="14" t="str">
        <f t="shared" si="8"/>
        <v>Falla</v>
      </c>
      <c r="U80" s="14">
        <f t="shared" si="14"/>
        <v>0</v>
      </c>
      <c r="V80" s="14">
        <f t="shared" si="15"/>
        <v>1</v>
      </c>
    </row>
    <row r="81" spans="1:22">
      <c r="A81" s="17">
        <v>31291</v>
      </c>
      <c r="B81" s="9">
        <v>1985</v>
      </c>
      <c r="C81" s="9" t="s">
        <v>107</v>
      </c>
      <c r="D81" s="11">
        <v>113.7</v>
      </c>
      <c r="E81" s="15">
        <f>'Hoja 4 - Cálculo'!$B$12</f>
        <v>250</v>
      </c>
      <c r="F81" s="15">
        <f>'Hoja 4 - Cálculo'!$B$13</f>
        <v>0.85</v>
      </c>
      <c r="G81" s="15">
        <f>'Hoja 4 - Cálculo'!$B$14</f>
        <v>0.9</v>
      </c>
      <c r="H81" s="15">
        <f t="shared" si="0"/>
        <v>21.745125000000002</v>
      </c>
      <c r="I81" s="11">
        <v>8</v>
      </c>
      <c r="J81" s="11">
        <v>1.5</v>
      </c>
      <c r="K81" s="11">
        <v>2</v>
      </c>
      <c r="L81" s="15">
        <f t="shared" si="1"/>
        <v>11.5</v>
      </c>
      <c r="M81" s="15">
        <f t="shared" si="13"/>
        <v>0</v>
      </c>
      <c r="N81" s="15">
        <f t="shared" si="2"/>
        <v>0.43490250000000003</v>
      </c>
      <c r="O81" s="15">
        <f t="shared" si="3"/>
        <v>21.310222500000002</v>
      </c>
      <c r="P81" s="15">
        <f t="shared" si="4"/>
        <v>11.5</v>
      </c>
      <c r="Q81" s="15">
        <f t="shared" si="5"/>
        <v>5</v>
      </c>
      <c r="R81" s="15">
        <f t="shared" si="6"/>
        <v>4.8102225000000018</v>
      </c>
      <c r="S81" s="15">
        <f t="shared" si="7"/>
        <v>0</v>
      </c>
      <c r="T81" s="14" t="str">
        <f t="shared" si="8"/>
        <v>Satisfactorio</v>
      </c>
      <c r="U81" s="14">
        <f t="shared" si="14"/>
        <v>1</v>
      </c>
      <c r="V81" s="14">
        <f t="shared" si="15"/>
        <v>0</v>
      </c>
    </row>
    <row r="82" spans="1:22">
      <c r="A82" s="17">
        <v>31321</v>
      </c>
      <c r="B82" s="9">
        <v>1985</v>
      </c>
      <c r="C82" s="9" t="s">
        <v>108</v>
      </c>
      <c r="D82" s="11">
        <v>145.30000000000001</v>
      </c>
      <c r="E82" s="15">
        <f>'Hoja 4 - Cálculo'!$B$12</f>
        <v>250</v>
      </c>
      <c r="F82" s="15">
        <f>'Hoja 4 - Cálculo'!$B$13</f>
        <v>0.85</v>
      </c>
      <c r="G82" s="15">
        <f>'Hoja 4 - Cálculo'!$B$14</f>
        <v>0.9</v>
      </c>
      <c r="H82" s="15">
        <f t="shared" si="0"/>
        <v>27.788625</v>
      </c>
      <c r="I82" s="11">
        <v>8</v>
      </c>
      <c r="J82" s="11">
        <v>1.5</v>
      </c>
      <c r="K82" s="11">
        <v>2</v>
      </c>
      <c r="L82" s="15">
        <f t="shared" si="1"/>
        <v>11.5</v>
      </c>
      <c r="M82" s="15">
        <f t="shared" si="13"/>
        <v>5</v>
      </c>
      <c r="N82" s="15">
        <f t="shared" si="2"/>
        <v>0.65577249999999998</v>
      </c>
      <c r="O82" s="15">
        <f t="shared" si="3"/>
        <v>32.132852499999998</v>
      </c>
      <c r="P82" s="15">
        <f t="shared" si="4"/>
        <v>11.5</v>
      </c>
      <c r="Q82" s="15">
        <f t="shared" si="5"/>
        <v>5</v>
      </c>
      <c r="R82" s="15">
        <f t="shared" si="6"/>
        <v>15.632852499999998</v>
      </c>
      <c r="S82" s="15">
        <f t="shared" si="7"/>
        <v>0</v>
      </c>
      <c r="T82" s="14" t="str">
        <f t="shared" si="8"/>
        <v>Satisfactorio</v>
      </c>
      <c r="U82" s="14">
        <f t="shared" si="14"/>
        <v>0</v>
      </c>
      <c r="V82" s="14">
        <f t="shared" si="15"/>
        <v>0</v>
      </c>
    </row>
    <row r="83" spans="1:22">
      <c r="A83" s="17">
        <v>31352</v>
      </c>
      <c r="B83" s="9">
        <v>1985</v>
      </c>
      <c r="C83" s="9" t="s">
        <v>109</v>
      </c>
      <c r="D83" s="11">
        <v>116.2</v>
      </c>
      <c r="E83" s="15">
        <f>'Hoja 4 - Cálculo'!$B$12</f>
        <v>250</v>
      </c>
      <c r="F83" s="15">
        <f>'Hoja 4 - Cálculo'!$B$13</f>
        <v>0.85</v>
      </c>
      <c r="G83" s="15">
        <f>'Hoja 4 - Cálculo'!$B$14</f>
        <v>0.9</v>
      </c>
      <c r="H83" s="15">
        <f t="shared" si="0"/>
        <v>22.22325</v>
      </c>
      <c r="I83" s="11">
        <v>8</v>
      </c>
      <c r="J83" s="11">
        <v>1.5</v>
      </c>
      <c r="K83" s="11">
        <v>2</v>
      </c>
      <c r="L83" s="15">
        <f t="shared" si="1"/>
        <v>11.5</v>
      </c>
      <c r="M83" s="15">
        <f t="shared" si="13"/>
        <v>5</v>
      </c>
      <c r="N83" s="15">
        <f t="shared" si="2"/>
        <v>0.54446499999999998</v>
      </c>
      <c r="O83" s="15">
        <f t="shared" si="3"/>
        <v>26.678785000000001</v>
      </c>
      <c r="P83" s="15">
        <f t="shared" si="4"/>
        <v>11.5</v>
      </c>
      <c r="Q83" s="15">
        <f t="shared" si="5"/>
        <v>5</v>
      </c>
      <c r="R83" s="15">
        <f t="shared" si="6"/>
        <v>10.178785000000001</v>
      </c>
      <c r="S83" s="15">
        <f t="shared" si="7"/>
        <v>0</v>
      </c>
      <c r="T83" s="14" t="str">
        <f t="shared" si="8"/>
        <v>Satisfactorio</v>
      </c>
      <c r="U83" s="14">
        <f t="shared" si="14"/>
        <v>0</v>
      </c>
      <c r="V83" s="14">
        <f t="shared" si="15"/>
        <v>0</v>
      </c>
    </row>
    <row r="84" spans="1:22">
      <c r="A84" s="17">
        <v>31382</v>
      </c>
      <c r="B84" s="9">
        <v>1985</v>
      </c>
      <c r="C84" s="9" t="s">
        <v>110</v>
      </c>
      <c r="D84" s="11">
        <v>74.099999999999994</v>
      </c>
      <c r="E84" s="15">
        <f>'Hoja 4 - Cálculo'!$B$12</f>
        <v>250</v>
      </c>
      <c r="F84" s="15">
        <f>'Hoja 4 - Cálculo'!$B$13</f>
        <v>0.85</v>
      </c>
      <c r="G84" s="15">
        <f>'Hoja 4 - Cálculo'!$B$14</f>
        <v>0.9</v>
      </c>
      <c r="H84" s="15">
        <f t="shared" si="0"/>
        <v>14.171625000000001</v>
      </c>
      <c r="I84" s="11">
        <v>8</v>
      </c>
      <c r="J84" s="11">
        <v>6</v>
      </c>
      <c r="K84" s="11">
        <v>2</v>
      </c>
      <c r="L84" s="15">
        <f t="shared" si="1"/>
        <v>16</v>
      </c>
      <c r="M84" s="15">
        <f t="shared" si="13"/>
        <v>5</v>
      </c>
      <c r="N84" s="15">
        <f t="shared" si="2"/>
        <v>0.38343250000000001</v>
      </c>
      <c r="O84" s="15">
        <f t="shared" si="3"/>
        <v>18.788192499999997</v>
      </c>
      <c r="P84" s="15">
        <f t="shared" si="4"/>
        <v>16</v>
      </c>
      <c r="Q84" s="15">
        <f t="shared" si="5"/>
        <v>2.7881924999999974</v>
      </c>
      <c r="R84" s="15">
        <f t="shared" si="6"/>
        <v>0</v>
      </c>
      <c r="S84" s="15">
        <f t="shared" si="7"/>
        <v>0</v>
      </c>
      <c r="T84" s="14" t="str">
        <f t="shared" si="8"/>
        <v>Satisfactorio</v>
      </c>
      <c r="U84" s="14">
        <f t="shared" si="14"/>
        <v>0</v>
      </c>
      <c r="V84" s="14">
        <f t="shared" si="15"/>
        <v>0</v>
      </c>
    </row>
    <row r="85" spans="1:22">
      <c r="A85" s="17">
        <v>31413</v>
      </c>
      <c r="B85" s="9">
        <v>1986</v>
      </c>
      <c r="C85" s="9" t="s">
        <v>99</v>
      </c>
      <c r="D85" s="11">
        <v>66.099999999999994</v>
      </c>
      <c r="E85" s="15">
        <f>'Hoja 4 - Cálculo'!$B$12</f>
        <v>250</v>
      </c>
      <c r="F85" s="15">
        <f>'Hoja 4 - Cálculo'!$B$13</f>
        <v>0.85</v>
      </c>
      <c r="G85" s="15">
        <f>'Hoja 4 - Cálculo'!$B$14</f>
        <v>0.9</v>
      </c>
      <c r="H85" s="15">
        <f t="shared" si="0"/>
        <v>12.641624999999999</v>
      </c>
      <c r="I85" s="11">
        <v>8</v>
      </c>
      <c r="J85" s="11">
        <v>6</v>
      </c>
      <c r="K85" s="11">
        <v>2</v>
      </c>
      <c r="L85" s="15">
        <f t="shared" si="1"/>
        <v>16</v>
      </c>
      <c r="M85" s="15">
        <f t="shared" si="13"/>
        <v>2.7881924999999974</v>
      </c>
      <c r="N85" s="15">
        <f t="shared" si="2"/>
        <v>0.30859634999999996</v>
      </c>
      <c r="O85" s="15">
        <f t="shared" si="3"/>
        <v>15.121221149999997</v>
      </c>
      <c r="P85" s="15">
        <f t="shared" si="4"/>
        <v>15.121221149999997</v>
      </c>
      <c r="Q85" s="15">
        <f t="shared" si="5"/>
        <v>0</v>
      </c>
      <c r="R85" s="15">
        <f t="shared" si="6"/>
        <v>0</v>
      </c>
      <c r="S85" s="15">
        <f t="shared" si="7"/>
        <v>0.87877885000000333</v>
      </c>
      <c r="T85" s="14" t="str">
        <f t="shared" si="8"/>
        <v>Falla</v>
      </c>
      <c r="U85" s="14">
        <f t="shared" si="14"/>
        <v>0</v>
      </c>
      <c r="V85" s="14">
        <f t="shared" si="15"/>
        <v>1</v>
      </c>
    </row>
    <row r="86" spans="1:22">
      <c r="A86" s="17">
        <v>31444</v>
      </c>
      <c r="B86" s="9">
        <v>1986</v>
      </c>
      <c r="C86" s="9" t="s">
        <v>100</v>
      </c>
      <c r="D86" s="11">
        <v>80.3</v>
      </c>
      <c r="E86" s="15">
        <f>'Hoja 4 - Cálculo'!$B$12</f>
        <v>250</v>
      </c>
      <c r="F86" s="15">
        <f>'Hoja 4 - Cálculo'!$B$13</f>
        <v>0.85</v>
      </c>
      <c r="G86" s="15">
        <f>'Hoja 4 - Cálculo'!$B$14</f>
        <v>0.9</v>
      </c>
      <c r="H86" s="15">
        <f t="shared" si="0"/>
        <v>15.357374999999999</v>
      </c>
      <c r="I86" s="11">
        <v>8</v>
      </c>
      <c r="J86" s="11">
        <v>6</v>
      </c>
      <c r="K86" s="11">
        <v>2</v>
      </c>
      <c r="L86" s="15">
        <f t="shared" si="1"/>
        <v>16</v>
      </c>
      <c r="M86" s="15">
        <f t="shared" si="13"/>
        <v>0</v>
      </c>
      <c r="N86" s="15">
        <f t="shared" si="2"/>
        <v>0.30714750000000002</v>
      </c>
      <c r="O86" s="15">
        <f t="shared" si="3"/>
        <v>15.0502275</v>
      </c>
      <c r="P86" s="15">
        <f t="shared" si="4"/>
        <v>15.0502275</v>
      </c>
      <c r="Q86" s="15">
        <f t="shared" si="5"/>
        <v>0</v>
      </c>
      <c r="R86" s="15">
        <f t="shared" si="6"/>
        <v>0</v>
      </c>
      <c r="S86" s="15">
        <f t="shared" si="7"/>
        <v>0.94977249999999991</v>
      </c>
      <c r="T86" s="14" t="str">
        <f t="shared" si="8"/>
        <v>Falla</v>
      </c>
      <c r="U86" s="14">
        <f t="shared" si="14"/>
        <v>0</v>
      </c>
      <c r="V86" s="14">
        <f t="shared" si="15"/>
        <v>0</v>
      </c>
    </row>
    <row r="87" spans="1:22">
      <c r="A87" s="17">
        <v>31472</v>
      </c>
      <c r="B87" s="9">
        <v>1986</v>
      </c>
      <c r="C87" s="9" t="s">
        <v>101</v>
      </c>
      <c r="D87" s="11">
        <v>109</v>
      </c>
      <c r="E87" s="15">
        <f>'Hoja 4 - Cálculo'!$B$12</f>
        <v>250</v>
      </c>
      <c r="F87" s="15">
        <f>'Hoja 4 - Cálculo'!$B$13</f>
        <v>0.85</v>
      </c>
      <c r="G87" s="15">
        <f>'Hoja 4 - Cálculo'!$B$14</f>
        <v>0.9</v>
      </c>
      <c r="H87" s="15">
        <f t="shared" si="0"/>
        <v>20.846250000000001</v>
      </c>
      <c r="I87" s="11">
        <v>8</v>
      </c>
      <c r="J87" s="11">
        <v>6</v>
      </c>
      <c r="K87" s="11">
        <v>2</v>
      </c>
      <c r="L87" s="15">
        <f t="shared" si="1"/>
        <v>16</v>
      </c>
      <c r="M87" s="15">
        <f t="shared" si="13"/>
        <v>0</v>
      </c>
      <c r="N87" s="15">
        <f t="shared" si="2"/>
        <v>0.41692500000000005</v>
      </c>
      <c r="O87" s="15">
        <f t="shared" si="3"/>
        <v>20.429325000000002</v>
      </c>
      <c r="P87" s="15">
        <f t="shared" si="4"/>
        <v>16</v>
      </c>
      <c r="Q87" s="15">
        <f t="shared" si="5"/>
        <v>4.4293250000000022</v>
      </c>
      <c r="R87" s="15">
        <f t="shared" si="6"/>
        <v>0</v>
      </c>
      <c r="S87" s="15">
        <f t="shared" si="7"/>
        <v>0</v>
      </c>
      <c r="T87" s="14" t="str">
        <f t="shared" si="8"/>
        <v>Satisfactorio</v>
      </c>
      <c r="U87" s="14">
        <f t="shared" si="14"/>
        <v>1</v>
      </c>
      <c r="V87" s="14">
        <f t="shared" si="15"/>
        <v>0</v>
      </c>
    </row>
    <row r="88" spans="1:22">
      <c r="A88" s="17">
        <v>31503</v>
      </c>
      <c r="B88" s="9">
        <v>1986</v>
      </c>
      <c r="C88" s="9" t="s">
        <v>102</v>
      </c>
      <c r="D88" s="11">
        <v>160.19999999999999</v>
      </c>
      <c r="E88" s="15">
        <f>'Hoja 4 - Cálculo'!$B$12</f>
        <v>250</v>
      </c>
      <c r="F88" s="15">
        <f>'Hoja 4 - Cálculo'!$B$13</f>
        <v>0.85</v>
      </c>
      <c r="G88" s="15">
        <f>'Hoja 4 - Cálculo'!$B$14</f>
        <v>0.9</v>
      </c>
      <c r="H88" s="15">
        <f t="shared" si="0"/>
        <v>30.638249999999999</v>
      </c>
      <c r="I88" s="11">
        <v>8</v>
      </c>
      <c r="J88" s="11">
        <v>1.5</v>
      </c>
      <c r="K88" s="11">
        <v>2</v>
      </c>
      <c r="L88" s="15">
        <f t="shared" si="1"/>
        <v>11.5</v>
      </c>
      <c r="M88" s="15">
        <f t="shared" si="13"/>
        <v>4.4293250000000022</v>
      </c>
      <c r="N88" s="15">
        <f t="shared" si="2"/>
        <v>0.70135150000000013</v>
      </c>
      <c r="O88" s="15">
        <f t="shared" si="3"/>
        <v>34.366223500000004</v>
      </c>
      <c r="P88" s="15">
        <f t="shared" si="4"/>
        <v>11.5</v>
      </c>
      <c r="Q88" s="15">
        <f t="shared" si="5"/>
        <v>5</v>
      </c>
      <c r="R88" s="15">
        <f t="shared" si="6"/>
        <v>17.866223500000004</v>
      </c>
      <c r="S88" s="15">
        <f t="shared" si="7"/>
        <v>0</v>
      </c>
      <c r="T88" s="14" t="str">
        <f t="shared" si="8"/>
        <v>Satisfactorio</v>
      </c>
      <c r="U88" s="14">
        <f t="shared" si="14"/>
        <v>0</v>
      </c>
      <c r="V88" s="14">
        <f t="shared" si="15"/>
        <v>0</v>
      </c>
    </row>
    <row r="89" spans="1:22">
      <c r="A89" s="17">
        <v>31533</v>
      </c>
      <c r="B89" s="9">
        <v>1986</v>
      </c>
      <c r="C89" s="9" t="s">
        <v>103</v>
      </c>
      <c r="D89" s="11">
        <v>148.69999999999999</v>
      </c>
      <c r="E89" s="15">
        <f>'Hoja 4 - Cálculo'!$B$12</f>
        <v>250</v>
      </c>
      <c r="F89" s="15">
        <f>'Hoja 4 - Cálculo'!$B$13</f>
        <v>0.85</v>
      </c>
      <c r="G89" s="15">
        <f>'Hoja 4 - Cálculo'!$B$14</f>
        <v>0.9</v>
      </c>
      <c r="H89" s="15">
        <f t="shared" ref="H89:H152" si="16">D89*E89*F89*G89/1000</f>
        <v>28.438874999999999</v>
      </c>
      <c r="I89" s="11">
        <v>8</v>
      </c>
      <c r="J89" s="11">
        <v>1.5</v>
      </c>
      <c r="K89" s="11">
        <v>2</v>
      </c>
      <c r="L89" s="15">
        <f t="shared" ref="L89:L152" si="17">IF($B$9="Uso único",I89,IF($B$9="Uso múltiple",AVERAGE($I$25:$I$384)+AVERAGE($J$25:$J$384)+AVERAGE($K$25:$K$384),IF($B$9="Uso prioritario",I89+K89,I89+J89+K89)))</f>
        <v>11.5</v>
      </c>
      <c r="M89" s="15">
        <f t="shared" si="13"/>
        <v>5</v>
      </c>
      <c r="N89" s="15">
        <f t="shared" ref="N89:N152" si="18">MIN(M89+H89,(M89+H89)*$B$15)</f>
        <v>0.66877749999999991</v>
      </c>
      <c r="O89" s="15">
        <f t="shared" ref="O89:O152" si="19">MAX(0,M89+H89-N89)</f>
        <v>32.770097499999999</v>
      </c>
      <c r="P89" s="15">
        <f t="shared" ref="P89:P152" si="20">MIN(L89,O89)</f>
        <v>11.5</v>
      </c>
      <c r="Q89" s="15">
        <f t="shared" ref="Q89:Q152" si="21">MIN($B$10,MAX(0,O89-P89))</f>
        <v>5</v>
      </c>
      <c r="R89" s="15">
        <f t="shared" ref="R89:R152" si="22">MAX(0,O89-P89-$B$10)</f>
        <v>16.270097499999999</v>
      </c>
      <c r="S89" s="15">
        <f t="shared" ref="S89:S152" si="23">MAX(0,L89-P89)</f>
        <v>0</v>
      </c>
      <c r="T89" s="14" t="str">
        <f t="shared" ref="T89:T152" si="24">IF(P89&gt;=L89*$B$16,"Satisfactorio","Falla")</f>
        <v>Satisfactorio</v>
      </c>
      <c r="U89" s="14">
        <f t="shared" si="14"/>
        <v>0</v>
      </c>
      <c r="V89" s="14">
        <f t="shared" si="15"/>
        <v>0</v>
      </c>
    </row>
    <row r="90" spans="1:22">
      <c r="A90" s="17">
        <v>31564</v>
      </c>
      <c r="B90" s="9">
        <v>1986</v>
      </c>
      <c r="C90" s="9" t="s">
        <v>104</v>
      </c>
      <c r="D90" s="11">
        <v>83.7</v>
      </c>
      <c r="E90" s="15">
        <f>'Hoja 4 - Cálculo'!$B$12</f>
        <v>250</v>
      </c>
      <c r="F90" s="15">
        <f>'Hoja 4 - Cálculo'!$B$13</f>
        <v>0.85</v>
      </c>
      <c r="G90" s="15">
        <f>'Hoja 4 - Cálculo'!$B$14</f>
        <v>0.9</v>
      </c>
      <c r="H90" s="15">
        <f t="shared" si="16"/>
        <v>16.007625000000001</v>
      </c>
      <c r="I90" s="11">
        <v>8</v>
      </c>
      <c r="J90" s="11">
        <v>1.5</v>
      </c>
      <c r="K90" s="11">
        <v>2</v>
      </c>
      <c r="L90" s="15">
        <f t="shared" si="17"/>
        <v>11.5</v>
      </c>
      <c r="M90" s="15">
        <f t="shared" ref="M90:M153" si="25">Q89</f>
        <v>5</v>
      </c>
      <c r="N90" s="15">
        <f t="shared" si="18"/>
        <v>0.42015250000000004</v>
      </c>
      <c r="O90" s="15">
        <f t="shared" si="19"/>
        <v>20.587472500000001</v>
      </c>
      <c r="P90" s="15">
        <f t="shared" si="20"/>
        <v>11.5</v>
      </c>
      <c r="Q90" s="15">
        <f t="shared" si="21"/>
        <v>5</v>
      </c>
      <c r="R90" s="15">
        <f t="shared" si="22"/>
        <v>4.0874725000000005</v>
      </c>
      <c r="S90" s="15">
        <f t="shared" si="23"/>
        <v>0</v>
      </c>
      <c r="T90" s="14" t="str">
        <f t="shared" si="24"/>
        <v>Satisfactorio</v>
      </c>
      <c r="U90" s="14">
        <f t="shared" ref="U90:U153" si="26">IF(AND(T89="Falla",T90="Satisfactorio"),1,0)</f>
        <v>0</v>
      </c>
      <c r="V90" s="14">
        <f t="shared" ref="V90:V153" si="27">IF(AND(T90="Falla",T89&lt;&gt;"Falla"),1,0)</f>
        <v>0</v>
      </c>
    </row>
    <row r="91" spans="1:22">
      <c r="A91" s="17">
        <v>31594</v>
      </c>
      <c r="B91" s="9">
        <v>1986</v>
      </c>
      <c r="C91" s="9" t="s">
        <v>105</v>
      </c>
      <c r="D91" s="11">
        <v>73.5</v>
      </c>
      <c r="E91" s="15">
        <f>'Hoja 4 - Cálculo'!$B$12</f>
        <v>250</v>
      </c>
      <c r="F91" s="15">
        <f>'Hoja 4 - Cálculo'!$B$13</f>
        <v>0.85</v>
      </c>
      <c r="G91" s="15">
        <f>'Hoja 4 - Cálculo'!$B$14</f>
        <v>0.9</v>
      </c>
      <c r="H91" s="15">
        <f t="shared" si="16"/>
        <v>14.056875</v>
      </c>
      <c r="I91" s="11">
        <v>8</v>
      </c>
      <c r="J91" s="11">
        <v>6</v>
      </c>
      <c r="K91" s="11">
        <v>2</v>
      </c>
      <c r="L91" s="15">
        <f t="shared" si="17"/>
        <v>16</v>
      </c>
      <c r="M91" s="15">
        <f t="shared" si="25"/>
        <v>5</v>
      </c>
      <c r="N91" s="15">
        <f t="shared" si="18"/>
        <v>0.38113749999999996</v>
      </c>
      <c r="O91" s="15">
        <f t="shared" si="19"/>
        <v>18.675737499999997</v>
      </c>
      <c r="P91" s="15">
        <f t="shared" si="20"/>
        <v>16</v>
      </c>
      <c r="Q91" s="15">
        <f t="shared" si="21"/>
        <v>2.6757374999999968</v>
      </c>
      <c r="R91" s="15">
        <f t="shared" si="22"/>
        <v>0</v>
      </c>
      <c r="S91" s="15">
        <f t="shared" si="23"/>
        <v>0</v>
      </c>
      <c r="T91" s="14" t="str">
        <f t="shared" si="24"/>
        <v>Satisfactorio</v>
      </c>
      <c r="U91" s="14">
        <f t="shared" si="26"/>
        <v>0</v>
      </c>
      <c r="V91" s="14">
        <f t="shared" si="27"/>
        <v>0</v>
      </c>
    </row>
    <row r="92" spans="1:22">
      <c r="A92" s="17">
        <v>31625</v>
      </c>
      <c r="B92" s="9">
        <v>1986</v>
      </c>
      <c r="C92" s="9" t="s">
        <v>106</v>
      </c>
      <c r="D92" s="11">
        <v>78.599999999999994</v>
      </c>
      <c r="E92" s="15">
        <f>'Hoja 4 - Cálculo'!$B$12</f>
        <v>250</v>
      </c>
      <c r="F92" s="15">
        <f>'Hoja 4 - Cálculo'!$B$13</f>
        <v>0.85</v>
      </c>
      <c r="G92" s="15">
        <f>'Hoja 4 - Cálculo'!$B$14</f>
        <v>0.9</v>
      </c>
      <c r="H92" s="15">
        <f t="shared" si="16"/>
        <v>15.032249999999999</v>
      </c>
      <c r="I92" s="11">
        <v>8</v>
      </c>
      <c r="J92" s="11">
        <v>6</v>
      </c>
      <c r="K92" s="11">
        <v>2</v>
      </c>
      <c r="L92" s="15">
        <f t="shared" si="17"/>
        <v>16</v>
      </c>
      <c r="M92" s="15">
        <f t="shared" si="25"/>
        <v>2.6757374999999968</v>
      </c>
      <c r="N92" s="15">
        <f t="shared" si="18"/>
        <v>0.35415974999999988</v>
      </c>
      <c r="O92" s="15">
        <f t="shared" si="19"/>
        <v>17.353827749999994</v>
      </c>
      <c r="P92" s="15">
        <f t="shared" si="20"/>
        <v>16</v>
      </c>
      <c r="Q92" s="15">
        <f t="shared" si="21"/>
        <v>1.3538277499999936</v>
      </c>
      <c r="R92" s="15">
        <f t="shared" si="22"/>
        <v>0</v>
      </c>
      <c r="S92" s="15">
        <f t="shared" si="23"/>
        <v>0</v>
      </c>
      <c r="T92" s="14" t="str">
        <f t="shared" si="24"/>
        <v>Satisfactorio</v>
      </c>
      <c r="U92" s="14">
        <f t="shared" si="26"/>
        <v>0</v>
      </c>
      <c r="V92" s="14">
        <f t="shared" si="27"/>
        <v>0</v>
      </c>
    </row>
    <row r="93" spans="1:22">
      <c r="A93" s="17">
        <v>31656</v>
      </c>
      <c r="B93" s="9">
        <v>1986</v>
      </c>
      <c r="C93" s="9" t="s">
        <v>107</v>
      </c>
      <c r="D93" s="11">
        <v>118.2</v>
      </c>
      <c r="E93" s="15">
        <f>'Hoja 4 - Cálculo'!$B$12</f>
        <v>250</v>
      </c>
      <c r="F93" s="15">
        <f>'Hoja 4 - Cálculo'!$B$13</f>
        <v>0.85</v>
      </c>
      <c r="G93" s="15">
        <f>'Hoja 4 - Cálculo'!$B$14</f>
        <v>0.9</v>
      </c>
      <c r="H93" s="15">
        <f t="shared" si="16"/>
        <v>22.60575</v>
      </c>
      <c r="I93" s="11">
        <v>8</v>
      </c>
      <c r="J93" s="11">
        <v>1.5</v>
      </c>
      <c r="K93" s="11">
        <v>2</v>
      </c>
      <c r="L93" s="15">
        <f t="shared" si="17"/>
        <v>11.5</v>
      </c>
      <c r="M93" s="15">
        <f t="shared" si="25"/>
        <v>1.3538277499999936</v>
      </c>
      <c r="N93" s="15">
        <f t="shared" si="18"/>
        <v>0.47919155499999988</v>
      </c>
      <c r="O93" s="15">
        <f t="shared" si="19"/>
        <v>23.480386194999994</v>
      </c>
      <c r="P93" s="15">
        <f t="shared" si="20"/>
        <v>11.5</v>
      </c>
      <c r="Q93" s="15">
        <f t="shared" si="21"/>
        <v>5</v>
      </c>
      <c r="R93" s="15">
        <f t="shared" si="22"/>
        <v>6.9803861949999941</v>
      </c>
      <c r="S93" s="15">
        <f t="shared" si="23"/>
        <v>0</v>
      </c>
      <c r="T93" s="14" t="str">
        <f t="shared" si="24"/>
        <v>Satisfactorio</v>
      </c>
      <c r="U93" s="14">
        <f t="shared" si="26"/>
        <v>0</v>
      </c>
      <c r="V93" s="14">
        <f t="shared" si="27"/>
        <v>0</v>
      </c>
    </row>
    <row r="94" spans="1:22">
      <c r="A94" s="17">
        <v>31686</v>
      </c>
      <c r="B94" s="9">
        <v>1986</v>
      </c>
      <c r="C94" s="9" t="s">
        <v>108</v>
      </c>
      <c r="D94" s="11">
        <v>170.1</v>
      </c>
      <c r="E94" s="15">
        <f>'Hoja 4 - Cálculo'!$B$12</f>
        <v>250</v>
      </c>
      <c r="F94" s="15">
        <f>'Hoja 4 - Cálculo'!$B$13</f>
        <v>0.85</v>
      </c>
      <c r="G94" s="15">
        <f>'Hoja 4 - Cálculo'!$B$14</f>
        <v>0.9</v>
      </c>
      <c r="H94" s="15">
        <f t="shared" si="16"/>
        <v>32.531624999999998</v>
      </c>
      <c r="I94" s="11">
        <v>8</v>
      </c>
      <c r="J94" s="11">
        <v>1.5</v>
      </c>
      <c r="K94" s="11">
        <v>2</v>
      </c>
      <c r="L94" s="15">
        <f t="shared" si="17"/>
        <v>11.5</v>
      </c>
      <c r="M94" s="15">
        <f t="shared" si="25"/>
        <v>5</v>
      </c>
      <c r="N94" s="15">
        <f t="shared" si="18"/>
        <v>0.75063250000000004</v>
      </c>
      <c r="O94" s="15">
        <f t="shared" si="19"/>
        <v>36.780992499999996</v>
      </c>
      <c r="P94" s="15">
        <f t="shared" si="20"/>
        <v>11.5</v>
      </c>
      <c r="Q94" s="15">
        <f t="shared" si="21"/>
        <v>5</v>
      </c>
      <c r="R94" s="15">
        <f t="shared" si="22"/>
        <v>20.280992499999996</v>
      </c>
      <c r="S94" s="15">
        <f t="shared" si="23"/>
        <v>0</v>
      </c>
      <c r="T94" s="14" t="str">
        <f t="shared" si="24"/>
        <v>Satisfactorio</v>
      </c>
      <c r="U94" s="14">
        <f t="shared" si="26"/>
        <v>0</v>
      </c>
      <c r="V94" s="14">
        <f t="shared" si="27"/>
        <v>0</v>
      </c>
    </row>
    <row r="95" spans="1:22">
      <c r="A95" s="17">
        <v>31717</v>
      </c>
      <c r="B95" s="9">
        <v>1986</v>
      </c>
      <c r="C95" s="9" t="s">
        <v>109</v>
      </c>
      <c r="D95" s="11">
        <v>139.30000000000001</v>
      </c>
      <c r="E95" s="15">
        <f>'Hoja 4 - Cálculo'!$B$12</f>
        <v>250</v>
      </c>
      <c r="F95" s="15">
        <f>'Hoja 4 - Cálculo'!$B$13</f>
        <v>0.85</v>
      </c>
      <c r="G95" s="15">
        <f>'Hoja 4 - Cálculo'!$B$14</f>
        <v>0.9</v>
      </c>
      <c r="H95" s="15">
        <f t="shared" si="16"/>
        <v>26.641124999999999</v>
      </c>
      <c r="I95" s="11">
        <v>8</v>
      </c>
      <c r="J95" s="11">
        <v>1.5</v>
      </c>
      <c r="K95" s="11">
        <v>2</v>
      </c>
      <c r="L95" s="15">
        <f t="shared" si="17"/>
        <v>11.5</v>
      </c>
      <c r="M95" s="15">
        <f t="shared" si="25"/>
        <v>5</v>
      </c>
      <c r="N95" s="15">
        <f t="shared" si="18"/>
        <v>0.63282249999999995</v>
      </c>
      <c r="O95" s="15">
        <f t="shared" si="19"/>
        <v>31.008302499999999</v>
      </c>
      <c r="P95" s="15">
        <f t="shared" si="20"/>
        <v>11.5</v>
      </c>
      <c r="Q95" s="15">
        <f t="shared" si="21"/>
        <v>5</v>
      </c>
      <c r="R95" s="15">
        <f t="shared" si="22"/>
        <v>14.508302499999999</v>
      </c>
      <c r="S95" s="15">
        <f t="shared" si="23"/>
        <v>0</v>
      </c>
      <c r="T95" s="14" t="str">
        <f t="shared" si="24"/>
        <v>Satisfactorio</v>
      </c>
      <c r="U95" s="14">
        <f t="shared" si="26"/>
        <v>0</v>
      </c>
      <c r="V95" s="14">
        <f t="shared" si="27"/>
        <v>0</v>
      </c>
    </row>
    <row r="96" spans="1:22">
      <c r="A96" s="17">
        <v>31747</v>
      </c>
      <c r="B96" s="9">
        <v>1986</v>
      </c>
      <c r="C96" s="9" t="s">
        <v>110</v>
      </c>
      <c r="D96" s="11">
        <v>79.3</v>
      </c>
      <c r="E96" s="15">
        <f>'Hoja 4 - Cálculo'!$B$12</f>
        <v>250</v>
      </c>
      <c r="F96" s="15">
        <f>'Hoja 4 - Cálculo'!$B$13</f>
        <v>0.85</v>
      </c>
      <c r="G96" s="15">
        <f>'Hoja 4 - Cálculo'!$B$14</f>
        <v>0.9</v>
      </c>
      <c r="H96" s="15">
        <f t="shared" si="16"/>
        <v>15.166124999999999</v>
      </c>
      <c r="I96" s="11">
        <v>8</v>
      </c>
      <c r="J96" s="11">
        <v>6</v>
      </c>
      <c r="K96" s="11">
        <v>2</v>
      </c>
      <c r="L96" s="15">
        <f t="shared" si="17"/>
        <v>16</v>
      </c>
      <c r="M96" s="15">
        <f t="shared" si="25"/>
        <v>5</v>
      </c>
      <c r="N96" s="15">
        <f t="shared" si="18"/>
        <v>0.40332250000000003</v>
      </c>
      <c r="O96" s="15">
        <f t="shared" si="19"/>
        <v>19.762802499999999</v>
      </c>
      <c r="P96" s="15">
        <f t="shared" si="20"/>
        <v>16</v>
      </c>
      <c r="Q96" s="15">
        <f t="shared" si="21"/>
        <v>3.7628024999999994</v>
      </c>
      <c r="R96" s="15">
        <f t="shared" si="22"/>
        <v>0</v>
      </c>
      <c r="S96" s="15">
        <f t="shared" si="23"/>
        <v>0</v>
      </c>
      <c r="T96" s="14" t="str">
        <f t="shared" si="24"/>
        <v>Satisfactorio</v>
      </c>
      <c r="U96" s="14">
        <f t="shared" si="26"/>
        <v>0</v>
      </c>
      <c r="V96" s="14">
        <f t="shared" si="27"/>
        <v>0</v>
      </c>
    </row>
    <row r="97" spans="1:22">
      <c r="A97" s="17">
        <v>31778</v>
      </c>
      <c r="B97" s="9">
        <v>1987</v>
      </c>
      <c r="C97" s="9" t="s">
        <v>99</v>
      </c>
      <c r="D97" s="11">
        <v>73.5</v>
      </c>
      <c r="E97" s="15">
        <f>'Hoja 4 - Cálculo'!$B$12</f>
        <v>250</v>
      </c>
      <c r="F97" s="15">
        <f>'Hoja 4 - Cálculo'!$B$13</f>
        <v>0.85</v>
      </c>
      <c r="G97" s="15">
        <f>'Hoja 4 - Cálculo'!$B$14</f>
        <v>0.9</v>
      </c>
      <c r="H97" s="15">
        <f t="shared" si="16"/>
        <v>14.056875</v>
      </c>
      <c r="I97" s="11">
        <v>8</v>
      </c>
      <c r="J97" s="11">
        <v>6</v>
      </c>
      <c r="K97" s="11">
        <v>2</v>
      </c>
      <c r="L97" s="15">
        <f t="shared" si="17"/>
        <v>16</v>
      </c>
      <c r="M97" s="15">
        <f t="shared" si="25"/>
        <v>3.7628024999999994</v>
      </c>
      <c r="N97" s="15">
        <f t="shared" si="18"/>
        <v>0.35639354999999995</v>
      </c>
      <c r="O97" s="15">
        <f t="shared" si="19"/>
        <v>17.463283949999997</v>
      </c>
      <c r="P97" s="15">
        <f t="shared" si="20"/>
        <v>16</v>
      </c>
      <c r="Q97" s="15">
        <f t="shared" si="21"/>
        <v>1.4632839499999974</v>
      </c>
      <c r="R97" s="15">
        <f t="shared" si="22"/>
        <v>0</v>
      </c>
      <c r="S97" s="15">
        <f t="shared" si="23"/>
        <v>0</v>
      </c>
      <c r="T97" s="14" t="str">
        <f t="shared" si="24"/>
        <v>Satisfactorio</v>
      </c>
      <c r="U97" s="14">
        <f t="shared" si="26"/>
        <v>0</v>
      </c>
      <c r="V97" s="14">
        <f t="shared" si="27"/>
        <v>0</v>
      </c>
    </row>
    <row r="98" spans="1:22">
      <c r="A98" s="17">
        <v>31809</v>
      </c>
      <c r="B98" s="9">
        <v>1987</v>
      </c>
      <c r="C98" s="9" t="s">
        <v>100</v>
      </c>
      <c r="D98" s="11">
        <v>83.5</v>
      </c>
      <c r="E98" s="15">
        <f>'Hoja 4 - Cálculo'!$B$12</f>
        <v>250</v>
      </c>
      <c r="F98" s="15">
        <f>'Hoja 4 - Cálculo'!$B$13</f>
        <v>0.85</v>
      </c>
      <c r="G98" s="15">
        <f>'Hoja 4 - Cálculo'!$B$14</f>
        <v>0.9</v>
      </c>
      <c r="H98" s="15">
        <f t="shared" si="16"/>
        <v>15.969374999999999</v>
      </c>
      <c r="I98" s="11">
        <v>8</v>
      </c>
      <c r="J98" s="11">
        <v>6</v>
      </c>
      <c r="K98" s="11">
        <v>2</v>
      </c>
      <c r="L98" s="15">
        <f t="shared" si="17"/>
        <v>16</v>
      </c>
      <c r="M98" s="15">
        <f t="shared" si="25"/>
        <v>1.4632839499999974</v>
      </c>
      <c r="N98" s="15">
        <f t="shared" si="18"/>
        <v>0.34865317899999992</v>
      </c>
      <c r="O98" s="15">
        <f t="shared" si="19"/>
        <v>17.084005770999998</v>
      </c>
      <c r="P98" s="15">
        <f t="shared" si="20"/>
        <v>16</v>
      </c>
      <c r="Q98" s="15">
        <f t="shared" si="21"/>
        <v>1.0840057709999975</v>
      </c>
      <c r="R98" s="15">
        <f t="shared" si="22"/>
        <v>0</v>
      </c>
      <c r="S98" s="15">
        <f t="shared" si="23"/>
        <v>0</v>
      </c>
      <c r="T98" s="14" t="str">
        <f t="shared" si="24"/>
        <v>Satisfactorio</v>
      </c>
      <c r="U98" s="14">
        <f t="shared" si="26"/>
        <v>0</v>
      </c>
      <c r="V98" s="14">
        <f t="shared" si="27"/>
        <v>0</v>
      </c>
    </row>
    <row r="99" spans="1:22">
      <c r="A99" s="17">
        <v>31837</v>
      </c>
      <c r="B99" s="9">
        <v>1987</v>
      </c>
      <c r="C99" s="9" t="s">
        <v>101</v>
      </c>
      <c r="D99" s="11">
        <v>119.2</v>
      </c>
      <c r="E99" s="15">
        <f>'Hoja 4 - Cálculo'!$B$12</f>
        <v>250</v>
      </c>
      <c r="F99" s="15">
        <f>'Hoja 4 - Cálculo'!$B$13</f>
        <v>0.85</v>
      </c>
      <c r="G99" s="15">
        <f>'Hoja 4 - Cálculo'!$B$14</f>
        <v>0.9</v>
      </c>
      <c r="H99" s="15">
        <f t="shared" si="16"/>
        <v>22.797000000000001</v>
      </c>
      <c r="I99" s="11">
        <v>8</v>
      </c>
      <c r="J99" s="11">
        <v>6</v>
      </c>
      <c r="K99" s="11">
        <v>2</v>
      </c>
      <c r="L99" s="15">
        <f t="shared" si="17"/>
        <v>16</v>
      </c>
      <c r="M99" s="15">
        <f t="shared" si="25"/>
        <v>1.0840057709999975</v>
      </c>
      <c r="N99" s="15">
        <f t="shared" si="18"/>
        <v>0.47762011541999999</v>
      </c>
      <c r="O99" s="15">
        <f t="shared" si="19"/>
        <v>23.403385655579999</v>
      </c>
      <c r="P99" s="15">
        <f t="shared" si="20"/>
        <v>16</v>
      </c>
      <c r="Q99" s="15">
        <f t="shared" si="21"/>
        <v>5</v>
      </c>
      <c r="R99" s="15">
        <f t="shared" si="22"/>
        <v>2.4033856555799993</v>
      </c>
      <c r="S99" s="15">
        <f t="shared" si="23"/>
        <v>0</v>
      </c>
      <c r="T99" s="14" t="str">
        <f t="shared" si="24"/>
        <v>Satisfactorio</v>
      </c>
      <c r="U99" s="14">
        <f t="shared" si="26"/>
        <v>0</v>
      </c>
      <c r="V99" s="14">
        <f t="shared" si="27"/>
        <v>0</v>
      </c>
    </row>
    <row r="100" spans="1:22">
      <c r="A100" s="17">
        <v>31868</v>
      </c>
      <c r="B100" s="9">
        <v>1987</v>
      </c>
      <c r="C100" s="9" t="s">
        <v>102</v>
      </c>
      <c r="D100" s="11">
        <v>178.5</v>
      </c>
      <c r="E100" s="15">
        <f>'Hoja 4 - Cálculo'!$B$12</f>
        <v>250</v>
      </c>
      <c r="F100" s="15">
        <f>'Hoja 4 - Cálculo'!$B$13</f>
        <v>0.85</v>
      </c>
      <c r="G100" s="15">
        <f>'Hoja 4 - Cálculo'!$B$14</f>
        <v>0.9</v>
      </c>
      <c r="H100" s="15">
        <f t="shared" si="16"/>
        <v>34.138125000000002</v>
      </c>
      <c r="I100" s="11">
        <v>8</v>
      </c>
      <c r="J100" s="11">
        <v>1.5</v>
      </c>
      <c r="K100" s="11">
        <v>2</v>
      </c>
      <c r="L100" s="15">
        <f t="shared" si="17"/>
        <v>11.5</v>
      </c>
      <c r="M100" s="15">
        <f t="shared" si="25"/>
        <v>5</v>
      </c>
      <c r="N100" s="15">
        <f t="shared" si="18"/>
        <v>0.78276250000000003</v>
      </c>
      <c r="O100" s="15">
        <f t="shared" si="19"/>
        <v>38.355362500000005</v>
      </c>
      <c r="P100" s="15">
        <f t="shared" si="20"/>
        <v>11.5</v>
      </c>
      <c r="Q100" s="15">
        <f t="shared" si="21"/>
        <v>5</v>
      </c>
      <c r="R100" s="15">
        <f t="shared" si="22"/>
        <v>21.855362500000005</v>
      </c>
      <c r="S100" s="15">
        <f t="shared" si="23"/>
        <v>0</v>
      </c>
      <c r="T100" s="14" t="str">
        <f t="shared" si="24"/>
        <v>Satisfactorio</v>
      </c>
      <c r="U100" s="14">
        <f t="shared" si="26"/>
        <v>0</v>
      </c>
      <c r="V100" s="14">
        <f t="shared" si="27"/>
        <v>0</v>
      </c>
    </row>
    <row r="101" spans="1:22">
      <c r="A101" s="17">
        <v>31898</v>
      </c>
      <c r="B101" s="9">
        <v>1987</v>
      </c>
      <c r="C101" s="9" t="s">
        <v>103</v>
      </c>
      <c r="D101" s="11">
        <v>149.19999999999999</v>
      </c>
      <c r="E101" s="15">
        <f>'Hoja 4 - Cálculo'!$B$12</f>
        <v>250</v>
      </c>
      <c r="F101" s="15">
        <f>'Hoja 4 - Cálculo'!$B$13</f>
        <v>0.85</v>
      </c>
      <c r="G101" s="15">
        <f>'Hoja 4 - Cálculo'!$B$14</f>
        <v>0.9</v>
      </c>
      <c r="H101" s="15">
        <f t="shared" si="16"/>
        <v>28.534500000000001</v>
      </c>
      <c r="I101" s="11">
        <v>8</v>
      </c>
      <c r="J101" s="11">
        <v>1.5</v>
      </c>
      <c r="K101" s="11">
        <v>2</v>
      </c>
      <c r="L101" s="15">
        <f t="shared" si="17"/>
        <v>11.5</v>
      </c>
      <c r="M101" s="15">
        <f t="shared" si="25"/>
        <v>5</v>
      </c>
      <c r="N101" s="15">
        <f t="shared" si="18"/>
        <v>0.67069000000000001</v>
      </c>
      <c r="O101" s="15">
        <f t="shared" si="19"/>
        <v>32.863810000000001</v>
      </c>
      <c r="P101" s="15">
        <f t="shared" si="20"/>
        <v>11.5</v>
      </c>
      <c r="Q101" s="15">
        <f t="shared" si="21"/>
        <v>5</v>
      </c>
      <c r="R101" s="15">
        <f t="shared" si="22"/>
        <v>16.363810000000001</v>
      </c>
      <c r="S101" s="15">
        <f t="shared" si="23"/>
        <v>0</v>
      </c>
      <c r="T101" s="14" t="str">
        <f t="shared" si="24"/>
        <v>Satisfactorio</v>
      </c>
      <c r="U101" s="14">
        <f t="shared" si="26"/>
        <v>0</v>
      </c>
      <c r="V101" s="14">
        <f t="shared" si="27"/>
        <v>0</v>
      </c>
    </row>
    <row r="102" spans="1:22">
      <c r="A102" s="17">
        <v>31929</v>
      </c>
      <c r="B102" s="9">
        <v>1987</v>
      </c>
      <c r="C102" s="9" t="s">
        <v>104</v>
      </c>
      <c r="D102" s="11">
        <v>97.2</v>
      </c>
      <c r="E102" s="15">
        <f>'Hoja 4 - Cálculo'!$B$12</f>
        <v>250</v>
      </c>
      <c r="F102" s="15">
        <f>'Hoja 4 - Cálculo'!$B$13</f>
        <v>0.85</v>
      </c>
      <c r="G102" s="15">
        <f>'Hoja 4 - Cálculo'!$B$14</f>
        <v>0.9</v>
      </c>
      <c r="H102" s="15">
        <f t="shared" si="16"/>
        <v>18.589500000000001</v>
      </c>
      <c r="I102" s="11">
        <v>8</v>
      </c>
      <c r="J102" s="11">
        <v>1.5</v>
      </c>
      <c r="K102" s="11">
        <v>2</v>
      </c>
      <c r="L102" s="15">
        <f t="shared" si="17"/>
        <v>11.5</v>
      </c>
      <c r="M102" s="15">
        <f t="shared" si="25"/>
        <v>5</v>
      </c>
      <c r="N102" s="15">
        <f t="shared" si="18"/>
        <v>0.47179000000000004</v>
      </c>
      <c r="O102" s="15">
        <f t="shared" si="19"/>
        <v>23.117710000000002</v>
      </c>
      <c r="P102" s="15">
        <f t="shared" si="20"/>
        <v>11.5</v>
      </c>
      <c r="Q102" s="15">
        <f t="shared" si="21"/>
        <v>5</v>
      </c>
      <c r="R102" s="15">
        <f t="shared" si="22"/>
        <v>6.6177100000000024</v>
      </c>
      <c r="S102" s="15">
        <f t="shared" si="23"/>
        <v>0</v>
      </c>
      <c r="T102" s="14" t="str">
        <f t="shared" si="24"/>
        <v>Satisfactorio</v>
      </c>
      <c r="U102" s="14">
        <f t="shared" si="26"/>
        <v>0</v>
      </c>
      <c r="V102" s="14">
        <f t="shared" si="27"/>
        <v>0</v>
      </c>
    </row>
    <row r="103" spans="1:22">
      <c r="A103" s="17">
        <v>31959</v>
      </c>
      <c r="B103" s="9">
        <v>1987</v>
      </c>
      <c r="C103" s="9" t="s">
        <v>105</v>
      </c>
      <c r="D103" s="11">
        <v>76.8</v>
      </c>
      <c r="E103" s="15">
        <f>'Hoja 4 - Cálculo'!$B$12</f>
        <v>250</v>
      </c>
      <c r="F103" s="15">
        <f>'Hoja 4 - Cálculo'!$B$13</f>
        <v>0.85</v>
      </c>
      <c r="G103" s="15">
        <f>'Hoja 4 - Cálculo'!$B$14</f>
        <v>0.9</v>
      </c>
      <c r="H103" s="15">
        <f t="shared" si="16"/>
        <v>14.688000000000001</v>
      </c>
      <c r="I103" s="11">
        <v>8</v>
      </c>
      <c r="J103" s="11">
        <v>6</v>
      </c>
      <c r="K103" s="11">
        <v>2</v>
      </c>
      <c r="L103" s="15">
        <f t="shared" si="17"/>
        <v>16</v>
      </c>
      <c r="M103" s="15">
        <f t="shared" si="25"/>
        <v>5</v>
      </c>
      <c r="N103" s="15">
        <f t="shared" si="18"/>
        <v>0.39376000000000005</v>
      </c>
      <c r="O103" s="15">
        <f t="shared" si="19"/>
        <v>19.294240000000002</v>
      </c>
      <c r="P103" s="15">
        <f t="shared" si="20"/>
        <v>16</v>
      </c>
      <c r="Q103" s="15">
        <f t="shared" si="21"/>
        <v>3.2942400000000021</v>
      </c>
      <c r="R103" s="15">
        <f t="shared" si="22"/>
        <v>0</v>
      </c>
      <c r="S103" s="15">
        <f t="shared" si="23"/>
        <v>0</v>
      </c>
      <c r="T103" s="14" t="str">
        <f t="shared" si="24"/>
        <v>Satisfactorio</v>
      </c>
      <c r="U103" s="14">
        <f t="shared" si="26"/>
        <v>0</v>
      </c>
      <c r="V103" s="14">
        <f t="shared" si="27"/>
        <v>0</v>
      </c>
    </row>
    <row r="104" spans="1:22">
      <c r="A104" s="17">
        <v>31990</v>
      </c>
      <c r="B104" s="9">
        <v>1987</v>
      </c>
      <c r="C104" s="9" t="s">
        <v>106</v>
      </c>
      <c r="D104" s="11">
        <v>82.4</v>
      </c>
      <c r="E104" s="15">
        <f>'Hoja 4 - Cálculo'!$B$12</f>
        <v>250</v>
      </c>
      <c r="F104" s="15">
        <f>'Hoja 4 - Cálculo'!$B$13</f>
        <v>0.85</v>
      </c>
      <c r="G104" s="15">
        <f>'Hoja 4 - Cálculo'!$B$14</f>
        <v>0.9</v>
      </c>
      <c r="H104" s="15">
        <f t="shared" si="16"/>
        <v>15.759</v>
      </c>
      <c r="I104" s="11">
        <v>8</v>
      </c>
      <c r="J104" s="11">
        <v>6</v>
      </c>
      <c r="K104" s="11">
        <v>2</v>
      </c>
      <c r="L104" s="15">
        <f t="shared" si="17"/>
        <v>16</v>
      </c>
      <c r="M104" s="15">
        <f t="shared" si="25"/>
        <v>3.2942400000000021</v>
      </c>
      <c r="N104" s="15">
        <f t="shared" si="18"/>
        <v>0.38106480000000004</v>
      </c>
      <c r="O104" s="15">
        <f t="shared" si="19"/>
        <v>18.672175200000002</v>
      </c>
      <c r="P104" s="15">
        <f t="shared" si="20"/>
        <v>16</v>
      </c>
      <c r="Q104" s="15">
        <f t="shared" si="21"/>
        <v>2.6721752000000016</v>
      </c>
      <c r="R104" s="15">
        <f t="shared" si="22"/>
        <v>0</v>
      </c>
      <c r="S104" s="15">
        <f t="shared" si="23"/>
        <v>0</v>
      </c>
      <c r="T104" s="14" t="str">
        <f t="shared" si="24"/>
        <v>Satisfactorio</v>
      </c>
      <c r="U104" s="14">
        <f t="shared" si="26"/>
        <v>0</v>
      </c>
      <c r="V104" s="14">
        <f t="shared" si="27"/>
        <v>0</v>
      </c>
    </row>
    <row r="105" spans="1:22">
      <c r="A105" s="17">
        <v>32021</v>
      </c>
      <c r="B105" s="9">
        <v>1987</v>
      </c>
      <c r="C105" s="9" t="s">
        <v>107</v>
      </c>
      <c r="D105" s="11">
        <v>137.1</v>
      </c>
      <c r="E105" s="15">
        <f>'Hoja 4 - Cálculo'!$B$12</f>
        <v>250</v>
      </c>
      <c r="F105" s="15">
        <f>'Hoja 4 - Cálculo'!$B$13</f>
        <v>0.85</v>
      </c>
      <c r="G105" s="15">
        <f>'Hoja 4 - Cálculo'!$B$14</f>
        <v>0.9</v>
      </c>
      <c r="H105" s="15">
        <f t="shared" si="16"/>
        <v>26.220375000000001</v>
      </c>
      <c r="I105" s="11">
        <v>8</v>
      </c>
      <c r="J105" s="11">
        <v>1.5</v>
      </c>
      <c r="K105" s="11">
        <v>2</v>
      </c>
      <c r="L105" s="15">
        <f t="shared" si="17"/>
        <v>11.5</v>
      </c>
      <c r="M105" s="15">
        <f t="shared" si="25"/>
        <v>2.6721752000000016</v>
      </c>
      <c r="N105" s="15">
        <f t="shared" si="18"/>
        <v>0.57785100400000011</v>
      </c>
      <c r="O105" s="15">
        <f t="shared" si="19"/>
        <v>28.314699196000003</v>
      </c>
      <c r="P105" s="15">
        <f t="shared" si="20"/>
        <v>11.5</v>
      </c>
      <c r="Q105" s="15">
        <f t="shared" si="21"/>
        <v>5</v>
      </c>
      <c r="R105" s="15">
        <f t="shared" si="22"/>
        <v>11.814699196000003</v>
      </c>
      <c r="S105" s="15">
        <f t="shared" si="23"/>
        <v>0</v>
      </c>
      <c r="T105" s="14" t="str">
        <f t="shared" si="24"/>
        <v>Satisfactorio</v>
      </c>
      <c r="U105" s="14">
        <f t="shared" si="26"/>
        <v>0</v>
      </c>
      <c r="V105" s="14">
        <f t="shared" si="27"/>
        <v>0</v>
      </c>
    </row>
    <row r="106" spans="1:22">
      <c r="A106" s="17">
        <v>32051</v>
      </c>
      <c r="B106" s="9">
        <v>1987</v>
      </c>
      <c r="C106" s="9" t="s">
        <v>108</v>
      </c>
      <c r="D106" s="11">
        <v>170.6</v>
      </c>
      <c r="E106" s="15">
        <f>'Hoja 4 - Cálculo'!$B$12</f>
        <v>250</v>
      </c>
      <c r="F106" s="15">
        <f>'Hoja 4 - Cálculo'!$B$13</f>
        <v>0.85</v>
      </c>
      <c r="G106" s="15">
        <f>'Hoja 4 - Cálculo'!$B$14</f>
        <v>0.9</v>
      </c>
      <c r="H106" s="15">
        <f t="shared" si="16"/>
        <v>32.627249999999997</v>
      </c>
      <c r="I106" s="11">
        <v>8</v>
      </c>
      <c r="J106" s="11">
        <v>1.5</v>
      </c>
      <c r="K106" s="11">
        <v>2</v>
      </c>
      <c r="L106" s="15">
        <f t="shared" si="17"/>
        <v>11.5</v>
      </c>
      <c r="M106" s="15">
        <f t="shared" si="25"/>
        <v>5</v>
      </c>
      <c r="N106" s="15">
        <f t="shared" si="18"/>
        <v>0.75254499999999991</v>
      </c>
      <c r="O106" s="15">
        <f t="shared" si="19"/>
        <v>36.874704999999999</v>
      </c>
      <c r="P106" s="15">
        <f t="shared" si="20"/>
        <v>11.5</v>
      </c>
      <c r="Q106" s="15">
        <f t="shared" si="21"/>
        <v>5</v>
      </c>
      <c r="R106" s="15">
        <f t="shared" si="22"/>
        <v>20.374704999999999</v>
      </c>
      <c r="S106" s="15">
        <f t="shared" si="23"/>
        <v>0</v>
      </c>
      <c r="T106" s="14" t="str">
        <f t="shared" si="24"/>
        <v>Satisfactorio</v>
      </c>
      <c r="U106" s="14">
        <f t="shared" si="26"/>
        <v>0</v>
      </c>
      <c r="V106" s="14">
        <f t="shared" si="27"/>
        <v>0</v>
      </c>
    </row>
    <row r="107" spans="1:22">
      <c r="A107" s="17">
        <v>32082</v>
      </c>
      <c r="B107" s="9">
        <v>1987</v>
      </c>
      <c r="C107" s="9" t="s">
        <v>109</v>
      </c>
      <c r="D107" s="11">
        <v>155.6</v>
      </c>
      <c r="E107" s="15">
        <f>'Hoja 4 - Cálculo'!$B$12</f>
        <v>250</v>
      </c>
      <c r="F107" s="15">
        <f>'Hoja 4 - Cálculo'!$B$13</f>
        <v>0.85</v>
      </c>
      <c r="G107" s="15">
        <f>'Hoja 4 - Cálculo'!$B$14</f>
        <v>0.9</v>
      </c>
      <c r="H107" s="15">
        <f t="shared" si="16"/>
        <v>29.758500000000002</v>
      </c>
      <c r="I107" s="11">
        <v>8</v>
      </c>
      <c r="J107" s="11">
        <v>1.5</v>
      </c>
      <c r="K107" s="11">
        <v>2</v>
      </c>
      <c r="L107" s="15">
        <f t="shared" si="17"/>
        <v>11.5</v>
      </c>
      <c r="M107" s="15">
        <f t="shared" si="25"/>
        <v>5</v>
      </c>
      <c r="N107" s="15">
        <f t="shared" si="18"/>
        <v>0.69516999999999995</v>
      </c>
      <c r="O107" s="15">
        <f t="shared" si="19"/>
        <v>34.063330000000001</v>
      </c>
      <c r="P107" s="15">
        <f t="shared" si="20"/>
        <v>11.5</v>
      </c>
      <c r="Q107" s="15">
        <f t="shared" si="21"/>
        <v>5</v>
      </c>
      <c r="R107" s="15">
        <f t="shared" si="22"/>
        <v>17.563330000000001</v>
      </c>
      <c r="S107" s="15">
        <f t="shared" si="23"/>
        <v>0</v>
      </c>
      <c r="T107" s="14" t="str">
        <f t="shared" si="24"/>
        <v>Satisfactorio</v>
      </c>
      <c r="U107" s="14">
        <f t="shared" si="26"/>
        <v>0</v>
      </c>
      <c r="V107" s="14">
        <f t="shared" si="27"/>
        <v>0</v>
      </c>
    </row>
    <row r="108" spans="1:22">
      <c r="A108" s="17">
        <v>32112</v>
      </c>
      <c r="B108" s="9">
        <v>1987</v>
      </c>
      <c r="C108" s="9" t="s">
        <v>110</v>
      </c>
      <c r="D108" s="11">
        <v>86.5</v>
      </c>
      <c r="E108" s="15">
        <f>'Hoja 4 - Cálculo'!$B$12</f>
        <v>250</v>
      </c>
      <c r="F108" s="15">
        <f>'Hoja 4 - Cálculo'!$B$13</f>
        <v>0.85</v>
      </c>
      <c r="G108" s="15">
        <f>'Hoja 4 - Cálculo'!$B$14</f>
        <v>0.9</v>
      </c>
      <c r="H108" s="15">
        <f t="shared" si="16"/>
        <v>16.543125</v>
      </c>
      <c r="I108" s="11">
        <v>8</v>
      </c>
      <c r="J108" s="11">
        <v>6</v>
      </c>
      <c r="K108" s="11">
        <v>2</v>
      </c>
      <c r="L108" s="15">
        <f t="shared" si="17"/>
        <v>16</v>
      </c>
      <c r="M108" s="15">
        <f t="shared" si="25"/>
        <v>5</v>
      </c>
      <c r="N108" s="15">
        <f t="shared" si="18"/>
        <v>0.43086249999999998</v>
      </c>
      <c r="O108" s="15">
        <f t="shared" si="19"/>
        <v>21.1122625</v>
      </c>
      <c r="P108" s="15">
        <f t="shared" si="20"/>
        <v>16</v>
      </c>
      <c r="Q108" s="15">
        <f t="shared" si="21"/>
        <v>5</v>
      </c>
      <c r="R108" s="15">
        <f t="shared" si="22"/>
        <v>0.11226249999999993</v>
      </c>
      <c r="S108" s="15">
        <f t="shared" si="23"/>
        <v>0</v>
      </c>
      <c r="T108" s="14" t="str">
        <f t="shared" si="24"/>
        <v>Satisfactorio</v>
      </c>
      <c r="U108" s="14">
        <f t="shared" si="26"/>
        <v>0</v>
      </c>
      <c r="V108" s="14">
        <f t="shared" si="27"/>
        <v>0</v>
      </c>
    </row>
    <row r="109" spans="1:22">
      <c r="A109" s="17">
        <v>32143</v>
      </c>
      <c r="B109" s="9">
        <v>1988</v>
      </c>
      <c r="C109" s="9" t="s">
        <v>99</v>
      </c>
      <c r="D109" s="11">
        <v>69.5</v>
      </c>
      <c r="E109" s="15">
        <f>'Hoja 4 - Cálculo'!$B$12</f>
        <v>250</v>
      </c>
      <c r="F109" s="15">
        <f>'Hoja 4 - Cálculo'!$B$13</f>
        <v>0.85</v>
      </c>
      <c r="G109" s="15">
        <f>'Hoja 4 - Cálculo'!$B$14</f>
        <v>0.9</v>
      </c>
      <c r="H109" s="15">
        <f t="shared" si="16"/>
        <v>13.291874999999999</v>
      </c>
      <c r="I109" s="11">
        <v>8</v>
      </c>
      <c r="J109" s="11">
        <v>6</v>
      </c>
      <c r="K109" s="11">
        <v>2</v>
      </c>
      <c r="L109" s="15">
        <f t="shared" si="17"/>
        <v>16</v>
      </c>
      <c r="M109" s="15">
        <f t="shared" si="25"/>
        <v>5</v>
      </c>
      <c r="N109" s="15">
        <f t="shared" si="18"/>
        <v>0.36583749999999998</v>
      </c>
      <c r="O109" s="15">
        <f t="shared" si="19"/>
        <v>17.926037499999996</v>
      </c>
      <c r="P109" s="15">
        <f t="shared" si="20"/>
        <v>16</v>
      </c>
      <c r="Q109" s="15">
        <f t="shared" si="21"/>
        <v>1.9260374999999961</v>
      </c>
      <c r="R109" s="15">
        <f t="shared" si="22"/>
        <v>0</v>
      </c>
      <c r="S109" s="15">
        <f t="shared" si="23"/>
        <v>0</v>
      </c>
      <c r="T109" s="14" t="str">
        <f t="shared" si="24"/>
        <v>Satisfactorio</v>
      </c>
      <c r="U109" s="14">
        <f t="shared" si="26"/>
        <v>0</v>
      </c>
      <c r="V109" s="14">
        <f t="shared" si="27"/>
        <v>0</v>
      </c>
    </row>
    <row r="110" spans="1:22">
      <c r="A110" s="17">
        <v>32174</v>
      </c>
      <c r="B110" s="9">
        <v>1988</v>
      </c>
      <c r="C110" s="9" t="s">
        <v>100</v>
      </c>
      <c r="D110" s="11">
        <v>74.2</v>
      </c>
      <c r="E110" s="15">
        <f>'Hoja 4 - Cálculo'!$B$12</f>
        <v>250</v>
      </c>
      <c r="F110" s="15">
        <f>'Hoja 4 - Cálculo'!$B$13</f>
        <v>0.85</v>
      </c>
      <c r="G110" s="15">
        <f>'Hoja 4 - Cálculo'!$B$14</f>
        <v>0.9</v>
      </c>
      <c r="H110" s="15">
        <f t="shared" si="16"/>
        <v>14.19075</v>
      </c>
      <c r="I110" s="11">
        <v>8</v>
      </c>
      <c r="J110" s="11">
        <v>6</v>
      </c>
      <c r="K110" s="11">
        <v>2</v>
      </c>
      <c r="L110" s="15">
        <f t="shared" si="17"/>
        <v>16</v>
      </c>
      <c r="M110" s="15">
        <f t="shared" si="25"/>
        <v>1.9260374999999961</v>
      </c>
      <c r="N110" s="15">
        <f t="shared" si="18"/>
        <v>0.32233574999999987</v>
      </c>
      <c r="O110" s="15">
        <f t="shared" si="19"/>
        <v>15.794451749999993</v>
      </c>
      <c r="P110" s="15">
        <f t="shared" si="20"/>
        <v>15.794451749999993</v>
      </c>
      <c r="Q110" s="15">
        <f t="shared" si="21"/>
        <v>0</v>
      </c>
      <c r="R110" s="15">
        <f t="shared" si="22"/>
        <v>0</v>
      </c>
      <c r="S110" s="15">
        <f t="shared" si="23"/>
        <v>0.20554825000000676</v>
      </c>
      <c r="T110" s="14" t="str">
        <f t="shared" si="24"/>
        <v>Falla</v>
      </c>
      <c r="U110" s="14">
        <f t="shared" si="26"/>
        <v>0</v>
      </c>
      <c r="V110" s="14">
        <f t="shared" si="27"/>
        <v>1</v>
      </c>
    </row>
    <row r="111" spans="1:22">
      <c r="A111" s="17">
        <v>32203</v>
      </c>
      <c r="B111" s="9">
        <v>1988</v>
      </c>
      <c r="C111" s="9" t="s">
        <v>101</v>
      </c>
      <c r="D111" s="11">
        <v>116.8</v>
      </c>
      <c r="E111" s="15">
        <f>'Hoja 4 - Cálculo'!$B$12</f>
        <v>250</v>
      </c>
      <c r="F111" s="15">
        <f>'Hoja 4 - Cálculo'!$B$13</f>
        <v>0.85</v>
      </c>
      <c r="G111" s="15">
        <f>'Hoja 4 - Cálculo'!$B$14</f>
        <v>0.9</v>
      </c>
      <c r="H111" s="15">
        <f t="shared" si="16"/>
        <v>22.338000000000001</v>
      </c>
      <c r="I111" s="11">
        <v>8</v>
      </c>
      <c r="J111" s="11">
        <v>6</v>
      </c>
      <c r="K111" s="11">
        <v>2</v>
      </c>
      <c r="L111" s="15">
        <f t="shared" si="17"/>
        <v>16</v>
      </c>
      <c r="M111" s="15">
        <f t="shared" si="25"/>
        <v>0</v>
      </c>
      <c r="N111" s="15">
        <f t="shared" si="18"/>
        <v>0.44676000000000005</v>
      </c>
      <c r="O111" s="15">
        <f t="shared" si="19"/>
        <v>21.89124</v>
      </c>
      <c r="P111" s="15">
        <f t="shared" si="20"/>
        <v>16</v>
      </c>
      <c r="Q111" s="15">
        <f t="shared" si="21"/>
        <v>5</v>
      </c>
      <c r="R111" s="15">
        <f t="shared" si="22"/>
        <v>0.89123999999999981</v>
      </c>
      <c r="S111" s="15">
        <f t="shared" si="23"/>
        <v>0</v>
      </c>
      <c r="T111" s="14" t="str">
        <f t="shared" si="24"/>
        <v>Satisfactorio</v>
      </c>
      <c r="U111" s="14">
        <f t="shared" si="26"/>
        <v>1</v>
      </c>
      <c r="V111" s="14">
        <f t="shared" si="27"/>
        <v>0</v>
      </c>
    </row>
    <row r="112" spans="1:22">
      <c r="A112" s="17">
        <v>32234</v>
      </c>
      <c r="B112" s="9">
        <v>1988</v>
      </c>
      <c r="C112" s="9" t="s">
        <v>102</v>
      </c>
      <c r="D112" s="11">
        <v>155</v>
      </c>
      <c r="E112" s="15">
        <f>'Hoja 4 - Cálculo'!$B$12</f>
        <v>250</v>
      </c>
      <c r="F112" s="15">
        <f>'Hoja 4 - Cálculo'!$B$13</f>
        <v>0.85</v>
      </c>
      <c r="G112" s="15">
        <f>'Hoja 4 - Cálculo'!$B$14</f>
        <v>0.9</v>
      </c>
      <c r="H112" s="15">
        <f t="shared" si="16"/>
        <v>29.643750000000001</v>
      </c>
      <c r="I112" s="11">
        <v>8</v>
      </c>
      <c r="J112" s="11">
        <v>1.5</v>
      </c>
      <c r="K112" s="11">
        <v>2</v>
      </c>
      <c r="L112" s="15">
        <f t="shared" si="17"/>
        <v>11.5</v>
      </c>
      <c r="M112" s="15">
        <f t="shared" si="25"/>
        <v>5</v>
      </c>
      <c r="N112" s="15">
        <f t="shared" si="18"/>
        <v>0.69287499999999991</v>
      </c>
      <c r="O112" s="15">
        <f t="shared" si="19"/>
        <v>33.950874999999996</v>
      </c>
      <c r="P112" s="15">
        <f t="shared" si="20"/>
        <v>11.5</v>
      </c>
      <c r="Q112" s="15">
        <f t="shared" si="21"/>
        <v>5</v>
      </c>
      <c r="R112" s="15">
        <f t="shared" si="22"/>
        <v>17.450874999999996</v>
      </c>
      <c r="S112" s="15">
        <f t="shared" si="23"/>
        <v>0</v>
      </c>
      <c r="T112" s="14" t="str">
        <f t="shared" si="24"/>
        <v>Satisfactorio</v>
      </c>
      <c r="U112" s="14">
        <f t="shared" si="26"/>
        <v>0</v>
      </c>
      <c r="V112" s="14">
        <f t="shared" si="27"/>
        <v>0</v>
      </c>
    </row>
    <row r="113" spans="1:22">
      <c r="A113" s="17">
        <v>32264</v>
      </c>
      <c r="B113" s="9">
        <v>1988</v>
      </c>
      <c r="C113" s="9" t="s">
        <v>103</v>
      </c>
      <c r="D113" s="11">
        <v>146.80000000000001</v>
      </c>
      <c r="E113" s="15">
        <f>'Hoja 4 - Cálculo'!$B$12</f>
        <v>250</v>
      </c>
      <c r="F113" s="15">
        <f>'Hoja 4 - Cálculo'!$B$13</f>
        <v>0.85</v>
      </c>
      <c r="G113" s="15">
        <f>'Hoja 4 - Cálculo'!$B$14</f>
        <v>0.9</v>
      </c>
      <c r="H113" s="15">
        <f t="shared" si="16"/>
        <v>28.075500000000002</v>
      </c>
      <c r="I113" s="11">
        <v>8</v>
      </c>
      <c r="J113" s="11">
        <v>1.5</v>
      </c>
      <c r="K113" s="11">
        <v>2</v>
      </c>
      <c r="L113" s="15">
        <f t="shared" si="17"/>
        <v>11.5</v>
      </c>
      <c r="M113" s="15">
        <f t="shared" si="25"/>
        <v>5</v>
      </c>
      <c r="N113" s="15">
        <f t="shared" si="18"/>
        <v>0.66151000000000015</v>
      </c>
      <c r="O113" s="15">
        <f t="shared" si="19"/>
        <v>32.413990000000005</v>
      </c>
      <c r="P113" s="15">
        <f t="shared" si="20"/>
        <v>11.5</v>
      </c>
      <c r="Q113" s="15">
        <f t="shared" si="21"/>
        <v>5</v>
      </c>
      <c r="R113" s="15">
        <f t="shared" si="22"/>
        <v>15.913990000000005</v>
      </c>
      <c r="S113" s="15">
        <f t="shared" si="23"/>
        <v>0</v>
      </c>
      <c r="T113" s="14" t="str">
        <f t="shared" si="24"/>
        <v>Satisfactorio</v>
      </c>
      <c r="U113" s="14">
        <f t="shared" si="26"/>
        <v>0</v>
      </c>
      <c r="V113" s="14">
        <f t="shared" si="27"/>
        <v>0</v>
      </c>
    </row>
    <row r="114" spans="1:22">
      <c r="A114" s="17">
        <v>32295</v>
      </c>
      <c r="B114" s="9">
        <v>1988</v>
      </c>
      <c r="C114" s="9" t="s">
        <v>104</v>
      </c>
      <c r="D114" s="11">
        <v>86.2</v>
      </c>
      <c r="E114" s="15">
        <f>'Hoja 4 - Cálculo'!$B$12</f>
        <v>250</v>
      </c>
      <c r="F114" s="15">
        <f>'Hoja 4 - Cálculo'!$B$13</f>
        <v>0.85</v>
      </c>
      <c r="G114" s="15">
        <f>'Hoja 4 - Cálculo'!$B$14</f>
        <v>0.9</v>
      </c>
      <c r="H114" s="15">
        <f t="shared" si="16"/>
        <v>16.485749999999999</v>
      </c>
      <c r="I114" s="11">
        <v>8</v>
      </c>
      <c r="J114" s="11">
        <v>1.5</v>
      </c>
      <c r="K114" s="11">
        <v>2</v>
      </c>
      <c r="L114" s="15">
        <f t="shared" si="17"/>
        <v>11.5</v>
      </c>
      <c r="M114" s="15">
        <f t="shared" si="25"/>
        <v>5</v>
      </c>
      <c r="N114" s="15">
        <f t="shared" si="18"/>
        <v>0.42971500000000001</v>
      </c>
      <c r="O114" s="15">
        <f t="shared" si="19"/>
        <v>21.056034999999998</v>
      </c>
      <c r="P114" s="15">
        <f t="shared" si="20"/>
        <v>11.5</v>
      </c>
      <c r="Q114" s="15">
        <f t="shared" si="21"/>
        <v>5</v>
      </c>
      <c r="R114" s="15">
        <f t="shared" si="22"/>
        <v>4.5560349999999978</v>
      </c>
      <c r="S114" s="15">
        <f t="shared" si="23"/>
        <v>0</v>
      </c>
      <c r="T114" s="14" t="str">
        <f t="shared" si="24"/>
        <v>Satisfactorio</v>
      </c>
      <c r="U114" s="14">
        <f t="shared" si="26"/>
        <v>0</v>
      </c>
      <c r="V114" s="14">
        <f t="shared" si="27"/>
        <v>0</v>
      </c>
    </row>
    <row r="115" spans="1:22">
      <c r="A115" s="17">
        <v>32325</v>
      </c>
      <c r="B115" s="9">
        <v>1988</v>
      </c>
      <c r="C115" s="9" t="s">
        <v>105</v>
      </c>
      <c r="D115" s="11">
        <v>72.3</v>
      </c>
      <c r="E115" s="15">
        <f>'Hoja 4 - Cálculo'!$B$12</f>
        <v>250</v>
      </c>
      <c r="F115" s="15">
        <f>'Hoja 4 - Cálculo'!$B$13</f>
        <v>0.85</v>
      </c>
      <c r="G115" s="15">
        <f>'Hoja 4 - Cálculo'!$B$14</f>
        <v>0.9</v>
      </c>
      <c r="H115" s="15">
        <f t="shared" si="16"/>
        <v>13.827375</v>
      </c>
      <c r="I115" s="11">
        <v>8</v>
      </c>
      <c r="J115" s="11">
        <v>6</v>
      </c>
      <c r="K115" s="11">
        <v>2</v>
      </c>
      <c r="L115" s="15">
        <f t="shared" si="17"/>
        <v>16</v>
      </c>
      <c r="M115" s="15">
        <f t="shared" si="25"/>
        <v>5</v>
      </c>
      <c r="N115" s="15">
        <f t="shared" si="18"/>
        <v>0.37654750000000003</v>
      </c>
      <c r="O115" s="15">
        <f t="shared" si="19"/>
        <v>18.450827499999999</v>
      </c>
      <c r="P115" s="15">
        <f t="shared" si="20"/>
        <v>16</v>
      </c>
      <c r="Q115" s="15">
        <f t="shared" si="21"/>
        <v>2.450827499999999</v>
      </c>
      <c r="R115" s="15">
        <f t="shared" si="22"/>
        <v>0</v>
      </c>
      <c r="S115" s="15">
        <f t="shared" si="23"/>
        <v>0</v>
      </c>
      <c r="T115" s="14" t="str">
        <f t="shared" si="24"/>
        <v>Satisfactorio</v>
      </c>
      <c r="U115" s="14">
        <f t="shared" si="26"/>
        <v>0</v>
      </c>
      <c r="V115" s="14">
        <f t="shared" si="27"/>
        <v>0</v>
      </c>
    </row>
    <row r="116" spans="1:22">
      <c r="A116" s="17">
        <v>32356</v>
      </c>
      <c r="B116" s="9">
        <v>1988</v>
      </c>
      <c r="C116" s="9" t="s">
        <v>106</v>
      </c>
      <c r="D116" s="11">
        <v>77.3</v>
      </c>
      <c r="E116" s="15">
        <f>'Hoja 4 - Cálculo'!$B$12</f>
        <v>250</v>
      </c>
      <c r="F116" s="15">
        <f>'Hoja 4 - Cálculo'!$B$13</f>
        <v>0.85</v>
      </c>
      <c r="G116" s="15">
        <f>'Hoja 4 - Cálculo'!$B$14</f>
        <v>0.9</v>
      </c>
      <c r="H116" s="15">
        <f t="shared" si="16"/>
        <v>14.783625000000001</v>
      </c>
      <c r="I116" s="11">
        <v>8</v>
      </c>
      <c r="J116" s="11">
        <v>6</v>
      </c>
      <c r="K116" s="11">
        <v>2</v>
      </c>
      <c r="L116" s="15">
        <f t="shared" si="17"/>
        <v>16</v>
      </c>
      <c r="M116" s="15">
        <f t="shared" si="25"/>
        <v>2.450827499999999</v>
      </c>
      <c r="N116" s="15">
        <f t="shared" si="18"/>
        <v>0.34468905</v>
      </c>
      <c r="O116" s="15">
        <f t="shared" si="19"/>
        <v>16.88976345</v>
      </c>
      <c r="P116" s="15">
        <f t="shared" si="20"/>
        <v>16</v>
      </c>
      <c r="Q116" s="15">
        <f t="shared" si="21"/>
        <v>0.88976345000000023</v>
      </c>
      <c r="R116" s="15">
        <f t="shared" si="22"/>
        <v>0</v>
      </c>
      <c r="S116" s="15">
        <f t="shared" si="23"/>
        <v>0</v>
      </c>
      <c r="T116" s="14" t="str">
        <f t="shared" si="24"/>
        <v>Satisfactorio</v>
      </c>
      <c r="U116" s="14">
        <f t="shared" si="26"/>
        <v>0</v>
      </c>
      <c r="V116" s="14">
        <f t="shared" si="27"/>
        <v>0</v>
      </c>
    </row>
    <row r="117" spans="1:22">
      <c r="A117" s="17">
        <v>32387</v>
      </c>
      <c r="B117" s="9">
        <v>1988</v>
      </c>
      <c r="C117" s="9" t="s">
        <v>107</v>
      </c>
      <c r="D117" s="11">
        <v>122</v>
      </c>
      <c r="E117" s="15">
        <f>'Hoja 4 - Cálculo'!$B$12</f>
        <v>250</v>
      </c>
      <c r="F117" s="15">
        <f>'Hoja 4 - Cálculo'!$B$13</f>
        <v>0.85</v>
      </c>
      <c r="G117" s="15">
        <f>'Hoja 4 - Cálculo'!$B$14</f>
        <v>0.9</v>
      </c>
      <c r="H117" s="15">
        <f t="shared" si="16"/>
        <v>23.3325</v>
      </c>
      <c r="I117" s="11">
        <v>8</v>
      </c>
      <c r="J117" s="11">
        <v>1.5</v>
      </c>
      <c r="K117" s="11">
        <v>2</v>
      </c>
      <c r="L117" s="15">
        <f t="shared" si="17"/>
        <v>11.5</v>
      </c>
      <c r="M117" s="15">
        <f t="shared" si="25"/>
        <v>0.88976345000000023</v>
      </c>
      <c r="N117" s="15">
        <f t="shared" si="18"/>
        <v>0.48444526900000001</v>
      </c>
      <c r="O117" s="15">
        <f t="shared" si="19"/>
        <v>23.737818181000002</v>
      </c>
      <c r="P117" s="15">
        <f t="shared" si="20"/>
        <v>11.5</v>
      </c>
      <c r="Q117" s="15">
        <f t="shared" si="21"/>
        <v>5</v>
      </c>
      <c r="R117" s="15">
        <f t="shared" si="22"/>
        <v>7.2378181810000015</v>
      </c>
      <c r="S117" s="15">
        <f t="shared" si="23"/>
        <v>0</v>
      </c>
      <c r="T117" s="14" t="str">
        <f t="shared" si="24"/>
        <v>Satisfactorio</v>
      </c>
      <c r="U117" s="14">
        <f t="shared" si="26"/>
        <v>0</v>
      </c>
      <c r="V117" s="14">
        <f t="shared" si="27"/>
        <v>0</v>
      </c>
    </row>
    <row r="118" spans="1:22">
      <c r="A118" s="17">
        <v>32417</v>
      </c>
      <c r="B118" s="9">
        <v>1988</v>
      </c>
      <c r="C118" s="9" t="s">
        <v>108</v>
      </c>
      <c r="D118" s="11">
        <v>167.4</v>
      </c>
      <c r="E118" s="15">
        <f>'Hoja 4 - Cálculo'!$B$12</f>
        <v>250</v>
      </c>
      <c r="F118" s="15">
        <f>'Hoja 4 - Cálculo'!$B$13</f>
        <v>0.85</v>
      </c>
      <c r="G118" s="15">
        <f>'Hoja 4 - Cálculo'!$B$14</f>
        <v>0.9</v>
      </c>
      <c r="H118" s="15">
        <f t="shared" si="16"/>
        <v>32.015250000000002</v>
      </c>
      <c r="I118" s="11">
        <v>8</v>
      </c>
      <c r="J118" s="11">
        <v>1.5</v>
      </c>
      <c r="K118" s="11">
        <v>2</v>
      </c>
      <c r="L118" s="15">
        <f t="shared" si="17"/>
        <v>11.5</v>
      </c>
      <c r="M118" s="15">
        <f t="shared" si="25"/>
        <v>5</v>
      </c>
      <c r="N118" s="15">
        <f t="shared" si="18"/>
        <v>0.7403050000000001</v>
      </c>
      <c r="O118" s="15">
        <f t="shared" si="19"/>
        <v>36.274945000000002</v>
      </c>
      <c r="P118" s="15">
        <f t="shared" si="20"/>
        <v>11.5</v>
      </c>
      <c r="Q118" s="15">
        <f t="shared" si="21"/>
        <v>5</v>
      </c>
      <c r="R118" s="15">
        <f t="shared" si="22"/>
        <v>19.774945000000002</v>
      </c>
      <c r="S118" s="15">
        <f t="shared" si="23"/>
        <v>0</v>
      </c>
      <c r="T118" s="14" t="str">
        <f t="shared" si="24"/>
        <v>Satisfactorio</v>
      </c>
      <c r="U118" s="14">
        <f t="shared" si="26"/>
        <v>0</v>
      </c>
      <c r="V118" s="14">
        <f t="shared" si="27"/>
        <v>0</v>
      </c>
    </row>
    <row r="119" spans="1:22">
      <c r="A119" s="17">
        <v>32448</v>
      </c>
      <c r="B119" s="9">
        <v>1988</v>
      </c>
      <c r="C119" s="9" t="s">
        <v>109</v>
      </c>
      <c r="D119" s="11">
        <v>135.30000000000001</v>
      </c>
      <c r="E119" s="15">
        <f>'Hoja 4 - Cálculo'!$B$12</f>
        <v>250</v>
      </c>
      <c r="F119" s="15">
        <f>'Hoja 4 - Cálculo'!$B$13</f>
        <v>0.85</v>
      </c>
      <c r="G119" s="15">
        <f>'Hoja 4 - Cálculo'!$B$14</f>
        <v>0.9</v>
      </c>
      <c r="H119" s="15">
        <f t="shared" si="16"/>
        <v>25.876124999999998</v>
      </c>
      <c r="I119" s="11">
        <v>8</v>
      </c>
      <c r="J119" s="11">
        <v>1.5</v>
      </c>
      <c r="K119" s="11">
        <v>2</v>
      </c>
      <c r="L119" s="15">
        <f t="shared" si="17"/>
        <v>11.5</v>
      </c>
      <c r="M119" s="15">
        <f t="shared" si="25"/>
        <v>5</v>
      </c>
      <c r="N119" s="15">
        <f t="shared" si="18"/>
        <v>0.61752249999999997</v>
      </c>
      <c r="O119" s="15">
        <f t="shared" si="19"/>
        <v>30.258602499999999</v>
      </c>
      <c r="P119" s="15">
        <f t="shared" si="20"/>
        <v>11.5</v>
      </c>
      <c r="Q119" s="15">
        <f t="shared" si="21"/>
        <v>5</v>
      </c>
      <c r="R119" s="15">
        <f t="shared" si="22"/>
        <v>13.758602499999999</v>
      </c>
      <c r="S119" s="15">
        <f t="shared" si="23"/>
        <v>0</v>
      </c>
      <c r="T119" s="14" t="str">
        <f t="shared" si="24"/>
        <v>Satisfactorio</v>
      </c>
      <c r="U119" s="14">
        <f t="shared" si="26"/>
        <v>0</v>
      </c>
      <c r="V119" s="14">
        <f t="shared" si="27"/>
        <v>0</v>
      </c>
    </row>
    <row r="120" spans="1:22">
      <c r="A120" s="17">
        <v>32478</v>
      </c>
      <c r="B120" s="9">
        <v>1988</v>
      </c>
      <c r="C120" s="9" t="s">
        <v>110</v>
      </c>
      <c r="D120" s="11">
        <v>84.8</v>
      </c>
      <c r="E120" s="15">
        <f>'Hoja 4 - Cálculo'!$B$12</f>
        <v>250</v>
      </c>
      <c r="F120" s="15">
        <f>'Hoja 4 - Cálculo'!$B$13</f>
        <v>0.85</v>
      </c>
      <c r="G120" s="15">
        <f>'Hoja 4 - Cálculo'!$B$14</f>
        <v>0.9</v>
      </c>
      <c r="H120" s="15">
        <f t="shared" si="16"/>
        <v>16.218</v>
      </c>
      <c r="I120" s="11">
        <v>8</v>
      </c>
      <c r="J120" s="11">
        <v>6</v>
      </c>
      <c r="K120" s="11">
        <v>2</v>
      </c>
      <c r="L120" s="15">
        <f t="shared" si="17"/>
        <v>16</v>
      </c>
      <c r="M120" s="15">
        <f t="shared" si="25"/>
        <v>5</v>
      </c>
      <c r="N120" s="15">
        <f t="shared" si="18"/>
        <v>0.42436000000000001</v>
      </c>
      <c r="O120" s="15">
        <f t="shared" si="19"/>
        <v>20.79364</v>
      </c>
      <c r="P120" s="15">
        <f t="shared" si="20"/>
        <v>16</v>
      </c>
      <c r="Q120" s="15">
        <f t="shared" si="21"/>
        <v>4.7936399999999999</v>
      </c>
      <c r="R120" s="15">
        <f t="shared" si="22"/>
        <v>0</v>
      </c>
      <c r="S120" s="15">
        <f t="shared" si="23"/>
        <v>0</v>
      </c>
      <c r="T120" s="14" t="str">
        <f t="shared" si="24"/>
        <v>Satisfactorio</v>
      </c>
      <c r="U120" s="14">
        <f t="shared" si="26"/>
        <v>0</v>
      </c>
      <c r="V120" s="14">
        <f t="shared" si="27"/>
        <v>0</v>
      </c>
    </row>
    <row r="121" spans="1:22">
      <c r="A121" s="17">
        <v>32509</v>
      </c>
      <c r="B121" s="9">
        <v>1989</v>
      </c>
      <c r="C121" s="9" t="s">
        <v>99</v>
      </c>
      <c r="D121" s="11">
        <v>61.5</v>
      </c>
      <c r="E121" s="15">
        <f>'Hoja 4 - Cálculo'!$B$12</f>
        <v>250</v>
      </c>
      <c r="F121" s="15">
        <f>'Hoja 4 - Cálculo'!$B$13</f>
        <v>0.85</v>
      </c>
      <c r="G121" s="15">
        <f>'Hoja 4 - Cálculo'!$B$14</f>
        <v>0.9</v>
      </c>
      <c r="H121" s="15">
        <f t="shared" si="16"/>
        <v>11.761875</v>
      </c>
      <c r="I121" s="11">
        <v>8</v>
      </c>
      <c r="J121" s="11">
        <v>6</v>
      </c>
      <c r="K121" s="11">
        <v>2</v>
      </c>
      <c r="L121" s="15">
        <f t="shared" si="17"/>
        <v>16</v>
      </c>
      <c r="M121" s="15">
        <f t="shared" si="25"/>
        <v>4.7936399999999999</v>
      </c>
      <c r="N121" s="15">
        <f t="shared" si="18"/>
        <v>0.33111030000000002</v>
      </c>
      <c r="O121" s="15">
        <f t="shared" si="19"/>
        <v>16.224404700000001</v>
      </c>
      <c r="P121" s="15">
        <f t="shared" si="20"/>
        <v>16</v>
      </c>
      <c r="Q121" s="15">
        <f t="shared" si="21"/>
        <v>0.2244047000000009</v>
      </c>
      <c r="R121" s="15">
        <f t="shared" si="22"/>
        <v>0</v>
      </c>
      <c r="S121" s="15">
        <f t="shared" si="23"/>
        <v>0</v>
      </c>
      <c r="T121" s="14" t="str">
        <f t="shared" si="24"/>
        <v>Satisfactorio</v>
      </c>
      <c r="U121" s="14">
        <f t="shared" si="26"/>
        <v>0</v>
      </c>
      <c r="V121" s="14">
        <f t="shared" si="27"/>
        <v>0</v>
      </c>
    </row>
    <row r="122" spans="1:22">
      <c r="A122" s="17">
        <v>32540</v>
      </c>
      <c r="B122" s="9">
        <v>1989</v>
      </c>
      <c r="C122" s="9" t="s">
        <v>100</v>
      </c>
      <c r="D122" s="11">
        <v>65</v>
      </c>
      <c r="E122" s="15">
        <f>'Hoja 4 - Cálculo'!$B$12</f>
        <v>250</v>
      </c>
      <c r="F122" s="15">
        <f>'Hoja 4 - Cálculo'!$B$13</f>
        <v>0.85</v>
      </c>
      <c r="G122" s="15">
        <f>'Hoja 4 - Cálculo'!$B$14</f>
        <v>0.9</v>
      </c>
      <c r="H122" s="15">
        <f t="shared" si="16"/>
        <v>12.43125</v>
      </c>
      <c r="I122" s="11">
        <v>8</v>
      </c>
      <c r="J122" s="11">
        <v>6</v>
      </c>
      <c r="K122" s="11">
        <v>2</v>
      </c>
      <c r="L122" s="15">
        <f t="shared" si="17"/>
        <v>16</v>
      </c>
      <c r="M122" s="15">
        <f t="shared" si="25"/>
        <v>0.2244047000000009</v>
      </c>
      <c r="N122" s="15">
        <f t="shared" si="18"/>
        <v>0.25311309400000004</v>
      </c>
      <c r="O122" s="15">
        <f t="shared" si="19"/>
        <v>12.402541606000002</v>
      </c>
      <c r="P122" s="15">
        <f t="shared" si="20"/>
        <v>12.402541606000002</v>
      </c>
      <c r="Q122" s="15">
        <f t="shared" si="21"/>
        <v>0</v>
      </c>
      <c r="R122" s="15">
        <f t="shared" si="22"/>
        <v>0</v>
      </c>
      <c r="S122" s="15">
        <f t="shared" si="23"/>
        <v>3.5974583939999984</v>
      </c>
      <c r="T122" s="14" t="str">
        <f t="shared" si="24"/>
        <v>Falla</v>
      </c>
      <c r="U122" s="14">
        <f t="shared" si="26"/>
        <v>0</v>
      </c>
      <c r="V122" s="14">
        <f t="shared" si="27"/>
        <v>1</v>
      </c>
    </row>
    <row r="123" spans="1:22">
      <c r="A123" s="17">
        <v>32568</v>
      </c>
      <c r="B123" s="9">
        <v>1989</v>
      </c>
      <c r="C123" s="9" t="s">
        <v>101</v>
      </c>
      <c r="D123" s="11">
        <v>103.1</v>
      </c>
      <c r="E123" s="15">
        <f>'Hoja 4 - Cálculo'!$B$12</f>
        <v>250</v>
      </c>
      <c r="F123" s="15">
        <f>'Hoja 4 - Cálculo'!$B$13</f>
        <v>0.85</v>
      </c>
      <c r="G123" s="15">
        <f>'Hoja 4 - Cálculo'!$B$14</f>
        <v>0.9</v>
      </c>
      <c r="H123" s="15">
        <f t="shared" si="16"/>
        <v>19.717874999999999</v>
      </c>
      <c r="I123" s="11">
        <v>8</v>
      </c>
      <c r="J123" s="11">
        <v>6</v>
      </c>
      <c r="K123" s="11">
        <v>2</v>
      </c>
      <c r="L123" s="15">
        <f t="shared" si="17"/>
        <v>16</v>
      </c>
      <c r="M123" s="15">
        <f t="shared" si="25"/>
        <v>0</v>
      </c>
      <c r="N123" s="15">
        <f t="shared" si="18"/>
        <v>0.39435749999999997</v>
      </c>
      <c r="O123" s="15">
        <f t="shared" si="19"/>
        <v>19.323517499999998</v>
      </c>
      <c r="P123" s="15">
        <f t="shared" si="20"/>
        <v>16</v>
      </c>
      <c r="Q123" s="15">
        <f t="shared" si="21"/>
        <v>3.3235174999999977</v>
      </c>
      <c r="R123" s="15">
        <f t="shared" si="22"/>
        <v>0</v>
      </c>
      <c r="S123" s="15">
        <f t="shared" si="23"/>
        <v>0</v>
      </c>
      <c r="T123" s="14" t="str">
        <f t="shared" si="24"/>
        <v>Satisfactorio</v>
      </c>
      <c r="U123" s="14">
        <f t="shared" si="26"/>
        <v>1</v>
      </c>
      <c r="V123" s="14">
        <f t="shared" si="27"/>
        <v>0</v>
      </c>
    </row>
    <row r="124" spans="1:22">
      <c r="A124" s="17">
        <v>32599</v>
      </c>
      <c r="B124" s="9">
        <v>1989</v>
      </c>
      <c r="C124" s="9" t="s">
        <v>102</v>
      </c>
      <c r="D124" s="11">
        <v>136.1</v>
      </c>
      <c r="E124" s="15">
        <f>'Hoja 4 - Cálculo'!$B$12</f>
        <v>250</v>
      </c>
      <c r="F124" s="15">
        <f>'Hoja 4 - Cálculo'!$B$13</f>
        <v>0.85</v>
      </c>
      <c r="G124" s="15">
        <f>'Hoja 4 - Cálculo'!$B$14</f>
        <v>0.9</v>
      </c>
      <c r="H124" s="15">
        <f t="shared" si="16"/>
        <v>26.029125000000001</v>
      </c>
      <c r="I124" s="11">
        <v>8</v>
      </c>
      <c r="J124" s="11">
        <v>1.5</v>
      </c>
      <c r="K124" s="11">
        <v>2</v>
      </c>
      <c r="L124" s="15">
        <f t="shared" si="17"/>
        <v>11.5</v>
      </c>
      <c r="M124" s="15">
        <f t="shared" si="25"/>
        <v>3.3235174999999977</v>
      </c>
      <c r="N124" s="15">
        <f t="shared" si="18"/>
        <v>0.58705284999999996</v>
      </c>
      <c r="O124" s="15">
        <f t="shared" si="19"/>
        <v>28.765589649999999</v>
      </c>
      <c r="P124" s="15">
        <f t="shared" si="20"/>
        <v>11.5</v>
      </c>
      <c r="Q124" s="15">
        <f t="shared" si="21"/>
        <v>5</v>
      </c>
      <c r="R124" s="15">
        <f t="shared" si="22"/>
        <v>12.265589649999999</v>
      </c>
      <c r="S124" s="15">
        <f t="shared" si="23"/>
        <v>0</v>
      </c>
      <c r="T124" s="14" t="str">
        <f t="shared" si="24"/>
        <v>Satisfactorio</v>
      </c>
      <c r="U124" s="14">
        <f t="shared" si="26"/>
        <v>0</v>
      </c>
      <c r="V124" s="14">
        <f t="shared" si="27"/>
        <v>0</v>
      </c>
    </row>
    <row r="125" spans="1:22">
      <c r="A125" s="17">
        <v>32629</v>
      </c>
      <c r="B125" s="9">
        <v>1989</v>
      </c>
      <c r="C125" s="9" t="s">
        <v>103</v>
      </c>
      <c r="D125" s="11">
        <v>129.30000000000001</v>
      </c>
      <c r="E125" s="15">
        <f>'Hoja 4 - Cálculo'!$B$12</f>
        <v>250</v>
      </c>
      <c r="F125" s="15">
        <f>'Hoja 4 - Cálculo'!$B$13</f>
        <v>0.85</v>
      </c>
      <c r="G125" s="15">
        <f>'Hoja 4 - Cálculo'!$B$14</f>
        <v>0.9</v>
      </c>
      <c r="H125" s="15">
        <f t="shared" si="16"/>
        <v>24.728625000000005</v>
      </c>
      <c r="I125" s="11">
        <v>8</v>
      </c>
      <c r="J125" s="11">
        <v>1.5</v>
      </c>
      <c r="K125" s="11">
        <v>2</v>
      </c>
      <c r="L125" s="15">
        <f t="shared" si="17"/>
        <v>11.5</v>
      </c>
      <c r="M125" s="15">
        <f t="shared" si="25"/>
        <v>5</v>
      </c>
      <c r="N125" s="15">
        <f t="shared" si="18"/>
        <v>0.59457250000000006</v>
      </c>
      <c r="O125" s="15">
        <f t="shared" si="19"/>
        <v>29.134052500000003</v>
      </c>
      <c r="P125" s="15">
        <f t="shared" si="20"/>
        <v>11.5</v>
      </c>
      <c r="Q125" s="15">
        <f t="shared" si="21"/>
        <v>5</v>
      </c>
      <c r="R125" s="15">
        <f t="shared" si="22"/>
        <v>12.634052500000003</v>
      </c>
      <c r="S125" s="15">
        <f t="shared" si="23"/>
        <v>0</v>
      </c>
      <c r="T125" s="14" t="str">
        <f t="shared" si="24"/>
        <v>Satisfactorio</v>
      </c>
      <c r="U125" s="14">
        <f t="shared" si="26"/>
        <v>0</v>
      </c>
      <c r="V125" s="14">
        <f t="shared" si="27"/>
        <v>0</v>
      </c>
    </row>
    <row r="126" spans="1:22">
      <c r="A126" s="17">
        <v>32660</v>
      </c>
      <c r="B126" s="9">
        <v>1989</v>
      </c>
      <c r="C126" s="9" t="s">
        <v>104</v>
      </c>
      <c r="D126" s="11">
        <v>75.900000000000006</v>
      </c>
      <c r="E126" s="15">
        <f>'Hoja 4 - Cálculo'!$B$12</f>
        <v>250</v>
      </c>
      <c r="F126" s="15">
        <f>'Hoja 4 - Cálculo'!$B$13</f>
        <v>0.85</v>
      </c>
      <c r="G126" s="15">
        <f>'Hoja 4 - Cálculo'!$B$14</f>
        <v>0.9</v>
      </c>
      <c r="H126" s="15">
        <f t="shared" si="16"/>
        <v>14.515874999999999</v>
      </c>
      <c r="I126" s="11">
        <v>8</v>
      </c>
      <c r="J126" s="11">
        <v>1.5</v>
      </c>
      <c r="K126" s="11">
        <v>2</v>
      </c>
      <c r="L126" s="15">
        <f t="shared" si="17"/>
        <v>11.5</v>
      </c>
      <c r="M126" s="15">
        <f t="shared" si="25"/>
        <v>5</v>
      </c>
      <c r="N126" s="15">
        <f t="shared" si="18"/>
        <v>0.39031750000000004</v>
      </c>
      <c r="O126" s="15">
        <f t="shared" si="19"/>
        <v>19.125557500000003</v>
      </c>
      <c r="P126" s="15">
        <f t="shared" si="20"/>
        <v>11.5</v>
      </c>
      <c r="Q126" s="15">
        <f t="shared" si="21"/>
        <v>5</v>
      </c>
      <c r="R126" s="15">
        <f t="shared" si="22"/>
        <v>2.6255575000000029</v>
      </c>
      <c r="S126" s="15">
        <f t="shared" si="23"/>
        <v>0</v>
      </c>
      <c r="T126" s="14" t="str">
        <f t="shared" si="24"/>
        <v>Satisfactorio</v>
      </c>
      <c r="U126" s="14">
        <f t="shared" si="26"/>
        <v>0</v>
      </c>
      <c r="V126" s="14">
        <f t="shared" si="27"/>
        <v>0</v>
      </c>
    </row>
    <row r="127" spans="1:22">
      <c r="A127" s="17">
        <v>32690</v>
      </c>
      <c r="B127" s="9">
        <v>1989</v>
      </c>
      <c r="C127" s="9" t="s">
        <v>105</v>
      </c>
      <c r="D127" s="11">
        <v>63.5</v>
      </c>
      <c r="E127" s="15">
        <f>'Hoja 4 - Cálculo'!$B$12</f>
        <v>250</v>
      </c>
      <c r="F127" s="15">
        <f>'Hoja 4 - Cálculo'!$B$13</f>
        <v>0.85</v>
      </c>
      <c r="G127" s="15">
        <f>'Hoja 4 - Cálculo'!$B$14</f>
        <v>0.9</v>
      </c>
      <c r="H127" s="15">
        <f t="shared" si="16"/>
        <v>12.144375</v>
      </c>
      <c r="I127" s="11">
        <v>8</v>
      </c>
      <c r="J127" s="11">
        <v>6</v>
      </c>
      <c r="K127" s="11">
        <v>2</v>
      </c>
      <c r="L127" s="15">
        <f t="shared" si="17"/>
        <v>16</v>
      </c>
      <c r="M127" s="15">
        <f t="shared" si="25"/>
        <v>5</v>
      </c>
      <c r="N127" s="15">
        <f t="shared" si="18"/>
        <v>0.34288750000000001</v>
      </c>
      <c r="O127" s="15">
        <f t="shared" si="19"/>
        <v>16.8014875</v>
      </c>
      <c r="P127" s="15">
        <f t="shared" si="20"/>
        <v>16</v>
      </c>
      <c r="Q127" s="15">
        <f t="shared" si="21"/>
        <v>0.80148750000000035</v>
      </c>
      <c r="R127" s="15">
        <f t="shared" si="22"/>
        <v>0</v>
      </c>
      <c r="S127" s="15">
        <f t="shared" si="23"/>
        <v>0</v>
      </c>
      <c r="T127" s="14" t="str">
        <f t="shared" si="24"/>
        <v>Satisfactorio</v>
      </c>
      <c r="U127" s="14">
        <f t="shared" si="26"/>
        <v>0</v>
      </c>
      <c r="V127" s="14">
        <f t="shared" si="27"/>
        <v>0</v>
      </c>
    </row>
    <row r="128" spans="1:22">
      <c r="A128" s="17">
        <v>32721</v>
      </c>
      <c r="B128" s="9">
        <v>1989</v>
      </c>
      <c r="C128" s="9" t="s">
        <v>106</v>
      </c>
      <c r="D128" s="11">
        <v>68.2</v>
      </c>
      <c r="E128" s="15">
        <f>'Hoja 4 - Cálculo'!$B$12</f>
        <v>250</v>
      </c>
      <c r="F128" s="15">
        <f>'Hoja 4 - Cálculo'!$B$13</f>
        <v>0.85</v>
      </c>
      <c r="G128" s="15">
        <f>'Hoja 4 - Cálculo'!$B$14</f>
        <v>0.9</v>
      </c>
      <c r="H128" s="15">
        <f t="shared" si="16"/>
        <v>13.04325</v>
      </c>
      <c r="I128" s="11">
        <v>8</v>
      </c>
      <c r="J128" s="11">
        <v>6</v>
      </c>
      <c r="K128" s="11">
        <v>2</v>
      </c>
      <c r="L128" s="15">
        <f t="shared" si="17"/>
        <v>16</v>
      </c>
      <c r="M128" s="15">
        <f t="shared" si="25"/>
        <v>0.80148750000000035</v>
      </c>
      <c r="N128" s="15">
        <f t="shared" si="18"/>
        <v>0.27689475000000002</v>
      </c>
      <c r="O128" s="15">
        <f t="shared" si="19"/>
        <v>13.567842750000001</v>
      </c>
      <c r="P128" s="15">
        <f t="shared" si="20"/>
        <v>13.567842750000001</v>
      </c>
      <c r="Q128" s="15">
        <f t="shared" si="21"/>
        <v>0</v>
      </c>
      <c r="R128" s="15">
        <f t="shared" si="22"/>
        <v>0</v>
      </c>
      <c r="S128" s="15">
        <f t="shared" si="23"/>
        <v>2.4321572499999995</v>
      </c>
      <c r="T128" s="14" t="str">
        <f t="shared" si="24"/>
        <v>Falla</v>
      </c>
      <c r="U128" s="14">
        <f t="shared" si="26"/>
        <v>0</v>
      </c>
      <c r="V128" s="14">
        <f t="shared" si="27"/>
        <v>1</v>
      </c>
    </row>
    <row r="129" spans="1:22">
      <c r="A129" s="17">
        <v>32752</v>
      </c>
      <c r="B129" s="9">
        <v>1989</v>
      </c>
      <c r="C129" s="9" t="s">
        <v>107</v>
      </c>
      <c r="D129" s="11">
        <v>106.9</v>
      </c>
      <c r="E129" s="15">
        <f>'Hoja 4 - Cálculo'!$B$12</f>
        <v>250</v>
      </c>
      <c r="F129" s="15">
        <f>'Hoja 4 - Cálculo'!$B$13</f>
        <v>0.85</v>
      </c>
      <c r="G129" s="15">
        <f>'Hoja 4 - Cálculo'!$B$14</f>
        <v>0.9</v>
      </c>
      <c r="H129" s="15">
        <f t="shared" si="16"/>
        <v>20.444624999999998</v>
      </c>
      <c r="I129" s="11">
        <v>8</v>
      </c>
      <c r="J129" s="11">
        <v>1.5</v>
      </c>
      <c r="K129" s="11">
        <v>2</v>
      </c>
      <c r="L129" s="15">
        <f t="shared" si="17"/>
        <v>11.5</v>
      </c>
      <c r="M129" s="15">
        <f t="shared" si="25"/>
        <v>0</v>
      </c>
      <c r="N129" s="15">
        <f t="shared" si="18"/>
        <v>0.40889249999999999</v>
      </c>
      <c r="O129" s="15">
        <f t="shared" si="19"/>
        <v>20.035732499999998</v>
      </c>
      <c r="P129" s="15">
        <f t="shared" si="20"/>
        <v>11.5</v>
      </c>
      <c r="Q129" s="15">
        <f t="shared" si="21"/>
        <v>5</v>
      </c>
      <c r="R129" s="15">
        <f t="shared" si="22"/>
        <v>3.5357324999999982</v>
      </c>
      <c r="S129" s="15">
        <f t="shared" si="23"/>
        <v>0</v>
      </c>
      <c r="T129" s="14" t="str">
        <f t="shared" si="24"/>
        <v>Satisfactorio</v>
      </c>
      <c r="U129" s="14">
        <f t="shared" si="26"/>
        <v>1</v>
      </c>
      <c r="V129" s="14">
        <f t="shared" si="27"/>
        <v>0</v>
      </c>
    </row>
    <row r="130" spans="1:22">
      <c r="A130" s="17">
        <v>32782</v>
      </c>
      <c r="B130" s="9">
        <v>1989</v>
      </c>
      <c r="C130" s="9" t="s">
        <v>108</v>
      </c>
      <c r="D130" s="11">
        <v>148.19999999999999</v>
      </c>
      <c r="E130" s="15">
        <f>'Hoja 4 - Cálculo'!$B$12</f>
        <v>250</v>
      </c>
      <c r="F130" s="15">
        <f>'Hoja 4 - Cálculo'!$B$13</f>
        <v>0.85</v>
      </c>
      <c r="G130" s="15">
        <f>'Hoja 4 - Cálculo'!$B$14</f>
        <v>0.9</v>
      </c>
      <c r="H130" s="15">
        <f t="shared" si="16"/>
        <v>28.343250000000001</v>
      </c>
      <c r="I130" s="11">
        <v>8</v>
      </c>
      <c r="J130" s="11">
        <v>1.5</v>
      </c>
      <c r="K130" s="11">
        <v>2</v>
      </c>
      <c r="L130" s="15">
        <f t="shared" si="17"/>
        <v>11.5</v>
      </c>
      <c r="M130" s="15">
        <f t="shared" si="25"/>
        <v>5</v>
      </c>
      <c r="N130" s="15">
        <f t="shared" si="18"/>
        <v>0.66686499999999993</v>
      </c>
      <c r="O130" s="15">
        <f t="shared" si="19"/>
        <v>32.676384999999996</v>
      </c>
      <c r="P130" s="15">
        <f t="shared" si="20"/>
        <v>11.5</v>
      </c>
      <c r="Q130" s="15">
        <f t="shared" si="21"/>
        <v>5</v>
      </c>
      <c r="R130" s="15">
        <f t="shared" si="22"/>
        <v>16.176384999999996</v>
      </c>
      <c r="S130" s="15">
        <f t="shared" si="23"/>
        <v>0</v>
      </c>
      <c r="T130" s="14" t="str">
        <f t="shared" si="24"/>
        <v>Satisfactorio</v>
      </c>
      <c r="U130" s="14">
        <f t="shared" si="26"/>
        <v>0</v>
      </c>
      <c r="V130" s="14">
        <f t="shared" si="27"/>
        <v>0</v>
      </c>
    </row>
    <row r="131" spans="1:22">
      <c r="A131" s="17">
        <v>32813</v>
      </c>
      <c r="B131" s="9">
        <v>1989</v>
      </c>
      <c r="C131" s="9" t="s">
        <v>109</v>
      </c>
      <c r="D131" s="11">
        <v>118.2</v>
      </c>
      <c r="E131" s="15">
        <f>'Hoja 4 - Cálculo'!$B$12</f>
        <v>250</v>
      </c>
      <c r="F131" s="15">
        <f>'Hoja 4 - Cálculo'!$B$13</f>
        <v>0.85</v>
      </c>
      <c r="G131" s="15">
        <f>'Hoja 4 - Cálculo'!$B$14</f>
        <v>0.9</v>
      </c>
      <c r="H131" s="15">
        <f t="shared" si="16"/>
        <v>22.60575</v>
      </c>
      <c r="I131" s="11">
        <v>8</v>
      </c>
      <c r="J131" s="11">
        <v>1.5</v>
      </c>
      <c r="K131" s="11">
        <v>2</v>
      </c>
      <c r="L131" s="15">
        <f t="shared" si="17"/>
        <v>11.5</v>
      </c>
      <c r="M131" s="15">
        <f t="shared" si="25"/>
        <v>5</v>
      </c>
      <c r="N131" s="15">
        <f t="shared" si="18"/>
        <v>0.55211500000000002</v>
      </c>
      <c r="O131" s="15">
        <f t="shared" si="19"/>
        <v>27.053635</v>
      </c>
      <c r="P131" s="15">
        <f t="shared" si="20"/>
        <v>11.5</v>
      </c>
      <c r="Q131" s="15">
        <f t="shared" si="21"/>
        <v>5</v>
      </c>
      <c r="R131" s="15">
        <f t="shared" si="22"/>
        <v>10.553635</v>
      </c>
      <c r="S131" s="15">
        <f t="shared" si="23"/>
        <v>0</v>
      </c>
      <c r="T131" s="14" t="str">
        <f t="shared" si="24"/>
        <v>Satisfactorio</v>
      </c>
      <c r="U131" s="14">
        <f t="shared" si="26"/>
        <v>0</v>
      </c>
      <c r="V131" s="14">
        <f t="shared" si="27"/>
        <v>0</v>
      </c>
    </row>
    <row r="132" spans="1:22">
      <c r="A132" s="17">
        <v>32843</v>
      </c>
      <c r="B132" s="9">
        <v>1989</v>
      </c>
      <c r="C132" s="9" t="s">
        <v>110</v>
      </c>
      <c r="D132" s="11">
        <v>75.099999999999994</v>
      </c>
      <c r="E132" s="15">
        <f>'Hoja 4 - Cálculo'!$B$12</f>
        <v>250</v>
      </c>
      <c r="F132" s="15">
        <f>'Hoja 4 - Cálculo'!$B$13</f>
        <v>0.85</v>
      </c>
      <c r="G132" s="15">
        <f>'Hoja 4 - Cálculo'!$B$14</f>
        <v>0.9</v>
      </c>
      <c r="H132" s="15">
        <f t="shared" si="16"/>
        <v>14.362875000000001</v>
      </c>
      <c r="I132" s="11">
        <v>8</v>
      </c>
      <c r="J132" s="11">
        <v>6</v>
      </c>
      <c r="K132" s="11">
        <v>2</v>
      </c>
      <c r="L132" s="15">
        <f t="shared" si="17"/>
        <v>16</v>
      </c>
      <c r="M132" s="15">
        <f t="shared" si="25"/>
        <v>5</v>
      </c>
      <c r="N132" s="15">
        <f t="shared" si="18"/>
        <v>0.38725750000000003</v>
      </c>
      <c r="O132" s="15">
        <f t="shared" si="19"/>
        <v>18.975617500000002</v>
      </c>
      <c r="P132" s="15">
        <f t="shared" si="20"/>
        <v>16</v>
      </c>
      <c r="Q132" s="15">
        <f t="shared" si="21"/>
        <v>2.975617500000002</v>
      </c>
      <c r="R132" s="15">
        <f t="shared" si="22"/>
        <v>0</v>
      </c>
      <c r="S132" s="15">
        <f t="shared" si="23"/>
        <v>0</v>
      </c>
      <c r="T132" s="14" t="str">
        <f t="shared" si="24"/>
        <v>Satisfactorio</v>
      </c>
      <c r="U132" s="14">
        <f t="shared" si="26"/>
        <v>0</v>
      </c>
      <c r="V132" s="14">
        <f t="shared" si="27"/>
        <v>0</v>
      </c>
    </row>
    <row r="133" spans="1:22">
      <c r="A133" s="17">
        <v>32874</v>
      </c>
      <c r="B133" s="9">
        <v>1990</v>
      </c>
      <c r="C133" s="9" t="s">
        <v>99</v>
      </c>
      <c r="D133" s="11">
        <v>61.3</v>
      </c>
      <c r="E133" s="15">
        <f>'Hoja 4 - Cálculo'!$B$12</f>
        <v>250</v>
      </c>
      <c r="F133" s="15">
        <f>'Hoja 4 - Cálculo'!$B$13</f>
        <v>0.85</v>
      </c>
      <c r="G133" s="15">
        <f>'Hoja 4 - Cálculo'!$B$14</f>
        <v>0.9</v>
      </c>
      <c r="H133" s="15">
        <f t="shared" si="16"/>
        <v>11.723625</v>
      </c>
      <c r="I133" s="11">
        <v>8</v>
      </c>
      <c r="J133" s="11">
        <v>6</v>
      </c>
      <c r="K133" s="11">
        <v>2</v>
      </c>
      <c r="L133" s="15">
        <f t="shared" si="17"/>
        <v>16</v>
      </c>
      <c r="M133" s="15">
        <f t="shared" si="25"/>
        <v>2.975617500000002</v>
      </c>
      <c r="N133" s="15">
        <f t="shared" si="18"/>
        <v>0.29398485000000008</v>
      </c>
      <c r="O133" s="15">
        <f t="shared" si="19"/>
        <v>14.405257650000003</v>
      </c>
      <c r="P133" s="15">
        <f t="shared" si="20"/>
        <v>14.405257650000003</v>
      </c>
      <c r="Q133" s="15">
        <f t="shared" si="21"/>
        <v>0</v>
      </c>
      <c r="R133" s="15">
        <f t="shared" si="22"/>
        <v>0</v>
      </c>
      <c r="S133" s="15">
        <f t="shared" si="23"/>
        <v>1.5947423499999971</v>
      </c>
      <c r="T133" s="14" t="str">
        <f t="shared" si="24"/>
        <v>Falla</v>
      </c>
      <c r="U133" s="14">
        <f t="shared" si="26"/>
        <v>0</v>
      </c>
      <c r="V133" s="14">
        <f t="shared" si="27"/>
        <v>1</v>
      </c>
    </row>
    <row r="134" spans="1:22">
      <c r="A134" s="17">
        <v>32905</v>
      </c>
      <c r="B134" s="9">
        <v>1990</v>
      </c>
      <c r="C134" s="9" t="s">
        <v>100</v>
      </c>
      <c r="D134" s="11">
        <v>69.599999999999994</v>
      </c>
      <c r="E134" s="15">
        <f>'Hoja 4 - Cálculo'!$B$12</f>
        <v>250</v>
      </c>
      <c r="F134" s="15">
        <f>'Hoja 4 - Cálculo'!$B$13</f>
        <v>0.85</v>
      </c>
      <c r="G134" s="15">
        <f>'Hoja 4 - Cálculo'!$B$14</f>
        <v>0.9</v>
      </c>
      <c r="H134" s="15">
        <f t="shared" si="16"/>
        <v>13.311</v>
      </c>
      <c r="I134" s="11">
        <v>8</v>
      </c>
      <c r="J134" s="11">
        <v>6</v>
      </c>
      <c r="K134" s="11">
        <v>2</v>
      </c>
      <c r="L134" s="15">
        <f t="shared" si="17"/>
        <v>16</v>
      </c>
      <c r="M134" s="15">
        <f t="shared" si="25"/>
        <v>0</v>
      </c>
      <c r="N134" s="15">
        <f t="shared" si="18"/>
        <v>0.26622000000000001</v>
      </c>
      <c r="O134" s="15">
        <f t="shared" si="19"/>
        <v>13.044779999999999</v>
      </c>
      <c r="P134" s="15">
        <f t="shared" si="20"/>
        <v>13.044779999999999</v>
      </c>
      <c r="Q134" s="15">
        <f t="shared" si="21"/>
        <v>0</v>
      </c>
      <c r="R134" s="15">
        <f t="shared" si="22"/>
        <v>0</v>
      </c>
      <c r="S134" s="15">
        <f t="shared" si="23"/>
        <v>2.9552200000000006</v>
      </c>
      <c r="T134" s="14" t="str">
        <f t="shared" si="24"/>
        <v>Falla</v>
      </c>
      <c r="U134" s="14">
        <f t="shared" si="26"/>
        <v>0</v>
      </c>
      <c r="V134" s="14">
        <f t="shared" si="27"/>
        <v>0</v>
      </c>
    </row>
    <row r="135" spans="1:22">
      <c r="A135" s="17">
        <v>32933</v>
      </c>
      <c r="B135" s="9">
        <v>1990</v>
      </c>
      <c r="C135" s="9" t="s">
        <v>101</v>
      </c>
      <c r="D135" s="11">
        <v>98.5</v>
      </c>
      <c r="E135" s="15">
        <f>'Hoja 4 - Cálculo'!$B$12</f>
        <v>250</v>
      </c>
      <c r="F135" s="15">
        <f>'Hoja 4 - Cálculo'!$B$13</f>
        <v>0.85</v>
      </c>
      <c r="G135" s="15">
        <f>'Hoja 4 - Cálculo'!$B$14</f>
        <v>0.9</v>
      </c>
      <c r="H135" s="15">
        <f t="shared" si="16"/>
        <v>18.838125000000002</v>
      </c>
      <c r="I135" s="11">
        <v>8</v>
      </c>
      <c r="J135" s="11">
        <v>6</v>
      </c>
      <c r="K135" s="11">
        <v>2</v>
      </c>
      <c r="L135" s="15">
        <f t="shared" si="17"/>
        <v>16</v>
      </c>
      <c r="M135" s="15">
        <f t="shared" si="25"/>
        <v>0</v>
      </c>
      <c r="N135" s="15">
        <f t="shared" si="18"/>
        <v>0.37676250000000006</v>
      </c>
      <c r="O135" s="15">
        <f t="shared" si="19"/>
        <v>18.4613625</v>
      </c>
      <c r="P135" s="15">
        <f t="shared" si="20"/>
        <v>16</v>
      </c>
      <c r="Q135" s="15">
        <f t="shared" si="21"/>
        <v>2.4613624999999999</v>
      </c>
      <c r="R135" s="15">
        <f t="shared" si="22"/>
        <v>0</v>
      </c>
      <c r="S135" s="15">
        <f t="shared" si="23"/>
        <v>0</v>
      </c>
      <c r="T135" s="14" t="str">
        <f t="shared" si="24"/>
        <v>Satisfactorio</v>
      </c>
      <c r="U135" s="14">
        <f t="shared" si="26"/>
        <v>1</v>
      </c>
      <c r="V135" s="14">
        <f t="shared" si="27"/>
        <v>0</v>
      </c>
    </row>
    <row r="136" spans="1:22">
      <c r="A136" s="17">
        <v>32964</v>
      </c>
      <c r="B136" s="9">
        <v>1990</v>
      </c>
      <c r="C136" s="9" t="s">
        <v>102</v>
      </c>
      <c r="D136" s="11">
        <v>149.6</v>
      </c>
      <c r="E136" s="15">
        <f>'Hoja 4 - Cálculo'!$B$12</f>
        <v>250</v>
      </c>
      <c r="F136" s="15">
        <f>'Hoja 4 - Cálculo'!$B$13</f>
        <v>0.85</v>
      </c>
      <c r="G136" s="15">
        <f>'Hoja 4 - Cálculo'!$B$14</f>
        <v>0.9</v>
      </c>
      <c r="H136" s="15">
        <f t="shared" si="16"/>
        <v>28.611000000000001</v>
      </c>
      <c r="I136" s="11">
        <v>8</v>
      </c>
      <c r="J136" s="11">
        <v>1.5</v>
      </c>
      <c r="K136" s="11">
        <v>2</v>
      </c>
      <c r="L136" s="15">
        <f t="shared" si="17"/>
        <v>11.5</v>
      </c>
      <c r="M136" s="15">
        <f t="shared" si="25"/>
        <v>2.4613624999999999</v>
      </c>
      <c r="N136" s="15">
        <f t="shared" si="18"/>
        <v>0.62144725000000001</v>
      </c>
      <c r="O136" s="15">
        <f t="shared" si="19"/>
        <v>30.450915250000001</v>
      </c>
      <c r="P136" s="15">
        <f t="shared" si="20"/>
        <v>11.5</v>
      </c>
      <c r="Q136" s="15">
        <f t="shared" si="21"/>
        <v>5</v>
      </c>
      <c r="R136" s="15">
        <f t="shared" si="22"/>
        <v>13.950915250000001</v>
      </c>
      <c r="S136" s="15">
        <f t="shared" si="23"/>
        <v>0</v>
      </c>
      <c r="T136" s="14" t="str">
        <f t="shared" si="24"/>
        <v>Satisfactorio</v>
      </c>
      <c r="U136" s="14">
        <f t="shared" si="26"/>
        <v>0</v>
      </c>
      <c r="V136" s="14">
        <f t="shared" si="27"/>
        <v>0</v>
      </c>
    </row>
    <row r="137" spans="1:22">
      <c r="A137" s="17">
        <v>32994</v>
      </c>
      <c r="B137" s="9">
        <v>1990</v>
      </c>
      <c r="C137" s="9" t="s">
        <v>103</v>
      </c>
      <c r="D137" s="11">
        <v>123</v>
      </c>
      <c r="E137" s="15">
        <f>'Hoja 4 - Cálculo'!$B$12</f>
        <v>250</v>
      </c>
      <c r="F137" s="15">
        <f>'Hoja 4 - Cálculo'!$B$13</f>
        <v>0.85</v>
      </c>
      <c r="G137" s="15">
        <f>'Hoja 4 - Cálculo'!$B$14</f>
        <v>0.9</v>
      </c>
      <c r="H137" s="15">
        <f t="shared" si="16"/>
        <v>23.52375</v>
      </c>
      <c r="I137" s="11">
        <v>8</v>
      </c>
      <c r="J137" s="11">
        <v>1.5</v>
      </c>
      <c r="K137" s="11">
        <v>2</v>
      </c>
      <c r="L137" s="15">
        <f t="shared" si="17"/>
        <v>11.5</v>
      </c>
      <c r="M137" s="15">
        <f t="shared" si="25"/>
        <v>5</v>
      </c>
      <c r="N137" s="15">
        <f t="shared" si="18"/>
        <v>0.57047499999999995</v>
      </c>
      <c r="O137" s="15">
        <f t="shared" si="19"/>
        <v>27.953275000000001</v>
      </c>
      <c r="P137" s="15">
        <f t="shared" si="20"/>
        <v>11.5</v>
      </c>
      <c r="Q137" s="15">
        <f t="shared" si="21"/>
        <v>5</v>
      </c>
      <c r="R137" s="15">
        <f t="shared" si="22"/>
        <v>11.453275000000001</v>
      </c>
      <c r="S137" s="15">
        <f t="shared" si="23"/>
        <v>0</v>
      </c>
      <c r="T137" s="14" t="str">
        <f t="shared" si="24"/>
        <v>Satisfactorio</v>
      </c>
      <c r="U137" s="14">
        <f t="shared" si="26"/>
        <v>0</v>
      </c>
      <c r="V137" s="14">
        <f t="shared" si="27"/>
        <v>0</v>
      </c>
    </row>
    <row r="138" spans="1:22">
      <c r="A138" s="17">
        <v>33025</v>
      </c>
      <c r="B138" s="9">
        <v>1990</v>
      </c>
      <c r="C138" s="9" t="s">
        <v>104</v>
      </c>
      <c r="D138" s="11">
        <v>81.2</v>
      </c>
      <c r="E138" s="15">
        <f>'Hoja 4 - Cálculo'!$B$12</f>
        <v>250</v>
      </c>
      <c r="F138" s="15">
        <f>'Hoja 4 - Cálculo'!$B$13</f>
        <v>0.85</v>
      </c>
      <c r="G138" s="15">
        <f>'Hoja 4 - Cálculo'!$B$14</f>
        <v>0.9</v>
      </c>
      <c r="H138" s="15">
        <f t="shared" si="16"/>
        <v>15.529500000000001</v>
      </c>
      <c r="I138" s="11">
        <v>8</v>
      </c>
      <c r="J138" s="11">
        <v>1.5</v>
      </c>
      <c r="K138" s="11">
        <v>2</v>
      </c>
      <c r="L138" s="15">
        <f t="shared" si="17"/>
        <v>11.5</v>
      </c>
      <c r="M138" s="15">
        <f t="shared" si="25"/>
        <v>5</v>
      </c>
      <c r="N138" s="15">
        <f t="shared" si="18"/>
        <v>0.41059000000000001</v>
      </c>
      <c r="O138" s="15">
        <f t="shared" si="19"/>
        <v>20.11891</v>
      </c>
      <c r="P138" s="15">
        <f t="shared" si="20"/>
        <v>11.5</v>
      </c>
      <c r="Q138" s="15">
        <f t="shared" si="21"/>
        <v>5</v>
      </c>
      <c r="R138" s="15">
        <f t="shared" si="22"/>
        <v>3.6189099999999996</v>
      </c>
      <c r="S138" s="15">
        <f t="shared" si="23"/>
        <v>0</v>
      </c>
      <c r="T138" s="14" t="str">
        <f t="shared" si="24"/>
        <v>Satisfactorio</v>
      </c>
      <c r="U138" s="14">
        <f t="shared" si="26"/>
        <v>0</v>
      </c>
      <c r="V138" s="14">
        <f t="shared" si="27"/>
        <v>0</v>
      </c>
    </row>
    <row r="139" spans="1:22">
      <c r="A139" s="17">
        <v>33055</v>
      </c>
      <c r="B139" s="9">
        <v>1990</v>
      </c>
      <c r="C139" s="9" t="s">
        <v>105</v>
      </c>
      <c r="D139" s="11">
        <v>63.8</v>
      </c>
      <c r="E139" s="15">
        <f>'Hoja 4 - Cálculo'!$B$12</f>
        <v>250</v>
      </c>
      <c r="F139" s="15">
        <f>'Hoja 4 - Cálculo'!$B$13</f>
        <v>0.85</v>
      </c>
      <c r="G139" s="15">
        <f>'Hoja 4 - Cálculo'!$B$14</f>
        <v>0.9</v>
      </c>
      <c r="H139" s="15">
        <f t="shared" si="16"/>
        <v>12.201750000000001</v>
      </c>
      <c r="I139" s="11">
        <v>8</v>
      </c>
      <c r="J139" s="11">
        <v>6</v>
      </c>
      <c r="K139" s="11">
        <v>2</v>
      </c>
      <c r="L139" s="15">
        <f t="shared" si="17"/>
        <v>16</v>
      </c>
      <c r="M139" s="15">
        <f t="shared" si="25"/>
        <v>5</v>
      </c>
      <c r="N139" s="15">
        <f t="shared" si="18"/>
        <v>0.34403500000000004</v>
      </c>
      <c r="O139" s="15">
        <f t="shared" si="19"/>
        <v>16.857714999999999</v>
      </c>
      <c r="P139" s="15">
        <f t="shared" si="20"/>
        <v>16</v>
      </c>
      <c r="Q139" s="15">
        <f t="shared" si="21"/>
        <v>0.85771499999999889</v>
      </c>
      <c r="R139" s="15">
        <f t="shared" si="22"/>
        <v>0</v>
      </c>
      <c r="S139" s="15">
        <f t="shared" si="23"/>
        <v>0</v>
      </c>
      <c r="T139" s="14" t="str">
        <f t="shared" si="24"/>
        <v>Satisfactorio</v>
      </c>
      <c r="U139" s="14">
        <f t="shared" si="26"/>
        <v>0</v>
      </c>
      <c r="V139" s="14">
        <f t="shared" si="27"/>
        <v>0</v>
      </c>
    </row>
    <row r="140" spans="1:22">
      <c r="A140" s="17">
        <v>33086</v>
      </c>
      <c r="B140" s="9">
        <v>1990</v>
      </c>
      <c r="C140" s="9" t="s">
        <v>106</v>
      </c>
      <c r="D140" s="11">
        <v>68.2</v>
      </c>
      <c r="E140" s="15">
        <f>'Hoja 4 - Cálculo'!$B$12</f>
        <v>250</v>
      </c>
      <c r="F140" s="15">
        <f>'Hoja 4 - Cálculo'!$B$13</f>
        <v>0.85</v>
      </c>
      <c r="G140" s="15">
        <f>'Hoja 4 - Cálculo'!$B$14</f>
        <v>0.9</v>
      </c>
      <c r="H140" s="15">
        <f t="shared" si="16"/>
        <v>13.04325</v>
      </c>
      <c r="I140" s="11">
        <v>8</v>
      </c>
      <c r="J140" s="11">
        <v>6</v>
      </c>
      <c r="K140" s="11">
        <v>2</v>
      </c>
      <c r="L140" s="15">
        <f t="shared" si="17"/>
        <v>16</v>
      </c>
      <c r="M140" s="15">
        <f t="shared" si="25"/>
        <v>0.85771499999999889</v>
      </c>
      <c r="N140" s="15">
        <f t="shared" si="18"/>
        <v>0.27801929999999997</v>
      </c>
      <c r="O140" s="15">
        <f t="shared" si="19"/>
        <v>13.622945699999999</v>
      </c>
      <c r="P140" s="15">
        <f t="shared" si="20"/>
        <v>13.622945699999999</v>
      </c>
      <c r="Q140" s="15">
        <f t="shared" si="21"/>
        <v>0</v>
      </c>
      <c r="R140" s="15">
        <f t="shared" si="22"/>
        <v>0</v>
      </c>
      <c r="S140" s="15">
        <f t="shared" si="23"/>
        <v>2.3770543000000011</v>
      </c>
      <c r="T140" s="14" t="str">
        <f t="shared" si="24"/>
        <v>Falla</v>
      </c>
      <c r="U140" s="14">
        <f t="shared" si="26"/>
        <v>0</v>
      </c>
      <c r="V140" s="14">
        <f t="shared" si="27"/>
        <v>1</v>
      </c>
    </row>
    <row r="141" spans="1:22">
      <c r="A141" s="17">
        <v>33117</v>
      </c>
      <c r="B141" s="9">
        <v>1990</v>
      </c>
      <c r="C141" s="9" t="s">
        <v>107</v>
      </c>
      <c r="D141" s="11">
        <v>114.9</v>
      </c>
      <c r="E141" s="15">
        <f>'Hoja 4 - Cálculo'!$B$12</f>
        <v>250</v>
      </c>
      <c r="F141" s="15">
        <f>'Hoja 4 - Cálculo'!$B$13</f>
        <v>0.85</v>
      </c>
      <c r="G141" s="15">
        <f>'Hoja 4 - Cálculo'!$B$14</f>
        <v>0.9</v>
      </c>
      <c r="H141" s="15">
        <f t="shared" si="16"/>
        <v>21.974625</v>
      </c>
      <c r="I141" s="11">
        <v>8</v>
      </c>
      <c r="J141" s="11">
        <v>1.5</v>
      </c>
      <c r="K141" s="11">
        <v>2</v>
      </c>
      <c r="L141" s="15">
        <f t="shared" si="17"/>
        <v>11.5</v>
      </c>
      <c r="M141" s="15">
        <f t="shared" si="25"/>
        <v>0</v>
      </c>
      <c r="N141" s="15">
        <f t="shared" si="18"/>
        <v>0.43949250000000001</v>
      </c>
      <c r="O141" s="15">
        <f t="shared" si="19"/>
        <v>21.5351325</v>
      </c>
      <c r="P141" s="15">
        <f t="shared" si="20"/>
        <v>11.5</v>
      </c>
      <c r="Q141" s="15">
        <f t="shared" si="21"/>
        <v>5</v>
      </c>
      <c r="R141" s="15">
        <f t="shared" si="22"/>
        <v>5.0351324999999996</v>
      </c>
      <c r="S141" s="15">
        <f t="shared" si="23"/>
        <v>0</v>
      </c>
      <c r="T141" s="14" t="str">
        <f t="shared" si="24"/>
        <v>Satisfactorio</v>
      </c>
      <c r="U141" s="14">
        <f t="shared" si="26"/>
        <v>1</v>
      </c>
      <c r="V141" s="14">
        <f t="shared" si="27"/>
        <v>0</v>
      </c>
    </row>
    <row r="142" spans="1:22">
      <c r="A142" s="17">
        <v>33147</v>
      </c>
      <c r="B142" s="9">
        <v>1990</v>
      </c>
      <c r="C142" s="9" t="s">
        <v>108</v>
      </c>
      <c r="D142" s="11">
        <v>140.5</v>
      </c>
      <c r="E142" s="15">
        <f>'Hoja 4 - Cálculo'!$B$12</f>
        <v>250</v>
      </c>
      <c r="F142" s="15">
        <f>'Hoja 4 - Cálculo'!$B$13</f>
        <v>0.85</v>
      </c>
      <c r="G142" s="15">
        <f>'Hoja 4 - Cálculo'!$B$14</f>
        <v>0.9</v>
      </c>
      <c r="H142" s="15">
        <f t="shared" si="16"/>
        <v>26.870625</v>
      </c>
      <c r="I142" s="11">
        <v>8</v>
      </c>
      <c r="J142" s="11">
        <v>1.5</v>
      </c>
      <c r="K142" s="11">
        <v>2</v>
      </c>
      <c r="L142" s="15">
        <f t="shared" si="17"/>
        <v>11.5</v>
      </c>
      <c r="M142" s="15">
        <f t="shared" si="25"/>
        <v>5</v>
      </c>
      <c r="N142" s="15">
        <f t="shared" si="18"/>
        <v>0.63741250000000005</v>
      </c>
      <c r="O142" s="15">
        <f t="shared" si="19"/>
        <v>31.2332125</v>
      </c>
      <c r="P142" s="15">
        <f t="shared" si="20"/>
        <v>11.5</v>
      </c>
      <c r="Q142" s="15">
        <f t="shared" si="21"/>
        <v>5</v>
      </c>
      <c r="R142" s="15">
        <f t="shared" si="22"/>
        <v>14.7332125</v>
      </c>
      <c r="S142" s="15">
        <f t="shared" si="23"/>
        <v>0</v>
      </c>
      <c r="T142" s="14" t="str">
        <f t="shared" si="24"/>
        <v>Satisfactorio</v>
      </c>
      <c r="U142" s="14">
        <f t="shared" si="26"/>
        <v>0</v>
      </c>
      <c r="V142" s="14">
        <f t="shared" si="27"/>
        <v>0</v>
      </c>
    </row>
    <row r="143" spans="1:22">
      <c r="A143" s="17">
        <v>33178</v>
      </c>
      <c r="B143" s="9">
        <v>1990</v>
      </c>
      <c r="C143" s="9" t="s">
        <v>109</v>
      </c>
      <c r="D143" s="11">
        <v>130.1</v>
      </c>
      <c r="E143" s="15">
        <f>'Hoja 4 - Cálculo'!$B$12</f>
        <v>250</v>
      </c>
      <c r="F143" s="15">
        <f>'Hoja 4 - Cálculo'!$B$13</f>
        <v>0.85</v>
      </c>
      <c r="G143" s="15">
        <f>'Hoja 4 - Cálculo'!$B$14</f>
        <v>0.9</v>
      </c>
      <c r="H143" s="15">
        <f t="shared" si="16"/>
        <v>24.881625</v>
      </c>
      <c r="I143" s="11">
        <v>8</v>
      </c>
      <c r="J143" s="11">
        <v>1.5</v>
      </c>
      <c r="K143" s="11">
        <v>2</v>
      </c>
      <c r="L143" s="15">
        <f t="shared" si="17"/>
        <v>11.5</v>
      </c>
      <c r="M143" s="15">
        <f t="shared" si="25"/>
        <v>5</v>
      </c>
      <c r="N143" s="15">
        <f t="shared" si="18"/>
        <v>0.59763250000000001</v>
      </c>
      <c r="O143" s="15">
        <f t="shared" si="19"/>
        <v>29.2839925</v>
      </c>
      <c r="P143" s="15">
        <f t="shared" si="20"/>
        <v>11.5</v>
      </c>
      <c r="Q143" s="15">
        <f t="shared" si="21"/>
        <v>5</v>
      </c>
      <c r="R143" s="15">
        <f t="shared" si="22"/>
        <v>12.7839925</v>
      </c>
      <c r="S143" s="15">
        <f t="shared" si="23"/>
        <v>0</v>
      </c>
      <c r="T143" s="14" t="str">
        <f t="shared" si="24"/>
        <v>Satisfactorio</v>
      </c>
      <c r="U143" s="14">
        <f t="shared" si="26"/>
        <v>0</v>
      </c>
      <c r="V143" s="14">
        <f t="shared" si="27"/>
        <v>0</v>
      </c>
    </row>
    <row r="144" spans="1:22">
      <c r="A144" s="17">
        <v>33208</v>
      </c>
      <c r="B144" s="9">
        <v>1990</v>
      </c>
      <c r="C144" s="9" t="s">
        <v>110</v>
      </c>
      <c r="D144" s="11">
        <v>71.8</v>
      </c>
      <c r="E144" s="15">
        <f>'Hoja 4 - Cálculo'!$B$12</f>
        <v>250</v>
      </c>
      <c r="F144" s="15">
        <f>'Hoja 4 - Cálculo'!$B$13</f>
        <v>0.85</v>
      </c>
      <c r="G144" s="15">
        <f>'Hoja 4 - Cálculo'!$B$14</f>
        <v>0.9</v>
      </c>
      <c r="H144" s="15">
        <f t="shared" si="16"/>
        <v>13.73175</v>
      </c>
      <c r="I144" s="11">
        <v>8</v>
      </c>
      <c r="J144" s="11">
        <v>6</v>
      </c>
      <c r="K144" s="11">
        <v>2</v>
      </c>
      <c r="L144" s="15">
        <f t="shared" si="17"/>
        <v>16</v>
      </c>
      <c r="M144" s="15">
        <f t="shared" si="25"/>
        <v>5</v>
      </c>
      <c r="N144" s="15">
        <f t="shared" si="18"/>
        <v>0.374635</v>
      </c>
      <c r="O144" s="15">
        <f t="shared" si="19"/>
        <v>18.357114999999997</v>
      </c>
      <c r="P144" s="15">
        <f t="shared" si="20"/>
        <v>16</v>
      </c>
      <c r="Q144" s="15">
        <f t="shared" si="21"/>
        <v>2.3571149999999967</v>
      </c>
      <c r="R144" s="15">
        <f t="shared" si="22"/>
        <v>0</v>
      </c>
      <c r="S144" s="15">
        <f t="shared" si="23"/>
        <v>0</v>
      </c>
      <c r="T144" s="14" t="str">
        <f t="shared" si="24"/>
        <v>Satisfactorio</v>
      </c>
      <c r="U144" s="14">
        <f t="shared" si="26"/>
        <v>0</v>
      </c>
      <c r="V144" s="14">
        <f t="shared" si="27"/>
        <v>0</v>
      </c>
    </row>
    <row r="145" spans="1:22">
      <c r="A145" s="17">
        <v>33239</v>
      </c>
      <c r="B145" s="9">
        <v>1991</v>
      </c>
      <c r="C145" s="9" t="s">
        <v>99</v>
      </c>
      <c r="D145" s="11">
        <v>67.8</v>
      </c>
      <c r="E145" s="15">
        <f>'Hoja 4 - Cálculo'!$B$12</f>
        <v>250</v>
      </c>
      <c r="F145" s="15">
        <f>'Hoja 4 - Cálculo'!$B$13</f>
        <v>0.85</v>
      </c>
      <c r="G145" s="15">
        <f>'Hoja 4 - Cálculo'!$B$14</f>
        <v>0.9</v>
      </c>
      <c r="H145" s="15">
        <f t="shared" si="16"/>
        <v>12.966749999999999</v>
      </c>
      <c r="I145" s="11">
        <v>8</v>
      </c>
      <c r="J145" s="11">
        <v>6</v>
      </c>
      <c r="K145" s="11">
        <v>2</v>
      </c>
      <c r="L145" s="15">
        <f t="shared" si="17"/>
        <v>16</v>
      </c>
      <c r="M145" s="15">
        <f t="shared" si="25"/>
        <v>2.3571149999999967</v>
      </c>
      <c r="N145" s="15">
        <f t="shared" si="18"/>
        <v>0.30647729999999995</v>
      </c>
      <c r="O145" s="15">
        <f t="shared" si="19"/>
        <v>15.017387699999997</v>
      </c>
      <c r="P145" s="15">
        <f t="shared" si="20"/>
        <v>15.017387699999997</v>
      </c>
      <c r="Q145" s="15">
        <f t="shared" si="21"/>
        <v>0</v>
      </c>
      <c r="R145" s="15">
        <f t="shared" si="22"/>
        <v>0</v>
      </c>
      <c r="S145" s="15">
        <f t="shared" si="23"/>
        <v>0.9826123000000031</v>
      </c>
      <c r="T145" s="14" t="str">
        <f t="shared" si="24"/>
        <v>Falla</v>
      </c>
      <c r="U145" s="14">
        <f t="shared" si="26"/>
        <v>0</v>
      </c>
      <c r="V145" s="14">
        <f t="shared" si="27"/>
        <v>1</v>
      </c>
    </row>
    <row r="146" spans="1:22">
      <c r="A146" s="17">
        <v>33270</v>
      </c>
      <c r="B146" s="9">
        <v>1991</v>
      </c>
      <c r="C146" s="9" t="s">
        <v>100</v>
      </c>
      <c r="D146" s="11">
        <v>82.4</v>
      </c>
      <c r="E146" s="15">
        <f>'Hoja 4 - Cálculo'!$B$12</f>
        <v>250</v>
      </c>
      <c r="F146" s="15">
        <f>'Hoja 4 - Cálculo'!$B$13</f>
        <v>0.85</v>
      </c>
      <c r="G146" s="15">
        <f>'Hoja 4 - Cálculo'!$B$14</f>
        <v>0.9</v>
      </c>
      <c r="H146" s="15">
        <f t="shared" si="16"/>
        <v>15.759</v>
      </c>
      <c r="I146" s="11">
        <v>8</v>
      </c>
      <c r="J146" s="11">
        <v>6</v>
      </c>
      <c r="K146" s="11">
        <v>2</v>
      </c>
      <c r="L146" s="15">
        <f t="shared" si="17"/>
        <v>16</v>
      </c>
      <c r="M146" s="15">
        <f t="shared" si="25"/>
        <v>0</v>
      </c>
      <c r="N146" s="15">
        <f t="shared" si="18"/>
        <v>0.31518000000000002</v>
      </c>
      <c r="O146" s="15">
        <f t="shared" si="19"/>
        <v>15.443820000000001</v>
      </c>
      <c r="P146" s="15">
        <f t="shared" si="20"/>
        <v>15.443820000000001</v>
      </c>
      <c r="Q146" s="15">
        <f t="shared" si="21"/>
        <v>0</v>
      </c>
      <c r="R146" s="15">
        <f t="shared" si="22"/>
        <v>0</v>
      </c>
      <c r="S146" s="15">
        <f t="shared" si="23"/>
        <v>0.55617999999999945</v>
      </c>
      <c r="T146" s="14" t="str">
        <f t="shared" si="24"/>
        <v>Falla</v>
      </c>
      <c r="U146" s="14">
        <f t="shared" si="26"/>
        <v>0</v>
      </c>
      <c r="V146" s="14">
        <f t="shared" si="27"/>
        <v>0</v>
      </c>
    </row>
    <row r="147" spans="1:22">
      <c r="A147" s="17">
        <v>33298</v>
      </c>
      <c r="B147" s="9">
        <v>1991</v>
      </c>
      <c r="C147" s="9" t="s">
        <v>101</v>
      </c>
      <c r="D147" s="11">
        <v>112</v>
      </c>
      <c r="E147" s="15">
        <f>'Hoja 4 - Cálculo'!$B$12</f>
        <v>250</v>
      </c>
      <c r="F147" s="15">
        <f>'Hoja 4 - Cálculo'!$B$13</f>
        <v>0.85</v>
      </c>
      <c r="G147" s="15">
        <f>'Hoja 4 - Cálculo'!$B$14</f>
        <v>0.9</v>
      </c>
      <c r="H147" s="15">
        <f t="shared" si="16"/>
        <v>21.42</v>
      </c>
      <c r="I147" s="11">
        <v>8</v>
      </c>
      <c r="J147" s="11">
        <v>6</v>
      </c>
      <c r="K147" s="11">
        <v>2</v>
      </c>
      <c r="L147" s="15">
        <f t="shared" si="17"/>
        <v>16</v>
      </c>
      <c r="M147" s="15">
        <f t="shared" si="25"/>
        <v>0</v>
      </c>
      <c r="N147" s="15">
        <f t="shared" si="18"/>
        <v>0.42840000000000006</v>
      </c>
      <c r="O147" s="15">
        <f t="shared" si="19"/>
        <v>20.991600000000002</v>
      </c>
      <c r="P147" s="15">
        <f t="shared" si="20"/>
        <v>16</v>
      </c>
      <c r="Q147" s="15">
        <f t="shared" si="21"/>
        <v>4.9916000000000018</v>
      </c>
      <c r="R147" s="15">
        <f t="shared" si="22"/>
        <v>0</v>
      </c>
      <c r="S147" s="15">
        <f t="shared" si="23"/>
        <v>0</v>
      </c>
      <c r="T147" s="14" t="str">
        <f t="shared" si="24"/>
        <v>Satisfactorio</v>
      </c>
      <c r="U147" s="14">
        <f t="shared" si="26"/>
        <v>1</v>
      </c>
      <c r="V147" s="14">
        <f t="shared" si="27"/>
        <v>0</v>
      </c>
    </row>
    <row r="148" spans="1:22">
      <c r="A148" s="17">
        <v>33329</v>
      </c>
      <c r="B148" s="9">
        <v>1991</v>
      </c>
      <c r="C148" s="9" t="s">
        <v>102</v>
      </c>
      <c r="D148" s="11">
        <v>164.2</v>
      </c>
      <c r="E148" s="15">
        <f>'Hoja 4 - Cálculo'!$B$12</f>
        <v>250</v>
      </c>
      <c r="F148" s="15">
        <f>'Hoja 4 - Cálculo'!$B$13</f>
        <v>0.85</v>
      </c>
      <c r="G148" s="15">
        <f>'Hoja 4 - Cálculo'!$B$14</f>
        <v>0.9</v>
      </c>
      <c r="H148" s="15">
        <f t="shared" si="16"/>
        <v>31.40325</v>
      </c>
      <c r="I148" s="11">
        <v>8</v>
      </c>
      <c r="J148" s="11">
        <v>1.5</v>
      </c>
      <c r="K148" s="11">
        <v>2</v>
      </c>
      <c r="L148" s="15">
        <f t="shared" si="17"/>
        <v>11.5</v>
      </c>
      <c r="M148" s="15">
        <f t="shared" si="25"/>
        <v>4.9916000000000018</v>
      </c>
      <c r="N148" s="15">
        <f t="shared" si="18"/>
        <v>0.72789700000000013</v>
      </c>
      <c r="O148" s="15">
        <f t="shared" si="19"/>
        <v>35.666953000000007</v>
      </c>
      <c r="P148" s="15">
        <f t="shared" si="20"/>
        <v>11.5</v>
      </c>
      <c r="Q148" s="15">
        <f t="shared" si="21"/>
        <v>5</v>
      </c>
      <c r="R148" s="15">
        <f t="shared" si="22"/>
        <v>19.166953000000007</v>
      </c>
      <c r="S148" s="15">
        <f t="shared" si="23"/>
        <v>0</v>
      </c>
      <c r="T148" s="14" t="str">
        <f t="shared" si="24"/>
        <v>Satisfactorio</v>
      </c>
      <c r="U148" s="14">
        <f t="shared" si="26"/>
        <v>0</v>
      </c>
      <c r="V148" s="14">
        <f t="shared" si="27"/>
        <v>0</v>
      </c>
    </row>
    <row r="149" spans="1:22">
      <c r="A149" s="17">
        <v>33359</v>
      </c>
      <c r="B149" s="9">
        <v>1991</v>
      </c>
      <c r="C149" s="9" t="s">
        <v>103</v>
      </c>
      <c r="D149" s="11">
        <v>152.6</v>
      </c>
      <c r="E149" s="15">
        <f>'Hoja 4 - Cálculo'!$B$12</f>
        <v>250</v>
      </c>
      <c r="F149" s="15">
        <f>'Hoja 4 - Cálculo'!$B$13</f>
        <v>0.85</v>
      </c>
      <c r="G149" s="15">
        <f>'Hoja 4 - Cálculo'!$B$14</f>
        <v>0.9</v>
      </c>
      <c r="H149" s="15">
        <f t="shared" si="16"/>
        <v>29.184750000000001</v>
      </c>
      <c r="I149" s="11">
        <v>8</v>
      </c>
      <c r="J149" s="11">
        <v>1.5</v>
      </c>
      <c r="K149" s="11">
        <v>2</v>
      </c>
      <c r="L149" s="15">
        <f t="shared" si="17"/>
        <v>11.5</v>
      </c>
      <c r="M149" s="15">
        <f t="shared" si="25"/>
        <v>5</v>
      </c>
      <c r="N149" s="15">
        <f t="shared" si="18"/>
        <v>0.68369500000000005</v>
      </c>
      <c r="O149" s="15">
        <f t="shared" si="19"/>
        <v>33.501055000000001</v>
      </c>
      <c r="P149" s="15">
        <f t="shared" si="20"/>
        <v>11.5</v>
      </c>
      <c r="Q149" s="15">
        <f t="shared" si="21"/>
        <v>5</v>
      </c>
      <c r="R149" s="15">
        <f t="shared" si="22"/>
        <v>17.001055000000001</v>
      </c>
      <c r="S149" s="15">
        <f t="shared" si="23"/>
        <v>0</v>
      </c>
      <c r="T149" s="14" t="str">
        <f t="shared" si="24"/>
        <v>Satisfactorio</v>
      </c>
      <c r="U149" s="14">
        <f t="shared" si="26"/>
        <v>0</v>
      </c>
      <c r="V149" s="14">
        <f t="shared" si="27"/>
        <v>0</v>
      </c>
    </row>
    <row r="150" spans="1:22">
      <c r="A150" s="17">
        <v>33390</v>
      </c>
      <c r="B150" s="9">
        <v>1991</v>
      </c>
      <c r="C150" s="9" t="s">
        <v>104</v>
      </c>
      <c r="D150" s="11">
        <v>86</v>
      </c>
      <c r="E150" s="15">
        <f>'Hoja 4 - Cálculo'!$B$12</f>
        <v>250</v>
      </c>
      <c r="F150" s="15">
        <f>'Hoja 4 - Cálculo'!$B$13</f>
        <v>0.85</v>
      </c>
      <c r="G150" s="15">
        <f>'Hoja 4 - Cálculo'!$B$14</f>
        <v>0.9</v>
      </c>
      <c r="H150" s="15">
        <f t="shared" si="16"/>
        <v>16.447500000000002</v>
      </c>
      <c r="I150" s="11">
        <v>8</v>
      </c>
      <c r="J150" s="11">
        <v>1.5</v>
      </c>
      <c r="K150" s="11">
        <v>2</v>
      </c>
      <c r="L150" s="15">
        <f t="shared" si="17"/>
        <v>11.5</v>
      </c>
      <c r="M150" s="15">
        <f t="shared" si="25"/>
        <v>5</v>
      </c>
      <c r="N150" s="15">
        <f t="shared" si="18"/>
        <v>0.42895000000000005</v>
      </c>
      <c r="O150" s="15">
        <f t="shared" si="19"/>
        <v>21.018550000000001</v>
      </c>
      <c r="P150" s="15">
        <f t="shared" si="20"/>
        <v>11.5</v>
      </c>
      <c r="Q150" s="15">
        <f t="shared" si="21"/>
        <v>5</v>
      </c>
      <c r="R150" s="15">
        <f t="shared" si="22"/>
        <v>4.5185500000000012</v>
      </c>
      <c r="S150" s="15">
        <f t="shared" si="23"/>
        <v>0</v>
      </c>
      <c r="T150" s="14" t="str">
        <f t="shared" si="24"/>
        <v>Satisfactorio</v>
      </c>
      <c r="U150" s="14">
        <f t="shared" si="26"/>
        <v>0</v>
      </c>
      <c r="V150" s="14">
        <f t="shared" si="27"/>
        <v>0</v>
      </c>
    </row>
    <row r="151" spans="1:22">
      <c r="A151" s="17">
        <v>33420</v>
      </c>
      <c r="B151" s="9">
        <v>1991</v>
      </c>
      <c r="C151" s="9" t="s">
        <v>105</v>
      </c>
      <c r="D151" s="11">
        <v>75.2</v>
      </c>
      <c r="E151" s="15">
        <f>'Hoja 4 - Cálculo'!$B$12</f>
        <v>250</v>
      </c>
      <c r="F151" s="15">
        <f>'Hoja 4 - Cálculo'!$B$13</f>
        <v>0.85</v>
      </c>
      <c r="G151" s="15">
        <f>'Hoja 4 - Cálculo'!$B$14</f>
        <v>0.9</v>
      </c>
      <c r="H151" s="15">
        <f t="shared" si="16"/>
        <v>14.382</v>
      </c>
      <c r="I151" s="11">
        <v>8</v>
      </c>
      <c r="J151" s="11">
        <v>6</v>
      </c>
      <c r="K151" s="11">
        <v>2</v>
      </c>
      <c r="L151" s="15">
        <f t="shared" si="17"/>
        <v>16</v>
      </c>
      <c r="M151" s="15">
        <f t="shared" si="25"/>
        <v>5</v>
      </c>
      <c r="N151" s="15">
        <f t="shared" si="18"/>
        <v>0.38763999999999998</v>
      </c>
      <c r="O151" s="15">
        <f t="shared" si="19"/>
        <v>18.994359999999997</v>
      </c>
      <c r="P151" s="15">
        <f t="shared" si="20"/>
        <v>16</v>
      </c>
      <c r="Q151" s="15">
        <f t="shared" si="21"/>
        <v>2.9943599999999968</v>
      </c>
      <c r="R151" s="15">
        <f t="shared" si="22"/>
        <v>0</v>
      </c>
      <c r="S151" s="15">
        <f t="shared" si="23"/>
        <v>0</v>
      </c>
      <c r="T151" s="14" t="str">
        <f t="shared" si="24"/>
        <v>Satisfactorio</v>
      </c>
      <c r="U151" s="14">
        <f t="shared" si="26"/>
        <v>0</v>
      </c>
      <c r="V151" s="14">
        <f t="shared" si="27"/>
        <v>0</v>
      </c>
    </row>
    <row r="152" spans="1:22">
      <c r="A152" s="17">
        <v>33451</v>
      </c>
      <c r="B152" s="9">
        <v>1991</v>
      </c>
      <c r="C152" s="9" t="s">
        <v>106</v>
      </c>
      <c r="D152" s="11">
        <v>80.8</v>
      </c>
      <c r="E152" s="15">
        <f>'Hoja 4 - Cálculo'!$B$12</f>
        <v>250</v>
      </c>
      <c r="F152" s="15">
        <f>'Hoja 4 - Cálculo'!$B$13</f>
        <v>0.85</v>
      </c>
      <c r="G152" s="15">
        <f>'Hoja 4 - Cálculo'!$B$14</f>
        <v>0.9</v>
      </c>
      <c r="H152" s="15">
        <f t="shared" si="16"/>
        <v>15.452999999999999</v>
      </c>
      <c r="I152" s="11">
        <v>8</v>
      </c>
      <c r="J152" s="11">
        <v>6</v>
      </c>
      <c r="K152" s="11">
        <v>2</v>
      </c>
      <c r="L152" s="15">
        <f t="shared" si="17"/>
        <v>16</v>
      </c>
      <c r="M152" s="15">
        <f t="shared" si="25"/>
        <v>2.9943599999999968</v>
      </c>
      <c r="N152" s="15">
        <f t="shared" si="18"/>
        <v>0.36894719999999992</v>
      </c>
      <c r="O152" s="15">
        <f t="shared" si="19"/>
        <v>18.078412799999995</v>
      </c>
      <c r="P152" s="15">
        <f t="shared" si="20"/>
        <v>16</v>
      </c>
      <c r="Q152" s="15">
        <f t="shared" si="21"/>
        <v>2.0784127999999953</v>
      </c>
      <c r="R152" s="15">
        <f t="shared" si="22"/>
        <v>0</v>
      </c>
      <c r="S152" s="15">
        <f t="shared" si="23"/>
        <v>0</v>
      </c>
      <c r="T152" s="14" t="str">
        <f t="shared" si="24"/>
        <v>Satisfactorio</v>
      </c>
      <c r="U152" s="14">
        <f t="shared" si="26"/>
        <v>0</v>
      </c>
      <c r="V152" s="14">
        <f t="shared" si="27"/>
        <v>0</v>
      </c>
    </row>
    <row r="153" spans="1:22">
      <c r="A153" s="17">
        <v>33482</v>
      </c>
      <c r="B153" s="9">
        <v>1991</v>
      </c>
      <c r="C153" s="9" t="s">
        <v>107</v>
      </c>
      <c r="D153" s="11">
        <v>121.4</v>
      </c>
      <c r="E153" s="15">
        <f>'Hoja 4 - Cálculo'!$B$12</f>
        <v>250</v>
      </c>
      <c r="F153" s="15">
        <f>'Hoja 4 - Cálculo'!$B$13</f>
        <v>0.85</v>
      </c>
      <c r="G153" s="15">
        <f>'Hoja 4 - Cálculo'!$B$14</f>
        <v>0.9</v>
      </c>
      <c r="H153" s="15">
        <f t="shared" ref="H153:H216" si="28">D153*E153*F153*G153/1000</f>
        <v>23.217749999999999</v>
      </c>
      <c r="I153" s="11">
        <v>8</v>
      </c>
      <c r="J153" s="11">
        <v>1.5</v>
      </c>
      <c r="K153" s="11">
        <v>2</v>
      </c>
      <c r="L153" s="15">
        <f t="shared" ref="L153:L216" si="29">IF($B$9="Uso único",I153,IF($B$9="Uso múltiple",AVERAGE($I$25:$I$384)+AVERAGE($J$25:$J$384)+AVERAGE($K$25:$K$384),IF($B$9="Uso prioritario",I153+K153,I153+J153+K153)))</f>
        <v>11.5</v>
      </c>
      <c r="M153" s="15">
        <f t="shared" si="25"/>
        <v>2.0784127999999953</v>
      </c>
      <c r="N153" s="15">
        <f t="shared" ref="N153:N216" si="30">MIN(M153+H153,(M153+H153)*$B$15)</f>
        <v>0.50592325599999988</v>
      </c>
      <c r="O153" s="15">
        <f t="shared" ref="O153:O216" si="31">MAX(0,M153+H153-N153)</f>
        <v>24.790239543999995</v>
      </c>
      <c r="P153" s="15">
        <f t="shared" ref="P153:P216" si="32">MIN(L153,O153)</f>
        <v>11.5</v>
      </c>
      <c r="Q153" s="15">
        <f t="shared" ref="Q153:Q216" si="33">MIN($B$10,MAX(0,O153-P153))</f>
        <v>5</v>
      </c>
      <c r="R153" s="15">
        <f t="shared" ref="R153:R216" si="34">MAX(0,O153-P153-$B$10)</f>
        <v>8.290239543999995</v>
      </c>
      <c r="S153" s="15">
        <f t="shared" ref="S153:S216" si="35">MAX(0,L153-P153)</f>
        <v>0</v>
      </c>
      <c r="T153" s="14" t="str">
        <f t="shared" ref="T153:T216" si="36">IF(P153&gt;=L153*$B$16,"Satisfactorio","Falla")</f>
        <v>Satisfactorio</v>
      </c>
      <c r="U153" s="14">
        <f t="shared" si="26"/>
        <v>0</v>
      </c>
      <c r="V153" s="14">
        <f t="shared" si="27"/>
        <v>0</v>
      </c>
    </row>
    <row r="154" spans="1:22">
      <c r="A154" s="17">
        <v>33512</v>
      </c>
      <c r="B154" s="9">
        <v>1991</v>
      </c>
      <c r="C154" s="9" t="s">
        <v>108</v>
      </c>
      <c r="D154" s="11">
        <v>174</v>
      </c>
      <c r="E154" s="15">
        <f>'Hoja 4 - Cálculo'!$B$12</f>
        <v>250</v>
      </c>
      <c r="F154" s="15">
        <f>'Hoja 4 - Cálculo'!$B$13</f>
        <v>0.85</v>
      </c>
      <c r="G154" s="15">
        <f>'Hoja 4 - Cálculo'!$B$14</f>
        <v>0.9</v>
      </c>
      <c r="H154" s="15">
        <f t="shared" si="28"/>
        <v>33.277500000000003</v>
      </c>
      <c r="I154" s="11">
        <v>8</v>
      </c>
      <c r="J154" s="11">
        <v>1.5</v>
      </c>
      <c r="K154" s="11">
        <v>2</v>
      </c>
      <c r="L154" s="15">
        <f t="shared" si="29"/>
        <v>11.5</v>
      </c>
      <c r="M154" s="15">
        <f t="shared" ref="M154:M217" si="37">Q153</f>
        <v>5</v>
      </c>
      <c r="N154" s="15">
        <f t="shared" si="30"/>
        <v>0.76555000000000006</v>
      </c>
      <c r="O154" s="15">
        <f t="shared" si="31"/>
        <v>37.511950000000006</v>
      </c>
      <c r="P154" s="15">
        <f t="shared" si="32"/>
        <v>11.5</v>
      </c>
      <c r="Q154" s="15">
        <f t="shared" si="33"/>
        <v>5</v>
      </c>
      <c r="R154" s="15">
        <f t="shared" si="34"/>
        <v>21.011950000000006</v>
      </c>
      <c r="S154" s="15">
        <f t="shared" si="35"/>
        <v>0</v>
      </c>
      <c r="T154" s="14" t="str">
        <f t="shared" si="36"/>
        <v>Satisfactorio</v>
      </c>
      <c r="U154" s="14">
        <f t="shared" ref="U154:U217" si="38">IF(AND(T153="Falla",T154="Satisfactorio"),1,0)</f>
        <v>0</v>
      </c>
      <c r="V154" s="14">
        <f t="shared" ref="V154:V217" si="39">IF(AND(T154="Falla",T153&lt;&gt;"Falla"),1,0)</f>
        <v>0</v>
      </c>
    </row>
    <row r="155" spans="1:22">
      <c r="A155" s="17">
        <v>33543</v>
      </c>
      <c r="B155" s="9">
        <v>1991</v>
      </c>
      <c r="C155" s="9" t="s">
        <v>109</v>
      </c>
      <c r="D155" s="11">
        <v>143.4</v>
      </c>
      <c r="E155" s="15">
        <f>'Hoja 4 - Cálculo'!$B$12</f>
        <v>250</v>
      </c>
      <c r="F155" s="15">
        <f>'Hoja 4 - Cálculo'!$B$13</f>
        <v>0.85</v>
      </c>
      <c r="G155" s="15">
        <f>'Hoja 4 - Cálculo'!$B$14</f>
        <v>0.9</v>
      </c>
      <c r="H155" s="15">
        <f t="shared" si="28"/>
        <v>27.425249999999998</v>
      </c>
      <c r="I155" s="11">
        <v>8</v>
      </c>
      <c r="J155" s="11">
        <v>1.5</v>
      </c>
      <c r="K155" s="11">
        <v>2</v>
      </c>
      <c r="L155" s="15">
        <f t="shared" si="29"/>
        <v>11.5</v>
      </c>
      <c r="M155" s="15">
        <f t="shared" si="37"/>
        <v>5</v>
      </c>
      <c r="N155" s="15">
        <f t="shared" si="30"/>
        <v>0.648505</v>
      </c>
      <c r="O155" s="15">
        <f t="shared" si="31"/>
        <v>31.776744999999998</v>
      </c>
      <c r="P155" s="15">
        <f t="shared" si="32"/>
        <v>11.5</v>
      </c>
      <c r="Q155" s="15">
        <f t="shared" si="33"/>
        <v>5</v>
      </c>
      <c r="R155" s="15">
        <f t="shared" si="34"/>
        <v>15.276744999999998</v>
      </c>
      <c r="S155" s="15">
        <f t="shared" si="35"/>
        <v>0</v>
      </c>
      <c r="T155" s="14" t="str">
        <f t="shared" si="36"/>
        <v>Satisfactorio</v>
      </c>
      <c r="U155" s="14">
        <f t="shared" si="38"/>
        <v>0</v>
      </c>
      <c r="V155" s="14">
        <f t="shared" si="39"/>
        <v>0</v>
      </c>
    </row>
    <row r="156" spans="1:22">
      <c r="A156" s="17">
        <v>33573</v>
      </c>
      <c r="B156" s="9">
        <v>1991</v>
      </c>
      <c r="C156" s="9" t="s">
        <v>110</v>
      </c>
      <c r="D156" s="11">
        <v>81.3</v>
      </c>
      <c r="E156" s="15">
        <f>'Hoja 4 - Cálculo'!$B$12</f>
        <v>250</v>
      </c>
      <c r="F156" s="15">
        <f>'Hoja 4 - Cálculo'!$B$13</f>
        <v>0.85</v>
      </c>
      <c r="G156" s="15">
        <f>'Hoja 4 - Cálculo'!$B$14</f>
        <v>0.9</v>
      </c>
      <c r="H156" s="15">
        <f t="shared" si="28"/>
        <v>15.548624999999999</v>
      </c>
      <c r="I156" s="11">
        <v>8</v>
      </c>
      <c r="J156" s="11">
        <v>6</v>
      </c>
      <c r="K156" s="11">
        <v>2</v>
      </c>
      <c r="L156" s="15">
        <f t="shared" si="29"/>
        <v>16</v>
      </c>
      <c r="M156" s="15">
        <f t="shared" si="37"/>
        <v>5</v>
      </c>
      <c r="N156" s="15">
        <f t="shared" si="30"/>
        <v>0.41097250000000002</v>
      </c>
      <c r="O156" s="15">
        <f t="shared" si="31"/>
        <v>20.137652500000002</v>
      </c>
      <c r="P156" s="15">
        <f t="shared" si="32"/>
        <v>16</v>
      </c>
      <c r="Q156" s="15">
        <f t="shared" si="33"/>
        <v>4.1376525000000015</v>
      </c>
      <c r="R156" s="15">
        <f t="shared" si="34"/>
        <v>0</v>
      </c>
      <c r="S156" s="15">
        <f t="shared" si="35"/>
        <v>0</v>
      </c>
      <c r="T156" s="14" t="str">
        <f t="shared" si="36"/>
        <v>Satisfactorio</v>
      </c>
      <c r="U156" s="14">
        <f t="shared" si="38"/>
        <v>0</v>
      </c>
      <c r="V156" s="14">
        <f t="shared" si="39"/>
        <v>0</v>
      </c>
    </row>
    <row r="157" spans="1:22">
      <c r="A157" s="17">
        <v>33604</v>
      </c>
      <c r="B157" s="9">
        <v>1992</v>
      </c>
      <c r="C157" s="9" t="s">
        <v>99</v>
      </c>
      <c r="D157" s="11">
        <v>69.400000000000006</v>
      </c>
      <c r="E157" s="15">
        <f>'Hoja 4 - Cálculo'!$B$12</f>
        <v>250</v>
      </c>
      <c r="F157" s="15">
        <f>'Hoja 4 - Cálculo'!$B$13</f>
        <v>0.85</v>
      </c>
      <c r="G157" s="15">
        <f>'Hoja 4 - Cálculo'!$B$14</f>
        <v>0.9</v>
      </c>
      <c r="H157" s="15">
        <f t="shared" si="28"/>
        <v>13.27275</v>
      </c>
      <c r="I157" s="11">
        <v>8</v>
      </c>
      <c r="J157" s="11">
        <v>6</v>
      </c>
      <c r="K157" s="11">
        <v>2</v>
      </c>
      <c r="L157" s="15">
        <f t="shared" si="29"/>
        <v>16</v>
      </c>
      <c r="M157" s="15">
        <f t="shared" si="37"/>
        <v>4.1376525000000015</v>
      </c>
      <c r="N157" s="15">
        <f t="shared" si="30"/>
        <v>0.3482080500000001</v>
      </c>
      <c r="O157" s="15">
        <f t="shared" si="31"/>
        <v>17.062194450000003</v>
      </c>
      <c r="P157" s="15">
        <f t="shared" si="32"/>
        <v>16</v>
      </c>
      <c r="Q157" s="15">
        <f t="shared" si="33"/>
        <v>1.0621944500000033</v>
      </c>
      <c r="R157" s="15">
        <f t="shared" si="34"/>
        <v>0</v>
      </c>
      <c r="S157" s="15">
        <f t="shared" si="35"/>
        <v>0</v>
      </c>
      <c r="T157" s="14" t="str">
        <f t="shared" si="36"/>
        <v>Satisfactorio</v>
      </c>
      <c r="U157" s="14">
        <f t="shared" si="38"/>
        <v>0</v>
      </c>
      <c r="V157" s="14">
        <f t="shared" si="39"/>
        <v>0</v>
      </c>
    </row>
    <row r="158" spans="1:22">
      <c r="A158" s="17">
        <v>33635</v>
      </c>
      <c r="B158" s="9">
        <v>1992</v>
      </c>
      <c r="C158" s="9" t="s">
        <v>100</v>
      </c>
      <c r="D158" s="11">
        <v>85.4</v>
      </c>
      <c r="E158" s="15">
        <f>'Hoja 4 - Cálculo'!$B$12</f>
        <v>250</v>
      </c>
      <c r="F158" s="15">
        <f>'Hoja 4 - Cálculo'!$B$13</f>
        <v>0.85</v>
      </c>
      <c r="G158" s="15">
        <f>'Hoja 4 - Cálculo'!$B$14</f>
        <v>0.9</v>
      </c>
      <c r="H158" s="15">
        <f t="shared" si="28"/>
        <v>16.332750000000001</v>
      </c>
      <c r="I158" s="11">
        <v>8</v>
      </c>
      <c r="J158" s="11">
        <v>6</v>
      </c>
      <c r="K158" s="11">
        <v>2</v>
      </c>
      <c r="L158" s="15">
        <f t="shared" si="29"/>
        <v>16</v>
      </c>
      <c r="M158" s="15">
        <f t="shared" si="37"/>
        <v>1.0621944500000033</v>
      </c>
      <c r="N158" s="15">
        <f t="shared" si="30"/>
        <v>0.3478988890000001</v>
      </c>
      <c r="O158" s="15">
        <f t="shared" si="31"/>
        <v>17.047045561000004</v>
      </c>
      <c r="P158" s="15">
        <f t="shared" si="32"/>
        <v>16</v>
      </c>
      <c r="Q158" s="15">
        <f t="shared" si="33"/>
        <v>1.0470455610000045</v>
      </c>
      <c r="R158" s="15">
        <f t="shared" si="34"/>
        <v>0</v>
      </c>
      <c r="S158" s="15">
        <f t="shared" si="35"/>
        <v>0</v>
      </c>
      <c r="T158" s="14" t="str">
        <f t="shared" si="36"/>
        <v>Satisfactorio</v>
      </c>
      <c r="U158" s="14">
        <f t="shared" si="38"/>
        <v>0</v>
      </c>
      <c r="V158" s="14">
        <f t="shared" si="39"/>
        <v>0</v>
      </c>
    </row>
    <row r="159" spans="1:22">
      <c r="A159" s="17">
        <v>33664</v>
      </c>
      <c r="B159" s="9">
        <v>1992</v>
      </c>
      <c r="C159" s="9" t="s">
        <v>101</v>
      </c>
      <c r="D159" s="11">
        <v>123.9</v>
      </c>
      <c r="E159" s="15">
        <f>'Hoja 4 - Cálculo'!$B$12</f>
        <v>250</v>
      </c>
      <c r="F159" s="15">
        <f>'Hoja 4 - Cálculo'!$B$13</f>
        <v>0.85</v>
      </c>
      <c r="G159" s="15">
        <f>'Hoja 4 - Cálculo'!$B$14</f>
        <v>0.9</v>
      </c>
      <c r="H159" s="15">
        <f t="shared" si="28"/>
        <v>23.695875000000001</v>
      </c>
      <c r="I159" s="11">
        <v>8</v>
      </c>
      <c r="J159" s="11">
        <v>6</v>
      </c>
      <c r="K159" s="11">
        <v>2</v>
      </c>
      <c r="L159" s="15">
        <f t="shared" si="29"/>
        <v>16</v>
      </c>
      <c r="M159" s="15">
        <f t="shared" si="37"/>
        <v>1.0470455610000045</v>
      </c>
      <c r="N159" s="15">
        <f t="shared" si="30"/>
        <v>0.49485841122000013</v>
      </c>
      <c r="O159" s="15">
        <f t="shared" si="31"/>
        <v>24.248062149780004</v>
      </c>
      <c r="P159" s="15">
        <f t="shared" si="32"/>
        <v>16</v>
      </c>
      <c r="Q159" s="15">
        <f t="shared" si="33"/>
        <v>5</v>
      </c>
      <c r="R159" s="15">
        <f t="shared" si="34"/>
        <v>3.2480621497800044</v>
      </c>
      <c r="S159" s="15">
        <f t="shared" si="35"/>
        <v>0</v>
      </c>
      <c r="T159" s="14" t="str">
        <f t="shared" si="36"/>
        <v>Satisfactorio</v>
      </c>
      <c r="U159" s="14">
        <f t="shared" si="38"/>
        <v>0</v>
      </c>
      <c r="V159" s="14">
        <f t="shared" si="39"/>
        <v>0</v>
      </c>
    </row>
    <row r="160" spans="1:22">
      <c r="A160" s="17">
        <v>33695</v>
      </c>
      <c r="B160" s="9">
        <v>1992</v>
      </c>
      <c r="C160" s="9" t="s">
        <v>102</v>
      </c>
      <c r="D160" s="11">
        <v>164.6</v>
      </c>
      <c r="E160" s="15">
        <f>'Hoja 4 - Cálculo'!$B$12</f>
        <v>250</v>
      </c>
      <c r="F160" s="15">
        <f>'Hoja 4 - Cálculo'!$B$13</f>
        <v>0.85</v>
      </c>
      <c r="G160" s="15">
        <f>'Hoja 4 - Cálculo'!$B$14</f>
        <v>0.9</v>
      </c>
      <c r="H160" s="15">
        <f t="shared" si="28"/>
        <v>31.479749999999999</v>
      </c>
      <c r="I160" s="11">
        <v>8</v>
      </c>
      <c r="J160" s="11">
        <v>1.5</v>
      </c>
      <c r="K160" s="11">
        <v>2</v>
      </c>
      <c r="L160" s="15">
        <f t="shared" si="29"/>
        <v>11.5</v>
      </c>
      <c r="M160" s="15">
        <f t="shared" si="37"/>
        <v>5</v>
      </c>
      <c r="N160" s="15">
        <f t="shared" si="30"/>
        <v>0.72959499999999988</v>
      </c>
      <c r="O160" s="15">
        <f t="shared" si="31"/>
        <v>35.750154999999992</v>
      </c>
      <c r="P160" s="15">
        <f t="shared" si="32"/>
        <v>11.5</v>
      </c>
      <c r="Q160" s="15">
        <f t="shared" si="33"/>
        <v>5</v>
      </c>
      <c r="R160" s="15">
        <f t="shared" si="34"/>
        <v>19.250154999999992</v>
      </c>
      <c r="S160" s="15">
        <f t="shared" si="35"/>
        <v>0</v>
      </c>
      <c r="T160" s="14" t="str">
        <f t="shared" si="36"/>
        <v>Satisfactorio</v>
      </c>
      <c r="U160" s="14">
        <f t="shared" si="38"/>
        <v>0</v>
      </c>
      <c r="V160" s="14">
        <f t="shared" si="39"/>
        <v>0</v>
      </c>
    </row>
    <row r="161" spans="1:22">
      <c r="A161" s="17">
        <v>33725</v>
      </c>
      <c r="B161" s="9">
        <v>1992</v>
      </c>
      <c r="C161" s="9" t="s">
        <v>103</v>
      </c>
      <c r="D161" s="11">
        <v>155.19999999999999</v>
      </c>
      <c r="E161" s="15">
        <f>'Hoja 4 - Cálculo'!$B$12</f>
        <v>250</v>
      </c>
      <c r="F161" s="15">
        <f>'Hoja 4 - Cálculo'!$B$13</f>
        <v>0.85</v>
      </c>
      <c r="G161" s="15">
        <f>'Hoja 4 - Cálculo'!$B$14</f>
        <v>0.9</v>
      </c>
      <c r="H161" s="15">
        <f t="shared" si="28"/>
        <v>29.681999999999999</v>
      </c>
      <c r="I161" s="11">
        <v>8</v>
      </c>
      <c r="J161" s="11">
        <v>1.5</v>
      </c>
      <c r="K161" s="11">
        <v>2</v>
      </c>
      <c r="L161" s="15">
        <f t="shared" si="29"/>
        <v>11.5</v>
      </c>
      <c r="M161" s="15">
        <f t="shared" si="37"/>
        <v>5</v>
      </c>
      <c r="N161" s="15">
        <f t="shared" si="30"/>
        <v>0.69364000000000003</v>
      </c>
      <c r="O161" s="15">
        <f t="shared" si="31"/>
        <v>33.98836</v>
      </c>
      <c r="P161" s="15">
        <f t="shared" si="32"/>
        <v>11.5</v>
      </c>
      <c r="Q161" s="15">
        <f t="shared" si="33"/>
        <v>5</v>
      </c>
      <c r="R161" s="15">
        <f t="shared" si="34"/>
        <v>17.48836</v>
      </c>
      <c r="S161" s="15">
        <f t="shared" si="35"/>
        <v>0</v>
      </c>
      <c r="T161" s="14" t="str">
        <f t="shared" si="36"/>
        <v>Satisfactorio</v>
      </c>
      <c r="U161" s="14">
        <f t="shared" si="38"/>
        <v>0</v>
      </c>
      <c r="V161" s="14">
        <f t="shared" si="39"/>
        <v>0</v>
      </c>
    </row>
    <row r="162" spans="1:22">
      <c r="A162" s="17">
        <v>33756</v>
      </c>
      <c r="B162" s="9">
        <v>1992</v>
      </c>
      <c r="C162" s="9" t="s">
        <v>104</v>
      </c>
      <c r="D162" s="11">
        <v>97.6</v>
      </c>
      <c r="E162" s="15">
        <f>'Hoja 4 - Cálculo'!$B$12</f>
        <v>250</v>
      </c>
      <c r="F162" s="15">
        <f>'Hoja 4 - Cálculo'!$B$13</f>
        <v>0.85</v>
      </c>
      <c r="G162" s="15">
        <f>'Hoja 4 - Cálculo'!$B$14</f>
        <v>0.9</v>
      </c>
      <c r="H162" s="15">
        <f t="shared" si="28"/>
        <v>18.666</v>
      </c>
      <c r="I162" s="11">
        <v>8</v>
      </c>
      <c r="J162" s="11">
        <v>1.5</v>
      </c>
      <c r="K162" s="11">
        <v>2</v>
      </c>
      <c r="L162" s="15">
        <f t="shared" si="29"/>
        <v>11.5</v>
      </c>
      <c r="M162" s="15">
        <f t="shared" si="37"/>
        <v>5</v>
      </c>
      <c r="N162" s="15">
        <f t="shared" si="30"/>
        <v>0.47332000000000002</v>
      </c>
      <c r="O162" s="15">
        <f t="shared" si="31"/>
        <v>23.192679999999999</v>
      </c>
      <c r="P162" s="15">
        <f t="shared" si="32"/>
        <v>11.5</v>
      </c>
      <c r="Q162" s="15">
        <f t="shared" si="33"/>
        <v>5</v>
      </c>
      <c r="R162" s="15">
        <f t="shared" si="34"/>
        <v>6.6926799999999993</v>
      </c>
      <c r="S162" s="15">
        <f t="shared" si="35"/>
        <v>0</v>
      </c>
      <c r="T162" s="14" t="str">
        <f t="shared" si="36"/>
        <v>Satisfactorio</v>
      </c>
      <c r="U162" s="14">
        <f t="shared" si="38"/>
        <v>0</v>
      </c>
      <c r="V162" s="14">
        <f t="shared" si="39"/>
        <v>0</v>
      </c>
    </row>
    <row r="163" spans="1:22">
      <c r="A163" s="17">
        <v>33786</v>
      </c>
      <c r="B163" s="9">
        <v>1992</v>
      </c>
      <c r="C163" s="9" t="s">
        <v>105</v>
      </c>
      <c r="D163" s="11">
        <v>75.599999999999994</v>
      </c>
      <c r="E163" s="15">
        <f>'Hoja 4 - Cálculo'!$B$12</f>
        <v>250</v>
      </c>
      <c r="F163" s="15">
        <f>'Hoja 4 - Cálculo'!$B$13</f>
        <v>0.85</v>
      </c>
      <c r="G163" s="15">
        <f>'Hoja 4 - Cálculo'!$B$14</f>
        <v>0.9</v>
      </c>
      <c r="H163" s="15">
        <f t="shared" si="28"/>
        <v>14.458500000000001</v>
      </c>
      <c r="I163" s="11">
        <v>8</v>
      </c>
      <c r="J163" s="11">
        <v>6</v>
      </c>
      <c r="K163" s="11">
        <v>2</v>
      </c>
      <c r="L163" s="15">
        <f t="shared" si="29"/>
        <v>16</v>
      </c>
      <c r="M163" s="15">
        <f t="shared" si="37"/>
        <v>5</v>
      </c>
      <c r="N163" s="15">
        <f t="shared" si="30"/>
        <v>0.38917000000000002</v>
      </c>
      <c r="O163" s="15">
        <f t="shared" si="31"/>
        <v>19.069330000000001</v>
      </c>
      <c r="P163" s="15">
        <f t="shared" si="32"/>
        <v>16</v>
      </c>
      <c r="Q163" s="15">
        <f t="shared" si="33"/>
        <v>3.0693300000000008</v>
      </c>
      <c r="R163" s="15">
        <f t="shared" si="34"/>
        <v>0</v>
      </c>
      <c r="S163" s="15">
        <f t="shared" si="35"/>
        <v>0</v>
      </c>
      <c r="T163" s="14" t="str">
        <f t="shared" si="36"/>
        <v>Satisfactorio</v>
      </c>
      <c r="U163" s="14">
        <f t="shared" si="38"/>
        <v>0</v>
      </c>
      <c r="V163" s="14">
        <f t="shared" si="39"/>
        <v>0</v>
      </c>
    </row>
    <row r="164" spans="1:22">
      <c r="A164" s="17">
        <v>33817</v>
      </c>
      <c r="B164" s="9">
        <v>1992</v>
      </c>
      <c r="C164" s="9" t="s">
        <v>106</v>
      </c>
      <c r="D164" s="11">
        <v>80.8</v>
      </c>
      <c r="E164" s="15">
        <f>'Hoja 4 - Cálculo'!$B$12</f>
        <v>250</v>
      </c>
      <c r="F164" s="15">
        <f>'Hoja 4 - Cálculo'!$B$13</f>
        <v>0.85</v>
      </c>
      <c r="G164" s="15">
        <f>'Hoja 4 - Cálculo'!$B$14</f>
        <v>0.9</v>
      </c>
      <c r="H164" s="15">
        <f t="shared" si="28"/>
        <v>15.452999999999999</v>
      </c>
      <c r="I164" s="11">
        <v>8</v>
      </c>
      <c r="J164" s="11">
        <v>6</v>
      </c>
      <c r="K164" s="11">
        <v>2</v>
      </c>
      <c r="L164" s="15">
        <f t="shared" si="29"/>
        <v>16</v>
      </c>
      <c r="M164" s="15">
        <f t="shared" si="37"/>
        <v>3.0693300000000008</v>
      </c>
      <c r="N164" s="15">
        <f t="shared" si="30"/>
        <v>0.37044660000000001</v>
      </c>
      <c r="O164" s="15">
        <f t="shared" si="31"/>
        <v>18.151883399999999</v>
      </c>
      <c r="P164" s="15">
        <f t="shared" si="32"/>
        <v>16</v>
      </c>
      <c r="Q164" s="15">
        <f t="shared" si="33"/>
        <v>2.1518833999999991</v>
      </c>
      <c r="R164" s="15">
        <f t="shared" si="34"/>
        <v>0</v>
      </c>
      <c r="S164" s="15">
        <f t="shared" si="35"/>
        <v>0</v>
      </c>
      <c r="T164" s="14" t="str">
        <f t="shared" si="36"/>
        <v>Satisfactorio</v>
      </c>
      <c r="U164" s="14">
        <f t="shared" si="38"/>
        <v>0</v>
      </c>
      <c r="V164" s="14">
        <f t="shared" si="39"/>
        <v>0</v>
      </c>
    </row>
    <row r="165" spans="1:22">
      <c r="A165" s="17">
        <v>33848</v>
      </c>
      <c r="B165" s="9">
        <v>1992</v>
      </c>
      <c r="C165" s="9" t="s">
        <v>107</v>
      </c>
      <c r="D165" s="11">
        <v>137.6</v>
      </c>
      <c r="E165" s="15">
        <f>'Hoja 4 - Cálculo'!$B$12</f>
        <v>250</v>
      </c>
      <c r="F165" s="15">
        <f>'Hoja 4 - Cálculo'!$B$13</f>
        <v>0.85</v>
      </c>
      <c r="G165" s="15">
        <f>'Hoja 4 - Cálculo'!$B$14</f>
        <v>0.9</v>
      </c>
      <c r="H165" s="15">
        <f t="shared" si="28"/>
        <v>26.315999999999999</v>
      </c>
      <c r="I165" s="11">
        <v>8</v>
      </c>
      <c r="J165" s="11">
        <v>1.5</v>
      </c>
      <c r="K165" s="11">
        <v>2</v>
      </c>
      <c r="L165" s="15">
        <f t="shared" si="29"/>
        <v>11.5</v>
      </c>
      <c r="M165" s="15">
        <f t="shared" si="37"/>
        <v>2.1518833999999991</v>
      </c>
      <c r="N165" s="15">
        <f t="shared" si="30"/>
        <v>0.56935766799999998</v>
      </c>
      <c r="O165" s="15">
        <f t="shared" si="31"/>
        <v>27.898525732</v>
      </c>
      <c r="P165" s="15">
        <f t="shared" si="32"/>
        <v>11.5</v>
      </c>
      <c r="Q165" s="15">
        <f t="shared" si="33"/>
        <v>5</v>
      </c>
      <c r="R165" s="15">
        <f t="shared" si="34"/>
        <v>11.398525732</v>
      </c>
      <c r="S165" s="15">
        <f t="shared" si="35"/>
        <v>0</v>
      </c>
      <c r="T165" s="14" t="str">
        <f t="shared" si="36"/>
        <v>Satisfactorio</v>
      </c>
      <c r="U165" s="14">
        <f t="shared" si="38"/>
        <v>0</v>
      </c>
      <c r="V165" s="14">
        <f t="shared" si="39"/>
        <v>0</v>
      </c>
    </row>
    <row r="166" spans="1:22">
      <c r="A166" s="17">
        <v>33878</v>
      </c>
      <c r="B166" s="9">
        <v>1992</v>
      </c>
      <c r="C166" s="9" t="s">
        <v>108</v>
      </c>
      <c r="D166" s="11">
        <v>178</v>
      </c>
      <c r="E166" s="15">
        <f>'Hoja 4 - Cálculo'!$B$12</f>
        <v>250</v>
      </c>
      <c r="F166" s="15">
        <f>'Hoja 4 - Cálculo'!$B$13</f>
        <v>0.85</v>
      </c>
      <c r="G166" s="15">
        <f>'Hoja 4 - Cálculo'!$B$14</f>
        <v>0.9</v>
      </c>
      <c r="H166" s="15">
        <f t="shared" si="28"/>
        <v>34.042499999999997</v>
      </c>
      <c r="I166" s="11">
        <v>8</v>
      </c>
      <c r="J166" s="11">
        <v>1.5</v>
      </c>
      <c r="K166" s="11">
        <v>2</v>
      </c>
      <c r="L166" s="15">
        <f t="shared" si="29"/>
        <v>11.5</v>
      </c>
      <c r="M166" s="15">
        <f t="shared" si="37"/>
        <v>5</v>
      </c>
      <c r="N166" s="15">
        <f t="shared" si="30"/>
        <v>0.78084999999999993</v>
      </c>
      <c r="O166" s="15">
        <f t="shared" si="31"/>
        <v>38.261649999999996</v>
      </c>
      <c r="P166" s="15">
        <f t="shared" si="32"/>
        <v>11.5</v>
      </c>
      <c r="Q166" s="15">
        <f t="shared" si="33"/>
        <v>5</v>
      </c>
      <c r="R166" s="15">
        <f t="shared" si="34"/>
        <v>21.761649999999996</v>
      </c>
      <c r="S166" s="15">
        <f t="shared" si="35"/>
        <v>0</v>
      </c>
      <c r="T166" s="14" t="str">
        <f t="shared" si="36"/>
        <v>Satisfactorio</v>
      </c>
      <c r="U166" s="14">
        <f t="shared" si="38"/>
        <v>0</v>
      </c>
      <c r="V166" s="14">
        <f t="shared" si="39"/>
        <v>0</v>
      </c>
    </row>
    <row r="167" spans="1:22">
      <c r="A167" s="17">
        <v>33909</v>
      </c>
      <c r="B167" s="9">
        <v>1992</v>
      </c>
      <c r="C167" s="9" t="s">
        <v>109</v>
      </c>
      <c r="D167" s="11">
        <v>143.30000000000001</v>
      </c>
      <c r="E167" s="15">
        <f>'Hoja 4 - Cálculo'!$B$12</f>
        <v>250</v>
      </c>
      <c r="F167" s="15">
        <f>'Hoja 4 - Cálculo'!$B$13</f>
        <v>0.85</v>
      </c>
      <c r="G167" s="15">
        <f>'Hoja 4 - Cálculo'!$B$14</f>
        <v>0.9</v>
      </c>
      <c r="H167" s="15">
        <f t="shared" si="28"/>
        <v>27.406124999999999</v>
      </c>
      <c r="I167" s="11">
        <v>8</v>
      </c>
      <c r="J167" s="11">
        <v>1.5</v>
      </c>
      <c r="K167" s="11">
        <v>2</v>
      </c>
      <c r="L167" s="15">
        <f t="shared" si="29"/>
        <v>11.5</v>
      </c>
      <c r="M167" s="15">
        <f t="shared" si="37"/>
        <v>5</v>
      </c>
      <c r="N167" s="15">
        <f t="shared" si="30"/>
        <v>0.64812250000000005</v>
      </c>
      <c r="O167" s="15">
        <f t="shared" si="31"/>
        <v>31.758002500000003</v>
      </c>
      <c r="P167" s="15">
        <f t="shared" si="32"/>
        <v>11.5</v>
      </c>
      <c r="Q167" s="15">
        <f t="shared" si="33"/>
        <v>5</v>
      </c>
      <c r="R167" s="15">
        <f t="shared" si="34"/>
        <v>15.258002500000003</v>
      </c>
      <c r="S167" s="15">
        <f t="shared" si="35"/>
        <v>0</v>
      </c>
      <c r="T167" s="14" t="str">
        <f t="shared" si="36"/>
        <v>Satisfactorio</v>
      </c>
      <c r="U167" s="14">
        <f t="shared" si="38"/>
        <v>0</v>
      </c>
      <c r="V167" s="14">
        <f t="shared" si="39"/>
        <v>0</v>
      </c>
    </row>
    <row r="168" spans="1:22">
      <c r="A168" s="17">
        <v>33939</v>
      </c>
      <c r="B168" s="9">
        <v>1992</v>
      </c>
      <c r="C168" s="9" t="s">
        <v>110</v>
      </c>
      <c r="D168" s="11">
        <v>89.9</v>
      </c>
      <c r="E168" s="15">
        <f>'Hoja 4 - Cálculo'!$B$12</f>
        <v>250</v>
      </c>
      <c r="F168" s="15">
        <f>'Hoja 4 - Cálculo'!$B$13</f>
        <v>0.85</v>
      </c>
      <c r="G168" s="15">
        <f>'Hoja 4 - Cálculo'!$B$14</f>
        <v>0.9</v>
      </c>
      <c r="H168" s="15">
        <f t="shared" si="28"/>
        <v>17.193375</v>
      </c>
      <c r="I168" s="11">
        <v>8</v>
      </c>
      <c r="J168" s="11">
        <v>6</v>
      </c>
      <c r="K168" s="11">
        <v>2</v>
      </c>
      <c r="L168" s="15">
        <f t="shared" si="29"/>
        <v>16</v>
      </c>
      <c r="M168" s="15">
        <f t="shared" si="37"/>
        <v>5</v>
      </c>
      <c r="N168" s="15">
        <f t="shared" si="30"/>
        <v>0.44386750000000003</v>
      </c>
      <c r="O168" s="15">
        <f t="shared" si="31"/>
        <v>21.7495075</v>
      </c>
      <c r="P168" s="15">
        <f t="shared" si="32"/>
        <v>16</v>
      </c>
      <c r="Q168" s="15">
        <f t="shared" si="33"/>
        <v>5</v>
      </c>
      <c r="R168" s="15">
        <f t="shared" si="34"/>
        <v>0.74950749999999999</v>
      </c>
      <c r="S168" s="15">
        <f t="shared" si="35"/>
        <v>0</v>
      </c>
      <c r="T168" s="14" t="str">
        <f t="shared" si="36"/>
        <v>Satisfactorio</v>
      </c>
      <c r="U168" s="14">
        <f t="shared" si="38"/>
        <v>0</v>
      </c>
      <c r="V168" s="14">
        <f t="shared" si="39"/>
        <v>0</v>
      </c>
    </row>
    <row r="169" spans="1:22">
      <c r="A169" s="17">
        <v>33970</v>
      </c>
      <c r="B169" s="9">
        <v>1993</v>
      </c>
      <c r="C169" s="9" t="s">
        <v>99</v>
      </c>
      <c r="D169" s="11">
        <v>62</v>
      </c>
      <c r="E169" s="15">
        <f>'Hoja 4 - Cálculo'!$B$12</f>
        <v>250</v>
      </c>
      <c r="F169" s="15">
        <f>'Hoja 4 - Cálculo'!$B$13</f>
        <v>0.85</v>
      </c>
      <c r="G169" s="15">
        <f>'Hoja 4 - Cálculo'!$B$14</f>
        <v>0.9</v>
      </c>
      <c r="H169" s="15">
        <f t="shared" si="28"/>
        <v>11.8575</v>
      </c>
      <c r="I169" s="11">
        <v>8</v>
      </c>
      <c r="J169" s="11">
        <v>6</v>
      </c>
      <c r="K169" s="11">
        <v>2</v>
      </c>
      <c r="L169" s="15">
        <f t="shared" si="29"/>
        <v>16</v>
      </c>
      <c r="M169" s="15">
        <f t="shared" si="37"/>
        <v>5</v>
      </c>
      <c r="N169" s="15">
        <f t="shared" si="30"/>
        <v>0.33715000000000006</v>
      </c>
      <c r="O169" s="15">
        <f t="shared" si="31"/>
        <v>16.520350000000001</v>
      </c>
      <c r="P169" s="15">
        <f t="shared" si="32"/>
        <v>16</v>
      </c>
      <c r="Q169" s="15">
        <f t="shared" si="33"/>
        <v>0.52035000000000053</v>
      </c>
      <c r="R169" s="15">
        <f t="shared" si="34"/>
        <v>0</v>
      </c>
      <c r="S169" s="15">
        <f t="shared" si="35"/>
        <v>0</v>
      </c>
      <c r="T169" s="14" t="str">
        <f t="shared" si="36"/>
        <v>Satisfactorio</v>
      </c>
      <c r="U169" s="14">
        <f t="shared" si="38"/>
        <v>0</v>
      </c>
      <c r="V169" s="14">
        <f t="shared" si="39"/>
        <v>0</v>
      </c>
    </row>
    <row r="170" spans="1:22">
      <c r="A170" s="17">
        <v>34001</v>
      </c>
      <c r="B170" s="9">
        <v>1993</v>
      </c>
      <c r="C170" s="9" t="s">
        <v>100</v>
      </c>
      <c r="D170" s="11">
        <v>73.900000000000006</v>
      </c>
      <c r="E170" s="15">
        <f>'Hoja 4 - Cálculo'!$B$12</f>
        <v>250</v>
      </c>
      <c r="F170" s="15">
        <f>'Hoja 4 - Cálculo'!$B$13</f>
        <v>0.85</v>
      </c>
      <c r="G170" s="15">
        <f>'Hoja 4 - Cálculo'!$B$14</f>
        <v>0.9</v>
      </c>
      <c r="H170" s="15">
        <f t="shared" si="28"/>
        <v>14.133374999999999</v>
      </c>
      <c r="I170" s="11">
        <v>8</v>
      </c>
      <c r="J170" s="11">
        <v>6</v>
      </c>
      <c r="K170" s="11">
        <v>2</v>
      </c>
      <c r="L170" s="15">
        <f t="shared" si="29"/>
        <v>16</v>
      </c>
      <c r="M170" s="15">
        <f t="shared" si="37"/>
        <v>0.52035000000000053</v>
      </c>
      <c r="N170" s="15">
        <f t="shared" si="30"/>
        <v>0.29307450000000002</v>
      </c>
      <c r="O170" s="15">
        <f t="shared" si="31"/>
        <v>14.3606505</v>
      </c>
      <c r="P170" s="15">
        <f t="shared" si="32"/>
        <v>14.3606505</v>
      </c>
      <c r="Q170" s="15">
        <f t="shared" si="33"/>
        <v>0</v>
      </c>
      <c r="R170" s="15">
        <f t="shared" si="34"/>
        <v>0</v>
      </c>
      <c r="S170" s="15">
        <f t="shared" si="35"/>
        <v>1.6393494999999998</v>
      </c>
      <c r="T170" s="14" t="str">
        <f t="shared" si="36"/>
        <v>Falla</v>
      </c>
      <c r="U170" s="14">
        <f t="shared" si="38"/>
        <v>0</v>
      </c>
      <c r="V170" s="14">
        <f t="shared" si="39"/>
        <v>1</v>
      </c>
    </row>
    <row r="171" spans="1:22">
      <c r="A171" s="17">
        <v>34029</v>
      </c>
      <c r="B171" s="9">
        <v>1993</v>
      </c>
      <c r="C171" s="9" t="s">
        <v>101</v>
      </c>
      <c r="D171" s="11">
        <v>114.4</v>
      </c>
      <c r="E171" s="15">
        <f>'Hoja 4 - Cálculo'!$B$12</f>
        <v>250</v>
      </c>
      <c r="F171" s="15">
        <f>'Hoja 4 - Cálculo'!$B$13</f>
        <v>0.85</v>
      </c>
      <c r="G171" s="15">
        <f>'Hoja 4 - Cálculo'!$B$14</f>
        <v>0.9</v>
      </c>
      <c r="H171" s="15">
        <f t="shared" si="28"/>
        <v>21.879000000000001</v>
      </c>
      <c r="I171" s="11">
        <v>8</v>
      </c>
      <c r="J171" s="11">
        <v>6</v>
      </c>
      <c r="K171" s="11">
        <v>2</v>
      </c>
      <c r="L171" s="15">
        <f t="shared" si="29"/>
        <v>16</v>
      </c>
      <c r="M171" s="15">
        <f t="shared" si="37"/>
        <v>0</v>
      </c>
      <c r="N171" s="15">
        <f t="shared" si="30"/>
        <v>0.43758000000000002</v>
      </c>
      <c r="O171" s="15">
        <f t="shared" si="31"/>
        <v>21.441420000000001</v>
      </c>
      <c r="P171" s="15">
        <f t="shared" si="32"/>
        <v>16</v>
      </c>
      <c r="Q171" s="15">
        <f t="shared" si="33"/>
        <v>5</v>
      </c>
      <c r="R171" s="15">
        <f t="shared" si="34"/>
        <v>0.44142000000000081</v>
      </c>
      <c r="S171" s="15">
        <f t="shared" si="35"/>
        <v>0</v>
      </c>
      <c r="T171" s="14" t="str">
        <f t="shared" si="36"/>
        <v>Satisfactorio</v>
      </c>
      <c r="U171" s="14">
        <f t="shared" si="38"/>
        <v>1</v>
      </c>
      <c r="V171" s="14">
        <f t="shared" si="39"/>
        <v>0</v>
      </c>
    </row>
    <row r="172" spans="1:22">
      <c r="A172" s="17">
        <v>34060</v>
      </c>
      <c r="B172" s="9">
        <v>1993</v>
      </c>
      <c r="C172" s="9" t="s">
        <v>102</v>
      </c>
      <c r="D172" s="11">
        <v>158.1</v>
      </c>
      <c r="E172" s="15">
        <f>'Hoja 4 - Cálculo'!$B$12</f>
        <v>250</v>
      </c>
      <c r="F172" s="15">
        <f>'Hoja 4 - Cálculo'!$B$13</f>
        <v>0.85</v>
      </c>
      <c r="G172" s="15">
        <f>'Hoja 4 - Cálculo'!$B$14</f>
        <v>0.9</v>
      </c>
      <c r="H172" s="15">
        <f t="shared" si="28"/>
        <v>30.236625</v>
      </c>
      <c r="I172" s="11">
        <v>8</v>
      </c>
      <c r="J172" s="11">
        <v>1.5</v>
      </c>
      <c r="K172" s="11">
        <v>2</v>
      </c>
      <c r="L172" s="15">
        <f t="shared" si="29"/>
        <v>11.5</v>
      </c>
      <c r="M172" s="15">
        <f t="shared" si="37"/>
        <v>5</v>
      </c>
      <c r="N172" s="15">
        <f t="shared" si="30"/>
        <v>0.70473250000000009</v>
      </c>
      <c r="O172" s="15">
        <f t="shared" si="31"/>
        <v>34.531892500000005</v>
      </c>
      <c r="P172" s="15">
        <f t="shared" si="32"/>
        <v>11.5</v>
      </c>
      <c r="Q172" s="15">
        <f t="shared" si="33"/>
        <v>5</v>
      </c>
      <c r="R172" s="15">
        <f t="shared" si="34"/>
        <v>18.031892500000005</v>
      </c>
      <c r="S172" s="15">
        <f t="shared" si="35"/>
        <v>0</v>
      </c>
      <c r="T172" s="14" t="str">
        <f t="shared" si="36"/>
        <v>Satisfactorio</v>
      </c>
      <c r="U172" s="14">
        <f t="shared" si="38"/>
        <v>0</v>
      </c>
      <c r="V172" s="14">
        <f t="shared" si="39"/>
        <v>0</v>
      </c>
    </row>
    <row r="173" spans="1:22">
      <c r="A173" s="17">
        <v>34090</v>
      </c>
      <c r="B173" s="9">
        <v>1993</v>
      </c>
      <c r="C173" s="9" t="s">
        <v>103</v>
      </c>
      <c r="D173" s="11">
        <v>134.6</v>
      </c>
      <c r="E173" s="15">
        <f>'Hoja 4 - Cálculo'!$B$12</f>
        <v>250</v>
      </c>
      <c r="F173" s="15">
        <f>'Hoja 4 - Cálculo'!$B$13</f>
        <v>0.85</v>
      </c>
      <c r="G173" s="15">
        <f>'Hoja 4 - Cálculo'!$B$14</f>
        <v>0.9</v>
      </c>
      <c r="H173" s="15">
        <f t="shared" si="28"/>
        <v>25.742249999999999</v>
      </c>
      <c r="I173" s="11">
        <v>8</v>
      </c>
      <c r="J173" s="11">
        <v>1.5</v>
      </c>
      <c r="K173" s="11">
        <v>2</v>
      </c>
      <c r="L173" s="15">
        <f t="shared" si="29"/>
        <v>11.5</v>
      </c>
      <c r="M173" s="15">
        <f t="shared" si="37"/>
        <v>5</v>
      </c>
      <c r="N173" s="15">
        <f t="shared" si="30"/>
        <v>0.61484499999999997</v>
      </c>
      <c r="O173" s="15">
        <f t="shared" si="31"/>
        <v>30.127405</v>
      </c>
      <c r="P173" s="15">
        <f t="shared" si="32"/>
        <v>11.5</v>
      </c>
      <c r="Q173" s="15">
        <f t="shared" si="33"/>
        <v>5</v>
      </c>
      <c r="R173" s="15">
        <f t="shared" si="34"/>
        <v>13.627405</v>
      </c>
      <c r="S173" s="15">
        <f t="shared" si="35"/>
        <v>0</v>
      </c>
      <c r="T173" s="14" t="str">
        <f t="shared" si="36"/>
        <v>Satisfactorio</v>
      </c>
      <c r="U173" s="14">
        <f t="shared" si="38"/>
        <v>0</v>
      </c>
      <c r="V173" s="14">
        <f t="shared" si="39"/>
        <v>0</v>
      </c>
    </row>
    <row r="174" spans="1:22">
      <c r="A174" s="17">
        <v>34121</v>
      </c>
      <c r="B174" s="9">
        <v>1993</v>
      </c>
      <c r="C174" s="9" t="s">
        <v>104</v>
      </c>
      <c r="D174" s="11">
        <v>82.5</v>
      </c>
      <c r="E174" s="15">
        <f>'Hoja 4 - Cálculo'!$B$12</f>
        <v>250</v>
      </c>
      <c r="F174" s="15">
        <f>'Hoja 4 - Cálculo'!$B$13</f>
        <v>0.85</v>
      </c>
      <c r="G174" s="15">
        <f>'Hoja 4 - Cálculo'!$B$14</f>
        <v>0.9</v>
      </c>
      <c r="H174" s="15">
        <f t="shared" si="28"/>
        <v>15.778124999999999</v>
      </c>
      <c r="I174" s="11">
        <v>8</v>
      </c>
      <c r="J174" s="11">
        <v>1.5</v>
      </c>
      <c r="K174" s="11">
        <v>2</v>
      </c>
      <c r="L174" s="15">
        <f t="shared" si="29"/>
        <v>11.5</v>
      </c>
      <c r="M174" s="15">
        <f t="shared" si="37"/>
        <v>5</v>
      </c>
      <c r="N174" s="15">
        <f t="shared" si="30"/>
        <v>0.4155625</v>
      </c>
      <c r="O174" s="15">
        <f t="shared" si="31"/>
        <v>20.362562499999999</v>
      </c>
      <c r="P174" s="15">
        <f t="shared" si="32"/>
        <v>11.5</v>
      </c>
      <c r="Q174" s="15">
        <f t="shared" si="33"/>
        <v>5</v>
      </c>
      <c r="R174" s="15">
        <f t="shared" si="34"/>
        <v>3.8625624999999992</v>
      </c>
      <c r="S174" s="15">
        <f t="shared" si="35"/>
        <v>0</v>
      </c>
      <c r="T174" s="14" t="str">
        <f t="shared" si="36"/>
        <v>Satisfactorio</v>
      </c>
      <c r="U174" s="14">
        <f t="shared" si="38"/>
        <v>0</v>
      </c>
      <c r="V174" s="14">
        <f t="shared" si="39"/>
        <v>0</v>
      </c>
    </row>
    <row r="175" spans="1:22">
      <c r="A175" s="17">
        <v>34151</v>
      </c>
      <c r="B175" s="9">
        <v>1993</v>
      </c>
      <c r="C175" s="9" t="s">
        <v>105</v>
      </c>
      <c r="D175" s="11">
        <v>72.099999999999994</v>
      </c>
      <c r="E175" s="15">
        <f>'Hoja 4 - Cálculo'!$B$12</f>
        <v>250</v>
      </c>
      <c r="F175" s="15">
        <f>'Hoja 4 - Cálculo'!$B$13</f>
        <v>0.85</v>
      </c>
      <c r="G175" s="15">
        <f>'Hoja 4 - Cálculo'!$B$14</f>
        <v>0.9</v>
      </c>
      <c r="H175" s="15">
        <f t="shared" si="28"/>
        <v>13.789125</v>
      </c>
      <c r="I175" s="11">
        <v>8</v>
      </c>
      <c r="J175" s="11">
        <v>6</v>
      </c>
      <c r="K175" s="11">
        <v>2</v>
      </c>
      <c r="L175" s="15">
        <f t="shared" si="29"/>
        <v>16</v>
      </c>
      <c r="M175" s="15">
        <f t="shared" si="37"/>
        <v>5</v>
      </c>
      <c r="N175" s="15">
        <f t="shared" si="30"/>
        <v>0.37578249999999996</v>
      </c>
      <c r="O175" s="15">
        <f t="shared" si="31"/>
        <v>18.413342499999999</v>
      </c>
      <c r="P175" s="15">
        <f t="shared" si="32"/>
        <v>16</v>
      </c>
      <c r="Q175" s="15">
        <f t="shared" si="33"/>
        <v>2.4133424999999988</v>
      </c>
      <c r="R175" s="15">
        <f t="shared" si="34"/>
        <v>0</v>
      </c>
      <c r="S175" s="15">
        <f t="shared" si="35"/>
        <v>0</v>
      </c>
      <c r="T175" s="14" t="str">
        <f t="shared" si="36"/>
        <v>Satisfactorio</v>
      </c>
      <c r="U175" s="14">
        <f t="shared" si="38"/>
        <v>0</v>
      </c>
      <c r="V175" s="14">
        <f t="shared" si="39"/>
        <v>0</v>
      </c>
    </row>
    <row r="176" spans="1:22">
      <c r="A176" s="17">
        <v>34182</v>
      </c>
      <c r="B176" s="9">
        <v>1993</v>
      </c>
      <c r="C176" s="9" t="s">
        <v>106</v>
      </c>
      <c r="D176" s="11">
        <v>77.5</v>
      </c>
      <c r="E176" s="15">
        <f>'Hoja 4 - Cálculo'!$B$12</f>
        <v>250</v>
      </c>
      <c r="F176" s="15">
        <f>'Hoja 4 - Cálculo'!$B$13</f>
        <v>0.85</v>
      </c>
      <c r="G176" s="15">
        <f>'Hoja 4 - Cálculo'!$B$14</f>
        <v>0.9</v>
      </c>
      <c r="H176" s="15">
        <f t="shared" si="28"/>
        <v>14.821875</v>
      </c>
      <c r="I176" s="11">
        <v>8</v>
      </c>
      <c r="J176" s="11">
        <v>6</v>
      </c>
      <c r="K176" s="11">
        <v>2</v>
      </c>
      <c r="L176" s="15">
        <f t="shared" si="29"/>
        <v>16</v>
      </c>
      <c r="M176" s="15">
        <f t="shared" si="37"/>
        <v>2.4133424999999988</v>
      </c>
      <c r="N176" s="15">
        <f t="shared" si="30"/>
        <v>0.34470434999999994</v>
      </c>
      <c r="O176" s="15">
        <f t="shared" si="31"/>
        <v>16.890513149999997</v>
      </c>
      <c r="P176" s="15">
        <f t="shared" si="32"/>
        <v>16</v>
      </c>
      <c r="Q176" s="15">
        <f t="shared" si="33"/>
        <v>0.89051314999999676</v>
      </c>
      <c r="R176" s="15">
        <f t="shared" si="34"/>
        <v>0</v>
      </c>
      <c r="S176" s="15">
        <f t="shared" si="35"/>
        <v>0</v>
      </c>
      <c r="T176" s="14" t="str">
        <f t="shared" si="36"/>
        <v>Satisfactorio</v>
      </c>
      <c r="U176" s="14">
        <f t="shared" si="38"/>
        <v>0</v>
      </c>
      <c r="V176" s="14">
        <f t="shared" si="39"/>
        <v>0</v>
      </c>
    </row>
    <row r="177" spans="1:22">
      <c r="A177" s="17">
        <v>34213</v>
      </c>
      <c r="B177" s="9">
        <v>1993</v>
      </c>
      <c r="C177" s="9" t="s">
        <v>107</v>
      </c>
      <c r="D177" s="11">
        <v>116.8</v>
      </c>
      <c r="E177" s="15">
        <f>'Hoja 4 - Cálculo'!$B$12</f>
        <v>250</v>
      </c>
      <c r="F177" s="15">
        <f>'Hoja 4 - Cálculo'!$B$13</f>
        <v>0.85</v>
      </c>
      <c r="G177" s="15">
        <f>'Hoja 4 - Cálculo'!$B$14</f>
        <v>0.9</v>
      </c>
      <c r="H177" s="15">
        <f t="shared" si="28"/>
        <v>22.338000000000001</v>
      </c>
      <c r="I177" s="11">
        <v>8</v>
      </c>
      <c r="J177" s="11">
        <v>1.5</v>
      </c>
      <c r="K177" s="11">
        <v>2</v>
      </c>
      <c r="L177" s="15">
        <f t="shared" si="29"/>
        <v>11.5</v>
      </c>
      <c r="M177" s="15">
        <f t="shared" si="37"/>
        <v>0.89051314999999676</v>
      </c>
      <c r="N177" s="15">
        <f t="shared" si="30"/>
        <v>0.46457026299999998</v>
      </c>
      <c r="O177" s="15">
        <f t="shared" si="31"/>
        <v>22.763942886999999</v>
      </c>
      <c r="P177" s="15">
        <f t="shared" si="32"/>
        <v>11.5</v>
      </c>
      <c r="Q177" s="15">
        <f t="shared" si="33"/>
        <v>5</v>
      </c>
      <c r="R177" s="15">
        <f t="shared" si="34"/>
        <v>6.2639428869999989</v>
      </c>
      <c r="S177" s="15">
        <f t="shared" si="35"/>
        <v>0</v>
      </c>
      <c r="T177" s="14" t="str">
        <f t="shared" si="36"/>
        <v>Satisfactorio</v>
      </c>
      <c r="U177" s="14">
        <f t="shared" si="38"/>
        <v>0</v>
      </c>
      <c r="V177" s="14">
        <f t="shared" si="39"/>
        <v>0</v>
      </c>
    </row>
    <row r="178" spans="1:22">
      <c r="A178" s="17">
        <v>34243</v>
      </c>
      <c r="B178" s="9">
        <v>1993</v>
      </c>
      <c r="C178" s="9" t="s">
        <v>108</v>
      </c>
      <c r="D178" s="11">
        <v>153.5</v>
      </c>
      <c r="E178" s="15">
        <f>'Hoja 4 - Cálculo'!$B$12</f>
        <v>250</v>
      </c>
      <c r="F178" s="15">
        <f>'Hoja 4 - Cálculo'!$B$13</f>
        <v>0.85</v>
      </c>
      <c r="G178" s="15">
        <f>'Hoja 4 - Cálculo'!$B$14</f>
        <v>0.9</v>
      </c>
      <c r="H178" s="15">
        <f t="shared" si="28"/>
        <v>29.356874999999999</v>
      </c>
      <c r="I178" s="11">
        <v>8</v>
      </c>
      <c r="J178" s="11">
        <v>1.5</v>
      </c>
      <c r="K178" s="11">
        <v>2</v>
      </c>
      <c r="L178" s="15">
        <f t="shared" si="29"/>
        <v>11.5</v>
      </c>
      <c r="M178" s="15">
        <f t="shared" si="37"/>
        <v>5</v>
      </c>
      <c r="N178" s="15">
        <f t="shared" si="30"/>
        <v>0.68713750000000007</v>
      </c>
      <c r="O178" s="15">
        <f t="shared" si="31"/>
        <v>33.669737500000004</v>
      </c>
      <c r="P178" s="15">
        <f t="shared" si="32"/>
        <v>11.5</v>
      </c>
      <c r="Q178" s="15">
        <f t="shared" si="33"/>
        <v>5</v>
      </c>
      <c r="R178" s="15">
        <f t="shared" si="34"/>
        <v>17.169737500000004</v>
      </c>
      <c r="S178" s="15">
        <f t="shared" si="35"/>
        <v>0</v>
      </c>
      <c r="T178" s="14" t="str">
        <f t="shared" si="36"/>
        <v>Satisfactorio</v>
      </c>
      <c r="U178" s="14">
        <f t="shared" si="38"/>
        <v>0</v>
      </c>
      <c r="V178" s="14">
        <f t="shared" si="39"/>
        <v>0</v>
      </c>
    </row>
    <row r="179" spans="1:22">
      <c r="A179" s="17">
        <v>34274</v>
      </c>
      <c r="B179" s="9">
        <v>1993</v>
      </c>
      <c r="C179" s="9" t="s">
        <v>109</v>
      </c>
      <c r="D179" s="11">
        <v>137.19999999999999</v>
      </c>
      <c r="E179" s="15">
        <f>'Hoja 4 - Cálculo'!$B$12</f>
        <v>250</v>
      </c>
      <c r="F179" s="15">
        <f>'Hoja 4 - Cálculo'!$B$13</f>
        <v>0.85</v>
      </c>
      <c r="G179" s="15">
        <f>'Hoja 4 - Cálculo'!$B$14</f>
        <v>0.9</v>
      </c>
      <c r="H179" s="15">
        <f t="shared" si="28"/>
        <v>26.2395</v>
      </c>
      <c r="I179" s="11">
        <v>8</v>
      </c>
      <c r="J179" s="11">
        <v>1.5</v>
      </c>
      <c r="K179" s="11">
        <v>2</v>
      </c>
      <c r="L179" s="15">
        <f t="shared" si="29"/>
        <v>11.5</v>
      </c>
      <c r="M179" s="15">
        <f t="shared" si="37"/>
        <v>5</v>
      </c>
      <c r="N179" s="15">
        <f t="shared" si="30"/>
        <v>0.62478999999999996</v>
      </c>
      <c r="O179" s="15">
        <f t="shared" si="31"/>
        <v>30.614709999999999</v>
      </c>
      <c r="P179" s="15">
        <f t="shared" si="32"/>
        <v>11.5</v>
      </c>
      <c r="Q179" s="15">
        <f t="shared" si="33"/>
        <v>5</v>
      </c>
      <c r="R179" s="15">
        <f t="shared" si="34"/>
        <v>14.114709999999999</v>
      </c>
      <c r="S179" s="15">
        <f t="shared" si="35"/>
        <v>0</v>
      </c>
      <c r="T179" s="14" t="str">
        <f t="shared" si="36"/>
        <v>Satisfactorio</v>
      </c>
      <c r="U179" s="14">
        <f t="shared" si="38"/>
        <v>0</v>
      </c>
      <c r="V179" s="14">
        <f t="shared" si="39"/>
        <v>0</v>
      </c>
    </row>
    <row r="180" spans="1:22">
      <c r="A180" s="17">
        <v>34304</v>
      </c>
      <c r="B180" s="9">
        <v>1993</v>
      </c>
      <c r="C180" s="9" t="s">
        <v>110</v>
      </c>
      <c r="D180" s="11">
        <v>83.3</v>
      </c>
      <c r="E180" s="15">
        <f>'Hoja 4 - Cálculo'!$B$12</f>
        <v>250</v>
      </c>
      <c r="F180" s="15">
        <f>'Hoja 4 - Cálculo'!$B$13</f>
        <v>0.85</v>
      </c>
      <c r="G180" s="15">
        <f>'Hoja 4 - Cálculo'!$B$14</f>
        <v>0.9</v>
      </c>
      <c r="H180" s="15">
        <f t="shared" si="28"/>
        <v>15.931125</v>
      </c>
      <c r="I180" s="11">
        <v>8</v>
      </c>
      <c r="J180" s="11">
        <v>6</v>
      </c>
      <c r="K180" s="11">
        <v>2</v>
      </c>
      <c r="L180" s="15">
        <f t="shared" si="29"/>
        <v>16</v>
      </c>
      <c r="M180" s="15">
        <f t="shared" si="37"/>
        <v>5</v>
      </c>
      <c r="N180" s="15">
        <f t="shared" si="30"/>
        <v>0.41862250000000006</v>
      </c>
      <c r="O180" s="15">
        <f t="shared" si="31"/>
        <v>20.5125025</v>
      </c>
      <c r="P180" s="15">
        <f t="shared" si="32"/>
        <v>16</v>
      </c>
      <c r="Q180" s="15">
        <f t="shared" si="33"/>
        <v>4.5125025000000001</v>
      </c>
      <c r="R180" s="15">
        <f t="shared" si="34"/>
        <v>0</v>
      </c>
      <c r="S180" s="15">
        <f t="shared" si="35"/>
        <v>0</v>
      </c>
      <c r="T180" s="14" t="str">
        <f t="shared" si="36"/>
        <v>Satisfactorio</v>
      </c>
      <c r="U180" s="14">
        <f t="shared" si="38"/>
        <v>0</v>
      </c>
      <c r="V180" s="14">
        <f t="shared" si="39"/>
        <v>0</v>
      </c>
    </row>
    <row r="181" spans="1:22">
      <c r="A181" s="17">
        <v>34335</v>
      </c>
      <c r="B181" s="9">
        <v>1994</v>
      </c>
      <c r="C181" s="9" t="s">
        <v>99</v>
      </c>
      <c r="D181" s="11">
        <v>56.3</v>
      </c>
      <c r="E181" s="15">
        <f>'Hoja 4 - Cálculo'!$B$12</f>
        <v>250</v>
      </c>
      <c r="F181" s="15">
        <f>'Hoja 4 - Cálculo'!$B$13</f>
        <v>0.85</v>
      </c>
      <c r="G181" s="15">
        <f>'Hoja 4 - Cálculo'!$B$14</f>
        <v>0.9</v>
      </c>
      <c r="H181" s="15">
        <f t="shared" si="28"/>
        <v>10.767374999999999</v>
      </c>
      <c r="I181" s="11">
        <v>8</v>
      </c>
      <c r="J181" s="11">
        <v>6</v>
      </c>
      <c r="K181" s="11">
        <v>2</v>
      </c>
      <c r="L181" s="15">
        <f t="shared" si="29"/>
        <v>16</v>
      </c>
      <c r="M181" s="15">
        <f t="shared" si="37"/>
        <v>4.5125025000000001</v>
      </c>
      <c r="N181" s="15">
        <f t="shared" si="30"/>
        <v>0.30559755</v>
      </c>
      <c r="O181" s="15">
        <f t="shared" si="31"/>
        <v>14.97427995</v>
      </c>
      <c r="P181" s="15">
        <f t="shared" si="32"/>
        <v>14.97427995</v>
      </c>
      <c r="Q181" s="15">
        <f t="shared" si="33"/>
        <v>0</v>
      </c>
      <c r="R181" s="15">
        <f t="shared" si="34"/>
        <v>0</v>
      </c>
      <c r="S181" s="15">
        <f t="shared" si="35"/>
        <v>1.0257200500000003</v>
      </c>
      <c r="T181" s="14" t="str">
        <f t="shared" si="36"/>
        <v>Falla</v>
      </c>
      <c r="U181" s="14">
        <f t="shared" si="38"/>
        <v>0</v>
      </c>
      <c r="V181" s="14">
        <f t="shared" si="39"/>
        <v>1</v>
      </c>
    </row>
    <row r="182" spans="1:22">
      <c r="A182" s="17">
        <v>34366</v>
      </c>
      <c r="B182" s="9">
        <v>1994</v>
      </c>
      <c r="C182" s="9" t="s">
        <v>100</v>
      </c>
      <c r="D182" s="11">
        <v>63.7</v>
      </c>
      <c r="E182" s="15">
        <f>'Hoja 4 - Cálculo'!$B$12</f>
        <v>250</v>
      </c>
      <c r="F182" s="15">
        <f>'Hoja 4 - Cálculo'!$B$13</f>
        <v>0.85</v>
      </c>
      <c r="G182" s="15">
        <f>'Hoja 4 - Cálculo'!$B$14</f>
        <v>0.9</v>
      </c>
      <c r="H182" s="15">
        <f t="shared" si="28"/>
        <v>12.182625</v>
      </c>
      <c r="I182" s="11">
        <v>8</v>
      </c>
      <c r="J182" s="11">
        <v>6</v>
      </c>
      <c r="K182" s="11">
        <v>2</v>
      </c>
      <c r="L182" s="15">
        <f t="shared" si="29"/>
        <v>16</v>
      </c>
      <c r="M182" s="15">
        <f t="shared" si="37"/>
        <v>0</v>
      </c>
      <c r="N182" s="15">
        <f t="shared" si="30"/>
        <v>0.24365249999999999</v>
      </c>
      <c r="O182" s="15">
        <f t="shared" si="31"/>
        <v>11.9389725</v>
      </c>
      <c r="P182" s="15">
        <f t="shared" si="32"/>
        <v>11.9389725</v>
      </c>
      <c r="Q182" s="15">
        <f t="shared" si="33"/>
        <v>0</v>
      </c>
      <c r="R182" s="15">
        <f t="shared" si="34"/>
        <v>0</v>
      </c>
      <c r="S182" s="15">
        <f t="shared" si="35"/>
        <v>4.0610274999999998</v>
      </c>
      <c r="T182" s="14" t="str">
        <f t="shared" si="36"/>
        <v>Falla</v>
      </c>
      <c r="U182" s="14">
        <f t="shared" si="38"/>
        <v>0</v>
      </c>
      <c r="V182" s="14">
        <f t="shared" si="39"/>
        <v>0</v>
      </c>
    </row>
    <row r="183" spans="1:22">
      <c r="A183" s="17">
        <v>34394</v>
      </c>
      <c r="B183" s="9">
        <v>1994</v>
      </c>
      <c r="C183" s="9" t="s">
        <v>101</v>
      </c>
      <c r="D183" s="11">
        <v>96.8</v>
      </c>
      <c r="E183" s="15">
        <f>'Hoja 4 - Cálculo'!$B$12</f>
        <v>250</v>
      </c>
      <c r="F183" s="15">
        <f>'Hoja 4 - Cálculo'!$B$13</f>
        <v>0.85</v>
      </c>
      <c r="G183" s="15">
        <f>'Hoja 4 - Cálculo'!$B$14</f>
        <v>0.9</v>
      </c>
      <c r="H183" s="15">
        <f t="shared" si="28"/>
        <v>18.513000000000002</v>
      </c>
      <c r="I183" s="11">
        <v>8</v>
      </c>
      <c r="J183" s="11">
        <v>6</v>
      </c>
      <c r="K183" s="11">
        <v>2</v>
      </c>
      <c r="L183" s="15">
        <f t="shared" si="29"/>
        <v>16</v>
      </c>
      <c r="M183" s="15">
        <f t="shared" si="37"/>
        <v>0</v>
      </c>
      <c r="N183" s="15">
        <f t="shared" si="30"/>
        <v>0.37026000000000003</v>
      </c>
      <c r="O183" s="15">
        <f t="shared" si="31"/>
        <v>18.142740000000003</v>
      </c>
      <c r="P183" s="15">
        <f t="shared" si="32"/>
        <v>16</v>
      </c>
      <c r="Q183" s="15">
        <f t="shared" si="33"/>
        <v>2.1427400000000034</v>
      </c>
      <c r="R183" s="15">
        <f t="shared" si="34"/>
        <v>0</v>
      </c>
      <c r="S183" s="15">
        <f t="shared" si="35"/>
        <v>0</v>
      </c>
      <c r="T183" s="14" t="str">
        <f t="shared" si="36"/>
        <v>Satisfactorio</v>
      </c>
      <c r="U183" s="14">
        <f t="shared" si="38"/>
        <v>1</v>
      </c>
      <c r="V183" s="14">
        <f t="shared" si="39"/>
        <v>0</v>
      </c>
    </row>
    <row r="184" spans="1:22">
      <c r="A184" s="17">
        <v>34425</v>
      </c>
      <c r="B184" s="9">
        <v>1994</v>
      </c>
      <c r="C184" s="9" t="s">
        <v>102</v>
      </c>
      <c r="D184" s="11">
        <v>143.5</v>
      </c>
      <c r="E184" s="15">
        <f>'Hoja 4 - Cálculo'!$B$12</f>
        <v>250</v>
      </c>
      <c r="F184" s="15">
        <f>'Hoja 4 - Cálculo'!$B$13</f>
        <v>0.85</v>
      </c>
      <c r="G184" s="15">
        <f>'Hoja 4 - Cálculo'!$B$14</f>
        <v>0.9</v>
      </c>
      <c r="H184" s="15">
        <f t="shared" si="28"/>
        <v>27.444375000000001</v>
      </c>
      <c r="I184" s="11">
        <v>8</v>
      </c>
      <c r="J184" s="11">
        <v>1.5</v>
      </c>
      <c r="K184" s="11">
        <v>2</v>
      </c>
      <c r="L184" s="15">
        <f t="shared" si="29"/>
        <v>11.5</v>
      </c>
      <c r="M184" s="15">
        <f t="shared" si="37"/>
        <v>2.1427400000000034</v>
      </c>
      <c r="N184" s="15">
        <f t="shared" si="30"/>
        <v>0.59174230000000005</v>
      </c>
      <c r="O184" s="15">
        <f t="shared" si="31"/>
        <v>28.995372700000004</v>
      </c>
      <c r="P184" s="15">
        <f t="shared" si="32"/>
        <v>11.5</v>
      </c>
      <c r="Q184" s="15">
        <f t="shared" si="33"/>
        <v>5</v>
      </c>
      <c r="R184" s="15">
        <f t="shared" si="34"/>
        <v>12.495372700000004</v>
      </c>
      <c r="S184" s="15">
        <f t="shared" si="35"/>
        <v>0</v>
      </c>
      <c r="T184" s="14" t="str">
        <f t="shared" si="36"/>
        <v>Satisfactorio</v>
      </c>
      <c r="U184" s="14">
        <f t="shared" si="38"/>
        <v>0</v>
      </c>
      <c r="V184" s="14">
        <f t="shared" si="39"/>
        <v>0</v>
      </c>
    </row>
    <row r="185" spans="1:22">
      <c r="A185" s="17">
        <v>34455</v>
      </c>
      <c r="B185" s="9">
        <v>1994</v>
      </c>
      <c r="C185" s="9" t="s">
        <v>103</v>
      </c>
      <c r="D185" s="11">
        <v>131</v>
      </c>
      <c r="E185" s="15">
        <f>'Hoja 4 - Cálculo'!$B$12</f>
        <v>250</v>
      </c>
      <c r="F185" s="15">
        <f>'Hoja 4 - Cálculo'!$B$13</f>
        <v>0.85</v>
      </c>
      <c r="G185" s="15">
        <f>'Hoja 4 - Cálculo'!$B$14</f>
        <v>0.9</v>
      </c>
      <c r="H185" s="15">
        <f t="shared" si="28"/>
        <v>25.053750000000001</v>
      </c>
      <c r="I185" s="11">
        <v>8</v>
      </c>
      <c r="J185" s="11">
        <v>1.5</v>
      </c>
      <c r="K185" s="11">
        <v>2</v>
      </c>
      <c r="L185" s="15">
        <f t="shared" si="29"/>
        <v>11.5</v>
      </c>
      <c r="M185" s="15">
        <f t="shared" si="37"/>
        <v>5</v>
      </c>
      <c r="N185" s="15">
        <f t="shared" si="30"/>
        <v>0.60107500000000003</v>
      </c>
      <c r="O185" s="15">
        <f t="shared" si="31"/>
        <v>29.452674999999999</v>
      </c>
      <c r="P185" s="15">
        <f t="shared" si="32"/>
        <v>11.5</v>
      </c>
      <c r="Q185" s="15">
        <f t="shared" si="33"/>
        <v>5</v>
      </c>
      <c r="R185" s="15">
        <f t="shared" si="34"/>
        <v>12.952674999999999</v>
      </c>
      <c r="S185" s="15">
        <f t="shared" si="35"/>
        <v>0</v>
      </c>
      <c r="T185" s="14" t="str">
        <f t="shared" si="36"/>
        <v>Satisfactorio</v>
      </c>
      <c r="U185" s="14">
        <f t="shared" si="38"/>
        <v>0</v>
      </c>
      <c r="V185" s="14">
        <f t="shared" si="39"/>
        <v>0</v>
      </c>
    </row>
    <row r="186" spans="1:22">
      <c r="A186" s="17">
        <v>34486</v>
      </c>
      <c r="B186" s="9">
        <v>1994</v>
      </c>
      <c r="C186" s="9" t="s">
        <v>104</v>
      </c>
      <c r="D186" s="11">
        <v>76.400000000000006</v>
      </c>
      <c r="E186" s="15">
        <f>'Hoja 4 - Cálculo'!$B$12</f>
        <v>250</v>
      </c>
      <c r="F186" s="15">
        <f>'Hoja 4 - Cálculo'!$B$13</f>
        <v>0.85</v>
      </c>
      <c r="G186" s="15">
        <f>'Hoja 4 - Cálculo'!$B$14</f>
        <v>0.9</v>
      </c>
      <c r="H186" s="15">
        <f t="shared" si="28"/>
        <v>14.611499999999999</v>
      </c>
      <c r="I186" s="11">
        <v>8</v>
      </c>
      <c r="J186" s="11">
        <v>1.5</v>
      </c>
      <c r="K186" s="11">
        <v>2</v>
      </c>
      <c r="L186" s="15">
        <f t="shared" si="29"/>
        <v>11.5</v>
      </c>
      <c r="M186" s="15">
        <f t="shared" si="37"/>
        <v>5</v>
      </c>
      <c r="N186" s="15">
        <f t="shared" si="30"/>
        <v>0.39223000000000002</v>
      </c>
      <c r="O186" s="15">
        <f t="shared" si="31"/>
        <v>19.219269999999998</v>
      </c>
      <c r="P186" s="15">
        <f t="shared" si="32"/>
        <v>11.5</v>
      </c>
      <c r="Q186" s="15">
        <f t="shared" si="33"/>
        <v>5</v>
      </c>
      <c r="R186" s="15">
        <f t="shared" si="34"/>
        <v>2.7192699999999981</v>
      </c>
      <c r="S186" s="15">
        <f t="shared" si="35"/>
        <v>0</v>
      </c>
      <c r="T186" s="14" t="str">
        <f t="shared" si="36"/>
        <v>Satisfactorio</v>
      </c>
      <c r="U186" s="14">
        <f t="shared" si="38"/>
        <v>0</v>
      </c>
      <c r="V186" s="14">
        <f t="shared" si="39"/>
        <v>0</v>
      </c>
    </row>
    <row r="187" spans="1:22">
      <c r="A187" s="17">
        <v>34516</v>
      </c>
      <c r="B187" s="9">
        <v>1994</v>
      </c>
      <c r="C187" s="9" t="s">
        <v>105</v>
      </c>
      <c r="D187" s="11">
        <v>59.9</v>
      </c>
      <c r="E187" s="15">
        <f>'Hoja 4 - Cálculo'!$B$12</f>
        <v>250</v>
      </c>
      <c r="F187" s="15">
        <f>'Hoja 4 - Cálculo'!$B$13</f>
        <v>0.85</v>
      </c>
      <c r="G187" s="15">
        <f>'Hoja 4 - Cálculo'!$B$14</f>
        <v>0.9</v>
      </c>
      <c r="H187" s="15">
        <f t="shared" si="28"/>
        <v>11.455875000000001</v>
      </c>
      <c r="I187" s="11">
        <v>8</v>
      </c>
      <c r="J187" s="11">
        <v>6</v>
      </c>
      <c r="K187" s="11">
        <v>2</v>
      </c>
      <c r="L187" s="15">
        <f t="shared" si="29"/>
        <v>16</v>
      </c>
      <c r="M187" s="15">
        <f t="shared" si="37"/>
        <v>5</v>
      </c>
      <c r="N187" s="15">
        <f t="shared" si="30"/>
        <v>0.32911750000000001</v>
      </c>
      <c r="O187" s="15">
        <f t="shared" si="31"/>
        <v>16.1267575</v>
      </c>
      <c r="P187" s="15">
        <f t="shared" si="32"/>
        <v>16</v>
      </c>
      <c r="Q187" s="15">
        <f t="shared" si="33"/>
        <v>0.12675750000000008</v>
      </c>
      <c r="R187" s="15">
        <f t="shared" si="34"/>
        <v>0</v>
      </c>
      <c r="S187" s="15">
        <f t="shared" si="35"/>
        <v>0</v>
      </c>
      <c r="T187" s="14" t="str">
        <f t="shared" si="36"/>
        <v>Satisfactorio</v>
      </c>
      <c r="U187" s="14">
        <f t="shared" si="38"/>
        <v>0</v>
      </c>
      <c r="V187" s="14">
        <f t="shared" si="39"/>
        <v>0</v>
      </c>
    </row>
    <row r="188" spans="1:22">
      <c r="A188" s="17">
        <v>34547</v>
      </c>
      <c r="B188" s="9">
        <v>1994</v>
      </c>
      <c r="C188" s="9" t="s">
        <v>106</v>
      </c>
      <c r="D188" s="11">
        <v>64</v>
      </c>
      <c r="E188" s="15">
        <f>'Hoja 4 - Cálculo'!$B$12</f>
        <v>250</v>
      </c>
      <c r="F188" s="15">
        <f>'Hoja 4 - Cálculo'!$B$13</f>
        <v>0.85</v>
      </c>
      <c r="G188" s="15">
        <f>'Hoja 4 - Cálculo'!$B$14</f>
        <v>0.9</v>
      </c>
      <c r="H188" s="15">
        <f t="shared" si="28"/>
        <v>12.24</v>
      </c>
      <c r="I188" s="11">
        <v>8</v>
      </c>
      <c r="J188" s="11">
        <v>6</v>
      </c>
      <c r="K188" s="11">
        <v>2</v>
      </c>
      <c r="L188" s="15">
        <f t="shared" si="29"/>
        <v>16</v>
      </c>
      <c r="M188" s="15">
        <f t="shared" si="37"/>
        <v>0.12675750000000008</v>
      </c>
      <c r="N188" s="15">
        <f t="shared" si="30"/>
        <v>0.24733515</v>
      </c>
      <c r="O188" s="15">
        <f t="shared" si="31"/>
        <v>12.119422350000001</v>
      </c>
      <c r="P188" s="15">
        <f t="shared" si="32"/>
        <v>12.119422350000001</v>
      </c>
      <c r="Q188" s="15">
        <f t="shared" si="33"/>
        <v>0</v>
      </c>
      <c r="R188" s="15">
        <f t="shared" si="34"/>
        <v>0</v>
      </c>
      <c r="S188" s="15">
        <f t="shared" si="35"/>
        <v>3.8805776499999993</v>
      </c>
      <c r="T188" s="14" t="str">
        <f t="shared" si="36"/>
        <v>Falla</v>
      </c>
      <c r="U188" s="14">
        <f t="shared" si="38"/>
        <v>0</v>
      </c>
      <c r="V188" s="14">
        <f t="shared" si="39"/>
        <v>1</v>
      </c>
    </row>
    <row r="189" spans="1:22">
      <c r="A189" s="17">
        <v>34578</v>
      </c>
      <c r="B189" s="9">
        <v>1994</v>
      </c>
      <c r="C189" s="9" t="s">
        <v>107</v>
      </c>
      <c r="D189" s="11">
        <v>107.4</v>
      </c>
      <c r="E189" s="15">
        <f>'Hoja 4 - Cálculo'!$B$12</f>
        <v>250</v>
      </c>
      <c r="F189" s="15">
        <f>'Hoja 4 - Cálculo'!$B$13</f>
        <v>0.85</v>
      </c>
      <c r="G189" s="15">
        <f>'Hoja 4 - Cálculo'!$B$14</f>
        <v>0.9</v>
      </c>
      <c r="H189" s="15">
        <f t="shared" si="28"/>
        <v>20.54025</v>
      </c>
      <c r="I189" s="11">
        <v>8</v>
      </c>
      <c r="J189" s="11">
        <v>1.5</v>
      </c>
      <c r="K189" s="11">
        <v>2</v>
      </c>
      <c r="L189" s="15">
        <f t="shared" si="29"/>
        <v>11.5</v>
      </c>
      <c r="M189" s="15">
        <f t="shared" si="37"/>
        <v>0</v>
      </c>
      <c r="N189" s="15">
        <f t="shared" si="30"/>
        <v>0.41080500000000003</v>
      </c>
      <c r="O189" s="15">
        <f t="shared" si="31"/>
        <v>20.129445</v>
      </c>
      <c r="P189" s="15">
        <f t="shared" si="32"/>
        <v>11.5</v>
      </c>
      <c r="Q189" s="15">
        <f t="shared" si="33"/>
        <v>5</v>
      </c>
      <c r="R189" s="15">
        <f t="shared" si="34"/>
        <v>3.6294450000000005</v>
      </c>
      <c r="S189" s="15">
        <f t="shared" si="35"/>
        <v>0</v>
      </c>
      <c r="T189" s="14" t="str">
        <f t="shared" si="36"/>
        <v>Satisfactorio</v>
      </c>
      <c r="U189" s="14">
        <f t="shared" si="38"/>
        <v>1</v>
      </c>
      <c r="V189" s="14">
        <f t="shared" si="39"/>
        <v>0</v>
      </c>
    </row>
    <row r="190" spans="1:22">
      <c r="A190" s="17">
        <v>34608</v>
      </c>
      <c r="B190" s="9">
        <v>1994</v>
      </c>
      <c r="C190" s="9" t="s">
        <v>108</v>
      </c>
      <c r="D190" s="11">
        <v>149.5</v>
      </c>
      <c r="E190" s="15">
        <f>'Hoja 4 - Cálculo'!$B$12</f>
        <v>250</v>
      </c>
      <c r="F190" s="15">
        <f>'Hoja 4 - Cálculo'!$B$13</f>
        <v>0.85</v>
      </c>
      <c r="G190" s="15">
        <f>'Hoja 4 - Cálculo'!$B$14</f>
        <v>0.9</v>
      </c>
      <c r="H190" s="15">
        <f t="shared" si="28"/>
        <v>28.591875000000002</v>
      </c>
      <c r="I190" s="11">
        <v>8</v>
      </c>
      <c r="J190" s="11">
        <v>1.5</v>
      </c>
      <c r="K190" s="11">
        <v>2</v>
      </c>
      <c r="L190" s="15">
        <f t="shared" si="29"/>
        <v>11.5</v>
      </c>
      <c r="M190" s="15">
        <f t="shared" si="37"/>
        <v>5</v>
      </c>
      <c r="N190" s="15">
        <f t="shared" si="30"/>
        <v>0.67183750000000009</v>
      </c>
      <c r="O190" s="15">
        <f t="shared" si="31"/>
        <v>32.920037499999999</v>
      </c>
      <c r="P190" s="15">
        <f t="shared" si="32"/>
        <v>11.5</v>
      </c>
      <c r="Q190" s="15">
        <f t="shared" si="33"/>
        <v>5</v>
      </c>
      <c r="R190" s="15">
        <f t="shared" si="34"/>
        <v>16.420037499999999</v>
      </c>
      <c r="S190" s="15">
        <f t="shared" si="35"/>
        <v>0</v>
      </c>
      <c r="T190" s="14" t="str">
        <f t="shared" si="36"/>
        <v>Satisfactorio</v>
      </c>
      <c r="U190" s="14">
        <f t="shared" si="38"/>
        <v>0</v>
      </c>
      <c r="V190" s="14">
        <f t="shared" si="39"/>
        <v>0</v>
      </c>
    </row>
    <row r="191" spans="1:22">
      <c r="A191" s="17">
        <v>34639</v>
      </c>
      <c r="B191" s="9">
        <v>1994</v>
      </c>
      <c r="C191" s="9" t="s">
        <v>109</v>
      </c>
      <c r="D191" s="11">
        <v>125.4</v>
      </c>
      <c r="E191" s="15">
        <f>'Hoja 4 - Cálculo'!$B$12</f>
        <v>250</v>
      </c>
      <c r="F191" s="15">
        <f>'Hoja 4 - Cálculo'!$B$13</f>
        <v>0.85</v>
      </c>
      <c r="G191" s="15">
        <f>'Hoja 4 - Cálculo'!$B$14</f>
        <v>0.9</v>
      </c>
      <c r="H191" s="15">
        <f t="shared" si="28"/>
        <v>23.982749999999999</v>
      </c>
      <c r="I191" s="11">
        <v>8</v>
      </c>
      <c r="J191" s="11">
        <v>1.5</v>
      </c>
      <c r="K191" s="11">
        <v>2</v>
      </c>
      <c r="L191" s="15">
        <f t="shared" si="29"/>
        <v>11.5</v>
      </c>
      <c r="M191" s="15">
        <f t="shared" si="37"/>
        <v>5</v>
      </c>
      <c r="N191" s="15">
        <f t="shared" si="30"/>
        <v>0.57965500000000003</v>
      </c>
      <c r="O191" s="15">
        <f t="shared" si="31"/>
        <v>28.403095</v>
      </c>
      <c r="P191" s="15">
        <f t="shared" si="32"/>
        <v>11.5</v>
      </c>
      <c r="Q191" s="15">
        <f t="shared" si="33"/>
        <v>5</v>
      </c>
      <c r="R191" s="15">
        <f t="shared" si="34"/>
        <v>11.903095</v>
      </c>
      <c r="S191" s="15">
        <f t="shared" si="35"/>
        <v>0</v>
      </c>
      <c r="T191" s="14" t="str">
        <f t="shared" si="36"/>
        <v>Satisfactorio</v>
      </c>
      <c r="U191" s="14">
        <f t="shared" si="38"/>
        <v>0</v>
      </c>
      <c r="V191" s="14">
        <f t="shared" si="39"/>
        <v>0</v>
      </c>
    </row>
    <row r="192" spans="1:22">
      <c r="A192" s="17">
        <v>34669</v>
      </c>
      <c r="B192" s="9">
        <v>1994</v>
      </c>
      <c r="C192" s="9" t="s">
        <v>110</v>
      </c>
      <c r="D192" s="11">
        <v>70.7</v>
      </c>
      <c r="E192" s="15">
        <f>'Hoja 4 - Cálculo'!$B$12</f>
        <v>250</v>
      </c>
      <c r="F192" s="15">
        <f>'Hoja 4 - Cálculo'!$B$13</f>
        <v>0.85</v>
      </c>
      <c r="G192" s="15">
        <f>'Hoja 4 - Cálculo'!$B$14</f>
        <v>0.9</v>
      </c>
      <c r="H192" s="15">
        <f t="shared" si="28"/>
        <v>13.521375000000001</v>
      </c>
      <c r="I192" s="11">
        <v>8</v>
      </c>
      <c r="J192" s="11">
        <v>6</v>
      </c>
      <c r="K192" s="11">
        <v>2</v>
      </c>
      <c r="L192" s="15">
        <f t="shared" si="29"/>
        <v>16</v>
      </c>
      <c r="M192" s="15">
        <f t="shared" si="37"/>
        <v>5</v>
      </c>
      <c r="N192" s="15">
        <f t="shared" si="30"/>
        <v>0.37042749999999997</v>
      </c>
      <c r="O192" s="15">
        <f t="shared" si="31"/>
        <v>18.150947499999997</v>
      </c>
      <c r="P192" s="15">
        <f t="shared" si="32"/>
        <v>16</v>
      </c>
      <c r="Q192" s="15">
        <f t="shared" si="33"/>
        <v>2.1509474999999973</v>
      </c>
      <c r="R192" s="15">
        <f t="shared" si="34"/>
        <v>0</v>
      </c>
      <c r="S192" s="15">
        <f t="shared" si="35"/>
        <v>0</v>
      </c>
      <c r="T192" s="14" t="str">
        <f t="shared" si="36"/>
        <v>Satisfactorio</v>
      </c>
      <c r="U192" s="14">
        <f t="shared" si="38"/>
        <v>0</v>
      </c>
      <c r="V192" s="14">
        <f t="shared" si="39"/>
        <v>0</v>
      </c>
    </row>
    <row r="193" spans="1:22">
      <c r="A193" s="17">
        <v>34700</v>
      </c>
      <c r="B193" s="9">
        <v>1995</v>
      </c>
      <c r="C193" s="9" t="s">
        <v>99</v>
      </c>
      <c r="D193" s="11">
        <v>61.8</v>
      </c>
      <c r="E193" s="15">
        <f>'Hoja 4 - Cálculo'!$B$12</f>
        <v>250</v>
      </c>
      <c r="F193" s="15">
        <f>'Hoja 4 - Cálculo'!$B$13</f>
        <v>0.85</v>
      </c>
      <c r="G193" s="15">
        <f>'Hoja 4 - Cálculo'!$B$14</f>
        <v>0.9</v>
      </c>
      <c r="H193" s="15">
        <f t="shared" si="28"/>
        <v>11.81925</v>
      </c>
      <c r="I193" s="11">
        <v>8</v>
      </c>
      <c r="J193" s="11">
        <v>6</v>
      </c>
      <c r="K193" s="11">
        <v>2</v>
      </c>
      <c r="L193" s="15">
        <f t="shared" si="29"/>
        <v>16</v>
      </c>
      <c r="M193" s="15">
        <f t="shared" si="37"/>
        <v>2.1509474999999973</v>
      </c>
      <c r="N193" s="15">
        <f t="shared" si="30"/>
        <v>0.27940394999999996</v>
      </c>
      <c r="O193" s="15">
        <f t="shared" si="31"/>
        <v>13.690793549999997</v>
      </c>
      <c r="P193" s="15">
        <f t="shared" si="32"/>
        <v>13.690793549999997</v>
      </c>
      <c r="Q193" s="15">
        <f t="shared" si="33"/>
        <v>0</v>
      </c>
      <c r="R193" s="15">
        <f t="shared" si="34"/>
        <v>0</v>
      </c>
      <c r="S193" s="15">
        <f t="shared" si="35"/>
        <v>2.3092064500000031</v>
      </c>
      <c r="T193" s="14" t="str">
        <f t="shared" si="36"/>
        <v>Falla</v>
      </c>
      <c r="U193" s="14">
        <f t="shared" si="38"/>
        <v>0</v>
      </c>
      <c r="V193" s="14">
        <f t="shared" si="39"/>
        <v>1</v>
      </c>
    </row>
    <row r="194" spans="1:22">
      <c r="A194" s="17">
        <v>34731</v>
      </c>
      <c r="B194" s="9">
        <v>1995</v>
      </c>
      <c r="C194" s="9" t="s">
        <v>100</v>
      </c>
      <c r="D194" s="11">
        <v>69</v>
      </c>
      <c r="E194" s="15">
        <f>'Hoja 4 - Cálculo'!$B$12</f>
        <v>250</v>
      </c>
      <c r="F194" s="15">
        <f>'Hoja 4 - Cálculo'!$B$13</f>
        <v>0.85</v>
      </c>
      <c r="G194" s="15">
        <f>'Hoja 4 - Cálculo'!$B$14</f>
        <v>0.9</v>
      </c>
      <c r="H194" s="15">
        <f t="shared" si="28"/>
        <v>13.196249999999999</v>
      </c>
      <c r="I194" s="11">
        <v>8</v>
      </c>
      <c r="J194" s="11">
        <v>6</v>
      </c>
      <c r="K194" s="11">
        <v>2</v>
      </c>
      <c r="L194" s="15">
        <f t="shared" si="29"/>
        <v>16</v>
      </c>
      <c r="M194" s="15">
        <f t="shared" si="37"/>
        <v>0</v>
      </c>
      <c r="N194" s="15">
        <f t="shared" si="30"/>
        <v>0.26392499999999997</v>
      </c>
      <c r="O194" s="15">
        <f t="shared" si="31"/>
        <v>12.932324999999999</v>
      </c>
      <c r="P194" s="15">
        <f t="shared" si="32"/>
        <v>12.932324999999999</v>
      </c>
      <c r="Q194" s="15">
        <f t="shared" si="33"/>
        <v>0</v>
      </c>
      <c r="R194" s="15">
        <f t="shared" si="34"/>
        <v>0</v>
      </c>
      <c r="S194" s="15">
        <f t="shared" si="35"/>
        <v>3.0676750000000013</v>
      </c>
      <c r="T194" s="14" t="str">
        <f t="shared" si="36"/>
        <v>Falla</v>
      </c>
      <c r="U194" s="14">
        <f t="shared" si="38"/>
        <v>0</v>
      </c>
      <c r="V194" s="14">
        <f t="shared" si="39"/>
        <v>0</v>
      </c>
    </row>
    <row r="195" spans="1:22">
      <c r="A195" s="17">
        <v>34759</v>
      </c>
      <c r="B195" s="9">
        <v>1995</v>
      </c>
      <c r="C195" s="9" t="s">
        <v>101</v>
      </c>
      <c r="D195" s="11">
        <v>99.3</v>
      </c>
      <c r="E195" s="15">
        <f>'Hoja 4 - Cálculo'!$B$12</f>
        <v>250</v>
      </c>
      <c r="F195" s="15">
        <f>'Hoja 4 - Cálculo'!$B$13</f>
        <v>0.85</v>
      </c>
      <c r="G195" s="15">
        <f>'Hoja 4 - Cálculo'!$B$14</f>
        <v>0.9</v>
      </c>
      <c r="H195" s="15">
        <f t="shared" si="28"/>
        <v>18.991125</v>
      </c>
      <c r="I195" s="11">
        <v>8</v>
      </c>
      <c r="J195" s="11">
        <v>6</v>
      </c>
      <c r="K195" s="11">
        <v>2</v>
      </c>
      <c r="L195" s="15">
        <f t="shared" si="29"/>
        <v>16</v>
      </c>
      <c r="M195" s="15">
        <f t="shared" si="37"/>
        <v>0</v>
      </c>
      <c r="N195" s="15">
        <f t="shared" si="30"/>
        <v>0.37982250000000001</v>
      </c>
      <c r="O195" s="15">
        <f t="shared" si="31"/>
        <v>18.611302500000001</v>
      </c>
      <c r="P195" s="15">
        <f t="shared" si="32"/>
        <v>16</v>
      </c>
      <c r="Q195" s="15">
        <f t="shared" si="33"/>
        <v>2.6113025000000007</v>
      </c>
      <c r="R195" s="15">
        <f t="shared" si="34"/>
        <v>0</v>
      </c>
      <c r="S195" s="15">
        <f t="shared" si="35"/>
        <v>0</v>
      </c>
      <c r="T195" s="14" t="str">
        <f t="shared" si="36"/>
        <v>Satisfactorio</v>
      </c>
      <c r="U195" s="14">
        <f t="shared" si="38"/>
        <v>1</v>
      </c>
      <c r="V195" s="14">
        <f t="shared" si="39"/>
        <v>0</v>
      </c>
    </row>
    <row r="196" spans="1:22">
      <c r="A196" s="17">
        <v>34790</v>
      </c>
      <c r="B196" s="9">
        <v>1995</v>
      </c>
      <c r="C196" s="9" t="s">
        <v>102</v>
      </c>
      <c r="D196" s="11">
        <v>140.6</v>
      </c>
      <c r="E196" s="15">
        <f>'Hoja 4 - Cálculo'!$B$12</f>
        <v>250</v>
      </c>
      <c r="F196" s="15">
        <f>'Hoja 4 - Cálculo'!$B$13</f>
        <v>0.85</v>
      </c>
      <c r="G196" s="15">
        <f>'Hoja 4 - Cálculo'!$B$14</f>
        <v>0.9</v>
      </c>
      <c r="H196" s="15">
        <f t="shared" si="28"/>
        <v>26.889749999999999</v>
      </c>
      <c r="I196" s="11">
        <v>8</v>
      </c>
      <c r="J196" s="11">
        <v>1.5</v>
      </c>
      <c r="K196" s="11">
        <v>2</v>
      </c>
      <c r="L196" s="15">
        <f t="shared" si="29"/>
        <v>11.5</v>
      </c>
      <c r="M196" s="15">
        <f t="shared" si="37"/>
        <v>2.6113025000000007</v>
      </c>
      <c r="N196" s="15">
        <f t="shared" si="30"/>
        <v>0.59002105000000005</v>
      </c>
      <c r="O196" s="15">
        <f t="shared" si="31"/>
        <v>28.911031449999999</v>
      </c>
      <c r="P196" s="15">
        <f t="shared" si="32"/>
        <v>11.5</v>
      </c>
      <c r="Q196" s="15">
        <f t="shared" si="33"/>
        <v>5</v>
      </c>
      <c r="R196" s="15">
        <f t="shared" si="34"/>
        <v>12.411031449999999</v>
      </c>
      <c r="S196" s="15">
        <f t="shared" si="35"/>
        <v>0</v>
      </c>
      <c r="T196" s="14" t="str">
        <f t="shared" si="36"/>
        <v>Satisfactorio</v>
      </c>
      <c r="U196" s="14">
        <f t="shared" si="38"/>
        <v>0</v>
      </c>
      <c r="V196" s="14">
        <f t="shared" si="39"/>
        <v>0</v>
      </c>
    </row>
    <row r="197" spans="1:22">
      <c r="A197" s="17">
        <v>34820</v>
      </c>
      <c r="B197" s="9">
        <v>1995</v>
      </c>
      <c r="C197" s="9" t="s">
        <v>103</v>
      </c>
      <c r="D197" s="11">
        <v>130.5</v>
      </c>
      <c r="E197" s="15">
        <f>'Hoja 4 - Cálculo'!$B$12</f>
        <v>250</v>
      </c>
      <c r="F197" s="15">
        <f>'Hoja 4 - Cálculo'!$B$13</f>
        <v>0.85</v>
      </c>
      <c r="G197" s="15">
        <f>'Hoja 4 - Cálculo'!$B$14</f>
        <v>0.9</v>
      </c>
      <c r="H197" s="15">
        <f t="shared" si="28"/>
        <v>24.958124999999999</v>
      </c>
      <c r="I197" s="11">
        <v>8</v>
      </c>
      <c r="J197" s="11">
        <v>1.5</v>
      </c>
      <c r="K197" s="11">
        <v>2</v>
      </c>
      <c r="L197" s="15">
        <f t="shared" si="29"/>
        <v>11.5</v>
      </c>
      <c r="M197" s="15">
        <f t="shared" si="37"/>
        <v>5</v>
      </c>
      <c r="N197" s="15">
        <f t="shared" si="30"/>
        <v>0.59916250000000004</v>
      </c>
      <c r="O197" s="15">
        <f t="shared" si="31"/>
        <v>29.358962500000001</v>
      </c>
      <c r="P197" s="15">
        <f t="shared" si="32"/>
        <v>11.5</v>
      </c>
      <c r="Q197" s="15">
        <f t="shared" si="33"/>
        <v>5</v>
      </c>
      <c r="R197" s="15">
        <f t="shared" si="34"/>
        <v>12.858962500000001</v>
      </c>
      <c r="S197" s="15">
        <f t="shared" si="35"/>
        <v>0</v>
      </c>
      <c r="T197" s="14" t="str">
        <f t="shared" si="36"/>
        <v>Satisfactorio</v>
      </c>
      <c r="U197" s="14">
        <f t="shared" si="38"/>
        <v>0</v>
      </c>
      <c r="V197" s="14">
        <f t="shared" si="39"/>
        <v>0</v>
      </c>
    </row>
    <row r="198" spans="1:22">
      <c r="A198" s="17">
        <v>34851</v>
      </c>
      <c r="B198" s="9">
        <v>1995</v>
      </c>
      <c r="C198" s="9" t="s">
        <v>104</v>
      </c>
      <c r="D198" s="11">
        <v>82</v>
      </c>
      <c r="E198" s="15">
        <f>'Hoja 4 - Cálculo'!$B$12</f>
        <v>250</v>
      </c>
      <c r="F198" s="15">
        <f>'Hoja 4 - Cálculo'!$B$13</f>
        <v>0.85</v>
      </c>
      <c r="G198" s="15">
        <f>'Hoja 4 - Cálculo'!$B$14</f>
        <v>0.9</v>
      </c>
      <c r="H198" s="15">
        <f t="shared" si="28"/>
        <v>15.682499999999999</v>
      </c>
      <c r="I198" s="11">
        <v>8</v>
      </c>
      <c r="J198" s="11">
        <v>1.5</v>
      </c>
      <c r="K198" s="11">
        <v>2</v>
      </c>
      <c r="L198" s="15">
        <f t="shared" si="29"/>
        <v>11.5</v>
      </c>
      <c r="M198" s="15">
        <f t="shared" si="37"/>
        <v>5</v>
      </c>
      <c r="N198" s="15">
        <f t="shared" si="30"/>
        <v>0.41364999999999996</v>
      </c>
      <c r="O198" s="15">
        <f t="shared" si="31"/>
        <v>20.268849999999997</v>
      </c>
      <c r="P198" s="15">
        <f t="shared" si="32"/>
        <v>11.5</v>
      </c>
      <c r="Q198" s="15">
        <f t="shared" si="33"/>
        <v>5</v>
      </c>
      <c r="R198" s="15">
        <f t="shared" si="34"/>
        <v>3.7688499999999969</v>
      </c>
      <c r="S198" s="15">
        <f t="shared" si="35"/>
        <v>0</v>
      </c>
      <c r="T198" s="14" t="str">
        <f t="shared" si="36"/>
        <v>Satisfactorio</v>
      </c>
      <c r="U198" s="14">
        <f t="shared" si="38"/>
        <v>0</v>
      </c>
      <c r="V198" s="14">
        <f t="shared" si="39"/>
        <v>0</v>
      </c>
    </row>
    <row r="199" spans="1:22">
      <c r="A199" s="17">
        <v>34881</v>
      </c>
      <c r="B199" s="9">
        <v>1995</v>
      </c>
      <c r="C199" s="9" t="s">
        <v>105</v>
      </c>
      <c r="D199" s="11">
        <v>69.099999999999994</v>
      </c>
      <c r="E199" s="15">
        <f>'Hoja 4 - Cálculo'!$B$12</f>
        <v>250</v>
      </c>
      <c r="F199" s="15">
        <f>'Hoja 4 - Cálculo'!$B$13</f>
        <v>0.85</v>
      </c>
      <c r="G199" s="15">
        <f>'Hoja 4 - Cálculo'!$B$14</f>
        <v>0.9</v>
      </c>
      <c r="H199" s="15">
        <f t="shared" si="28"/>
        <v>13.215375</v>
      </c>
      <c r="I199" s="11">
        <v>8</v>
      </c>
      <c r="J199" s="11">
        <v>6</v>
      </c>
      <c r="K199" s="11">
        <v>2</v>
      </c>
      <c r="L199" s="15">
        <f t="shared" si="29"/>
        <v>16</v>
      </c>
      <c r="M199" s="15">
        <f t="shared" si="37"/>
        <v>5</v>
      </c>
      <c r="N199" s="15">
        <f t="shared" si="30"/>
        <v>0.36430750000000006</v>
      </c>
      <c r="O199" s="15">
        <f t="shared" si="31"/>
        <v>17.851067500000003</v>
      </c>
      <c r="P199" s="15">
        <f t="shared" si="32"/>
        <v>16</v>
      </c>
      <c r="Q199" s="15">
        <f t="shared" si="33"/>
        <v>1.8510675000000028</v>
      </c>
      <c r="R199" s="15">
        <f t="shared" si="34"/>
        <v>0</v>
      </c>
      <c r="S199" s="15">
        <f t="shared" si="35"/>
        <v>0</v>
      </c>
      <c r="T199" s="14" t="str">
        <f t="shared" si="36"/>
        <v>Satisfactorio</v>
      </c>
      <c r="U199" s="14">
        <f t="shared" si="38"/>
        <v>0</v>
      </c>
      <c r="V199" s="14">
        <f t="shared" si="39"/>
        <v>0</v>
      </c>
    </row>
    <row r="200" spans="1:22">
      <c r="A200" s="17">
        <v>34912</v>
      </c>
      <c r="B200" s="9">
        <v>1995</v>
      </c>
      <c r="C200" s="9" t="s">
        <v>106</v>
      </c>
      <c r="D200" s="11">
        <v>74.2</v>
      </c>
      <c r="E200" s="15">
        <f>'Hoja 4 - Cálculo'!$B$12</f>
        <v>250</v>
      </c>
      <c r="F200" s="15">
        <f>'Hoja 4 - Cálculo'!$B$13</f>
        <v>0.85</v>
      </c>
      <c r="G200" s="15">
        <f>'Hoja 4 - Cálculo'!$B$14</f>
        <v>0.9</v>
      </c>
      <c r="H200" s="15">
        <f t="shared" si="28"/>
        <v>14.19075</v>
      </c>
      <c r="I200" s="11">
        <v>8</v>
      </c>
      <c r="J200" s="11">
        <v>6</v>
      </c>
      <c r="K200" s="11">
        <v>2</v>
      </c>
      <c r="L200" s="15">
        <f t="shared" si="29"/>
        <v>16</v>
      </c>
      <c r="M200" s="15">
        <f t="shared" si="37"/>
        <v>1.8510675000000028</v>
      </c>
      <c r="N200" s="15">
        <f t="shared" si="30"/>
        <v>0.32083634999999999</v>
      </c>
      <c r="O200" s="15">
        <f t="shared" si="31"/>
        <v>15.72098115</v>
      </c>
      <c r="P200" s="15">
        <f t="shared" si="32"/>
        <v>15.72098115</v>
      </c>
      <c r="Q200" s="15">
        <f t="shared" si="33"/>
        <v>0</v>
      </c>
      <c r="R200" s="15">
        <f t="shared" si="34"/>
        <v>0</v>
      </c>
      <c r="S200" s="15">
        <f t="shared" si="35"/>
        <v>0.27901884999999993</v>
      </c>
      <c r="T200" s="14" t="str">
        <f t="shared" si="36"/>
        <v>Falla</v>
      </c>
      <c r="U200" s="14">
        <f t="shared" si="38"/>
        <v>0</v>
      </c>
      <c r="V200" s="14">
        <f t="shared" si="39"/>
        <v>1</v>
      </c>
    </row>
    <row r="201" spans="1:22">
      <c r="A201" s="17">
        <v>34943</v>
      </c>
      <c r="B201" s="9">
        <v>1995</v>
      </c>
      <c r="C201" s="9" t="s">
        <v>107</v>
      </c>
      <c r="D201" s="11">
        <v>116.3</v>
      </c>
      <c r="E201" s="15">
        <f>'Hoja 4 - Cálculo'!$B$12</f>
        <v>250</v>
      </c>
      <c r="F201" s="15">
        <f>'Hoja 4 - Cálculo'!$B$13</f>
        <v>0.85</v>
      </c>
      <c r="G201" s="15">
        <f>'Hoja 4 - Cálculo'!$B$14</f>
        <v>0.9</v>
      </c>
      <c r="H201" s="15">
        <f t="shared" si="28"/>
        <v>22.242374999999999</v>
      </c>
      <c r="I201" s="11">
        <v>8</v>
      </c>
      <c r="J201" s="11">
        <v>1.5</v>
      </c>
      <c r="K201" s="11">
        <v>2</v>
      </c>
      <c r="L201" s="15">
        <f t="shared" si="29"/>
        <v>11.5</v>
      </c>
      <c r="M201" s="15">
        <f t="shared" si="37"/>
        <v>0</v>
      </c>
      <c r="N201" s="15">
        <f t="shared" si="30"/>
        <v>0.44484750000000001</v>
      </c>
      <c r="O201" s="15">
        <f t="shared" si="31"/>
        <v>21.797527499999998</v>
      </c>
      <c r="P201" s="15">
        <f t="shared" si="32"/>
        <v>11.5</v>
      </c>
      <c r="Q201" s="15">
        <f t="shared" si="33"/>
        <v>5</v>
      </c>
      <c r="R201" s="15">
        <f t="shared" si="34"/>
        <v>5.2975274999999975</v>
      </c>
      <c r="S201" s="15">
        <f t="shared" si="35"/>
        <v>0</v>
      </c>
      <c r="T201" s="14" t="str">
        <f t="shared" si="36"/>
        <v>Satisfactorio</v>
      </c>
      <c r="U201" s="14">
        <f t="shared" si="38"/>
        <v>1</v>
      </c>
      <c r="V201" s="14">
        <f t="shared" si="39"/>
        <v>0</v>
      </c>
    </row>
    <row r="202" spans="1:22">
      <c r="A202" s="17">
        <v>34973</v>
      </c>
      <c r="B202" s="9">
        <v>1995</v>
      </c>
      <c r="C202" s="9" t="s">
        <v>108</v>
      </c>
      <c r="D202" s="11">
        <v>149.9</v>
      </c>
      <c r="E202" s="15">
        <f>'Hoja 4 - Cálculo'!$B$12</f>
        <v>250</v>
      </c>
      <c r="F202" s="15">
        <f>'Hoja 4 - Cálculo'!$B$13</f>
        <v>0.85</v>
      </c>
      <c r="G202" s="15">
        <f>'Hoja 4 - Cálculo'!$B$14</f>
        <v>0.9</v>
      </c>
      <c r="H202" s="15">
        <f t="shared" si="28"/>
        <v>28.668375000000001</v>
      </c>
      <c r="I202" s="11">
        <v>8</v>
      </c>
      <c r="J202" s="11">
        <v>1.5</v>
      </c>
      <c r="K202" s="11">
        <v>2</v>
      </c>
      <c r="L202" s="15">
        <f t="shared" si="29"/>
        <v>11.5</v>
      </c>
      <c r="M202" s="15">
        <f t="shared" si="37"/>
        <v>5</v>
      </c>
      <c r="N202" s="15">
        <f t="shared" si="30"/>
        <v>0.67336750000000001</v>
      </c>
      <c r="O202" s="15">
        <f t="shared" si="31"/>
        <v>32.9950075</v>
      </c>
      <c r="P202" s="15">
        <f t="shared" si="32"/>
        <v>11.5</v>
      </c>
      <c r="Q202" s="15">
        <f t="shared" si="33"/>
        <v>5</v>
      </c>
      <c r="R202" s="15">
        <f t="shared" si="34"/>
        <v>16.4950075</v>
      </c>
      <c r="S202" s="15">
        <f t="shared" si="35"/>
        <v>0</v>
      </c>
      <c r="T202" s="14" t="str">
        <f t="shared" si="36"/>
        <v>Satisfactorio</v>
      </c>
      <c r="U202" s="14">
        <f t="shared" si="38"/>
        <v>0</v>
      </c>
      <c r="V202" s="14">
        <f t="shared" si="39"/>
        <v>0</v>
      </c>
    </row>
    <row r="203" spans="1:22">
      <c r="A203" s="17">
        <v>35004</v>
      </c>
      <c r="B203" s="9">
        <v>1995</v>
      </c>
      <c r="C203" s="9" t="s">
        <v>109</v>
      </c>
      <c r="D203" s="11">
        <v>122.8</v>
      </c>
      <c r="E203" s="15">
        <f>'Hoja 4 - Cálculo'!$B$12</f>
        <v>250</v>
      </c>
      <c r="F203" s="15">
        <f>'Hoja 4 - Cálculo'!$B$13</f>
        <v>0.85</v>
      </c>
      <c r="G203" s="15">
        <f>'Hoja 4 - Cálculo'!$B$14</f>
        <v>0.9</v>
      </c>
      <c r="H203" s="15">
        <f t="shared" si="28"/>
        <v>23.485499999999998</v>
      </c>
      <c r="I203" s="11">
        <v>8</v>
      </c>
      <c r="J203" s="11">
        <v>1.5</v>
      </c>
      <c r="K203" s="11">
        <v>2</v>
      </c>
      <c r="L203" s="15">
        <f t="shared" si="29"/>
        <v>11.5</v>
      </c>
      <c r="M203" s="15">
        <f t="shared" si="37"/>
        <v>5</v>
      </c>
      <c r="N203" s="15">
        <f t="shared" si="30"/>
        <v>0.56970999999999994</v>
      </c>
      <c r="O203" s="15">
        <f t="shared" si="31"/>
        <v>27.915789999999998</v>
      </c>
      <c r="P203" s="15">
        <f t="shared" si="32"/>
        <v>11.5</v>
      </c>
      <c r="Q203" s="15">
        <f t="shared" si="33"/>
        <v>5</v>
      </c>
      <c r="R203" s="15">
        <f t="shared" si="34"/>
        <v>11.415789999999998</v>
      </c>
      <c r="S203" s="15">
        <f t="shared" si="35"/>
        <v>0</v>
      </c>
      <c r="T203" s="14" t="str">
        <f t="shared" si="36"/>
        <v>Satisfactorio</v>
      </c>
      <c r="U203" s="14">
        <f t="shared" si="38"/>
        <v>0</v>
      </c>
      <c r="V203" s="14">
        <f t="shared" si="39"/>
        <v>0</v>
      </c>
    </row>
    <row r="204" spans="1:22">
      <c r="A204" s="17">
        <v>35034</v>
      </c>
      <c r="B204" s="9">
        <v>1995</v>
      </c>
      <c r="C204" s="9" t="s">
        <v>110</v>
      </c>
      <c r="D204" s="11">
        <v>72.099999999999994</v>
      </c>
      <c r="E204" s="15">
        <f>'Hoja 4 - Cálculo'!$B$12</f>
        <v>250</v>
      </c>
      <c r="F204" s="15">
        <f>'Hoja 4 - Cálculo'!$B$13</f>
        <v>0.85</v>
      </c>
      <c r="G204" s="15">
        <f>'Hoja 4 - Cálculo'!$B$14</f>
        <v>0.9</v>
      </c>
      <c r="H204" s="15">
        <f t="shared" si="28"/>
        <v>13.789125</v>
      </c>
      <c r="I204" s="11">
        <v>8</v>
      </c>
      <c r="J204" s="11">
        <v>6</v>
      </c>
      <c r="K204" s="11">
        <v>2</v>
      </c>
      <c r="L204" s="15">
        <f t="shared" si="29"/>
        <v>16</v>
      </c>
      <c r="M204" s="15">
        <f t="shared" si="37"/>
        <v>5</v>
      </c>
      <c r="N204" s="15">
        <f t="shared" si="30"/>
        <v>0.37578249999999996</v>
      </c>
      <c r="O204" s="15">
        <f t="shared" si="31"/>
        <v>18.413342499999999</v>
      </c>
      <c r="P204" s="15">
        <f t="shared" si="32"/>
        <v>16</v>
      </c>
      <c r="Q204" s="15">
        <f t="shared" si="33"/>
        <v>2.4133424999999988</v>
      </c>
      <c r="R204" s="15">
        <f t="shared" si="34"/>
        <v>0</v>
      </c>
      <c r="S204" s="15">
        <f t="shared" si="35"/>
        <v>0</v>
      </c>
      <c r="T204" s="14" t="str">
        <f t="shared" si="36"/>
        <v>Satisfactorio</v>
      </c>
      <c r="U204" s="14">
        <f t="shared" si="38"/>
        <v>0</v>
      </c>
      <c r="V204" s="14">
        <f t="shared" si="39"/>
        <v>0</v>
      </c>
    </row>
    <row r="205" spans="1:22">
      <c r="A205" s="17">
        <v>35065</v>
      </c>
      <c r="B205" s="9">
        <v>1996</v>
      </c>
      <c r="C205" s="9" t="s">
        <v>99</v>
      </c>
      <c r="D205" s="11">
        <v>72.3</v>
      </c>
      <c r="E205" s="15">
        <f>'Hoja 4 - Cálculo'!$B$12</f>
        <v>250</v>
      </c>
      <c r="F205" s="15">
        <f>'Hoja 4 - Cálculo'!$B$13</f>
        <v>0.85</v>
      </c>
      <c r="G205" s="15">
        <f>'Hoja 4 - Cálculo'!$B$14</f>
        <v>0.9</v>
      </c>
      <c r="H205" s="15">
        <f t="shared" si="28"/>
        <v>13.827375</v>
      </c>
      <c r="I205" s="11">
        <v>8</v>
      </c>
      <c r="J205" s="11">
        <v>6</v>
      </c>
      <c r="K205" s="11">
        <v>2</v>
      </c>
      <c r="L205" s="15">
        <f t="shared" si="29"/>
        <v>16</v>
      </c>
      <c r="M205" s="15">
        <f t="shared" si="37"/>
        <v>2.4133424999999988</v>
      </c>
      <c r="N205" s="15">
        <f t="shared" si="30"/>
        <v>0.32481434999999997</v>
      </c>
      <c r="O205" s="15">
        <f t="shared" si="31"/>
        <v>15.915903149999998</v>
      </c>
      <c r="P205" s="15">
        <f t="shared" si="32"/>
        <v>15.915903149999998</v>
      </c>
      <c r="Q205" s="15">
        <f t="shared" si="33"/>
        <v>0</v>
      </c>
      <c r="R205" s="15">
        <f t="shared" si="34"/>
        <v>0</v>
      </c>
      <c r="S205" s="15">
        <f t="shared" si="35"/>
        <v>8.4096850000001666E-2</v>
      </c>
      <c r="T205" s="14" t="str">
        <f t="shared" si="36"/>
        <v>Falla</v>
      </c>
      <c r="U205" s="14">
        <f t="shared" si="38"/>
        <v>0</v>
      </c>
      <c r="V205" s="14">
        <f t="shared" si="39"/>
        <v>1</v>
      </c>
    </row>
    <row r="206" spans="1:22">
      <c r="A206" s="17">
        <v>35096</v>
      </c>
      <c r="B206" s="9">
        <v>1996</v>
      </c>
      <c r="C206" s="9" t="s">
        <v>100</v>
      </c>
      <c r="D206" s="11">
        <v>82.5</v>
      </c>
      <c r="E206" s="15">
        <f>'Hoja 4 - Cálculo'!$B$12</f>
        <v>250</v>
      </c>
      <c r="F206" s="15">
        <f>'Hoja 4 - Cálculo'!$B$13</f>
        <v>0.85</v>
      </c>
      <c r="G206" s="15">
        <f>'Hoja 4 - Cálculo'!$B$14</f>
        <v>0.9</v>
      </c>
      <c r="H206" s="15">
        <f t="shared" si="28"/>
        <v>15.778124999999999</v>
      </c>
      <c r="I206" s="11">
        <v>8</v>
      </c>
      <c r="J206" s="11">
        <v>6</v>
      </c>
      <c r="K206" s="11">
        <v>2</v>
      </c>
      <c r="L206" s="15">
        <f t="shared" si="29"/>
        <v>16</v>
      </c>
      <c r="M206" s="15">
        <f t="shared" si="37"/>
        <v>0</v>
      </c>
      <c r="N206" s="15">
        <f t="shared" si="30"/>
        <v>0.31556249999999997</v>
      </c>
      <c r="O206" s="15">
        <f t="shared" si="31"/>
        <v>15.462562499999999</v>
      </c>
      <c r="P206" s="15">
        <f t="shared" si="32"/>
        <v>15.462562499999999</v>
      </c>
      <c r="Q206" s="15">
        <f t="shared" si="33"/>
        <v>0</v>
      </c>
      <c r="R206" s="15">
        <f t="shared" si="34"/>
        <v>0</v>
      </c>
      <c r="S206" s="15">
        <f t="shared" si="35"/>
        <v>0.53743750000000112</v>
      </c>
      <c r="T206" s="14" t="str">
        <f t="shared" si="36"/>
        <v>Falla</v>
      </c>
      <c r="U206" s="14">
        <f t="shared" si="38"/>
        <v>0</v>
      </c>
      <c r="V206" s="14">
        <f t="shared" si="39"/>
        <v>0</v>
      </c>
    </row>
    <row r="207" spans="1:22">
      <c r="A207" s="17">
        <v>35125</v>
      </c>
      <c r="B207" s="9">
        <v>1996</v>
      </c>
      <c r="C207" s="9" t="s">
        <v>101</v>
      </c>
      <c r="D207" s="11">
        <v>119.3</v>
      </c>
      <c r="E207" s="15">
        <f>'Hoja 4 - Cálculo'!$B$12</f>
        <v>250</v>
      </c>
      <c r="F207" s="15">
        <f>'Hoja 4 - Cálculo'!$B$13</f>
        <v>0.85</v>
      </c>
      <c r="G207" s="15">
        <f>'Hoja 4 - Cálculo'!$B$14</f>
        <v>0.9</v>
      </c>
      <c r="H207" s="15">
        <f t="shared" si="28"/>
        <v>22.816125</v>
      </c>
      <c r="I207" s="11">
        <v>8</v>
      </c>
      <c r="J207" s="11">
        <v>6</v>
      </c>
      <c r="K207" s="11">
        <v>2</v>
      </c>
      <c r="L207" s="15">
        <f t="shared" si="29"/>
        <v>16</v>
      </c>
      <c r="M207" s="15">
        <f t="shared" si="37"/>
        <v>0</v>
      </c>
      <c r="N207" s="15">
        <f t="shared" si="30"/>
        <v>0.45632250000000002</v>
      </c>
      <c r="O207" s="15">
        <f t="shared" si="31"/>
        <v>22.359802500000001</v>
      </c>
      <c r="P207" s="15">
        <f t="shared" si="32"/>
        <v>16</v>
      </c>
      <c r="Q207" s="15">
        <f t="shared" si="33"/>
        <v>5</v>
      </c>
      <c r="R207" s="15">
        <f t="shared" si="34"/>
        <v>1.3598025000000007</v>
      </c>
      <c r="S207" s="15">
        <f t="shared" si="35"/>
        <v>0</v>
      </c>
      <c r="T207" s="14" t="str">
        <f t="shared" si="36"/>
        <v>Satisfactorio</v>
      </c>
      <c r="U207" s="14">
        <f t="shared" si="38"/>
        <v>1</v>
      </c>
      <c r="V207" s="14">
        <f t="shared" si="39"/>
        <v>0</v>
      </c>
    </row>
    <row r="208" spans="1:22">
      <c r="A208" s="17">
        <v>35156</v>
      </c>
      <c r="B208" s="9">
        <v>1996</v>
      </c>
      <c r="C208" s="9" t="s">
        <v>102</v>
      </c>
      <c r="D208" s="11">
        <v>165.5</v>
      </c>
      <c r="E208" s="15">
        <f>'Hoja 4 - Cálculo'!$B$12</f>
        <v>250</v>
      </c>
      <c r="F208" s="15">
        <f>'Hoja 4 - Cálculo'!$B$13</f>
        <v>0.85</v>
      </c>
      <c r="G208" s="15">
        <f>'Hoja 4 - Cálculo'!$B$14</f>
        <v>0.9</v>
      </c>
      <c r="H208" s="15">
        <f t="shared" si="28"/>
        <v>31.651875</v>
      </c>
      <c r="I208" s="11">
        <v>8</v>
      </c>
      <c r="J208" s="11">
        <v>1.5</v>
      </c>
      <c r="K208" s="11">
        <v>2</v>
      </c>
      <c r="L208" s="15">
        <f t="shared" si="29"/>
        <v>11.5</v>
      </c>
      <c r="M208" s="15">
        <f t="shared" si="37"/>
        <v>5</v>
      </c>
      <c r="N208" s="15">
        <f t="shared" si="30"/>
        <v>0.73303750000000012</v>
      </c>
      <c r="O208" s="15">
        <f t="shared" si="31"/>
        <v>35.918837500000002</v>
      </c>
      <c r="P208" s="15">
        <f t="shared" si="32"/>
        <v>11.5</v>
      </c>
      <c r="Q208" s="15">
        <f t="shared" si="33"/>
        <v>5</v>
      </c>
      <c r="R208" s="15">
        <f t="shared" si="34"/>
        <v>19.418837500000002</v>
      </c>
      <c r="S208" s="15">
        <f t="shared" si="35"/>
        <v>0</v>
      </c>
      <c r="T208" s="14" t="str">
        <f t="shared" si="36"/>
        <v>Satisfactorio</v>
      </c>
      <c r="U208" s="14">
        <f t="shared" si="38"/>
        <v>0</v>
      </c>
      <c r="V208" s="14">
        <f t="shared" si="39"/>
        <v>0</v>
      </c>
    </row>
    <row r="209" spans="1:22">
      <c r="A209" s="17">
        <v>35186</v>
      </c>
      <c r="B209" s="9">
        <v>1996</v>
      </c>
      <c r="C209" s="9" t="s">
        <v>103</v>
      </c>
      <c r="D209" s="11">
        <v>147.5</v>
      </c>
      <c r="E209" s="15">
        <f>'Hoja 4 - Cálculo'!$B$12</f>
        <v>250</v>
      </c>
      <c r="F209" s="15">
        <f>'Hoja 4 - Cálculo'!$B$13</f>
        <v>0.85</v>
      </c>
      <c r="G209" s="15">
        <f>'Hoja 4 - Cálculo'!$B$14</f>
        <v>0.9</v>
      </c>
      <c r="H209" s="15">
        <f t="shared" si="28"/>
        <v>28.209375000000001</v>
      </c>
      <c r="I209" s="11">
        <v>8</v>
      </c>
      <c r="J209" s="11">
        <v>1.5</v>
      </c>
      <c r="K209" s="11">
        <v>2</v>
      </c>
      <c r="L209" s="15">
        <f t="shared" si="29"/>
        <v>11.5</v>
      </c>
      <c r="M209" s="15">
        <f t="shared" si="37"/>
        <v>5</v>
      </c>
      <c r="N209" s="15">
        <f t="shared" si="30"/>
        <v>0.66418750000000004</v>
      </c>
      <c r="O209" s="15">
        <f t="shared" si="31"/>
        <v>32.545187500000004</v>
      </c>
      <c r="P209" s="15">
        <f t="shared" si="32"/>
        <v>11.5</v>
      </c>
      <c r="Q209" s="15">
        <f t="shared" si="33"/>
        <v>5</v>
      </c>
      <c r="R209" s="15">
        <f t="shared" si="34"/>
        <v>16.045187500000004</v>
      </c>
      <c r="S209" s="15">
        <f t="shared" si="35"/>
        <v>0</v>
      </c>
      <c r="T209" s="14" t="str">
        <f t="shared" si="36"/>
        <v>Satisfactorio</v>
      </c>
      <c r="U209" s="14">
        <f t="shared" si="38"/>
        <v>0</v>
      </c>
      <c r="V209" s="14">
        <f t="shared" si="39"/>
        <v>0</v>
      </c>
    </row>
    <row r="210" spans="1:22">
      <c r="A210" s="17">
        <v>35217</v>
      </c>
      <c r="B210" s="9">
        <v>1996</v>
      </c>
      <c r="C210" s="9" t="s">
        <v>104</v>
      </c>
      <c r="D210" s="11">
        <v>88.6</v>
      </c>
      <c r="E210" s="15">
        <f>'Hoja 4 - Cálculo'!$B$12</f>
        <v>250</v>
      </c>
      <c r="F210" s="15">
        <f>'Hoja 4 - Cálculo'!$B$13</f>
        <v>0.85</v>
      </c>
      <c r="G210" s="15">
        <f>'Hoja 4 - Cálculo'!$B$14</f>
        <v>0.9</v>
      </c>
      <c r="H210" s="15">
        <f t="shared" si="28"/>
        <v>16.944749999999999</v>
      </c>
      <c r="I210" s="11">
        <v>8</v>
      </c>
      <c r="J210" s="11">
        <v>1.5</v>
      </c>
      <c r="K210" s="11">
        <v>2</v>
      </c>
      <c r="L210" s="15">
        <f t="shared" si="29"/>
        <v>11.5</v>
      </c>
      <c r="M210" s="15">
        <f t="shared" si="37"/>
        <v>5</v>
      </c>
      <c r="N210" s="15">
        <f t="shared" si="30"/>
        <v>0.43889499999999998</v>
      </c>
      <c r="O210" s="15">
        <f t="shared" si="31"/>
        <v>21.505855</v>
      </c>
      <c r="P210" s="15">
        <f t="shared" si="32"/>
        <v>11.5</v>
      </c>
      <c r="Q210" s="15">
        <f t="shared" si="33"/>
        <v>5</v>
      </c>
      <c r="R210" s="15">
        <f t="shared" si="34"/>
        <v>5.0058550000000004</v>
      </c>
      <c r="S210" s="15">
        <f t="shared" si="35"/>
        <v>0</v>
      </c>
      <c r="T210" s="14" t="str">
        <f t="shared" si="36"/>
        <v>Satisfactorio</v>
      </c>
      <c r="U210" s="14">
        <f t="shared" si="38"/>
        <v>0</v>
      </c>
      <c r="V210" s="14">
        <f t="shared" si="39"/>
        <v>0</v>
      </c>
    </row>
    <row r="211" spans="1:22">
      <c r="A211" s="17">
        <v>35247</v>
      </c>
      <c r="B211" s="9">
        <v>1996</v>
      </c>
      <c r="C211" s="9" t="s">
        <v>105</v>
      </c>
      <c r="D211" s="11">
        <v>72.5</v>
      </c>
      <c r="E211" s="15">
        <f>'Hoja 4 - Cálculo'!$B$12</f>
        <v>250</v>
      </c>
      <c r="F211" s="15">
        <f>'Hoja 4 - Cálculo'!$B$13</f>
        <v>0.85</v>
      </c>
      <c r="G211" s="15">
        <f>'Hoja 4 - Cálculo'!$B$14</f>
        <v>0.9</v>
      </c>
      <c r="H211" s="15">
        <f t="shared" si="28"/>
        <v>13.865625</v>
      </c>
      <c r="I211" s="11">
        <v>8</v>
      </c>
      <c r="J211" s="11">
        <v>6</v>
      </c>
      <c r="K211" s="11">
        <v>2</v>
      </c>
      <c r="L211" s="15">
        <f t="shared" si="29"/>
        <v>16</v>
      </c>
      <c r="M211" s="15">
        <f t="shared" si="37"/>
        <v>5</v>
      </c>
      <c r="N211" s="15">
        <f t="shared" si="30"/>
        <v>0.37731250000000005</v>
      </c>
      <c r="O211" s="15">
        <f t="shared" si="31"/>
        <v>18.488312500000003</v>
      </c>
      <c r="P211" s="15">
        <f t="shared" si="32"/>
        <v>16</v>
      </c>
      <c r="Q211" s="15">
        <f t="shared" si="33"/>
        <v>2.4883125000000028</v>
      </c>
      <c r="R211" s="15">
        <f t="shared" si="34"/>
        <v>0</v>
      </c>
      <c r="S211" s="15">
        <f t="shared" si="35"/>
        <v>0</v>
      </c>
      <c r="T211" s="14" t="str">
        <f t="shared" si="36"/>
        <v>Satisfactorio</v>
      </c>
      <c r="U211" s="14">
        <f t="shared" si="38"/>
        <v>0</v>
      </c>
      <c r="V211" s="14">
        <f t="shared" si="39"/>
        <v>0</v>
      </c>
    </row>
    <row r="212" spans="1:22">
      <c r="A212" s="17">
        <v>35278</v>
      </c>
      <c r="B212" s="9">
        <v>1996</v>
      </c>
      <c r="C212" s="9" t="s">
        <v>106</v>
      </c>
      <c r="D212" s="11">
        <v>77.599999999999994</v>
      </c>
      <c r="E212" s="15">
        <f>'Hoja 4 - Cálculo'!$B$12</f>
        <v>250</v>
      </c>
      <c r="F212" s="15">
        <f>'Hoja 4 - Cálculo'!$B$13</f>
        <v>0.85</v>
      </c>
      <c r="G212" s="15">
        <f>'Hoja 4 - Cálculo'!$B$14</f>
        <v>0.9</v>
      </c>
      <c r="H212" s="15">
        <f t="shared" si="28"/>
        <v>14.840999999999999</v>
      </c>
      <c r="I212" s="11">
        <v>8</v>
      </c>
      <c r="J212" s="11">
        <v>6</v>
      </c>
      <c r="K212" s="11">
        <v>2</v>
      </c>
      <c r="L212" s="15">
        <f t="shared" si="29"/>
        <v>16</v>
      </c>
      <c r="M212" s="15">
        <f t="shared" si="37"/>
        <v>2.4883125000000028</v>
      </c>
      <c r="N212" s="15">
        <f t="shared" si="30"/>
        <v>0.34658625000000004</v>
      </c>
      <c r="O212" s="15">
        <f t="shared" si="31"/>
        <v>16.982726249999999</v>
      </c>
      <c r="P212" s="15">
        <f t="shared" si="32"/>
        <v>16</v>
      </c>
      <c r="Q212" s="15">
        <f t="shared" si="33"/>
        <v>0.98272624999999891</v>
      </c>
      <c r="R212" s="15">
        <f t="shared" si="34"/>
        <v>0</v>
      </c>
      <c r="S212" s="15">
        <f t="shared" si="35"/>
        <v>0</v>
      </c>
      <c r="T212" s="14" t="str">
        <f t="shared" si="36"/>
        <v>Satisfactorio</v>
      </c>
      <c r="U212" s="14">
        <f t="shared" si="38"/>
        <v>0</v>
      </c>
      <c r="V212" s="14">
        <f t="shared" si="39"/>
        <v>0</v>
      </c>
    </row>
    <row r="213" spans="1:22">
      <c r="A213" s="17">
        <v>35309</v>
      </c>
      <c r="B213" s="9">
        <v>1996</v>
      </c>
      <c r="C213" s="9" t="s">
        <v>107</v>
      </c>
      <c r="D213" s="11">
        <v>124.7</v>
      </c>
      <c r="E213" s="15">
        <f>'Hoja 4 - Cálculo'!$B$12</f>
        <v>250</v>
      </c>
      <c r="F213" s="15">
        <f>'Hoja 4 - Cálculo'!$B$13</f>
        <v>0.85</v>
      </c>
      <c r="G213" s="15">
        <f>'Hoja 4 - Cálculo'!$B$14</f>
        <v>0.9</v>
      </c>
      <c r="H213" s="15">
        <f t="shared" si="28"/>
        <v>23.848875</v>
      </c>
      <c r="I213" s="11">
        <v>8</v>
      </c>
      <c r="J213" s="11">
        <v>1.5</v>
      </c>
      <c r="K213" s="11">
        <v>2</v>
      </c>
      <c r="L213" s="15">
        <f t="shared" si="29"/>
        <v>11.5</v>
      </c>
      <c r="M213" s="15">
        <f t="shared" si="37"/>
        <v>0.98272624999999891</v>
      </c>
      <c r="N213" s="15">
        <f t="shared" si="30"/>
        <v>0.49663202499999998</v>
      </c>
      <c r="O213" s="15">
        <f t="shared" si="31"/>
        <v>24.334969224999998</v>
      </c>
      <c r="P213" s="15">
        <f t="shared" si="32"/>
        <v>11.5</v>
      </c>
      <c r="Q213" s="15">
        <f t="shared" si="33"/>
        <v>5</v>
      </c>
      <c r="R213" s="15">
        <f t="shared" si="34"/>
        <v>7.8349692249999983</v>
      </c>
      <c r="S213" s="15">
        <f t="shared" si="35"/>
        <v>0</v>
      </c>
      <c r="T213" s="14" t="str">
        <f t="shared" si="36"/>
        <v>Satisfactorio</v>
      </c>
      <c r="U213" s="14">
        <f t="shared" si="38"/>
        <v>0</v>
      </c>
      <c r="V213" s="14">
        <f t="shared" si="39"/>
        <v>0</v>
      </c>
    </row>
    <row r="214" spans="1:22">
      <c r="A214" s="17">
        <v>35339</v>
      </c>
      <c r="B214" s="9">
        <v>1996</v>
      </c>
      <c r="C214" s="9" t="s">
        <v>108</v>
      </c>
      <c r="D214" s="11">
        <v>167.9</v>
      </c>
      <c r="E214" s="15">
        <f>'Hoja 4 - Cálculo'!$B$12</f>
        <v>250</v>
      </c>
      <c r="F214" s="15">
        <f>'Hoja 4 - Cálculo'!$B$13</f>
        <v>0.85</v>
      </c>
      <c r="G214" s="15">
        <f>'Hoja 4 - Cálculo'!$B$14</f>
        <v>0.9</v>
      </c>
      <c r="H214" s="15">
        <f t="shared" si="28"/>
        <v>32.110875</v>
      </c>
      <c r="I214" s="11">
        <v>8</v>
      </c>
      <c r="J214" s="11">
        <v>1.5</v>
      </c>
      <c r="K214" s="11">
        <v>2</v>
      </c>
      <c r="L214" s="15">
        <f t="shared" si="29"/>
        <v>11.5</v>
      </c>
      <c r="M214" s="15">
        <f t="shared" si="37"/>
        <v>5</v>
      </c>
      <c r="N214" s="15">
        <f t="shared" si="30"/>
        <v>0.74221749999999997</v>
      </c>
      <c r="O214" s="15">
        <f t="shared" si="31"/>
        <v>36.368657499999998</v>
      </c>
      <c r="P214" s="15">
        <f t="shared" si="32"/>
        <v>11.5</v>
      </c>
      <c r="Q214" s="15">
        <f t="shared" si="33"/>
        <v>5</v>
      </c>
      <c r="R214" s="15">
        <f t="shared" si="34"/>
        <v>19.868657499999998</v>
      </c>
      <c r="S214" s="15">
        <f t="shared" si="35"/>
        <v>0</v>
      </c>
      <c r="T214" s="14" t="str">
        <f t="shared" si="36"/>
        <v>Satisfactorio</v>
      </c>
      <c r="U214" s="14">
        <f t="shared" si="38"/>
        <v>0</v>
      </c>
      <c r="V214" s="14">
        <f t="shared" si="39"/>
        <v>0</v>
      </c>
    </row>
    <row r="215" spans="1:22">
      <c r="A215" s="17">
        <v>35370</v>
      </c>
      <c r="B215" s="9">
        <v>1996</v>
      </c>
      <c r="C215" s="9" t="s">
        <v>109</v>
      </c>
      <c r="D215" s="11">
        <v>143.6</v>
      </c>
      <c r="E215" s="15">
        <f>'Hoja 4 - Cálculo'!$B$12</f>
        <v>250</v>
      </c>
      <c r="F215" s="15">
        <f>'Hoja 4 - Cálculo'!$B$13</f>
        <v>0.85</v>
      </c>
      <c r="G215" s="15">
        <f>'Hoja 4 - Cálculo'!$B$14</f>
        <v>0.9</v>
      </c>
      <c r="H215" s="15">
        <f t="shared" si="28"/>
        <v>27.4635</v>
      </c>
      <c r="I215" s="11">
        <v>8</v>
      </c>
      <c r="J215" s="11">
        <v>1.5</v>
      </c>
      <c r="K215" s="11">
        <v>2</v>
      </c>
      <c r="L215" s="15">
        <f t="shared" si="29"/>
        <v>11.5</v>
      </c>
      <c r="M215" s="15">
        <f t="shared" si="37"/>
        <v>5</v>
      </c>
      <c r="N215" s="15">
        <f t="shared" si="30"/>
        <v>0.6492699999999999</v>
      </c>
      <c r="O215" s="15">
        <f t="shared" si="31"/>
        <v>31.814229999999995</v>
      </c>
      <c r="P215" s="15">
        <f t="shared" si="32"/>
        <v>11.5</v>
      </c>
      <c r="Q215" s="15">
        <f t="shared" si="33"/>
        <v>5</v>
      </c>
      <c r="R215" s="15">
        <f t="shared" si="34"/>
        <v>15.314229999999995</v>
      </c>
      <c r="S215" s="15">
        <f t="shared" si="35"/>
        <v>0</v>
      </c>
      <c r="T215" s="14" t="str">
        <f t="shared" si="36"/>
        <v>Satisfactorio</v>
      </c>
      <c r="U215" s="14">
        <f t="shared" si="38"/>
        <v>0</v>
      </c>
      <c r="V215" s="14">
        <f t="shared" si="39"/>
        <v>0</v>
      </c>
    </row>
    <row r="216" spans="1:22">
      <c r="A216" s="17">
        <v>35400</v>
      </c>
      <c r="B216" s="9">
        <v>1996</v>
      </c>
      <c r="C216" s="9" t="s">
        <v>110</v>
      </c>
      <c r="D216" s="11">
        <v>86.3</v>
      </c>
      <c r="E216" s="15">
        <f>'Hoja 4 - Cálculo'!$B$12</f>
        <v>250</v>
      </c>
      <c r="F216" s="15">
        <f>'Hoja 4 - Cálculo'!$B$13</f>
        <v>0.85</v>
      </c>
      <c r="G216" s="15">
        <f>'Hoja 4 - Cálculo'!$B$14</f>
        <v>0.9</v>
      </c>
      <c r="H216" s="15">
        <f t="shared" si="28"/>
        <v>16.504874999999998</v>
      </c>
      <c r="I216" s="11">
        <v>8</v>
      </c>
      <c r="J216" s="11">
        <v>6</v>
      </c>
      <c r="K216" s="11">
        <v>2</v>
      </c>
      <c r="L216" s="15">
        <f t="shared" si="29"/>
        <v>16</v>
      </c>
      <c r="M216" s="15">
        <f t="shared" si="37"/>
        <v>5</v>
      </c>
      <c r="N216" s="15">
        <f t="shared" si="30"/>
        <v>0.43009749999999997</v>
      </c>
      <c r="O216" s="15">
        <f t="shared" si="31"/>
        <v>21.0747775</v>
      </c>
      <c r="P216" s="15">
        <f t="shared" si="32"/>
        <v>16</v>
      </c>
      <c r="Q216" s="15">
        <f t="shared" si="33"/>
        <v>5</v>
      </c>
      <c r="R216" s="15">
        <f t="shared" si="34"/>
        <v>7.4777499999999719E-2</v>
      </c>
      <c r="S216" s="15">
        <f t="shared" si="35"/>
        <v>0</v>
      </c>
      <c r="T216" s="14" t="str">
        <f t="shared" si="36"/>
        <v>Satisfactorio</v>
      </c>
      <c r="U216" s="14">
        <f t="shared" si="38"/>
        <v>0</v>
      </c>
      <c r="V216" s="14">
        <f t="shared" si="39"/>
        <v>0</v>
      </c>
    </row>
    <row r="217" spans="1:22">
      <c r="A217" s="17">
        <v>35431</v>
      </c>
      <c r="B217" s="9">
        <v>1997</v>
      </c>
      <c r="C217" s="9" t="s">
        <v>99</v>
      </c>
      <c r="D217" s="11">
        <v>74.099999999999994</v>
      </c>
      <c r="E217" s="15">
        <f>'Hoja 4 - Cálculo'!$B$12</f>
        <v>250</v>
      </c>
      <c r="F217" s="15">
        <f>'Hoja 4 - Cálculo'!$B$13</f>
        <v>0.85</v>
      </c>
      <c r="G217" s="15">
        <f>'Hoja 4 - Cálculo'!$B$14</f>
        <v>0.9</v>
      </c>
      <c r="H217" s="15">
        <f t="shared" ref="H217:H280" si="40">D217*E217*F217*G217/1000</f>
        <v>14.171625000000001</v>
      </c>
      <c r="I217" s="11">
        <v>8</v>
      </c>
      <c r="J217" s="11">
        <v>6</v>
      </c>
      <c r="K217" s="11">
        <v>2</v>
      </c>
      <c r="L217" s="15">
        <f t="shared" ref="L217:L280" si="41">IF($B$9="Uso único",I217,IF($B$9="Uso múltiple",AVERAGE($I$25:$I$384)+AVERAGE($J$25:$J$384)+AVERAGE($K$25:$K$384),IF($B$9="Uso prioritario",I217+K217,I217+J217+K217)))</f>
        <v>16</v>
      </c>
      <c r="M217" s="15">
        <f t="shared" si="37"/>
        <v>5</v>
      </c>
      <c r="N217" s="15">
        <f t="shared" ref="N217:N280" si="42">MIN(M217+H217,(M217+H217)*$B$15)</f>
        <v>0.38343250000000001</v>
      </c>
      <c r="O217" s="15">
        <f t="shared" ref="O217:O280" si="43">MAX(0,M217+H217-N217)</f>
        <v>18.788192499999997</v>
      </c>
      <c r="P217" s="15">
        <f t="shared" ref="P217:P280" si="44">MIN(L217,O217)</f>
        <v>16</v>
      </c>
      <c r="Q217" s="15">
        <f t="shared" ref="Q217:Q280" si="45">MIN($B$10,MAX(0,O217-P217))</f>
        <v>2.7881924999999974</v>
      </c>
      <c r="R217" s="15">
        <f t="shared" ref="R217:R280" si="46">MAX(0,O217-P217-$B$10)</f>
        <v>0</v>
      </c>
      <c r="S217" s="15">
        <f t="shared" ref="S217:S280" si="47">MAX(0,L217-P217)</f>
        <v>0</v>
      </c>
      <c r="T217" s="14" t="str">
        <f t="shared" ref="T217:T280" si="48">IF(P217&gt;=L217*$B$16,"Satisfactorio","Falla")</f>
        <v>Satisfactorio</v>
      </c>
      <c r="U217" s="14">
        <f t="shared" si="38"/>
        <v>0</v>
      </c>
      <c r="V217" s="14">
        <f t="shared" si="39"/>
        <v>0</v>
      </c>
    </row>
    <row r="218" spans="1:22">
      <c r="A218" s="17">
        <v>35462</v>
      </c>
      <c r="B218" s="9">
        <v>1997</v>
      </c>
      <c r="C218" s="9" t="s">
        <v>100</v>
      </c>
      <c r="D218" s="11">
        <v>85.5</v>
      </c>
      <c r="E218" s="15">
        <f>'Hoja 4 - Cálculo'!$B$12</f>
        <v>250</v>
      </c>
      <c r="F218" s="15">
        <f>'Hoja 4 - Cálculo'!$B$13</f>
        <v>0.85</v>
      </c>
      <c r="G218" s="15">
        <f>'Hoja 4 - Cálculo'!$B$14</f>
        <v>0.9</v>
      </c>
      <c r="H218" s="15">
        <f t="shared" si="40"/>
        <v>16.351875</v>
      </c>
      <c r="I218" s="11">
        <v>8</v>
      </c>
      <c r="J218" s="11">
        <v>6</v>
      </c>
      <c r="K218" s="11">
        <v>2</v>
      </c>
      <c r="L218" s="15">
        <f t="shared" si="41"/>
        <v>16</v>
      </c>
      <c r="M218" s="15">
        <f t="shared" ref="M218:M281" si="49">Q217</f>
        <v>2.7881924999999974</v>
      </c>
      <c r="N218" s="15">
        <f t="shared" si="42"/>
        <v>0.38280134999999993</v>
      </c>
      <c r="O218" s="15">
        <f t="shared" si="43"/>
        <v>18.757266149999996</v>
      </c>
      <c r="P218" s="15">
        <f t="shared" si="44"/>
        <v>16</v>
      </c>
      <c r="Q218" s="15">
        <f t="shared" si="45"/>
        <v>2.757266149999996</v>
      </c>
      <c r="R218" s="15">
        <f t="shared" si="46"/>
        <v>0</v>
      </c>
      <c r="S218" s="15">
        <f t="shared" si="47"/>
        <v>0</v>
      </c>
      <c r="T218" s="14" t="str">
        <f t="shared" si="48"/>
        <v>Satisfactorio</v>
      </c>
      <c r="U218" s="14">
        <f t="shared" ref="U218:U281" si="50">IF(AND(T217="Falla",T218="Satisfactorio"),1,0)</f>
        <v>0</v>
      </c>
      <c r="V218" s="14">
        <f t="shared" ref="V218:V281" si="51">IF(AND(T218="Falla",T217&lt;&gt;"Falla"),1,0)</f>
        <v>0</v>
      </c>
    </row>
    <row r="219" spans="1:22">
      <c r="A219" s="17">
        <v>35490</v>
      </c>
      <c r="B219" s="9">
        <v>1997</v>
      </c>
      <c r="C219" s="9" t="s">
        <v>101</v>
      </c>
      <c r="D219" s="11">
        <v>125.3</v>
      </c>
      <c r="E219" s="15">
        <f>'Hoja 4 - Cálculo'!$B$12</f>
        <v>250</v>
      </c>
      <c r="F219" s="15">
        <f>'Hoja 4 - Cálculo'!$B$13</f>
        <v>0.85</v>
      </c>
      <c r="G219" s="15">
        <f>'Hoja 4 - Cálculo'!$B$14</f>
        <v>0.9</v>
      </c>
      <c r="H219" s="15">
        <f t="shared" si="40"/>
        <v>23.963625</v>
      </c>
      <c r="I219" s="11">
        <v>8</v>
      </c>
      <c r="J219" s="11">
        <v>6</v>
      </c>
      <c r="K219" s="11">
        <v>2</v>
      </c>
      <c r="L219" s="15">
        <f t="shared" si="41"/>
        <v>16</v>
      </c>
      <c r="M219" s="15">
        <f t="shared" si="49"/>
        <v>2.757266149999996</v>
      </c>
      <c r="N219" s="15">
        <f t="shared" si="42"/>
        <v>0.53441782299999996</v>
      </c>
      <c r="O219" s="15">
        <f t="shared" si="43"/>
        <v>26.186473326999998</v>
      </c>
      <c r="P219" s="15">
        <f t="shared" si="44"/>
        <v>16</v>
      </c>
      <c r="Q219" s="15">
        <f t="shared" si="45"/>
        <v>5</v>
      </c>
      <c r="R219" s="15">
        <f t="shared" si="46"/>
        <v>5.1864733269999981</v>
      </c>
      <c r="S219" s="15">
        <f t="shared" si="47"/>
        <v>0</v>
      </c>
      <c r="T219" s="14" t="str">
        <f t="shared" si="48"/>
        <v>Satisfactorio</v>
      </c>
      <c r="U219" s="14">
        <f t="shared" si="50"/>
        <v>0</v>
      </c>
      <c r="V219" s="14">
        <f t="shared" si="51"/>
        <v>0</v>
      </c>
    </row>
    <row r="220" spans="1:22">
      <c r="A220" s="17">
        <v>35521</v>
      </c>
      <c r="B220" s="9">
        <v>1997</v>
      </c>
      <c r="C220" s="9" t="s">
        <v>102</v>
      </c>
      <c r="D220" s="11">
        <v>176.6</v>
      </c>
      <c r="E220" s="15">
        <f>'Hoja 4 - Cálculo'!$B$12</f>
        <v>250</v>
      </c>
      <c r="F220" s="15">
        <f>'Hoja 4 - Cálculo'!$B$13</f>
        <v>0.85</v>
      </c>
      <c r="G220" s="15">
        <f>'Hoja 4 - Cálculo'!$B$14</f>
        <v>0.9</v>
      </c>
      <c r="H220" s="15">
        <f t="shared" si="40"/>
        <v>33.774749999999997</v>
      </c>
      <c r="I220" s="11">
        <v>8</v>
      </c>
      <c r="J220" s="11">
        <v>1.5</v>
      </c>
      <c r="K220" s="11">
        <v>2</v>
      </c>
      <c r="L220" s="15">
        <f t="shared" si="41"/>
        <v>11.5</v>
      </c>
      <c r="M220" s="15">
        <f t="shared" si="49"/>
        <v>5</v>
      </c>
      <c r="N220" s="15">
        <f t="shared" si="42"/>
        <v>0.77549499999999993</v>
      </c>
      <c r="O220" s="15">
        <f t="shared" si="43"/>
        <v>37.999254999999998</v>
      </c>
      <c r="P220" s="15">
        <f t="shared" si="44"/>
        <v>11.5</v>
      </c>
      <c r="Q220" s="15">
        <f t="shared" si="45"/>
        <v>5</v>
      </c>
      <c r="R220" s="15">
        <f t="shared" si="46"/>
        <v>21.499254999999998</v>
      </c>
      <c r="S220" s="15">
        <f t="shared" si="47"/>
        <v>0</v>
      </c>
      <c r="T220" s="14" t="str">
        <f t="shared" si="48"/>
        <v>Satisfactorio</v>
      </c>
      <c r="U220" s="14">
        <f t="shared" si="50"/>
        <v>0</v>
      </c>
      <c r="V220" s="14">
        <f t="shared" si="51"/>
        <v>0</v>
      </c>
    </row>
    <row r="221" spans="1:22">
      <c r="A221" s="17">
        <v>35551</v>
      </c>
      <c r="B221" s="9">
        <v>1997</v>
      </c>
      <c r="C221" s="9" t="s">
        <v>103</v>
      </c>
      <c r="D221" s="11">
        <v>159.5</v>
      </c>
      <c r="E221" s="15">
        <f>'Hoja 4 - Cálculo'!$B$12</f>
        <v>250</v>
      </c>
      <c r="F221" s="15">
        <f>'Hoja 4 - Cálculo'!$B$13</f>
        <v>0.85</v>
      </c>
      <c r="G221" s="15">
        <f>'Hoja 4 - Cálculo'!$B$14</f>
        <v>0.9</v>
      </c>
      <c r="H221" s="15">
        <f t="shared" si="40"/>
        <v>30.504375</v>
      </c>
      <c r="I221" s="11">
        <v>8</v>
      </c>
      <c r="J221" s="11">
        <v>1.5</v>
      </c>
      <c r="K221" s="11">
        <v>2</v>
      </c>
      <c r="L221" s="15">
        <f t="shared" si="41"/>
        <v>11.5</v>
      </c>
      <c r="M221" s="15">
        <f t="shared" si="49"/>
        <v>5</v>
      </c>
      <c r="N221" s="15">
        <f t="shared" si="42"/>
        <v>0.71008749999999998</v>
      </c>
      <c r="O221" s="15">
        <f t="shared" si="43"/>
        <v>34.794287499999996</v>
      </c>
      <c r="P221" s="15">
        <f t="shared" si="44"/>
        <v>11.5</v>
      </c>
      <c r="Q221" s="15">
        <f t="shared" si="45"/>
        <v>5</v>
      </c>
      <c r="R221" s="15">
        <f t="shared" si="46"/>
        <v>18.294287499999996</v>
      </c>
      <c r="S221" s="15">
        <f t="shared" si="47"/>
        <v>0</v>
      </c>
      <c r="T221" s="14" t="str">
        <f t="shared" si="48"/>
        <v>Satisfactorio</v>
      </c>
      <c r="U221" s="14">
        <f t="shared" si="50"/>
        <v>0</v>
      </c>
      <c r="V221" s="14">
        <f t="shared" si="51"/>
        <v>0</v>
      </c>
    </row>
    <row r="222" spans="1:22">
      <c r="A222" s="17">
        <v>35582</v>
      </c>
      <c r="B222" s="9">
        <v>1997</v>
      </c>
      <c r="C222" s="9" t="s">
        <v>104</v>
      </c>
      <c r="D222" s="11">
        <v>96.8</v>
      </c>
      <c r="E222" s="15">
        <f>'Hoja 4 - Cálculo'!$B$12</f>
        <v>250</v>
      </c>
      <c r="F222" s="15">
        <f>'Hoja 4 - Cálculo'!$B$13</f>
        <v>0.85</v>
      </c>
      <c r="G222" s="15">
        <f>'Hoja 4 - Cálculo'!$B$14</f>
        <v>0.9</v>
      </c>
      <c r="H222" s="15">
        <f t="shared" si="40"/>
        <v>18.513000000000002</v>
      </c>
      <c r="I222" s="11">
        <v>8</v>
      </c>
      <c r="J222" s="11">
        <v>1.5</v>
      </c>
      <c r="K222" s="11">
        <v>2</v>
      </c>
      <c r="L222" s="15">
        <f t="shared" si="41"/>
        <v>11.5</v>
      </c>
      <c r="M222" s="15">
        <f t="shared" si="49"/>
        <v>5</v>
      </c>
      <c r="N222" s="15">
        <f t="shared" si="42"/>
        <v>0.47026000000000007</v>
      </c>
      <c r="O222" s="15">
        <f t="shared" si="43"/>
        <v>23.042740000000002</v>
      </c>
      <c r="P222" s="15">
        <f t="shared" si="44"/>
        <v>11.5</v>
      </c>
      <c r="Q222" s="15">
        <f t="shared" si="45"/>
        <v>5</v>
      </c>
      <c r="R222" s="15">
        <f t="shared" si="46"/>
        <v>6.542740000000002</v>
      </c>
      <c r="S222" s="15">
        <f t="shared" si="47"/>
        <v>0</v>
      </c>
      <c r="T222" s="14" t="str">
        <f t="shared" si="48"/>
        <v>Satisfactorio</v>
      </c>
      <c r="U222" s="14">
        <f t="shared" si="50"/>
        <v>0</v>
      </c>
      <c r="V222" s="14">
        <f t="shared" si="51"/>
        <v>0</v>
      </c>
    </row>
    <row r="223" spans="1:22">
      <c r="A223" s="17">
        <v>35612</v>
      </c>
      <c r="B223" s="9">
        <v>1997</v>
      </c>
      <c r="C223" s="9" t="s">
        <v>105</v>
      </c>
      <c r="D223" s="11">
        <v>79.8</v>
      </c>
      <c r="E223" s="15">
        <f>'Hoja 4 - Cálculo'!$B$12</f>
        <v>250</v>
      </c>
      <c r="F223" s="15">
        <f>'Hoja 4 - Cálculo'!$B$13</f>
        <v>0.85</v>
      </c>
      <c r="G223" s="15">
        <f>'Hoja 4 - Cálculo'!$B$14</f>
        <v>0.9</v>
      </c>
      <c r="H223" s="15">
        <f t="shared" si="40"/>
        <v>15.261749999999999</v>
      </c>
      <c r="I223" s="11">
        <v>8</v>
      </c>
      <c r="J223" s="11">
        <v>6</v>
      </c>
      <c r="K223" s="11">
        <v>2</v>
      </c>
      <c r="L223" s="15">
        <f t="shared" si="41"/>
        <v>16</v>
      </c>
      <c r="M223" s="15">
        <f t="shared" si="49"/>
        <v>5</v>
      </c>
      <c r="N223" s="15">
        <f t="shared" si="42"/>
        <v>0.40523500000000001</v>
      </c>
      <c r="O223" s="15">
        <f t="shared" si="43"/>
        <v>19.856514999999998</v>
      </c>
      <c r="P223" s="15">
        <f t="shared" si="44"/>
        <v>16</v>
      </c>
      <c r="Q223" s="15">
        <f t="shared" si="45"/>
        <v>3.8565149999999981</v>
      </c>
      <c r="R223" s="15">
        <f t="shared" si="46"/>
        <v>0</v>
      </c>
      <c r="S223" s="15">
        <f t="shared" si="47"/>
        <v>0</v>
      </c>
      <c r="T223" s="14" t="str">
        <f t="shared" si="48"/>
        <v>Satisfactorio</v>
      </c>
      <c r="U223" s="14">
        <f t="shared" si="50"/>
        <v>0</v>
      </c>
      <c r="V223" s="14">
        <f t="shared" si="51"/>
        <v>0</v>
      </c>
    </row>
    <row r="224" spans="1:22">
      <c r="A224" s="17">
        <v>35643</v>
      </c>
      <c r="B224" s="9">
        <v>1997</v>
      </c>
      <c r="C224" s="9" t="s">
        <v>106</v>
      </c>
      <c r="D224" s="11">
        <v>85.4</v>
      </c>
      <c r="E224" s="15">
        <f>'Hoja 4 - Cálculo'!$B$12</f>
        <v>250</v>
      </c>
      <c r="F224" s="15">
        <f>'Hoja 4 - Cálculo'!$B$13</f>
        <v>0.85</v>
      </c>
      <c r="G224" s="15">
        <f>'Hoja 4 - Cálculo'!$B$14</f>
        <v>0.9</v>
      </c>
      <c r="H224" s="15">
        <f t="shared" si="40"/>
        <v>16.332750000000001</v>
      </c>
      <c r="I224" s="11">
        <v>8</v>
      </c>
      <c r="J224" s="11">
        <v>6</v>
      </c>
      <c r="K224" s="11">
        <v>2</v>
      </c>
      <c r="L224" s="15">
        <f t="shared" si="41"/>
        <v>16</v>
      </c>
      <c r="M224" s="15">
        <f t="shared" si="49"/>
        <v>3.8565149999999981</v>
      </c>
      <c r="N224" s="15">
        <f t="shared" si="42"/>
        <v>0.40378530000000001</v>
      </c>
      <c r="O224" s="15">
        <f t="shared" si="43"/>
        <v>19.7854797</v>
      </c>
      <c r="P224" s="15">
        <f t="shared" si="44"/>
        <v>16</v>
      </c>
      <c r="Q224" s="15">
        <f t="shared" si="45"/>
        <v>3.7854796999999998</v>
      </c>
      <c r="R224" s="15">
        <f t="shared" si="46"/>
        <v>0</v>
      </c>
      <c r="S224" s="15">
        <f t="shared" si="47"/>
        <v>0</v>
      </c>
      <c r="T224" s="14" t="str">
        <f t="shared" si="48"/>
        <v>Satisfactorio</v>
      </c>
      <c r="U224" s="14">
        <f t="shared" si="50"/>
        <v>0</v>
      </c>
      <c r="V224" s="14">
        <f t="shared" si="51"/>
        <v>0</v>
      </c>
    </row>
    <row r="225" spans="1:22">
      <c r="A225" s="17">
        <v>35674</v>
      </c>
      <c r="B225" s="9">
        <v>1997</v>
      </c>
      <c r="C225" s="9" t="s">
        <v>107</v>
      </c>
      <c r="D225" s="11">
        <v>136.69999999999999</v>
      </c>
      <c r="E225" s="15">
        <f>'Hoja 4 - Cálculo'!$B$12</f>
        <v>250</v>
      </c>
      <c r="F225" s="15">
        <f>'Hoja 4 - Cálculo'!$B$13</f>
        <v>0.85</v>
      </c>
      <c r="G225" s="15">
        <f>'Hoja 4 - Cálculo'!$B$14</f>
        <v>0.9</v>
      </c>
      <c r="H225" s="15">
        <f t="shared" si="40"/>
        <v>26.143875000000001</v>
      </c>
      <c r="I225" s="11">
        <v>8</v>
      </c>
      <c r="J225" s="11">
        <v>1.5</v>
      </c>
      <c r="K225" s="11">
        <v>2</v>
      </c>
      <c r="L225" s="15">
        <f t="shared" si="41"/>
        <v>11.5</v>
      </c>
      <c r="M225" s="15">
        <f t="shared" si="49"/>
        <v>3.7854796999999998</v>
      </c>
      <c r="N225" s="15">
        <f t="shared" si="42"/>
        <v>0.59858709399999999</v>
      </c>
      <c r="O225" s="15">
        <f t="shared" si="43"/>
        <v>29.330767606000002</v>
      </c>
      <c r="P225" s="15">
        <f t="shared" si="44"/>
        <v>11.5</v>
      </c>
      <c r="Q225" s="15">
        <f t="shared" si="45"/>
        <v>5</v>
      </c>
      <c r="R225" s="15">
        <f t="shared" si="46"/>
        <v>12.830767606000002</v>
      </c>
      <c r="S225" s="15">
        <f t="shared" si="47"/>
        <v>0</v>
      </c>
      <c r="T225" s="14" t="str">
        <f t="shared" si="48"/>
        <v>Satisfactorio</v>
      </c>
      <c r="U225" s="14">
        <f t="shared" si="50"/>
        <v>0</v>
      </c>
      <c r="V225" s="14">
        <f t="shared" si="51"/>
        <v>0</v>
      </c>
    </row>
    <row r="226" spans="1:22">
      <c r="A226" s="17">
        <v>35704</v>
      </c>
      <c r="B226" s="9">
        <v>1997</v>
      </c>
      <c r="C226" s="9" t="s">
        <v>108</v>
      </c>
      <c r="D226" s="11">
        <v>182.3</v>
      </c>
      <c r="E226" s="15">
        <f>'Hoja 4 - Cálculo'!$B$12</f>
        <v>250</v>
      </c>
      <c r="F226" s="15">
        <f>'Hoja 4 - Cálculo'!$B$13</f>
        <v>0.85</v>
      </c>
      <c r="G226" s="15">
        <f>'Hoja 4 - Cálculo'!$B$14</f>
        <v>0.9</v>
      </c>
      <c r="H226" s="15">
        <f t="shared" si="40"/>
        <v>34.864874999999998</v>
      </c>
      <c r="I226" s="11">
        <v>8</v>
      </c>
      <c r="J226" s="11">
        <v>1.5</v>
      </c>
      <c r="K226" s="11">
        <v>2</v>
      </c>
      <c r="L226" s="15">
        <f t="shared" si="41"/>
        <v>11.5</v>
      </c>
      <c r="M226" s="15">
        <f t="shared" si="49"/>
        <v>5</v>
      </c>
      <c r="N226" s="15">
        <f t="shared" si="42"/>
        <v>0.79729749999999999</v>
      </c>
      <c r="O226" s="15">
        <f t="shared" si="43"/>
        <v>39.067577499999999</v>
      </c>
      <c r="P226" s="15">
        <f t="shared" si="44"/>
        <v>11.5</v>
      </c>
      <c r="Q226" s="15">
        <f t="shared" si="45"/>
        <v>5</v>
      </c>
      <c r="R226" s="15">
        <f t="shared" si="46"/>
        <v>22.567577499999999</v>
      </c>
      <c r="S226" s="15">
        <f t="shared" si="47"/>
        <v>0</v>
      </c>
      <c r="T226" s="14" t="str">
        <f t="shared" si="48"/>
        <v>Satisfactorio</v>
      </c>
      <c r="U226" s="14">
        <f t="shared" si="50"/>
        <v>0</v>
      </c>
      <c r="V226" s="14">
        <f t="shared" si="51"/>
        <v>0</v>
      </c>
    </row>
    <row r="227" spans="1:22">
      <c r="A227" s="17">
        <v>35735</v>
      </c>
      <c r="B227" s="9">
        <v>1997</v>
      </c>
      <c r="C227" s="9" t="s">
        <v>109</v>
      </c>
      <c r="D227" s="11">
        <v>153.80000000000001</v>
      </c>
      <c r="E227" s="15">
        <f>'Hoja 4 - Cálculo'!$B$12</f>
        <v>250</v>
      </c>
      <c r="F227" s="15">
        <f>'Hoja 4 - Cálculo'!$B$13</f>
        <v>0.85</v>
      </c>
      <c r="G227" s="15">
        <f>'Hoja 4 - Cálculo'!$B$14</f>
        <v>0.9</v>
      </c>
      <c r="H227" s="15">
        <f t="shared" si="40"/>
        <v>29.414249999999999</v>
      </c>
      <c r="I227" s="11">
        <v>8</v>
      </c>
      <c r="J227" s="11">
        <v>1.5</v>
      </c>
      <c r="K227" s="11">
        <v>2</v>
      </c>
      <c r="L227" s="15">
        <f t="shared" si="41"/>
        <v>11.5</v>
      </c>
      <c r="M227" s="15">
        <f t="shared" si="49"/>
        <v>5</v>
      </c>
      <c r="N227" s="15">
        <f t="shared" si="42"/>
        <v>0.68828499999999992</v>
      </c>
      <c r="O227" s="15">
        <f t="shared" si="43"/>
        <v>33.725964999999995</v>
      </c>
      <c r="P227" s="15">
        <f t="shared" si="44"/>
        <v>11.5</v>
      </c>
      <c r="Q227" s="15">
        <f t="shared" si="45"/>
        <v>5</v>
      </c>
      <c r="R227" s="15">
        <f t="shared" si="46"/>
        <v>17.225964999999995</v>
      </c>
      <c r="S227" s="15">
        <f t="shared" si="47"/>
        <v>0</v>
      </c>
      <c r="T227" s="14" t="str">
        <f t="shared" si="48"/>
        <v>Satisfactorio</v>
      </c>
      <c r="U227" s="14">
        <f t="shared" si="50"/>
        <v>0</v>
      </c>
      <c r="V227" s="14">
        <f t="shared" si="51"/>
        <v>0</v>
      </c>
    </row>
    <row r="228" spans="1:22">
      <c r="A228" s="17">
        <v>35765</v>
      </c>
      <c r="B228" s="9">
        <v>1997</v>
      </c>
      <c r="C228" s="9" t="s">
        <v>110</v>
      </c>
      <c r="D228" s="11">
        <v>91.1</v>
      </c>
      <c r="E228" s="15">
        <f>'Hoja 4 - Cálculo'!$B$12</f>
        <v>250</v>
      </c>
      <c r="F228" s="15">
        <f>'Hoja 4 - Cálculo'!$B$13</f>
        <v>0.85</v>
      </c>
      <c r="G228" s="15">
        <f>'Hoja 4 - Cálculo'!$B$14</f>
        <v>0.9</v>
      </c>
      <c r="H228" s="15">
        <f t="shared" si="40"/>
        <v>17.422875000000001</v>
      </c>
      <c r="I228" s="11">
        <v>8</v>
      </c>
      <c r="J228" s="11">
        <v>6</v>
      </c>
      <c r="K228" s="11">
        <v>2</v>
      </c>
      <c r="L228" s="15">
        <f t="shared" si="41"/>
        <v>16</v>
      </c>
      <c r="M228" s="15">
        <f t="shared" si="49"/>
        <v>5</v>
      </c>
      <c r="N228" s="15">
        <f t="shared" si="42"/>
        <v>0.44845750000000001</v>
      </c>
      <c r="O228" s="15">
        <f t="shared" si="43"/>
        <v>21.974417500000001</v>
      </c>
      <c r="P228" s="15">
        <f t="shared" si="44"/>
        <v>16</v>
      </c>
      <c r="Q228" s="15">
        <f t="shared" si="45"/>
        <v>5</v>
      </c>
      <c r="R228" s="15">
        <f t="shared" si="46"/>
        <v>0.97441750000000127</v>
      </c>
      <c r="S228" s="15">
        <f t="shared" si="47"/>
        <v>0</v>
      </c>
      <c r="T228" s="14" t="str">
        <f t="shared" si="48"/>
        <v>Satisfactorio</v>
      </c>
      <c r="U228" s="14">
        <f t="shared" si="50"/>
        <v>0</v>
      </c>
      <c r="V228" s="14">
        <f t="shared" si="51"/>
        <v>0</v>
      </c>
    </row>
    <row r="229" spans="1:22">
      <c r="A229" s="17">
        <v>35796</v>
      </c>
      <c r="B229" s="9">
        <v>1998</v>
      </c>
      <c r="C229" s="9" t="s">
        <v>99</v>
      </c>
      <c r="D229" s="11">
        <v>65.2</v>
      </c>
      <c r="E229" s="15">
        <f>'Hoja 4 - Cálculo'!$B$12</f>
        <v>250</v>
      </c>
      <c r="F229" s="15">
        <f>'Hoja 4 - Cálculo'!$B$13</f>
        <v>0.85</v>
      </c>
      <c r="G229" s="15">
        <f>'Hoja 4 - Cálculo'!$B$14</f>
        <v>0.9</v>
      </c>
      <c r="H229" s="15">
        <f t="shared" si="40"/>
        <v>12.4695</v>
      </c>
      <c r="I229" s="11">
        <v>8</v>
      </c>
      <c r="J229" s="11">
        <v>6</v>
      </c>
      <c r="K229" s="11">
        <v>2</v>
      </c>
      <c r="L229" s="15">
        <f t="shared" si="41"/>
        <v>16</v>
      </c>
      <c r="M229" s="15">
        <f t="shared" si="49"/>
        <v>5</v>
      </c>
      <c r="N229" s="15">
        <f t="shared" si="42"/>
        <v>0.34939000000000003</v>
      </c>
      <c r="O229" s="15">
        <f t="shared" si="43"/>
        <v>17.12011</v>
      </c>
      <c r="P229" s="15">
        <f t="shared" si="44"/>
        <v>16</v>
      </c>
      <c r="Q229" s="15">
        <f t="shared" si="45"/>
        <v>1.1201100000000004</v>
      </c>
      <c r="R229" s="15">
        <f t="shared" si="46"/>
        <v>0</v>
      </c>
      <c r="S229" s="15">
        <f t="shared" si="47"/>
        <v>0</v>
      </c>
      <c r="T229" s="14" t="str">
        <f t="shared" si="48"/>
        <v>Satisfactorio</v>
      </c>
      <c r="U229" s="14">
        <f t="shared" si="50"/>
        <v>0</v>
      </c>
      <c r="V229" s="14">
        <f t="shared" si="51"/>
        <v>0</v>
      </c>
    </row>
    <row r="230" spans="1:22">
      <c r="A230" s="17">
        <v>35827</v>
      </c>
      <c r="B230" s="9">
        <v>1998</v>
      </c>
      <c r="C230" s="9" t="s">
        <v>100</v>
      </c>
      <c r="D230" s="11">
        <v>74.2</v>
      </c>
      <c r="E230" s="15">
        <f>'Hoja 4 - Cálculo'!$B$12</f>
        <v>250</v>
      </c>
      <c r="F230" s="15">
        <f>'Hoja 4 - Cálculo'!$B$13</f>
        <v>0.85</v>
      </c>
      <c r="G230" s="15">
        <f>'Hoja 4 - Cálculo'!$B$14</f>
        <v>0.9</v>
      </c>
      <c r="H230" s="15">
        <f t="shared" si="40"/>
        <v>14.19075</v>
      </c>
      <c r="I230" s="11">
        <v>8</v>
      </c>
      <c r="J230" s="11">
        <v>6</v>
      </c>
      <c r="K230" s="11">
        <v>2</v>
      </c>
      <c r="L230" s="15">
        <f t="shared" si="41"/>
        <v>16</v>
      </c>
      <c r="M230" s="15">
        <f t="shared" si="49"/>
        <v>1.1201100000000004</v>
      </c>
      <c r="N230" s="15">
        <f t="shared" si="42"/>
        <v>0.30621720000000002</v>
      </c>
      <c r="O230" s="15">
        <f t="shared" si="43"/>
        <v>15.004642799999999</v>
      </c>
      <c r="P230" s="15">
        <f t="shared" si="44"/>
        <v>15.004642799999999</v>
      </c>
      <c r="Q230" s="15">
        <f t="shared" si="45"/>
        <v>0</v>
      </c>
      <c r="R230" s="15">
        <f t="shared" si="46"/>
        <v>0</v>
      </c>
      <c r="S230" s="15">
        <f t="shared" si="47"/>
        <v>0.99535720000000083</v>
      </c>
      <c r="T230" s="14" t="str">
        <f t="shared" si="48"/>
        <v>Falla</v>
      </c>
      <c r="U230" s="14">
        <f t="shared" si="50"/>
        <v>0</v>
      </c>
      <c r="V230" s="14">
        <f t="shared" si="51"/>
        <v>1</v>
      </c>
    </row>
    <row r="231" spans="1:22">
      <c r="A231" s="17">
        <v>35855</v>
      </c>
      <c r="B231" s="9">
        <v>1998</v>
      </c>
      <c r="C231" s="9" t="s">
        <v>101</v>
      </c>
      <c r="D231" s="11">
        <v>107</v>
      </c>
      <c r="E231" s="15">
        <f>'Hoja 4 - Cálculo'!$B$12</f>
        <v>250</v>
      </c>
      <c r="F231" s="15">
        <f>'Hoja 4 - Cálculo'!$B$13</f>
        <v>0.85</v>
      </c>
      <c r="G231" s="15">
        <f>'Hoja 4 - Cálculo'!$B$14</f>
        <v>0.9</v>
      </c>
      <c r="H231" s="15">
        <f t="shared" si="40"/>
        <v>20.463750000000001</v>
      </c>
      <c r="I231" s="11">
        <v>8</v>
      </c>
      <c r="J231" s="11">
        <v>6</v>
      </c>
      <c r="K231" s="11">
        <v>2</v>
      </c>
      <c r="L231" s="15">
        <f t="shared" si="41"/>
        <v>16</v>
      </c>
      <c r="M231" s="15">
        <f t="shared" si="49"/>
        <v>0</v>
      </c>
      <c r="N231" s="15">
        <f t="shared" si="42"/>
        <v>0.40927500000000006</v>
      </c>
      <c r="O231" s="15">
        <f t="shared" si="43"/>
        <v>20.054475</v>
      </c>
      <c r="P231" s="15">
        <f t="shared" si="44"/>
        <v>16</v>
      </c>
      <c r="Q231" s="15">
        <f t="shared" si="45"/>
        <v>4.0544750000000001</v>
      </c>
      <c r="R231" s="15">
        <f t="shared" si="46"/>
        <v>0</v>
      </c>
      <c r="S231" s="15">
        <f t="shared" si="47"/>
        <v>0</v>
      </c>
      <c r="T231" s="14" t="str">
        <f t="shared" si="48"/>
        <v>Satisfactorio</v>
      </c>
      <c r="U231" s="14">
        <f t="shared" si="50"/>
        <v>1</v>
      </c>
      <c r="V231" s="14">
        <f t="shared" si="51"/>
        <v>0</v>
      </c>
    </row>
    <row r="232" spans="1:22">
      <c r="A232" s="17">
        <v>35886</v>
      </c>
      <c r="B232" s="9">
        <v>1998</v>
      </c>
      <c r="C232" s="9" t="s">
        <v>102</v>
      </c>
      <c r="D232" s="11">
        <v>148.19999999999999</v>
      </c>
      <c r="E232" s="15">
        <f>'Hoja 4 - Cálculo'!$B$12</f>
        <v>250</v>
      </c>
      <c r="F232" s="15">
        <f>'Hoja 4 - Cálculo'!$B$13</f>
        <v>0.85</v>
      </c>
      <c r="G232" s="15">
        <f>'Hoja 4 - Cálculo'!$B$14</f>
        <v>0.9</v>
      </c>
      <c r="H232" s="15">
        <f t="shared" si="40"/>
        <v>28.343250000000001</v>
      </c>
      <c r="I232" s="11">
        <v>8</v>
      </c>
      <c r="J232" s="11">
        <v>1.5</v>
      </c>
      <c r="K232" s="11">
        <v>2</v>
      </c>
      <c r="L232" s="15">
        <f t="shared" si="41"/>
        <v>11.5</v>
      </c>
      <c r="M232" s="15">
        <f t="shared" si="49"/>
        <v>4.0544750000000001</v>
      </c>
      <c r="N232" s="15">
        <f t="shared" si="42"/>
        <v>0.64795449999999999</v>
      </c>
      <c r="O232" s="15">
        <f t="shared" si="43"/>
        <v>31.7497705</v>
      </c>
      <c r="P232" s="15">
        <f t="shared" si="44"/>
        <v>11.5</v>
      </c>
      <c r="Q232" s="15">
        <f t="shared" si="45"/>
        <v>5</v>
      </c>
      <c r="R232" s="15">
        <f t="shared" si="46"/>
        <v>15.2497705</v>
      </c>
      <c r="S232" s="15">
        <f t="shared" si="47"/>
        <v>0</v>
      </c>
      <c r="T232" s="14" t="str">
        <f t="shared" si="48"/>
        <v>Satisfactorio</v>
      </c>
      <c r="U232" s="14">
        <f t="shared" si="50"/>
        <v>0</v>
      </c>
      <c r="V232" s="14">
        <f t="shared" si="51"/>
        <v>0</v>
      </c>
    </row>
    <row r="233" spans="1:22">
      <c r="A233" s="17">
        <v>35916</v>
      </c>
      <c r="B233" s="9">
        <v>1998</v>
      </c>
      <c r="C233" s="9" t="s">
        <v>103</v>
      </c>
      <c r="D233" s="11">
        <v>131.80000000000001</v>
      </c>
      <c r="E233" s="15">
        <f>'Hoja 4 - Cálculo'!$B$12</f>
        <v>250</v>
      </c>
      <c r="F233" s="15">
        <f>'Hoja 4 - Cálculo'!$B$13</f>
        <v>0.85</v>
      </c>
      <c r="G233" s="15">
        <f>'Hoja 4 - Cálculo'!$B$14</f>
        <v>0.9</v>
      </c>
      <c r="H233" s="15">
        <f t="shared" si="40"/>
        <v>25.20675</v>
      </c>
      <c r="I233" s="11">
        <v>8</v>
      </c>
      <c r="J233" s="11">
        <v>1.5</v>
      </c>
      <c r="K233" s="11">
        <v>2</v>
      </c>
      <c r="L233" s="15">
        <f t="shared" si="41"/>
        <v>11.5</v>
      </c>
      <c r="M233" s="15">
        <f t="shared" si="49"/>
        <v>5</v>
      </c>
      <c r="N233" s="15">
        <f t="shared" si="42"/>
        <v>0.60413499999999998</v>
      </c>
      <c r="O233" s="15">
        <f t="shared" si="43"/>
        <v>29.602615</v>
      </c>
      <c r="P233" s="15">
        <f t="shared" si="44"/>
        <v>11.5</v>
      </c>
      <c r="Q233" s="15">
        <f t="shared" si="45"/>
        <v>5</v>
      </c>
      <c r="R233" s="15">
        <f t="shared" si="46"/>
        <v>13.102615</v>
      </c>
      <c r="S233" s="15">
        <f t="shared" si="47"/>
        <v>0</v>
      </c>
      <c r="T233" s="14" t="str">
        <f t="shared" si="48"/>
        <v>Satisfactorio</v>
      </c>
      <c r="U233" s="14">
        <f t="shared" si="50"/>
        <v>0</v>
      </c>
      <c r="V233" s="14">
        <f t="shared" si="51"/>
        <v>0</v>
      </c>
    </row>
    <row r="234" spans="1:22">
      <c r="A234" s="17">
        <v>35947</v>
      </c>
      <c r="B234" s="9">
        <v>1998</v>
      </c>
      <c r="C234" s="9" t="s">
        <v>104</v>
      </c>
      <c r="D234" s="11">
        <v>79.099999999999994</v>
      </c>
      <c r="E234" s="15">
        <f>'Hoja 4 - Cálculo'!$B$12</f>
        <v>250</v>
      </c>
      <c r="F234" s="15">
        <f>'Hoja 4 - Cálculo'!$B$13</f>
        <v>0.85</v>
      </c>
      <c r="G234" s="15">
        <f>'Hoja 4 - Cálculo'!$B$14</f>
        <v>0.9</v>
      </c>
      <c r="H234" s="15">
        <f t="shared" si="40"/>
        <v>15.127875</v>
      </c>
      <c r="I234" s="11">
        <v>8</v>
      </c>
      <c r="J234" s="11">
        <v>1.5</v>
      </c>
      <c r="K234" s="11">
        <v>2</v>
      </c>
      <c r="L234" s="15">
        <f t="shared" si="41"/>
        <v>11.5</v>
      </c>
      <c r="M234" s="15">
        <f t="shared" si="49"/>
        <v>5</v>
      </c>
      <c r="N234" s="15">
        <f t="shared" si="42"/>
        <v>0.40255750000000001</v>
      </c>
      <c r="O234" s="15">
        <f t="shared" si="43"/>
        <v>19.725317499999999</v>
      </c>
      <c r="P234" s="15">
        <f t="shared" si="44"/>
        <v>11.5</v>
      </c>
      <c r="Q234" s="15">
        <f t="shared" si="45"/>
        <v>5</v>
      </c>
      <c r="R234" s="15">
        <f t="shared" si="46"/>
        <v>3.2253174999999992</v>
      </c>
      <c r="S234" s="15">
        <f t="shared" si="47"/>
        <v>0</v>
      </c>
      <c r="T234" s="14" t="str">
        <f t="shared" si="48"/>
        <v>Satisfactorio</v>
      </c>
      <c r="U234" s="14">
        <f t="shared" si="50"/>
        <v>0</v>
      </c>
      <c r="V234" s="14">
        <f t="shared" si="51"/>
        <v>0</v>
      </c>
    </row>
    <row r="235" spans="1:22">
      <c r="A235" s="17">
        <v>35977</v>
      </c>
      <c r="B235" s="9">
        <v>1998</v>
      </c>
      <c r="C235" s="9" t="s">
        <v>105</v>
      </c>
      <c r="D235" s="11">
        <v>64.8</v>
      </c>
      <c r="E235" s="15">
        <f>'Hoja 4 - Cálculo'!$B$12</f>
        <v>250</v>
      </c>
      <c r="F235" s="15">
        <f>'Hoja 4 - Cálculo'!$B$13</f>
        <v>0.85</v>
      </c>
      <c r="G235" s="15">
        <f>'Hoja 4 - Cálculo'!$B$14</f>
        <v>0.9</v>
      </c>
      <c r="H235" s="15">
        <f t="shared" si="40"/>
        <v>12.393000000000001</v>
      </c>
      <c r="I235" s="11">
        <v>8</v>
      </c>
      <c r="J235" s="11">
        <v>6</v>
      </c>
      <c r="K235" s="11">
        <v>2</v>
      </c>
      <c r="L235" s="15">
        <f t="shared" si="41"/>
        <v>16</v>
      </c>
      <c r="M235" s="15">
        <f t="shared" si="49"/>
        <v>5</v>
      </c>
      <c r="N235" s="15">
        <f t="shared" si="42"/>
        <v>0.34786</v>
      </c>
      <c r="O235" s="15">
        <f t="shared" si="43"/>
        <v>17.04514</v>
      </c>
      <c r="P235" s="15">
        <f t="shared" si="44"/>
        <v>16</v>
      </c>
      <c r="Q235" s="15">
        <f t="shared" si="45"/>
        <v>1.04514</v>
      </c>
      <c r="R235" s="15">
        <f t="shared" si="46"/>
        <v>0</v>
      </c>
      <c r="S235" s="15">
        <f t="shared" si="47"/>
        <v>0</v>
      </c>
      <c r="T235" s="14" t="str">
        <f t="shared" si="48"/>
        <v>Satisfactorio</v>
      </c>
      <c r="U235" s="14">
        <f t="shared" si="50"/>
        <v>0</v>
      </c>
      <c r="V235" s="14">
        <f t="shared" si="51"/>
        <v>0</v>
      </c>
    </row>
    <row r="236" spans="1:22">
      <c r="A236" s="17">
        <v>36008</v>
      </c>
      <c r="B236" s="9">
        <v>1998</v>
      </c>
      <c r="C236" s="9" t="s">
        <v>106</v>
      </c>
      <c r="D236" s="11">
        <v>69.5</v>
      </c>
      <c r="E236" s="15">
        <f>'Hoja 4 - Cálculo'!$B$12</f>
        <v>250</v>
      </c>
      <c r="F236" s="15">
        <f>'Hoja 4 - Cálculo'!$B$13</f>
        <v>0.85</v>
      </c>
      <c r="G236" s="15">
        <f>'Hoja 4 - Cálculo'!$B$14</f>
        <v>0.9</v>
      </c>
      <c r="H236" s="15">
        <f t="shared" si="40"/>
        <v>13.291874999999999</v>
      </c>
      <c r="I236" s="11">
        <v>8</v>
      </c>
      <c r="J236" s="11">
        <v>6</v>
      </c>
      <c r="K236" s="11">
        <v>2</v>
      </c>
      <c r="L236" s="15">
        <f t="shared" si="41"/>
        <v>16</v>
      </c>
      <c r="M236" s="15">
        <f t="shared" si="49"/>
        <v>1.04514</v>
      </c>
      <c r="N236" s="15">
        <f t="shared" si="42"/>
        <v>0.2867403</v>
      </c>
      <c r="O236" s="15">
        <f t="shared" si="43"/>
        <v>14.050274699999999</v>
      </c>
      <c r="P236" s="15">
        <f t="shared" si="44"/>
        <v>14.050274699999999</v>
      </c>
      <c r="Q236" s="15">
        <f t="shared" si="45"/>
        <v>0</v>
      </c>
      <c r="R236" s="15">
        <f t="shared" si="46"/>
        <v>0</v>
      </c>
      <c r="S236" s="15">
        <f t="shared" si="47"/>
        <v>1.9497253000000008</v>
      </c>
      <c r="T236" s="14" t="str">
        <f t="shared" si="48"/>
        <v>Falla</v>
      </c>
      <c r="U236" s="14">
        <f t="shared" si="50"/>
        <v>0</v>
      </c>
      <c r="V236" s="14">
        <f t="shared" si="51"/>
        <v>1</v>
      </c>
    </row>
    <row r="237" spans="1:22">
      <c r="A237" s="17">
        <v>36039</v>
      </c>
      <c r="B237" s="9">
        <v>1998</v>
      </c>
      <c r="C237" s="9" t="s">
        <v>107</v>
      </c>
      <c r="D237" s="11">
        <v>112</v>
      </c>
      <c r="E237" s="15">
        <f>'Hoja 4 - Cálculo'!$B$12</f>
        <v>250</v>
      </c>
      <c r="F237" s="15">
        <f>'Hoja 4 - Cálculo'!$B$13</f>
        <v>0.85</v>
      </c>
      <c r="G237" s="15">
        <f>'Hoja 4 - Cálculo'!$B$14</f>
        <v>0.9</v>
      </c>
      <c r="H237" s="15">
        <f t="shared" si="40"/>
        <v>21.42</v>
      </c>
      <c r="I237" s="11">
        <v>8</v>
      </c>
      <c r="J237" s="11">
        <v>1.5</v>
      </c>
      <c r="K237" s="11">
        <v>2</v>
      </c>
      <c r="L237" s="15">
        <f t="shared" si="41"/>
        <v>11.5</v>
      </c>
      <c r="M237" s="15">
        <f t="shared" si="49"/>
        <v>0</v>
      </c>
      <c r="N237" s="15">
        <f t="shared" si="42"/>
        <v>0.42840000000000006</v>
      </c>
      <c r="O237" s="15">
        <f t="shared" si="43"/>
        <v>20.991600000000002</v>
      </c>
      <c r="P237" s="15">
        <f t="shared" si="44"/>
        <v>11.5</v>
      </c>
      <c r="Q237" s="15">
        <f t="shared" si="45"/>
        <v>5</v>
      </c>
      <c r="R237" s="15">
        <f t="shared" si="46"/>
        <v>4.4916000000000018</v>
      </c>
      <c r="S237" s="15">
        <f t="shared" si="47"/>
        <v>0</v>
      </c>
      <c r="T237" s="14" t="str">
        <f t="shared" si="48"/>
        <v>Satisfactorio</v>
      </c>
      <c r="U237" s="14">
        <f t="shared" si="50"/>
        <v>1</v>
      </c>
      <c r="V237" s="14">
        <f t="shared" si="51"/>
        <v>0</v>
      </c>
    </row>
    <row r="238" spans="1:22">
      <c r="A238" s="17">
        <v>36069</v>
      </c>
      <c r="B238" s="9">
        <v>1998</v>
      </c>
      <c r="C238" s="9" t="s">
        <v>108</v>
      </c>
      <c r="D238" s="11">
        <v>151.30000000000001</v>
      </c>
      <c r="E238" s="15">
        <f>'Hoja 4 - Cálculo'!$B$12</f>
        <v>250</v>
      </c>
      <c r="F238" s="15">
        <f>'Hoja 4 - Cálculo'!$B$13</f>
        <v>0.85</v>
      </c>
      <c r="G238" s="15">
        <f>'Hoja 4 - Cálculo'!$B$14</f>
        <v>0.9</v>
      </c>
      <c r="H238" s="15">
        <f t="shared" si="40"/>
        <v>28.936125000000001</v>
      </c>
      <c r="I238" s="11">
        <v>8</v>
      </c>
      <c r="J238" s="11">
        <v>1.5</v>
      </c>
      <c r="K238" s="11">
        <v>2</v>
      </c>
      <c r="L238" s="15">
        <f t="shared" si="41"/>
        <v>11.5</v>
      </c>
      <c r="M238" s="15">
        <f t="shared" si="49"/>
        <v>5</v>
      </c>
      <c r="N238" s="15">
        <f t="shared" si="42"/>
        <v>0.67872250000000012</v>
      </c>
      <c r="O238" s="15">
        <f t="shared" si="43"/>
        <v>33.257402500000005</v>
      </c>
      <c r="P238" s="15">
        <f t="shared" si="44"/>
        <v>11.5</v>
      </c>
      <c r="Q238" s="15">
        <f t="shared" si="45"/>
        <v>5</v>
      </c>
      <c r="R238" s="15">
        <f t="shared" si="46"/>
        <v>16.757402500000005</v>
      </c>
      <c r="S238" s="15">
        <f t="shared" si="47"/>
        <v>0</v>
      </c>
      <c r="T238" s="14" t="str">
        <f t="shared" si="48"/>
        <v>Satisfactorio</v>
      </c>
      <c r="U238" s="14">
        <f t="shared" si="50"/>
        <v>0</v>
      </c>
      <c r="V238" s="14">
        <f t="shared" si="51"/>
        <v>0</v>
      </c>
    </row>
    <row r="239" spans="1:22">
      <c r="A239" s="17">
        <v>36100</v>
      </c>
      <c r="B239" s="9">
        <v>1998</v>
      </c>
      <c r="C239" s="9" t="s">
        <v>109</v>
      </c>
      <c r="D239" s="11">
        <v>129.80000000000001</v>
      </c>
      <c r="E239" s="15">
        <f>'Hoja 4 - Cálculo'!$B$12</f>
        <v>250</v>
      </c>
      <c r="F239" s="15">
        <f>'Hoja 4 - Cálculo'!$B$13</f>
        <v>0.85</v>
      </c>
      <c r="G239" s="15">
        <f>'Hoja 4 - Cálculo'!$B$14</f>
        <v>0.9</v>
      </c>
      <c r="H239" s="15">
        <f t="shared" si="40"/>
        <v>24.824250000000003</v>
      </c>
      <c r="I239" s="11">
        <v>8</v>
      </c>
      <c r="J239" s="11">
        <v>1.5</v>
      </c>
      <c r="K239" s="11">
        <v>2</v>
      </c>
      <c r="L239" s="15">
        <f t="shared" si="41"/>
        <v>11.5</v>
      </c>
      <c r="M239" s="15">
        <f t="shared" si="49"/>
        <v>5</v>
      </c>
      <c r="N239" s="15">
        <f t="shared" si="42"/>
        <v>0.59648500000000004</v>
      </c>
      <c r="O239" s="15">
        <f t="shared" si="43"/>
        <v>29.227765000000002</v>
      </c>
      <c r="P239" s="15">
        <f t="shared" si="44"/>
        <v>11.5</v>
      </c>
      <c r="Q239" s="15">
        <f t="shared" si="45"/>
        <v>5</v>
      </c>
      <c r="R239" s="15">
        <f t="shared" si="46"/>
        <v>12.727765000000002</v>
      </c>
      <c r="S239" s="15">
        <f t="shared" si="47"/>
        <v>0</v>
      </c>
      <c r="T239" s="14" t="str">
        <f t="shared" si="48"/>
        <v>Satisfactorio</v>
      </c>
      <c r="U239" s="14">
        <f t="shared" si="50"/>
        <v>0</v>
      </c>
      <c r="V239" s="14">
        <f t="shared" si="51"/>
        <v>0</v>
      </c>
    </row>
    <row r="240" spans="1:22">
      <c r="A240" s="17">
        <v>36130</v>
      </c>
      <c r="B240" s="9">
        <v>1998</v>
      </c>
      <c r="C240" s="9" t="s">
        <v>110</v>
      </c>
      <c r="D240" s="11">
        <v>78.2</v>
      </c>
      <c r="E240" s="15">
        <f>'Hoja 4 - Cálculo'!$B$12</f>
        <v>250</v>
      </c>
      <c r="F240" s="15">
        <f>'Hoja 4 - Cálculo'!$B$13</f>
        <v>0.85</v>
      </c>
      <c r="G240" s="15">
        <f>'Hoja 4 - Cálculo'!$B$14</f>
        <v>0.9</v>
      </c>
      <c r="H240" s="15">
        <f t="shared" si="40"/>
        <v>14.95575</v>
      </c>
      <c r="I240" s="11">
        <v>8</v>
      </c>
      <c r="J240" s="11">
        <v>6</v>
      </c>
      <c r="K240" s="11">
        <v>2</v>
      </c>
      <c r="L240" s="15">
        <f t="shared" si="41"/>
        <v>16</v>
      </c>
      <c r="M240" s="15">
        <f t="shared" si="49"/>
        <v>5</v>
      </c>
      <c r="N240" s="15">
        <f t="shared" si="42"/>
        <v>0.39911500000000005</v>
      </c>
      <c r="O240" s="15">
        <f t="shared" si="43"/>
        <v>19.556635000000004</v>
      </c>
      <c r="P240" s="15">
        <f t="shared" si="44"/>
        <v>16</v>
      </c>
      <c r="Q240" s="15">
        <f t="shared" si="45"/>
        <v>3.5566350000000035</v>
      </c>
      <c r="R240" s="15">
        <f t="shared" si="46"/>
        <v>0</v>
      </c>
      <c r="S240" s="15">
        <f t="shared" si="47"/>
        <v>0</v>
      </c>
      <c r="T240" s="14" t="str">
        <f t="shared" si="48"/>
        <v>Satisfactorio</v>
      </c>
      <c r="U240" s="14">
        <f t="shared" si="50"/>
        <v>0</v>
      </c>
      <c r="V240" s="14">
        <f t="shared" si="51"/>
        <v>0</v>
      </c>
    </row>
    <row r="241" spans="1:22">
      <c r="A241" s="17">
        <v>36161</v>
      </c>
      <c r="B241" s="9">
        <v>1999</v>
      </c>
      <c r="C241" s="9" t="s">
        <v>99</v>
      </c>
      <c r="D241" s="11">
        <v>58.1</v>
      </c>
      <c r="E241" s="15">
        <f>'Hoja 4 - Cálculo'!$B$12</f>
        <v>250</v>
      </c>
      <c r="F241" s="15">
        <f>'Hoja 4 - Cálculo'!$B$13</f>
        <v>0.85</v>
      </c>
      <c r="G241" s="15">
        <f>'Hoja 4 - Cálculo'!$B$14</f>
        <v>0.9</v>
      </c>
      <c r="H241" s="15">
        <f t="shared" si="40"/>
        <v>11.111625</v>
      </c>
      <c r="I241" s="11">
        <v>8</v>
      </c>
      <c r="J241" s="11">
        <v>6</v>
      </c>
      <c r="K241" s="11">
        <v>2</v>
      </c>
      <c r="L241" s="15">
        <f t="shared" si="41"/>
        <v>16</v>
      </c>
      <c r="M241" s="15">
        <f t="shared" si="49"/>
        <v>3.5566350000000035</v>
      </c>
      <c r="N241" s="15">
        <f t="shared" si="42"/>
        <v>0.2933652000000001</v>
      </c>
      <c r="O241" s="15">
        <f t="shared" si="43"/>
        <v>14.374894800000003</v>
      </c>
      <c r="P241" s="15">
        <f t="shared" si="44"/>
        <v>14.374894800000003</v>
      </c>
      <c r="Q241" s="15">
        <f t="shared" si="45"/>
        <v>0</v>
      </c>
      <c r="R241" s="15">
        <f t="shared" si="46"/>
        <v>0</v>
      </c>
      <c r="S241" s="15">
        <f t="shared" si="47"/>
        <v>1.6251051999999966</v>
      </c>
      <c r="T241" s="14" t="str">
        <f t="shared" si="48"/>
        <v>Falla</v>
      </c>
      <c r="U241" s="14">
        <f t="shared" si="50"/>
        <v>0</v>
      </c>
      <c r="V241" s="14">
        <f t="shared" si="51"/>
        <v>1</v>
      </c>
    </row>
    <row r="242" spans="1:22">
      <c r="A242" s="17">
        <v>36192</v>
      </c>
      <c r="B242" s="9">
        <v>1999</v>
      </c>
      <c r="C242" s="9" t="s">
        <v>100</v>
      </c>
      <c r="D242" s="11">
        <v>64.7</v>
      </c>
      <c r="E242" s="15">
        <f>'Hoja 4 - Cálculo'!$B$12</f>
        <v>250</v>
      </c>
      <c r="F242" s="15">
        <f>'Hoja 4 - Cálculo'!$B$13</f>
        <v>0.85</v>
      </c>
      <c r="G242" s="15">
        <f>'Hoja 4 - Cálculo'!$B$14</f>
        <v>0.9</v>
      </c>
      <c r="H242" s="15">
        <f t="shared" si="40"/>
        <v>12.373875</v>
      </c>
      <c r="I242" s="11">
        <v>8</v>
      </c>
      <c r="J242" s="11">
        <v>6</v>
      </c>
      <c r="K242" s="11">
        <v>2</v>
      </c>
      <c r="L242" s="15">
        <f t="shared" si="41"/>
        <v>16</v>
      </c>
      <c r="M242" s="15">
        <f t="shared" si="49"/>
        <v>0</v>
      </c>
      <c r="N242" s="15">
        <f t="shared" si="42"/>
        <v>0.24747750000000002</v>
      </c>
      <c r="O242" s="15">
        <f t="shared" si="43"/>
        <v>12.126397499999999</v>
      </c>
      <c r="P242" s="15">
        <f t="shared" si="44"/>
        <v>12.126397499999999</v>
      </c>
      <c r="Q242" s="15">
        <f t="shared" si="45"/>
        <v>0</v>
      </c>
      <c r="R242" s="15">
        <f t="shared" si="46"/>
        <v>0</v>
      </c>
      <c r="S242" s="15">
        <f t="shared" si="47"/>
        <v>3.8736025000000005</v>
      </c>
      <c r="T242" s="14" t="str">
        <f t="shared" si="48"/>
        <v>Falla</v>
      </c>
      <c r="U242" s="14">
        <f t="shared" si="50"/>
        <v>0</v>
      </c>
      <c r="V242" s="14">
        <f t="shared" si="51"/>
        <v>0</v>
      </c>
    </row>
    <row r="243" spans="1:22">
      <c r="A243" s="17">
        <v>36220</v>
      </c>
      <c r="B243" s="9">
        <v>1999</v>
      </c>
      <c r="C243" s="9" t="s">
        <v>101</v>
      </c>
      <c r="D243" s="11">
        <v>93</v>
      </c>
      <c r="E243" s="15">
        <f>'Hoja 4 - Cálculo'!$B$12</f>
        <v>250</v>
      </c>
      <c r="F243" s="15">
        <f>'Hoja 4 - Cálculo'!$B$13</f>
        <v>0.85</v>
      </c>
      <c r="G243" s="15">
        <f>'Hoja 4 - Cálculo'!$B$14</f>
        <v>0.9</v>
      </c>
      <c r="H243" s="15">
        <f t="shared" si="40"/>
        <v>17.786249999999999</v>
      </c>
      <c r="I243" s="11">
        <v>8</v>
      </c>
      <c r="J243" s="11">
        <v>6</v>
      </c>
      <c r="K243" s="11">
        <v>2</v>
      </c>
      <c r="L243" s="15">
        <f t="shared" si="41"/>
        <v>16</v>
      </c>
      <c r="M243" s="15">
        <f t="shared" si="49"/>
        <v>0</v>
      </c>
      <c r="N243" s="15">
        <f t="shared" si="42"/>
        <v>0.35572500000000001</v>
      </c>
      <c r="O243" s="15">
        <f t="shared" si="43"/>
        <v>17.430524999999999</v>
      </c>
      <c r="P243" s="15">
        <f t="shared" si="44"/>
        <v>16</v>
      </c>
      <c r="Q243" s="15">
        <f t="shared" si="45"/>
        <v>1.4305249999999994</v>
      </c>
      <c r="R243" s="15">
        <f t="shared" si="46"/>
        <v>0</v>
      </c>
      <c r="S243" s="15">
        <f t="shared" si="47"/>
        <v>0</v>
      </c>
      <c r="T243" s="14" t="str">
        <f t="shared" si="48"/>
        <v>Satisfactorio</v>
      </c>
      <c r="U243" s="14">
        <f t="shared" si="50"/>
        <v>1</v>
      </c>
      <c r="V243" s="14">
        <f t="shared" si="51"/>
        <v>0</v>
      </c>
    </row>
    <row r="244" spans="1:22">
      <c r="A244" s="17">
        <v>36251</v>
      </c>
      <c r="B244" s="9">
        <v>1999</v>
      </c>
      <c r="C244" s="9" t="s">
        <v>102</v>
      </c>
      <c r="D244" s="11">
        <v>132.19999999999999</v>
      </c>
      <c r="E244" s="15">
        <f>'Hoja 4 - Cálculo'!$B$12</f>
        <v>250</v>
      </c>
      <c r="F244" s="15">
        <f>'Hoja 4 - Cálculo'!$B$13</f>
        <v>0.85</v>
      </c>
      <c r="G244" s="15">
        <f>'Hoja 4 - Cálculo'!$B$14</f>
        <v>0.9</v>
      </c>
      <c r="H244" s="15">
        <f t="shared" si="40"/>
        <v>25.283249999999999</v>
      </c>
      <c r="I244" s="11">
        <v>8</v>
      </c>
      <c r="J244" s="11">
        <v>1.5</v>
      </c>
      <c r="K244" s="11">
        <v>2</v>
      </c>
      <c r="L244" s="15">
        <f t="shared" si="41"/>
        <v>11.5</v>
      </c>
      <c r="M244" s="15">
        <f t="shared" si="49"/>
        <v>1.4305249999999994</v>
      </c>
      <c r="N244" s="15">
        <f t="shared" si="42"/>
        <v>0.53427550000000001</v>
      </c>
      <c r="O244" s="15">
        <f t="shared" si="43"/>
        <v>26.179499499999999</v>
      </c>
      <c r="P244" s="15">
        <f t="shared" si="44"/>
        <v>11.5</v>
      </c>
      <c r="Q244" s="15">
        <f t="shared" si="45"/>
        <v>5</v>
      </c>
      <c r="R244" s="15">
        <f t="shared" si="46"/>
        <v>9.6794994999999986</v>
      </c>
      <c r="S244" s="15">
        <f t="shared" si="47"/>
        <v>0</v>
      </c>
      <c r="T244" s="14" t="str">
        <f t="shared" si="48"/>
        <v>Satisfactorio</v>
      </c>
      <c r="U244" s="14">
        <f t="shared" si="50"/>
        <v>0</v>
      </c>
      <c r="V244" s="14">
        <f t="shared" si="51"/>
        <v>0</v>
      </c>
    </row>
    <row r="245" spans="1:22">
      <c r="A245" s="17">
        <v>36281</v>
      </c>
      <c r="B245" s="9">
        <v>1999</v>
      </c>
      <c r="C245" s="9" t="s">
        <v>103</v>
      </c>
      <c r="D245" s="11">
        <v>123.2</v>
      </c>
      <c r="E245" s="15">
        <f>'Hoja 4 - Cálculo'!$B$12</f>
        <v>250</v>
      </c>
      <c r="F245" s="15">
        <f>'Hoja 4 - Cálculo'!$B$13</f>
        <v>0.85</v>
      </c>
      <c r="G245" s="15">
        <f>'Hoja 4 - Cálculo'!$B$14</f>
        <v>0.9</v>
      </c>
      <c r="H245" s="15">
        <f t="shared" si="40"/>
        <v>23.562000000000001</v>
      </c>
      <c r="I245" s="11">
        <v>8</v>
      </c>
      <c r="J245" s="11">
        <v>1.5</v>
      </c>
      <c r="K245" s="11">
        <v>2</v>
      </c>
      <c r="L245" s="15">
        <f t="shared" si="41"/>
        <v>11.5</v>
      </c>
      <c r="M245" s="15">
        <f t="shared" si="49"/>
        <v>5</v>
      </c>
      <c r="N245" s="15">
        <f t="shared" si="42"/>
        <v>0.57124000000000008</v>
      </c>
      <c r="O245" s="15">
        <f t="shared" si="43"/>
        <v>27.990760000000002</v>
      </c>
      <c r="P245" s="15">
        <f t="shared" si="44"/>
        <v>11.5</v>
      </c>
      <c r="Q245" s="15">
        <f t="shared" si="45"/>
        <v>5</v>
      </c>
      <c r="R245" s="15">
        <f t="shared" si="46"/>
        <v>11.490760000000002</v>
      </c>
      <c r="S245" s="15">
        <f t="shared" si="47"/>
        <v>0</v>
      </c>
      <c r="T245" s="14" t="str">
        <f t="shared" si="48"/>
        <v>Satisfactorio</v>
      </c>
      <c r="U245" s="14">
        <f t="shared" si="50"/>
        <v>0</v>
      </c>
      <c r="V245" s="14">
        <f t="shared" si="51"/>
        <v>0</v>
      </c>
    </row>
    <row r="246" spans="1:22">
      <c r="A246" s="17">
        <v>36312</v>
      </c>
      <c r="B246" s="9">
        <v>1999</v>
      </c>
      <c r="C246" s="9" t="s">
        <v>104</v>
      </c>
      <c r="D246" s="11">
        <v>77.5</v>
      </c>
      <c r="E246" s="15">
        <f>'Hoja 4 - Cálculo'!$B$12</f>
        <v>250</v>
      </c>
      <c r="F246" s="15">
        <f>'Hoja 4 - Cálculo'!$B$13</f>
        <v>0.85</v>
      </c>
      <c r="G246" s="15">
        <f>'Hoja 4 - Cálculo'!$B$14</f>
        <v>0.9</v>
      </c>
      <c r="H246" s="15">
        <f t="shared" si="40"/>
        <v>14.821875</v>
      </c>
      <c r="I246" s="11">
        <v>8</v>
      </c>
      <c r="J246" s="11">
        <v>1.5</v>
      </c>
      <c r="K246" s="11">
        <v>2</v>
      </c>
      <c r="L246" s="15">
        <f t="shared" si="41"/>
        <v>11.5</v>
      </c>
      <c r="M246" s="15">
        <f t="shared" si="49"/>
        <v>5</v>
      </c>
      <c r="N246" s="15">
        <f t="shared" si="42"/>
        <v>0.3964375</v>
      </c>
      <c r="O246" s="15">
        <f t="shared" si="43"/>
        <v>19.425437499999997</v>
      </c>
      <c r="P246" s="15">
        <f t="shared" si="44"/>
        <v>11.5</v>
      </c>
      <c r="Q246" s="15">
        <f t="shared" si="45"/>
        <v>5</v>
      </c>
      <c r="R246" s="15">
        <f t="shared" si="46"/>
        <v>2.9254374999999975</v>
      </c>
      <c r="S246" s="15">
        <f t="shared" si="47"/>
        <v>0</v>
      </c>
      <c r="T246" s="14" t="str">
        <f t="shared" si="48"/>
        <v>Satisfactorio</v>
      </c>
      <c r="U246" s="14">
        <f t="shared" si="50"/>
        <v>0</v>
      </c>
      <c r="V246" s="14">
        <f t="shared" si="51"/>
        <v>0</v>
      </c>
    </row>
    <row r="247" spans="1:22">
      <c r="A247" s="17">
        <v>36342</v>
      </c>
      <c r="B247" s="9">
        <v>1999</v>
      </c>
      <c r="C247" s="9" t="s">
        <v>105</v>
      </c>
      <c r="D247" s="11">
        <v>65.3</v>
      </c>
      <c r="E247" s="15">
        <f>'Hoja 4 - Cálculo'!$B$12</f>
        <v>250</v>
      </c>
      <c r="F247" s="15">
        <f>'Hoja 4 - Cálculo'!$B$13</f>
        <v>0.85</v>
      </c>
      <c r="G247" s="15">
        <f>'Hoja 4 - Cálculo'!$B$14</f>
        <v>0.9</v>
      </c>
      <c r="H247" s="15">
        <f t="shared" si="40"/>
        <v>12.488625000000001</v>
      </c>
      <c r="I247" s="11">
        <v>8</v>
      </c>
      <c r="J247" s="11">
        <v>6</v>
      </c>
      <c r="K247" s="11">
        <v>2</v>
      </c>
      <c r="L247" s="15">
        <f t="shared" si="41"/>
        <v>16</v>
      </c>
      <c r="M247" s="15">
        <f t="shared" si="49"/>
        <v>5</v>
      </c>
      <c r="N247" s="15">
        <f t="shared" si="42"/>
        <v>0.34977249999999999</v>
      </c>
      <c r="O247" s="15">
        <f t="shared" si="43"/>
        <v>17.138852499999999</v>
      </c>
      <c r="P247" s="15">
        <f t="shared" si="44"/>
        <v>16</v>
      </c>
      <c r="Q247" s="15">
        <f t="shared" si="45"/>
        <v>1.1388524999999987</v>
      </c>
      <c r="R247" s="15">
        <f t="shared" si="46"/>
        <v>0</v>
      </c>
      <c r="S247" s="15">
        <f t="shared" si="47"/>
        <v>0</v>
      </c>
      <c r="T247" s="14" t="str">
        <f t="shared" si="48"/>
        <v>Satisfactorio</v>
      </c>
      <c r="U247" s="14">
        <f t="shared" si="50"/>
        <v>0</v>
      </c>
      <c r="V247" s="14">
        <f t="shared" si="51"/>
        <v>0</v>
      </c>
    </row>
    <row r="248" spans="1:22">
      <c r="A248" s="17">
        <v>36373</v>
      </c>
      <c r="B248" s="9">
        <v>1999</v>
      </c>
      <c r="C248" s="9" t="s">
        <v>106</v>
      </c>
      <c r="D248" s="11">
        <v>69.8</v>
      </c>
      <c r="E248" s="15">
        <f>'Hoja 4 - Cálculo'!$B$12</f>
        <v>250</v>
      </c>
      <c r="F248" s="15">
        <f>'Hoja 4 - Cálculo'!$B$13</f>
        <v>0.85</v>
      </c>
      <c r="G248" s="15">
        <f>'Hoja 4 - Cálculo'!$B$14</f>
        <v>0.9</v>
      </c>
      <c r="H248" s="15">
        <f t="shared" si="40"/>
        <v>13.34925</v>
      </c>
      <c r="I248" s="11">
        <v>8</v>
      </c>
      <c r="J248" s="11">
        <v>6</v>
      </c>
      <c r="K248" s="11">
        <v>2</v>
      </c>
      <c r="L248" s="15">
        <f t="shared" si="41"/>
        <v>16</v>
      </c>
      <c r="M248" s="15">
        <f t="shared" si="49"/>
        <v>1.1388524999999987</v>
      </c>
      <c r="N248" s="15">
        <f t="shared" si="42"/>
        <v>0.28976204999999999</v>
      </c>
      <c r="O248" s="15">
        <f t="shared" si="43"/>
        <v>14.198340449999998</v>
      </c>
      <c r="P248" s="15">
        <f t="shared" si="44"/>
        <v>14.198340449999998</v>
      </c>
      <c r="Q248" s="15">
        <f t="shared" si="45"/>
        <v>0</v>
      </c>
      <c r="R248" s="15">
        <f t="shared" si="46"/>
        <v>0</v>
      </c>
      <c r="S248" s="15">
        <f t="shared" si="47"/>
        <v>1.8016595500000019</v>
      </c>
      <c r="T248" s="14" t="str">
        <f t="shared" si="48"/>
        <v>Falla</v>
      </c>
      <c r="U248" s="14">
        <f t="shared" si="50"/>
        <v>0</v>
      </c>
      <c r="V248" s="14">
        <f t="shared" si="51"/>
        <v>1</v>
      </c>
    </row>
    <row r="249" spans="1:22">
      <c r="A249" s="17">
        <v>36404</v>
      </c>
      <c r="B249" s="9">
        <v>1999</v>
      </c>
      <c r="C249" s="9" t="s">
        <v>107</v>
      </c>
      <c r="D249" s="11">
        <v>108.8</v>
      </c>
      <c r="E249" s="15">
        <f>'Hoja 4 - Cálculo'!$B$12</f>
        <v>250</v>
      </c>
      <c r="F249" s="15">
        <f>'Hoja 4 - Cálculo'!$B$13</f>
        <v>0.85</v>
      </c>
      <c r="G249" s="15">
        <f>'Hoja 4 - Cálculo'!$B$14</f>
        <v>0.9</v>
      </c>
      <c r="H249" s="15">
        <f t="shared" si="40"/>
        <v>20.808</v>
      </c>
      <c r="I249" s="11">
        <v>8</v>
      </c>
      <c r="J249" s="11">
        <v>1.5</v>
      </c>
      <c r="K249" s="11">
        <v>2</v>
      </c>
      <c r="L249" s="15">
        <f t="shared" si="41"/>
        <v>11.5</v>
      </c>
      <c r="M249" s="15">
        <f t="shared" si="49"/>
        <v>0</v>
      </c>
      <c r="N249" s="15">
        <f t="shared" si="42"/>
        <v>0.41616000000000003</v>
      </c>
      <c r="O249" s="15">
        <f t="shared" si="43"/>
        <v>20.391839999999998</v>
      </c>
      <c r="P249" s="15">
        <f t="shared" si="44"/>
        <v>11.5</v>
      </c>
      <c r="Q249" s="15">
        <f t="shared" si="45"/>
        <v>5</v>
      </c>
      <c r="R249" s="15">
        <f t="shared" si="46"/>
        <v>3.8918399999999984</v>
      </c>
      <c r="S249" s="15">
        <f t="shared" si="47"/>
        <v>0</v>
      </c>
      <c r="T249" s="14" t="str">
        <f t="shared" si="48"/>
        <v>Satisfactorio</v>
      </c>
      <c r="U249" s="14">
        <f t="shared" si="50"/>
        <v>1</v>
      </c>
      <c r="V249" s="14">
        <f t="shared" si="51"/>
        <v>0</v>
      </c>
    </row>
    <row r="250" spans="1:22">
      <c r="A250" s="17">
        <v>36434</v>
      </c>
      <c r="B250" s="9">
        <v>1999</v>
      </c>
      <c r="C250" s="9" t="s">
        <v>108</v>
      </c>
      <c r="D250" s="11">
        <v>139.9</v>
      </c>
      <c r="E250" s="15">
        <f>'Hoja 4 - Cálculo'!$B$12</f>
        <v>250</v>
      </c>
      <c r="F250" s="15">
        <f>'Hoja 4 - Cálculo'!$B$13</f>
        <v>0.85</v>
      </c>
      <c r="G250" s="15">
        <f>'Hoja 4 - Cálculo'!$B$14</f>
        <v>0.9</v>
      </c>
      <c r="H250" s="15">
        <f t="shared" si="40"/>
        <v>26.755875</v>
      </c>
      <c r="I250" s="11">
        <v>8</v>
      </c>
      <c r="J250" s="11">
        <v>1.5</v>
      </c>
      <c r="K250" s="11">
        <v>2</v>
      </c>
      <c r="L250" s="15">
        <f t="shared" si="41"/>
        <v>11.5</v>
      </c>
      <c r="M250" s="15">
        <f t="shared" si="49"/>
        <v>5</v>
      </c>
      <c r="N250" s="15">
        <f t="shared" si="42"/>
        <v>0.6351175</v>
      </c>
      <c r="O250" s="15">
        <f t="shared" si="43"/>
        <v>31.1207575</v>
      </c>
      <c r="P250" s="15">
        <f t="shared" si="44"/>
        <v>11.5</v>
      </c>
      <c r="Q250" s="15">
        <f t="shared" si="45"/>
        <v>5</v>
      </c>
      <c r="R250" s="15">
        <f t="shared" si="46"/>
        <v>14.6207575</v>
      </c>
      <c r="S250" s="15">
        <f t="shared" si="47"/>
        <v>0</v>
      </c>
      <c r="T250" s="14" t="str">
        <f t="shared" si="48"/>
        <v>Satisfactorio</v>
      </c>
      <c r="U250" s="14">
        <f t="shared" si="50"/>
        <v>0</v>
      </c>
      <c r="V250" s="14">
        <f t="shared" si="51"/>
        <v>0</v>
      </c>
    </row>
    <row r="251" spans="1:22">
      <c r="A251" s="17">
        <v>36465</v>
      </c>
      <c r="B251" s="9">
        <v>1999</v>
      </c>
      <c r="C251" s="9" t="s">
        <v>109</v>
      </c>
      <c r="D251" s="11">
        <v>114.7</v>
      </c>
      <c r="E251" s="15">
        <f>'Hoja 4 - Cálculo'!$B$12</f>
        <v>250</v>
      </c>
      <c r="F251" s="15">
        <f>'Hoja 4 - Cálculo'!$B$13</f>
        <v>0.85</v>
      </c>
      <c r="G251" s="15">
        <f>'Hoja 4 - Cálculo'!$B$14</f>
        <v>0.9</v>
      </c>
      <c r="H251" s="15">
        <f t="shared" si="40"/>
        <v>21.936375000000002</v>
      </c>
      <c r="I251" s="11">
        <v>8</v>
      </c>
      <c r="J251" s="11">
        <v>1.5</v>
      </c>
      <c r="K251" s="11">
        <v>2</v>
      </c>
      <c r="L251" s="15">
        <f t="shared" si="41"/>
        <v>11.5</v>
      </c>
      <c r="M251" s="15">
        <f t="shared" si="49"/>
        <v>5</v>
      </c>
      <c r="N251" s="15">
        <f t="shared" si="42"/>
        <v>0.53872750000000003</v>
      </c>
      <c r="O251" s="15">
        <f t="shared" si="43"/>
        <v>26.397647500000001</v>
      </c>
      <c r="P251" s="15">
        <f t="shared" si="44"/>
        <v>11.5</v>
      </c>
      <c r="Q251" s="15">
        <f t="shared" si="45"/>
        <v>5</v>
      </c>
      <c r="R251" s="15">
        <f t="shared" si="46"/>
        <v>9.8976475000000015</v>
      </c>
      <c r="S251" s="15">
        <f t="shared" si="47"/>
        <v>0</v>
      </c>
      <c r="T251" s="14" t="str">
        <f t="shared" si="48"/>
        <v>Satisfactorio</v>
      </c>
      <c r="U251" s="14">
        <f t="shared" si="50"/>
        <v>0</v>
      </c>
      <c r="V251" s="14">
        <f t="shared" si="51"/>
        <v>0</v>
      </c>
    </row>
    <row r="252" spans="1:22">
      <c r="A252" s="17">
        <v>36495</v>
      </c>
      <c r="B252" s="9">
        <v>1999</v>
      </c>
      <c r="C252" s="9" t="s">
        <v>110</v>
      </c>
      <c r="D252" s="11">
        <v>67.7</v>
      </c>
      <c r="E252" s="15">
        <f>'Hoja 4 - Cálculo'!$B$12</f>
        <v>250</v>
      </c>
      <c r="F252" s="15">
        <f>'Hoja 4 - Cálculo'!$B$13</f>
        <v>0.85</v>
      </c>
      <c r="G252" s="15">
        <f>'Hoja 4 - Cálculo'!$B$14</f>
        <v>0.9</v>
      </c>
      <c r="H252" s="15">
        <f t="shared" si="40"/>
        <v>12.947625</v>
      </c>
      <c r="I252" s="11">
        <v>8</v>
      </c>
      <c r="J252" s="11">
        <v>6</v>
      </c>
      <c r="K252" s="11">
        <v>2</v>
      </c>
      <c r="L252" s="15">
        <f t="shared" si="41"/>
        <v>16</v>
      </c>
      <c r="M252" s="15">
        <f t="shared" si="49"/>
        <v>5</v>
      </c>
      <c r="N252" s="15">
        <f t="shared" si="42"/>
        <v>0.35895250000000006</v>
      </c>
      <c r="O252" s="15">
        <f t="shared" si="43"/>
        <v>17.588672500000001</v>
      </c>
      <c r="P252" s="15">
        <f t="shared" si="44"/>
        <v>16</v>
      </c>
      <c r="Q252" s="15">
        <f t="shared" si="45"/>
        <v>1.5886725000000013</v>
      </c>
      <c r="R252" s="15">
        <f t="shared" si="46"/>
        <v>0</v>
      </c>
      <c r="S252" s="15">
        <f t="shared" si="47"/>
        <v>0</v>
      </c>
      <c r="T252" s="14" t="str">
        <f t="shared" si="48"/>
        <v>Satisfactorio</v>
      </c>
      <c r="U252" s="14">
        <f t="shared" si="50"/>
        <v>0</v>
      </c>
      <c r="V252" s="14">
        <f t="shared" si="51"/>
        <v>0</v>
      </c>
    </row>
    <row r="253" spans="1:22">
      <c r="A253" s="17">
        <v>36526</v>
      </c>
      <c r="B253" s="9">
        <v>2000</v>
      </c>
      <c r="C253" s="9" t="s">
        <v>99</v>
      </c>
      <c r="D253" s="11">
        <v>61.5</v>
      </c>
      <c r="E253" s="15">
        <f>'Hoja 4 - Cálculo'!$B$12</f>
        <v>250</v>
      </c>
      <c r="F253" s="15">
        <f>'Hoja 4 - Cálculo'!$B$13</f>
        <v>0.85</v>
      </c>
      <c r="G253" s="15">
        <f>'Hoja 4 - Cálculo'!$B$14</f>
        <v>0.9</v>
      </c>
      <c r="H253" s="15">
        <f t="shared" si="40"/>
        <v>11.761875</v>
      </c>
      <c r="I253" s="11">
        <v>8</v>
      </c>
      <c r="J253" s="11">
        <v>6</v>
      </c>
      <c r="K253" s="11">
        <v>2</v>
      </c>
      <c r="L253" s="15">
        <f t="shared" si="41"/>
        <v>16</v>
      </c>
      <c r="M253" s="15">
        <f t="shared" si="49"/>
        <v>1.5886725000000013</v>
      </c>
      <c r="N253" s="15">
        <f t="shared" si="42"/>
        <v>0.26701095000000002</v>
      </c>
      <c r="O253" s="15">
        <f t="shared" si="43"/>
        <v>13.083536550000002</v>
      </c>
      <c r="P253" s="15">
        <f t="shared" si="44"/>
        <v>13.083536550000002</v>
      </c>
      <c r="Q253" s="15">
        <f t="shared" si="45"/>
        <v>0</v>
      </c>
      <c r="R253" s="15">
        <f t="shared" si="46"/>
        <v>0</v>
      </c>
      <c r="S253" s="15">
        <f t="shared" si="47"/>
        <v>2.9164634499999984</v>
      </c>
      <c r="T253" s="14" t="str">
        <f t="shared" si="48"/>
        <v>Falla</v>
      </c>
      <c r="U253" s="14">
        <f t="shared" si="50"/>
        <v>0</v>
      </c>
      <c r="V253" s="14">
        <f t="shared" si="51"/>
        <v>1</v>
      </c>
    </row>
    <row r="254" spans="1:22">
      <c r="A254" s="17">
        <v>36557</v>
      </c>
      <c r="B254" s="9">
        <v>2000</v>
      </c>
      <c r="C254" s="9" t="s">
        <v>100</v>
      </c>
      <c r="D254" s="11">
        <v>69.7</v>
      </c>
      <c r="E254" s="15">
        <f>'Hoja 4 - Cálculo'!$B$12</f>
        <v>250</v>
      </c>
      <c r="F254" s="15">
        <f>'Hoja 4 - Cálculo'!$B$13</f>
        <v>0.85</v>
      </c>
      <c r="G254" s="15">
        <f>'Hoja 4 - Cálculo'!$B$14</f>
        <v>0.9</v>
      </c>
      <c r="H254" s="15">
        <f t="shared" si="40"/>
        <v>13.330125000000001</v>
      </c>
      <c r="I254" s="11">
        <v>8</v>
      </c>
      <c r="J254" s="11">
        <v>6</v>
      </c>
      <c r="K254" s="11">
        <v>2</v>
      </c>
      <c r="L254" s="15">
        <f t="shared" si="41"/>
        <v>16</v>
      </c>
      <c r="M254" s="15">
        <f t="shared" si="49"/>
        <v>0</v>
      </c>
      <c r="N254" s="15">
        <f t="shared" si="42"/>
        <v>0.26660250000000002</v>
      </c>
      <c r="O254" s="15">
        <f t="shared" si="43"/>
        <v>13.063522500000001</v>
      </c>
      <c r="P254" s="15">
        <f t="shared" si="44"/>
        <v>13.063522500000001</v>
      </c>
      <c r="Q254" s="15">
        <f t="shared" si="45"/>
        <v>0</v>
      </c>
      <c r="R254" s="15">
        <f t="shared" si="46"/>
        <v>0</v>
      </c>
      <c r="S254" s="15">
        <f t="shared" si="47"/>
        <v>2.9364774999999987</v>
      </c>
      <c r="T254" s="14" t="str">
        <f t="shared" si="48"/>
        <v>Falla</v>
      </c>
      <c r="U254" s="14">
        <f t="shared" si="50"/>
        <v>0</v>
      </c>
      <c r="V254" s="14">
        <f t="shared" si="51"/>
        <v>0</v>
      </c>
    </row>
    <row r="255" spans="1:22">
      <c r="A255" s="17">
        <v>36586</v>
      </c>
      <c r="B255" s="9">
        <v>2000</v>
      </c>
      <c r="C255" s="9" t="s">
        <v>101</v>
      </c>
      <c r="D255" s="11">
        <v>105.9</v>
      </c>
      <c r="E255" s="15">
        <f>'Hoja 4 - Cálculo'!$B$12</f>
        <v>250</v>
      </c>
      <c r="F255" s="15">
        <f>'Hoja 4 - Cálculo'!$B$13</f>
        <v>0.85</v>
      </c>
      <c r="G255" s="15">
        <f>'Hoja 4 - Cálculo'!$B$14</f>
        <v>0.9</v>
      </c>
      <c r="H255" s="15">
        <f t="shared" si="40"/>
        <v>20.253374999999998</v>
      </c>
      <c r="I255" s="11">
        <v>8</v>
      </c>
      <c r="J255" s="11">
        <v>6</v>
      </c>
      <c r="K255" s="11">
        <v>2</v>
      </c>
      <c r="L255" s="15">
        <f t="shared" si="41"/>
        <v>16</v>
      </c>
      <c r="M255" s="15">
        <f t="shared" si="49"/>
        <v>0</v>
      </c>
      <c r="N255" s="15">
        <f t="shared" si="42"/>
        <v>0.40506749999999997</v>
      </c>
      <c r="O255" s="15">
        <f t="shared" si="43"/>
        <v>19.848307499999997</v>
      </c>
      <c r="P255" s="15">
        <f t="shared" si="44"/>
        <v>16</v>
      </c>
      <c r="Q255" s="15">
        <f t="shared" si="45"/>
        <v>3.8483074999999971</v>
      </c>
      <c r="R255" s="15">
        <f t="shared" si="46"/>
        <v>0</v>
      </c>
      <c r="S255" s="15">
        <f t="shared" si="47"/>
        <v>0</v>
      </c>
      <c r="T255" s="14" t="str">
        <f t="shared" si="48"/>
        <v>Satisfactorio</v>
      </c>
      <c r="U255" s="14">
        <f t="shared" si="50"/>
        <v>1</v>
      </c>
      <c r="V255" s="14">
        <f t="shared" si="51"/>
        <v>0</v>
      </c>
    </row>
    <row r="256" spans="1:22">
      <c r="A256" s="17">
        <v>36617</v>
      </c>
      <c r="B256" s="9">
        <v>2000</v>
      </c>
      <c r="C256" s="9" t="s">
        <v>102</v>
      </c>
      <c r="D256" s="11">
        <v>156.19999999999999</v>
      </c>
      <c r="E256" s="15">
        <f>'Hoja 4 - Cálculo'!$B$12</f>
        <v>250</v>
      </c>
      <c r="F256" s="15">
        <f>'Hoja 4 - Cálculo'!$B$13</f>
        <v>0.85</v>
      </c>
      <c r="G256" s="15">
        <f>'Hoja 4 - Cálculo'!$B$14</f>
        <v>0.9</v>
      </c>
      <c r="H256" s="15">
        <f t="shared" si="40"/>
        <v>29.873249999999999</v>
      </c>
      <c r="I256" s="11">
        <v>8</v>
      </c>
      <c r="J256" s="11">
        <v>1.5</v>
      </c>
      <c r="K256" s="11">
        <v>2</v>
      </c>
      <c r="L256" s="15">
        <f t="shared" si="41"/>
        <v>11.5</v>
      </c>
      <c r="M256" s="15">
        <f t="shared" si="49"/>
        <v>3.8483074999999971</v>
      </c>
      <c r="N256" s="15">
        <f t="shared" si="42"/>
        <v>0.67443114999999998</v>
      </c>
      <c r="O256" s="15">
        <f t="shared" si="43"/>
        <v>33.047126349999999</v>
      </c>
      <c r="P256" s="15">
        <f t="shared" si="44"/>
        <v>11.5</v>
      </c>
      <c r="Q256" s="15">
        <f t="shared" si="45"/>
        <v>5</v>
      </c>
      <c r="R256" s="15">
        <f t="shared" si="46"/>
        <v>16.547126349999999</v>
      </c>
      <c r="S256" s="15">
        <f t="shared" si="47"/>
        <v>0</v>
      </c>
      <c r="T256" s="14" t="str">
        <f t="shared" si="48"/>
        <v>Satisfactorio</v>
      </c>
      <c r="U256" s="14">
        <f t="shared" si="50"/>
        <v>0</v>
      </c>
      <c r="V256" s="14">
        <f t="shared" si="51"/>
        <v>0</v>
      </c>
    </row>
    <row r="257" spans="1:22">
      <c r="A257" s="17">
        <v>36647</v>
      </c>
      <c r="B257" s="9">
        <v>2000</v>
      </c>
      <c r="C257" s="9" t="s">
        <v>103</v>
      </c>
      <c r="D257" s="11">
        <v>142.1</v>
      </c>
      <c r="E257" s="15">
        <f>'Hoja 4 - Cálculo'!$B$12</f>
        <v>250</v>
      </c>
      <c r="F257" s="15">
        <f>'Hoja 4 - Cálculo'!$B$13</f>
        <v>0.85</v>
      </c>
      <c r="G257" s="15">
        <f>'Hoja 4 - Cálculo'!$B$14</f>
        <v>0.9</v>
      </c>
      <c r="H257" s="15">
        <f t="shared" si="40"/>
        <v>27.176625000000001</v>
      </c>
      <c r="I257" s="11">
        <v>8</v>
      </c>
      <c r="J257" s="11">
        <v>1.5</v>
      </c>
      <c r="K257" s="11">
        <v>2</v>
      </c>
      <c r="L257" s="15">
        <f t="shared" si="41"/>
        <v>11.5</v>
      </c>
      <c r="M257" s="15">
        <f t="shared" si="49"/>
        <v>5</v>
      </c>
      <c r="N257" s="15">
        <f t="shared" si="42"/>
        <v>0.64353250000000006</v>
      </c>
      <c r="O257" s="15">
        <f t="shared" si="43"/>
        <v>31.533092500000002</v>
      </c>
      <c r="P257" s="15">
        <f t="shared" si="44"/>
        <v>11.5</v>
      </c>
      <c r="Q257" s="15">
        <f t="shared" si="45"/>
        <v>5</v>
      </c>
      <c r="R257" s="15">
        <f t="shared" si="46"/>
        <v>15.033092500000002</v>
      </c>
      <c r="S257" s="15">
        <f t="shared" si="47"/>
        <v>0</v>
      </c>
      <c r="T257" s="14" t="str">
        <f t="shared" si="48"/>
        <v>Satisfactorio</v>
      </c>
      <c r="U257" s="14">
        <f t="shared" si="50"/>
        <v>0</v>
      </c>
      <c r="V257" s="14">
        <f t="shared" si="51"/>
        <v>0</v>
      </c>
    </row>
    <row r="258" spans="1:22">
      <c r="A258" s="17">
        <v>36678</v>
      </c>
      <c r="B258" s="9">
        <v>2000</v>
      </c>
      <c r="C258" s="9" t="s">
        <v>104</v>
      </c>
      <c r="D258" s="11">
        <v>82.9</v>
      </c>
      <c r="E258" s="15">
        <f>'Hoja 4 - Cálculo'!$B$12</f>
        <v>250</v>
      </c>
      <c r="F258" s="15">
        <f>'Hoja 4 - Cálculo'!$B$13</f>
        <v>0.85</v>
      </c>
      <c r="G258" s="15">
        <f>'Hoja 4 - Cálculo'!$B$14</f>
        <v>0.9</v>
      </c>
      <c r="H258" s="15">
        <f t="shared" si="40"/>
        <v>15.854625</v>
      </c>
      <c r="I258" s="11">
        <v>8</v>
      </c>
      <c r="J258" s="11">
        <v>1.5</v>
      </c>
      <c r="K258" s="11">
        <v>2</v>
      </c>
      <c r="L258" s="15">
        <f t="shared" si="41"/>
        <v>11.5</v>
      </c>
      <c r="M258" s="15">
        <f t="shared" si="49"/>
        <v>5</v>
      </c>
      <c r="N258" s="15">
        <f t="shared" si="42"/>
        <v>0.41709249999999998</v>
      </c>
      <c r="O258" s="15">
        <f t="shared" si="43"/>
        <v>20.4375325</v>
      </c>
      <c r="P258" s="15">
        <f t="shared" si="44"/>
        <v>11.5</v>
      </c>
      <c r="Q258" s="15">
        <f t="shared" si="45"/>
        <v>5</v>
      </c>
      <c r="R258" s="15">
        <f t="shared" si="46"/>
        <v>3.9375324999999997</v>
      </c>
      <c r="S258" s="15">
        <f t="shared" si="47"/>
        <v>0</v>
      </c>
      <c r="T258" s="14" t="str">
        <f t="shared" si="48"/>
        <v>Satisfactorio</v>
      </c>
      <c r="U258" s="14">
        <f t="shared" si="50"/>
        <v>0</v>
      </c>
      <c r="V258" s="14">
        <f t="shared" si="51"/>
        <v>0</v>
      </c>
    </row>
    <row r="259" spans="1:22">
      <c r="A259" s="17">
        <v>36708</v>
      </c>
      <c r="B259" s="9">
        <v>2000</v>
      </c>
      <c r="C259" s="9" t="s">
        <v>105</v>
      </c>
      <c r="D259" s="11">
        <v>65.400000000000006</v>
      </c>
      <c r="E259" s="15">
        <f>'Hoja 4 - Cálculo'!$B$12</f>
        <v>250</v>
      </c>
      <c r="F259" s="15">
        <f>'Hoja 4 - Cálculo'!$B$13</f>
        <v>0.85</v>
      </c>
      <c r="G259" s="15">
        <f>'Hoja 4 - Cálculo'!$B$14</f>
        <v>0.9</v>
      </c>
      <c r="H259" s="15">
        <f t="shared" si="40"/>
        <v>12.507750000000001</v>
      </c>
      <c r="I259" s="11">
        <v>8</v>
      </c>
      <c r="J259" s="11">
        <v>6</v>
      </c>
      <c r="K259" s="11">
        <v>2</v>
      </c>
      <c r="L259" s="15">
        <f t="shared" si="41"/>
        <v>16</v>
      </c>
      <c r="M259" s="15">
        <f t="shared" si="49"/>
        <v>5</v>
      </c>
      <c r="N259" s="15">
        <f t="shared" si="42"/>
        <v>0.35015500000000005</v>
      </c>
      <c r="O259" s="15">
        <f t="shared" si="43"/>
        <v>17.157595000000001</v>
      </c>
      <c r="P259" s="15">
        <f t="shared" si="44"/>
        <v>16</v>
      </c>
      <c r="Q259" s="15">
        <f t="shared" si="45"/>
        <v>1.1575950000000006</v>
      </c>
      <c r="R259" s="15">
        <f t="shared" si="46"/>
        <v>0</v>
      </c>
      <c r="S259" s="15">
        <f t="shared" si="47"/>
        <v>0</v>
      </c>
      <c r="T259" s="14" t="str">
        <f t="shared" si="48"/>
        <v>Satisfactorio</v>
      </c>
      <c r="U259" s="14">
        <f t="shared" si="50"/>
        <v>0</v>
      </c>
      <c r="V259" s="14">
        <f t="shared" si="51"/>
        <v>0</v>
      </c>
    </row>
    <row r="260" spans="1:22">
      <c r="A260" s="17">
        <v>36739</v>
      </c>
      <c r="B260" s="9">
        <v>2000</v>
      </c>
      <c r="C260" s="9" t="s">
        <v>106</v>
      </c>
      <c r="D260" s="11">
        <v>70.3</v>
      </c>
      <c r="E260" s="15">
        <f>'Hoja 4 - Cálculo'!$B$12</f>
        <v>250</v>
      </c>
      <c r="F260" s="15">
        <f>'Hoja 4 - Cálculo'!$B$13</f>
        <v>0.85</v>
      </c>
      <c r="G260" s="15">
        <f>'Hoja 4 - Cálculo'!$B$14</f>
        <v>0.9</v>
      </c>
      <c r="H260" s="15">
        <f t="shared" si="40"/>
        <v>13.444875</v>
      </c>
      <c r="I260" s="11">
        <v>8</v>
      </c>
      <c r="J260" s="11">
        <v>6</v>
      </c>
      <c r="K260" s="11">
        <v>2</v>
      </c>
      <c r="L260" s="15">
        <f t="shared" si="41"/>
        <v>16</v>
      </c>
      <c r="M260" s="15">
        <f t="shared" si="49"/>
        <v>1.1575950000000006</v>
      </c>
      <c r="N260" s="15">
        <f t="shared" si="42"/>
        <v>0.29204940000000001</v>
      </c>
      <c r="O260" s="15">
        <f t="shared" si="43"/>
        <v>14.3104206</v>
      </c>
      <c r="P260" s="15">
        <f t="shared" si="44"/>
        <v>14.3104206</v>
      </c>
      <c r="Q260" s="15">
        <f t="shared" si="45"/>
        <v>0</v>
      </c>
      <c r="R260" s="15">
        <f t="shared" si="46"/>
        <v>0</v>
      </c>
      <c r="S260" s="15">
        <f t="shared" si="47"/>
        <v>1.6895793999999995</v>
      </c>
      <c r="T260" s="14" t="str">
        <f t="shared" si="48"/>
        <v>Falla</v>
      </c>
      <c r="U260" s="14">
        <f t="shared" si="50"/>
        <v>0</v>
      </c>
      <c r="V260" s="14">
        <f t="shared" si="51"/>
        <v>1</v>
      </c>
    </row>
    <row r="261" spans="1:22">
      <c r="A261" s="17">
        <v>36770</v>
      </c>
      <c r="B261" s="9">
        <v>2000</v>
      </c>
      <c r="C261" s="9" t="s">
        <v>107</v>
      </c>
      <c r="D261" s="11">
        <v>117.8</v>
      </c>
      <c r="E261" s="15">
        <f>'Hoja 4 - Cálculo'!$B$12</f>
        <v>250</v>
      </c>
      <c r="F261" s="15">
        <f>'Hoja 4 - Cálculo'!$B$13</f>
        <v>0.85</v>
      </c>
      <c r="G261" s="15">
        <f>'Hoja 4 - Cálculo'!$B$14</f>
        <v>0.9</v>
      </c>
      <c r="H261" s="15">
        <f t="shared" si="40"/>
        <v>22.529250000000001</v>
      </c>
      <c r="I261" s="11">
        <v>8</v>
      </c>
      <c r="J261" s="11">
        <v>1.5</v>
      </c>
      <c r="K261" s="11">
        <v>2</v>
      </c>
      <c r="L261" s="15">
        <f t="shared" si="41"/>
        <v>11.5</v>
      </c>
      <c r="M261" s="15">
        <f t="shared" si="49"/>
        <v>0</v>
      </c>
      <c r="N261" s="15">
        <f t="shared" si="42"/>
        <v>0.45058500000000001</v>
      </c>
      <c r="O261" s="15">
        <f t="shared" si="43"/>
        <v>22.078665000000001</v>
      </c>
      <c r="P261" s="15">
        <f t="shared" si="44"/>
        <v>11.5</v>
      </c>
      <c r="Q261" s="15">
        <f t="shared" si="45"/>
        <v>5</v>
      </c>
      <c r="R261" s="15">
        <f t="shared" si="46"/>
        <v>5.5786650000000009</v>
      </c>
      <c r="S261" s="15">
        <f t="shared" si="47"/>
        <v>0</v>
      </c>
      <c r="T261" s="14" t="str">
        <f t="shared" si="48"/>
        <v>Satisfactorio</v>
      </c>
      <c r="U261" s="14">
        <f t="shared" si="50"/>
        <v>1</v>
      </c>
      <c r="V261" s="14">
        <f t="shared" si="51"/>
        <v>0</v>
      </c>
    </row>
    <row r="262" spans="1:22">
      <c r="A262" s="17">
        <v>36800</v>
      </c>
      <c r="B262" s="9">
        <v>2000</v>
      </c>
      <c r="C262" s="9" t="s">
        <v>108</v>
      </c>
      <c r="D262" s="11">
        <v>162.69999999999999</v>
      </c>
      <c r="E262" s="15">
        <f>'Hoja 4 - Cálculo'!$B$12</f>
        <v>250</v>
      </c>
      <c r="F262" s="15">
        <f>'Hoja 4 - Cálculo'!$B$13</f>
        <v>0.85</v>
      </c>
      <c r="G262" s="15">
        <f>'Hoja 4 - Cálculo'!$B$14</f>
        <v>0.9</v>
      </c>
      <c r="H262" s="15">
        <f t="shared" si="40"/>
        <v>31.116375000000001</v>
      </c>
      <c r="I262" s="11">
        <v>8</v>
      </c>
      <c r="J262" s="11">
        <v>1.5</v>
      </c>
      <c r="K262" s="11">
        <v>2</v>
      </c>
      <c r="L262" s="15">
        <f t="shared" si="41"/>
        <v>11.5</v>
      </c>
      <c r="M262" s="15">
        <f t="shared" si="49"/>
        <v>5</v>
      </c>
      <c r="N262" s="15">
        <f t="shared" si="42"/>
        <v>0.72232750000000012</v>
      </c>
      <c r="O262" s="15">
        <f t="shared" si="43"/>
        <v>35.394047500000006</v>
      </c>
      <c r="P262" s="15">
        <f t="shared" si="44"/>
        <v>11.5</v>
      </c>
      <c r="Q262" s="15">
        <f t="shared" si="45"/>
        <v>5</v>
      </c>
      <c r="R262" s="15">
        <f t="shared" si="46"/>
        <v>18.894047500000006</v>
      </c>
      <c r="S262" s="15">
        <f t="shared" si="47"/>
        <v>0</v>
      </c>
      <c r="T262" s="14" t="str">
        <f t="shared" si="48"/>
        <v>Satisfactorio</v>
      </c>
      <c r="U262" s="14">
        <f t="shared" si="50"/>
        <v>0</v>
      </c>
      <c r="V262" s="14">
        <f t="shared" si="51"/>
        <v>0</v>
      </c>
    </row>
    <row r="263" spans="1:22">
      <c r="A263" s="17">
        <v>36831</v>
      </c>
      <c r="B263" s="9">
        <v>2000</v>
      </c>
      <c r="C263" s="9" t="s">
        <v>109</v>
      </c>
      <c r="D263" s="11">
        <v>135.5</v>
      </c>
      <c r="E263" s="15">
        <f>'Hoja 4 - Cálculo'!$B$12</f>
        <v>250</v>
      </c>
      <c r="F263" s="15">
        <f>'Hoja 4 - Cálculo'!$B$13</f>
        <v>0.85</v>
      </c>
      <c r="G263" s="15">
        <f>'Hoja 4 - Cálculo'!$B$14</f>
        <v>0.9</v>
      </c>
      <c r="H263" s="15">
        <f t="shared" si="40"/>
        <v>25.914375</v>
      </c>
      <c r="I263" s="11">
        <v>8</v>
      </c>
      <c r="J263" s="11">
        <v>1.5</v>
      </c>
      <c r="K263" s="11">
        <v>2</v>
      </c>
      <c r="L263" s="15">
        <f t="shared" si="41"/>
        <v>11.5</v>
      </c>
      <c r="M263" s="15">
        <f t="shared" si="49"/>
        <v>5</v>
      </c>
      <c r="N263" s="15">
        <f t="shared" si="42"/>
        <v>0.61828749999999999</v>
      </c>
      <c r="O263" s="15">
        <f t="shared" si="43"/>
        <v>30.296087499999999</v>
      </c>
      <c r="P263" s="15">
        <f t="shared" si="44"/>
        <v>11.5</v>
      </c>
      <c r="Q263" s="15">
        <f t="shared" si="45"/>
        <v>5</v>
      </c>
      <c r="R263" s="15">
        <f t="shared" si="46"/>
        <v>13.796087499999999</v>
      </c>
      <c r="S263" s="15">
        <f t="shared" si="47"/>
        <v>0</v>
      </c>
      <c r="T263" s="14" t="str">
        <f t="shared" si="48"/>
        <v>Satisfactorio</v>
      </c>
      <c r="U263" s="14">
        <f t="shared" si="50"/>
        <v>0</v>
      </c>
      <c r="V263" s="14">
        <f t="shared" si="51"/>
        <v>0</v>
      </c>
    </row>
    <row r="264" spans="1:22">
      <c r="A264" s="17">
        <v>36861</v>
      </c>
      <c r="B264" s="9">
        <v>2000</v>
      </c>
      <c r="C264" s="9" t="s">
        <v>110</v>
      </c>
      <c r="D264" s="11">
        <v>76.5</v>
      </c>
      <c r="E264" s="15">
        <f>'Hoja 4 - Cálculo'!$B$12</f>
        <v>250</v>
      </c>
      <c r="F264" s="15">
        <f>'Hoja 4 - Cálculo'!$B$13</f>
        <v>0.85</v>
      </c>
      <c r="G264" s="15">
        <f>'Hoja 4 - Cálculo'!$B$14</f>
        <v>0.9</v>
      </c>
      <c r="H264" s="15">
        <f t="shared" si="40"/>
        <v>14.630625</v>
      </c>
      <c r="I264" s="11">
        <v>8</v>
      </c>
      <c r="J264" s="11">
        <v>6</v>
      </c>
      <c r="K264" s="11">
        <v>2</v>
      </c>
      <c r="L264" s="15">
        <f t="shared" si="41"/>
        <v>16</v>
      </c>
      <c r="M264" s="15">
        <f t="shared" si="49"/>
        <v>5</v>
      </c>
      <c r="N264" s="15">
        <f t="shared" si="42"/>
        <v>0.39261250000000003</v>
      </c>
      <c r="O264" s="15">
        <f t="shared" si="43"/>
        <v>19.238012500000004</v>
      </c>
      <c r="P264" s="15">
        <f t="shared" si="44"/>
        <v>16</v>
      </c>
      <c r="Q264" s="15">
        <f t="shared" si="45"/>
        <v>3.2380125000000035</v>
      </c>
      <c r="R264" s="15">
        <f t="shared" si="46"/>
        <v>0</v>
      </c>
      <c r="S264" s="15">
        <f t="shared" si="47"/>
        <v>0</v>
      </c>
      <c r="T264" s="14" t="str">
        <f t="shared" si="48"/>
        <v>Satisfactorio</v>
      </c>
      <c r="U264" s="14">
        <f t="shared" si="50"/>
        <v>0</v>
      </c>
      <c r="V264" s="14">
        <f t="shared" si="51"/>
        <v>0</v>
      </c>
    </row>
    <row r="265" spans="1:22">
      <c r="A265" s="17">
        <v>36892</v>
      </c>
      <c r="B265" s="9">
        <v>2001</v>
      </c>
      <c r="C265" s="9" t="s">
        <v>99</v>
      </c>
      <c r="D265" s="11">
        <v>68.400000000000006</v>
      </c>
      <c r="E265" s="15">
        <f>'Hoja 4 - Cálculo'!$B$12</f>
        <v>250</v>
      </c>
      <c r="F265" s="15">
        <f>'Hoja 4 - Cálculo'!$B$13</f>
        <v>0.85</v>
      </c>
      <c r="G265" s="15">
        <f>'Hoja 4 - Cálculo'!$B$14</f>
        <v>0.9</v>
      </c>
      <c r="H265" s="15">
        <f t="shared" si="40"/>
        <v>13.0815</v>
      </c>
      <c r="I265" s="11">
        <v>8</v>
      </c>
      <c r="J265" s="11">
        <v>6</v>
      </c>
      <c r="K265" s="11">
        <v>2</v>
      </c>
      <c r="L265" s="15">
        <f t="shared" si="41"/>
        <v>16</v>
      </c>
      <c r="M265" s="15">
        <f t="shared" si="49"/>
        <v>3.2380125000000035</v>
      </c>
      <c r="N265" s="15">
        <f t="shared" si="42"/>
        <v>0.32639025000000005</v>
      </c>
      <c r="O265" s="15">
        <f t="shared" si="43"/>
        <v>15.993122250000003</v>
      </c>
      <c r="P265" s="15">
        <f t="shared" si="44"/>
        <v>15.993122250000003</v>
      </c>
      <c r="Q265" s="15">
        <f t="shared" si="45"/>
        <v>0</v>
      </c>
      <c r="R265" s="15">
        <f t="shared" si="46"/>
        <v>0</v>
      </c>
      <c r="S265" s="15">
        <f t="shared" si="47"/>
        <v>6.8777499999974623E-3</v>
      </c>
      <c r="T265" s="14" t="str">
        <f t="shared" si="48"/>
        <v>Falla</v>
      </c>
      <c r="U265" s="14">
        <f t="shared" si="50"/>
        <v>0</v>
      </c>
      <c r="V265" s="14">
        <f t="shared" si="51"/>
        <v>1</v>
      </c>
    </row>
    <row r="266" spans="1:22">
      <c r="A266" s="17">
        <v>36923</v>
      </c>
      <c r="B266" s="9">
        <v>2001</v>
      </c>
      <c r="C266" s="9" t="s">
        <v>100</v>
      </c>
      <c r="D266" s="11">
        <v>81.400000000000006</v>
      </c>
      <c r="E266" s="15">
        <f>'Hoja 4 - Cálculo'!$B$12</f>
        <v>250</v>
      </c>
      <c r="F266" s="15">
        <f>'Hoja 4 - Cálculo'!$B$13</f>
        <v>0.85</v>
      </c>
      <c r="G266" s="15">
        <f>'Hoja 4 - Cálculo'!$B$14</f>
        <v>0.9</v>
      </c>
      <c r="H266" s="15">
        <f t="shared" si="40"/>
        <v>15.56775</v>
      </c>
      <c r="I266" s="11">
        <v>8</v>
      </c>
      <c r="J266" s="11">
        <v>6</v>
      </c>
      <c r="K266" s="11">
        <v>2</v>
      </c>
      <c r="L266" s="15">
        <f t="shared" si="41"/>
        <v>16</v>
      </c>
      <c r="M266" s="15">
        <f t="shared" si="49"/>
        <v>0</v>
      </c>
      <c r="N266" s="15">
        <f t="shared" si="42"/>
        <v>0.31135499999999999</v>
      </c>
      <c r="O266" s="15">
        <f t="shared" si="43"/>
        <v>15.256394999999999</v>
      </c>
      <c r="P266" s="15">
        <f t="shared" si="44"/>
        <v>15.256394999999999</v>
      </c>
      <c r="Q266" s="15">
        <f t="shared" si="45"/>
        <v>0</v>
      </c>
      <c r="R266" s="15">
        <f t="shared" si="46"/>
        <v>0</v>
      </c>
      <c r="S266" s="15">
        <f t="shared" si="47"/>
        <v>0.74360500000000052</v>
      </c>
      <c r="T266" s="14" t="str">
        <f t="shared" si="48"/>
        <v>Falla</v>
      </c>
      <c r="U266" s="14">
        <f t="shared" si="50"/>
        <v>0</v>
      </c>
      <c r="V266" s="14">
        <f t="shared" si="51"/>
        <v>0</v>
      </c>
    </row>
    <row r="267" spans="1:22">
      <c r="A267" s="17">
        <v>36951</v>
      </c>
      <c r="B267" s="9">
        <v>2001</v>
      </c>
      <c r="C267" s="9" t="s">
        <v>101</v>
      </c>
      <c r="D267" s="11">
        <v>125.3</v>
      </c>
      <c r="E267" s="15">
        <f>'Hoja 4 - Cálculo'!$B$12</f>
        <v>250</v>
      </c>
      <c r="F267" s="15">
        <f>'Hoja 4 - Cálculo'!$B$13</f>
        <v>0.85</v>
      </c>
      <c r="G267" s="15">
        <f>'Hoja 4 - Cálculo'!$B$14</f>
        <v>0.9</v>
      </c>
      <c r="H267" s="15">
        <f t="shared" si="40"/>
        <v>23.963625</v>
      </c>
      <c r="I267" s="11">
        <v>8</v>
      </c>
      <c r="J267" s="11">
        <v>6</v>
      </c>
      <c r="K267" s="11">
        <v>2</v>
      </c>
      <c r="L267" s="15">
        <f t="shared" si="41"/>
        <v>16</v>
      </c>
      <c r="M267" s="15">
        <f t="shared" si="49"/>
        <v>0</v>
      </c>
      <c r="N267" s="15">
        <f t="shared" si="42"/>
        <v>0.47927249999999999</v>
      </c>
      <c r="O267" s="15">
        <f t="shared" si="43"/>
        <v>23.4843525</v>
      </c>
      <c r="P267" s="15">
        <f t="shared" si="44"/>
        <v>16</v>
      </c>
      <c r="Q267" s="15">
        <f t="shared" si="45"/>
        <v>5</v>
      </c>
      <c r="R267" s="15">
        <f t="shared" si="46"/>
        <v>2.4843525</v>
      </c>
      <c r="S267" s="15">
        <f t="shared" si="47"/>
        <v>0</v>
      </c>
      <c r="T267" s="14" t="str">
        <f t="shared" si="48"/>
        <v>Satisfactorio</v>
      </c>
      <c r="U267" s="14">
        <f t="shared" si="50"/>
        <v>1</v>
      </c>
      <c r="V267" s="14">
        <f t="shared" si="51"/>
        <v>0</v>
      </c>
    </row>
    <row r="268" spans="1:22">
      <c r="A268" s="17">
        <v>36982</v>
      </c>
      <c r="B268" s="9">
        <v>2001</v>
      </c>
      <c r="C268" s="9" t="s">
        <v>102</v>
      </c>
      <c r="D268" s="11">
        <v>172.8</v>
      </c>
      <c r="E268" s="15">
        <f>'Hoja 4 - Cálculo'!$B$12</f>
        <v>250</v>
      </c>
      <c r="F268" s="15">
        <f>'Hoja 4 - Cálculo'!$B$13</f>
        <v>0.85</v>
      </c>
      <c r="G268" s="15">
        <f>'Hoja 4 - Cálculo'!$B$14</f>
        <v>0.9</v>
      </c>
      <c r="H268" s="15">
        <f t="shared" si="40"/>
        <v>33.048000000000002</v>
      </c>
      <c r="I268" s="11">
        <v>8</v>
      </c>
      <c r="J268" s="11">
        <v>1.5</v>
      </c>
      <c r="K268" s="11">
        <v>2</v>
      </c>
      <c r="L268" s="15">
        <f t="shared" si="41"/>
        <v>11.5</v>
      </c>
      <c r="M268" s="15">
        <f t="shared" si="49"/>
        <v>5</v>
      </c>
      <c r="N268" s="15">
        <f t="shared" si="42"/>
        <v>0.76096000000000008</v>
      </c>
      <c r="O268" s="15">
        <f t="shared" si="43"/>
        <v>37.287040000000005</v>
      </c>
      <c r="P268" s="15">
        <f t="shared" si="44"/>
        <v>11.5</v>
      </c>
      <c r="Q268" s="15">
        <f t="shared" si="45"/>
        <v>5</v>
      </c>
      <c r="R268" s="15">
        <f t="shared" si="46"/>
        <v>20.787040000000005</v>
      </c>
      <c r="S268" s="15">
        <f t="shared" si="47"/>
        <v>0</v>
      </c>
      <c r="T268" s="14" t="str">
        <f t="shared" si="48"/>
        <v>Satisfactorio</v>
      </c>
      <c r="U268" s="14">
        <f t="shared" si="50"/>
        <v>0</v>
      </c>
      <c r="V268" s="14">
        <f t="shared" si="51"/>
        <v>0</v>
      </c>
    </row>
    <row r="269" spans="1:22">
      <c r="A269" s="17">
        <v>37012</v>
      </c>
      <c r="B269" s="9">
        <v>2001</v>
      </c>
      <c r="C269" s="9" t="s">
        <v>103</v>
      </c>
      <c r="D269" s="11">
        <v>148</v>
      </c>
      <c r="E269" s="15">
        <f>'Hoja 4 - Cálculo'!$B$12</f>
        <v>250</v>
      </c>
      <c r="F269" s="15">
        <f>'Hoja 4 - Cálculo'!$B$13</f>
        <v>0.85</v>
      </c>
      <c r="G269" s="15">
        <f>'Hoja 4 - Cálculo'!$B$14</f>
        <v>0.9</v>
      </c>
      <c r="H269" s="15">
        <f t="shared" si="40"/>
        <v>28.305</v>
      </c>
      <c r="I269" s="11">
        <v>8</v>
      </c>
      <c r="J269" s="11">
        <v>1.5</v>
      </c>
      <c r="K269" s="11">
        <v>2</v>
      </c>
      <c r="L269" s="15">
        <f t="shared" si="41"/>
        <v>11.5</v>
      </c>
      <c r="M269" s="15">
        <f t="shared" si="49"/>
        <v>5</v>
      </c>
      <c r="N269" s="15">
        <f t="shared" si="42"/>
        <v>0.66610000000000003</v>
      </c>
      <c r="O269" s="15">
        <f t="shared" si="43"/>
        <v>32.6389</v>
      </c>
      <c r="P269" s="15">
        <f t="shared" si="44"/>
        <v>11.5</v>
      </c>
      <c r="Q269" s="15">
        <f t="shared" si="45"/>
        <v>5</v>
      </c>
      <c r="R269" s="15">
        <f t="shared" si="46"/>
        <v>16.1389</v>
      </c>
      <c r="S269" s="15">
        <f t="shared" si="47"/>
        <v>0</v>
      </c>
      <c r="T269" s="14" t="str">
        <f t="shared" si="48"/>
        <v>Satisfactorio</v>
      </c>
      <c r="U269" s="14">
        <f t="shared" si="50"/>
        <v>0</v>
      </c>
      <c r="V269" s="14">
        <f t="shared" si="51"/>
        <v>0</v>
      </c>
    </row>
    <row r="270" spans="1:22">
      <c r="A270" s="17">
        <v>37043</v>
      </c>
      <c r="B270" s="9">
        <v>2001</v>
      </c>
      <c r="C270" s="9" t="s">
        <v>104</v>
      </c>
      <c r="D270" s="11">
        <v>91.1</v>
      </c>
      <c r="E270" s="15">
        <f>'Hoja 4 - Cálculo'!$B$12</f>
        <v>250</v>
      </c>
      <c r="F270" s="15">
        <f>'Hoja 4 - Cálculo'!$B$13</f>
        <v>0.85</v>
      </c>
      <c r="G270" s="15">
        <f>'Hoja 4 - Cálculo'!$B$14</f>
        <v>0.9</v>
      </c>
      <c r="H270" s="15">
        <f t="shared" si="40"/>
        <v>17.422875000000001</v>
      </c>
      <c r="I270" s="11">
        <v>8</v>
      </c>
      <c r="J270" s="11">
        <v>1.5</v>
      </c>
      <c r="K270" s="11">
        <v>2</v>
      </c>
      <c r="L270" s="15">
        <f t="shared" si="41"/>
        <v>11.5</v>
      </c>
      <c r="M270" s="15">
        <f t="shared" si="49"/>
        <v>5</v>
      </c>
      <c r="N270" s="15">
        <f t="shared" si="42"/>
        <v>0.44845750000000001</v>
      </c>
      <c r="O270" s="15">
        <f t="shared" si="43"/>
        <v>21.974417500000001</v>
      </c>
      <c r="P270" s="15">
        <f t="shared" si="44"/>
        <v>11.5</v>
      </c>
      <c r="Q270" s="15">
        <f t="shared" si="45"/>
        <v>5</v>
      </c>
      <c r="R270" s="15">
        <f t="shared" si="46"/>
        <v>5.4744175000000013</v>
      </c>
      <c r="S270" s="15">
        <f t="shared" si="47"/>
        <v>0</v>
      </c>
      <c r="T270" s="14" t="str">
        <f t="shared" si="48"/>
        <v>Satisfactorio</v>
      </c>
      <c r="U270" s="14">
        <f t="shared" si="50"/>
        <v>0</v>
      </c>
      <c r="V270" s="14">
        <f t="shared" si="51"/>
        <v>0</v>
      </c>
    </row>
    <row r="271" spans="1:22">
      <c r="A271" s="17">
        <v>37073</v>
      </c>
      <c r="B271" s="9">
        <v>2001</v>
      </c>
      <c r="C271" s="9" t="s">
        <v>105</v>
      </c>
      <c r="D271" s="11">
        <v>79.2</v>
      </c>
      <c r="E271" s="15">
        <f>'Hoja 4 - Cálculo'!$B$12</f>
        <v>250</v>
      </c>
      <c r="F271" s="15">
        <f>'Hoja 4 - Cálculo'!$B$13</f>
        <v>0.85</v>
      </c>
      <c r="G271" s="15">
        <f>'Hoja 4 - Cálculo'!$B$14</f>
        <v>0.9</v>
      </c>
      <c r="H271" s="15">
        <f t="shared" si="40"/>
        <v>15.147</v>
      </c>
      <c r="I271" s="11">
        <v>8</v>
      </c>
      <c r="J271" s="11">
        <v>6</v>
      </c>
      <c r="K271" s="11">
        <v>2</v>
      </c>
      <c r="L271" s="15">
        <f t="shared" si="41"/>
        <v>16</v>
      </c>
      <c r="M271" s="15">
        <f t="shared" si="49"/>
        <v>5</v>
      </c>
      <c r="N271" s="15">
        <f t="shared" si="42"/>
        <v>0.40293999999999996</v>
      </c>
      <c r="O271" s="15">
        <f t="shared" si="43"/>
        <v>19.744059999999998</v>
      </c>
      <c r="P271" s="15">
        <f t="shared" si="44"/>
        <v>16</v>
      </c>
      <c r="Q271" s="15">
        <f t="shared" si="45"/>
        <v>3.7440599999999975</v>
      </c>
      <c r="R271" s="15">
        <f t="shared" si="46"/>
        <v>0</v>
      </c>
      <c r="S271" s="15">
        <f t="shared" si="47"/>
        <v>0</v>
      </c>
      <c r="T271" s="14" t="str">
        <f t="shared" si="48"/>
        <v>Satisfactorio</v>
      </c>
      <c r="U271" s="14">
        <f t="shared" si="50"/>
        <v>0</v>
      </c>
      <c r="V271" s="14">
        <f t="shared" si="51"/>
        <v>0</v>
      </c>
    </row>
    <row r="272" spans="1:22">
      <c r="A272" s="17">
        <v>37104</v>
      </c>
      <c r="B272" s="9">
        <v>2001</v>
      </c>
      <c r="C272" s="9" t="s">
        <v>106</v>
      </c>
      <c r="D272" s="11">
        <v>84.5</v>
      </c>
      <c r="E272" s="15">
        <f>'Hoja 4 - Cálculo'!$B$12</f>
        <v>250</v>
      </c>
      <c r="F272" s="15">
        <f>'Hoja 4 - Cálculo'!$B$13</f>
        <v>0.85</v>
      </c>
      <c r="G272" s="15">
        <f>'Hoja 4 - Cálculo'!$B$14</f>
        <v>0.9</v>
      </c>
      <c r="H272" s="15">
        <f t="shared" si="40"/>
        <v>16.160625</v>
      </c>
      <c r="I272" s="11">
        <v>8</v>
      </c>
      <c r="J272" s="11">
        <v>6</v>
      </c>
      <c r="K272" s="11">
        <v>2</v>
      </c>
      <c r="L272" s="15">
        <f t="shared" si="41"/>
        <v>16</v>
      </c>
      <c r="M272" s="15">
        <f t="shared" si="49"/>
        <v>3.7440599999999975</v>
      </c>
      <c r="N272" s="15">
        <f t="shared" si="42"/>
        <v>0.39809369999999994</v>
      </c>
      <c r="O272" s="15">
        <f t="shared" si="43"/>
        <v>19.506591299999997</v>
      </c>
      <c r="P272" s="15">
        <f t="shared" si="44"/>
        <v>16</v>
      </c>
      <c r="Q272" s="15">
        <f t="shared" si="45"/>
        <v>3.5065912999999966</v>
      </c>
      <c r="R272" s="15">
        <f t="shared" si="46"/>
        <v>0</v>
      </c>
      <c r="S272" s="15">
        <f t="shared" si="47"/>
        <v>0</v>
      </c>
      <c r="T272" s="14" t="str">
        <f t="shared" si="48"/>
        <v>Satisfactorio</v>
      </c>
      <c r="U272" s="14">
        <f t="shared" si="50"/>
        <v>0</v>
      </c>
      <c r="V272" s="14">
        <f t="shared" si="51"/>
        <v>0</v>
      </c>
    </row>
    <row r="273" spans="1:22">
      <c r="A273" s="17">
        <v>37135</v>
      </c>
      <c r="B273" s="9">
        <v>2001</v>
      </c>
      <c r="C273" s="9" t="s">
        <v>107</v>
      </c>
      <c r="D273" s="11">
        <v>128</v>
      </c>
      <c r="E273" s="15">
        <f>'Hoja 4 - Cálculo'!$B$12</f>
        <v>250</v>
      </c>
      <c r="F273" s="15">
        <f>'Hoja 4 - Cálculo'!$B$13</f>
        <v>0.85</v>
      </c>
      <c r="G273" s="15">
        <f>'Hoja 4 - Cálculo'!$B$14</f>
        <v>0.9</v>
      </c>
      <c r="H273" s="15">
        <f t="shared" si="40"/>
        <v>24.48</v>
      </c>
      <c r="I273" s="11">
        <v>8</v>
      </c>
      <c r="J273" s="11">
        <v>1.5</v>
      </c>
      <c r="K273" s="11">
        <v>2</v>
      </c>
      <c r="L273" s="15">
        <f t="shared" si="41"/>
        <v>11.5</v>
      </c>
      <c r="M273" s="15">
        <f t="shared" si="49"/>
        <v>3.5065912999999966</v>
      </c>
      <c r="N273" s="15">
        <f t="shared" si="42"/>
        <v>0.55973182599999993</v>
      </c>
      <c r="O273" s="15">
        <f t="shared" si="43"/>
        <v>27.426859473999997</v>
      </c>
      <c r="P273" s="15">
        <f t="shared" si="44"/>
        <v>11.5</v>
      </c>
      <c r="Q273" s="15">
        <f t="shared" si="45"/>
        <v>5</v>
      </c>
      <c r="R273" s="15">
        <f t="shared" si="46"/>
        <v>10.926859473999997</v>
      </c>
      <c r="S273" s="15">
        <f t="shared" si="47"/>
        <v>0</v>
      </c>
      <c r="T273" s="14" t="str">
        <f t="shared" si="48"/>
        <v>Satisfactorio</v>
      </c>
      <c r="U273" s="14">
        <f t="shared" si="50"/>
        <v>0</v>
      </c>
      <c r="V273" s="14">
        <f t="shared" si="51"/>
        <v>0</v>
      </c>
    </row>
    <row r="274" spans="1:22">
      <c r="A274" s="17">
        <v>37165</v>
      </c>
      <c r="B274" s="9">
        <v>2001</v>
      </c>
      <c r="C274" s="9" t="s">
        <v>108</v>
      </c>
      <c r="D274" s="11">
        <v>169.7</v>
      </c>
      <c r="E274" s="15">
        <f>'Hoja 4 - Cálculo'!$B$12</f>
        <v>250</v>
      </c>
      <c r="F274" s="15">
        <f>'Hoja 4 - Cálculo'!$B$13</f>
        <v>0.85</v>
      </c>
      <c r="G274" s="15">
        <f>'Hoja 4 - Cálculo'!$B$14</f>
        <v>0.9</v>
      </c>
      <c r="H274" s="15">
        <f t="shared" si="40"/>
        <v>32.455125000000002</v>
      </c>
      <c r="I274" s="11">
        <v>8</v>
      </c>
      <c r="J274" s="11">
        <v>1.5</v>
      </c>
      <c r="K274" s="11">
        <v>2</v>
      </c>
      <c r="L274" s="15">
        <f t="shared" si="41"/>
        <v>11.5</v>
      </c>
      <c r="M274" s="15">
        <f t="shared" si="49"/>
        <v>5</v>
      </c>
      <c r="N274" s="15">
        <f t="shared" si="42"/>
        <v>0.74910250000000012</v>
      </c>
      <c r="O274" s="15">
        <f t="shared" si="43"/>
        <v>36.706022500000003</v>
      </c>
      <c r="P274" s="15">
        <f t="shared" si="44"/>
        <v>11.5</v>
      </c>
      <c r="Q274" s="15">
        <f t="shared" si="45"/>
        <v>5</v>
      </c>
      <c r="R274" s="15">
        <f t="shared" si="46"/>
        <v>20.206022500000003</v>
      </c>
      <c r="S274" s="15">
        <f t="shared" si="47"/>
        <v>0</v>
      </c>
      <c r="T274" s="14" t="str">
        <f t="shared" si="48"/>
        <v>Satisfactorio</v>
      </c>
      <c r="U274" s="14">
        <f t="shared" si="50"/>
        <v>0</v>
      </c>
      <c r="V274" s="14">
        <f t="shared" si="51"/>
        <v>0</v>
      </c>
    </row>
    <row r="275" spans="1:22">
      <c r="A275" s="17">
        <v>37196</v>
      </c>
      <c r="B275" s="9">
        <v>2001</v>
      </c>
      <c r="C275" s="9" t="s">
        <v>109</v>
      </c>
      <c r="D275" s="11">
        <v>151.19999999999999</v>
      </c>
      <c r="E275" s="15">
        <f>'Hoja 4 - Cálculo'!$B$12</f>
        <v>250</v>
      </c>
      <c r="F275" s="15">
        <f>'Hoja 4 - Cálculo'!$B$13</f>
        <v>0.85</v>
      </c>
      <c r="G275" s="15">
        <f>'Hoja 4 - Cálculo'!$B$14</f>
        <v>0.9</v>
      </c>
      <c r="H275" s="15">
        <f t="shared" si="40"/>
        <v>28.917000000000002</v>
      </c>
      <c r="I275" s="11">
        <v>8</v>
      </c>
      <c r="J275" s="11">
        <v>1.5</v>
      </c>
      <c r="K275" s="11">
        <v>2</v>
      </c>
      <c r="L275" s="15">
        <f t="shared" si="41"/>
        <v>11.5</v>
      </c>
      <c r="M275" s="15">
        <f t="shared" si="49"/>
        <v>5</v>
      </c>
      <c r="N275" s="15">
        <f t="shared" si="42"/>
        <v>0.67834000000000005</v>
      </c>
      <c r="O275" s="15">
        <f t="shared" si="43"/>
        <v>33.238660000000003</v>
      </c>
      <c r="P275" s="15">
        <f t="shared" si="44"/>
        <v>11.5</v>
      </c>
      <c r="Q275" s="15">
        <f t="shared" si="45"/>
        <v>5</v>
      </c>
      <c r="R275" s="15">
        <f t="shared" si="46"/>
        <v>16.738660000000003</v>
      </c>
      <c r="S275" s="15">
        <f t="shared" si="47"/>
        <v>0</v>
      </c>
      <c r="T275" s="14" t="str">
        <f t="shared" si="48"/>
        <v>Satisfactorio</v>
      </c>
      <c r="U275" s="14">
        <f t="shared" si="50"/>
        <v>0</v>
      </c>
      <c r="V275" s="14">
        <f t="shared" si="51"/>
        <v>0</v>
      </c>
    </row>
    <row r="276" spans="1:22">
      <c r="A276" s="17">
        <v>37226</v>
      </c>
      <c r="B276" s="9">
        <v>2001</v>
      </c>
      <c r="C276" s="9" t="s">
        <v>110</v>
      </c>
      <c r="D276" s="11">
        <v>90.9</v>
      </c>
      <c r="E276" s="15">
        <f>'Hoja 4 - Cálculo'!$B$12</f>
        <v>250</v>
      </c>
      <c r="F276" s="15">
        <f>'Hoja 4 - Cálculo'!$B$13</f>
        <v>0.85</v>
      </c>
      <c r="G276" s="15">
        <f>'Hoja 4 - Cálculo'!$B$14</f>
        <v>0.9</v>
      </c>
      <c r="H276" s="15">
        <f t="shared" si="40"/>
        <v>17.384625</v>
      </c>
      <c r="I276" s="11">
        <v>8</v>
      </c>
      <c r="J276" s="11">
        <v>6</v>
      </c>
      <c r="K276" s="11">
        <v>2</v>
      </c>
      <c r="L276" s="15">
        <f t="shared" si="41"/>
        <v>16</v>
      </c>
      <c r="M276" s="15">
        <f t="shared" si="49"/>
        <v>5</v>
      </c>
      <c r="N276" s="15">
        <f t="shared" si="42"/>
        <v>0.44769249999999999</v>
      </c>
      <c r="O276" s="15">
        <f t="shared" si="43"/>
        <v>21.936932500000001</v>
      </c>
      <c r="P276" s="15">
        <f t="shared" si="44"/>
        <v>16</v>
      </c>
      <c r="Q276" s="15">
        <f t="shared" si="45"/>
        <v>5</v>
      </c>
      <c r="R276" s="15">
        <f t="shared" si="46"/>
        <v>0.93693250000000106</v>
      </c>
      <c r="S276" s="15">
        <f t="shared" si="47"/>
        <v>0</v>
      </c>
      <c r="T276" s="14" t="str">
        <f t="shared" si="48"/>
        <v>Satisfactorio</v>
      </c>
      <c r="U276" s="14">
        <f t="shared" si="50"/>
        <v>0</v>
      </c>
      <c r="V276" s="14">
        <f t="shared" si="51"/>
        <v>0</v>
      </c>
    </row>
    <row r="277" spans="1:22">
      <c r="A277" s="17">
        <v>37257</v>
      </c>
      <c r="B277" s="9">
        <v>2002</v>
      </c>
      <c r="C277" s="9" t="s">
        <v>99</v>
      </c>
      <c r="D277" s="11">
        <v>67.5</v>
      </c>
      <c r="E277" s="15">
        <f>'Hoja 4 - Cálculo'!$B$12</f>
        <v>250</v>
      </c>
      <c r="F277" s="15">
        <f>'Hoja 4 - Cálculo'!$B$13</f>
        <v>0.85</v>
      </c>
      <c r="G277" s="15">
        <f>'Hoja 4 - Cálculo'!$B$14</f>
        <v>0.9</v>
      </c>
      <c r="H277" s="15">
        <f t="shared" si="40"/>
        <v>12.909375000000001</v>
      </c>
      <c r="I277" s="11">
        <v>8</v>
      </c>
      <c r="J277" s="11">
        <v>6</v>
      </c>
      <c r="K277" s="11">
        <v>2</v>
      </c>
      <c r="L277" s="15">
        <f t="shared" si="41"/>
        <v>16</v>
      </c>
      <c r="M277" s="15">
        <f t="shared" si="49"/>
        <v>5</v>
      </c>
      <c r="N277" s="15">
        <f t="shared" si="42"/>
        <v>0.35818750000000005</v>
      </c>
      <c r="O277" s="15">
        <f t="shared" si="43"/>
        <v>17.551187500000001</v>
      </c>
      <c r="P277" s="15">
        <f t="shared" si="44"/>
        <v>16</v>
      </c>
      <c r="Q277" s="15">
        <f t="shared" si="45"/>
        <v>1.5511875000000011</v>
      </c>
      <c r="R277" s="15">
        <f t="shared" si="46"/>
        <v>0</v>
      </c>
      <c r="S277" s="15">
        <f t="shared" si="47"/>
        <v>0</v>
      </c>
      <c r="T277" s="14" t="str">
        <f t="shared" si="48"/>
        <v>Satisfactorio</v>
      </c>
      <c r="U277" s="14">
        <f t="shared" si="50"/>
        <v>0</v>
      </c>
      <c r="V277" s="14">
        <f t="shared" si="51"/>
        <v>0</v>
      </c>
    </row>
    <row r="278" spans="1:22">
      <c r="A278" s="17">
        <v>37288</v>
      </c>
      <c r="B278" s="9">
        <v>2002</v>
      </c>
      <c r="C278" s="9" t="s">
        <v>100</v>
      </c>
      <c r="D278" s="11">
        <v>83.3</v>
      </c>
      <c r="E278" s="15">
        <f>'Hoja 4 - Cálculo'!$B$12</f>
        <v>250</v>
      </c>
      <c r="F278" s="15">
        <f>'Hoja 4 - Cálculo'!$B$13</f>
        <v>0.85</v>
      </c>
      <c r="G278" s="15">
        <f>'Hoja 4 - Cálculo'!$B$14</f>
        <v>0.9</v>
      </c>
      <c r="H278" s="15">
        <f t="shared" si="40"/>
        <v>15.931125</v>
      </c>
      <c r="I278" s="11">
        <v>8</v>
      </c>
      <c r="J278" s="11">
        <v>6</v>
      </c>
      <c r="K278" s="11">
        <v>2</v>
      </c>
      <c r="L278" s="15">
        <f t="shared" si="41"/>
        <v>16</v>
      </c>
      <c r="M278" s="15">
        <f t="shared" si="49"/>
        <v>1.5511875000000011</v>
      </c>
      <c r="N278" s="15">
        <f t="shared" si="42"/>
        <v>0.34964624999999999</v>
      </c>
      <c r="O278" s="15">
        <f t="shared" si="43"/>
        <v>17.13266625</v>
      </c>
      <c r="P278" s="15">
        <f t="shared" si="44"/>
        <v>16</v>
      </c>
      <c r="Q278" s="15">
        <f t="shared" si="45"/>
        <v>1.1326662499999998</v>
      </c>
      <c r="R278" s="15">
        <f t="shared" si="46"/>
        <v>0</v>
      </c>
      <c r="S278" s="15">
        <f t="shared" si="47"/>
        <v>0</v>
      </c>
      <c r="T278" s="14" t="str">
        <f t="shared" si="48"/>
        <v>Satisfactorio</v>
      </c>
      <c r="U278" s="14">
        <f t="shared" si="50"/>
        <v>0</v>
      </c>
      <c r="V278" s="14">
        <f t="shared" si="51"/>
        <v>0</v>
      </c>
    </row>
    <row r="279" spans="1:22">
      <c r="A279" s="17">
        <v>37316</v>
      </c>
      <c r="B279" s="9">
        <v>2002</v>
      </c>
      <c r="C279" s="9" t="s">
        <v>101</v>
      </c>
      <c r="D279" s="11">
        <v>120.4</v>
      </c>
      <c r="E279" s="15">
        <f>'Hoja 4 - Cálculo'!$B$12</f>
        <v>250</v>
      </c>
      <c r="F279" s="15">
        <f>'Hoja 4 - Cálculo'!$B$13</f>
        <v>0.85</v>
      </c>
      <c r="G279" s="15">
        <f>'Hoja 4 - Cálculo'!$B$14</f>
        <v>0.9</v>
      </c>
      <c r="H279" s="15">
        <f t="shared" si="40"/>
        <v>23.026499999999999</v>
      </c>
      <c r="I279" s="11">
        <v>8</v>
      </c>
      <c r="J279" s="11">
        <v>6</v>
      </c>
      <c r="K279" s="11">
        <v>2</v>
      </c>
      <c r="L279" s="15">
        <f t="shared" si="41"/>
        <v>16</v>
      </c>
      <c r="M279" s="15">
        <f t="shared" si="49"/>
        <v>1.1326662499999998</v>
      </c>
      <c r="N279" s="15">
        <f t="shared" si="42"/>
        <v>0.483183325</v>
      </c>
      <c r="O279" s="15">
        <f t="shared" si="43"/>
        <v>23.675982925</v>
      </c>
      <c r="P279" s="15">
        <f t="shared" si="44"/>
        <v>16</v>
      </c>
      <c r="Q279" s="15">
        <f t="shared" si="45"/>
        <v>5</v>
      </c>
      <c r="R279" s="15">
        <f t="shared" si="46"/>
        <v>2.6759829249999996</v>
      </c>
      <c r="S279" s="15">
        <f t="shared" si="47"/>
        <v>0</v>
      </c>
      <c r="T279" s="14" t="str">
        <f t="shared" si="48"/>
        <v>Satisfactorio</v>
      </c>
      <c r="U279" s="14">
        <f t="shared" si="50"/>
        <v>0</v>
      </c>
      <c r="V279" s="14">
        <f t="shared" si="51"/>
        <v>0</v>
      </c>
    </row>
    <row r="280" spans="1:22">
      <c r="A280" s="17">
        <v>37347</v>
      </c>
      <c r="B280" s="9">
        <v>2002</v>
      </c>
      <c r="C280" s="9" t="s">
        <v>102</v>
      </c>
      <c r="D280" s="11">
        <v>159.9</v>
      </c>
      <c r="E280" s="15">
        <f>'Hoja 4 - Cálculo'!$B$12</f>
        <v>250</v>
      </c>
      <c r="F280" s="15">
        <f>'Hoja 4 - Cálculo'!$B$13</f>
        <v>0.85</v>
      </c>
      <c r="G280" s="15">
        <f>'Hoja 4 - Cálculo'!$B$14</f>
        <v>0.9</v>
      </c>
      <c r="H280" s="15">
        <f t="shared" si="40"/>
        <v>30.580874999999999</v>
      </c>
      <c r="I280" s="11">
        <v>8</v>
      </c>
      <c r="J280" s="11">
        <v>1.5</v>
      </c>
      <c r="K280" s="11">
        <v>2</v>
      </c>
      <c r="L280" s="15">
        <f t="shared" si="41"/>
        <v>11.5</v>
      </c>
      <c r="M280" s="15">
        <f t="shared" si="49"/>
        <v>5</v>
      </c>
      <c r="N280" s="15">
        <f t="shared" si="42"/>
        <v>0.71161750000000001</v>
      </c>
      <c r="O280" s="15">
        <f t="shared" si="43"/>
        <v>34.869257499999996</v>
      </c>
      <c r="P280" s="15">
        <f t="shared" si="44"/>
        <v>11.5</v>
      </c>
      <c r="Q280" s="15">
        <f t="shared" si="45"/>
        <v>5</v>
      </c>
      <c r="R280" s="15">
        <f t="shared" si="46"/>
        <v>18.369257499999996</v>
      </c>
      <c r="S280" s="15">
        <f t="shared" si="47"/>
        <v>0</v>
      </c>
      <c r="T280" s="14" t="str">
        <f t="shared" si="48"/>
        <v>Satisfactorio</v>
      </c>
      <c r="U280" s="14">
        <f t="shared" si="50"/>
        <v>0</v>
      </c>
      <c r="V280" s="14">
        <f t="shared" si="51"/>
        <v>0</v>
      </c>
    </row>
    <row r="281" spans="1:22">
      <c r="A281" s="17">
        <v>37377</v>
      </c>
      <c r="B281" s="9">
        <v>2002</v>
      </c>
      <c r="C281" s="9" t="s">
        <v>103</v>
      </c>
      <c r="D281" s="11">
        <v>151.6</v>
      </c>
      <c r="E281" s="15">
        <f>'Hoja 4 - Cálculo'!$B$12</f>
        <v>250</v>
      </c>
      <c r="F281" s="15">
        <f>'Hoja 4 - Cálculo'!$B$13</f>
        <v>0.85</v>
      </c>
      <c r="G281" s="15">
        <f>'Hoja 4 - Cálculo'!$B$14</f>
        <v>0.9</v>
      </c>
      <c r="H281" s="15">
        <f t="shared" ref="H281:H344" si="52">D281*E281*F281*G281/1000</f>
        <v>28.993500000000001</v>
      </c>
      <c r="I281" s="11">
        <v>8</v>
      </c>
      <c r="J281" s="11">
        <v>1.5</v>
      </c>
      <c r="K281" s="11">
        <v>2</v>
      </c>
      <c r="L281" s="15">
        <f t="shared" ref="L281:L344" si="53">IF($B$9="Uso único",I281,IF($B$9="Uso múltiple",AVERAGE($I$25:$I$384)+AVERAGE($J$25:$J$384)+AVERAGE($K$25:$K$384),IF($B$9="Uso prioritario",I281+K281,I281+J281+K281)))</f>
        <v>11.5</v>
      </c>
      <c r="M281" s="15">
        <f t="shared" si="49"/>
        <v>5</v>
      </c>
      <c r="N281" s="15">
        <f t="shared" ref="N281:N344" si="54">MIN(M281+H281,(M281+H281)*$B$15)</f>
        <v>0.67986999999999997</v>
      </c>
      <c r="O281" s="15">
        <f t="shared" ref="O281:O344" si="55">MAX(0,M281+H281-N281)</f>
        <v>33.313629999999996</v>
      </c>
      <c r="P281" s="15">
        <f t="shared" ref="P281:P344" si="56">MIN(L281,O281)</f>
        <v>11.5</v>
      </c>
      <c r="Q281" s="15">
        <f t="shared" ref="Q281:Q344" si="57">MIN($B$10,MAX(0,O281-P281))</f>
        <v>5</v>
      </c>
      <c r="R281" s="15">
        <f t="shared" ref="R281:R344" si="58">MAX(0,O281-P281-$B$10)</f>
        <v>16.813629999999996</v>
      </c>
      <c r="S281" s="15">
        <f t="shared" ref="S281:S344" si="59">MAX(0,L281-P281)</f>
        <v>0</v>
      </c>
      <c r="T281" s="14" t="str">
        <f t="shared" ref="T281:T344" si="60">IF(P281&gt;=L281*$B$16,"Satisfactorio","Falla")</f>
        <v>Satisfactorio</v>
      </c>
      <c r="U281" s="14">
        <f t="shared" si="50"/>
        <v>0</v>
      </c>
      <c r="V281" s="14">
        <f t="shared" si="51"/>
        <v>0</v>
      </c>
    </row>
    <row r="282" spans="1:22">
      <c r="A282" s="17">
        <v>37408</v>
      </c>
      <c r="B282" s="9">
        <v>2002</v>
      </c>
      <c r="C282" s="9" t="s">
        <v>104</v>
      </c>
      <c r="D282" s="11">
        <v>94.9</v>
      </c>
      <c r="E282" s="15">
        <f>'Hoja 4 - Cálculo'!$B$12</f>
        <v>250</v>
      </c>
      <c r="F282" s="15">
        <f>'Hoja 4 - Cálculo'!$B$13</f>
        <v>0.85</v>
      </c>
      <c r="G282" s="15">
        <f>'Hoja 4 - Cálculo'!$B$14</f>
        <v>0.9</v>
      </c>
      <c r="H282" s="15">
        <f t="shared" si="52"/>
        <v>18.149625</v>
      </c>
      <c r="I282" s="11">
        <v>8</v>
      </c>
      <c r="J282" s="11">
        <v>1.5</v>
      </c>
      <c r="K282" s="11">
        <v>2</v>
      </c>
      <c r="L282" s="15">
        <f t="shared" si="53"/>
        <v>11.5</v>
      </c>
      <c r="M282" s="15">
        <f t="shared" ref="M282:M345" si="61">Q281</f>
        <v>5</v>
      </c>
      <c r="N282" s="15">
        <f t="shared" si="54"/>
        <v>0.46299250000000003</v>
      </c>
      <c r="O282" s="15">
        <f t="shared" si="55"/>
        <v>22.686632500000002</v>
      </c>
      <c r="P282" s="15">
        <f t="shared" si="56"/>
        <v>11.5</v>
      </c>
      <c r="Q282" s="15">
        <f t="shared" si="57"/>
        <v>5</v>
      </c>
      <c r="R282" s="15">
        <f t="shared" si="58"/>
        <v>6.1866325000000018</v>
      </c>
      <c r="S282" s="15">
        <f t="shared" si="59"/>
        <v>0</v>
      </c>
      <c r="T282" s="14" t="str">
        <f t="shared" si="60"/>
        <v>Satisfactorio</v>
      </c>
      <c r="U282" s="14">
        <f t="shared" ref="U282:U345" si="62">IF(AND(T281="Falla",T282="Satisfactorio"),1,0)</f>
        <v>0</v>
      </c>
      <c r="V282" s="14">
        <f t="shared" ref="V282:V345" si="63">IF(AND(T282="Falla",T281&lt;&gt;"Falla"),1,0)</f>
        <v>0</v>
      </c>
    </row>
    <row r="283" spans="1:22">
      <c r="A283" s="17">
        <v>37438</v>
      </c>
      <c r="B283" s="9">
        <v>2002</v>
      </c>
      <c r="C283" s="9" t="s">
        <v>105</v>
      </c>
      <c r="D283" s="11">
        <v>73.3</v>
      </c>
      <c r="E283" s="15">
        <f>'Hoja 4 - Cálculo'!$B$12</f>
        <v>250</v>
      </c>
      <c r="F283" s="15">
        <f>'Hoja 4 - Cálculo'!$B$13</f>
        <v>0.85</v>
      </c>
      <c r="G283" s="15">
        <f>'Hoja 4 - Cálculo'!$B$14</f>
        <v>0.9</v>
      </c>
      <c r="H283" s="15">
        <f t="shared" si="52"/>
        <v>14.018625</v>
      </c>
      <c r="I283" s="11">
        <v>8</v>
      </c>
      <c r="J283" s="11">
        <v>6</v>
      </c>
      <c r="K283" s="11">
        <v>2</v>
      </c>
      <c r="L283" s="15">
        <f t="shared" si="53"/>
        <v>16</v>
      </c>
      <c r="M283" s="15">
        <f t="shared" si="61"/>
        <v>5</v>
      </c>
      <c r="N283" s="15">
        <f t="shared" si="54"/>
        <v>0.3803725</v>
      </c>
      <c r="O283" s="15">
        <f t="shared" si="55"/>
        <v>18.6382525</v>
      </c>
      <c r="P283" s="15">
        <f t="shared" si="56"/>
        <v>16</v>
      </c>
      <c r="Q283" s="15">
        <f t="shared" si="57"/>
        <v>2.6382525000000001</v>
      </c>
      <c r="R283" s="15">
        <f t="shared" si="58"/>
        <v>0</v>
      </c>
      <c r="S283" s="15">
        <f t="shared" si="59"/>
        <v>0</v>
      </c>
      <c r="T283" s="14" t="str">
        <f t="shared" si="60"/>
        <v>Satisfactorio</v>
      </c>
      <c r="U283" s="14">
        <f t="shared" si="62"/>
        <v>0</v>
      </c>
      <c r="V283" s="14">
        <f t="shared" si="63"/>
        <v>0</v>
      </c>
    </row>
    <row r="284" spans="1:22">
      <c r="A284" s="17">
        <v>37469</v>
      </c>
      <c r="B284" s="9">
        <v>2002</v>
      </c>
      <c r="C284" s="9" t="s">
        <v>106</v>
      </c>
      <c r="D284" s="11">
        <v>78.900000000000006</v>
      </c>
      <c r="E284" s="15">
        <f>'Hoja 4 - Cálculo'!$B$12</f>
        <v>250</v>
      </c>
      <c r="F284" s="15">
        <f>'Hoja 4 - Cálculo'!$B$13</f>
        <v>0.85</v>
      </c>
      <c r="G284" s="15">
        <f>'Hoja 4 - Cálculo'!$B$14</f>
        <v>0.9</v>
      </c>
      <c r="H284" s="15">
        <f t="shared" si="52"/>
        <v>15.089625</v>
      </c>
      <c r="I284" s="11">
        <v>8</v>
      </c>
      <c r="J284" s="11">
        <v>6</v>
      </c>
      <c r="K284" s="11">
        <v>2</v>
      </c>
      <c r="L284" s="15">
        <f t="shared" si="53"/>
        <v>16</v>
      </c>
      <c r="M284" s="15">
        <f t="shared" si="61"/>
        <v>2.6382525000000001</v>
      </c>
      <c r="N284" s="15">
        <f t="shared" si="54"/>
        <v>0.35455754999999994</v>
      </c>
      <c r="O284" s="15">
        <f t="shared" si="55"/>
        <v>17.373319949999999</v>
      </c>
      <c r="P284" s="15">
        <f t="shared" si="56"/>
        <v>16</v>
      </c>
      <c r="Q284" s="15">
        <f t="shared" si="57"/>
        <v>1.3733199499999991</v>
      </c>
      <c r="R284" s="15">
        <f t="shared" si="58"/>
        <v>0</v>
      </c>
      <c r="S284" s="15">
        <f t="shared" si="59"/>
        <v>0</v>
      </c>
      <c r="T284" s="14" t="str">
        <f t="shared" si="60"/>
        <v>Satisfactorio</v>
      </c>
      <c r="U284" s="14">
        <f t="shared" si="62"/>
        <v>0</v>
      </c>
      <c r="V284" s="14">
        <f t="shared" si="63"/>
        <v>0</v>
      </c>
    </row>
    <row r="285" spans="1:22">
      <c r="A285" s="17">
        <v>37500</v>
      </c>
      <c r="B285" s="9">
        <v>2002</v>
      </c>
      <c r="C285" s="9" t="s">
        <v>107</v>
      </c>
      <c r="D285" s="11">
        <v>134.30000000000001</v>
      </c>
      <c r="E285" s="15">
        <f>'Hoja 4 - Cálculo'!$B$12</f>
        <v>250</v>
      </c>
      <c r="F285" s="15">
        <f>'Hoja 4 - Cálculo'!$B$13</f>
        <v>0.85</v>
      </c>
      <c r="G285" s="15">
        <f>'Hoja 4 - Cálculo'!$B$14</f>
        <v>0.9</v>
      </c>
      <c r="H285" s="15">
        <f t="shared" si="52"/>
        <v>25.684875000000002</v>
      </c>
      <c r="I285" s="11">
        <v>8</v>
      </c>
      <c r="J285" s="11">
        <v>1.5</v>
      </c>
      <c r="K285" s="11">
        <v>2</v>
      </c>
      <c r="L285" s="15">
        <f t="shared" si="53"/>
        <v>11.5</v>
      </c>
      <c r="M285" s="15">
        <f t="shared" si="61"/>
        <v>1.3733199499999991</v>
      </c>
      <c r="N285" s="15">
        <f t="shared" si="54"/>
        <v>0.54116389900000006</v>
      </c>
      <c r="O285" s="15">
        <f t="shared" si="55"/>
        <v>26.517031051</v>
      </c>
      <c r="P285" s="15">
        <f t="shared" si="56"/>
        <v>11.5</v>
      </c>
      <c r="Q285" s="15">
        <f t="shared" si="57"/>
        <v>5</v>
      </c>
      <c r="R285" s="15">
        <f t="shared" si="58"/>
        <v>10.017031051</v>
      </c>
      <c r="S285" s="15">
        <f t="shared" si="59"/>
        <v>0</v>
      </c>
      <c r="T285" s="14" t="str">
        <f t="shared" si="60"/>
        <v>Satisfactorio</v>
      </c>
      <c r="U285" s="14">
        <f t="shared" si="62"/>
        <v>0</v>
      </c>
      <c r="V285" s="14">
        <f t="shared" si="63"/>
        <v>0</v>
      </c>
    </row>
    <row r="286" spans="1:22">
      <c r="A286" s="17">
        <v>37530</v>
      </c>
      <c r="B286" s="9">
        <v>2002</v>
      </c>
      <c r="C286" s="9" t="s">
        <v>108</v>
      </c>
      <c r="D286" s="11">
        <v>172.1</v>
      </c>
      <c r="E286" s="15">
        <f>'Hoja 4 - Cálculo'!$B$12</f>
        <v>250</v>
      </c>
      <c r="F286" s="15">
        <f>'Hoja 4 - Cálculo'!$B$13</f>
        <v>0.85</v>
      </c>
      <c r="G286" s="15">
        <f>'Hoja 4 - Cálculo'!$B$14</f>
        <v>0.9</v>
      </c>
      <c r="H286" s="15">
        <f t="shared" si="52"/>
        <v>32.914124999999999</v>
      </c>
      <c r="I286" s="11">
        <v>8</v>
      </c>
      <c r="J286" s="11">
        <v>1.5</v>
      </c>
      <c r="K286" s="11">
        <v>2</v>
      </c>
      <c r="L286" s="15">
        <f t="shared" si="53"/>
        <v>11.5</v>
      </c>
      <c r="M286" s="15">
        <f t="shared" si="61"/>
        <v>5</v>
      </c>
      <c r="N286" s="15">
        <f t="shared" si="54"/>
        <v>0.75828249999999997</v>
      </c>
      <c r="O286" s="15">
        <f t="shared" si="55"/>
        <v>37.155842499999999</v>
      </c>
      <c r="P286" s="15">
        <f t="shared" si="56"/>
        <v>11.5</v>
      </c>
      <c r="Q286" s="15">
        <f t="shared" si="57"/>
        <v>5</v>
      </c>
      <c r="R286" s="15">
        <f t="shared" si="58"/>
        <v>20.655842499999999</v>
      </c>
      <c r="S286" s="15">
        <f t="shared" si="59"/>
        <v>0</v>
      </c>
      <c r="T286" s="14" t="str">
        <f t="shared" si="60"/>
        <v>Satisfactorio</v>
      </c>
      <c r="U286" s="14">
        <f t="shared" si="62"/>
        <v>0</v>
      </c>
      <c r="V286" s="14">
        <f t="shared" si="63"/>
        <v>0</v>
      </c>
    </row>
    <row r="287" spans="1:22">
      <c r="A287" s="17">
        <v>37561</v>
      </c>
      <c r="B287" s="9">
        <v>2002</v>
      </c>
      <c r="C287" s="9" t="s">
        <v>109</v>
      </c>
      <c r="D287" s="11">
        <v>139.5</v>
      </c>
      <c r="E287" s="15">
        <f>'Hoja 4 - Cálculo'!$B$12</f>
        <v>250</v>
      </c>
      <c r="F287" s="15">
        <f>'Hoja 4 - Cálculo'!$B$13</f>
        <v>0.85</v>
      </c>
      <c r="G287" s="15">
        <f>'Hoja 4 - Cálculo'!$B$14</f>
        <v>0.9</v>
      </c>
      <c r="H287" s="15">
        <f t="shared" si="52"/>
        <v>26.679375</v>
      </c>
      <c r="I287" s="11">
        <v>8</v>
      </c>
      <c r="J287" s="11">
        <v>1.5</v>
      </c>
      <c r="K287" s="11">
        <v>2</v>
      </c>
      <c r="L287" s="15">
        <f t="shared" si="53"/>
        <v>11.5</v>
      </c>
      <c r="M287" s="15">
        <f t="shared" si="61"/>
        <v>5</v>
      </c>
      <c r="N287" s="15">
        <f t="shared" si="54"/>
        <v>0.63358749999999997</v>
      </c>
      <c r="O287" s="15">
        <f t="shared" si="55"/>
        <v>31.045787499999999</v>
      </c>
      <c r="P287" s="15">
        <f t="shared" si="56"/>
        <v>11.5</v>
      </c>
      <c r="Q287" s="15">
        <f t="shared" si="57"/>
        <v>5</v>
      </c>
      <c r="R287" s="15">
        <f t="shared" si="58"/>
        <v>14.545787499999999</v>
      </c>
      <c r="S287" s="15">
        <f t="shared" si="59"/>
        <v>0</v>
      </c>
      <c r="T287" s="14" t="str">
        <f t="shared" si="60"/>
        <v>Satisfactorio</v>
      </c>
      <c r="U287" s="14">
        <f t="shared" si="62"/>
        <v>0</v>
      </c>
      <c r="V287" s="14">
        <f t="shared" si="63"/>
        <v>0</v>
      </c>
    </row>
    <row r="288" spans="1:22">
      <c r="A288" s="17">
        <v>37591</v>
      </c>
      <c r="B288" s="9">
        <v>2002</v>
      </c>
      <c r="C288" s="9" t="s">
        <v>110</v>
      </c>
      <c r="D288" s="11">
        <v>88.1</v>
      </c>
      <c r="E288" s="15">
        <f>'Hoja 4 - Cálculo'!$B$12</f>
        <v>250</v>
      </c>
      <c r="F288" s="15">
        <f>'Hoja 4 - Cálculo'!$B$13</f>
        <v>0.85</v>
      </c>
      <c r="G288" s="15">
        <f>'Hoja 4 - Cálculo'!$B$14</f>
        <v>0.9</v>
      </c>
      <c r="H288" s="15">
        <f t="shared" si="52"/>
        <v>16.849125000000001</v>
      </c>
      <c r="I288" s="11">
        <v>8</v>
      </c>
      <c r="J288" s="11">
        <v>6</v>
      </c>
      <c r="K288" s="11">
        <v>2</v>
      </c>
      <c r="L288" s="15">
        <f t="shared" si="53"/>
        <v>16</v>
      </c>
      <c r="M288" s="15">
        <f t="shared" si="61"/>
        <v>5</v>
      </c>
      <c r="N288" s="15">
        <f t="shared" si="54"/>
        <v>0.43698250000000005</v>
      </c>
      <c r="O288" s="15">
        <f t="shared" si="55"/>
        <v>21.412142500000002</v>
      </c>
      <c r="P288" s="15">
        <f t="shared" si="56"/>
        <v>16</v>
      </c>
      <c r="Q288" s="15">
        <f t="shared" si="57"/>
        <v>5</v>
      </c>
      <c r="R288" s="15">
        <f t="shared" si="58"/>
        <v>0.41214250000000163</v>
      </c>
      <c r="S288" s="15">
        <f t="shared" si="59"/>
        <v>0</v>
      </c>
      <c r="T288" s="14" t="str">
        <f t="shared" si="60"/>
        <v>Satisfactorio</v>
      </c>
      <c r="U288" s="14">
        <f t="shared" si="62"/>
        <v>0</v>
      </c>
      <c r="V288" s="14">
        <f t="shared" si="63"/>
        <v>0</v>
      </c>
    </row>
    <row r="289" spans="1:22">
      <c r="A289" s="17">
        <v>37622</v>
      </c>
      <c r="B289" s="9">
        <v>2003</v>
      </c>
      <c r="C289" s="9" t="s">
        <v>99</v>
      </c>
      <c r="D289" s="11">
        <v>60.5</v>
      </c>
      <c r="E289" s="15">
        <f>'Hoja 4 - Cálculo'!$B$12</f>
        <v>250</v>
      </c>
      <c r="F289" s="15">
        <f>'Hoja 4 - Cálculo'!$B$13</f>
        <v>0.85</v>
      </c>
      <c r="G289" s="15">
        <f>'Hoja 4 - Cálculo'!$B$14</f>
        <v>0.9</v>
      </c>
      <c r="H289" s="15">
        <f t="shared" si="52"/>
        <v>11.570625</v>
      </c>
      <c r="I289" s="11">
        <v>8</v>
      </c>
      <c r="J289" s="11">
        <v>6</v>
      </c>
      <c r="K289" s="11">
        <v>2</v>
      </c>
      <c r="L289" s="15">
        <f t="shared" si="53"/>
        <v>16</v>
      </c>
      <c r="M289" s="15">
        <f t="shared" si="61"/>
        <v>5</v>
      </c>
      <c r="N289" s="15">
        <f t="shared" si="54"/>
        <v>0.3314125</v>
      </c>
      <c r="O289" s="15">
        <f t="shared" si="55"/>
        <v>16.239212500000001</v>
      </c>
      <c r="P289" s="15">
        <f t="shared" si="56"/>
        <v>16</v>
      </c>
      <c r="Q289" s="15">
        <f t="shared" si="57"/>
        <v>0.23921250000000072</v>
      </c>
      <c r="R289" s="15">
        <f t="shared" si="58"/>
        <v>0</v>
      </c>
      <c r="S289" s="15">
        <f t="shared" si="59"/>
        <v>0</v>
      </c>
      <c r="T289" s="14" t="str">
        <f t="shared" si="60"/>
        <v>Satisfactorio</v>
      </c>
      <c r="U289" s="14">
        <f t="shared" si="62"/>
        <v>0</v>
      </c>
      <c r="V289" s="14">
        <f t="shared" si="63"/>
        <v>0</v>
      </c>
    </row>
    <row r="290" spans="1:22">
      <c r="A290" s="17">
        <v>37653</v>
      </c>
      <c r="B290" s="9">
        <v>2003</v>
      </c>
      <c r="C290" s="9" t="s">
        <v>100</v>
      </c>
      <c r="D290" s="11">
        <v>73.8</v>
      </c>
      <c r="E290" s="15">
        <f>'Hoja 4 - Cálculo'!$B$12</f>
        <v>250</v>
      </c>
      <c r="F290" s="15">
        <f>'Hoja 4 - Cálculo'!$B$13</f>
        <v>0.85</v>
      </c>
      <c r="G290" s="15">
        <f>'Hoja 4 - Cálculo'!$B$14</f>
        <v>0.9</v>
      </c>
      <c r="H290" s="15">
        <f t="shared" si="52"/>
        <v>14.11425</v>
      </c>
      <c r="I290" s="11">
        <v>8</v>
      </c>
      <c r="J290" s="11">
        <v>6</v>
      </c>
      <c r="K290" s="11">
        <v>2</v>
      </c>
      <c r="L290" s="15">
        <f t="shared" si="53"/>
        <v>16</v>
      </c>
      <c r="M290" s="15">
        <f t="shared" si="61"/>
        <v>0.23921250000000072</v>
      </c>
      <c r="N290" s="15">
        <f t="shared" si="54"/>
        <v>0.28706925</v>
      </c>
      <c r="O290" s="15">
        <f t="shared" si="55"/>
        <v>14.066393250000001</v>
      </c>
      <c r="P290" s="15">
        <f t="shared" si="56"/>
        <v>14.066393250000001</v>
      </c>
      <c r="Q290" s="15">
        <f t="shared" si="57"/>
        <v>0</v>
      </c>
      <c r="R290" s="15">
        <f t="shared" si="58"/>
        <v>0</v>
      </c>
      <c r="S290" s="15">
        <f t="shared" si="59"/>
        <v>1.9336067499999992</v>
      </c>
      <c r="T290" s="14" t="str">
        <f t="shared" si="60"/>
        <v>Falla</v>
      </c>
      <c r="U290" s="14">
        <f t="shared" si="62"/>
        <v>0</v>
      </c>
      <c r="V290" s="14">
        <f t="shared" si="63"/>
        <v>1</v>
      </c>
    </row>
    <row r="291" spans="1:22">
      <c r="A291" s="17">
        <v>37681</v>
      </c>
      <c r="B291" s="9">
        <v>2003</v>
      </c>
      <c r="C291" s="9" t="s">
        <v>101</v>
      </c>
      <c r="D291" s="11">
        <v>99.4</v>
      </c>
      <c r="E291" s="15">
        <f>'Hoja 4 - Cálculo'!$B$12</f>
        <v>250</v>
      </c>
      <c r="F291" s="15">
        <f>'Hoja 4 - Cálculo'!$B$13</f>
        <v>0.85</v>
      </c>
      <c r="G291" s="15">
        <f>'Hoja 4 - Cálculo'!$B$14</f>
        <v>0.9</v>
      </c>
      <c r="H291" s="15">
        <f t="shared" si="52"/>
        <v>19.010249999999999</v>
      </c>
      <c r="I291" s="11">
        <v>8</v>
      </c>
      <c r="J291" s="11">
        <v>6</v>
      </c>
      <c r="K291" s="11">
        <v>2</v>
      </c>
      <c r="L291" s="15">
        <f t="shared" si="53"/>
        <v>16</v>
      </c>
      <c r="M291" s="15">
        <f t="shared" si="61"/>
        <v>0</v>
      </c>
      <c r="N291" s="15">
        <f t="shared" si="54"/>
        <v>0.38020500000000002</v>
      </c>
      <c r="O291" s="15">
        <f t="shared" si="55"/>
        <v>18.630044999999999</v>
      </c>
      <c r="P291" s="15">
        <f t="shared" si="56"/>
        <v>16</v>
      </c>
      <c r="Q291" s="15">
        <f t="shared" si="57"/>
        <v>2.6300449999999991</v>
      </c>
      <c r="R291" s="15">
        <f t="shared" si="58"/>
        <v>0</v>
      </c>
      <c r="S291" s="15">
        <f t="shared" si="59"/>
        <v>0</v>
      </c>
      <c r="T291" s="14" t="str">
        <f t="shared" si="60"/>
        <v>Satisfactorio</v>
      </c>
      <c r="U291" s="14">
        <f t="shared" si="62"/>
        <v>1</v>
      </c>
      <c r="V291" s="14">
        <f t="shared" si="63"/>
        <v>0</v>
      </c>
    </row>
    <row r="292" spans="1:22">
      <c r="A292" s="17">
        <v>37712</v>
      </c>
      <c r="B292" s="9">
        <v>2003</v>
      </c>
      <c r="C292" s="9" t="s">
        <v>102</v>
      </c>
      <c r="D292" s="11">
        <v>147.1</v>
      </c>
      <c r="E292" s="15">
        <f>'Hoja 4 - Cálculo'!$B$12</f>
        <v>250</v>
      </c>
      <c r="F292" s="15">
        <f>'Hoja 4 - Cálculo'!$B$13</f>
        <v>0.85</v>
      </c>
      <c r="G292" s="15">
        <f>'Hoja 4 - Cálculo'!$B$14</f>
        <v>0.9</v>
      </c>
      <c r="H292" s="15">
        <f t="shared" si="52"/>
        <v>28.132874999999999</v>
      </c>
      <c r="I292" s="11">
        <v>8</v>
      </c>
      <c r="J292" s="11">
        <v>1.5</v>
      </c>
      <c r="K292" s="11">
        <v>2</v>
      </c>
      <c r="L292" s="15">
        <f t="shared" si="53"/>
        <v>11.5</v>
      </c>
      <c r="M292" s="15">
        <f t="shared" si="61"/>
        <v>2.6300449999999991</v>
      </c>
      <c r="N292" s="15">
        <f t="shared" si="54"/>
        <v>0.61525839999999998</v>
      </c>
      <c r="O292" s="15">
        <f t="shared" si="55"/>
        <v>30.147661599999999</v>
      </c>
      <c r="P292" s="15">
        <f t="shared" si="56"/>
        <v>11.5</v>
      </c>
      <c r="Q292" s="15">
        <f t="shared" si="57"/>
        <v>5</v>
      </c>
      <c r="R292" s="15">
        <f t="shared" si="58"/>
        <v>13.647661599999999</v>
      </c>
      <c r="S292" s="15">
        <f t="shared" si="59"/>
        <v>0</v>
      </c>
      <c r="T292" s="14" t="str">
        <f t="shared" si="60"/>
        <v>Satisfactorio</v>
      </c>
      <c r="U292" s="14">
        <f t="shared" si="62"/>
        <v>0</v>
      </c>
      <c r="V292" s="14">
        <f t="shared" si="63"/>
        <v>0</v>
      </c>
    </row>
    <row r="293" spans="1:22">
      <c r="A293" s="17">
        <v>37742</v>
      </c>
      <c r="B293" s="9">
        <v>2003</v>
      </c>
      <c r="C293" s="9" t="s">
        <v>103</v>
      </c>
      <c r="D293" s="11">
        <v>136.4</v>
      </c>
      <c r="E293" s="15">
        <f>'Hoja 4 - Cálculo'!$B$12</f>
        <v>250</v>
      </c>
      <c r="F293" s="15">
        <f>'Hoja 4 - Cálculo'!$B$13</f>
        <v>0.85</v>
      </c>
      <c r="G293" s="15">
        <f>'Hoja 4 - Cálculo'!$B$14</f>
        <v>0.9</v>
      </c>
      <c r="H293" s="15">
        <f t="shared" si="52"/>
        <v>26.086500000000001</v>
      </c>
      <c r="I293" s="11">
        <v>8</v>
      </c>
      <c r="J293" s="11">
        <v>1.5</v>
      </c>
      <c r="K293" s="11">
        <v>2</v>
      </c>
      <c r="L293" s="15">
        <f t="shared" si="53"/>
        <v>11.5</v>
      </c>
      <c r="M293" s="15">
        <f t="shared" si="61"/>
        <v>5</v>
      </c>
      <c r="N293" s="15">
        <f t="shared" si="54"/>
        <v>0.62173</v>
      </c>
      <c r="O293" s="15">
        <f t="shared" si="55"/>
        <v>30.464770000000001</v>
      </c>
      <c r="P293" s="15">
        <f t="shared" si="56"/>
        <v>11.5</v>
      </c>
      <c r="Q293" s="15">
        <f t="shared" si="57"/>
        <v>5</v>
      </c>
      <c r="R293" s="15">
        <f t="shared" si="58"/>
        <v>13.964770000000001</v>
      </c>
      <c r="S293" s="15">
        <f t="shared" si="59"/>
        <v>0</v>
      </c>
      <c r="T293" s="14" t="str">
        <f t="shared" si="60"/>
        <v>Satisfactorio</v>
      </c>
      <c r="U293" s="14">
        <f t="shared" si="62"/>
        <v>0</v>
      </c>
      <c r="V293" s="14">
        <f t="shared" si="63"/>
        <v>0</v>
      </c>
    </row>
    <row r="294" spans="1:22">
      <c r="A294" s="17">
        <v>37773</v>
      </c>
      <c r="B294" s="9">
        <v>2003</v>
      </c>
      <c r="C294" s="9" t="s">
        <v>104</v>
      </c>
      <c r="D294" s="11">
        <v>76.400000000000006</v>
      </c>
      <c r="E294" s="15">
        <f>'Hoja 4 - Cálculo'!$B$12</f>
        <v>250</v>
      </c>
      <c r="F294" s="15">
        <f>'Hoja 4 - Cálculo'!$B$13</f>
        <v>0.85</v>
      </c>
      <c r="G294" s="15">
        <f>'Hoja 4 - Cálculo'!$B$14</f>
        <v>0.9</v>
      </c>
      <c r="H294" s="15">
        <f t="shared" si="52"/>
        <v>14.611499999999999</v>
      </c>
      <c r="I294" s="11">
        <v>8</v>
      </c>
      <c r="J294" s="11">
        <v>1.5</v>
      </c>
      <c r="K294" s="11">
        <v>2</v>
      </c>
      <c r="L294" s="15">
        <f t="shared" si="53"/>
        <v>11.5</v>
      </c>
      <c r="M294" s="15">
        <f t="shared" si="61"/>
        <v>5</v>
      </c>
      <c r="N294" s="15">
        <f t="shared" si="54"/>
        <v>0.39223000000000002</v>
      </c>
      <c r="O294" s="15">
        <f t="shared" si="55"/>
        <v>19.219269999999998</v>
      </c>
      <c r="P294" s="15">
        <f t="shared" si="56"/>
        <v>11.5</v>
      </c>
      <c r="Q294" s="15">
        <f t="shared" si="57"/>
        <v>5</v>
      </c>
      <c r="R294" s="15">
        <f t="shared" si="58"/>
        <v>2.7192699999999981</v>
      </c>
      <c r="S294" s="15">
        <f t="shared" si="59"/>
        <v>0</v>
      </c>
      <c r="T294" s="14" t="str">
        <f t="shared" si="60"/>
        <v>Satisfactorio</v>
      </c>
      <c r="U294" s="14">
        <f t="shared" si="62"/>
        <v>0</v>
      </c>
      <c r="V294" s="14">
        <f t="shared" si="63"/>
        <v>0</v>
      </c>
    </row>
    <row r="295" spans="1:22">
      <c r="A295" s="17">
        <v>37803</v>
      </c>
      <c r="B295" s="9">
        <v>2003</v>
      </c>
      <c r="C295" s="9" t="s">
        <v>105</v>
      </c>
      <c r="D295" s="11">
        <v>67.599999999999994</v>
      </c>
      <c r="E295" s="15">
        <f>'Hoja 4 - Cálculo'!$B$12</f>
        <v>250</v>
      </c>
      <c r="F295" s="15">
        <f>'Hoja 4 - Cálculo'!$B$13</f>
        <v>0.85</v>
      </c>
      <c r="G295" s="15">
        <f>'Hoja 4 - Cálculo'!$B$14</f>
        <v>0.9</v>
      </c>
      <c r="H295" s="15">
        <f t="shared" si="52"/>
        <v>12.9285</v>
      </c>
      <c r="I295" s="11">
        <v>8</v>
      </c>
      <c r="J295" s="11">
        <v>6</v>
      </c>
      <c r="K295" s="11">
        <v>2</v>
      </c>
      <c r="L295" s="15">
        <f t="shared" si="53"/>
        <v>16</v>
      </c>
      <c r="M295" s="15">
        <f t="shared" si="61"/>
        <v>5</v>
      </c>
      <c r="N295" s="15">
        <f t="shared" si="54"/>
        <v>0.35857</v>
      </c>
      <c r="O295" s="15">
        <f t="shared" si="55"/>
        <v>17.569929999999999</v>
      </c>
      <c r="P295" s="15">
        <f t="shared" si="56"/>
        <v>16</v>
      </c>
      <c r="Q295" s="15">
        <f t="shared" si="57"/>
        <v>1.5699299999999994</v>
      </c>
      <c r="R295" s="15">
        <f t="shared" si="58"/>
        <v>0</v>
      </c>
      <c r="S295" s="15">
        <f t="shared" si="59"/>
        <v>0</v>
      </c>
      <c r="T295" s="14" t="str">
        <f t="shared" si="60"/>
        <v>Satisfactorio</v>
      </c>
      <c r="U295" s="14">
        <f t="shared" si="62"/>
        <v>0</v>
      </c>
      <c r="V295" s="14">
        <f t="shared" si="63"/>
        <v>0</v>
      </c>
    </row>
    <row r="296" spans="1:22">
      <c r="A296" s="17">
        <v>37834</v>
      </c>
      <c r="B296" s="9">
        <v>2003</v>
      </c>
      <c r="C296" s="9" t="s">
        <v>106</v>
      </c>
      <c r="D296" s="11">
        <v>72</v>
      </c>
      <c r="E296" s="15">
        <f>'Hoja 4 - Cálculo'!$B$12</f>
        <v>250</v>
      </c>
      <c r="F296" s="15">
        <f>'Hoja 4 - Cálculo'!$B$13</f>
        <v>0.85</v>
      </c>
      <c r="G296" s="15">
        <f>'Hoja 4 - Cálculo'!$B$14</f>
        <v>0.9</v>
      </c>
      <c r="H296" s="15">
        <f t="shared" si="52"/>
        <v>13.77</v>
      </c>
      <c r="I296" s="11">
        <v>8</v>
      </c>
      <c r="J296" s="11">
        <v>6</v>
      </c>
      <c r="K296" s="11">
        <v>2</v>
      </c>
      <c r="L296" s="15">
        <f t="shared" si="53"/>
        <v>16</v>
      </c>
      <c r="M296" s="15">
        <f t="shared" si="61"/>
        <v>1.5699299999999994</v>
      </c>
      <c r="N296" s="15">
        <f t="shared" si="54"/>
        <v>0.30679859999999998</v>
      </c>
      <c r="O296" s="15">
        <f t="shared" si="55"/>
        <v>15.033131399999998</v>
      </c>
      <c r="P296" s="15">
        <f t="shared" si="56"/>
        <v>15.033131399999998</v>
      </c>
      <c r="Q296" s="15">
        <f t="shared" si="57"/>
        <v>0</v>
      </c>
      <c r="R296" s="15">
        <f t="shared" si="58"/>
        <v>0</v>
      </c>
      <c r="S296" s="15">
        <f t="shared" si="59"/>
        <v>0.96686860000000152</v>
      </c>
      <c r="T296" s="14" t="str">
        <f t="shared" si="60"/>
        <v>Falla</v>
      </c>
      <c r="U296" s="14">
        <f t="shared" si="62"/>
        <v>0</v>
      </c>
      <c r="V296" s="14">
        <f t="shared" si="63"/>
        <v>1</v>
      </c>
    </row>
    <row r="297" spans="1:22">
      <c r="A297" s="17">
        <v>37865</v>
      </c>
      <c r="B297" s="9">
        <v>2003</v>
      </c>
      <c r="C297" s="9" t="s">
        <v>107</v>
      </c>
      <c r="D297" s="11">
        <v>108</v>
      </c>
      <c r="E297" s="15">
        <f>'Hoja 4 - Cálculo'!$B$12</f>
        <v>250</v>
      </c>
      <c r="F297" s="15">
        <f>'Hoja 4 - Cálculo'!$B$13</f>
        <v>0.85</v>
      </c>
      <c r="G297" s="15">
        <f>'Hoja 4 - Cálculo'!$B$14</f>
        <v>0.9</v>
      </c>
      <c r="H297" s="15">
        <f t="shared" si="52"/>
        <v>20.655000000000001</v>
      </c>
      <c r="I297" s="11">
        <v>8</v>
      </c>
      <c r="J297" s="11">
        <v>1.5</v>
      </c>
      <c r="K297" s="11">
        <v>2</v>
      </c>
      <c r="L297" s="15">
        <f t="shared" si="53"/>
        <v>11.5</v>
      </c>
      <c r="M297" s="15">
        <f t="shared" si="61"/>
        <v>0</v>
      </c>
      <c r="N297" s="15">
        <f t="shared" si="54"/>
        <v>0.41310000000000002</v>
      </c>
      <c r="O297" s="15">
        <f t="shared" si="55"/>
        <v>20.241900000000001</v>
      </c>
      <c r="P297" s="15">
        <f t="shared" si="56"/>
        <v>11.5</v>
      </c>
      <c r="Q297" s="15">
        <f t="shared" si="57"/>
        <v>5</v>
      </c>
      <c r="R297" s="15">
        <f t="shared" si="58"/>
        <v>3.7419000000000011</v>
      </c>
      <c r="S297" s="15">
        <f t="shared" si="59"/>
        <v>0</v>
      </c>
      <c r="T297" s="14" t="str">
        <f t="shared" si="60"/>
        <v>Satisfactorio</v>
      </c>
      <c r="U297" s="14">
        <f t="shared" si="62"/>
        <v>1</v>
      </c>
      <c r="V297" s="14">
        <f t="shared" si="63"/>
        <v>0</v>
      </c>
    </row>
    <row r="298" spans="1:22">
      <c r="A298" s="17">
        <v>37895</v>
      </c>
      <c r="B298" s="9">
        <v>2003</v>
      </c>
      <c r="C298" s="9" t="s">
        <v>108</v>
      </c>
      <c r="D298" s="11">
        <v>156.69999999999999</v>
      </c>
      <c r="E298" s="15">
        <f>'Hoja 4 - Cálculo'!$B$12</f>
        <v>250</v>
      </c>
      <c r="F298" s="15">
        <f>'Hoja 4 - Cálculo'!$B$13</f>
        <v>0.85</v>
      </c>
      <c r="G298" s="15">
        <f>'Hoja 4 - Cálculo'!$B$14</f>
        <v>0.9</v>
      </c>
      <c r="H298" s="15">
        <f t="shared" si="52"/>
        <v>29.968875000000001</v>
      </c>
      <c r="I298" s="11">
        <v>8</v>
      </c>
      <c r="J298" s="11">
        <v>1.5</v>
      </c>
      <c r="K298" s="11">
        <v>2</v>
      </c>
      <c r="L298" s="15">
        <f t="shared" si="53"/>
        <v>11.5</v>
      </c>
      <c r="M298" s="15">
        <f t="shared" si="61"/>
        <v>5</v>
      </c>
      <c r="N298" s="15">
        <f t="shared" si="54"/>
        <v>0.69937749999999999</v>
      </c>
      <c r="O298" s="15">
        <f t="shared" si="55"/>
        <v>34.2694975</v>
      </c>
      <c r="P298" s="15">
        <f t="shared" si="56"/>
        <v>11.5</v>
      </c>
      <c r="Q298" s="15">
        <f t="shared" si="57"/>
        <v>5</v>
      </c>
      <c r="R298" s="15">
        <f t="shared" si="58"/>
        <v>17.7694975</v>
      </c>
      <c r="S298" s="15">
        <f t="shared" si="59"/>
        <v>0</v>
      </c>
      <c r="T298" s="14" t="str">
        <f t="shared" si="60"/>
        <v>Satisfactorio</v>
      </c>
      <c r="U298" s="14">
        <f t="shared" si="62"/>
        <v>0</v>
      </c>
      <c r="V298" s="14">
        <f t="shared" si="63"/>
        <v>0</v>
      </c>
    </row>
    <row r="299" spans="1:22">
      <c r="A299" s="17">
        <v>37926</v>
      </c>
      <c r="B299" s="9">
        <v>2003</v>
      </c>
      <c r="C299" s="9" t="s">
        <v>109</v>
      </c>
      <c r="D299" s="11">
        <v>127.2</v>
      </c>
      <c r="E299" s="15">
        <f>'Hoja 4 - Cálculo'!$B$12</f>
        <v>250</v>
      </c>
      <c r="F299" s="15">
        <f>'Hoja 4 - Cálculo'!$B$13</f>
        <v>0.85</v>
      </c>
      <c r="G299" s="15">
        <f>'Hoja 4 - Cálculo'!$B$14</f>
        <v>0.9</v>
      </c>
      <c r="H299" s="15">
        <f t="shared" si="52"/>
        <v>24.327000000000002</v>
      </c>
      <c r="I299" s="11">
        <v>8</v>
      </c>
      <c r="J299" s="11">
        <v>1.5</v>
      </c>
      <c r="K299" s="11">
        <v>2</v>
      </c>
      <c r="L299" s="15">
        <f t="shared" si="53"/>
        <v>11.5</v>
      </c>
      <c r="M299" s="15">
        <f t="shared" si="61"/>
        <v>5</v>
      </c>
      <c r="N299" s="15">
        <f t="shared" si="54"/>
        <v>0.58654000000000006</v>
      </c>
      <c r="O299" s="15">
        <f t="shared" si="55"/>
        <v>28.740460000000002</v>
      </c>
      <c r="P299" s="15">
        <f t="shared" si="56"/>
        <v>11.5</v>
      </c>
      <c r="Q299" s="15">
        <f t="shared" si="57"/>
        <v>5</v>
      </c>
      <c r="R299" s="15">
        <f t="shared" si="58"/>
        <v>12.240460000000002</v>
      </c>
      <c r="S299" s="15">
        <f t="shared" si="59"/>
        <v>0</v>
      </c>
      <c r="T299" s="14" t="str">
        <f t="shared" si="60"/>
        <v>Satisfactorio</v>
      </c>
      <c r="U299" s="14">
        <f t="shared" si="62"/>
        <v>0</v>
      </c>
      <c r="V299" s="14">
        <f t="shared" si="63"/>
        <v>0</v>
      </c>
    </row>
    <row r="300" spans="1:22">
      <c r="A300" s="17">
        <v>37956</v>
      </c>
      <c r="B300" s="9">
        <v>2003</v>
      </c>
      <c r="C300" s="9" t="s">
        <v>110</v>
      </c>
      <c r="D300" s="11">
        <v>72.599999999999994</v>
      </c>
      <c r="E300" s="15">
        <f>'Hoja 4 - Cálculo'!$B$12</f>
        <v>250</v>
      </c>
      <c r="F300" s="15">
        <f>'Hoja 4 - Cálculo'!$B$13</f>
        <v>0.85</v>
      </c>
      <c r="G300" s="15">
        <f>'Hoja 4 - Cálculo'!$B$14</f>
        <v>0.9</v>
      </c>
      <c r="H300" s="15">
        <f t="shared" si="52"/>
        <v>13.88475</v>
      </c>
      <c r="I300" s="11">
        <v>8</v>
      </c>
      <c r="J300" s="11">
        <v>6</v>
      </c>
      <c r="K300" s="11">
        <v>2</v>
      </c>
      <c r="L300" s="15">
        <f t="shared" si="53"/>
        <v>16</v>
      </c>
      <c r="M300" s="15">
        <f t="shared" si="61"/>
        <v>5</v>
      </c>
      <c r="N300" s="15">
        <f t="shared" si="54"/>
        <v>0.377695</v>
      </c>
      <c r="O300" s="15">
        <f t="shared" si="55"/>
        <v>18.507055000000001</v>
      </c>
      <c r="P300" s="15">
        <f t="shared" si="56"/>
        <v>16</v>
      </c>
      <c r="Q300" s="15">
        <f t="shared" si="57"/>
        <v>2.5070550000000011</v>
      </c>
      <c r="R300" s="15">
        <f t="shared" si="58"/>
        <v>0</v>
      </c>
      <c r="S300" s="15">
        <f t="shared" si="59"/>
        <v>0</v>
      </c>
      <c r="T300" s="14" t="str">
        <f t="shared" si="60"/>
        <v>Satisfactorio</v>
      </c>
      <c r="U300" s="14">
        <f t="shared" si="62"/>
        <v>0</v>
      </c>
      <c r="V300" s="14">
        <f t="shared" si="63"/>
        <v>0</v>
      </c>
    </row>
    <row r="301" spans="1:22">
      <c r="A301" s="17">
        <v>37987</v>
      </c>
      <c r="B301" s="9">
        <v>2004</v>
      </c>
      <c r="C301" s="9" t="s">
        <v>99</v>
      </c>
      <c r="D301" s="11">
        <v>59.5</v>
      </c>
      <c r="E301" s="15">
        <f>'Hoja 4 - Cálculo'!$B$12</f>
        <v>250</v>
      </c>
      <c r="F301" s="15">
        <f>'Hoja 4 - Cálculo'!$B$13</f>
        <v>0.85</v>
      </c>
      <c r="G301" s="15">
        <f>'Hoja 4 - Cálculo'!$B$14</f>
        <v>0.9</v>
      </c>
      <c r="H301" s="15">
        <f t="shared" si="52"/>
        <v>11.379375</v>
      </c>
      <c r="I301" s="11">
        <v>8</v>
      </c>
      <c r="J301" s="11">
        <v>6</v>
      </c>
      <c r="K301" s="11">
        <v>2</v>
      </c>
      <c r="L301" s="15">
        <f t="shared" si="53"/>
        <v>16</v>
      </c>
      <c r="M301" s="15">
        <f t="shared" si="61"/>
        <v>2.5070550000000011</v>
      </c>
      <c r="N301" s="15">
        <f t="shared" si="54"/>
        <v>0.27772860000000005</v>
      </c>
      <c r="O301" s="15">
        <f t="shared" si="55"/>
        <v>13.608701400000001</v>
      </c>
      <c r="P301" s="15">
        <f t="shared" si="56"/>
        <v>13.608701400000001</v>
      </c>
      <c r="Q301" s="15">
        <f t="shared" si="57"/>
        <v>0</v>
      </c>
      <c r="R301" s="15">
        <f t="shared" si="58"/>
        <v>0</v>
      </c>
      <c r="S301" s="15">
        <f t="shared" si="59"/>
        <v>2.3912985999999989</v>
      </c>
      <c r="T301" s="14" t="str">
        <f t="shared" si="60"/>
        <v>Falla</v>
      </c>
      <c r="U301" s="14">
        <f t="shared" si="62"/>
        <v>0</v>
      </c>
      <c r="V301" s="14">
        <f t="shared" si="63"/>
        <v>1</v>
      </c>
    </row>
    <row r="302" spans="1:22">
      <c r="A302" s="17">
        <v>38018</v>
      </c>
      <c r="B302" s="9">
        <v>2004</v>
      </c>
      <c r="C302" s="9" t="s">
        <v>100</v>
      </c>
      <c r="D302" s="11">
        <v>67.3</v>
      </c>
      <c r="E302" s="15">
        <f>'Hoja 4 - Cálculo'!$B$12</f>
        <v>250</v>
      </c>
      <c r="F302" s="15">
        <f>'Hoja 4 - Cálculo'!$B$13</f>
        <v>0.85</v>
      </c>
      <c r="G302" s="15">
        <f>'Hoja 4 - Cálculo'!$B$14</f>
        <v>0.9</v>
      </c>
      <c r="H302" s="15">
        <f t="shared" si="52"/>
        <v>12.871124999999999</v>
      </c>
      <c r="I302" s="11">
        <v>8</v>
      </c>
      <c r="J302" s="11">
        <v>6</v>
      </c>
      <c r="K302" s="11">
        <v>2</v>
      </c>
      <c r="L302" s="15">
        <f t="shared" si="53"/>
        <v>16</v>
      </c>
      <c r="M302" s="15">
        <f t="shared" si="61"/>
        <v>0</v>
      </c>
      <c r="N302" s="15">
        <f t="shared" si="54"/>
        <v>0.2574225</v>
      </c>
      <c r="O302" s="15">
        <f t="shared" si="55"/>
        <v>12.613702499999999</v>
      </c>
      <c r="P302" s="15">
        <f t="shared" si="56"/>
        <v>12.613702499999999</v>
      </c>
      <c r="Q302" s="15">
        <f t="shared" si="57"/>
        <v>0</v>
      </c>
      <c r="R302" s="15">
        <f t="shared" si="58"/>
        <v>0</v>
      </c>
      <c r="S302" s="15">
        <f t="shared" si="59"/>
        <v>3.3862975000000013</v>
      </c>
      <c r="T302" s="14" t="str">
        <f t="shared" si="60"/>
        <v>Falla</v>
      </c>
      <c r="U302" s="14">
        <f t="shared" si="62"/>
        <v>0</v>
      </c>
      <c r="V302" s="14">
        <f t="shared" si="63"/>
        <v>0</v>
      </c>
    </row>
    <row r="303" spans="1:22">
      <c r="A303" s="17">
        <v>38047</v>
      </c>
      <c r="B303" s="9">
        <v>2004</v>
      </c>
      <c r="C303" s="9" t="s">
        <v>101</v>
      </c>
      <c r="D303" s="11">
        <v>95.6</v>
      </c>
      <c r="E303" s="15">
        <f>'Hoja 4 - Cálculo'!$B$12</f>
        <v>250</v>
      </c>
      <c r="F303" s="15">
        <f>'Hoja 4 - Cálculo'!$B$13</f>
        <v>0.85</v>
      </c>
      <c r="G303" s="15">
        <f>'Hoja 4 - Cálculo'!$B$14</f>
        <v>0.9</v>
      </c>
      <c r="H303" s="15">
        <f t="shared" si="52"/>
        <v>18.2835</v>
      </c>
      <c r="I303" s="11">
        <v>8</v>
      </c>
      <c r="J303" s="11">
        <v>6</v>
      </c>
      <c r="K303" s="11">
        <v>2</v>
      </c>
      <c r="L303" s="15">
        <f t="shared" si="53"/>
        <v>16</v>
      </c>
      <c r="M303" s="15">
        <f t="shared" si="61"/>
        <v>0</v>
      </c>
      <c r="N303" s="15">
        <f t="shared" si="54"/>
        <v>0.36567</v>
      </c>
      <c r="O303" s="15">
        <f t="shared" si="55"/>
        <v>17.917829999999999</v>
      </c>
      <c r="P303" s="15">
        <f t="shared" si="56"/>
        <v>16</v>
      </c>
      <c r="Q303" s="15">
        <f t="shared" si="57"/>
        <v>1.9178299999999986</v>
      </c>
      <c r="R303" s="15">
        <f t="shared" si="58"/>
        <v>0</v>
      </c>
      <c r="S303" s="15">
        <f t="shared" si="59"/>
        <v>0</v>
      </c>
      <c r="T303" s="14" t="str">
        <f t="shared" si="60"/>
        <v>Satisfactorio</v>
      </c>
      <c r="U303" s="14">
        <f t="shared" si="62"/>
        <v>1</v>
      </c>
      <c r="V303" s="14">
        <f t="shared" si="63"/>
        <v>0</v>
      </c>
    </row>
    <row r="304" spans="1:22">
      <c r="A304" s="17">
        <v>38078</v>
      </c>
      <c r="B304" s="9">
        <v>2004</v>
      </c>
      <c r="C304" s="9" t="s">
        <v>102</v>
      </c>
      <c r="D304" s="11">
        <v>145</v>
      </c>
      <c r="E304" s="15">
        <f>'Hoja 4 - Cálculo'!$B$12</f>
        <v>250</v>
      </c>
      <c r="F304" s="15">
        <f>'Hoja 4 - Cálculo'!$B$13</f>
        <v>0.85</v>
      </c>
      <c r="G304" s="15">
        <f>'Hoja 4 - Cálculo'!$B$14</f>
        <v>0.9</v>
      </c>
      <c r="H304" s="15">
        <f t="shared" si="52"/>
        <v>27.731249999999999</v>
      </c>
      <c r="I304" s="11">
        <v>8</v>
      </c>
      <c r="J304" s="11">
        <v>1.5</v>
      </c>
      <c r="K304" s="11">
        <v>2</v>
      </c>
      <c r="L304" s="15">
        <f t="shared" si="53"/>
        <v>11.5</v>
      </c>
      <c r="M304" s="15">
        <f t="shared" si="61"/>
        <v>1.9178299999999986</v>
      </c>
      <c r="N304" s="15">
        <f t="shared" si="54"/>
        <v>0.5929816</v>
      </c>
      <c r="O304" s="15">
        <f t="shared" si="55"/>
        <v>29.056098399999996</v>
      </c>
      <c r="P304" s="15">
        <f t="shared" si="56"/>
        <v>11.5</v>
      </c>
      <c r="Q304" s="15">
        <f t="shared" si="57"/>
        <v>5</v>
      </c>
      <c r="R304" s="15">
        <f t="shared" si="58"/>
        <v>12.556098399999996</v>
      </c>
      <c r="S304" s="15">
        <f t="shared" si="59"/>
        <v>0</v>
      </c>
      <c r="T304" s="14" t="str">
        <f t="shared" si="60"/>
        <v>Satisfactorio</v>
      </c>
      <c r="U304" s="14">
        <f t="shared" si="62"/>
        <v>0</v>
      </c>
      <c r="V304" s="14">
        <f t="shared" si="63"/>
        <v>0</v>
      </c>
    </row>
    <row r="305" spans="1:22">
      <c r="A305" s="17">
        <v>38108</v>
      </c>
      <c r="B305" s="9">
        <v>2004</v>
      </c>
      <c r="C305" s="9" t="s">
        <v>103</v>
      </c>
      <c r="D305" s="11">
        <v>119</v>
      </c>
      <c r="E305" s="15">
        <f>'Hoja 4 - Cálculo'!$B$12</f>
        <v>250</v>
      </c>
      <c r="F305" s="15">
        <f>'Hoja 4 - Cálculo'!$B$13</f>
        <v>0.85</v>
      </c>
      <c r="G305" s="15">
        <f>'Hoja 4 - Cálculo'!$B$14</f>
        <v>0.9</v>
      </c>
      <c r="H305" s="15">
        <f t="shared" si="52"/>
        <v>22.758749999999999</v>
      </c>
      <c r="I305" s="11">
        <v>8</v>
      </c>
      <c r="J305" s="11">
        <v>1.5</v>
      </c>
      <c r="K305" s="11">
        <v>2</v>
      </c>
      <c r="L305" s="15">
        <f t="shared" si="53"/>
        <v>11.5</v>
      </c>
      <c r="M305" s="15">
        <f t="shared" si="61"/>
        <v>5</v>
      </c>
      <c r="N305" s="15">
        <f t="shared" si="54"/>
        <v>0.55517499999999997</v>
      </c>
      <c r="O305" s="15">
        <f t="shared" si="55"/>
        <v>27.203575000000001</v>
      </c>
      <c r="P305" s="15">
        <f t="shared" si="56"/>
        <v>11.5</v>
      </c>
      <c r="Q305" s="15">
        <f t="shared" si="57"/>
        <v>5</v>
      </c>
      <c r="R305" s="15">
        <f t="shared" si="58"/>
        <v>10.703575000000001</v>
      </c>
      <c r="S305" s="15">
        <f t="shared" si="59"/>
        <v>0</v>
      </c>
      <c r="T305" s="14" t="str">
        <f t="shared" si="60"/>
        <v>Satisfactorio</v>
      </c>
      <c r="U305" s="14">
        <f t="shared" si="62"/>
        <v>0</v>
      </c>
      <c r="V305" s="14">
        <f t="shared" si="63"/>
        <v>0</v>
      </c>
    </row>
    <row r="306" spans="1:22">
      <c r="A306" s="17">
        <v>38139</v>
      </c>
      <c r="B306" s="9">
        <v>2004</v>
      </c>
      <c r="C306" s="9" t="s">
        <v>104</v>
      </c>
      <c r="D306" s="11">
        <v>79</v>
      </c>
      <c r="E306" s="15">
        <f>'Hoja 4 - Cálculo'!$B$12</f>
        <v>250</v>
      </c>
      <c r="F306" s="15">
        <f>'Hoja 4 - Cálculo'!$B$13</f>
        <v>0.85</v>
      </c>
      <c r="G306" s="15">
        <f>'Hoja 4 - Cálculo'!$B$14</f>
        <v>0.9</v>
      </c>
      <c r="H306" s="15">
        <f t="shared" si="52"/>
        <v>15.108750000000001</v>
      </c>
      <c r="I306" s="11">
        <v>8</v>
      </c>
      <c r="J306" s="11">
        <v>1.5</v>
      </c>
      <c r="K306" s="11">
        <v>2</v>
      </c>
      <c r="L306" s="15">
        <f t="shared" si="53"/>
        <v>11.5</v>
      </c>
      <c r="M306" s="15">
        <f t="shared" si="61"/>
        <v>5</v>
      </c>
      <c r="N306" s="15">
        <f t="shared" si="54"/>
        <v>0.402175</v>
      </c>
      <c r="O306" s="15">
        <f t="shared" si="55"/>
        <v>19.706575000000001</v>
      </c>
      <c r="P306" s="15">
        <f t="shared" si="56"/>
        <v>11.5</v>
      </c>
      <c r="Q306" s="15">
        <f t="shared" si="57"/>
        <v>5</v>
      </c>
      <c r="R306" s="15">
        <f t="shared" si="58"/>
        <v>3.2065750000000008</v>
      </c>
      <c r="S306" s="15">
        <f t="shared" si="59"/>
        <v>0</v>
      </c>
      <c r="T306" s="14" t="str">
        <f t="shared" si="60"/>
        <v>Satisfactorio</v>
      </c>
      <c r="U306" s="14">
        <f t="shared" si="62"/>
        <v>0</v>
      </c>
      <c r="V306" s="14">
        <f t="shared" si="63"/>
        <v>0</v>
      </c>
    </row>
    <row r="307" spans="1:22">
      <c r="A307" s="17">
        <v>38169</v>
      </c>
      <c r="B307" s="9">
        <v>2004</v>
      </c>
      <c r="C307" s="9" t="s">
        <v>105</v>
      </c>
      <c r="D307" s="11">
        <v>61.5</v>
      </c>
      <c r="E307" s="15">
        <f>'Hoja 4 - Cálculo'!$B$12</f>
        <v>250</v>
      </c>
      <c r="F307" s="15">
        <f>'Hoja 4 - Cálculo'!$B$13</f>
        <v>0.85</v>
      </c>
      <c r="G307" s="15">
        <f>'Hoja 4 - Cálculo'!$B$14</f>
        <v>0.9</v>
      </c>
      <c r="H307" s="15">
        <f t="shared" si="52"/>
        <v>11.761875</v>
      </c>
      <c r="I307" s="11">
        <v>8</v>
      </c>
      <c r="J307" s="11">
        <v>6</v>
      </c>
      <c r="K307" s="11">
        <v>2</v>
      </c>
      <c r="L307" s="15">
        <f t="shared" si="53"/>
        <v>16</v>
      </c>
      <c r="M307" s="15">
        <f t="shared" si="61"/>
        <v>5</v>
      </c>
      <c r="N307" s="15">
        <f t="shared" si="54"/>
        <v>0.33523750000000002</v>
      </c>
      <c r="O307" s="15">
        <f t="shared" si="55"/>
        <v>16.426637499999998</v>
      </c>
      <c r="P307" s="15">
        <f t="shared" si="56"/>
        <v>16</v>
      </c>
      <c r="Q307" s="15">
        <f t="shared" si="57"/>
        <v>0.42663749999999823</v>
      </c>
      <c r="R307" s="15">
        <f t="shared" si="58"/>
        <v>0</v>
      </c>
      <c r="S307" s="15">
        <f t="shared" si="59"/>
        <v>0</v>
      </c>
      <c r="T307" s="14" t="str">
        <f t="shared" si="60"/>
        <v>Satisfactorio</v>
      </c>
      <c r="U307" s="14">
        <f t="shared" si="62"/>
        <v>0</v>
      </c>
      <c r="V307" s="14">
        <f t="shared" si="63"/>
        <v>0</v>
      </c>
    </row>
    <row r="308" spans="1:22">
      <c r="A308" s="17">
        <v>38200</v>
      </c>
      <c r="B308" s="9">
        <v>2004</v>
      </c>
      <c r="C308" s="9" t="s">
        <v>106</v>
      </c>
      <c r="D308" s="11">
        <v>66.400000000000006</v>
      </c>
      <c r="E308" s="15">
        <f>'Hoja 4 - Cálculo'!$B$12</f>
        <v>250</v>
      </c>
      <c r="F308" s="15">
        <f>'Hoja 4 - Cálculo'!$B$13</f>
        <v>0.85</v>
      </c>
      <c r="G308" s="15">
        <f>'Hoja 4 - Cálculo'!$B$14</f>
        <v>0.9</v>
      </c>
      <c r="H308" s="15">
        <f t="shared" si="52"/>
        <v>12.699</v>
      </c>
      <c r="I308" s="11">
        <v>8</v>
      </c>
      <c r="J308" s="11">
        <v>6</v>
      </c>
      <c r="K308" s="11">
        <v>2</v>
      </c>
      <c r="L308" s="15">
        <f t="shared" si="53"/>
        <v>16</v>
      </c>
      <c r="M308" s="15">
        <f t="shared" si="61"/>
        <v>0.42663749999999823</v>
      </c>
      <c r="N308" s="15">
        <f t="shared" si="54"/>
        <v>0.26251274999999996</v>
      </c>
      <c r="O308" s="15">
        <f t="shared" si="55"/>
        <v>12.863124749999997</v>
      </c>
      <c r="P308" s="15">
        <f t="shared" si="56"/>
        <v>12.863124749999997</v>
      </c>
      <c r="Q308" s="15">
        <f t="shared" si="57"/>
        <v>0</v>
      </c>
      <c r="R308" s="15">
        <f t="shared" si="58"/>
        <v>0</v>
      </c>
      <c r="S308" s="15">
        <f t="shared" si="59"/>
        <v>3.1368752500000028</v>
      </c>
      <c r="T308" s="14" t="str">
        <f t="shared" si="60"/>
        <v>Falla</v>
      </c>
      <c r="U308" s="14">
        <f t="shared" si="62"/>
        <v>0</v>
      </c>
      <c r="V308" s="14">
        <f t="shared" si="63"/>
        <v>1</v>
      </c>
    </row>
    <row r="309" spans="1:22">
      <c r="A309" s="17">
        <v>38231</v>
      </c>
      <c r="B309" s="9">
        <v>2004</v>
      </c>
      <c r="C309" s="9" t="s">
        <v>107</v>
      </c>
      <c r="D309" s="11">
        <v>111</v>
      </c>
      <c r="E309" s="15">
        <f>'Hoja 4 - Cálculo'!$B$12</f>
        <v>250</v>
      </c>
      <c r="F309" s="15">
        <f>'Hoja 4 - Cálculo'!$B$13</f>
        <v>0.85</v>
      </c>
      <c r="G309" s="15">
        <f>'Hoja 4 - Cálculo'!$B$14</f>
        <v>0.9</v>
      </c>
      <c r="H309" s="15">
        <f t="shared" si="52"/>
        <v>21.228750000000002</v>
      </c>
      <c r="I309" s="11">
        <v>8</v>
      </c>
      <c r="J309" s="11">
        <v>1.5</v>
      </c>
      <c r="K309" s="11">
        <v>2</v>
      </c>
      <c r="L309" s="15">
        <f t="shared" si="53"/>
        <v>11.5</v>
      </c>
      <c r="M309" s="15">
        <f t="shared" si="61"/>
        <v>0</v>
      </c>
      <c r="N309" s="15">
        <f t="shared" si="54"/>
        <v>0.42457500000000004</v>
      </c>
      <c r="O309" s="15">
        <f t="shared" si="55"/>
        <v>20.804175000000001</v>
      </c>
      <c r="P309" s="15">
        <f t="shared" si="56"/>
        <v>11.5</v>
      </c>
      <c r="Q309" s="15">
        <f t="shared" si="57"/>
        <v>5</v>
      </c>
      <c r="R309" s="15">
        <f t="shared" si="58"/>
        <v>4.3041750000000008</v>
      </c>
      <c r="S309" s="15">
        <f t="shared" si="59"/>
        <v>0</v>
      </c>
      <c r="T309" s="14" t="str">
        <f t="shared" si="60"/>
        <v>Satisfactorio</v>
      </c>
      <c r="U309" s="14">
        <f t="shared" si="62"/>
        <v>1</v>
      </c>
      <c r="V309" s="14">
        <f t="shared" si="63"/>
        <v>0</v>
      </c>
    </row>
    <row r="310" spans="1:22">
      <c r="A310" s="17">
        <v>38261</v>
      </c>
      <c r="B310" s="9">
        <v>2004</v>
      </c>
      <c r="C310" s="9" t="s">
        <v>108</v>
      </c>
      <c r="D310" s="11">
        <v>136.19999999999999</v>
      </c>
      <c r="E310" s="15">
        <f>'Hoja 4 - Cálculo'!$B$12</f>
        <v>250</v>
      </c>
      <c r="F310" s="15">
        <f>'Hoja 4 - Cálculo'!$B$13</f>
        <v>0.85</v>
      </c>
      <c r="G310" s="15">
        <f>'Hoja 4 - Cálculo'!$B$14</f>
        <v>0.9</v>
      </c>
      <c r="H310" s="15">
        <f t="shared" si="52"/>
        <v>26.048249999999999</v>
      </c>
      <c r="I310" s="11">
        <v>8</v>
      </c>
      <c r="J310" s="11">
        <v>1.5</v>
      </c>
      <c r="K310" s="11">
        <v>2</v>
      </c>
      <c r="L310" s="15">
        <f t="shared" si="53"/>
        <v>11.5</v>
      </c>
      <c r="M310" s="15">
        <f t="shared" si="61"/>
        <v>5</v>
      </c>
      <c r="N310" s="15">
        <f t="shared" si="54"/>
        <v>0.62096499999999999</v>
      </c>
      <c r="O310" s="15">
        <f t="shared" si="55"/>
        <v>30.427284999999998</v>
      </c>
      <c r="P310" s="15">
        <f t="shared" si="56"/>
        <v>11.5</v>
      </c>
      <c r="Q310" s="15">
        <f t="shared" si="57"/>
        <v>5</v>
      </c>
      <c r="R310" s="15">
        <f t="shared" si="58"/>
        <v>13.927284999999998</v>
      </c>
      <c r="S310" s="15">
        <f t="shared" si="59"/>
        <v>0</v>
      </c>
      <c r="T310" s="14" t="str">
        <f t="shared" si="60"/>
        <v>Satisfactorio</v>
      </c>
      <c r="U310" s="14">
        <f t="shared" si="62"/>
        <v>0</v>
      </c>
      <c r="V310" s="14">
        <f t="shared" si="63"/>
        <v>0</v>
      </c>
    </row>
    <row r="311" spans="1:22">
      <c r="A311" s="17">
        <v>38292</v>
      </c>
      <c r="B311" s="9">
        <v>2004</v>
      </c>
      <c r="C311" s="9" t="s">
        <v>109</v>
      </c>
      <c r="D311" s="11">
        <v>126.6</v>
      </c>
      <c r="E311" s="15">
        <f>'Hoja 4 - Cálculo'!$B$12</f>
        <v>250</v>
      </c>
      <c r="F311" s="15">
        <f>'Hoja 4 - Cálculo'!$B$13</f>
        <v>0.85</v>
      </c>
      <c r="G311" s="15">
        <f>'Hoja 4 - Cálculo'!$B$14</f>
        <v>0.9</v>
      </c>
      <c r="H311" s="15">
        <f t="shared" si="52"/>
        <v>24.212250000000001</v>
      </c>
      <c r="I311" s="11">
        <v>8</v>
      </c>
      <c r="J311" s="11">
        <v>1.5</v>
      </c>
      <c r="K311" s="11">
        <v>2</v>
      </c>
      <c r="L311" s="15">
        <f t="shared" si="53"/>
        <v>11.5</v>
      </c>
      <c r="M311" s="15">
        <f t="shared" si="61"/>
        <v>5</v>
      </c>
      <c r="N311" s="15">
        <f t="shared" si="54"/>
        <v>0.58424500000000001</v>
      </c>
      <c r="O311" s="15">
        <f t="shared" si="55"/>
        <v>28.628005000000002</v>
      </c>
      <c r="P311" s="15">
        <f t="shared" si="56"/>
        <v>11.5</v>
      </c>
      <c r="Q311" s="15">
        <f t="shared" si="57"/>
        <v>5</v>
      </c>
      <c r="R311" s="15">
        <f t="shared" si="58"/>
        <v>12.128005000000002</v>
      </c>
      <c r="S311" s="15">
        <f t="shared" si="59"/>
        <v>0</v>
      </c>
      <c r="T311" s="14" t="str">
        <f t="shared" si="60"/>
        <v>Satisfactorio</v>
      </c>
      <c r="U311" s="14">
        <f t="shared" si="62"/>
        <v>0</v>
      </c>
      <c r="V311" s="14">
        <f t="shared" si="63"/>
        <v>0</v>
      </c>
    </row>
    <row r="312" spans="1:22">
      <c r="A312" s="17">
        <v>38322</v>
      </c>
      <c r="B312" s="9">
        <v>2004</v>
      </c>
      <c r="C312" s="9" t="s">
        <v>110</v>
      </c>
      <c r="D312" s="11">
        <v>69</v>
      </c>
      <c r="E312" s="15">
        <f>'Hoja 4 - Cálculo'!$B$12</f>
        <v>250</v>
      </c>
      <c r="F312" s="15">
        <f>'Hoja 4 - Cálculo'!$B$13</f>
        <v>0.85</v>
      </c>
      <c r="G312" s="15">
        <f>'Hoja 4 - Cálculo'!$B$14</f>
        <v>0.9</v>
      </c>
      <c r="H312" s="15">
        <f t="shared" si="52"/>
        <v>13.196249999999999</v>
      </c>
      <c r="I312" s="11">
        <v>8</v>
      </c>
      <c r="J312" s="11">
        <v>6</v>
      </c>
      <c r="K312" s="11">
        <v>2</v>
      </c>
      <c r="L312" s="15">
        <f t="shared" si="53"/>
        <v>16</v>
      </c>
      <c r="M312" s="15">
        <f t="shared" si="61"/>
        <v>5</v>
      </c>
      <c r="N312" s="15">
        <f t="shared" si="54"/>
        <v>0.363925</v>
      </c>
      <c r="O312" s="15">
        <f t="shared" si="55"/>
        <v>17.832325000000001</v>
      </c>
      <c r="P312" s="15">
        <f t="shared" si="56"/>
        <v>16</v>
      </c>
      <c r="Q312" s="15">
        <f t="shared" si="57"/>
        <v>1.8323250000000009</v>
      </c>
      <c r="R312" s="15">
        <f t="shared" si="58"/>
        <v>0</v>
      </c>
      <c r="S312" s="15">
        <f t="shared" si="59"/>
        <v>0</v>
      </c>
      <c r="T312" s="14" t="str">
        <f t="shared" si="60"/>
        <v>Satisfactorio</v>
      </c>
      <c r="U312" s="14">
        <f t="shared" si="62"/>
        <v>0</v>
      </c>
      <c r="V312" s="14">
        <f t="shared" si="63"/>
        <v>0</v>
      </c>
    </row>
    <row r="313" spans="1:22">
      <c r="A313" s="17">
        <v>38353</v>
      </c>
      <c r="B313" s="9">
        <v>2005</v>
      </c>
      <c r="C313" s="9" t="s">
        <v>99</v>
      </c>
      <c r="D313" s="11">
        <v>67.900000000000006</v>
      </c>
      <c r="E313" s="15">
        <f>'Hoja 4 - Cálculo'!$B$12</f>
        <v>250</v>
      </c>
      <c r="F313" s="15">
        <f>'Hoja 4 - Cálculo'!$B$13</f>
        <v>0.85</v>
      </c>
      <c r="G313" s="15">
        <f>'Hoja 4 - Cálculo'!$B$14</f>
        <v>0.9</v>
      </c>
      <c r="H313" s="15">
        <f t="shared" si="52"/>
        <v>12.985875</v>
      </c>
      <c r="I313" s="11">
        <v>8</v>
      </c>
      <c r="J313" s="11">
        <v>6</v>
      </c>
      <c r="K313" s="11">
        <v>2</v>
      </c>
      <c r="L313" s="15">
        <f t="shared" si="53"/>
        <v>16</v>
      </c>
      <c r="M313" s="15">
        <f t="shared" si="61"/>
        <v>1.8323250000000009</v>
      </c>
      <c r="N313" s="15">
        <f t="shared" si="54"/>
        <v>0.29636400000000002</v>
      </c>
      <c r="O313" s="15">
        <f t="shared" si="55"/>
        <v>14.521836</v>
      </c>
      <c r="P313" s="15">
        <f t="shared" si="56"/>
        <v>14.521836</v>
      </c>
      <c r="Q313" s="15">
        <f t="shared" si="57"/>
        <v>0</v>
      </c>
      <c r="R313" s="15">
        <f t="shared" si="58"/>
        <v>0</v>
      </c>
      <c r="S313" s="15">
        <f t="shared" si="59"/>
        <v>1.4781639999999996</v>
      </c>
      <c r="T313" s="14" t="str">
        <f t="shared" si="60"/>
        <v>Falla</v>
      </c>
      <c r="U313" s="14">
        <f t="shared" si="62"/>
        <v>0</v>
      </c>
      <c r="V313" s="14">
        <f t="shared" si="63"/>
        <v>1</v>
      </c>
    </row>
    <row r="314" spans="1:22">
      <c r="A314" s="17">
        <v>38384</v>
      </c>
      <c r="B314" s="9">
        <v>2005</v>
      </c>
      <c r="C314" s="9" t="s">
        <v>100</v>
      </c>
      <c r="D314" s="11">
        <v>72.3</v>
      </c>
      <c r="E314" s="15">
        <f>'Hoja 4 - Cálculo'!$B$12</f>
        <v>250</v>
      </c>
      <c r="F314" s="15">
        <f>'Hoja 4 - Cálculo'!$B$13</f>
        <v>0.85</v>
      </c>
      <c r="G314" s="15">
        <f>'Hoja 4 - Cálculo'!$B$14</f>
        <v>0.9</v>
      </c>
      <c r="H314" s="15">
        <f t="shared" si="52"/>
        <v>13.827375</v>
      </c>
      <c r="I314" s="11">
        <v>8</v>
      </c>
      <c r="J314" s="11">
        <v>6</v>
      </c>
      <c r="K314" s="11">
        <v>2</v>
      </c>
      <c r="L314" s="15">
        <f t="shared" si="53"/>
        <v>16</v>
      </c>
      <c r="M314" s="15">
        <f t="shared" si="61"/>
        <v>0</v>
      </c>
      <c r="N314" s="15">
        <f t="shared" si="54"/>
        <v>0.2765475</v>
      </c>
      <c r="O314" s="15">
        <f t="shared" si="55"/>
        <v>13.5508275</v>
      </c>
      <c r="P314" s="15">
        <f t="shared" si="56"/>
        <v>13.5508275</v>
      </c>
      <c r="Q314" s="15">
        <f t="shared" si="57"/>
        <v>0</v>
      </c>
      <c r="R314" s="15">
        <f t="shared" si="58"/>
        <v>0</v>
      </c>
      <c r="S314" s="15">
        <f t="shared" si="59"/>
        <v>2.4491724999999995</v>
      </c>
      <c r="T314" s="14" t="str">
        <f t="shared" si="60"/>
        <v>Falla</v>
      </c>
      <c r="U314" s="14">
        <f t="shared" si="62"/>
        <v>0</v>
      </c>
      <c r="V314" s="14">
        <f t="shared" si="63"/>
        <v>0</v>
      </c>
    </row>
    <row r="315" spans="1:22">
      <c r="A315" s="17">
        <v>38412</v>
      </c>
      <c r="B315" s="9">
        <v>2005</v>
      </c>
      <c r="C315" s="9" t="s">
        <v>101</v>
      </c>
      <c r="D315" s="11">
        <v>114.1</v>
      </c>
      <c r="E315" s="15">
        <f>'Hoja 4 - Cálculo'!$B$12</f>
        <v>250</v>
      </c>
      <c r="F315" s="15">
        <f>'Hoja 4 - Cálculo'!$B$13</f>
        <v>0.85</v>
      </c>
      <c r="G315" s="15">
        <f>'Hoja 4 - Cálculo'!$B$14</f>
        <v>0.9</v>
      </c>
      <c r="H315" s="15">
        <f t="shared" si="52"/>
        <v>21.821625000000001</v>
      </c>
      <c r="I315" s="11">
        <v>8</v>
      </c>
      <c r="J315" s="11">
        <v>6</v>
      </c>
      <c r="K315" s="11">
        <v>2</v>
      </c>
      <c r="L315" s="15">
        <f t="shared" si="53"/>
        <v>16</v>
      </c>
      <c r="M315" s="15">
        <f t="shared" si="61"/>
        <v>0</v>
      </c>
      <c r="N315" s="15">
        <f t="shared" si="54"/>
        <v>0.4364325</v>
      </c>
      <c r="O315" s="15">
        <f t="shared" si="55"/>
        <v>21.385192500000002</v>
      </c>
      <c r="P315" s="15">
        <f t="shared" si="56"/>
        <v>16</v>
      </c>
      <c r="Q315" s="15">
        <f t="shared" si="57"/>
        <v>5</v>
      </c>
      <c r="R315" s="15">
        <f t="shared" si="58"/>
        <v>0.38519250000000227</v>
      </c>
      <c r="S315" s="15">
        <f t="shared" si="59"/>
        <v>0</v>
      </c>
      <c r="T315" s="14" t="str">
        <f t="shared" si="60"/>
        <v>Satisfactorio</v>
      </c>
      <c r="U315" s="14">
        <f t="shared" si="62"/>
        <v>1</v>
      </c>
      <c r="V315" s="14">
        <f t="shared" si="63"/>
        <v>0</v>
      </c>
    </row>
    <row r="316" spans="1:22">
      <c r="A316" s="17">
        <v>38443</v>
      </c>
      <c r="B316" s="9">
        <v>2005</v>
      </c>
      <c r="C316" s="9" t="s">
        <v>102</v>
      </c>
      <c r="D316" s="11">
        <v>150.9</v>
      </c>
      <c r="E316" s="15">
        <f>'Hoja 4 - Cálculo'!$B$12</f>
        <v>250</v>
      </c>
      <c r="F316" s="15">
        <f>'Hoja 4 - Cálculo'!$B$13</f>
        <v>0.85</v>
      </c>
      <c r="G316" s="15">
        <f>'Hoja 4 - Cálculo'!$B$14</f>
        <v>0.9</v>
      </c>
      <c r="H316" s="15">
        <f t="shared" si="52"/>
        <v>28.859625000000001</v>
      </c>
      <c r="I316" s="11">
        <v>8</v>
      </c>
      <c r="J316" s="11">
        <v>1.5</v>
      </c>
      <c r="K316" s="11">
        <v>2</v>
      </c>
      <c r="L316" s="15">
        <f t="shared" si="53"/>
        <v>11.5</v>
      </c>
      <c r="M316" s="15">
        <f t="shared" si="61"/>
        <v>5</v>
      </c>
      <c r="N316" s="15">
        <f t="shared" si="54"/>
        <v>0.67719250000000009</v>
      </c>
      <c r="O316" s="15">
        <f t="shared" si="55"/>
        <v>33.182432500000004</v>
      </c>
      <c r="P316" s="15">
        <f t="shared" si="56"/>
        <v>11.5</v>
      </c>
      <c r="Q316" s="15">
        <f t="shared" si="57"/>
        <v>5</v>
      </c>
      <c r="R316" s="15">
        <f t="shared" si="58"/>
        <v>16.682432500000004</v>
      </c>
      <c r="S316" s="15">
        <f t="shared" si="59"/>
        <v>0</v>
      </c>
      <c r="T316" s="14" t="str">
        <f t="shared" si="60"/>
        <v>Satisfactorio</v>
      </c>
      <c r="U316" s="14">
        <f t="shared" si="62"/>
        <v>0</v>
      </c>
      <c r="V316" s="14">
        <f t="shared" si="63"/>
        <v>0</v>
      </c>
    </row>
    <row r="317" spans="1:22">
      <c r="A317" s="17">
        <v>38473</v>
      </c>
      <c r="B317" s="9">
        <v>2005</v>
      </c>
      <c r="C317" s="9" t="s">
        <v>103</v>
      </c>
      <c r="D317" s="11">
        <v>143.5</v>
      </c>
      <c r="E317" s="15">
        <f>'Hoja 4 - Cálculo'!$B$12</f>
        <v>250</v>
      </c>
      <c r="F317" s="15">
        <f>'Hoja 4 - Cálculo'!$B$13</f>
        <v>0.85</v>
      </c>
      <c r="G317" s="15">
        <f>'Hoja 4 - Cálculo'!$B$14</f>
        <v>0.9</v>
      </c>
      <c r="H317" s="15">
        <f t="shared" si="52"/>
        <v>27.444375000000001</v>
      </c>
      <c r="I317" s="11">
        <v>8</v>
      </c>
      <c r="J317" s="11">
        <v>1.5</v>
      </c>
      <c r="K317" s="11">
        <v>2</v>
      </c>
      <c r="L317" s="15">
        <f t="shared" si="53"/>
        <v>11.5</v>
      </c>
      <c r="M317" s="15">
        <f t="shared" si="61"/>
        <v>5</v>
      </c>
      <c r="N317" s="15">
        <f t="shared" si="54"/>
        <v>0.64888750000000006</v>
      </c>
      <c r="O317" s="15">
        <f t="shared" si="55"/>
        <v>31.7954875</v>
      </c>
      <c r="P317" s="15">
        <f t="shared" si="56"/>
        <v>11.5</v>
      </c>
      <c r="Q317" s="15">
        <f t="shared" si="57"/>
        <v>5</v>
      </c>
      <c r="R317" s="15">
        <f t="shared" si="58"/>
        <v>15.2954875</v>
      </c>
      <c r="S317" s="15">
        <f t="shared" si="59"/>
        <v>0</v>
      </c>
      <c r="T317" s="14" t="str">
        <f t="shared" si="60"/>
        <v>Satisfactorio</v>
      </c>
      <c r="U317" s="14">
        <f t="shared" si="62"/>
        <v>0</v>
      </c>
      <c r="V317" s="14">
        <f t="shared" si="63"/>
        <v>0</v>
      </c>
    </row>
    <row r="318" spans="1:22">
      <c r="A318" s="17">
        <v>38504</v>
      </c>
      <c r="B318" s="9">
        <v>2005</v>
      </c>
      <c r="C318" s="9" t="s">
        <v>104</v>
      </c>
      <c r="D318" s="11">
        <v>83.9</v>
      </c>
      <c r="E318" s="15">
        <f>'Hoja 4 - Cálculo'!$B$12</f>
        <v>250</v>
      </c>
      <c r="F318" s="15">
        <f>'Hoja 4 - Cálculo'!$B$13</f>
        <v>0.85</v>
      </c>
      <c r="G318" s="15">
        <f>'Hoja 4 - Cálculo'!$B$14</f>
        <v>0.9</v>
      </c>
      <c r="H318" s="15">
        <f t="shared" si="52"/>
        <v>16.045874999999999</v>
      </c>
      <c r="I318" s="11">
        <v>8</v>
      </c>
      <c r="J318" s="11">
        <v>1.5</v>
      </c>
      <c r="K318" s="11">
        <v>2</v>
      </c>
      <c r="L318" s="15">
        <f t="shared" si="53"/>
        <v>11.5</v>
      </c>
      <c r="M318" s="15">
        <f t="shared" si="61"/>
        <v>5</v>
      </c>
      <c r="N318" s="15">
        <f t="shared" si="54"/>
        <v>0.4209175</v>
      </c>
      <c r="O318" s="15">
        <f t="shared" si="55"/>
        <v>20.624957499999997</v>
      </c>
      <c r="P318" s="15">
        <f t="shared" si="56"/>
        <v>11.5</v>
      </c>
      <c r="Q318" s="15">
        <f t="shared" si="57"/>
        <v>5</v>
      </c>
      <c r="R318" s="15">
        <f t="shared" si="58"/>
        <v>4.1249574999999972</v>
      </c>
      <c r="S318" s="15">
        <f t="shared" si="59"/>
        <v>0</v>
      </c>
      <c r="T318" s="14" t="str">
        <f t="shared" si="60"/>
        <v>Satisfactorio</v>
      </c>
      <c r="U318" s="14">
        <f t="shared" si="62"/>
        <v>0</v>
      </c>
      <c r="V318" s="14">
        <f t="shared" si="63"/>
        <v>0</v>
      </c>
    </row>
    <row r="319" spans="1:22">
      <c r="A319" s="17">
        <v>38534</v>
      </c>
      <c r="B319" s="9">
        <v>2005</v>
      </c>
      <c r="C319" s="9" t="s">
        <v>105</v>
      </c>
      <c r="D319" s="11">
        <v>70.7</v>
      </c>
      <c r="E319" s="15">
        <f>'Hoja 4 - Cálculo'!$B$12</f>
        <v>250</v>
      </c>
      <c r="F319" s="15">
        <f>'Hoja 4 - Cálculo'!$B$13</f>
        <v>0.85</v>
      </c>
      <c r="G319" s="15">
        <f>'Hoja 4 - Cálculo'!$B$14</f>
        <v>0.9</v>
      </c>
      <c r="H319" s="15">
        <f t="shared" si="52"/>
        <v>13.521375000000001</v>
      </c>
      <c r="I319" s="11">
        <v>8</v>
      </c>
      <c r="J319" s="11">
        <v>6</v>
      </c>
      <c r="K319" s="11">
        <v>2</v>
      </c>
      <c r="L319" s="15">
        <f t="shared" si="53"/>
        <v>16</v>
      </c>
      <c r="M319" s="15">
        <f t="shared" si="61"/>
        <v>5</v>
      </c>
      <c r="N319" s="15">
        <f t="shared" si="54"/>
        <v>0.37042749999999997</v>
      </c>
      <c r="O319" s="15">
        <f t="shared" si="55"/>
        <v>18.150947499999997</v>
      </c>
      <c r="P319" s="15">
        <f t="shared" si="56"/>
        <v>16</v>
      </c>
      <c r="Q319" s="15">
        <f t="shared" si="57"/>
        <v>2.1509474999999973</v>
      </c>
      <c r="R319" s="15">
        <f t="shared" si="58"/>
        <v>0</v>
      </c>
      <c r="S319" s="15">
        <f t="shared" si="59"/>
        <v>0</v>
      </c>
      <c r="T319" s="14" t="str">
        <f t="shared" si="60"/>
        <v>Satisfactorio</v>
      </c>
      <c r="U319" s="14">
        <f t="shared" si="62"/>
        <v>0</v>
      </c>
      <c r="V319" s="14">
        <f t="shared" si="63"/>
        <v>0</v>
      </c>
    </row>
    <row r="320" spans="1:22">
      <c r="A320" s="17">
        <v>38565</v>
      </c>
      <c r="B320" s="9">
        <v>2005</v>
      </c>
      <c r="C320" s="9" t="s">
        <v>106</v>
      </c>
      <c r="D320" s="11">
        <v>75.2</v>
      </c>
      <c r="E320" s="15">
        <f>'Hoja 4 - Cálculo'!$B$12</f>
        <v>250</v>
      </c>
      <c r="F320" s="15">
        <f>'Hoja 4 - Cálculo'!$B$13</f>
        <v>0.85</v>
      </c>
      <c r="G320" s="15">
        <f>'Hoja 4 - Cálculo'!$B$14</f>
        <v>0.9</v>
      </c>
      <c r="H320" s="15">
        <f t="shared" si="52"/>
        <v>14.382</v>
      </c>
      <c r="I320" s="11">
        <v>8</v>
      </c>
      <c r="J320" s="11">
        <v>6</v>
      </c>
      <c r="K320" s="11">
        <v>2</v>
      </c>
      <c r="L320" s="15">
        <f t="shared" si="53"/>
        <v>16</v>
      </c>
      <c r="M320" s="15">
        <f t="shared" si="61"/>
        <v>2.1509474999999973</v>
      </c>
      <c r="N320" s="15">
        <f t="shared" si="54"/>
        <v>0.33065895000000001</v>
      </c>
      <c r="O320" s="15">
        <f t="shared" si="55"/>
        <v>16.202288549999999</v>
      </c>
      <c r="P320" s="15">
        <f t="shared" si="56"/>
        <v>16</v>
      </c>
      <c r="Q320" s="15">
        <f t="shared" si="57"/>
        <v>0.20228854999999868</v>
      </c>
      <c r="R320" s="15">
        <f t="shared" si="58"/>
        <v>0</v>
      </c>
      <c r="S320" s="15">
        <f t="shared" si="59"/>
        <v>0</v>
      </c>
      <c r="T320" s="14" t="str">
        <f t="shared" si="60"/>
        <v>Satisfactorio</v>
      </c>
      <c r="U320" s="14">
        <f t="shared" si="62"/>
        <v>0</v>
      </c>
      <c r="V320" s="14">
        <f t="shared" si="63"/>
        <v>0</v>
      </c>
    </row>
    <row r="321" spans="1:22">
      <c r="A321" s="17">
        <v>38596</v>
      </c>
      <c r="B321" s="9">
        <v>2005</v>
      </c>
      <c r="C321" s="9" t="s">
        <v>107</v>
      </c>
      <c r="D321" s="11">
        <v>119.4</v>
      </c>
      <c r="E321" s="15">
        <f>'Hoja 4 - Cálculo'!$B$12</f>
        <v>250</v>
      </c>
      <c r="F321" s="15">
        <f>'Hoja 4 - Cálculo'!$B$13</f>
        <v>0.85</v>
      </c>
      <c r="G321" s="15">
        <f>'Hoja 4 - Cálculo'!$B$14</f>
        <v>0.9</v>
      </c>
      <c r="H321" s="15">
        <f t="shared" si="52"/>
        <v>22.835249999999998</v>
      </c>
      <c r="I321" s="11">
        <v>8</v>
      </c>
      <c r="J321" s="11">
        <v>1.5</v>
      </c>
      <c r="K321" s="11">
        <v>2</v>
      </c>
      <c r="L321" s="15">
        <f t="shared" si="53"/>
        <v>11.5</v>
      </c>
      <c r="M321" s="15">
        <f t="shared" si="61"/>
        <v>0.20228854999999868</v>
      </c>
      <c r="N321" s="15">
        <f t="shared" si="54"/>
        <v>0.46075077099999995</v>
      </c>
      <c r="O321" s="15">
        <f t="shared" si="55"/>
        <v>22.576787778999996</v>
      </c>
      <c r="P321" s="15">
        <f t="shared" si="56"/>
        <v>11.5</v>
      </c>
      <c r="Q321" s="15">
        <f t="shared" si="57"/>
        <v>5</v>
      </c>
      <c r="R321" s="15">
        <f t="shared" si="58"/>
        <v>6.0767877789999964</v>
      </c>
      <c r="S321" s="15">
        <f t="shared" si="59"/>
        <v>0</v>
      </c>
      <c r="T321" s="14" t="str">
        <f t="shared" si="60"/>
        <v>Satisfactorio</v>
      </c>
      <c r="U321" s="14">
        <f t="shared" si="62"/>
        <v>0</v>
      </c>
      <c r="V321" s="14">
        <f t="shared" si="63"/>
        <v>0</v>
      </c>
    </row>
    <row r="322" spans="1:22">
      <c r="A322" s="17">
        <v>38626</v>
      </c>
      <c r="B322" s="9">
        <v>2005</v>
      </c>
      <c r="C322" s="9" t="s">
        <v>108</v>
      </c>
      <c r="D322" s="11">
        <v>162.9</v>
      </c>
      <c r="E322" s="15">
        <f>'Hoja 4 - Cálculo'!$B$12</f>
        <v>250</v>
      </c>
      <c r="F322" s="15">
        <f>'Hoja 4 - Cálculo'!$B$13</f>
        <v>0.85</v>
      </c>
      <c r="G322" s="15">
        <f>'Hoja 4 - Cálculo'!$B$14</f>
        <v>0.9</v>
      </c>
      <c r="H322" s="15">
        <f t="shared" si="52"/>
        <v>31.154624999999999</v>
      </c>
      <c r="I322" s="11">
        <v>8</v>
      </c>
      <c r="J322" s="11">
        <v>1.5</v>
      </c>
      <c r="K322" s="11">
        <v>2</v>
      </c>
      <c r="L322" s="15">
        <f t="shared" si="53"/>
        <v>11.5</v>
      </c>
      <c r="M322" s="15">
        <f t="shared" si="61"/>
        <v>5</v>
      </c>
      <c r="N322" s="15">
        <f t="shared" si="54"/>
        <v>0.72309249999999992</v>
      </c>
      <c r="O322" s="15">
        <f t="shared" si="55"/>
        <v>35.431532499999996</v>
      </c>
      <c r="P322" s="15">
        <f t="shared" si="56"/>
        <v>11.5</v>
      </c>
      <c r="Q322" s="15">
        <f t="shared" si="57"/>
        <v>5</v>
      </c>
      <c r="R322" s="15">
        <f t="shared" si="58"/>
        <v>18.931532499999996</v>
      </c>
      <c r="S322" s="15">
        <f t="shared" si="59"/>
        <v>0</v>
      </c>
      <c r="T322" s="14" t="str">
        <f t="shared" si="60"/>
        <v>Satisfactorio</v>
      </c>
      <c r="U322" s="14">
        <f t="shared" si="62"/>
        <v>0</v>
      </c>
      <c r="V322" s="14">
        <f t="shared" si="63"/>
        <v>0</v>
      </c>
    </row>
    <row r="323" spans="1:22">
      <c r="A323" s="17">
        <v>38657</v>
      </c>
      <c r="B323" s="9">
        <v>2005</v>
      </c>
      <c r="C323" s="9" t="s">
        <v>109</v>
      </c>
      <c r="D323" s="11">
        <v>132.30000000000001</v>
      </c>
      <c r="E323" s="15">
        <f>'Hoja 4 - Cálculo'!$B$12</f>
        <v>250</v>
      </c>
      <c r="F323" s="15">
        <f>'Hoja 4 - Cálculo'!$B$13</f>
        <v>0.85</v>
      </c>
      <c r="G323" s="15">
        <f>'Hoja 4 - Cálculo'!$B$14</f>
        <v>0.9</v>
      </c>
      <c r="H323" s="15">
        <f t="shared" si="52"/>
        <v>25.302375000000001</v>
      </c>
      <c r="I323" s="11">
        <v>8</v>
      </c>
      <c r="J323" s="11">
        <v>1.5</v>
      </c>
      <c r="K323" s="11">
        <v>2</v>
      </c>
      <c r="L323" s="15">
        <f t="shared" si="53"/>
        <v>11.5</v>
      </c>
      <c r="M323" s="15">
        <f t="shared" si="61"/>
        <v>5</v>
      </c>
      <c r="N323" s="15">
        <f t="shared" si="54"/>
        <v>0.60604750000000007</v>
      </c>
      <c r="O323" s="15">
        <f t="shared" si="55"/>
        <v>29.696327500000002</v>
      </c>
      <c r="P323" s="15">
        <f t="shared" si="56"/>
        <v>11.5</v>
      </c>
      <c r="Q323" s="15">
        <f t="shared" si="57"/>
        <v>5</v>
      </c>
      <c r="R323" s="15">
        <f t="shared" si="58"/>
        <v>13.196327500000002</v>
      </c>
      <c r="S323" s="15">
        <f t="shared" si="59"/>
        <v>0</v>
      </c>
      <c r="T323" s="14" t="str">
        <f t="shared" si="60"/>
        <v>Satisfactorio</v>
      </c>
      <c r="U323" s="14">
        <f t="shared" si="62"/>
        <v>0</v>
      </c>
      <c r="V323" s="14">
        <f t="shared" si="63"/>
        <v>0</v>
      </c>
    </row>
    <row r="324" spans="1:22">
      <c r="A324" s="17">
        <v>38687</v>
      </c>
      <c r="B324" s="9">
        <v>2005</v>
      </c>
      <c r="C324" s="9" t="s">
        <v>110</v>
      </c>
      <c r="D324" s="11">
        <v>82.5</v>
      </c>
      <c r="E324" s="15">
        <f>'Hoja 4 - Cálculo'!$B$12</f>
        <v>250</v>
      </c>
      <c r="F324" s="15">
        <f>'Hoja 4 - Cálculo'!$B$13</f>
        <v>0.85</v>
      </c>
      <c r="G324" s="15">
        <f>'Hoja 4 - Cálculo'!$B$14</f>
        <v>0.9</v>
      </c>
      <c r="H324" s="15">
        <f t="shared" si="52"/>
        <v>15.778124999999999</v>
      </c>
      <c r="I324" s="11">
        <v>8</v>
      </c>
      <c r="J324" s="11">
        <v>6</v>
      </c>
      <c r="K324" s="11">
        <v>2</v>
      </c>
      <c r="L324" s="15">
        <f t="shared" si="53"/>
        <v>16</v>
      </c>
      <c r="M324" s="15">
        <f t="shared" si="61"/>
        <v>5</v>
      </c>
      <c r="N324" s="15">
        <f t="shared" si="54"/>
        <v>0.4155625</v>
      </c>
      <c r="O324" s="15">
        <f t="shared" si="55"/>
        <v>20.362562499999999</v>
      </c>
      <c r="P324" s="15">
        <f t="shared" si="56"/>
        <v>16</v>
      </c>
      <c r="Q324" s="15">
        <f t="shared" si="57"/>
        <v>4.3625624999999992</v>
      </c>
      <c r="R324" s="15">
        <f t="shared" si="58"/>
        <v>0</v>
      </c>
      <c r="S324" s="15">
        <f t="shared" si="59"/>
        <v>0</v>
      </c>
      <c r="T324" s="14" t="str">
        <f t="shared" si="60"/>
        <v>Satisfactorio</v>
      </c>
      <c r="U324" s="14">
        <f t="shared" si="62"/>
        <v>0</v>
      </c>
      <c r="V324" s="14">
        <f t="shared" si="63"/>
        <v>0</v>
      </c>
    </row>
    <row r="325" spans="1:22">
      <c r="A325" s="17">
        <v>38718</v>
      </c>
      <c r="B325" s="9">
        <v>2006</v>
      </c>
      <c r="C325" s="9" t="s">
        <v>99</v>
      </c>
      <c r="D325" s="11">
        <v>74.7</v>
      </c>
      <c r="E325" s="15">
        <f>'Hoja 4 - Cálculo'!$B$12</f>
        <v>250</v>
      </c>
      <c r="F325" s="15">
        <f>'Hoja 4 - Cálculo'!$B$13</f>
        <v>0.85</v>
      </c>
      <c r="G325" s="15">
        <f>'Hoja 4 - Cálculo'!$B$14</f>
        <v>0.9</v>
      </c>
      <c r="H325" s="15">
        <f t="shared" si="52"/>
        <v>14.286375</v>
      </c>
      <c r="I325" s="11">
        <v>8</v>
      </c>
      <c r="J325" s="11">
        <v>6</v>
      </c>
      <c r="K325" s="11">
        <v>2</v>
      </c>
      <c r="L325" s="15">
        <f t="shared" si="53"/>
        <v>16</v>
      </c>
      <c r="M325" s="15">
        <f t="shared" si="61"/>
        <v>4.3625624999999992</v>
      </c>
      <c r="N325" s="15">
        <f t="shared" si="54"/>
        <v>0.37297874999999997</v>
      </c>
      <c r="O325" s="15">
        <f t="shared" si="55"/>
        <v>18.275958749999997</v>
      </c>
      <c r="P325" s="15">
        <f t="shared" si="56"/>
        <v>16</v>
      </c>
      <c r="Q325" s="15">
        <f t="shared" si="57"/>
        <v>2.2759587499999974</v>
      </c>
      <c r="R325" s="15">
        <f t="shared" si="58"/>
        <v>0</v>
      </c>
      <c r="S325" s="15">
        <f t="shared" si="59"/>
        <v>0</v>
      </c>
      <c r="T325" s="14" t="str">
        <f t="shared" si="60"/>
        <v>Satisfactorio</v>
      </c>
      <c r="U325" s="14">
        <f t="shared" si="62"/>
        <v>0</v>
      </c>
      <c r="V325" s="14">
        <f t="shared" si="63"/>
        <v>0</v>
      </c>
    </row>
    <row r="326" spans="1:22">
      <c r="A326" s="17">
        <v>38749</v>
      </c>
      <c r="B326" s="9">
        <v>2006</v>
      </c>
      <c r="C326" s="9" t="s">
        <v>100</v>
      </c>
      <c r="D326" s="11">
        <v>80.2</v>
      </c>
      <c r="E326" s="15">
        <f>'Hoja 4 - Cálculo'!$B$12</f>
        <v>250</v>
      </c>
      <c r="F326" s="15">
        <f>'Hoja 4 - Cálculo'!$B$13</f>
        <v>0.85</v>
      </c>
      <c r="G326" s="15">
        <f>'Hoja 4 - Cálculo'!$B$14</f>
        <v>0.9</v>
      </c>
      <c r="H326" s="15">
        <f t="shared" si="52"/>
        <v>15.33825</v>
      </c>
      <c r="I326" s="11">
        <v>8</v>
      </c>
      <c r="J326" s="11">
        <v>6</v>
      </c>
      <c r="K326" s="11">
        <v>2</v>
      </c>
      <c r="L326" s="15">
        <f t="shared" si="53"/>
        <v>16</v>
      </c>
      <c r="M326" s="15">
        <f t="shared" si="61"/>
        <v>2.2759587499999974</v>
      </c>
      <c r="N326" s="15">
        <f t="shared" si="54"/>
        <v>0.35228417499999992</v>
      </c>
      <c r="O326" s="15">
        <f t="shared" si="55"/>
        <v>17.261924574999995</v>
      </c>
      <c r="P326" s="15">
        <f t="shared" si="56"/>
        <v>16</v>
      </c>
      <c r="Q326" s="15">
        <f t="shared" si="57"/>
        <v>1.2619245749999948</v>
      </c>
      <c r="R326" s="15">
        <f t="shared" si="58"/>
        <v>0</v>
      </c>
      <c r="S326" s="15">
        <f t="shared" si="59"/>
        <v>0</v>
      </c>
      <c r="T326" s="14" t="str">
        <f t="shared" si="60"/>
        <v>Satisfactorio</v>
      </c>
      <c r="U326" s="14">
        <f t="shared" si="62"/>
        <v>0</v>
      </c>
      <c r="V326" s="14">
        <f t="shared" si="63"/>
        <v>0</v>
      </c>
    </row>
    <row r="327" spans="1:22">
      <c r="A327" s="17">
        <v>38777</v>
      </c>
      <c r="B327" s="9">
        <v>2006</v>
      </c>
      <c r="C327" s="9" t="s">
        <v>101</v>
      </c>
      <c r="D327" s="11">
        <v>125.3</v>
      </c>
      <c r="E327" s="15">
        <f>'Hoja 4 - Cálculo'!$B$12</f>
        <v>250</v>
      </c>
      <c r="F327" s="15">
        <f>'Hoja 4 - Cálculo'!$B$13</f>
        <v>0.85</v>
      </c>
      <c r="G327" s="15">
        <f>'Hoja 4 - Cálculo'!$B$14</f>
        <v>0.9</v>
      </c>
      <c r="H327" s="15">
        <f t="shared" si="52"/>
        <v>23.963625</v>
      </c>
      <c r="I327" s="11">
        <v>8</v>
      </c>
      <c r="J327" s="11">
        <v>6</v>
      </c>
      <c r="K327" s="11">
        <v>2</v>
      </c>
      <c r="L327" s="15">
        <f t="shared" si="53"/>
        <v>16</v>
      </c>
      <c r="M327" s="15">
        <f t="shared" si="61"/>
        <v>1.2619245749999948</v>
      </c>
      <c r="N327" s="15">
        <f t="shared" si="54"/>
        <v>0.50451099149999989</v>
      </c>
      <c r="O327" s="15">
        <f t="shared" si="55"/>
        <v>24.721038583499997</v>
      </c>
      <c r="P327" s="15">
        <f t="shared" si="56"/>
        <v>16</v>
      </c>
      <c r="Q327" s="15">
        <f t="shared" si="57"/>
        <v>5</v>
      </c>
      <c r="R327" s="15">
        <f t="shared" si="58"/>
        <v>3.7210385834999968</v>
      </c>
      <c r="S327" s="15">
        <f t="shared" si="59"/>
        <v>0</v>
      </c>
      <c r="T327" s="14" t="str">
        <f t="shared" si="60"/>
        <v>Satisfactorio</v>
      </c>
      <c r="U327" s="14">
        <f t="shared" si="62"/>
        <v>0</v>
      </c>
      <c r="V327" s="14">
        <f t="shared" si="63"/>
        <v>0</v>
      </c>
    </row>
    <row r="328" spans="1:22">
      <c r="A328" s="17">
        <v>38808</v>
      </c>
      <c r="B328" s="9">
        <v>2006</v>
      </c>
      <c r="C328" s="9" t="s">
        <v>102</v>
      </c>
      <c r="D328" s="11">
        <v>167.7</v>
      </c>
      <c r="E328" s="15">
        <f>'Hoja 4 - Cálculo'!$B$12</f>
        <v>250</v>
      </c>
      <c r="F328" s="15">
        <f>'Hoja 4 - Cálculo'!$B$13</f>
        <v>0.85</v>
      </c>
      <c r="G328" s="15">
        <f>'Hoja 4 - Cálculo'!$B$14</f>
        <v>0.9</v>
      </c>
      <c r="H328" s="15">
        <f t="shared" si="52"/>
        <v>32.072625000000002</v>
      </c>
      <c r="I328" s="11">
        <v>8</v>
      </c>
      <c r="J328" s="11">
        <v>1.5</v>
      </c>
      <c r="K328" s="11">
        <v>2</v>
      </c>
      <c r="L328" s="15">
        <f t="shared" si="53"/>
        <v>11.5</v>
      </c>
      <c r="M328" s="15">
        <f t="shared" si="61"/>
        <v>5</v>
      </c>
      <c r="N328" s="15">
        <f t="shared" si="54"/>
        <v>0.74145250000000007</v>
      </c>
      <c r="O328" s="15">
        <f t="shared" si="55"/>
        <v>36.331172500000001</v>
      </c>
      <c r="P328" s="15">
        <f t="shared" si="56"/>
        <v>11.5</v>
      </c>
      <c r="Q328" s="15">
        <f t="shared" si="57"/>
        <v>5</v>
      </c>
      <c r="R328" s="15">
        <f t="shared" si="58"/>
        <v>19.831172500000001</v>
      </c>
      <c r="S328" s="15">
        <f t="shared" si="59"/>
        <v>0</v>
      </c>
      <c r="T328" s="14" t="str">
        <f t="shared" si="60"/>
        <v>Satisfactorio</v>
      </c>
      <c r="U328" s="14">
        <f t="shared" si="62"/>
        <v>0</v>
      </c>
      <c r="V328" s="14">
        <f t="shared" si="63"/>
        <v>0</v>
      </c>
    </row>
    <row r="329" spans="1:22">
      <c r="A329" s="17">
        <v>38838</v>
      </c>
      <c r="B329" s="9">
        <v>2006</v>
      </c>
      <c r="C329" s="9" t="s">
        <v>103</v>
      </c>
      <c r="D329" s="11">
        <v>157.4</v>
      </c>
      <c r="E329" s="15">
        <f>'Hoja 4 - Cálculo'!$B$12</f>
        <v>250</v>
      </c>
      <c r="F329" s="15">
        <f>'Hoja 4 - Cálculo'!$B$13</f>
        <v>0.85</v>
      </c>
      <c r="G329" s="15">
        <f>'Hoja 4 - Cálculo'!$B$14</f>
        <v>0.9</v>
      </c>
      <c r="H329" s="15">
        <f t="shared" si="52"/>
        <v>30.10275</v>
      </c>
      <c r="I329" s="11">
        <v>8</v>
      </c>
      <c r="J329" s="11">
        <v>1.5</v>
      </c>
      <c r="K329" s="11">
        <v>2</v>
      </c>
      <c r="L329" s="15">
        <f t="shared" si="53"/>
        <v>11.5</v>
      </c>
      <c r="M329" s="15">
        <f t="shared" si="61"/>
        <v>5</v>
      </c>
      <c r="N329" s="15">
        <f t="shared" si="54"/>
        <v>0.70205499999999998</v>
      </c>
      <c r="O329" s="15">
        <f t="shared" si="55"/>
        <v>34.400694999999999</v>
      </c>
      <c r="P329" s="15">
        <f t="shared" si="56"/>
        <v>11.5</v>
      </c>
      <c r="Q329" s="15">
        <f t="shared" si="57"/>
        <v>5</v>
      </c>
      <c r="R329" s="15">
        <f t="shared" si="58"/>
        <v>17.900694999999999</v>
      </c>
      <c r="S329" s="15">
        <f t="shared" si="59"/>
        <v>0</v>
      </c>
      <c r="T329" s="14" t="str">
        <f t="shared" si="60"/>
        <v>Satisfactorio</v>
      </c>
      <c r="U329" s="14">
        <f t="shared" si="62"/>
        <v>0</v>
      </c>
      <c r="V329" s="14">
        <f t="shared" si="63"/>
        <v>0</v>
      </c>
    </row>
    <row r="330" spans="1:22">
      <c r="A330" s="17">
        <v>38869</v>
      </c>
      <c r="B330" s="9">
        <v>2006</v>
      </c>
      <c r="C330" s="9" t="s">
        <v>104</v>
      </c>
      <c r="D330" s="11">
        <v>93.3</v>
      </c>
      <c r="E330" s="15">
        <f>'Hoja 4 - Cálculo'!$B$12</f>
        <v>250</v>
      </c>
      <c r="F330" s="15">
        <f>'Hoja 4 - Cálculo'!$B$13</f>
        <v>0.85</v>
      </c>
      <c r="G330" s="15">
        <f>'Hoja 4 - Cálculo'!$B$14</f>
        <v>0.9</v>
      </c>
      <c r="H330" s="15">
        <f t="shared" si="52"/>
        <v>17.843624999999999</v>
      </c>
      <c r="I330" s="11">
        <v>8</v>
      </c>
      <c r="J330" s="11">
        <v>1.5</v>
      </c>
      <c r="K330" s="11">
        <v>2</v>
      </c>
      <c r="L330" s="15">
        <f t="shared" si="53"/>
        <v>11.5</v>
      </c>
      <c r="M330" s="15">
        <f t="shared" si="61"/>
        <v>5</v>
      </c>
      <c r="N330" s="15">
        <f t="shared" si="54"/>
        <v>0.45687250000000001</v>
      </c>
      <c r="O330" s="15">
        <f t="shared" si="55"/>
        <v>22.3867525</v>
      </c>
      <c r="P330" s="15">
        <f t="shared" si="56"/>
        <v>11.5</v>
      </c>
      <c r="Q330" s="15">
        <f t="shared" si="57"/>
        <v>5</v>
      </c>
      <c r="R330" s="15">
        <f t="shared" si="58"/>
        <v>5.8867525000000001</v>
      </c>
      <c r="S330" s="15">
        <f t="shared" si="59"/>
        <v>0</v>
      </c>
      <c r="T330" s="14" t="str">
        <f t="shared" si="60"/>
        <v>Satisfactorio</v>
      </c>
      <c r="U330" s="14">
        <f t="shared" si="62"/>
        <v>0</v>
      </c>
      <c r="V330" s="14">
        <f t="shared" si="63"/>
        <v>0</v>
      </c>
    </row>
    <row r="331" spans="1:22">
      <c r="A331" s="17">
        <v>38899</v>
      </c>
      <c r="B331" s="9">
        <v>2006</v>
      </c>
      <c r="C331" s="9" t="s">
        <v>105</v>
      </c>
      <c r="D331" s="11">
        <v>77.5</v>
      </c>
      <c r="E331" s="15">
        <f>'Hoja 4 - Cálculo'!$B$12</f>
        <v>250</v>
      </c>
      <c r="F331" s="15">
        <f>'Hoja 4 - Cálculo'!$B$13</f>
        <v>0.85</v>
      </c>
      <c r="G331" s="15">
        <f>'Hoja 4 - Cálculo'!$B$14</f>
        <v>0.9</v>
      </c>
      <c r="H331" s="15">
        <f t="shared" si="52"/>
        <v>14.821875</v>
      </c>
      <c r="I331" s="11">
        <v>8</v>
      </c>
      <c r="J331" s="11">
        <v>6</v>
      </c>
      <c r="K331" s="11">
        <v>2</v>
      </c>
      <c r="L331" s="15">
        <f t="shared" si="53"/>
        <v>16</v>
      </c>
      <c r="M331" s="15">
        <f t="shared" si="61"/>
        <v>5</v>
      </c>
      <c r="N331" s="15">
        <f t="shared" si="54"/>
        <v>0.3964375</v>
      </c>
      <c r="O331" s="15">
        <f t="shared" si="55"/>
        <v>19.425437499999997</v>
      </c>
      <c r="P331" s="15">
        <f t="shared" si="56"/>
        <v>16</v>
      </c>
      <c r="Q331" s="15">
        <f t="shared" si="57"/>
        <v>3.4254374999999975</v>
      </c>
      <c r="R331" s="15">
        <f t="shared" si="58"/>
        <v>0</v>
      </c>
      <c r="S331" s="15">
        <f t="shared" si="59"/>
        <v>0</v>
      </c>
      <c r="T331" s="14" t="str">
        <f t="shared" si="60"/>
        <v>Satisfactorio</v>
      </c>
      <c r="U331" s="14">
        <f t="shared" si="62"/>
        <v>0</v>
      </c>
      <c r="V331" s="14">
        <f t="shared" si="63"/>
        <v>0</v>
      </c>
    </row>
    <row r="332" spans="1:22">
      <c r="A332" s="17">
        <v>38930</v>
      </c>
      <c r="B332" s="9">
        <v>2006</v>
      </c>
      <c r="C332" s="9" t="s">
        <v>106</v>
      </c>
      <c r="D332" s="11">
        <v>83.6</v>
      </c>
      <c r="E332" s="15">
        <f>'Hoja 4 - Cálculo'!$B$12</f>
        <v>250</v>
      </c>
      <c r="F332" s="15">
        <f>'Hoja 4 - Cálculo'!$B$13</f>
        <v>0.85</v>
      </c>
      <c r="G332" s="15">
        <f>'Hoja 4 - Cálculo'!$B$14</f>
        <v>0.9</v>
      </c>
      <c r="H332" s="15">
        <f t="shared" si="52"/>
        <v>15.9885</v>
      </c>
      <c r="I332" s="11">
        <v>8</v>
      </c>
      <c r="J332" s="11">
        <v>6</v>
      </c>
      <c r="K332" s="11">
        <v>2</v>
      </c>
      <c r="L332" s="15">
        <f t="shared" si="53"/>
        <v>16</v>
      </c>
      <c r="M332" s="15">
        <f t="shared" si="61"/>
        <v>3.4254374999999975</v>
      </c>
      <c r="N332" s="15">
        <f t="shared" si="54"/>
        <v>0.38827874999999995</v>
      </c>
      <c r="O332" s="15">
        <f t="shared" si="55"/>
        <v>19.025658749999995</v>
      </c>
      <c r="P332" s="15">
        <f t="shared" si="56"/>
        <v>16</v>
      </c>
      <c r="Q332" s="15">
        <f t="shared" si="57"/>
        <v>3.0256587499999945</v>
      </c>
      <c r="R332" s="15">
        <f t="shared" si="58"/>
        <v>0</v>
      </c>
      <c r="S332" s="15">
        <f t="shared" si="59"/>
        <v>0</v>
      </c>
      <c r="T332" s="14" t="str">
        <f t="shared" si="60"/>
        <v>Satisfactorio</v>
      </c>
      <c r="U332" s="14">
        <f t="shared" si="62"/>
        <v>0</v>
      </c>
      <c r="V332" s="14">
        <f t="shared" si="63"/>
        <v>0</v>
      </c>
    </row>
    <row r="333" spans="1:22">
      <c r="A333" s="17">
        <v>38961</v>
      </c>
      <c r="B333" s="9">
        <v>2006</v>
      </c>
      <c r="C333" s="9" t="s">
        <v>107</v>
      </c>
      <c r="D333" s="11">
        <v>130.80000000000001</v>
      </c>
      <c r="E333" s="15">
        <f>'Hoja 4 - Cálculo'!$B$12</f>
        <v>250</v>
      </c>
      <c r="F333" s="15">
        <f>'Hoja 4 - Cálculo'!$B$13</f>
        <v>0.85</v>
      </c>
      <c r="G333" s="15">
        <f>'Hoja 4 - Cálculo'!$B$14</f>
        <v>0.9</v>
      </c>
      <c r="H333" s="15">
        <f t="shared" si="52"/>
        <v>25.015500000000003</v>
      </c>
      <c r="I333" s="11">
        <v>8</v>
      </c>
      <c r="J333" s="11">
        <v>1.5</v>
      </c>
      <c r="K333" s="11">
        <v>2</v>
      </c>
      <c r="L333" s="15">
        <f t="shared" si="53"/>
        <v>11.5</v>
      </c>
      <c r="M333" s="15">
        <f t="shared" si="61"/>
        <v>3.0256587499999945</v>
      </c>
      <c r="N333" s="15">
        <f t="shared" si="54"/>
        <v>0.56082317500000001</v>
      </c>
      <c r="O333" s="15">
        <f t="shared" si="55"/>
        <v>27.480335574999998</v>
      </c>
      <c r="P333" s="15">
        <f t="shared" si="56"/>
        <v>11.5</v>
      </c>
      <c r="Q333" s="15">
        <f t="shared" si="57"/>
        <v>5</v>
      </c>
      <c r="R333" s="15">
        <f t="shared" si="58"/>
        <v>10.980335574999998</v>
      </c>
      <c r="S333" s="15">
        <f t="shared" si="59"/>
        <v>0</v>
      </c>
      <c r="T333" s="14" t="str">
        <f t="shared" si="60"/>
        <v>Satisfactorio</v>
      </c>
      <c r="U333" s="14">
        <f t="shared" si="62"/>
        <v>0</v>
      </c>
      <c r="V333" s="14">
        <f t="shared" si="63"/>
        <v>0</v>
      </c>
    </row>
    <row r="334" spans="1:22">
      <c r="A334" s="17">
        <v>38991</v>
      </c>
      <c r="B334" s="9">
        <v>2006</v>
      </c>
      <c r="C334" s="9" t="s">
        <v>108</v>
      </c>
      <c r="D334" s="11">
        <v>181</v>
      </c>
      <c r="E334" s="15">
        <f>'Hoja 4 - Cálculo'!$B$12</f>
        <v>250</v>
      </c>
      <c r="F334" s="15">
        <f>'Hoja 4 - Cálculo'!$B$13</f>
        <v>0.85</v>
      </c>
      <c r="G334" s="15">
        <f>'Hoja 4 - Cálculo'!$B$14</f>
        <v>0.9</v>
      </c>
      <c r="H334" s="15">
        <f t="shared" si="52"/>
        <v>34.616250000000001</v>
      </c>
      <c r="I334" s="11">
        <v>8</v>
      </c>
      <c r="J334" s="11">
        <v>1.5</v>
      </c>
      <c r="K334" s="11">
        <v>2</v>
      </c>
      <c r="L334" s="15">
        <f t="shared" si="53"/>
        <v>11.5</v>
      </c>
      <c r="M334" s="15">
        <f t="shared" si="61"/>
        <v>5</v>
      </c>
      <c r="N334" s="15">
        <f t="shared" si="54"/>
        <v>0.79232500000000006</v>
      </c>
      <c r="O334" s="15">
        <f t="shared" si="55"/>
        <v>38.823925000000003</v>
      </c>
      <c r="P334" s="15">
        <f t="shared" si="56"/>
        <v>11.5</v>
      </c>
      <c r="Q334" s="15">
        <f t="shared" si="57"/>
        <v>5</v>
      </c>
      <c r="R334" s="15">
        <f t="shared" si="58"/>
        <v>22.323925000000003</v>
      </c>
      <c r="S334" s="15">
        <f t="shared" si="59"/>
        <v>0</v>
      </c>
      <c r="T334" s="14" t="str">
        <f t="shared" si="60"/>
        <v>Satisfactorio</v>
      </c>
      <c r="U334" s="14">
        <f t="shared" si="62"/>
        <v>0</v>
      </c>
      <c r="V334" s="14">
        <f t="shared" si="63"/>
        <v>0</v>
      </c>
    </row>
    <row r="335" spans="1:22">
      <c r="A335" s="17">
        <v>39022</v>
      </c>
      <c r="B335" s="9">
        <v>2006</v>
      </c>
      <c r="C335" s="9" t="s">
        <v>109</v>
      </c>
      <c r="D335" s="11">
        <v>145.19999999999999</v>
      </c>
      <c r="E335" s="15">
        <f>'Hoja 4 - Cálculo'!$B$12</f>
        <v>250</v>
      </c>
      <c r="F335" s="15">
        <f>'Hoja 4 - Cálculo'!$B$13</f>
        <v>0.85</v>
      </c>
      <c r="G335" s="15">
        <f>'Hoja 4 - Cálculo'!$B$14</f>
        <v>0.9</v>
      </c>
      <c r="H335" s="15">
        <f t="shared" si="52"/>
        <v>27.769500000000001</v>
      </c>
      <c r="I335" s="11">
        <v>8</v>
      </c>
      <c r="J335" s="11">
        <v>1.5</v>
      </c>
      <c r="K335" s="11">
        <v>2</v>
      </c>
      <c r="L335" s="15">
        <f t="shared" si="53"/>
        <v>11.5</v>
      </c>
      <c r="M335" s="15">
        <f t="shared" si="61"/>
        <v>5</v>
      </c>
      <c r="N335" s="15">
        <f t="shared" si="54"/>
        <v>0.65539000000000003</v>
      </c>
      <c r="O335" s="15">
        <f t="shared" si="55"/>
        <v>32.114110000000004</v>
      </c>
      <c r="P335" s="15">
        <f t="shared" si="56"/>
        <v>11.5</v>
      </c>
      <c r="Q335" s="15">
        <f t="shared" si="57"/>
        <v>5</v>
      </c>
      <c r="R335" s="15">
        <f t="shared" si="58"/>
        <v>15.614110000000004</v>
      </c>
      <c r="S335" s="15">
        <f t="shared" si="59"/>
        <v>0</v>
      </c>
      <c r="T335" s="14" t="str">
        <f t="shared" si="60"/>
        <v>Satisfactorio</v>
      </c>
      <c r="U335" s="14">
        <f t="shared" si="62"/>
        <v>0</v>
      </c>
      <c r="V335" s="14">
        <f t="shared" si="63"/>
        <v>0</v>
      </c>
    </row>
    <row r="336" spans="1:22">
      <c r="A336" s="17">
        <v>39052</v>
      </c>
      <c r="B336" s="9">
        <v>2006</v>
      </c>
      <c r="C336" s="9" t="s">
        <v>110</v>
      </c>
      <c r="D336" s="11">
        <v>91.5</v>
      </c>
      <c r="E336" s="15">
        <f>'Hoja 4 - Cálculo'!$B$12</f>
        <v>250</v>
      </c>
      <c r="F336" s="15">
        <f>'Hoja 4 - Cálculo'!$B$13</f>
        <v>0.85</v>
      </c>
      <c r="G336" s="15">
        <f>'Hoja 4 - Cálculo'!$B$14</f>
        <v>0.9</v>
      </c>
      <c r="H336" s="15">
        <f t="shared" si="52"/>
        <v>17.499375000000001</v>
      </c>
      <c r="I336" s="11">
        <v>8</v>
      </c>
      <c r="J336" s="11">
        <v>6</v>
      </c>
      <c r="K336" s="11">
        <v>2</v>
      </c>
      <c r="L336" s="15">
        <f t="shared" si="53"/>
        <v>16</v>
      </c>
      <c r="M336" s="15">
        <f t="shared" si="61"/>
        <v>5</v>
      </c>
      <c r="N336" s="15">
        <f t="shared" si="54"/>
        <v>0.44998750000000004</v>
      </c>
      <c r="O336" s="15">
        <f t="shared" si="55"/>
        <v>22.049387500000002</v>
      </c>
      <c r="P336" s="15">
        <f t="shared" si="56"/>
        <v>16</v>
      </c>
      <c r="Q336" s="15">
        <f t="shared" si="57"/>
        <v>5</v>
      </c>
      <c r="R336" s="15">
        <f t="shared" si="58"/>
        <v>1.0493875000000017</v>
      </c>
      <c r="S336" s="15">
        <f t="shared" si="59"/>
        <v>0</v>
      </c>
      <c r="T336" s="14" t="str">
        <f t="shared" si="60"/>
        <v>Satisfactorio</v>
      </c>
      <c r="U336" s="14">
        <f t="shared" si="62"/>
        <v>0</v>
      </c>
      <c r="V336" s="14">
        <f t="shared" si="63"/>
        <v>0</v>
      </c>
    </row>
    <row r="337" spans="1:22">
      <c r="A337" s="17">
        <v>39083</v>
      </c>
      <c r="B337" s="9">
        <v>2007</v>
      </c>
      <c r="C337" s="9" t="s">
        <v>99</v>
      </c>
      <c r="D337" s="11">
        <v>69.7</v>
      </c>
      <c r="E337" s="15">
        <f>'Hoja 4 - Cálculo'!$B$12</f>
        <v>250</v>
      </c>
      <c r="F337" s="15">
        <f>'Hoja 4 - Cálculo'!$B$13</f>
        <v>0.85</v>
      </c>
      <c r="G337" s="15">
        <f>'Hoja 4 - Cálculo'!$B$14</f>
        <v>0.9</v>
      </c>
      <c r="H337" s="15">
        <f t="shared" si="52"/>
        <v>13.330125000000001</v>
      </c>
      <c r="I337" s="11">
        <v>8</v>
      </c>
      <c r="J337" s="11">
        <v>6</v>
      </c>
      <c r="K337" s="11">
        <v>2</v>
      </c>
      <c r="L337" s="15">
        <f t="shared" si="53"/>
        <v>16</v>
      </c>
      <c r="M337" s="15">
        <f t="shared" si="61"/>
        <v>5</v>
      </c>
      <c r="N337" s="15">
        <f t="shared" si="54"/>
        <v>0.36660250000000005</v>
      </c>
      <c r="O337" s="15">
        <f t="shared" si="55"/>
        <v>17.963522500000003</v>
      </c>
      <c r="P337" s="15">
        <f t="shared" si="56"/>
        <v>16</v>
      </c>
      <c r="Q337" s="15">
        <f t="shared" si="57"/>
        <v>1.9635225000000034</v>
      </c>
      <c r="R337" s="15">
        <f t="shared" si="58"/>
        <v>0</v>
      </c>
      <c r="S337" s="15">
        <f t="shared" si="59"/>
        <v>0</v>
      </c>
      <c r="T337" s="14" t="str">
        <f t="shared" si="60"/>
        <v>Satisfactorio</v>
      </c>
      <c r="U337" s="14">
        <f t="shared" si="62"/>
        <v>0</v>
      </c>
      <c r="V337" s="14">
        <f t="shared" si="63"/>
        <v>0</v>
      </c>
    </row>
    <row r="338" spans="1:22">
      <c r="A338" s="17">
        <v>39114</v>
      </c>
      <c r="B338" s="9">
        <v>2007</v>
      </c>
      <c r="C338" s="9" t="s">
        <v>100</v>
      </c>
      <c r="D338" s="11">
        <v>79.400000000000006</v>
      </c>
      <c r="E338" s="15">
        <f>'Hoja 4 - Cálculo'!$B$12</f>
        <v>250</v>
      </c>
      <c r="F338" s="15">
        <f>'Hoja 4 - Cálculo'!$B$13</f>
        <v>0.85</v>
      </c>
      <c r="G338" s="15">
        <f>'Hoja 4 - Cálculo'!$B$14</f>
        <v>0.9</v>
      </c>
      <c r="H338" s="15">
        <f t="shared" si="52"/>
        <v>15.18525</v>
      </c>
      <c r="I338" s="11">
        <v>8</v>
      </c>
      <c r="J338" s="11">
        <v>6</v>
      </c>
      <c r="K338" s="11">
        <v>2</v>
      </c>
      <c r="L338" s="15">
        <f t="shared" si="53"/>
        <v>16</v>
      </c>
      <c r="M338" s="15">
        <f t="shared" si="61"/>
        <v>1.9635225000000034</v>
      </c>
      <c r="N338" s="15">
        <f t="shared" si="54"/>
        <v>0.34297545000000007</v>
      </c>
      <c r="O338" s="15">
        <f t="shared" si="55"/>
        <v>16.805797050000002</v>
      </c>
      <c r="P338" s="15">
        <f t="shared" si="56"/>
        <v>16</v>
      </c>
      <c r="Q338" s="15">
        <f t="shared" si="57"/>
        <v>0.80579705000000246</v>
      </c>
      <c r="R338" s="15">
        <f t="shared" si="58"/>
        <v>0</v>
      </c>
      <c r="S338" s="15">
        <f t="shared" si="59"/>
        <v>0</v>
      </c>
      <c r="T338" s="14" t="str">
        <f t="shared" si="60"/>
        <v>Satisfactorio</v>
      </c>
      <c r="U338" s="14">
        <f t="shared" si="62"/>
        <v>0</v>
      </c>
      <c r="V338" s="14">
        <f t="shared" si="63"/>
        <v>0</v>
      </c>
    </row>
    <row r="339" spans="1:22">
      <c r="A339" s="17">
        <v>39142</v>
      </c>
      <c r="B339" s="9">
        <v>2007</v>
      </c>
      <c r="C339" s="9" t="s">
        <v>101</v>
      </c>
      <c r="D339" s="11">
        <v>112.6</v>
      </c>
      <c r="E339" s="15">
        <f>'Hoja 4 - Cálculo'!$B$12</f>
        <v>250</v>
      </c>
      <c r="F339" s="15">
        <f>'Hoja 4 - Cálculo'!$B$13</f>
        <v>0.85</v>
      </c>
      <c r="G339" s="15">
        <f>'Hoja 4 - Cálculo'!$B$14</f>
        <v>0.9</v>
      </c>
      <c r="H339" s="15">
        <f t="shared" si="52"/>
        <v>21.534749999999999</v>
      </c>
      <c r="I339" s="11">
        <v>8</v>
      </c>
      <c r="J339" s="11">
        <v>6</v>
      </c>
      <c r="K339" s="11">
        <v>2</v>
      </c>
      <c r="L339" s="15">
        <f t="shared" si="53"/>
        <v>16</v>
      </c>
      <c r="M339" s="15">
        <f t="shared" si="61"/>
        <v>0.80579705000000246</v>
      </c>
      <c r="N339" s="15">
        <f t="shared" si="54"/>
        <v>0.44681094100000002</v>
      </c>
      <c r="O339" s="15">
        <f t="shared" si="55"/>
        <v>21.893736109000002</v>
      </c>
      <c r="P339" s="15">
        <f t="shared" si="56"/>
        <v>16</v>
      </c>
      <c r="Q339" s="15">
        <f t="shared" si="57"/>
        <v>5</v>
      </c>
      <c r="R339" s="15">
        <f t="shared" si="58"/>
        <v>0.89373610900000244</v>
      </c>
      <c r="S339" s="15">
        <f t="shared" si="59"/>
        <v>0</v>
      </c>
      <c r="T339" s="14" t="str">
        <f t="shared" si="60"/>
        <v>Satisfactorio</v>
      </c>
      <c r="U339" s="14">
        <f t="shared" si="62"/>
        <v>0</v>
      </c>
      <c r="V339" s="14">
        <f t="shared" si="63"/>
        <v>0</v>
      </c>
    </row>
    <row r="340" spans="1:22">
      <c r="A340" s="17">
        <v>39173</v>
      </c>
      <c r="B340" s="9">
        <v>2007</v>
      </c>
      <c r="C340" s="9" t="s">
        <v>102</v>
      </c>
      <c r="D340" s="11">
        <v>169.8</v>
      </c>
      <c r="E340" s="15">
        <f>'Hoja 4 - Cálculo'!$B$12</f>
        <v>250</v>
      </c>
      <c r="F340" s="15">
        <f>'Hoja 4 - Cálculo'!$B$13</f>
        <v>0.85</v>
      </c>
      <c r="G340" s="15">
        <f>'Hoja 4 - Cálculo'!$B$14</f>
        <v>0.9</v>
      </c>
      <c r="H340" s="15">
        <f t="shared" si="52"/>
        <v>32.474249999999998</v>
      </c>
      <c r="I340" s="11">
        <v>8</v>
      </c>
      <c r="J340" s="11">
        <v>1.5</v>
      </c>
      <c r="K340" s="11">
        <v>2</v>
      </c>
      <c r="L340" s="15">
        <f t="shared" si="53"/>
        <v>11.5</v>
      </c>
      <c r="M340" s="15">
        <f t="shared" si="61"/>
        <v>5</v>
      </c>
      <c r="N340" s="15">
        <f t="shared" si="54"/>
        <v>0.74948499999999996</v>
      </c>
      <c r="O340" s="15">
        <f t="shared" si="55"/>
        <v>36.724764999999998</v>
      </c>
      <c r="P340" s="15">
        <f t="shared" si="56"/>
        <v>11.5</v>
      </c>
      <c r="Q340" s="15">
        <f t="shared" si="57"/>
        <v>5</v>
      </c>
      <c r="R340" s="15">
        <f t="shared" si="58"/>
        <v>20.224764999999998</v>
      </c>
      <c r="S340" s="15">
        <f t="shared" si="59"/>
        <v>0</v>
      </c>
      <c r="T340" s="14" t="str">
        <f t="shared" si="60"/>
        <v>Satisfactorio</v>
      </c>
      <c r="U340" s="14">
        <f t="shared" si="62"/>
        <v>0</v>
      </c>
      <c r="V340" s="14">
        <f t="shared" si="63"/>
        <v>0</v>
      </c>
    </row>
    <row r="341" spans="1:22">
      <c r="A341" s="17">
        <v>39203</v>
      </c>
      <c r="B341" s="9">
        <v>2007</v>
      </c>
      <c r="C341" s="9" t="s">
        <v>103</v>
      </c>
      <c r="D341" s="11">
        <v>141.19999999999999</v>
      </c>
      <c r="E341" s="15">
        <f>'Hoja 4 - Cálculo'!$B$12</f>
        <v>250</v>
      </c>
      <c r="F341" s="15">
        <f>'Hoja 4 - Cálculo'!$B$13</f>
        <v>0.85</v>
      </c>
      <c r="G341" s="15">
        <f>'Hoja 4 - Cálculo'!$B$14</f>
        <v>0.9</v>
      </c>
      <c r="H341" s="15">
        <f t="shared" si="52"/>
        <v>27.0045</v>
      </c>
      <c r="I341" s="11">
        <v>8</v>
      </c>
      <c r="J341" s="11">
        <v>1.5</v>
      </c>
      <c r="K341" s="11">
        <v>2</v>
      </c>
      <c r="L341" s="15">
        <f t="shared" si="53"/>
        <v>11.5</v>
      </c>
      <c r="M341" s="15">
        <f t="shared" si="61"/>
        <v>5</v>
      </c>
      <c r="N341" s="15">
        <f t="shared" si="54"/>
        <v>0.64009000000000005</v>
      </c>
      <c r="O341" s="15">
        <f t="shared" si="55"/>
        <v>31.364409999999999</v>
      </c>
      <c r="P341" s="15">
        <f t="shared" si="56"/>
        <v>11.5</v>
      </c>
      <c r="Q341" s="15">
        <f t="shared" si="57"/>
        <v>5</v>
      </c>
      <c r="R341" s="15">
        <f t="shared" si="58"/>
        <v>14.864409999999999</v>
      </c>
      <c r="S341" s="15">
        <f t="shared" si="59"/>
        <v>0</v>
      </c>
      <c r="T341" s="14" t="str">
        <f t="shared" si="60"/>
        <v>Satisfactorio</v>
      </c>
      <c r="U341" s="14">
        <f t="shared" si="62"/>
        <v>0</v>
      </c>
      <c r="V341" s="14">
        <f t="shared" si="63"/>
        <v>0</v>
      </c>
    </row>
    <row r="342" spans="1:22">
      <c r="A342" s="17">
        <v>39234</v>
      </c>
      <c r="B342" s="9">
        <v>2007</v>
      </c>
      <c r="C342" s="9" t="s">
        <v>104</v>
      </c>
      <c r="D342" s="11">
        <v>92.1</v>
      </c>
      <c r="E342" s="15">
        <f>'Hoja 4 - Cálculo'!$B$12</f>
        <v>250</v>
      </c>
      <c r="F342" s="15">
        <f>'Hoja 4 - Cálculo'!$B$13</f>
        <v>0.85</v>
      </c>
      <c r="G342" s="15">
        <f>'Hoja 4 - Cálculo'!$B$14</f>
        <v>0.9</v>
      </c>
      <c r="H342" s="15">
        <f t="shared" si="52"/>
        <v>17.614125000000001</v>
      </c>
      <c r="I342" s="11">
        <v>8</v>
      </c>
      <c r="J342" s="11">
        <v>1.5</v>
      </c>
      <c r="K342" s="11">
        <v>2</v>
      </c>
      <c r="L342" s="15">
        <f t="shared" si="53"/>
        <v>11.5</v>
      </c>
      <c r="M342" s="15">
        <f t="shared" si="61"/>
        <v>5</v>
      </c>
      <c r="N342" s="15">
        <f t="shared" si="54"/>
        <v>0.45228250000000003</v>
      </c>
      <c r="O342" s="15">
        <f t="shared" si="55"/>
        <v>22.161842500000002</v>
      </c>
      <c r="P342" s="15">
        <f t="shared" si="56"/>
        <v>11.5</v>
      </c>
      <c r="Q342" s="15">
        <f t="shared" si="57"/>
        <v>5</v>
      </c>
      <c r="R342" s="15">
        <f t="shared" si="58"/>
        <v>5.6618425000000023</v>
      </c>
      <c r="S342" s="15">
        <f t="shared" si="59"/>
        <v>0</v>
      </c>
      <c r="T342" s="14" t="str">
        <f t="shared" si="60"/>
        <v>Satisfactorio</v>
      </c>
      <c r="U342" s="14">
        <f t="shared" si="62"/>
        <v>0</v>
      </c>
      <c r="V342" s="14">
        <f t="shared" si="63"/>
        <v>0</v>
      </c>
    </row>
    <row r="343" spans="1:22">
      <c r="A343" s="17">
        <v>39264</v>
      </c>
      <c r="B343" s="9">
        <v>2007</v>
      </c>
      <c r="C343" s="9" t="s">
        <v>105</v>
      </c>
      <c r="D343" s="11">
        <v>73.099999999999994</v>
      </c>
      <c r="E343" s="15">
        <f>'Hoja 4 - Cálculo'!$B$12</f>
        <v>250</v>
      </c>
      <c r="F343" s="15">
        <f>'Hoja 4 - Cálculo'!$B$13</f>
        <v>0.85</v>
      </c>
      <c r="G343" s="15">
        <f>'Hoja 4 - Cálculo'!$B$14</f>
        <v>0.9</v>
      </c>
      <c r="H343" s="15">
        <f t="shared" si="52"/>
        <v>13.980375</v>
      </c>
      <c r="I343" s="11">
        <v>8</v>
      </c>
      <c r="J343" s="11">
        <v>6</v>
      </c>
      <c r="K343" s="11">
        <v>2</v>
      </c>
      <c r="L343" s="15">
        <f t="shared" si="53"/>
        <v>16</v>
      </c>
      <c r="M343" s="15">
        <f t="shared" si="61"/>
        <v>5</v>
      </c>
      <c r="N343" s="15">
        <f t="shared" si="54"/>
        <v>0.37960750000000004</v>
      </c>
      <c r="O343" s="15">
        <f t="shared" si="55"/>
        <v>18.600767500000003</v>
      </c>
      <c r="P343" s="15">
        <f t="shared" si="56"/>
        <v>16</v>
      </c>
      <c r="Q343" s="15">
        <f t="shared" si="57"/>
        <v>2.6007675000000035</v>
      </c>
      <c r="R343" s="15">
        <f t="shared" si="58"/>
        <v>0</v>
      </c>
      <c r="S343" s="15">
        <f t="shared" si="59"/>
        <v>0</v>
      </c>
      <c r="T343" s="14" t="str">
        <f t="shared" si="60"/>
        <v>Satisfactorio</v>
      </c>
      <c r="U343" s="14">
        <f t="shared" si="62"/>
        <v>0</v>
      </c>
      <c r="V343" s="14">
        <f t="shared" si="63"/>
        <v>0</v>
      </c>
    </row>
    <row r="344" spans="1:22">
      <c r="A344" s="17">
        <v>39295</v>
      </c>
      <c r="B344" s="9">
        <v>2007</v>
      </c>
      <c r="C344" s="9" t="s">
        <v>106</v>
      </c>
      <c r="D344" s="11">
        <v>77.7</v>
      </c>
      <c r="E344" s="15">
        <f>'Hoja 4 - Cálculo'!$B$12</f>
        <v>250</v>
      </c>
      <c r="F344" s="15">
        <f>'Hoja 4 - Cálculo'!$B$13</f>
        <v>0.85</v>
      </c>
      <c r="G344" s="15">
        <f>'Hoja 4 - Cálculo'!$B$14</f>
        <v>0.9</v>
      </c>
      <c r="H344" s="15">
        <f t="shared" si="52"/>
        <v>14.860125</v>
      </c>
      <c r="I344" s="11">
        <v>8</v>
      </c>
      <c r="J344" s="11">
        <v>6</v>
      </c>
      <c r="K344" s="11">
        <v>2</v>
      </c>
      <c r="L344" s="15">
        <f t="shared" si="53"/>
        <v>16</v>
      </c>
      <c r="M344" s="15">
        <f t="shared" si="61"/>
        <v>2.6007675000000035</v>
      </c>
      <c r="N344" s="15">
        <f t="shared" si="54"/>
        <v>0.34921785000000005</v>
      </c>
      <c r="O344" s="15">
        <f t="shared" si="55"/>
        <v>17.111674650000005</v>
      </c>
      <c r="P344" s="15">
        <f t="shared" si="56"/>
        <v>16</v>
      </c>
      <c r="Q344" s="15">
        <f t="shared" si="57"/>
        <v>1.1116746500000048</v>
      </c>
      <c r="R344" s="15">
        <f t="shared" si="58"/>
        <v>0</v>
      </c>
      <c r="S344" s="15">
        <f t="shared" si="59"/>
        <v>0</v>
      </c>
      <c r="T344" s="14" t="str">
        <f t="shared" si="60"/>
        <v>Satisfactorio</v>
      </c>
      <c r="U344" s="14">
        <f t="shared" si="62"/>
        <v>0</v>
      </c>
      <c r="V344" s="14">
        <f t="shared" si="63"/>
        <v>0</v>
      </c>
    </row>
    <row r="345" spans="1:22">
      <c r="A345" s="17">
        <v>39326</v>
      </c>
      <c r="B345" s="9">
        <v>2007</v>
      </c>
      <c r="C345" s="9" t="s">
        <v>107</v>
      </c>
      <c r="D345" s="11">
        <v>130.69999999999999</v>
      </c>
      <c r="E345" s="15">
        <f>'Hoja 4 - Cálculo'!$B$12</f>
        <v>250</v>
      </c>
      <c r="F345" s="15">
        <f>'Hoja 4 - Cálculo'!$B$13</f>
        <v>0.85</v>
      </c>
      <c r="G345" s="15">
        <f>'Hoja 4 - Cálculo'!$B$14</f>
        <v>0.9</v>
      </c>
      <c r="H345" s="15">
        <f t="shared" ref="H345:H408" si="64">D345*E345*F345*G345/1000</f>
        <v>24.996374999999997</v>
      </c>
      <c r="I345" s="11">
        <v>8</v>
      </c>
      <c r="J345" s="11">
        <v>1.5</v>
      </c>
      <c r="K345" s="11">
        <v>2</v>
      </c>
      <c r="L345" s="15">
        <f t="shared" ref="L345:L408" si="65">IF($B$9="Uso único",I345,IF($B$9="Uso múltiple",AVERAGE($I$25:$I$384)+AVERAGE($J$25:$J$384)+AVERAGE($K$25:$K$384),IF($B$9="Uso prioritario",I345+K345,I345+J345+K345)))</f>
        <v>11.5</v>
      </c>
      <c r="M345" s="15">
        <f t="shared" si="61"/>
        <v>1.1116746500000048</v>
      </c>
      <c r="N345" s="15">
        <f t="shared" ref="N345:N408" si="66">MIN(M345+H345,(M345+H345)*$B$15)</f>
        <v>0.52216099300000007</v>
      </c>
      <c r="O345" s="15">
        <f t="shared" ref="O345:O408" si="67">MAX(0,M345+H345-N345)</f>
        <v>25.585888657000002</v>
      </c>
      <c r="P345" s="15">
        <f t="shared" ref="P345:P408" si="68">MIN(L345,O345)</f>
        <v>11.5</v>
      </c>
      <c r="Q345" s="15">
        <f t="shared" ref="Q345:Q408" si="69">MIN($B$10,MAX(0,O345-P345))</f>
        <v>5</v>
      </c>
      <c r="R345" s="15">
        <f t="shared" ref="R345:R384" si="70">MAX(0,O345-P345-$B$10)</f>
        <v>9.0858886570000017</v>
      </c>
      <c r="S345" s="15">
        <f t="shared" ref="S345:S384" si="71">MAX(0,L345-P345)</f>
        <v>0</v>
      </c>
      <c r="T345" s="14" t="str">
        <f t="shared" ref="T345:T384" si="72">IF(P345&gt;=L345*$B$16,"Satisfactorio","Falla")</f>
        <v>Satisfactorio</v>
      </c>
      <c r="U345" s="14">
        <f t="shared" si="62"/>
        <v>0</v>
      </c>
      <c r="V345" s="14">
        <f t="shared" si="63"/>
        <v>0</v>
      </c>
    </row>
    <row r="346" spans="1:22">
      <c r="A346" s="17">
        <v>39356</v>
      </c>
      <c r="B346" s="9">
        <v>2007</v>
      </c>
      <c r="C346" s="9" t="s">
        <v>108</v>
      </c>
      <c r="D346" s="11">
        <v>161.19999999999999</v>
      </c>
      <c r="E346" s="15">
        <f>'Hoja 4 - Cálculo'!$B$12</f>
        <v>250</v>
      </c>
      <c r="F346" s="15">
        <f>'Hoja 4 - Cálculo'!$B$13</f>
        <v>0.85</v>
      </c>
      <c r="G346" s="15">
        <f>'Hoja 4 - Cálculo'!$B$14</f>
        <v>0.9</v>
      </c>
      <c r="H346" s="15">
        <f t="shared" si="64"/>
        <v>30.829499999999999</v>
      </c>
      <c r="I346" s="11">
        <v>8</v>
      </c>
      <c r="J346" s="11">
        <v>1.5</v>
      </c>
      <c r="K346" s="11">
        <v>2</v>
      </c>
      <c r="L346" s="15">
        <f t="shared" si="65"/>
        <v>11.5</v>
      </c>
      <c r="M346" s="15">
        <f t="shared" ref="M346:M384" si="73">Q345</f>
        <v>5</v>
      </c>
      <c r="N346" s="15">
        <f t="shared" si="66"/>
        <v>0.71658999999999995</v>
      </c>
      <c r="O346" s="15">
        <f t="shared" si="67"/>
        <v>35.112909999999999</v>
      </c>
      <c r="P346" s="15">
        <f t="shared" si="68"/>
        <v>11.5</v>
      </c>
      <c r="Q346" s="15">
        <f t="shared" si="69"/>
        <v>5</v>
      </c>
      <c r="R346" s="15">
        <f t="shared" si="70"/>
        <v>18.612909999999999</v>
      </c>
      <c r="S346" s="15">
        <f t="shared" si="71"/>
        <v>0</v>
      </c>
      <c r="T346" s="14" t="str">
        <f t="shared" si="72"/>
        <v>Satisfactorio</v>
      </c>
      <c r="U346" s="14">
        <f t="shared" ref="U346:U409" si="74">IF(AND(T345="Falla",T346="Satisfactorio"),1,0)</f>
        <v>0</v>
      </c>
      <c r="V346" s="14">
        <f t="shared" ref="V346:V384" si="75">IF(AND(T346="Falla",T345&lt;&gt;"Falla"),1,0)</f>
        <v>0</v>
      </c>
    </row>
    <row r="347" spans="1:22">
      <c r="A347" s="17">
        <v>39387</v>
      </c>
      <c r="B347" s="9">
        <v>2007</v>
      </c>
      <c r="C347" s="9" t="s">
        <v>109</v>
      </c>
      <c r="D347" s="11">
        <v>147.4</v>
      </c>
      <c r="E347" s="15">
        <f>'Hoja 4 - Cálculo'!$B$12</f>
        <v>250</v>
      </c>
      <c r="F347" s="15">
        <f>'Hoja 4 - Cálculo'!$B$13</f>
        <v>0.85</v>
      </c>
      <c r="G347" s="15">
        <f>'Hoja 4 - Cálculo'!$B$14</f>
        <v>0.9</v>
      </c>
      <c r="H347" s="15">
        <f t="shared" si="64"/>
        <v>28.190249999999999</v>
      </c>
      <c r="I347" s="11">
        <v>8</v>
      </c>
      <c r="J347" s="11">
        <v>1.5</v>
      </c>
      <c r="K347" s="11">
        <v>2</v>
      </c>
      <c r="L347" s="15">
        <f t="shared" si="65"/>
        <v>11.5</v>
      </c>
      <c r="M347" s="15">
        <f t="shared" si="73"/>
        <v>5</v>
      </c>
      <c r="N347" s="15">
        <f t="shared" si="66"/>
        <v>0.66380499999999998</v>
      </c>
      <c r="O347" s="15">
        <f t="shared" si="67"/>
        <v>32.526444999999995</v>
      </c>
      <c r="P347" s="15">
        <f t="shared" si="68"/>
        <v>11.5</v>
      </c>
      <c r="Q347" s="15">
        <f t="shared" si="69"/>
        <v>5</v>
      </c>
      <c r="R347" s="15">
        <f t="shared" si="70"/>
        <v>16.026444999999995</v>
      </c>
      <c r="S347" s="15">
        <f t="shared" si="71"/>
        <v>0</v>
      </c>
      <c r="T347" s="14" t="str">
        <f t="shared" si="72"/>
        <v>Satisfactorio</v>
      </c>
      <c r="U347" s="14">
        <f t="shared" si="74"/>
        <v>0</v>
      </c>
      <c r="V347" s="14">
        <f t="shared" si="75"/>
        <v>0</v>
      </c>
    </row>
    <row r="348" spans="1:22">
      <c r="A348" s="17">
        <v>39417</v>
      </c>
      <c r="B348" s="9">
        <v>2007</v>
      </c>
      <c r="C348" s="9" t="s">
        <v>110</v>
      </c>
      <c r="D348" s="11">
        <v>82.5</v>
      </c>
      <c r="E348" s="15">
        <f>'Hoja 4 - Cálculo'!$B$12</f>
        <v>250</v>
      </c>
      <c r="F348" s="15">
        <f>'Hoja 4 - Cálculo'!$B$13</f>
        <v>0.85</v>
      </c>
      <c r="G348" s="15">
        <f>'Hoja 4 - Cálculo'!$B$14</f>
        <v>0.9</v>
      </c>
      <c r="H348" s="15">
        <f t="shared" si="64"/>
        <v>15.778124999999999</v>
      </c>
      <c r="I348" s="11">
        <v>8</v>
      </c>
      <c r="J348" s="11">
        <v>6</v>
      </c>
      <c r="K348" s="11">
        <v>2</v>
      </c>
      <c r="L348" s="15">
        <f t="shared" si="65"/>
        <v>16</v>
      </c>
      <c r="M348" s="15">
        <f t="shared" si="73"/>
        <v>5</v>
      </c>
      <c r="N348" s="15">
        <f t="shared" si="66"/>
        <v>0.4155625</v>
      </c>
      <c r="O348" s="15">
        <f t="shared" si="67"/>
        <v>20.362562499999999</v>
      </c>
      <c r="P348" s="15">
        <f t="shared" si="68"/>
        <v>16</v>
      </c>
      <c r="Q348" s="15">
        <f t="shared" si="69"/>
        <v>4.3625624999999992</v>
      </c>
      <c r="R348" s="15">
        <f t="shared" si="70"/>
        <v>0</v>
      </c>
      <c r="S348" s="15">
        <f t="shared" si="71"/>
        <v>0</v>
      </c>
      <c r="T348" s="14" t="str">
        <f t="shared" si="72"/>
        <v>Satisfactorio</v>
      </c>
      <c r="U348" s="14">
        <f t="shared" si="74"/>
        <v>0</v>
      </c>
      <c r="V348" s="14">
        <f t="shared" si="75"/>
        <v>0</v>
      </c>
    </row>
    <row r="349" spans="1:22">
      <c r="A349" s="17">
        <v>39448</v>
      </c>
      <c r="B349" s="9">
        <v>2008</v>
      </c>
      <c r="C349" s="9" t="s">
        <v>99</v>
      </c>
      <c r="D349" s="11">
        <v>58.9</v>
      </c>
      <c r="E349" s="15">
        <f>'Hoja 4 - Cálculo'!$B$12</f>
        <v>250</v>
      </c>
      <c r="F349" s="15">
        <f>'Hoja 4 - Cálculo'!$B$13</f>
        <v>0.85</v>
      </c>
      <c r="G349" s="15">
        <f>'Hoja 4 - Cálculo'!$B$14</f>
        <v>0.9</v>
      </c>
      <c r="H349" s="15">
        <f t="shared" si="64"/>
        <v>11.264625000000001</v>
      </c>
      <c r="I349" s="11">
        <v>8</v>
      </c>
      <c r="J349" s="11">
        <v>6</v>
      </c>
      <c r="K349" s="11">
        <v>2</v>
      </c>
      <c r="L349" s="15">
        <f t="shared" si="65"/>
        <v>16</v>
      </c>
      <c r="M349" s="15">
        <f t="shared" si="73"/>
        <v>4.3625624999999992</v>
      </c>
      <c r="N349" s="15">
        <f t="shared" si="66"/>
        <v>0.31254375000000001</v>
      </c>
      <c r="O349" s="15">
        <f t="shared" si="67"/>
        <v>15.31464375</v>
      </c>
      <c r="P349" s="15">
        <f t="shared" si="68"/>
        <v>15.31464375</v>
      </c>
      <c r="Q349" s="15">
        <f t="shared" si="69"/>
        <v>0</v>
      </c>
      <c r="R349" s="15">
        <f t="shared" si="70"/>
        <v>0</v>
      </c>
      <c r="S349" s="15">
        <f t="shared" si="71"/>
        <v>0.68535624999999989</v>
      </c>
      <c r="T349" s="14" t="str">
        <f t="shared" si="72"/>
        <v>Falla</v>
      </c>
      <c r="U349" s="14">
        <f t="shared" si="74"/>
        <v>0</v>
      </c>
      <c r="V349" s="14">
        <f t="shared" si="75"/>
        <v>1</v>
      </c>
    </row>
    <row r="350" spans="1:22">
      <c r="A350" s="17">
        <v>39479</v>
      </c>
      <c r="B350" s="9">
        <v>2008</v>
      </c>
      <c r="C350" s="9" t="s">
        <v>100</v>
      </c>
      <c r="D350" s="11">
        <v>72.2</v>
      </c>
      <c r="E350" s="15">
        <f>'Hoja 4 - Cálculo'!$B$12</f>
        <v>250</v>
      </c>
      <c r="F350" s="15">
        <f>'Hoja 4 - Cálculo'!$B$13</f>
        <v>0.85</v>
      </c>
      <c r="G350" s="15">
        <f>'Hoja 4 - Cálculo'!$B$14</f>
        <v>0.9</v>
      </c>
      <c r="H350" s="15">
        <f t="shared" si="64"/>
        <v>13.808249999999999</v>
      </c>
      <c r="I350" s="11">
        <v>8</v>
      </c>
      <c r="J350" s="11">
        <v>6</v>
      </c>
      <c r="K350" s="11">
        <v>2</v>
      </c>
      <c r="L350" s="15">
        <f t="shared" si="65"/>
        <v>16</v>
      </c>
      <c r="M350" s="15">
        <f t="shared" si="73"/>
        <v>0</v>
      </c>
      <c r="N350" s="15">
        <f t="shared" si="66"/>
        <v>0.27616499999999999</v>
      </c>
      <c r="O350" s="15">
        <f t="shared" si="67"/>
        <v>13.532084999999999</v>
      </c>
      <c r="P350" s="15">
        <f t="shared" si="68"/>
        <v>13.532084999999999</v>
      </c>
      <c r="Q350" s="15">
        <f t="shared" si="69"/>
        <v>0</v>
      </c>
      <c r="R350" s="15">
        <f t="shared" si="70"/>
        <v>0</v>
      </c>
      <c r="S350" s="15">
        <f t="shared" si="71"/>
        <v>2.4679150000000014</v>
      </c>
      <c r="T350" s="14" t="str">
        <f t="shared" si="72"/>
        <v>Falla</v>
      </c>
      <c r="U350" s="14">
        <f t="shared" si="74"/>
        <v>0</v>
      </c>
      <c r="V350" s="14">
        <f t="shared" si="75"/>
        <v>0</v>
      </c>
    </row>
    <row r="351" spans="1:22">
      <c r="A351" s="17">
        <v>39508</v>
      </c>
      <c r="B351" s="9">
        <v>2008</v>
      </c>
      <c r="C351" s="9" t="s">
        <v>101</v>
      </c>
      <c r="D351" s="11">
        <v>97.1</v>
      </c>
      <c r="E351" s="15">
        <f>'Hoja 4 - Cálculo'!$B$12</f>
        <v>250</v>
      </c>
      <c r="F351" s="15">
        <f>'Hoja 4 - Cálculo'!$B$13</f>
        <v>0.85</v>
      </c>
      <c r="G351" s="15">
        <f>'Hoja 4 - Cálculo'!$B$14</f>
        <v>0.9</v>
      </c>
      <c r="H351" s="15">
        <f t="shared" si="64"/>
        <v>18.570374999999999</v>
      </c>
      <c r="I351" s="11">
        <v>8</v>
      </c>
      <c r="J351" s="11">
        <v>6</v>
      </c>
      <c r="K351" s="11">
        <v>2</v>
      </c>
      <c r="L351" s="15">
        <f t="shared" si="65"/>
        <v>16</v>
      </c>
      <c r="M351" s="15">
        <f t="shared" si="73"/>
        <v>0</v>
      </c>
      <c r="N351" s="15">
        <f t="shared" si="66"/>
        <v>0.3714075</v>
      </c>
      <c r="O351" s="15">
        <f t="shared" si="67"/>
        <v>18.198967499999998</v>
      </c>
      <c r="P351" s="15">
        <f t="shared" si="68"/>
        <v>16</v>
      </c>
      <c r="Q351" s="15">
        <f t="shared" si="69"/>
        <v>2.1989674999999984</v>
      </c>
      <c r="R351" s="15">
        <f t="shared" si="70"/>
        <v>0</v>
      </c>
      <c r="S351" s="15">
        <f t="shared" si="71"/>
        <v>0</v>
      </c>
      <c r="T351" s="14" t="str">
        <f t="shared" si="72"/>
        <v>Satisfactorio</v>
      </c>
      <c r="U351" s="14">
        <f t="shared" si="74"/>
        <v>1</v>
      </c>
      <c r="V351" s="14">
        <f t="shared" si="75"/>
        <v>0</v>
      </c>
    </row>
    <row r="352" spans="1:22">
      <c r="A352" s="17">
        <v>39539</v>
      </c>
      <c r="B352" s="9">
        <v>2008</v>
      </c>
      <c r="C352" s="9" t="s">
        <v>102</v>
      </c>
      <c r="D352" s="11">
        <v>142.9</v>
      </c>
      <c r="E352" s="15">
        <f>'Hoja 4 - Cálculo'!$B$12</f>
        <v>250</v>
      </c>
      <c r="F352" s="15">
        <f>'Hoja 4 - Cálculo'!$B$13</f>
        <v>0.85</v>
      </c>
      <c r="G352" s="15">
        <f>'Hoja 4 - Cálculo'!$B$14</f>
        <v>0.9</v>
      </c>
      <c r="H352" s="15">
        <f t="shared" si="64"/>
        <v>27.329625</v>
      </c>
      <c r="I352" s="11">
        <v>8</v>
      </c>
      <c r="J352" s="11">
        <v>1.5</v>
      </c>
      <c r="K352" s="11">
        <v>2</v>
      </c>
      <c r="L352" s="15">
        <f t="shared" si="65"/>
        <v>11.5</v>
      </c>
      <c r="M352" s="15">
        <f t="shared" si="73"/>
        <v>2.1989674999999984</v>
      </c>
      <c r="N352" s="15">
        <f t="shared" si="66"/>
        <v>0.59057185000000001</v>
      </c>
      <c r="O352" s="15">
        <f t="shared" si="67"/>
        <v>28.938020649999999</v>
      </c>
      <c r="P352" s="15">
        <f t="shared" si="68"/>
        <v>11.5</v>
      </c>
      <c r="Q352" s="15">
        <f t="shared" si="69"/>
        <v>5</v>
      </c>
      <c r="R352" s="15">
        <f t="shared" si="70"/>
        <v>12.438020649999999</v>
      </c>
      <c r="S352" s="15">
        <f t="shared" si="71"/>
        <v>0</v>
      </c>
      <c r="T352" s="14" t="str">
        <f t="shared" si="72"/>
        <v>Satisfactorio</v>
      </c>
      <c r="U352" s="14">
        <f t="shared" si="74"/>
        <v>0</v>
      </c>
      <c r="V352" s="14">
        <f t="shared" si="75"/>
        <v>0</v>
      </c>
    </row>
    <row r="353" spans="1:22">
      <c r="A353" s="17">
        <v>39569</v>
      </c>
      <c r="B353" s="9">
        <v>2008</v>
      </c>
      <c r="C353" s="9" t="s">
        <v>103</v>
      </c>
      <c r="D353" s="11">
        <v>133.80000000000001</v>
      </c>
      <c r="E353" s="15">
        <f>'Hoja 4 - Cálculo'!$B$12</f>
        <v>250</v>
      </c>
      <c r="F353" s="15">
        <f>'Hoja 4 - Cálculo'!$B$13</f>
        <v>0.85</v>
      </c>
      <c r="G353" s="15">
        <f>'Hoja 4 - Cálculo'!$B$14</f>
        <v>0.9</v>
      </c>
      <c r="H353" s="15">
        <f t="shared" si="64"/>
        <v>25.58925</v>
      </c>
      <c r="I353" s="11">
        <v>8</v>
      </c>
      <c r="J353" s="11">
        <v>1.5</v>
      </c>
      <c r="K353" s="11">
        <v>2</v>
      </c>
      <c r="L353" s="15">
        <f t="shared" si="65"/>
        <v>11.5</v>
      </c>
      <c r="M353" s="15">
        <f t="shared" si="73"/>
        <v>5</v>
      </c>
      <c r="N353" s="15">
        <f t="shared" si="66"/>
        <v>0.61178500000000002</v>
      </c>
      <c r="O353" s="15">
        <f t="shared" si="67"/>
        <v>29.977464999999999</v>
      </c>
      <c r="P353" s="15">
        <f t="shared" si="68"/>
        <v>11.5</v>
      </c>
      <c r="Q353" s="15">
        <f t="shared" si="69"/>
        <v>5</v>
      </c>
      <c r="R353" s="15">
        <f t="shared" si="70"/>
        <v>13.477464999999999</v>
      </c>
      <c r="S353" s="15">
        <f t="shared" si="71"/>
        <v>0</v>
      </c>
      <c r="T353" s="14" t="str">
        <f t="shared" si="72"/>
        <v>Satisfactorio</v>
      </c>
      <c r="U353" s="14">
        <f t="shared" si="74"/>
        <v>0</v>
      </c>
      <c r="V353" s="14">
        <f t="shared" si="75"/>
        <v>0</v>
      </c>
    </row>
    <row r="354" spans="1:22">
      <c r="A354" s="17">
        <v>39600</v>
      </c>
      <c r="B354" s="9">
        <v>2008</v>
      </c>
      <c r="C354" s="9" t="s">
        <v>104</v>
      </c>
      <c r="D354" s="11">
        <v>74.5</v>
      </c>
      <c r="E354" s="15">
        <f>'Hoja 4 - Cálculo'!$B$12</f>
        <v>250</v>
      </c>
      <c r="F354" s="15">
        <f>'Hoja 4 - Cálculo'!$B$13</f>
        <v>0.85</v>
      </c>
      <c r="G354" s="15">
        <f>'Hoja 4 - Cálculo'!$B$14</f>
        <v>0.9</v>
      </c>
      <c r="H354" s="15">
        <f t="shared" si="64"/>
        <v>14.248125</v>
      </c>
      <c r="I354" s="11">
        <v>8</v>
      </c>
      <c r="J354" s="11">
        <v>1.5</v>
      </c>
      <c r="K354" s="11">
        <v>2</v>
      </c>
      <c r="L354" s="15">
        <f t="shared" si="65"/>
        <v>11.5</v>
      </c>
      <c r="M354" s="15">
        <f t="shared" si="73"/>
        <v>5</v>
      </c>
      <c r="N354" s="15">
        <f t="shared" si="66"/>
        <v>0.38496250000000004</v>
      </c>
      <c r="O354" s="15">
        <f t="shared" si="67"/>
        <v>18.863162500000001</v>
      </c>
      <c r="P354" s="15">
        <f t="shared" si="68"/>
        <v>11.5</v>
      </c>
      <c r="Q354" s="15">
        <f t="shared" si="69"/>
        <v>5</v>
      </c>
      <c r="R354" s="15">
        <f t="shared" si="70"/>
        <v>2.3631625000000014</v>
      </c>
      <c r="S354" s="15">
        <f t="shared" si="71"/>
        <v>0</v>
      </c>
      <c r="T354" s="14" t="str">
        <f t="shared" si="72"/>
        <v>Satisfactorio</v>
      </c>
      <c r="U354" s="14">
        <f t="shared" si="74"/>
        <v>0</v>
      </c>
      <c r="V354" s="14">
        <f t="shared" si="75"/>
        <v>0</v>
      </c>
    </row>
    <row r="355" spans="1:22">
      <c r="A355" s="17">
        <v>39630</v>
      </c>
      <c r="B355" s="9">
        <v>2008</v>
      </c>
      <c r="C355" s="9" t="s">
        <v>105</v>
      </c>
      <c r="D355" s="11">
        <v>65.599999999999994</v>
      </c>
      <c r="E355" s="15">
        <f>'Hoja 4 - Cálculo'!$B$12</f>
        <v>250</v>
      </c>
      <c r="F355" s="15">
        <f>'Hoja 4 - Cálculo'!$B$13</f>
        <v>0.85</v>
      </c>
      <c r="G355" s="15">
        <f>'Hoja 4 - Cálculo'!$B$14</f>
        <v>0.9</v>
      </c>
      <c r="H355" s="15">
        <f t="shared" si="64"/>
        <v>12.545999999999999</v>
      </c>
      <c r="I355" s="11">
        <v>8</v>
      </c>
      <c r="J355" s="11">
        <v>6</v>
      </c>
      <c r="K355" s="11">
        <v>2</v>
      </c>
      <c r="L355" s="15">
        <f t="shared" si="65"/>
        <v>16</v>
      </c>
      <c r="M355" s="15">
        <f t="shared" si="73"/>
        <v>5</v>
      </c>
      <c r="N355" s="15">
        <f t="shared" si="66"/>
        <v>0.35092000000000001</v>
      </c>
      <c r="O355" s="15">
        <f t="shared" si="67"/>
        <v>17.195080000000001</v>
      </c>
      <c r="P355" s="15">
        <f t="shared" si="68"/>
        <v>16</v>
      </c>
      <c r="Q355" s="15">
        <f t="shared" si="69"/>
        <v>1.1950800000000008</v>
      </c>
      <c r="R355" s="15">
        <f t="shared" si="70"/>
        <v>0</v>
      </c>
      <c r="S355" s="15">
        <f t="shared" si="71"/>
        <v>0</v>
      </c>
      <c r="T355" s="14" t="str">
        <f t="shared" si="72"/>
        <v>Satisfactorio</v>
      </c>
      <c r="U355" s="14">
        <f t="shared" si="74"/>
        <v>0</v>
      </c>
      <c r="V355" s="14">
        <f t="shared" si="75"/>
        <v>0</v>
      </c>
    </row>
    <row r="356" spans="1:22">
      <c r="A356" s="17">
        <v>39661</v>
      </c>
      <c r="B356" s="9">
        <v>2008</v>
      </c>
      <c r="C356" s="9" t="s">
        <v>106</v>
      </c>
      <c r="D356" s="11">
        <v>70.8</v>
      </c>
      <c r="E356" s="15">
        <f>'Hoja 4 - Cálculo'!$B$12</f>
        <v>250</v>
      </c>
      <c r="F356" s="15">
        <f>'Hoja 4 - Cálculo'!$B$13</f>
        <v>0.85</v>
      </c>
      <c r="G356" s="15">
        <f>'Hoja 4 - Cálculo'!$B$14</f>
        <v>0.9</v>
      </c>
      <c r="H356" s="15">
        <f t="shared" si="64"/>
        <v>13.5405</v>
      </c>
      <c r="I356" s="11">
        <v>8</v>
      </c>
      <c r="J356" s="11">
        <v>6</v>
      </c>
      <c r="K356" s="11">
        <v>2</v>
      </c>
      <c r="L356" s="15">
        <f t="shared" si="65"/>
        <v>16</v>
      </c>
      <c r="M356" s="15">
        <f t="shared" si="73"/>
        <v>1.1950800000000008</v>
      </c>
      <c r="N356" s="15">
        <f t="shared" si="66"/>
        <v>0.29471160000000002</v>
      </c>
      <c r="O356" s="15">
        <f t="shared" si="67"/>
        <v>14.440868400000001</v>
      </c>
      <c r="P356" s="15">
        <f t="shared" si="68"/>
        <v>14.440868400000001</v>
      </c>
      <c r="Q356" s="15">
        <f t="shared" si="69"/>
        <v>0</v>
      </c>
      <c r="R356" s="15">
        <f t="shared" si="70"/>
        <v>0</v>
      </c>
      <c r="S356" s="15">
        <f t="shared" si="71"/>
        <v>1.5591315999999988</v>
      </c>
      <c r="T356" s="14" t="str">
        <f t="shared" si="72"/>
        <v>Falla</v>
      </c>
      <c r="U356" s="14">
        <f t="shared" si="74"/>
        <v>0</v>
      </c>
      <c r="V356" s="14">
        <f t="shared" si="75"/>
        <v>1</v>
      </c>
    </row>
    <row r="357" spans="1:22">
      <c r="A357" s="17">
        <v>39692</v>
      </c>
      <c r="B357" s="9">
        <v>2008</v>
      </c>
      <c r="C357" s="9" t="s">
        <v>107</v>
      </c>
      <c r="D357" s="11">
        <v>105</v>
      </c>
      <c r="E357" s="15">
        <f>'Hoja 4 - Cálculo'!$B$12</f>
        <v>250</v>
      </c>
      <c r="F357" s="15">
        <f>'Hoja 4 - Cálculo'!$B$13</f>
        <v>0.85</v>
      </c>
      <c r="G357" s="15">
        <f>'Hoja 4 - Cálculo'!$B$14</f>
        <v>0.9</v>
      </c>
      <c r="H357" s="15">
        <f t="shared" si="64"/>
        <v>20.081250000000001</v>
      </c>
      <c r="I357" s="11">
        <v>8</v>
      </c>
      <c r="J357" s="11">
        <v>1.5</v>
      </c>
      <c r="K357" s="11">
        <v>2</v>
      </c>
      <c r="L357" s="15">
        <f t="shared" si="65"/>
        <v>11.5</v>
      </c>
      <c r="M357" s="15">
        <f t="shared" si="73"/>
        <v>0</v>
      </c>
      <c r="N357" s="15">
        <f t="shared" si="66"/>
        <v>0.40162500000000001</v>
      </c>
      <c r="O357" s="15">
        <f t="shared" si="67"/>
        <v>19.679625000000001</v>
      </c>
      <c r="P357" s="15">
        <f t="shared" si="68"/>
        <v>11.5</v>
      </c>
      <c r="Q357" s="15">
        <f t="shared" si="69"/>
        <v>5</v>
      </c>
      <c r="R357" s="15">
        <f t="shared" si="70"/>
        <v>3.1796250000000015</v>
      </c>
      <c r="S357" s="15">
        <f t="shared" si="71"/>
        <v>0</v>
      </c>
      <c r="T357" s="14" t="str">
        <f t="shared" si="72"/>
        <v>Satisfactorio</v>
      </c>
      <c r="U357" s="14">
        <f t="shared" si="74"/>
        <v>1</v>
      </c>
      <c r="V357" s="14">
        <f t="shared" si="75"/>
        <v>0</v>
      </c>
    </row>
    <row r="358" spans="1:22">
      <c r="A358" s="17">
        <v>39722</v>
      </c>
      <c r="B358" s="9">
        <v>2008</v>
      </c>
      <c r="C358" s="9" t="s">
        <v>108</v>
      </c>
      <c r="D358" s="11">
        <v>151.9</v>
      </c>
      <c r="E358" s="15">
        <f>'Hoja 4 - Cálculo'!$B$12</f>
        <v>250</v>
      </c>
      <c r="F358" s="15">
        <f>'Hoja 4 - Cálculo'!$B$13</f>
        <v>0.85</v>
      </c>
      <c r="G358" s="15">
        <f>'Hoja 4 - Cálculo'!$B$14</f>
        <v>0.9</v>
      </c>
      <c r="H358" s="15">
        <f t="shared" si="64"/>
        <v>29.050875000000001</v>
      </c>
      <c r="I358" s="11">
        <v>8</v>
      </c>
      <c r="J358" s="11">
        <v>1.5</v>
      </c>
      <c r="K358" s="11">
        <v>2</v>
      </c>
      <c r="L358" s="15">
        <f t="shared" si="65"/>
        <v>11.5</v>
      </c>
      <c r="M358" s="15">
        <f t="shared" si="73"/>
        <v>5</v>
      </c>
      <c r="N358" s="15">
        <f t="shared" si="66"/>
        <v>0.68101750000000016</v>
      </c>
      <c r="O358" s="15">
        <f t="shared" si="67"/>
        <v>33.369857500000002</v>
      </c>
      <c r="P358" s="15">
        <f t="shared" si="68"/>
        <v>11.5</v>
      </c>
      <c r="Q358" s="15">
        <f t="shared" si="69"/>
        <v>5</v>
      </c>
      <c r="R358" s="15">
        <f t="shared" si="70"/>
        <v>16.869857500000002</v>
      </c>
      <c r="S358" s="15">
        <f t="shared" si="71"/>
        <v>0</v>
      </c>
      <c r="T358" s="14" t="str">
        <f t="shared" si="72"/>
        <v>Satisfactorio</v>
      </c>
      <c r="U358" s="14">
        <f t="shared" si="74"/>
        <v>0</v>
      </c>
      <c r="V358" s="14">
        <f t="shared" si="75"/>
        <v>0</v>
      </c>
    </row>
    <row r="359" spans="1:22">
      <c r="A359" s="17">
        <v>39753</v>
      </c>
      <c r="B359" s="9">
        <v>2008</v>
      </c>
      <c r="C359" s="9" t="s">
        <v>109</v>
      </c>
      <c r="D359" s="11">
        <v>125.6</v>
      </c>
      <c r="E359" s="15">
        <f>'Hoja 4 - Cálculo'!$B$12</f>
        <v>250</v>
      </c>
      <c r="F359" s="15">
        <f>'Hoja 4 - Cálculo'!$B$13</f>
        <v>0.85</v>
      </c>
      <c r="G359" s="15">
        <f>'Hoja 4 - Cálculo'!$B$14</f>
        <v>0.9</v>
      </c>
      <c r="H359" s="15">
        <f t="shared" si="64"/>
        <v>24.021000000000001</v>
      </c>
      <c r="I359" s="11">
        <v>8</v>
      </c>
      <c r="J359" s="11">
        <v>1.5</v>
      </c>
      <c r="K359" s="11">
        <v>2</v>
      </c>
      <c r="L359" s="15">
        <f t="shared" si="65"/>
        <v>11.5</v>
      </c>
      <c r="M359" s="15">
        <f t="shared" si="73"/>
        <v>5</v>
      </c>
      <c r="N359" s="15">
        <f t="shared" si="66"/>
        <v>0.58042000000000005</v>
      </c>
      <c r="O359" s="15">
        <f t="shared" si="67"/>
        <v>28.440580000000001</v>
      </c>
      <c r="P359" s="15">
        <f t="shared" si="68"/>
        <v>11.5</v>
      </c>
      <c r="Q359" s="15">
        <f t="shared" si="69"/>
        <v>5</v>
      </c>
      <c r="R359" s="15">
        <f t="shared" si="70"/>
        <v>11.940580000000001</v>
      </c>
      <c r="S359" s="15">
        <f t="shared" si="71"/>
        <v>0</v>
      </c>
      <c r="T359" s="14" t="str">
        <f t="shared" si="72"/>
        <v>Satisfactorio</v>
      </c>
      <c r="U359" s="14">
        <f t="shared" si="74"/>
        <v>0</v>
      </c>
      <c r="V359" s="14">
        <f t="shared" si="75"/>
        <v>0</v>
      </c>
    </row>
    <row r="360" spans="1:22">
      <c r="A360" s="17">
        <v>39783</v>
      </c>
      <c r="B360" s="9">
        <v>2008</v>
      </c>
      <c r="C360" s="9" t="s">
        <v>110</v>
      </c>
      <c r="D360" s="11">
        <v>70.3</v>
      </c>
      <c r="E360" s="15">
        <f>'Hoja 4 - Cálculo'!$B$12</f>
        <v>250</v>
      </c>
      <c r="F360" s="15">
        <f>'Hoja 4 - Cálculo'!$B$13</f>
        <v>0.85</v>
      </c>
      <c r="G360" s="15">
        <f>'Hoja 4 - Cálculo'!$B$14</f>
        <v>0.9</v>
      </c>
      <c r="H360" s="15">
        <f t="shared" si="64"/>
        <v>13.444875</v>
      </c>
      <c r="I360" s="11">
        <v>8</v>
      </c>
      <c r="J360" s="11">
        <v>6</v>
      </c>
      <c r="K360" s="11">
        <v>2</v>
      </c>
      <c r="L360" s="15">
        <f t="shared" si="65"/>
        <v>16</v>
      </c>
      <c r="M360" s="15">
        <f t="shared" si="73"/>
        <v>5</v>
      </c>
      <c r="N360" s="15">
        <f t="shared" si="66"/>
        <v>0.36889749999999999</v>
      </c>
      <c r="O360" s="15">
        <f t="shared" si="67"/>
        <v>18.0759775</v>
      </c>
      <c r="P360" s="15">
        <f t="shared" si="68"/>
        <v>16</v>
      </c>
      <c r="Q360" s="15">
        <f t="shared" si="69"/>
        <v>2.0759775000000005</v>
      </c>
      <c r="R360" s="15">
        <f t="shared" si="70"/>
        <v>0</v>
      </c>
      <c r="S360" s="15">
        <f t="shared" si="71"/>
        <v>0</v>
      </c>
      <c r="T360" s="14" t="str">
        <f t="shared" si="72"/>
        <v>Satisfactorio</v>
      </c>
      <c r="U360" s="14">
        <f t="shared" si="74"/>
        <v>0</v>
      </c>
      <c r="V360" s="14">
        <f t="shared" si="75"/>
        <v>0</v>
      </c>
    </row>
    <row r="361" spans="1:22">
      <c r="A361" s="17">
        <v>39814</v>
      </c>
      <c r="B361" s="9">
        <v>2009</v>
      </c>
      <c r="C361" s="9" t="s">
        <v>99</v>
      </c>
      <c r="D361" s="11">
        <v>56.4</v>
      </c>
      <c r="E361" s="15">
        <f>'Hoja 4 - Cálculo'!$B$12</f>
        <v>250</v>
      </c>
      <c r="F361" s="15">
        <f>'Hoja 4 - Cálculo'!$B$13</f>
        <v>0.85</v>
      </c>
      <c r="G361" s="15">
        <f>'Hoja 4 - Cálculo'!$B$14</f>
        <v>0.9</v>
      </c>
      <c r="H361" s="15">
        <f t="shared" si="64"/>
        <v>10.7865</v>
      </c>
      <c r="I361" s="11">
        <v>8</v>
      </c>
      <c r="J361" s="11">
        <v>6</v>
      </c>
      <c r="K361" s="11">
        <v>2</v>
      </c>
      <c r="L361" s="15">
        <f t="shared" si="65"/>
        <v>16</v>
      </c>
      <c r="M361" s="15">
        <f t="shared" si="73"/>
        <v>2.0759775000000005</v>
      </c>
      <c r="N361" s="15">
        <f t="shared" si="66"/>
        <v>0.25724954999999999</v>
      </c>
      <c r="O361" s="15">
        <f t="shared" si="67"/>
        <v>12.605227950000002</v>
      </c>
      <c r="P361" s="15">
        <f t="shared" si="68"/>
        <v>12.605227950000002</v>
      </c>
      <c r="Q361" s="15">
        <f t="shared" si="69"/>
        <v>0</v>
      </c>
      <c r="R361" s="15">
        <f t="shared" si="70"/>
        <v>0</v>
      </c>
      <c r="S361" s="15">
        <f t="shared" si="71"/>
        <v>3.3947720499999985</v>
      </c>
      <c r="T361" s="14" t="str">
        <f t="shared" si="72"/>
        <v>Falla</v>
      </c>
      <c r="U361" s="14">
        <f t="shared" si="74"/>
        <v>0</v>
      </c>
      <c r="V361" s="14">
        <f t="shared" si="75"/>
        <v>1</v>
      </c>
    </row>
    <row r="362" spans="1:22">
      <c r="A362" s="17">
        <v>39845</v>
      </c>
      <c r="B362" s="9">
        <v>2009</v>
      </c>
      <c r="C362" s="9" t="s">
        <v>100</v>
      </c>
      <c r="D362" s="11">
        <v>70.400000000000006</v>
      </c>
      <c r="E362" s="15">
        <f>'Hoja 4 - Cálculo'!$B$12</f>
        <v>250</v>
      </c>
      <c r="F362" s="15">
        <f>'Hoja 4 - Cálculo'!$B$13</f>
        <v>0.85</v>
      </c>
      <c r="G362" s="15">
        <f>'Hoja 4 - Cálculo'!$B$14</f>
        <v>0.9</v>
      </c>
      <c r="H362" s="15">
        <f t="shared" si="64"/>
        <v>13.464</v>
      </c>
      <c r="I362" s="11">
        <v>8</v>
      </c>
      <c r="J362" s="11">
        <v>6</v>
      </c>
      <c r="K362" s="11">
        <v>2</v>
      </c>
      <c r="L362" s="15">
        <f t="shared" si="65"/>
        <v>16</v>
      </c>
      <c r="M362" s="15">
        <f t="shared" si="73"/>
        <v>0</v>
      </c>
      <c r="N362" s="15">
        <f t="shared" si="66"/>
        <v>0.26928000000000002</v>
      </c>
      <c r="O362" s="15">
        <f t="shared" si="67"/>
        <v>13.19472</v>
      </c>
      <c r="P362" s="15">
        <f t="shared" si="68"/>
        <v>13.19472</v>
      </c>
      <c r="Q362" s="15">
        <f t="shared" si="69"/>
        <v>0</v>
      </c>
      <c r="R362" s="15">
        <f t="shared" si="70"/>
        <v>0</v>
      </c>
      <c r="S362" s="15">
        <f t="shared" si="71"/>
        <v>2.8052799999999998</v>
      </c>
      <c r="T362" s="14" t="str">
        <f t="shared" si="72"/>
        <v>Falla</v>
      </c>
      <c r="U362" s="14">
        <f t="shared" si="74"/>
        <v>0</v>
      </c>
      <c r="V362" s="14">
        <f t="shared" si="75"/>
        <v>0</v>
      </c>
    </row>
    <row r="363" spans="1:22">
      <c r="A363" s="17">
        <v>39873</v>
      </c>
      <c r="B363" s="9">
        <v>2009</v>
      </c>
      <c r="C363" s="9" t="s">
        <v>101</v>
      </c>
      <c r="D363" s="11">
        <v>102.1</v>
      </c>
      <c r="E363" s="15">
        <f>'Hoja 4 - Cálculo'!$B$12</f>
        <v>250</v>
      </c>
      <c r="F363" s="15">
        <f>'Hoja 4 - Cálculo'!$B$13</f>
        <v>0.85</v>
      </c>
      <c r="G363" s="15">
        <f>'Hoja 4 - Cálculo'!$B$14</f>
        <v>0.9</v>
      </c>
      <c r="H363" s="15">
        <f t="shared" si="64"/>
        <v>19.526624999999999</v>
      </c>
      <c r="I363" s="11">
        <v>8</v>
      </c>
      <c r="J363" s="11">
        <v>6</v>
      </c>
      <c r="K363" s="11">
        <v>2</v>
      </c>
      <c r="L363" s="15">
        <f t="shared" si="65"/>
        <v>16</v>
      </c>
      <c r="M363" s="15">
        <f t="shared" si="73"/>
        <v>0</v>
      </c>
      <c r="N363" s="15">
        <f t="shared" si="66"/>
        <v>0.3905325</v>
      </c>
      <c r="O363" s="15">
        <f t="shared" si="67"/>
        <v>19.1360925</v>
      </c>
      <c r="P363" s="15">
        <f t="shared" si="68"/>
        <v>16</v>
      </c>
      <c r="Q363" s="15">
        <f t="shared" si="69"/>
        <v>3.1360925000000002</v>
      </c>
      <c r="R363" s="15">
        <f t="shared" si="70"/>
        <v>0</v>
      </c>
      <c r="S363" s="15">
        <f t="shared" si="71"/>
        <v>0</v>
      </c>
      <c r="T363" s="14" t="str">
        <f t="shared" si="72"/>
        <v>Satisfactorio</v>
      </c>
      <c r="U363" s="14">
        <f t="shared" si="74"/>
        <v>1</v>
      </c>
      <c r="V363" s="14">
        <f t="shared" si="75"/>
        <v>0</v>
      </c>
    </row>
    <row r="364" spans="1:22">
      <c r="A364" s="17">
        <v>39904</v>
      </c>
      <c r="B364" s="9">
        <v>2009</v>
      </c>
      <c r="C364" s="9" t="s">
        <v>102</v>
      </c>
      <c r="D364" s="11">
        <v>133.69999999999999</v>
      </c>
      <c r="E364" s="15">
        <f>'Hoja 4 - Cálculo'!$B$12</f>
        <v>250</v>
      </c>
      <c r="F364" s="15">
        <f>'Hoja 4 - Cálculo'!$B$13</f>
        <v>0.85</v>
      </c>
      <c r="G364" s="15">
        <f>'Hoja 4 - Cálculo'!$B$14</f>
        <v>0.9</v>
      </c>
      <c r="H364" s="15">
        <f t="shared" si="64"/>
        <v>25.570125000000001</v>
      </c>
      <c r="I364" s="11">
        <v>8</v>
      </c>
      <c r="J364" s="11">
        <v>1.5</v>
      </c>
      <c r="K364" s="11">
        <v>2</v>
      </c>
      <c r="L364" s="15">
        <f t="shared" si="65"/>
        <v>11.5</v>
      </c>
      <c r="M364" s="15">
        <f t="shared" si="73"/>
        <v>3.1360925000000002</v>
      </c>
      <c r="N364" s="15">
        <f t="shared" si="66"/>
        <v>0.57412435000000006</v>
      </c>
      <c r="O364" s="15">
        <f t="shared" si="67"/>
        <v>28.132093149999999</v>
      </c>
      <c r="P364" s="15">
        <f t="shared" si="68"/>
        <v>11.5</v>
      </c>
      <c r="Q364" s="15">
        <f t="shared" si="69"/>
        <v>5</v>
      </c>
      <c r="R364" s="15">
        <f t="shared" si="70"/>
        <v>11.632093149999999</v>
      </c>
      <c r="S364" s="15">
        <f t="shared" si="71"/>
        <v>0</v>
      </c>
      <c r="T364" s="14" t="str">
        <f t="shared" si="72"/>
        <v>Satisfactorio</v>
      </c>
      <c r="U364" s="14">
        <f t="shared" si="74"/>
        <v>0</v>
      </c>
      <c r="V364" s="14">
        <f t="shared" si="75"/>
        <v>0</v>
      </c>
    </row>
    <row r="365" spans="1:22">
      <c r="A365" s="17">
        <v>39934</v>
      </c>
      <c r="B365" s="9">
        <v>2009</v>
      </c>
      <c r="C365" s="9" t="s">
        <v>103</v>
      </c>
      <c r="D365" s="11">
        <v>127</v>
      </c>
      <c r="E365" s="15">
        <f>'Hoja 4 - Cálculo'!$B$12</f>
        <v>250</v>
      </c>
      <c r="F365" s="15">
        <f>'Hoja 4 - Cálculo'!$B$13</f>
        <v>0.85</v>
      </c>
      <c r="G365" s="15">
        <f>'Hoja 4 - Cálculo'!$B$14</f>
        <v>0.9</v>
      </c>
      <c r="H365" s="15">
        <f t="shared" si="64"/>
        <v>24.28875</v>
      </c>
      <c r="I365" s="11">
        <v>8</v>
      </c>
      <c r="J365" s="11">
        <v>1.5</v>
      </c>
      <c r="K365" s="11">
        <v>2</v>
      </c>
      <c r="L365" s="15">
        <f t="shared" si="65"/>
        <v>11.5</v>
      </c>
      <c r="M365" s="15">
        <f t="shared" si="73"/>
        <v>5</v>
      </c>
      <c r="N365" s="15">
        <f t="shared" si="66"/>
        <v>0.58577500000000005</v>
      </c>
      <c r="O365" s="15">
        <f t="shared" si="67"/>
        <v>28.702974999999999</v>
      </c>
      <c r="P365" s="15">
        <f t="shared" si="68"/>
        <v>11.5</v>
      </c>
      <c r="Q365" s="15">
        <f t="shared" si="69"/>
        <v>5</v>
      </c>
      <c r="R365" s="15">
        <f t="shared" si="70"/>
        <v>12.202974999999999</v>
      </c>
      <c r="S365" s="15">
        <f t="shared" si="71"/>
        <v>0</v>
      </c>
      <c r="T365" s="14" t="str">
        <f t="shared" si="72"/>
        <v>Satisfactorio</v>
      </c>
      <c r="U365" s="14">
        <f t="shared" si="74"/>
        <v>0</v>
      </c>
      <c r="V365" s="14">
        <f t="shared" si="75"/>
        <v>0</v>
      </c>
    </row>
    <row r="366" spans="1:22">
      <c r="A366" s="17">
        <v>39965</v>
      </c>
      <c r="B366" s="9">
        <v>2009</v>
      </c>
      <c r="C366" s="9" t="s">
        <v>104</v>
      </c>
      <c r="D366" s="11">
        <v>80.7</v>
      </c>
      <c r="E366" s="15">
        <f>'Hoja 4 - Cálculo'!$B$12</f>
        <v>250</v>
      </c>
      <c r="F366" s="15">
        <f>'Hoja 4 - Cálculo'!$B$13</f>
        <v>0.85</v>
      </c>
      <c r="G366" s="15">
        <f>'Hoja 4 - Cálculo'!$B$14</f>
        <v>0.9</v>
      </c>
      <c r="H366" s="15">
        <f t="shared" si="64"/>
        <v>15.433875</v>
      </c>
      <c r="I366" s="11">
        <v>8</v>
      </c>
      <c r="J366" s="11">
        <v>1.5</v>
      </c>
      <c r="K366" s="11">
        <v>2</v>
      </c>
      <c r="L366" s="15">
        <f t="shared" si="65"/>
        <v>11.5</v>
      </c>
      <c r="M366" s="15">
        <f t="shared" si="73"/>
        <v>5</v>
      </c>
      <c r="N366" s="15">
        <f t="shared" si="66"/>
        <v>0.40867750000000003</v>
      </c>
      <c r="O366" s="15">
        <f t="shared" si="67"/>
        <v>20.025197500000001</v>
      </c>
      <c r="P366" s="15">
        <f t="shared" si="68"/>
        <v>11.5</v>
      </c>
      <c r="Q366" s="15">
        <f t="shared" si="69"/>
        <v>5</v>
      </c>
      <c r="R366" s="15">
        <f t="shared" si="70"/>
        <v>3.5251975000000009</v>
      </c>
      <c r="S366" s="15">
        <f t="shared" si="71"/>
        <v>0</v>
      </c>
      <c r="T366" s="14" t="str">
        <f t="shared" si="72"/>
        <v>Satisfactorio</v>
      </c>
      <c r="U366" s="14">
        <f t="shared" si="74"/>
        <v>0</v>
      </c>
      <c r="V366" s="14">
        <f t="shared" si="75"/>
        <v>0</v>
      </c>
    </row>
    <row r="367" spans="1:22">
      <c r="A367" s="17">
        <v>39995</v>
      </c>
      <c r="B367" s="9">
        <v>2009</v>
      </c>
      <c r="C367" s="9" t="s">
        <v>105</v>
      </c>
      <c r="D367" s="11">
        <v>61.8</v>
      </c>
      <c r="E367" s="15">
        <f>'Hoja 4 - Cálculo'!$B$12</f>
        <v>250</v>
      </c>
      <c r="F367" s="15">
        <f>'Hoja 4 - Cálculo'!$B$13</f>
        <v>0.85</v>
      </c>
      <c r="G367" s="15">
        <f>'Hoja 4 - Cálculo'!$B$14</f>
        <v>0.9</v>
      </c>
      <c r="H367" s="15">
        <f t="shared" si="64"/>
        <v>11.81925</v>
      </c>
      <c r="I367" s="11">
        <v>8</v>
      </c>
      <c r="J367" s="11">
        <v>6</v>
      </c>
      <c r="K367" s="11">
        <v>2</v>
      </c>
      <c r="L367" s="15">
        <f t="shared" si="65"/>
        <v>16</v>
      </c>
      <c r="M367" s="15">
        <f t="shared" si="73"/>
        <v>5</v>
      </c>
      <c r="N367" s="15">
        <f t="shared" si="66"/>
        <v>0.33638499999999999</v>
      </c>
      <c r="O367" s="15">
        <f t="shared" si="67"/>
        <v>16.482865</v>
      </c>
      <c r="P367" s="15">
        <f t="shared" si="68"/>
        <v>16</v>
      </c>
      <c r="Q367" s="15">
        <f t="shared" si="69"/>
        <v>0.48286500000000032</v>
      </c>
      <c r="R367" s="15">
        <f t="shared" si="70"/>
        <v>0</v>
      </c>
      <c r="S367" s="15">
        <f t="shared" si="71"/>
        <v>0</v>
      </c>
      <c r="T367" s="14" t="str">
        <f t="shared" si="72"/>
        <v>Satisfactorio</v>
      </c>
      <c r="U367" s="14">
        <f t="shared" si="74"/>
        <v>0</v>
      </c>
      <c r="V367" s="14">
        <f t="shared" si="75"/>
        <v>0</v>
      </c>
    </row>
    <row r="368" spans="1:22">
      <c r="A368" s="17">
        <v>40026</v>
      </c>
      <c r="B368" s="9">
        <v>2009</v>
      </c>
      <c r="C368" s="9" t="s">
        <v>106</v>
      </c>
      <c r="D368" s="11">
        <v>65.7</v>
      </c>
      <c r="E368" s="15">
        <f>'Hoja 4 - Cálculo'!$B$12</f>
        <v>250</v>
      </c>
      <c r="F368" s="15">
        <f>'Hoja 4 - Cálculo'!$B$13</f>
        <v>0.85</v>
      </c>
      <c r="G368" s="15">
        <f>'Hoja 4 - Cálculo'!$B$14</f>
        <v>0.9</v>
      </c>
      <c r="H368" s="15">
        <f t="shared" si="64"/>
        <v>12.565125</v>
      </c>
      <c r="I368" s="11">
        <v>8</v>
      </c>
      <c r="J368" s="11">
        <v>6</v>
      </c>
      <c r="K368" s="11">
        <v>2</v>
      </c>
      <c r="L368" s="15">
        <f t="shared" si="65"/>
        <v>16</v>
      </c>
      <c r="M368" s="15">
        <f t="shared" si="73"/>
        <v>0.48286500000000032</v>
      </c>
      <c r="N368" s="15">
        <f t="shared" si="66"/>
        <v>0.26095980000000002</v>
      </c>
      <c r="O368" s="15">
        <f t="shared" si="67"/>
        <v>12.7870302</v>
      </c>
      <c r="P368" s="15">
        <f t="shared" si="68"/>
        <v>12.7870302</v>
      </c>
      <c r="Q368" s="15">
        <f t="shared" si="69"/>
        <v>0</v>
      </c>
      <c r="R368" s="15">
        <f t="shared" si="70"/>
        <v>0</v>
      </c>
      <c r="S368" s="15">
        <f t="shared" si="71"/>
        <v>3.2129697999999998</v>
      </c>
      <c r="T368" s="14" t="str">
        <f t="shared" si="72"/>
        <v>Falla</v>
      </c>
      <c r="U368" s="14">
        <f t="shared" si="74"/>
        <v>0</v>
      </c>
      <c r="V368" s="14">
        <f t="shared" si="75"/>
        <v>1</v>
      </c>
    </row>
    <row r="369" spans="1:22">
      <c r="A369" s="17">
        <v>40057</v>
      </c>
      <c r="B369" s="9">
        <v>2009</v>
      </c>
      <c r="C369" s="9" t="s">
        <v>107</v>
      </c>
      <c r="D369" s="11">
        <v>113.5</v>
      </c>
      <c r="E369" s="15">
        <f>'Hoja 4 - Cálculo'!$B$12</f>
        <v>250</v>
      </c>
      <c r="F369" s="15">
        <f>'Hoja 4 - Cálculo'!$B$13</f>
        <v>0.85</v>
      </c>
      <c r="G369" s="15">
        <f>'Hoja 4 - Cálculo'!$B$14</f>
        <v>0.9</v>
      </c>
      <c r="H369" s="15">
        <f t="shared" si="64"/>
        <v>21.706875</v>
      </c>
      <c r="I369" s="11">
        <v>8</v>
      </c>
      <c r="J369" s="11">
        <v>1.5</v>
      </c>
      <c r="K369" s="11">
        <v>2</v>
      </c>
      <c r="L369" s="15">
        <f t="shared" si="65"/>
        <v>11.5</v>
      </c>
      <c r="M369" s="15">
        <f t="shared" si="73"/>
        <v>0</v>
      </c>
      <c r="N369" s="15">
        <f t="shared" si="66"/>
        <v>0.43413750000000001</v>
      </c>
      <c r="O369" s="15">
        <f t="shared" si="67"/>
        <v>21.272737500000002</v>
      </c>
      <c r="P369" s="15">
        <f t="shared" si="68"/>
        <v>11.5</v>
      </c>
      <c r="Q369" s="15">
        <f t="shared" si="69"/>
        <v>5</v>
      </c>
      <c r="R369" s="15">
        <f t="shared" si="70"/>
        <v>4.7727375000000016</v>
      </c>
      <c r="S369" s="15">
        <f t="shared" si="71"/>
        <v>0</v>
      </c>
      <c r="T369" s="14" t="str">
        <f t="shared" si="72"/>
        <v>Satisfactorio</v>
      </c>
      <c r="U369" s="14">
        <f t="shared" si="74"/>
        <v>1</v>
      </c>
      <c r="V369" s="14">
        <f t="shared" si="75"/>
        <v>0</v>
      </c>
    </row>
    <row r="370" spans="1:22">
      <c r="A370" s="17">
        <v>40087</v>
      </c>
      <c r="B370" s="9">
        <v>2009</v>
      </c>
      <c r="C370" s="9" t="s">
        <v>108</v>
      </c>
      <c r="D370" s="11">
        <v>146.6</v>
      </c>
      <c r="E370" s="15">
        <f>'Hoja 4 - Cálculo'!$B$12</f>
        <v>250</v>
      </c>
      <c r="F370" s="15">
        <f>'Hoja 4 - Cálculo'!$B$13</f>
        <v>0.85</v>
      </c>
      <c r="G370" s="15">
        <f>'Hoja 4 - Cálculo'!$B$14</f>
        <v>0.9</v>
      </c>
      <c r="H370" s="15">
        <f t="shared" si="64"/>
        <v>28.03725</v>
      </c>
      <c r="I370" s="11">
        <v>8</v>
      </c>
      <c r="J370" s="11">
        <v>1.5</v>
      </c>
      <c r="K370" s="11">
        <v>2</v>
      </c>
      <c r="L370" s="15">
        <f t="shared" si="65"/>
        <v>11.5</v>
      </c>
      <c r="M370" s="15">
        <f t="shared" si="73"/>
        <v>5</v>
      </c>
      <c r="N370" s="15">
        <f t="shared" si="66"/>
        <v>0.66074500000000003</v>
      </c>
      <c r="O370" s="15">
        <f t="shared" si="67"/>
        <v>32.376505000000002</v>
      </c>
      <c r="P370" s="15">
        <f t="shared" si="68"/>
        <v>11.5</v>
      </c>
      <c r="Q370" s="15">
        <f t="shared" si="69"/>
        <v>5</v>
      </c>
      <c r="R370" s="15">
        <f t="shared" si="70"/>
        <v>15.876505000000002</v>
      </c>
      <c r="S370" s="15">
        <f t="shared" si="71"/>
        <v>0</v>
      </c>
      <c r="T370" s="14" t="str">
        <f t="shared" si="72"/>
        <v>Satisfactorio</v>
      </c>
      <c r="U370" s="14">
        <f t="shared" si="74"/>
        <v>0</v>
      </c>
      <c r="V370" s="14">
        <f t="shared" si="75"/>
        <v>0</v>
      </c>
    </row>
    <row r="371" spans="1:22">
      <c r="A371" s="17">
        <v>40118</v>
      </c>
      <c r="B371" s="9">
        <v>2009</v>
      </c>
      <c r="C371" s="9" t="s">
        <v>109</v>
      </c>
      <c r="D371" s="11">
        <v>116.3</v>
      </c>
      <c r="E371" s="15">
        <f>'Hoja 4 - Cálculo'!$B$12</f>
        <v>250</v>
      </c>
      <c r="F371" s="15">
        <f>'Hoja 4 - Cálculo'!$B$13</f>
        <v>0.85</v>
      </c>
      <c r="G371" s="15">
        <f>'Hoja 4 - Cálculo'!$B$14</f>
        <v>0.9</v>
      </c>
      <c r="H371" s="15">
        <f t="shared" si="64"/>
        <v>22.242374999999999</v>
      </c>
      <c r="I371" s="11">
        <v>8</v>
      </c>
      <c r="J371" s="11">
        <v>1.5</v>
      </c>
      <c r="K371" s="11">
        <v>2</v>
      </c>
      <c r="L371" s="15">
        <f t="shared" si="65"/>
        <v>11.5</v>
      </c>
      <c r="M371" s="15">
        <f t="shared" si="73"/>
        <v>5</v>
      </c>
      <c r="N371" s="15">
        <f t="shared" si="66"/>
        <v>0.54484750000000004</v>
      </c>
      <c r="O371" s="15">
        <f t="shared" si="67"/>
        <v>26.6975275</v>
      </c>
      <c r="P371" s="15">
        <f t="shared" si="68"/>
        <v>11.5</v>
      </c>
      <c r="Q371" s="15">
        <f t="shared" si="69"/>
        <v>5</v>
      </c>
      <c r="R371" s="15">
        <f t="shared" si="70"/>
        <v>10.1975275</v>
      </c>
      <c r="S371" s="15">
        <f t="shared" si="71"/>
        <v>0</v>
      </c>
      <c r="T371" s="14" t="str">
        <f t="shared" si="72"/>
        <v>Satisfactorio</v>
      </c>
      <c r="U371" s="14">
        <f t="shared" si="74"/>
        <v>0</v>
      </c>
      <c r="V371" s="14">
        <f t="shared" si="75"/>
        <v>0</v>
      </c>
    </row>
    <row r="372" spans="1:22">
      <c r="A372" s="17">
        <v>40148</v>
      </c>
      <c r="B372" s="9">
        <v>2009</v>
      </c>
      <c r="C372" s="9" t="s">
        <v>110</v>
      </c>
      <c r="D372" s="11">
        <v>73.599999999999994</v>
      </c>
      <c r="E372" s="15">
        <f>'Hoja 4 - Cálculo'!$B$12</f>
        <v>250</v>
      </c>
      <c r="F372" s="15">
        <f>'Hoja 4 - Cálculo'!$B$13</f>
        <v>0.85</v>
      </c>
      <c r="G372" s="15">
        <f>'Hoja 4 - Cálculo'!$B$14</f>
        <v>0.9</v>
      </c>
      <c r="H372" s="15">
        <f t="shared" si="64"/>
        <v>14.076000000000001</v>
      </c>
      <c r="I372" s="11">
        <v>8</v>
      </c>
      <c r="J372" s="11">
        <v>6</v>
      </c>
      <c r="K372" s="11">
        <v>2</v>
      </c>
      <c r="L372" s="15">
        <f t="shared" si="65"/>
        <v>16</v>
      </c>
      <c r="M372" s="15">
        <f t="shared" si="73"/>
        <v>5</v>
      </c>
      <c r="N372" s="15">
        <f t="shared" si="66"/>
        <v>0.38152000000000003</v>
      </c>
      <c r="O372" s="15">
        <f t="shared" si="67"/>
        <v>18.694480000000002</v>
      </c>
      <c r="P372" s="15">
        <f t="shared" si="68"/>
        <v>16</v>
      </c>
      <c r="Q372" s="15">
        <f t="shared" si="69"/>
        <v>2.6944800000000022</v>
      </c>
      <c r="R372" s="15">
        <f t="shared" si="70"/>
        <v>0</v>
      </c>
      <c r="S372" s="15">
        <f t="shared" si="71"/>
        <v>0</v>
      </c>
      <c r="T372" s="14" t="str">
        <f t="shared" si="72"/>
        <v>Satisfactorio</v>
      </c>
      <c r="U372" s="14">
        <f t="shared" si="74"/>
        <v>0</v>
      </c>
      <c r="V372" s="14">
        <f t="shared" si="75"/>
        <v>0</v>
      </c>
    </row>
    <row r="373" spans="1:22">
      <c r="A373" s="17">
        <v>40179</v>
      </c>
      <c r="B373" s="9">
        <v>2010</v>
      </c>
      <c r="C373" s="9" t="s">
        <v>99</v>
      </c>
      <c r="D373" s="11">
        <v>64.2</v>
      </c>
      <c r="E373" s="15">
        <f>'Hoja 4 - Cálculo'!$B$12</f>
        <v>250</v>
      </c>
      <c r="F373" s="15">
        <f>'Hoja 4 - Cálculo'!$B$13</f>
        <v>0.85</v>
      </c>
      <c r="G373" s="15">
        <f>'Hoja 4 - Cálculo'!$B$14</f>
        <v>0.9</v>
      </c>
      <c r="H373" s="15">
        <f t="shared" si="64"/>
        <v>12.27825</v>
      </c>
      <c r="I373" s="11">
        <v>8</v>
      </c>
      <c r="J373" s="11">
        <v>6</v>
      </c>
      <c r="K373" s="11">
        <v>2</v>
      </c>
      <c r="L373" s="15">
        <f t="shared" si="65"/>
        <v>16</v>
      </c>
      <c r="M373" s="15">
        <f t="shared" si="73"/>
        <v>2.6944800000000022</v>
      </c>
      <c r="N373" s="15">
        <f t="shared" si="66"/>
        <v>0.29945460000000007</v>
      </c>
      <c r="O373" s="15">
        <f t="shared" si="67"/>
        <v>14.673275400000001</v>
      </c>
      <c r="P373" s="15">
        <f t="shared" si="68"/>
        <v>14.673275400000001</v>
      </c>
      <c r="Q373" s="15">
        <f t="shared" si="69"/>
        <v>0</v>
      </c>
      <c r="R373" s="15">
        <f t="shared" si="70"/>
        <v>0</v>
      </c>
      <c r="S373" s="15">
        <f t="shared" si="71"/>
        <v>1.3267245999999986</v>
      </c>
      <c r="T373" s="14" t="str">
        <f t="shared" si="72"/>
        <v>Falla</v>
      </c>
      <c r="U373" s="14">
        <f t="shared" si="74"/>
        <v>0</v>
      </c>
      <c r="V373" s="14">
        <f t="shared" si="75"/>
        <v>1</v>
      </c>
    </row>
    <row r="374" spans="1:22">
      <c r="A374" s="17">
        <v>40210</v>
      </c>
      <c r="B374" s="9">
        <v>2010</v>
      </c>
      <c r="C374" s="9" t="s">
        <v>100</v>
      </c>
      <c r="D374" s="11">
        <v>76.3</v>
      </c>
      <c r="E374" s="15">
        <f>'Hoja 4 - Cálculo'!$B$12</f>
        <v>250</v>
      </c>
      <c r="F374" s="15">
        <f>'Hoja 4 - Cálculo'!$B$13</f>
        <v>0.85</v>
      </c>
      <c r="G374" s="15">
        <f>'Hoja 4 - Cálculo'!$B$14</f>
        <v>0.9</v>
      </c>
      <c r="H374" s="15">
        <f t="shared" si="64"/>
        <v>14.592375000000001</v>
      </c>
      <c r="I374" s="11">
        <v>8</v>
      </c>
      <c r="J374" s="11">
        <v>6</v>
      </c>
      <c r="K374" s="11">
        <v>2</v>
      </c>
      <c r="L374" s="15">
        <f t="shared" si="65"/>
        <v>16</v>
      </c>
      <c r="M374" s="15">
        <f t="shared" si="73"/>
        <v>0</v>
      </c>
      <c r="N374" s="15">
        <f t="shared" si="66"/>
        <v>0.29184750000000004</v>
      </c>
      <c r="O374" s="15">
        <f t="shared" si="67"/>
        <v>14.300527500000001</v>
      </c>
      <c r="P374" s="15">
        <f t="shared" si="68"/>
        <v>14.300527500000001</v>
      </c>
      <c r="Q374" s="15">
        <f t="shared" si="69"/>
        <v>0</v>
      </c>
      <c r="R374" s="15">
        <f t="shared" si="70"/>
        <v>0</v>
      </c>
      <c r="S374" s="15">
        <f t="shared" si="71"/>
        <v>1.6994724999999988</v>
      </c>
      <c r="T374" s="14" t="str">
        <f t="shared" si="72"/>
        <v>Falla</v>
      </c>
      <c r="U374" s="14">
        <f t="shared" si="74"/>
        <v>0</v>
      </c>
      <c r="V374" s="14">
        <f t="shared" si="75"/>
        <v>0</v>
      </c>
    </row>
    <row r="375" spans="1:22">
      <c r="A375" s="17">
        <v>40238</v>
      </c>
      <c r="B375" s="9">
        <v>2010</v>
      </c>
      <c r="C375" s="9" t="s">
        <v>101</v>
      </c>
      <c r="D375" s="11">
        <v>118</v>
      </c>
      <c r="E375" s="15">
        <f>'Hoja 4 - Cálculo'!$B$12</f>
        <v>250</v>
      </c>
      <c r="F375" s="15">
        <f>'Hoja 4 - Cálculo'!$B$13</f>
        <v>0.85</v>
      </c>
      <c r="G375" s="15">
        <f>'Hoja 4 - Cálculo'!$B$14</f>
        <v>0.9</v>
      </c>
      <c r="H375" s="15">
        <f t="shared" si="64"/>
        <v>22.567499999999999</v>
      </c>
      <c r="I375" s="11">
        <v>8</v>
      </c>
      <c r="J375" s="11">
        <v>6</v>
      </c>
      <c r="K375" s="11">
        <v>2</v>
      </c>
      <c r="L375" s="15">
        <f t="shared" si="65"/>
        <v>16</v>
      </c>
      <c r="M375" s="15">
        <f t="shared" si="73"/>
        <v>0</v>
      </c>
      <c r="N375" s="15">
        <f t="shared" si="66"/>
        <v>0.45134999999999997</v>
      </c>
      <c r="O375" s="15">
        <f t="shared" si="67"/>
        <v>22.116149999999998</v>
      </c>
      <c r="P375" s="15">
        <f t="shared" si="68"/>
        <v>16</v>
      </c>
      <c r="Q375" s="15">
        <f t="shared" si="69"/>
        <v>5</v>
      </c>
      <c r="R375" s="15">
        <f t="shared" si="70"/>
        <v>1.1161499999999975</v>
      </c>
      <c r="S375" s="15">
        <f t="shared" si="71"/>
        <v>0</v>
      </c>
      <c r="T375" s="14" t="str">
        <f t="shared" si="72"/>
        <v>Satisfactorio</v>
      </c>
      <c r="U375" s="14">
        <f t="shared" si="74"/>
        <v>1</v>
      </c>
      <c r="V375" s="14">
        <f t="shared" si="75"/>
        <v>0</v>
      </c>
    </row>
    <row r="376" spans="1:22">
      <c r="A376" s="17">
        <v>40269</v>
      </c>
      <c r="B376" s="9">
        <v>2010</v>
      </c>
      <c r="C376" s="9" t="s">
        <v>102</v>
      </c>
      <c r="D376" s="11">
        <v>163.4</v>
      </c>
      <c r="E376" s="15">
        <f>'Hoja 4 - Cálculo'!$B$12</f>
        <v>250</v>
      </c>
      <c r="F376" s="15">
        <f>'Hoja 4 - Cálculo'!$B$13</f>
        <v>0.85</v>
      </c>
      <c r="G376" s="15">
        <f>'Hoja 4 - Cálculo'!$B$14</f>
        <v>0.9</v>
      </c>
      <c r="H376" s="15">
        <f t="shared" si="64"/>
        <v>31.250250000000001</v>
      </c>
      <c r="I376" s="11">
        <v>8</v>
      </c>
      <c r="J376" s="11">
        <v>1.5</v>
      </c>
      <c r="K376" s="11">
        <v>2</v>
      </c>
      <c r="L376" s="15">
        <f t="shared" si="65"/>
        <v>11.5</v>
      </c>
      <c r="M376" s="15">
        <f t="shared" si="73"/>
        <v>5</v>
      </c>
      <c r="N376" s="15">
        <f t="shared" si="66"/>
        <v>0.72500500000000001</v>
      </c>
      <c r="O376" s="15">
        <f t="shared" si="67"/>
        <v>35.525244999999998</v>
      </c>
      <c r="P376" s="15">
        <f t="shared" si="68"/>
        <v>11.5</v>
      </c>
      <c r="Q376" s="15">
        <f t="shared" si="69"/>
        <v>5</v>
      </c>
      <c r="R376" s="15">
        <f t="shared" si="70"/>
        <v>19.025244999999998</v>
      </c>
      <c r="S376" s="15">
        <f t="shared" si="71"/>
        <v>0</v>
      </c>
      <c r="T376" s="14" t="str">
        <f t="shared" si="72"/>
        <v>Satisfactorio</v>
      </c>
      <c r="U376" s="14">
        <f t="shared" si="74"/>
        <v>0</v>
      </c>
      <c r="V376" s="14">
        <f t="shared" si="75"/>
        <v>0</v>
      </c>
    </row>
    <row r="377" spans="1:22">
      <c r="A377" s="17">
        <v>40299</v>
      </c>
      <c r="B377" s="9">
        <v>2010</v>
      </c>
      <c r="C377" s="9" t="s">
        <v>103</v>
      </c>
      <c r="D377" s="11">
        <v>139.30000000000001</v>
      </c>
      <c r="E377" s="15">
        <f>'Hoja 4 - Cálculo'!$B$12</f>
        <v>250</v>
      </c>
      <c r="F377" s="15">
        <f>'Hoja 4 - Cálculo'!$B$13</f>
        <v>0.85</v>
      </c>
      <c r="G377" s="15">
        <f>'Hoja 4 - Cálculo'!$B$14</f>
        <v>0.9</v>
      </c>
      <c r="H377" s="15">
        <f t="shared" si="64"/>
        <v>26.641124999999999</v>
      </c>
      <c r="I377" s="11">
        <v>8</v>
      </c>
      <c r="J377" s="11">
        <v>1.5</v>
      </c>
      <c r="K377" s="11">
        <v>2</v>
      </c>
      <c r="L377" s="15">
        <f t="shared" si="65"/>
        <v>11.5</v>
      </c>
      <c r="M377" s="15">
        <f t="shared" si="73"/>
        <v>5</v>
      </c>
      <c r="N377" s="15">
        <f t="shared" si="66"/>
        <v>0.63282249999999995</v>
      </c>
      <c r="O377" s="15">
        <f t="shared" si="67"/>
        <v>31.008302499999999</v>
      </c>
      <c r="P377" s="15">
        <f t="shared" si="68"/>
        <v>11.5</v>
      </c>
      <c r="Q377" s="15">
        <f t="shared" si="69"/>
        <v>5</v>
      </c>
      <c r="R377" s="15">
        <f t="shared" si="70"/>
        <v>14.508302499999999</v>
      </c>
      <c r="S377" s="15">
        <f t="shared" si="71"/>
        <v>0</v>
      </c>
      <c r="T377" s="14" t="str">
        <f t="shared" si="72"/>
        <v>Satisfactorio</v>
      </c>
      <c r="U377" s="14">
        <f t="shared" si="74"/>
        <v>0</v>
      </c>
      <c r="V377" s="14">
        <f t="shared" si="75"/>
        <v>0</v>
      </c>
    </row>
    <row r="378" spans="1:22">
      <c r="A378" s="17">
        <v>40330</v>
      </c>
      <c r="B378" s="9">
        <v>2010</v>
      </c>
      <c r="C378" s="9" t="s">
        <v>104</v>
      </c>
      <c r="D378" s="11">
        <v>85.1</v>
      </c>
      <c r="E378" s="15">
        <f>'Hoja 4 - Cálculo'!$B$12</f>
        <v>250</v>
      </c>
      <c r="F378" s="15">
        <f>'Hoja 4 - Cálculo'!$B$13</f>
        <v>0.85</v>
      </c>
      <c r="G378" s="15">
        <f>'Hoja 4 - Cálculo'!$B$14</f>
        <v>0.9</v>
      </c>
      <c r="H378" s="15">
        <f t="shared" si="64"/>
        <v>16.275375</v>
      </c>
      <c r="I378" s="11">
        <v>8</v>
      </c>
      <c r="J378" s="11">
        <v>1.5</v>
      </c>
      <c r="K378" s="11">
        <v>2</v>
      </c>
      <c r="L378" s="15">
        <f t="shared" si="65"/>
        <v>11.5</v>
      </c>
      <c r="M378" s="15">
        <f t="shared" si="73"/>
        <v>5</v>
      </c>
      <c r="N378" s="15">
        <f t="shared" si="66"/>
        <v>0.42550750000000004</v>
      </c>
      <c r="O378" s="15">
        <f t="shared" si="67"/>
        <v>20.849867500000002</v>
      </c>
      <c r="P378" s="15">
        <f t="shared" si="68"/>
        <v>11.5</v>
      </c>
      <c r="Q378" s="15">
        <f t="shared" si="69"/>
        <v>5</v>
      </c>
      <c r="R378" s="15">
        <f t="shared" si="70"/>
        <v>4.349867500000002</v>
      </c>
      <c r="S378" s="15">
        <f t="shared" si="71"/>
        <v>0</v>
      </c>
      <c r="T378" s="14" t="str">
        <f t="shared" si="72"/>
        <v>Satisfactorio</v>
      </c>
      <c r="U378" s="14">
        <f t="shared" si="74"/>
        <v>0</v>
      </c>
      <c r="V378" s="14">
        <f t="shared" si="75"/>
        <v>0</v>
      </c>
    </row>
    <row r="379" spans="1:22">
      <c r="A379" s="17">
        <v>40360</v>
      </c>
      <c r="B379" s="9">
        <v>2010</v>
      </c>
      <c r="C379" s="9" t="s">
        <v>105</v>
      </c>
      <c r="D379" s="11">
        <v>74.3</v>
      </c>
      <c r="E379" s="15">
        <f>'Hoja 4 - Cálculo'!$B$12</f>
        <v>250</v>
      </c>
      <c r="F379" s="15">
        <f>'Hoja 4 - Cálculo'!$B$13</f>
        <v>0.85</v>
      </c>
      <c r="G379" s="15">
        <f>'Hoja 4 - Cálculo'!$B$14</f>
        <v>0.9</v>
      </c>
      <c r="H379" s="15">
        <f t="shared" si="64"/>
        <v>14.209875</v>
      </c>
      <c r="I379" s="11">
        <v>8</v>
      </c>
      <c r="J379" s="11">
        <v>6</v>
      </c>
      <c r="K379" s="11">
        <v>2</v>
      </c>
      <c r="L379" s="15">
        <f t="shared" si="65"/>
        <v>16</v>
      </c>
      <c r="M379" s="15">
        <f t="shared" si="73"/>
        <v>5</v>
      </c>
      <c r="N379" s="15">
        <f t="shared" si="66"/>
        <v>0.38419750000000003</v>
      </c>
      <c r="O379" s="15">
        <f t="shared" si="67"/>
        <v>18.825677500000001</v>
      </c>
      <c r="P379" s="15">
        <f t="shared" si="68"/>
        <v>16</v>
      </c>
      <c r="Q379" s="15">
        <f t="shared" si="69"/>
        <v>2.8256775000000012</v>
      </c>
      <c r="R379" s="15">
        <f t="shared" si="70"/>
        <v>0</v>
      </c>
      <c r="S379" s="15">
        <f t="shared" si="71"/>
        <v>0</v>
      </c>
      <c r="T379" s="14" t="str">
        <f t="shared" si="72"/>
        <v>Satisfactorio</v>
      </c>
      <c r="U379" s="14">
        <f t="shared" si="74"/>
        <v>0</v>
      </c>
      <c r="V379" s="14">
        <f t="shared" si="75"/>
        <v>0</v>
      </c>
    </row>
    <row r="380" spans="1:22">
      <c r="A380" s="17">
        <v>40391</v>
      </c>
      <c r="B380" s="9">
        <v>2010</v>
      </c>
      <c r="C380" s="9" t="s">
        <v>106</v>
      </c>
      <c r="D380" s="11">
        <v>80.099999999999994</v>
      </c>
      <c r="E380" s="15">
        <f>'Hoja 4 - Cálculo'!$B$12</f>
        <v>250</v>
      </c>
      <c r="F380" s="15">
        <f>'Hoja 4 - Cálculo'!$B$13</f>
        <v>0.85</v>
      </c>
      <c r="G380" s="15">
        <f>'Hoja 4 - Cálculo'!$B$14</f>
        <v>0.9</v>
      </c>
      <c r="H380" s="15">
        <f t="shared" si="64"/>
        <v>15.319125</v>
      </c>
      <c r="I380" s="11">
        <v>8</v>
      </c>
      <c r="J380" s="11">
        <v>6</v>
      </c>
      <c r="K380" s="11">
        <v>2</v>
      </c>
      <c r="L380" s="15">
        <f t="shared" si="65"/>
        <v>16</v>
      </c>
      <c r="M380" s="15">
        <f t="shared" si="73"/>
        <v>2.8256775000000012</v>
      </c>
      <c r="N380" s="15">
        <f t="shared" si="66"/>
        <v>0.36289605000000003</v>
      </c>
      <c r="O380" s="15">
        <f t="shared" si="67"/>
        <v>17.781906450000001</v>
      </c>
      <c r="P380" s="15">
        <f t="shared" si="68"/>
        <v>16</v>
      </c>
      <c r="Q380" s="15">
        <f t="shared" si="69"/>
        <v>1.781906450000001</v>
      </c>
      <c r="R380" s="15">
        <f t="shared" si="70"/>
        <v>0</v>
      </c>
      <c r="S380" s="15">
        <f t="shared" si="71"/>
        <v>0</v>
      </c>
      <c r="T380" s="14" t="str">
        <f t="shared" si="72"/>
        <v>Satisfactorio</v>
      </c>
      <c r="U380" s="14">
        <f t="shared" si="74"/>
        <v>0</v>
      </c>
      <c r="V380" s="14">
        <f t="shared" si="75"/>
        <v>0</v>
      </c>
    </row>
    <row r="381" spans="1:22">
      <c r="A381" s="17">
        <v>40422</v>
      </c>
      <c r="B381" s="9">
        <v>2010</v>
      </c>
      <c r="C381" s="9" t="s">
        <v>107</v>
      </c>
      <c r="D381" s="11">
        <v>121.1</v>
      </c>
      <c r="E381" s="15">
        <f>'Hoja 4 - Cálculo'!$B$12</f>
        <v>250</v>
      </c>
      <c r="F381" s="15">
        <f>'Hoja 4 - Cálculo'!$B$13</f>
        <v>0.85</v>
      </c>
      <c r="G381" s="15">
        <f>'Hoja 4 - Cálculo'!$B$14</f>
        <v>0.9</v>
      </c>
      <c r="H381" s="15">
        <f t="shared" si="64"/>
        <v>23.160374999999998</v>
      </c>
      <c r="I381" s="11">
        <v>8</v>
      </c>
      <c r="J381" s="11">
        <v>1.5</v>
      </c>
      <c r="K381" s="11">
        <v>2</v>
      </c>
      <c r="L381" s="15">
        <f t="shared" si="65"/>
        <v>11.5</v>
      </c>
      <c r="M381" s="15">
        <f t="shared" si="73"/>
        <v>1.781906450000001</v>
      </c>
      <c r="N381" s="15">
        <f t="shared" si="66"/>
        <v>0.49884562900000001</v>
      </c>
      <c r="O381" s="15">
        <f t="shared" si="67"/>
        <v>24.443435820999998</v>
      </c>
      <c r="P381" s="15">
        <f t="shared" si="68"/>
        <v>11.5</v>
      </c>
      <c r="Q381" s="15">
        <f t="shared" si="69"/>
        <v>5</v>
      </c>
      <c r="R381" s="15">
        <f t="shared" si="70"/>
        <v>7.9434358209999978</v>
      </c>
      <c r="S381" s="15">
        <f t="shared" si="71"/>
        <v>0</v>
      </c>
      <c r="T381" s="14" t="str">
        <f t="shared" si="72"/>
        <v>Satisfactorio</v>
      </c>
      <c r="U381" s="14">
        <f t="shared" si="74"/>
        <v>0</v>
      </c>
      <c r="V381" s="14">
        <f t="shared" si="75"/>
        <v>0</v>
      </c>
    </row>
    <row r="382" spans="1:22">
      <c r="A382" s="17">
        <v>40452</v>
      </c>
      <c r="B382" s="9">
        <v>2010</v>
      </c>
      <c r="C382" s="9" t="s">
        <v>108</v>
      </c>
      <c r="D382" s="11">
        <v>158.5</v>
      </c>
      <c r="E382" s="15">
        <f>'Hoja 4 - Cálculo'!$B$12</f>
        <v>250</v>
      </c>
      <c r="F382" s="15">
        <f>'Hoja 4 - Cálculo'!$B$13</f>
        <v>0.85</v>
      </c>
      <c r="G382" s="15">
        <f>'Hoja 4 - Cálculo'!$B$14</f>
        <v>0.9</v>
      </c>
      <c r="H382" s="15">
        <f t="shared" si="64"/>
        <v>30.313124999999999</v>
      </c>
      <c r="I382" s="11">
        <v>8</v>
      </c>
      <c r="J382" s="11">
        <v>1.5</v>
      </c>
      <c r="K382" s="11">
        <v>2</v>
      </c>
      <c r="L382" s="15">
        <f t="shared" si="65"/>
        <v>11.5</v>
      </c>
      <c r="M382" s="15">
        <f t="shared" si="73"/>
        <v>5</v>
      </c>
      <c r="N382" s="15">
        <f t="shared" si="66"/>
        <v>0.70626250000000002</v>
      </c>
      <c r="O382" s="15">
        <f t="shared" si="67"/>
        <v>34.606862499999998</v>
      </c>
      <c r="P382" s="15">
        <f t="shared" si="68"/>
        <v>11.5</v>
      </c>
      <c r="Q382" s="15">
        <f t="shared" si="69"/>
        <v>5</v>
      </c>
      <c r="R382" s="15">
        <f t="shared" si="70"/>
        <v>18.106862499999998</v>
      </c>
      <c r="S382" s="15">
        <f t="shared" si="71"/>
        <v>0</v>
      </c>
      <c r="T382" s="14" t="str">
        <f t="shared" si="72"/>
        <v>Satisfactorio</v>
      </c>
      <c r="U382" s="14">
        <f t="shared" si="74"/>
        <v>0</v>
      </c>
      <c r="V382" s="14">
        <f t="shared" si="75"/>
        <v>0</v>
      </c>
    </row>
    <row r="383" spans="1:22">
      <c r="A383" s="17">
        <v>40483</v>
      </c>
      <c r="B383" s="9">
        <v>2010</v>
      </c>
      <c r="C383" s="9" t="s">
        <v>109</v>
      </c>
      <c r="D383" s="11">
        <v>141.19999999999999</v>
      </c>
      <c r="E383" s="15">
        <f>'Hoja 4 - Cálculo'!$B$12</f>
        <v>250</v>
      </c>
      <c r="F383" s="15">
        <f>'Hoja 4 - Cálculo'!$B$13</f>
        <v>0.85</v>
      </c>
      <c r="G383" s="15">
        <f>'Hoja 4 - Cálculo'!$B$14</f>
        <v>0.9</v>
      </c>
      <c r="H383" s="15">
        <f t="shared" si="64"/>
        <v>27.0045</v>
      </c>
      <c r="I383" s="11">
        <v>8</v>
      </c>
      <c r="J383" s="11">
        <v>1.5</v>
      </c>
      <c r="K383" s="11">
        <v>2</v>
      </c>
      <c r="L383" s="15">
        <f t="shared" si="65"/>
        <v>11.5</v>
      </c>
      <c r="M383" s="15">
        <f t="shared" si="73"/>
        <v>5</v>
      </c>
      <c r="N383" s="15">
        <f t="shared" si="66"/>
        <v>0.64009000000000005</v>
      </c>
      <c r="O383" s="15">
        <f t="shared" si="67"/>
        <v>31.364409999999999</v>
      </c>
      <c r="P383" s="15">
        <f t="shared" si="68"/>
        <v>11.5</v>
      </c>
      <c r="Q383" s="15">
        <f t="shared" si="69"/>
        <v>5</v>
      </c>
      <c r="R383" s="15">
        <f t="shared" si="70"/>
        <v>14.864409999999999</v>
      </c>
      <c r="S383" s="15">
        <f t="shared" si="71"/>
        <v>0</v>
      </c>
      <c r="T383" s="14" t="str">
        <f t="shared" si="72"/>
        <v>Satisfactorio</v>
      </c>
      <c r="U383" s="14">
        <f t="shared" si="74"/>
        <v>0</v>
      </c>
      <c r="V383" s="14">
        <f t="shared" si="75"/>
        <v>0</v>
      </c>
    </row>
    <row r="384" spans="1:22">
      <c r="A384" s="17">
        <v>40513</v>
      </c>
      <c r="B384" s="9">
        <v>2010</v>
      </c>
      <c r="C384" s="9" t="s">
        <v>110</v>
      </c>
      <c r="D384" s="11">
        <v>86</v>
      </c>
      <c r="E384" s="15">
        <f>'Hoja 4 - Cálculo'!$B$12</f>
        <v>250</v>
      </c>
      <c r="F384" s="15">
        <f>'Hoja 4 - Cálculo'!$B$13</f>
        <v>0.85</v>
      </c>
      <c r="G384" s="15">
        <f>'Hoja 4 - Cálculo'!$B$14</f>
        <v>0.9</v>
      </c>
      <c r="H384" s="15">
        <f t="shared" si="64"/>
        <v>16.447500000000002</v>
      </c>
      <c r="I384" s="11">
        <v>8</v>
      </c>
      <c r="J384" s="11">
        <v>6</v>
      </c>
      <c r="K384" s="11">
        <v>2</v>
      </c>
      <c r="L384" s="15">
        <f t="shared" si="65"/>
        <v>16</v>
      </c>
      <c r="M384" s="15">
        <f t="shared" si="73"/>
        <v>5</v>
      </c>
      <c r="N384" s="15">
        <f t="shared" si="66"/>
        <v>0.42895000000000005</v>
      </c>
      <c r="O384" s="15">
        <f t="shared" si="67"/>
        <v>21.018550000000001</v>
      </c>
      <c r="P384" s="15">
        <f t="shared" si="68"/>
        <v>16</v>
      </c>
      <c r="Q384" s="15">
        <f t="shared" si="69"/>
        <v>5</v>
      </c>
      <c r="R384" s="15">
        <f t="shared" si="70"/>
        <v>1.8550000000001177E-2</v>
      </c>
      <c r="S384" s="15">
        <f t="shared" si="71"/>
        <v>0</v>
      </c>
      <c r="T384" s="14" t="str">
        <f t="shared" si="72"/>
        <v>Satisfactorio</v>
      </c>
      <c r="U384" s="14">
        <f t="shared" si="74"/>
        <v>0</v>
      </c>
      <c r="V384" s="14">
        <f t="shared" si="75"/>
        <v>0</v>
      </c>
    </row>
  </sheetData>
  <mergeCells count="13">
    <mergeCell ref="A21:V21"/>
    <mergeCell ref="X21:AB21"/>
    <mergeCell ref="AD42:AK48"/>
    <mergeCell ref="A1:AK1"/>
    <mergeCell ref="A2:AK3"/>
    <mergeCell ref="A6:H6"/>
    <mergeCell ref="D7:H12"/>
    <mergeCell ref="D14:H18"/>
    <mergeCell ref="J6:Q6"/>
    <mergeCell ref="K10:Q10"/>
    <mergeCell ref="K11:Q11"/>
    <mergeCell ref="K12:Q12"/>
    <mergeCell ref="S6:AK6"/>
  </mergeCells>
  <conditionalFormatting sqref="T25:T384">
    <cfRule type="containsText" dxfId="18" priority="7" operator="containsText" text="Satisfactorio"/>
    <cfRule type="containsText" dxfId="17" priority="8" operator="containsText" text="Falla"/>
  </conditionalFormatting>
  <conditionalFormatting sqref="AK8">
    <cfRule type="containsText" dxfId="16" priority="1" operator="containsText" text="OK"/>
    <cfRule type="containsText" dxfId="15" priority="3" operator="containsText" text="REVISAR"/>
    <cfRule type="containsText" dxfId="14" priority="4" operator="containsText" text="FALTANTE"/>
    <cfRule type="containsText" dxfId="13" priority="5" operator="containsText" text="NEGATIVO"/>
    <cfRule type="containsText" dxfId="12" priority="6" operator="containsText" text="DUPLICADO"/>
  </conditionalFormatting>
  <dataValidations count="2">
    <dataValidation type="list" sqref="B9" xr:uid="{00000000-0002-0000-0000-000000000000}">
      <formula1>"Uso único,Uso múltiple,Uso prioritario,Uso variable"</formula1>
    </dataValidation>
    <dataValidation type="decimal" operator="greaterThanOrEqual" sqref="D25:D384 I25:K384" xr:uid="{00000000-0002-0000-0000-000001000000}">
      <formula1>0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9"/>
  <sheetViews>
    <sheetView showGridLines="0" topLeftCell="H46" workbookViewId="0">
      <selection sqref="A1:V1"/>
    </sheetView>
  </sheetViews>
  <sheetFormatPr baseColWidth="10" defaultColWidth="8.796875" defaultRowHeight="13.8"/>
  <cols>
    <col min="1" max="1" width="14" customWidth="1"/>
    <col min="2" max="3" width="15" customWidth="1"/>
    <col min="4" max="4" width="19" customWidth="1"/>
    <col min="5" max="5" width="15" customWidth="1"/>
    <col min="6" max="6" width="20" customWidth="1"/>
    <col min="7" max="7" width="18" customWidth="1"/>
    <col min="8" max="8" width="15" customWidth="1"/>
    <col min="9" max="10" width="13" customWidth="1"/>
    <col min="11" max="11" width="17" customWidth="1"/>
    <col min="12" max="12" width="14" customWidth="1"/>
    <col min="13" max="14" width="15" customWidth="1"/>
    <col min="15" max="15" width="26" customWidth="1"/>
    <col min="16" max="16" width="3" customWidth="1"/>
    <col min="17" max="22" width="12" customWidth="1"/>
  </cols>
  <sheetData>
    <row r="1" spans="1:22" ht="30" customHeight="1">
      <c r="A1" s="26" t="s">
        <v>112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8"/>
    </row>
    <row r="2" spans="1:22">
      <c r="A2" s="29" t="s">
        <v>113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1"/>
    </row>
    <row r="3" spans="1:22">
      <c r="A3" s="32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/>
    </row>
    <row r="4" spans="1:22" ht="14.4">
      <c r="A4" s="1" t="s">
        <v>2</v>
      </c>
      <c r="B4" s="2" t="s">
        <v>3</v>
      </c>
      <c r="C4" s="3" t="s">
        <v>4</v>
      </c>
      <c r="D4" s="4" t="s">
        <v>5</v>
      </c>
      <c r="E4" s="5" t="s">
        <v>6</v>
      </c>
      <c r="F4" s="6" t="s">
        <v>7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6" spans="1:22" ht="22.05" customHeight="1">
      <c r="A6" s="35" t="s">
        <v>114</v>
      </c>
      <c r="B6" s="36"/>
      <c r="C6" s="36"/>
      <c r="D6" s="36"/>
      <c r="E6" s="36"/>
      <c r="F6" s="37"/>
      <c r="H6" s="35" t="s">
        <v>115</v>
      </c>
      <c r="I6" s="36"/>
      <c r="J6" s="36"/>
      <c r="K6" s="36"/>
      <c r="L6" s="37"/>
    </row>
    <row r="7" spans="1:22" ht="24">
      <c r="A7" s="8" t="s">
        <v>116</v>
      </c>
      <c r="B7" s="8" t="s">
        <v>12</v>
      </c>
      <c r="D7" s="8" t="s">
        <v>117</v>
      </c>
      <c r="E7" s="8" t="s">
        <v>118</v>
      </c>
      <c r="H7" s="8" t="s">
        <v>119</v>
      </c>
      <c r="I7" s="8" t="s">
        <v>120</v>
      </c>
      <c r="J7" s="8" t="s">
        <v>121</v>
      </c>
      <c r="K7" s="8" t="s">
        <v>122</v>
      </c>
      <c r="L7" s="8" t="s">
        <v>61</v>
      </c>
    </row>
    <row r="8" spans="1:22" ht="22.8">
      <c r="A8" s="9" t="s">
        <v>123</v>
      </c>
      <c r="B8" s="10">
        <v>1</v>
      </c>
      <c r="D8" s="9" t="s">
        <v>124</v>
      </c>
      <c r="E8" s="18">
        <v>0.75</v>
      </c>
      <c r="H8" s="14">
        <f t="shared" ref="H8:H13" si="0">B8</f>
        <v>1</v>
      </c>
      <c r="I8" s="16">
        <f>COUNTIFS('Soporte SRY'!$A$4:$A$2163,"SRY-1-1",'Soporte SRY'!$Q$4:$Q$2163,"Satisfactorio")/$E$13</f>
        <v>0.98333333333333328</v>
      </c>
      <c r="J8" s="16">
        <f>COUNTIFS('Soporte SRY'!$A$4:$A$2163,"SRY-1-2",'Soporte SRY'!$Q$4:$Q$2163,"Satisfactorio")/$E$13</f>
        <v>0.64166666666666672</v>
      </c>
      <c r="K8" s="16">
        <f>COUNTIFS('Soporte SRY'!$A$4:$A$2163,"SRY-1-3",'Soporte SRY'!$Q$4:$Q$2163,"Satisfactorio")/$E$13</f>
        <v>0.55000000000000004</v>
      </c>
      <c r="L8" s="14" t="str">
        <f t="shared" ref="L8:L13" si="1">IF(K8&gt;=$E$12,"Cumple incluso con rendimiento alto",IF(J8&gt;=$E$12,"Cumple con rendimiento base",IF(I8&gt;=$E$12,"Cumple solo con rendimiento bajo","No cumple la meta")))</f>
        <v>Cumple solo con rendimiento bajo</v>
      </c>
    </row>
    <row r="9" spans="1:22" ht="22.8">
      <c r="A9" s="9" t="s">
        <v>125</v>
      </c>
      <c r="B9" s="10">
        <v>2</v>
      </c>
      <c r="D9" s="9" t="s">
        <v>126</v>
      </c>
      <c r="E9" s="18">
        <v>1</v>
      </c>
      <c r="H9" s="14">
        <f t="shared" si="0"/>
        <v>2</v>
      </c>
      <c r="I9" s="16">
        <f>COUNTIFS('Soporte SRY'!$A$4:$A$2163,"SRY-2-1",'Soporte SRY'!$Q$4:$Q$2163,"Satisfactorio")/$E$13</f>
        <v>1</v>
      </c>
      <c r="J9" s="16">
        <f>COUNTIFS('Soporte SRY'!$A$4:$A$2163,"SRY-2-2",'Soporte SRY'!$Q$4:$Q$2163,"Satisfactorio")/$E$13</f>
        <v>0.67500000000000004</v>
      </c>
      <c r="K9" s="16">
        <f>COUNTIFS('Soporte SRY'!$A$4:$A$2163,"SRY-2-3",'Soporte SRY'!$Q$4:$Q$2163,"Satisfactorio")/$E$13</f>
        <v>0.55000000000000004</v>
      </c>
      <c r="L9" s="14" t="str">
        <f t="shared" si="1"/>
        <v>Cumple solo con rendimiento bajo</v>
      </c>
    </row>
    <row r="10" spans="1:22" ht="22.8">
      <c r="A10" s="9" t="s">
        <v>127</v>
      </c>
      <c r="B10" s="10">
        <v>3</v>
      </c>
      <c r="D10" s="9" t="s">
        <v>128</v>
      </c>
      <c r="E10" s="18">
        <v>1.25</v>
      </c>
      <c r="H10" s="14">
        <f t="shared" si="0"/>
        <v>3</v>
      </c>
      <c r="I10" s="16">
        <f>COUNTIFS('Soporte SRY'!$A$4:$A$2163,"SRY-3-1",'Soporte SRY'!$Q$4:$Q$2163,"Satisfactorio")/$E$13</f>
        <v>1</v>
      </c>
      <c r="J10" s="16">
        <f>COUNTIFS('Soporte SRY'!$A$4:$A$2163,"SRY-3-2",'Soporte SRY'!$Q$4:$Q$2163,"Satisfactorio")/$E$13</f>
        <v>0.72499999999999998</v>
      </c>
      <c r="K10" s="16">
        <f>COUNTIFS('Soporte SRY'!$A$4:$A$2163,"SRY-3-3",'Soporte SRY'!$Q$4:$Q$2163,"Satisfactorio")/$E$13</f>
        <v>0.55000000000000004</v>
      </c>
      <c r="L10" s="14" t="str">
        <f t="shared" si="1"/>
        <v>Cumple solo con rendimiento bajo</v>
      </c>
    </row>
    <row r="11" spans="1:22" ht="22.8">
      <c r="A11" s="9" t="s">
        <v>129</v>
      </c>
      <c r="B11" s="10">
        <v>5</v>
      </c>
      <c r="D11" s="9" t="s">
        <v>130</v>
      </c>
      <c r="E11" s="10">
        <v>5</v>
      </c>
      <c r="H11" s="14">
        <f t="shared" si="0"/>
        <v>5</v>
      </c>
      <c r="I11" s="16">
        <f>COUNTIFS('Soporte SRY'!$A$4:$A$2163,"SRY-4-1",'Soporte SRY'!$Q$4:$Q$2163,"Satisfactorio")/$E$13</f>
        <v>1</v>
      </c>
      <c r="J11" s="16">
        <f>COUNTIFS('Soporte SRY'!$A$4:$A$2163,"SRY-4-2",'Soporte SRY'!$Q$4:$Q$2163,"Satisfactorio")/$E$13</f>
        <v>0.85</v>
      </c>
      <c r="K11" s="16">
        <f>COUNTIFS('Soporte SRY'!$A$4:$A$2163,"SRY-4-3",'Soporte SRY'!$Q$4:$Q$2163,"Satisfactorio")/$E$13</f>
        <v>0.58333333333333337</v>
      </c>
      <c r="L11" s="14" t="str">
        <f t="shared" si="1"/>
        <v>Cumple solo con rendimiento bajo</v>
      </c>
    </row>
    <row r="12" spans="1:22" ht="22.8">
      <c r="A12" s="9" t="s">
        <v>131</v>
      </c>
      <c r="B12" s="10">
        <v>10</v>
      </c>
      <c r="D12" s="9" t="s">
        <v>57</v>
      </c>
      <c r="E12" s="18">
        <v>0.9</v>
      </c>
      <c r="H12" s="14">
        <f t="shared" si="0"/>
        <v>10</v>
      </c>
      <c r="I12" s="16">
        <f>COUNTIFS('Soporte SRY'!$A$4:$A$2163,"SRY-5-1",'Soporte SRY'!$Q$4:$Q$2163,"Satisfactorio")/$E$13</f>
        <v>1</v>
      </c>
      <c r="J12" s="16">
        <f>COUNTIFS('Soporte SRY'!$A$4:$A$2163,"SRY-5-2",'Soporte SRY'!$Q$4:$Q$2163,"Satisfactorio")/$E$13</f>
        <v>0.97499999999999998</v>
      </c>
      <c r="K12" s="16">
        <f>COUNTIFS('Soporte SRY'!$A$4:$A$2163,"SRY-5-3",'Soporte SRY'!$Q$4:$Q$2163,"Satisfactorio")/$E$13</f>
        <v>0.72499999999999998</v>
      </c>
      <c r="L12" s="14" t="str">
        <f t="shared" si="1"/>
        <v>Cumple con rendimiento base</v>
      </c>
    </row>
    <row r="13" spans="1:22" ht="22.8">
      <c r="A13" s="9" t="s">
        <v>132</v>
      </c>
      <c r="B13" s="10">
        <v>15</v>
      </c>
      <c r="D13" s="9" t="s">
        <v>133</v>
      </c>
      <c r="E13" s="14">
        <v>120</v>
      </c>
      <c r="H13" s="14">
        <f t="shared" si="0"/>
        <v>15</v>
      </c>
      <c r="I13" s="16">
        <f>COUNTIFS('Soporte SRY'!$A$4:$A$2163,"SRY-6-1",'Soporte SRY'!$Q$4:$Q$2163,"Satisfactorio")/$E$13</f>
        <v>1</v>
      </c>
      <c r="J13" s="16">
        <f>COUNTIFS('Soporte SRY'!$A$4:$A$2163,"SRY-6-2",'Soporte SRY'!$Q$4:$Q$2163,"Satisfactorio")/$E$13</f>
        <v>0.98333333333333328</v>
      </c>
      <c r="K13" s="16">
        <f>COUNTIFS('Soporte SRY'!$A$4:$A$2163,"SRY-6-3",'Soporte SRY'!$Q$4:$Q$2163,"Satisfactorio")/$E$13</f>
        <v>0.84166666666666667</v>
      </c>
      <c r="L13" s="14" t="str">
        <f t="shared" si="1"/>
        <v>Cumple con rendimiento base</v>
      </c>
    </row>
    <row r="14" spans="1:22" ht="22.8">
      <c r="A14" s="9" t="s">
        <v>134</v>
      </c>
      <c r="B14" s="10" t="s">
        <v>39</v>
      </c>
    </row>
    <row r="16" spans="1:22">
      <c r="A16" s="38" t="s">
        <v>135</v>
      </c>
      <c r="B16" s="39"/>
      <c r="C16" s="39"/>
      <c r="D16" s="39"/>
      <c r="E16" s="39"/>
      <c r="F16" s="40"/>
    </row>
    <row r="17" spans="1:15">
      <c r="A17" s="41"/>
      <c r="B17" s="42"/>
      <c r="C17" s="42"/>
      <c r="D17" s="42"/>
      <c r="E17" s="42"/>
      <c r="F17" s="43"/>
    </row>
    <row r="18" spans="1:15">
      <c r="A18" s="44"/>
      <c r="B18" s="45"/>
      <c r="C18" s="45"/>
      <c r="D18" s="45"/>
      <c r="E18" s="45"/>
      <c r="F18" s="46"/>
    </row>
    <row r="21" spans="1:15" ht="22.05" customHeight="1">
      <c r="A21" s="35" t="s">
        <v>136</v>
      </c>
      <c r="B21" s="36"/>
      <c r="C21" s="36"/>
      <c r="D21" s="36"/>
      <c r="E21" s="36"/>
      <c r="F21" s="36"/>
      <c r="G21" s="36"/>
      <c r="H21" s="36"/>
      <c r="I21" s="37"/>
    </row>
    <row r="22" spans="1:15" ht="22.05" customHeight="1">
      <c r="A22" s="8" t="s">
        <v>137</v>
      </c>
      <c r="B22" s="8" t="s">
        <v>119</v>
      </c>
      <c r="C22" s="8" t="s">
        <v>138</v>
      </c>
      <c r="D22" s="8" t="s">
        <v>32</v>
      </c>
      <c r="E22" s="8" t="s">
        <v>139</v>
      </c>
      <c r="F22" s="8" t="s">
        <v>140</v>
      </c>
      <c r="G22" s="8" t="s">
        <v>141</v>
      </c>
      <c r="H22" s="8" t="s">
        <v>36</v>
      </c>
      <c r="I22" s="8" t="s">
        <v>142</v>
      </c>
      <c r="K22" s="35" t="s">
        <v>143</v>
      </c>
      <c r="L22" s="36"/>
      <c r="M22" s="36"/>
      <c r="N22" s="36"/>
      <c r="O22" s="37"/>
    </row>
    <row r="23" spans="1:15">
      <c r="A23" s="14" t="str">
        <f>"SRY-1-1"</f>
        <v>SRY-1-1</v>
      </c>
      <c r="B23" s="19">
        <f>$B$8</f>
        <v>1</v>
      </c>
      <c r="C23" s="16">
        <f>$E$8</f>
        <v>0.75</v>
      </c>
      <c r="D23" s="16">
        <f>COUNTIFS('Soporte SRY'!$A$4:$A$2163,A23,'Soporte SRY'!$Q$4:$Q$2163,"Satisfactorio")/$E$13</f>
        <v>0.98333333333333328</v>
      </c>
      <c r="E23" s="15">
        <f>SUMIF('Soporte SRY'!$A$4:$A$2163,A23,'Soporte SRY'!$P$4:$P$2163)</f>
        <v>0.7860049999999994</v>
      </c>
      <c r="F23" s="15">
        <f>IF(SUMIF('Soporte SRY'!$A$4:$A$2163,A23,'Soporte SRY'!$S$4:$S$2163)=0,0,E23/SUMIF('Soporte SRY'!$A$4:$A$2163,A23,'Soporte SRY'!$S$4:$S$2163))</f>
        <v>0.3930024999999997</v>
      </c>
      <c r="G23" s="15">
        <f>IF(SUMIF('Soporte SRY'!$A$4:$A$2163,A23,'Soporte SRY'!$S$4:$S$2163)=0,0,COUNTIFS('Soporte SRY'!$A$4:$A$2163,A23,'Soporte SRY'!$Q$4:$Q$2163,"Falla")/SUMIF('Soporte SRY'!$A$4:$A$2163,A23,'Soporte SRY'!$S$4:$S$2163))</f>
        <v>1</v>
      </c>
      <c r="H23" s="16">
        <f>IF(COUNTIFS('Soporte SRY'!$A$4:$A$2163,A23,'Soporte SRY'!$Q$4:$Q$2163,"Falla")=0,1,SUMIF('Soporte SRY'!$A$4:$A$2163,A23,'Soporte SRY'!$R$4:$R$2163)/COUNTIFS('Soporte SRY'!$A$4:$A$2163,A23,'Soporte SRY'!$Q$4:$Q$2163,"Falla"))</f>
        <v>1</v>
      </c>
      <c r="I23" s="15">
        <f>SUMIF('Soporte SRY'!$A$4:$A$2163,A23,'Soporte SRY'!$O$4:$O$2163)</f>
        <v>1131.266243863</v>
      </c>
      <c r="K23" s="8" t="s">
        <v>59</v>
      </c>
      <c r="L23" s="8" t="s">
        <v>32</v>
      </c>
      <c r="M23" s="8" t="s">
        <v>144</v>
      </c>
      <c r="N23" s="8" t="s">
        <v>142</v>
      </c>
      <c r="O23" s="8" t="s">
        <v>145</v>
      </c>
    </row>
    <row r="24" spans="1:15">
      <c r="A24" s="14" t="str">
        <f>"SRY-1-2"</f>
        <v>SRY-1-2</v>
      </c>
      <c r="B24" s="19">
        <f>$B$8</f>
        <v>1</v>
      </c>
      <c r="C24" s="16">
        <f>$E$9</f>
        <v>1</v>
      </c>
      <c r="D24" s="16">
        <f>COUNTIFS('Soporte SRY'!$A$4:$A$2163,A24,'Soporte SRY'!$Q$4:$Q$2163,"Satisfactorio")/$E$13</f>
        <v>0.64166666666666672</v>
      </c>
      <c r="E24" s="15">
        <f>SUMIF('Soporte SRY'!$A$4:$A$2163,A24,'Soporte SRY'!$P$4:$P$2163)</f>
        <v>99.332264749999936</v>
      </c>
      <c r="F24" s="15">
        <f>IF(SUMIF('Soporte SRY'!$A$4:$A$2163,A24,'Soporte SRY'!$S$4:$S$2163)=0,0,E24/SUMIF('Soporte SRY'!$A$4:$A$2163,A24,'Soporte SRY'!$S$4:$S$2163))</f>
        <v>4.9666132374999972</v>
      </c>
      <c r="G24" s="15">
        <f>IF(SUMIF('Soporte SRY'!$A$4:$A$2163,A24,'Soporte SRY'!$S$4:$S$2163)=0,0,COUNTIFS('Soporte SRY'!$A$4:$A$2163,A24,'Soporte SRY'!$Q$4:$Q$2163,"Falla")/SUMIF('Soporte SRY'!$A$4:$A$2163,A24,'Soporte SRY'!$S$4:$S$2163))</f>
        <v>2.15</v>
      </c>
      <c r="H24" s="16">
        <f>IF(COUNTIFS('Soporte SRY'!$A$4:$A$2163,A24,'Soporte SRY'!$Q$4:$Q$2163,"Falla")=0,1,SUMIF('Soporte SRY'!$A$4:$A$2163,A24,'Soporte SRY'!$R$4:$R$2163)/COUNTIFS('Soporte SRY'!$A$4:$A$2163,A24,'Soporte SRY'!$Q$4:$Q$2163,"Falla"))</f>
        <v>0.44186046511627908</v>
      </c>
      <c r="I24" s="15">
        <f>SUMIF('Soporte SRY'!$A$4:$A$2163,A24,'Soporte SRY'!$O$4:$O$2163)</f>
        <v>819.12266993800017</v>
      </c>
      <c r="K24" s="9" t="s">
        <v>146</v>
      </c>
      <c r="L24" s="16">
        <f>COUNTIFS('Soporte SRY'!$A$2164:$A$2643,"CFG-1",'Soporte SRY'!$Q$2164:$Q$2643,"Satisfactorio")/$E$13</f>
        <v>1</v>
      </c>
      <c r="M24" s="15">
        <f>SUMIF('Soporte SRY'!$A$2164:$A$2643,"CFG-1",'Soporte SRY'!$P$2164:$P$2643)</f>
        <v>0</v>
      </c>
      <c r="N24" s="15">
        <f>SUMIF('Soporte SRY'!$A$2164:$A$2643,"CFG-1",'Soporte SRY'!$O$2164:$O$2643)</f>
        <v>1394.3717158000009</v>
      </c>
      <c r="O24" s="14" t="str">
        <f>IF(L24&gt;=$E$12,"Cumple la meta","Requiere ajuste")</f>
        <v>Cumple la meta</v>
      </c>
    </row>
    <row r="25" spans="1:15">
      <c r="A25" s="14" t="str">
        <f>"SRY-1-3"</f>
        <v>SRY-1-3</v>
      </c>
      <c r="B25" s="19">
        <f>$B$8</f>
        <v>1</v>
      </c>
      <c r="C25" s="16">
        <f>$E$10</f>
        <v>1.25</v>
      </c>
      <c r="D25" s="16">
        <f>COUNTIFS('Soporte SRY'!$A$4:$A$2163,A25,'Soporte SRY'!$Q$4:$Q$2163,"Satisfactorio")/$E$13</f>
        <v>0.55000000000000004</v>
      </c>
      <c r="E25" s="15">
        <f>SUMIF('Soporte SRY'!$A$4:$A$2163,A25,'Soporte SRY'!$P$4:$P$2163)</f>
        <v>302.4675345</v>
      </c>
      <c r="F25" s="15">
        <f>IF(SUMIF('Soporte SRY'!$A$4:$A$2163,A25,'Soporte SRY'!$S$4:$S$2163)=0,0,E25/SUMIF('Soporte SRY'!$A$4:$A$2163,A25,'Soporte SRY'!$S$4:$S$2163))</f>
        <v>14.403215928571429</v>
      </c>
      <c r="G25" s="15">
        <f>IF(SUMIF('Soporte SRY'!$A$4:$A$2163,A25,'Soporte SRY'!$S$4:$S$2163)=0,0,COUNTIFS('Soporte SRY'!$A$4:$A$2163,A25,'Soporte SRY'!$Q$4:$Q$2163,"Falla")/SUMIF('Soporte SRY'!$A$4:$A$2163,A25,'Soporte SRY'!$S$4:$S$2163))</f>
        <v>2.5714285714285716</v>
      </c>
      <c r="H25" s="16">
        <f>IF(COUNTIFS('Soporte SRY'!$A$4:$A$2163,A25,'Soporte SRY'!$Q$4:$Q$2163,"Falla")=0,1,SUMIF('Soporte SRY'!$A$4:$A$2163,A25,'Soporte SRY'!$R$4:$R$2163)/COUNTIFS('Soporte SRY'!$A$4:$A$2163,A25,'Soporte SRY'!$Q$4:$Q$2163,"Falla"))</f>
        <v>0.37037037037037035</v>
      </c>
      <c r="I25" s="15">
        <f>SUMIF('Soporte SRY'!$A$4:$A$2163,A25,'Soporte SRY'!$O$4:$O$2163)</f>
        <v>609.9347565999999</v>
      </c>
      <c r="K25" s="9" t="s">
        <v>147</v>
      </c>
      <c r="L25" s="16">
        <f>COUNTIFS('Soporte SRY'!$A$2164:$A$2643,"CFG-2",'Soporte SRY'!$Q$2164:$Q$2643,"Satisfactorio")/$E$13</f>
        <v>0.9916666666666667</v>
      </c>
      <c r="M25" s="15">
        <f>SUMIF('Soporte SRY'!$A$2164:$A$2643,"CFG-2",'Soporte SRY'!$P$2164:$P$2643)</f>
        <v>1.1550399999999996</v>
      </c>
      <c r="N25" s="15">
        <f>SUMIF('Soporte SRY'!$A$2164:$A$2643,"CFG-2",'Soporte SRY'!$O$2164:$O$2643)</f>
        <v>707.20059673399976</v>
      </c>
      <c r="O25" s="14" t="str">
        <f>IF(L25&gt;=$E$12,"Cumple la meta","Requiere ajuste")</f>
        <v>Cumple la meta</v>
      </c>
    </row>
    <row r="26" spans="1:15">
      <c r="A26" s="14" t="str">
        <f>"SRY-2-1"</f>
        <v>SRY-2-1</v>
      </c>
      <c r="B26" s="19">
        <f>$B$9</f>
        <v>2</v>
      </c>
      <c r="C26" s="16">
        <f>$E$8</f>
        <v>0.75</v>
      </c>
      <c r="D26" s="16">
        <f>COUNTIFS('Soporte SRY'!$A$4:$A$2163,A26,'Soporte SRY'!$Q$4:$Q$2163,"Satisfactorio")/$E$13</f>
        <v>1</v>
      </c>
      <c r="E26" s="15">
        <f>SUMIF('Soporte SRY'!$A$4:$A$2163,A26,'Soporte SRY'!$P$4:$P$2163)</f>
        <v>0</v>
      </c>
      <c r="F26" s="15">
        <f>IF(SUMIF('Soporte SRY'!$A$4:$A$2163,A26,'Soporte SRY'!$S$4:$S$2163)=0,0,E26/SUMIF('Soporte SRY'!$A$4:$A$2163,A26,'Soporte SRY'!$S$4:$S$2163))</f>
        <v>0</v>
      </c>
      <c r="G26" s="15">
        <f>IF(SUMIF('Soporte SRY'!$A$4:$A$2163,A26,'Soporte SRY'!$S$4:$S$2163)=0,0,COUNTIFS('Soporte SRY'!$A$4:$A$2163,A26,'Soporte SRY'!$Q$4:$Q$2163,"Falla")/SUMIF('Soporte SRY'!$A$4:$A$2163,A26,'Soporte SRY'!$S$4:$S$2163))</f>
        <v>0</v>
      </c>
      <c r="H26" s="16">
        <f>IF(COUNTIFS('Soporte SRY'!$A$4:$A$2163,A26,'Soporte SRY'!$Q$4:$Q$2163,"Falla")=0,1,SUMIF('Soporte SRY'!$A$4:$A$2163,A26,'Soporte SRY'!$R$4:$R$2163)/COUNTIFS('Soporte SRY'!$A$4:$A$2163,A26,'Soporte SRY'!$Q$4:$Q$2163,"Falla"))</f>
        <v>1</v>
      </c>
      <c r="I26" s="15">
        <f>SUMIF('Soporte SRY'!$A$4:$A$2163,A26,'Soporte SRY'!$O$4:$O$2163)</f>
        <v>1127.153438261</v>
      </c>
      <c r="K26" s="9" t="s">
        <v>148</v>
      </c>
      <c r="L26" s="16">
        <f>COUNTIFS('Soporte SRY'!$A$2164:$A$2643,"CFG-3",'Soporte SRY'!$Q$2164:$Q$2643,"Satisfactorio")/$E$13</f>
        <v>1</v>
      </c>
      <c r="M26" s="15">
        <f>SUMIF('Soporte SRY'!$A$2164:$A$2643,"CFG-3",'Soporte SRY'!$P$2164:$P$2643)</f>
        <v>0</v>
      </c>
      <c r="N26" s="15">
        <f>SUMIF('Soporte SRY'!$A$2164:$A$2643,"CFG-3",'Soporte SRY'!$O$2164:$O$2643)</f>
        <v>1154.4117158000001</v>
      </c>
      <c r="O26" s="14" t="str">
        <f>IF(L26&gt;=$E$12,"Cumple la meta","Requiere ajuste")</f>
        <v>Cumple la meta</v>
      </c>
    </row>
    <row r="27" spans="1:15">
      <c r="A27" s="14" t="str">
        <f>"SRY-2-2"</f>
        <v>SRY-2-2</v>
      </c>
      <c r="B27" s="19">
        <f>$B$9</f>
        <v>2</v>
      </c>
      <c r="C27" s="16">
        <f>$E$9</f>
        <v>1</v>
      </c>
      <c r="D27" s="16">
        <f>COUNTIFS('Soporte SRY'!$A$4:$A$2163,A27,'Soporte SRY'!$Q$4:$Q$2163,"Satisfactorio")/$E$13</f>
        <v>0.67500000000000004</v>
      </c>
      <c r="E27" s="15">
        <f>SUMIF('Soporte SRY'!$A$4:$A$2163,A27,'Soporte SRY'!$P$4:$P$2163)</f>
        <v>80.823127299999982</v>
      </c>
      <c r="F27" s="15">
        <f>IF(SUMIF('Soporte SRY'!$A$4:$A$2163,A27,'Soporte SRY'!$S$4:$S$2163)=0,0,E27/SUMIF('Soporte SRY'!$A$4:$A$2163,A27,'Soporte SRY'!$S$4:$S$2163))</f>
        <v>4.0411563649999991</v>
      </c>
      <c r="G27" s="15">
        <f>IF(SUMIF('Soporte SRY'!$A$4:$A$2163,A27,'Soporte SRY'!$S$4:$S$2163)=0,0,COUNTIFS('Soporte SRY'!$A$4:$A$2163,A27,'Soporte SRY'!$Q$4:$Q$2163,"Falla")/SUMIF('Soporte SRY'!$A$4:$A$2163,A27,'Soporte SRY'!$S$4:$S$2163))</f>
        <v>1.95</v>
      </c>
      <c r="H27" s="16">
        <f>IF(COUNTIFS('Soporte SRY'!$A$4:$A$2163,A27,'Soporte SRY'!$Q$4:$Q$2163,"Falla")=0,1,SUMIF('Soporte SRY'!$A$4:$A$2163,A27,'Soporte SRY'!$R$4:$R$2163)/COUNTIFS('Soporte SRY'!$A$4:$A$2163,A27,'Soporte SRY'!$Q$4:$Q$2163,"Falla"))</f>
        <v>0.48717948717948717</v>
      </c>
      <c r="I27" s="15">
        <f>SUMIF('Soporte SRY'!$A$4:$A$2163,A27,'Soporte SRY'!$O$4:$O$2163)</f>
        <v>799.0438619380003</v>
      </c>
      <c r="K27" s="9" t="s">
        <v>39</v>
      </c>
      <c r="L27" s="16">
        <f>COUNTIFS('Soporte SRY'!$A$2164:$A$2643,"CFG-4",'Soporte SRY'!$Q$2164:$Q$2643,"Satisfactorio")/$E$13</f>
        <v>0.85</v>
      </c>
      <c r="M27" s="15">
        <f>SUMIF('Soporte SRY'!$A$2164:$A$2643,"CFG-4",'Soporte SRY'!$P$2164:$P$2643)</f>
        <v>35.255768344000003</v>
      </c>
      <c r="N27" s="15">
        <f>SUMIF('Soporte SRY'!$A$2164:$A$2643,"CFG-4",'Soporte SRY'!$O$2164:$O$2643)</f>
        <v>745.86762692882007</v>
      </c>
      <c r="O27" s="14" t="str">
        <f>IF(L27&gt;=$E$12,"Cumple la meta","Requiere ajuste")</f>
        <v>Requiere ajuste</v>
      </c>
    </row>
    <row r="28" spans="1:15">
      <c r="A28" s="14" t="str">
        <f>"SRY-2-3"</f>
        <v>SRY-2-3</v>
      </c>
      <c r="B28" s="19">
        <f>$B$9</f>
        <v>2</v>
      </c>
      <c r="C28" s="16">
        <f>$E$10</f>
        <v>1.25</v>
      </c>
      <c r="D28" s="16">
        <f>COUNTIFS('Soporte SRY'!$A$4:$A$2163,A28,'Soporte SRY'!$Q$4:$Q$2163,"Satisfactorio")/$E$13</f>
        <v>0.55000000000000004</v>
      </c>
      <c r="E28" s="15">
        <f>SUMIF('Soporte SRY'!$A$4:$A$2163,A28,'Soporte SRY'!$P$4:$P$2163)</f>
        <v>282.90673449999997</v>
      </c>
      <c r="F28" s="15">
        <f>IF(SUMIF('Soporte SRY'!$A$4:$A$2163,A28,'Soporte SRY'!$S$4:$S$2163)=0,0,E28/SUMIF('Soporte SRY'!$A$4:$A$2163,A28,'Soporte SRY'!$S$4:$S$2163))</f>
        <v>13.47174926190476</v>
      </c>
      <c r="G28" s="15">
        <f>IF(SUMIF('Soporte SRY'!$A$4:$A$2163,A28,'Soporte SRY'!$S$4:$S$2163)=0,0,COUNTIFS('Soporte SRY'!$A$4:$A$2163,A28,'Soporte SRY'!$Q$4:$Q$2163,"Falla")/SUMIF('Soporte SRY'!$A$4:$A$2163,A28,'Soporte SRY'!$S$4:$S$2163))</f>
        <v>2.5714285714285716</v>
      </c>
      <c r="H28" s="16">
        <f>IF(COUNTIFS('Soporte SRY'!$A$4:$A$2163,A28,'Soporte SRY'!$Q$4:$Q$2163,"Falla")=0,1,SUMIF('Soporte SRY'!$A$4:$A$2163,A28,'Soporte SRY'!$R$4:$R$2163)/COUNTIFS('Soporte SRY'!$A$4:$A$2163,A28,'Soporte SRY'!$Q$4:$Q$2163,"Falla"))</f>
        <v>0.37037037037037035</v>
      </c>
      <c r="I28" s="15">
        <f>SUMIF('Soporte SRY'!$A$4:$A$2163,A28,'Soporte SRY'!$O$4:$O$2163)</f>
        <v>589.10915405000014</v>
      </c>
    </row>
    <row r="29" spans="1:15">
      <c r="A29" s="14" t="str">
        <f>"SRY-3-1"</f>
        <v>SRY-3-1</v>
      </c>
      <c r="B29" s="19">
        <f>$B$10</f>
        <v>3</v>
      </c>
      <c r="C29" s="16">
        <f>$E$8</f>
        <v>0.75</v>
      </c>
      <c r="D29" s="16">
        <f>COUNTIFS('Soporte SRY'!$A$4:$A$2163,A29,'Soporte SRY'!$Q$4:$Q$2163,"Satisfactorio")/$E$13</f>
        <v>1</v>
      </c>
      <c r="E29" s="15">
        <f>SUMIF('Soporte SRY'!$A$4:$A$2163,A29,'Soporte SRY'!$P$4:$P$2163)</f>
        <v>0</v>
      </c>
      <c r="F29" s="15">
        <f>IF(SUMIF('Soporte SRY'!$A$4:$A$2163,A29,'Soporte SRY'!$S$4:$S$2163)=0,0,E29/SUMIF('Soporte SRY'!$A$4:$A$2163,A29,'Soporte SRY'!$S$4:$S$2163))</f>
        <v>0</v>
      </c>
      <c r="G29" s="15">
        <f>IF(SUMIF('Soporte SRY'!$A$4:$A$2163,A29,'Soporte SRY'!$S$4:$S$2163)=0,0,COUNTIFS('Soporte SRY'!$A$4:$A$2163,A29,'Soporte SRY'!$Q$4:$Q$2163,"Falla")/SUMIF('Soporte SRY'!$A$4:$A$2163,A29,'Soporte SRY'!$S$4:$S$2163))</f>
        <v>0</v>
      </c>
      <c r="H29" s="16">
        <f>IF(COUNTIFS('Soporte SRY'!$A$4:$A$2163,A29,'Soporte SRY'!$Q$4:$Q$2163,"Falla")=0,1,SUMIF('Soporte SRY'!$A$4:$A$2163,A29,'Soporte SRY'!$R$4:$R$2163)/COUNTIFS('Soporte SRY'!$A$4:$A$2163,A29,'Soporte SRY'!$Q$4:$Q$2163,"Falla"))</f>
        <v>1</v>
      </c>
      <c r="I29" s="15">
        <f>SUMIF('Soporte SRY'!$A$4:$A$2163,A29,'Soporte SRY'!$O$4:$O$2163)</f>
        <v>1123.800984795</v>
      </c>
    </row>
    <row r="30" spans="1:15">
      <c r="A30" s="14" t="str">
        <f>"SRY-3-2"</f>
        <v>SRY-3-2</v>
      </c>
      <c r="B30" s="19">
        <f>$B$10</f>
        <v>3</v>
      </c>
      <c r="C30" s="16">
        <f>$E$9</f>
        <v>1</v>
      </c>
      <c r="D30" s="16">
        <f>COUNTIFS('Soporte SRY'!$A$4:$A$2163,A30,'Soporte SRY'!$Q$4:$Q$2163,"Satisfactorio")/$E$13</f>
        <v>0.72499999999999998</v>
      </c>
      <c r="E30" s="15">
        <f>SUMIF('Soporte SRY'!$A$4:$A$2163,A30,'Soporte SRY'!$P$4:$P$2163)</f>
        <v>63.554430999999994</v>
      </c>
      <c r="F30" s="15">
        <f>IF(SUMIF('Soporte SRY'!$A$4:$A$2163,A30,'Soporte SRY'!$S$4:$S$2163)=0,0,E30/SUMIF('Soporte SRY'!$A$4:$A$2163,A30,'Soporte SRY'!$S$4:$S$2163))</f>
        <v>3.5308017222222219</v>
      </c>
      <c r="G30" s="15">
        <f>IF(SUMIF('Soporte SRY'!$A$4:$A$2163,A30,'Soporte SRY'!$S$4:$S$2163)=0,0,COUNTIFS('Soporte SRY'!$A$4:$A$2163,A30,'Soporte SRY'!$Q$4:$Q$2163,"Falla")/SUMIF('Soporte SRY'!$A$4:$A$2163,A30,'Soporte SRY'!$S$4:$S$2163))</f>
        <v>1.8333333333333333</v>
      </c>
      <c r="H30" s="16">
        <f>IF(COUNTIFS('Soporte SRY'!$A$4:$A$2163,A30,'Soporte SRY'!$Q$4:$Q$2163,"Falla")=0,1,SUMIF('Soporte SRY'!$A$4:$A$2163,A30,'Soporte SRY'!$R$4:$R$2163)/COUNTIFS('Soporte SRY'!$A$4:$A$2163,A30,'Soporte SRY'!$Q$4:$Q$2163,"Falla"))</f>
        <v>0.54545454545454541</v>
      </c>
      <c r="I30" s="15">
        <f>SUMIF('Soporte SRY'!$A$4:$A$2163,A30,'Soporte SRY'!$O$4:$O$2163)</f>
        <v>779.71217438400004</v>
      </c>
    </row>
    <row r="31" spans="1:15">
      <c r="A31" s="14" t="str">
        <f>"SRY-3-3"</f>
        <v>SRY-3-3</v>
      </c>
      <c r="B31" s="19">
        <f>$B$10</f>
        <v>3</v>
      </c>
      <c r="C31" s="16">
        <f>$E$10</f>
        <v>1.25</v>
      </c>
      <c r="D31" s="16">
        <f>COUNTIFS('Soporte SRY'!$A$4:$A$2163,A31,'Soporte SRY'!$Q$4:$Q$2163,"Satisfactorio")/$E$13</f>
        <v>0.55000000000000004</v>
      </c>
      <c r="E31" s="15">
        <f>SUMIF('Soporte SRY'!$A$4:$A$2163,A31,'Soporte SRY'!$P$4:$P$2163)</f>
        <v>263.3459345</v>
      </c>
      <c r="F31" s="15">
        <f>IF(SUMIF('Soporte SRY'!$A$4:$A$2163,A31,'Soporte SRY'!$S$4:$S$2163)=0,0,E31/SUMIF('Soporte SRY'!$A$4:$A$2163,A31,'Soporte SRY'!$S$4:$S$2163))</f>
        <v>12.540282595238095</v>
      </c>
      <c r="G31" s="15">
        <f>IF(SUMIF('Soporte SRY'!$A$4:$A$2163,A31,'Soporte SRY'!$S$4:$S$2163)=0,0,COUNTIFS('Soporte SRY'!$A$4:$A$2163,A31,'Soporte SRY'!$Q$4:$Q$2163,"Falla")/SUMIF('Soporte SRY'!$A$4:$A$2163,A31,'Soporte SRY'!$S$4:$S$2163))</f>
        <v>2.5714285714285716</v>
      </c>
      <c r="H31" s="16">
        <f>IF(COUNTIFS('Soporte SRY'!$A$4:$A$2163,A31,'Soporte SRY'!$Q$4:$Q$2163,"Falla")=0,1,SUMIF('Soporte SRY'!$A$4:$A$2163,A31,'Soporte SRY'!$R$4:$R$2163)/COUNTIFS('Soporte SRY'!$A$4:$A$2163,A31,'Soporte SRY'!$Q$4:$Q$2163,"Falla"))</f>
        <v>0.37037037037037035</v>
      </c>
      <c r="I31" s="15">
        <f>SUMIF('Soporte SRY'!$A$4:$A$2163,A31,'Soporte SRY'!$O$4:$O$2163)</f>
        <v>568.34233285000005</v>
      </c>
    </row>
    <row r="32" spans="1:15">
      <c r="A32" s="14" t="str">
        <f>"SRY-4-1"</f>
        <v>SRY-4-1</v>
      </c>
      <c r="B32" s="19">
        <f>$B$11</f>
        <v>5</v>
      </c>
      <c r="C32" s="16">
        <f>$E$8</f>
        <v>0.75</v>
      </c>
      <c r="D32" s="16">
        <f>COUNTIFS('Soporte SRY'!$A$4:$A$2163,A32,'Soporte SRY'!$Q$4:$Q$2163,"Satisfactorio")/$E$13</f>
        <v>1</v>
      </c>
      <c r="E32" s="15">
        <f>SUMIF('Soporte SRY'!$A$4:$A$2163,A32,'Soporte SRY'!$P$4:$P$2163)</f>
        <v>0</v>
      </c>
      <c r="F32" s="15">
        <f>IF(SUMIF('Soporte SRY'!$A$4:$A$2163,A32,'Soporte SRY'!$S$4:$S$2163)=0,0,E32/SUMIF('Soporte SRY'!$A$4:$A$2163,A32,'Soporte SRY'!$S$4:$S$2163))</f>
        <v>0</v>
      </c>
      <c r="G32" s="15">
        <f>IF(SUMIF('Soporte SRY'!$A$4:$A$2163,A32,'Soporte SRY'!$S$4:$S$2163)=0,0,COUNTIFS('Soporte SRY'!$A$4:$A$2163,A32,'Soporte SRY'!$Q$4:$Q$2163,"Falla")/SUMIF('Soporte SRY'!$A$4:$A$2163,A32,'Soporte SRY'!$S$4:$S$2163))</f>
        <v>0</v>
      </c>
      <c r="H32" s="16">
        <f>IF(COUNTIFS('Soporte SRY'!$A$4:$A$2163,A32,'Soporte SRY'!$Q$4:$Q$2163,"Falla")=0,1,SUMIF('Soporte SRY'!$A$4:$A$2163,A32,'Soporte SRY'!$R$4:$R$2163)/COUNTIFS('Soporte SRY'!$A$4:$A$2163,A32,'Soporte SRY'!$Q$4:$Q$2163,"Falla"))</f>
        <v>1</v>
      </c>
      <c r="I32" s="15">
        <f>SUMIF('Soporte SRY'!$A$4:$A$2163,A32,'Soporte SRY'!$O$4:$O$2163)</f>
        <v>1117.132920795</v>
      </c>
    </row>
    <row r="33" spans="1:22">
      <c r="A33" s="14" t="str">
        <f>"SRY-4-2"</f>
        <v>SRY-4-2</v>
      </c>
      <c r="B33" s="19">
        <f>$B$11</f>
        <v>5</v>
      </c>
      <c r="C33" s="16">
        <f>$E$9</f>
        <v>1</v>
      </c>
      <c r="D33" s="16">
        <f>COUNTIFS('Soporte SRY'!$A$4:$A$2163,A33,'Soporte SRY'!$Q$4:$Q$2163,"Satisfactorio")/$E$13</f>
        <v>0.85</v>
      </c>
      <c r="E33" s="15">
        <f>SUMIF('Soporte SRY'!$A$4:$A$2163,A33,'Soporte SRY'!$P$4:$P$2163)</f>
        <v>35.255768344000003</v>
      </c>
      <c r="F33" s="15">
        <f>IF(SUMIF('Soporte SRY'!$A$4:$A$2163,A33,'Soporte SRY'!$S$4:$S$2163)=0,0,E33/SUMIF('Soporte SRY'!$A$4:$A$2163,A33,'Soporte SRY'!$S$4:$S$2163))</f>
        <v>2.7119821803076927</v>
      </c>
      <c r="G33" s="15">
        <f>IF(SUMIF('Soporte SRY'!$A$4:$A$2163,A33,'Soporte SRY'!$S$4:$S$2163)=0,0,COUNTIFS('Soporte SRY'!$A$4:$A$2163,A33,'Soporte SRY'!$Q$4:$Q$2163,"Falla")/SUMIF('Soporte SRY'!$A$4:$A$2163,A33,'Soporte SRY'!$S$4:$S$2163))</f>
        <v>1.3846153846153846</v>
      </c>
      <c r="H33" s="16">
        <f>IF(COUNTIFS('Soporte SRY'!$A$4:$A$2163,A33,'Soporte SRY'!$Q$4:$Q$2163,"Falla")=0,1,SUMIF('Soporte SRY'!$A$4:$A$2163,A33,'Soporte SRY'!$R$4:$R$2163)/COUNTIFS('Soporte SRY'!$A$4:$A$2163,A33,'Soporte SRY'!$Q$4:$Q$2163,"Falla"))</f>
        <v>0.72222222222222221</v>
      </c>
      <c r="I33" s="15">
        <f>SUMIF('Soporte SRY'!$A$4:$A$2163,A33,'Soporte SRY'!$O$4:$O$2163)</f>
        <v>745.86762692882007</v>
      </c>
    </row>
    <row r="34" spans="1:22">
      <c r="A34" s="14" t="str">
        <f>"SRY-4-3"</f>
        <v>SRY-4-3</v>
      </c>
      <c r="B34" s="19">
        <f>$B$11</f>
        <v>5</v>
      </c>
      <c r="C34" s="16">
        <f>$E$10</f>
        <v>1.25</v>
      </c>
      <c r="D34" s="16">
        <f>COUNTIFS('Soporte SRY'!$A$4:$A$2163,A34,'Soporte SRY'!$Q$4:$Q$2163,"Satisfactorio")/$E$13</f>
        <v>0.58333333333333337</v>
      </c>
      <c r="E34" s="15">
        <f>SUMIF('Soporte SRY'!$A$4:$A$2163,A34,'Soporte SRY'!$P$4:$P$2163)</f>
        <v>224.28932510000004</v>
      </c>
      <c r="F34" s="15">
        <f>IF(SUMIF('Soporte SRY'!$A$4:$A$2163,A34,'Soporte SRY'!$S$4:$S$2163)=0,0,E34/SUMIF('Soporte SRY'!$A$4:$A$2163,A34,'Soporte SRY'!$S$4:$S$2163))</f>
        <v>10.680444052380954</v>
      </c>
      <c r="G34" s="15">
        <f>IF(SUMIF('Soporte SRY'!$A$4:$A$2163,A34,'Soporte SRY'!$S$4:$S$2163)=0,0,COUNTIFS('Soporte SRY'!$A$4:$A$2163,A34,'Soporte SRY'!$Q$4:$Q$2163,"Falla")/SUMIF('Soporte SRY'!$A$4:$A$2163,A34,'Soporte SRY'!$S$4:$S$2163))</f>
        <v>2.3809523809523809</v>
      </c>
      <c r="H34" s="16">
        <f>IF(COUNTIFS('Soporte SRY'!$A$4:$A$2163,A34,'Soporte SRY'!$Q$4:$Q$2163,"Falla")=0,1,SUMIF('Soporte SRY'!$A$4:$A$2163,A34,'Soporte SRY'!$R$4:$R$2163)/COUNTIFS('Soporte SRY'!$A$4:$A$2163,A34,'Soporte SRY'!$Q$4:$Q$2163,"Falla"))</f>
        <v>0.4</v>
      </c>
      <c r="I34" s="15">
        <f>SUMIF('Soporte SRY'!$A$4:$A$2163,A34,'Soporte SRY'!$O$4:$O$2163)</f>
        <v>526.82233284999995</v>
      </c>
    </row>
    <row r="35" spans="1:22">
      <c r="A35" s="14" t="str">
        <f>"SRY-5-1"</f>
        <v>SRY-5-1</v>
      </c>
      <c r="B35" s="19">
        <f>$B$12</f>
        <v>10</v>
      </c>
      <c r="C35" s="16">
        <f>$E$8</f>
        <v>0.75</v>
      </c>
      <c r="D35" s="16">
        <f>COUNTIFS('Soporte SRY'!$A$4:$A$2163,A35,'Soporte SRY'!$Q$4:$Q$2163,"Satisfactorio")/$E$13</f>
        <v>1</v>
      </c>
      <c r="E35" s="15">
        <f>SUMIF('Soporte SRY'!$A$4:$A$2163,A35,'Soporte SRY'!$P$4:$P$2163)</f>
        <v>0</v>
      </c>
      <c r="F35" s="15">
        <f>IF(SUMIF('Soporte SRY'!$A$4:$A$2163,A35,'Soporte SRY'!$S$4:$S$2163)=0,0,E35/SUMIF('Soporte SRY'!$A$4:$A$2163,A35,'Soporte SRY'!$S$4:$S$2163))</f>
        <v>0</v>
      </c>
      <c r="G35" s="15">
        <f>IF(SUMIF('Soporte SRY'!$A$4:$A$2163,A35,'Soporte SRY'!$S$4:$S$2163)=0,0,COUNTIFS('Soporte SRY'!$A$4:$A$2163,A35,'Soporte SRY'!$Q$4:$Q$2163,"Falla")/SUMIF('Soporte SRY'!$A$4:$A$2163,A35,'Soporte SRY'!$S$4:$S$2163))</f>
        <v>0</v>
      </c>
      <c r="H35" s="16">
        <f>IF(COUNTIFS('Soporte SRY'!$A$4:$A$2163,A35,'Soporte SRY'!$Q$4:$Q$2163,"Falla")=0,1,SUMIF('Soporte SRY'!$A$4:$A$2163,A35,'Soporte SRY'!$R$4:$R$2163)/COUNTIFS('Soporte SRY'!$A$4:$A$2163,A35,'Soporte SRY'!$Q$4:$Q$2163,"Falla"))</f>
        <v>1</v>
      </c>
      <c r="I35" s="15">
        <f>SUMIF('Soporte SRY'!$A$4:$A$2163,A35,'Soporte SRY'!$O$4:$O$2163)</f>
        <v>1100.4627607949997</v>
      </c>
    </row>
    <row r="36" spans="1:22">
      <c r="A36" s="14" t="str">
        <f>"SRY-5-2"</f>
        <v>SRY-5-2</v>
      </c>
      <c r="B36" s="19">
        <f>$B$12</f>
        <v>10</v>
      </c>
      <c r="C36" s="16">
        <f>$E$9</f>
        <v>1</v>
      </c>
      <c r="D36" s="16">
        <f>COUNTIFS('Soporte SRY'!$A$4:$A$2163,A36,'Soporte SRY'!$Q$4:$Q$2163,"Satisfactorio")/$E$13</f>
        <v>0.97499999999999998</v>
      </c>
      <c r="E36" s="15">
        <f>SUMIF('Soporte SRY'!$A$4:$A$2163,A36,'Soporte SRY'!$P$4:$P$2163)</f>
        <v>5.2875715629999984</v>
      </c>
      <c r="F36" s="15">
        <f>IF(SUMIF('Soporte SRY'!$A$4:$A$2163,A36,'Soporte SRY'!$S$4:$S$2163)=0,0,E36/SUMIF('Soporte SRY'!$A$4:$A$2163,A36,'Soporte SRY'!$S$4:$S$2163))</f>
        <v>2.6437857814999992</v>
      </c>
      <c r="G36" s="15">
        <f>IF(SUMIF('Soporte SRY'!$A$4:$A$2163,A36,'Soporte SRY'!$S$4:$S$2163)=0,0,COUNTIFS('Soporte SRY'!$A$4:$A$2163,A36,'Soporte SRY'!$Q$4:$Q$2163,"Falla")/SUMIF('Soporte SRY'!$A$4:$A$2163,A36,'Soporte SRY'!$S$4:$S$2163))</f>
        <v>1.5</v>
      </c>
      <c r="H36" s="16">
        <f>IF(COUNTIFS('Soporte SRY'!$A$4:$A$2163,A36,'Soporte SRY'!$Q$4:$Q$2163,"Falla")=0,1,SUMIF('Soporte SRY'!$A$4:$A$2163,A36,'Soporte SRY'!$R$4:$R$2163)/COUNTIFS('Soporte SRY'!$A$4:$A$2163,A36,'Soporte SRY'!$Q$4:$Q$2163,"Falla"))</f>
        <v>0.66666666666666663</v>
      </c>
      <c r="I36" s="15">
        <f>SUMIF('Soporte SRY'!$A$4:$A$2163,A36,'Soporte SRY'!$O$4:$O$2163)</f>
        <v>700.68151104319236</v>
      </c>
    </row>
    <row r="37" spans="1:22">
      <c r="A37" s="14" t="str">
        <f>"SRY-5-3"</f>
        <v>SRY-5-3</v>
      </c>
      <c r="B37" s="19">
        <f>$B$12</f>
        <v>10</v>
      </c>
      <c r="C37" s="16">
        <f>$E$10</f>
        <v>1.25</v>
      </c>
      <c r="D37" s="16">
        <f>COUNTIFS('Soporte SRY'!$A$4:$A$2163,A37,'Soporte SRY'!$Q$4:$Q$2163,"Satisfactorio")/$E$13</f>
        <v>0.72499999999999998</v>
      </c>
      <c r="E37" s="15">
        <f>SUMIF('Soporte SRY'!$A$4:$A$2163,A37,'Soporte SRY'!$P$4:$P$2163)</f>
        <v>132.02848585999996</v>
      </c>
      <c r="F37" s="15">
        <f>IF(SUMIF('Soporte SRY'!$A$4:$A$2163,A37,'Soporte SRY'!$S$4:$S$2163)=0,0,E37/SUMIF('Soporte SRY'!$A$4:$A$2163,A37,'Soporte SRY'!$S$4:$S$2163))</f>
        <v>6.9488676768421032</v>
      </c>
      <c r="G37" s="15">
        <f>IF(SUMIF('Soporte SRY'!$A$4:$A$2163,A37,'Soporte SRY'!$S$4:$S$2163)=0,0,COUNTIFS('Soporte SRY'!$A$4:$A$2163,A37,'Soporte SRY'!$Q$4:$Q$2163,"Falla")/SUMIF('Soporte SRY'!$A$4:$A$2163,A37,'Soporte SRY'!$S$4:$S$2163))</f>
        <v>1.736842105263158</v>
      </c>
      <c r="H37" s="16">
        <f>IF(COUNTIFS('Soporte SRY'!$A$4:$A$2163,A37,'Soporte SRY'!$Q$4:$Q$2163,"Falla")=0,1,SUMIF('Soporte SRY'!$A$4:$A$2163,A37,'Soporte SRY'!$R$4:$R$2163)/COUNTIFS('Soporte SRY'!$A$4:$A$2163,A37,'Soporte SRY'!$Q$4:$Q$2163,"Falla"))</f>
        <v>0.5757575757575758</v>
      </c>
      <c r="I37" s="15">
        <f>SUMIF('Soporte SRY'!$A$4:$A$2163,A37,'Soporte SRY'!$O$4:$O$2163)</f>
        <v>424.34380153799998</v>
      </c>
    </row>
    <row r="38" spans="1:22">
      <c r="A38" s="14" t="str">
        <f>"SRY-6-1"</f>
        <v>SRY-6-1</v>
      </c>
      <c r="B38" s="19">
        <f>$B$13</f>
        <v>15</v>
      </c>
      <c r="C38" s="16">
        <f>$E$8</f>
        <v>0.75</v>
      </c>
      <c r="D38" s="16">
        <f>COUNTIFS('Soporte SRY'!$A$4:$A$2163,A38,'Soporte SRY'!$Q$4:$Q$2163,"Satisfactorio")/$E$13</f>
        <v>1</v>
      </c>
      <c r="E38" s="15">
        <f>SUMIF('Soporte SRY'!$A$4:$A$2163,A38,'Soporte SRY'!$P$4:$P$2163)</f>
        <v>0</v>
      </c>
      <c r="F38" s="15">
        <f>IF(SUMIF('Soporte SRY'!$A$4:$A$2163,A38,'Soporte SRY'!$S$4:$S$2163)=0,0,E38/SUMIF('Soporte SRY'!$A$4:$A$2163,A38,'Soporte SRY'!$S$4:$S$2163))</f>
        <v>0</v>
      </c>
      <c r="G38" s="15">
        <f>IF(SUMIF('Soporte SRY'!$A$4:$A$2163,A38,'Soporte SRY'!$S$4:$S$2163)=0,0,COUNTIFS('Soporte SRY'!$A$4:$A$2163,A38,'Soporte SRY'!$Q$4:$Q$2163,"Falla")/SUMIF('Soporte SRY'!$A$4:$A$2163,A38,'Soporte SRY'!$S$4:$S$2163))</f>
        <v>0</v>
      </c>
      <c r="H38" s="16">
        <f>IF(COUNTIFS('Soporte SRY'!$A$4:$A$2163,A38,'Soporte SRY'!$Q$4:$Q$2163,"Falla")=0,1,SUMIF('Soporte SRY'!$A$4:$A$2163,A38,'Soporte SRY'!$R$4:$R$2163)/COUNTIFS('Soporte SRY'!$A$4:$A$2163,A38,'Soporte SRY'!$Q$4:$Q$2163,"Falla"))</f>
        <v>1</v>
      </c>
      <c r="I38" s="15">
        <f>SUMIF('Soporte SRY'!$A$4:$A$2163,A38,'Soporte SRY'!$O$4:$O$2163)</f>
        <v>1083.8625103693203</v>
      </c>
    </row>
    <row r="39" spans="1:22">
      <c r="A39" s="14" t="str">
        <f>"SRY-6-2"</f>
        <v>SRY-6-2</v>
      </c>
      <c r="B39" s="19">
        <f>$B$13</f>
        <v>15</v>
      </c>
      <c r="C39" s="16">
        <f>$E$9</f>
        <v>1</v>
      </c>
      <c r="D39" s="16">
        <f>COUNTIFS('Soporte SRY'!$A$4:$A$2163,A39,'Soporte SRY'!$Q$4:$Q$2163,"Satisfactorio")/$E$13</f>
        <v>0.98333333333333328</v>
      </c>
      <c r="E39" s="15">
        <f>SUMIF('Soporte SRY'!$A$4:$A$2163,A39,'Soporte SRY'!$P$4:$P$2163)</f>
        <v>5.0670275</v>
      </c>
      <c r="F39" s="15">
        <f>IF(SUMIF('Soporte SRY'!$A$4:$A$2163,A39,'Soporte SRY'!$S$4:$S$2163)=0,0,E39/SUMIF('Soporte SRY'!$A$4:$A$2163,A39,'Soporte SRY'!$S$4:$S$2163))</f>
        <v>5.0670275</v>
      </c>
      <c r="G39" s="15">
        <f>IF(SUMIF('Soporte SRY'!$A$4:$A$2163,A39,'Soporte SRY'!$S$4:$S$2163)=0,0,COUNTIFS('Soporte SRY'!$A$4:$A$2163,A39,'Soporte SRY'!$Q$4:$Q$2163,"Falla")/SUMIF('Soporte SRY'!$A$4:$A$2163,A39,'Soporte SRY'!$S$4:$S$2163))</f>
        <v>2</v>
      </c>
      <c r="H39" s="16">
        <f>IF(COUNTIFS('Soporte SRY'!$A$4:$A$2163,A39,'Soporte SRY'!$Q$4:$Q$2163,"Falla")=0,1,SUMIF('Soporte SRY'!$A$4:$A$2163,A39,'Soporte SRY'!$R$4:$R$2163)/COUNTIFS('Soporte SRY'!$A$4:$A$2163,A39,'Soporte SRY'!$Q$4:$Q$2163,"Falla"))</f>
        <v>0.5</v>
      </c>
      <c r="I39" s="15">
        <f>SUMIF('Soporte SRY'!$A$4:$A$2163,A39,'Soporte SRY'!$O$4:$O$2163)</f>
        <v>684.18172569598721</v>
      </c>
    </row>
    <row r="40" spans="1:22">
      <c r="A40" s="14" t="str">
        <f>"SRY-6-3"</f>
        <v>SRY-6-3</v>
      </c>
      <c r="B40" s="19">
        <f>$B$13</f>
        <v>15</v>
      </c>
      <c r="C40" s="16">
        <f>$E$10</f>
        <v>1.25</v>
      </c>
      <c r="D40" s="16">
        <f>COUNTIFS('Soporte SRY'!$A$4:$A$2163,A40,'Soporte SRY'!$Q$4:$Q$2163,"Satisfactorio")/$E$13</f>
        <v>0.84166666666666667</v>
      </c>
      <c r="E40" s="15">
        <f>SUMIF('Soporte SRY'!$A$4:$A$2163,A40,'Soporte SRY'!$P$4:$P$2163)</f>
        <v>58.898985332000017</v>
      </c>
      <c r="F40" s="15">
        <f>IF(SUMIF('Soporte SRY'!$A$4:$A$2163,A40,'Soporte SRY'!$S$4:$S$2163)=0,0,E40/SUMIF('Soporte SRY'!$A$4:$A$2163,A40,'Soporte SRY'!$S$4:$S$2163))</f>
        <v>4.5306911793846165</v>
      </c>
      <c r="G40" s="15">
        <f>IF(SUMIF('Soporte SRY'!$A$4:$A$2163,A40,'Soporte SRY'!$S$4:$S$2163)=0,0,COUNTIFS('Soporte SRY'!$A$4:$A$2163,A40,'Soporte SRY'!$Q$4:$Q$2163,"Falla")/SUMIF('Soporte SRY'!$A$4:$A$2163,A40,'Soporte SRY'!$S$4:$S$2163))</f>
        <v>1.4615384615384615</v>
      </c>
      <c r="H40" s="16">
        <f>IF(COUNTIFS('Soporte SRY'!$A$4:$A$2163,A40,'Soporte SRY'!$Q$4:$Q$2163,"Falla")=0,1,SUMIF('Soporte SRY'!$A$4:$A$2163,A40,'Soporte SRY'!$R$4:$R$2163)/COUNTIFS('Soporte SRY'!$A$4:$A$2163,A40,'Soporte SRY'!$Q$4:$Q$2163,"Falla"))</f>
        <v>0.68421052631578949</v>
      </c>
      <c r="I40" s="15">
        <f>SUMIF('Soporte SRY'!$A$4:$A$2163,A40,'Soporte SRY'!$O$4:$O$2163)</f>
        <v>338.64463432314693</v>
      </c>
    </row>
    <row r="45" spans="1:22">
      <c r="K45" s="38" t="s">
        <v>149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40"/>
    </row>
    <row r="46" spans="1:22">
      <c r="K46" s="41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3"/>
    </row>
    <row r="47" spans="1:22">
      <c r="K47" s="41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3"/>
    </row>
    <row r="48" spans="1:22">
      <c r="K48" s="41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3"/>
    </row>
    <row r="49" spans="11:22">
      <c r="K49" s="44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6"/>
    </row>
  </sheetData>
  <mergeCells count="8">
    <mergeCell ref="A21:I21"/>
    <mergeCell ref="K22:O22"/>
    <mergeCell ref="K45:V49"/>
    <mergeCell ref="A1:V1"/>
    <mergeCell ref="A2:V3"/>
    <mergeCell ref="A6:F6"/>
    <mergeCell ref="A16:F18"/>
    <mergeCell ref="H6:L6"/>
  </mergeCells>
  <conditionalFormatting sqref="L8:L13">
    <cfRule type="containsText" dxfId="11" priority="1" operator="containsText" text="OK"/>
    <cfRule type="containsText" dxfId="10" priority="3" operator="containsText" text="REVISAR"/>
    <cfRule type="containsText" dxfId="9" priority="4" operator="containsText" text="FALTANTE"/>
    <cfRule type="containsText" dxfId="8" priority="5" operator="containsText" text="NEGATIVO"/>
    <cfRule type="containsText" dxfId="7" priority="6" operator="containsText" text="DUPLICADO"/>
  </conditionalFormatting>
  <conditionalFormatting sqref="O24:O27">
    <cfRule type="containsText" dxfId="6" priority="7" operator="containsText" text="OK"/>
    <cfRule type="containsText" dxfId="5" priority="9" operator="containsText" text="REVISAR"/>
    <cfRule type="containsText" dxfId="4" priority="10" operator="containsText" text="FALTANTE"/>
    <cfRule type="containsText" dxfId="3" priority="11" operator="containsText" text="NEGATIVO"/>
    <cfRule type="containsText" dxfId="2" priority="12" operator="containsText" text="DUPLICADO"/>
  </conditionalFormatting>
  <dataValidations count="1">
    <dataValidation type="list" sqref="B14" xr:uid="{00000000-0002-0000-0100-000000000000}">
      <formula1>"Uso único,Uso múltiple,Uso prioritario,Uso variable"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43"/>
  <sheetViews>
    <sheetView showGridLines="0" workbookViewId="0">
      <selection sqref="A1:S1"/>
    </sheetView>
  </sheetViews>
  <sheetFormatPr baseColWidth="10" defaultColWidth="8.796875" defaultRowHeight="13.8"/>
  <cols>
    <col min="1" max="1" width="15" customWidth="1"/>
    <col min="2" max="3" width="13" customWidth="1"/>
    <col min="4" max="4" width="16" customWidth="1"/>
    <col min="5" max="5" width="10" customWidth="1"/>
    <col min="6" max="7" width="13" customWidth="1"/>
    <col min="8" max="9" width="14" customWidth="1"/>
    <col min="10" max="10" width="13" customWidth="1"/>
    <col min="11" max="11" width="11" customWidth="1"/>
    <col min="12" max="14" width="13" customWidth="1"/>
    <col min="15" max="16" width="11" customWidth="1"/>
    <col min="17" max="17" width="14" customWidth="1"/>
    <col min="18" max="18" width="13" customWidth="1"/>
    <col min="19" max="19" width="12" customWidth="1"/>
  </cols>
  <sheetData>
    <row r="1" spans="1:19" ht="30" customHeight="1">
      <c r="A1" s="26" t="s">
        <v>150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8"/>
    </row>
    <row r="2" spans="1:19" ht="24" customHeight="1">
      <c r="A2" s="49" t="s">
        <v>151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19" ht="30" customHeight="1">
      <c r="A3" s="20" t="s">
        <v>152</v>
      </c>
      <c r="B3" s="20" t="s">
        <v>119</v>
      </c>
      <c r="C3" s="20" t="s">
        <v>138</v>
      </c>
      <c r="D3" s="20" t="s">
        <v>59</v>
      </c>
      <c r="E3" s="20" t="s">
        <v>153</v>
      </c>
      <c r="F3" s="20" t="s">
        <v>76</v>
      </c>
      <c r="G3" s="20" t="s">
        <v>96</v>
      </c>
      <c r="H3" s="20" t="s">
        <v>154</v>
      </c>
      <c r="I3" s="20" t="s">
        <v>155</v>
      </c>
      <c r="J3" s="20" t="s">
        <v>88</v>
      </c>
      <c r="K3" s="20" t="s">
        <v>89</v>
      </c>
      <c r="L3" s="20" t="s">
        <v>156</v>
      </c>
      <c r="M3" s="20" t="s">
        <v>31</v>
      </c>
      <c r="N3" s="20" t="s">
        <v>92</v>
      </c>
      <c r="O3" s="20" t="s">
        <v>50</v>
      </c>
      <c r="P3" s="20" t="s">
        <v>93</v>
      </c>
      <c r="Q3" s="20" t="s">
        <v>21</v>
      </c>
      <c r="R3" s="20" t="s">
        <v>157</v>
      </c>
      <c r="S3" s="20" t="s">
        <v>95</v>
      </c>
    </row>
    <row r="4" spans="1:19">
      <c r="A4" s="14" t="str">
        <f t="shared" ref="A4:A35" si="0">"SRY-1-1"</f>
        <v>SRY-1-1</v>
      </c>
      <c r="B4" s="15">
        <f>'Curvas SRY'!$B$8</f>
        <v>1</v>
      </c>
      <c r="C4" s="15">
        <f>'Curvas SRY'!$E$8</f>
        <v>0.75</v>
      </c>
      <c r="D4" s="14" t="str">
        <f>'Curvas SRY'!$B$14</f>
        <v>Uso variable</v>
      </c>
      <c r="E4" s="14">
        <f>1</f>
        <v>1</v>
      </c>
      <c r="F4" s="21">
        <f>'Hoja 4 - Cálculo'!A25</f>
        <v>29587</v>
      </c>
      <c r="G4" s="15">
        <f>'Hoja 4 - Cálculo'!H25</f>
        <v>12.852</v>
      </c>
      <c r="H4" s="15">
        <f>IF(D4="Uso único",'Hoja 4 - Cálculo'!I25,IF(D4="Uso múltiple",AVERAGE('Hoja 4 - Cálculo'!$I$25:$I$384)+AVERAGE('Hoja 4 - Cálculo'!$J$25:$J$384)+AVERAGE('Hoja 4 - Cálculo'!$K$25:$K$384),IF(D4="Uso prioritario",'Hoja 4 - Cálculo'!I25+'Hoja 4 - Cálculo'!K25,'Hoja 4 - Cálculo'!I25+'Hoja 4 - Cálculo'!J25+'Hoja 4 - Cálculo'!K25)))</f>
        <v>16</v>
      </c>
      <c r="I4" s="15">
        <f t="shared" ref="I4:I67" si="1">H4*C4</f>
        <v>12</v>
      </c>
      <c r="J4" s="15">
        <f>0</f>
        <v>0</v>
      </c>
      <c r="K4" s="15">
        <f>MIN(J4+G4,(J4+G4)*'Hoja 4 - Cálculo'!$B$15)</f>
        <v>0.25703999999999999</v>
      </c>
      <c r="L4" s="15">
        <f t="shared" ref="L4:L67" si="2">MAX(0,J4+G4-K4)</f>
        <v>12.59496</v>
      </c>
      <c r="M4" s="15">
        <f t="shared" ref="M4:M67" si="3">MIN(I4,L4)</f>
        <v>12</v>
      </c>
      <c r="N4" s="15">
        <f t="shared" ref="N4:N67" si="4">MIN(B4,MAX(0,L4-M4))</f>
        <v>0.59496000000000038</v>
      </c>
      <c r="O4" s="15">
        <f t="shared" ref="O4:O67" si="5">MAX(0,L4-M4-B4)</f>
        <v>0</v>
      </c>
      <c r="P4" s="15">
        <f t="shared" ref="P4:P67" si="6">MAX(0,I4-M4)</f>
        <v>0</v>
      </c>
      <c r="Q4" s="14" t="str">
        <f>IF(M4&gt;=I4*'Hoja 4 - Cálculo'!$B$16,"Satisfactorio","Falla")</f>
        <v>Satisfactorio</v>
      </c>
      <c r="R4" s="14">
        <f>0</f>
        <v>0</v>
      </c>
      <c r="S4" s="14">
        <f>IF(Q4="Falla",1,0)</f>
        <v>0</v>
      </c>
    </row>
    <row r="5" spans="1:19">
      <c r="A5" s="14" t="str">
        <f t="shared" si="0"/>
        <v>SRY-1-1</v>
      </c>
      <c r="B5" s="15">
        <f>'Curvas SRY'!$B$8</f>
        <v>1</v>
      </c>
      <c r="C5" s="15">
        <f>'Curvas SRY'!$E$8</f>
        <v>0.75</v>
      </c>
      <c r="D5" s="14" t="str">
        <f>'Curvas SRY'!$B$14</f>
        <v>Uso variable</v>
      </c>
      <c r="E5" s="14">
        <f>2</f>
        <v>2</v>
      </c>
      <c r="F5" s="21">
        <f>'Hoja 4 - Cálculo'!A26</f>
        <v>29618</v>
      </c>
      <c r="G5" s="15">
        <f>'Hoja 4 - Cálculo'!H26</f>
        <v>14.630625</v>
      </c>
      <c r="H5" s="15">
        <f>IF(D5="Uso único",'Hoja 4 - Cálculo'!I26,IF(D5="Uso múltiple",AVERAGE('Hoja 4 - Cálculo'!$I$25:$I$384)+AVERAGE('Hoja 4 - Cálculo'!$J$25:$J$384)+AVERAGE('Hoja 4 - Cálculo'!$K$25:$K$384),IF(D5="Uso prioritario",'Hoja 4 - Cálculo'!I26+'Hoja 4 - Cálculo'!K26,'Hoja 4 - Cálculo'!I26+'Hoja 4 - Cálculo'!J26+'Hoja 4 - Cálculo'!K26)))</f>
        <v>16</v>
      </c>
      <c r="I5" s="15">
        <f t="shared" si="1"/>
        <v>12</v>
      </c>
      <c r="J5" s="15">
        <f t="shared" ref="J5:J36" si="7">N4</f>
        <v>0.59496000000000038</v>
      </c>
      <c r="K5" s="15">
        <f>MIN(J5+G5,(J5+G5)*'Hoja 4 - Cálculo'!$B$15)</f>
        <v>0.3045117</v>
      </c>
      <c r="L5" s="15">
        <f t="shared" si="2"/>
        <v>14.9210733</v>
      </c>
      <c r="M5" s="15">
        <f t="shared" si="3"/>
        <v>12</v>
      </c>
      <c r="N5" s="15">
        <f t="shared" si="4"/>
        <v>1</v>
      </c>
      <c r="O5" s="15">
        <f t="shared" si="5"/>
        <v>1.9210732999999998</v>
      </c>
      <c r="P5" s="15">
        <f t="shared" si="6"/>
        <v>0</v>
      </c>
      <c r="Q5" s="14" t="str">
        <f>IF(M5&gt;=I5*'Hoja 4 - Cálculo'!$B$16,"Satisfactorio","Falla")</f>
        <v>Satisfactorio</v>
      </c>
      <c r="R5" s="14">
        <f t="shared" ref="R5:R36" si="8">IF(AND(Q4="Falla",Q5="Satisfactorio"),1,0)</f>
        <v>0</v>
      </c>
      <c r="S5" s="14">
        <f t="shared" ref="S5:S36" si="9">IF(AND(Q5="Falla",Q4&lt;&gt;"Falla"),1,0)</f>
        <v>0</v>
      </c>
    </row>
    <row r="6" spans="1:19">
      <c r="A6" s="14" t="str">
        <f t="shared" si="0"/>
        <v>SRY-1-1</v>
      </c>
      <c r="B6" s="15">
        <f>'Curvas SRY'!$B$8</f>
        <v>1</v>
      </c>
      <c r="C6" s="15">
        <f>'Curvas SRY'!$E$8</f>
        <v>0.75</v>
      </c>
      <c r="D6" s="14" t="str">
        <f>'Curvas SRY'!$B$14</f>
        <v>Uso variable</v>
      </c>
      <c r="E6" s="14">
        <f>3</f>
        <v>3</v>
      </c>
      <c r="F6" s="21">
        <f>'Hoja 4 - Cálculo'!A27</f>
        <v>29646</v>
      </c>
      <c r="G6" s="15">
        <f>'Hoja 4 - Cálculo'!H27</f>
        <v>21.114000000000001</v>
      </c>
      <c r="H6" s="15">
        <f>IF(D6="Uso único",'Hoja 4 - Cálculo'!I27,IF(D6="Uso múltiple",AVERAGE('Hoja 4 - Cálculo'!$I$25:$I$384)+AVERAGE('Hoja 4 - Cálculo'!$J$25:$J$384)+AVERAGE('Hoja 4 - Cálculo'!$K$25:$K$384),IF(D6="Uso prioritario",'Hoja 4 - Cálculo'!I27+'Hoja 4 - Cálculo'!K27,'Hoja 4 - Cálculo'!I27+'Hoja 4 - Cálculo'!J27+'Hoja 4 - Cálculo'!K27)))</f>
        <v>16</v>
      </c>
      <c r="I6" s="15">
        <f t="shared" si="1"/>
        <v>12</v>
      </c>
      <c r="J6" s="15">
        <f t="shared" si="7"/>
        <v>1</v>
      </c>
      <c r="K6" s="15">
        <f>MIN(J6+G6,(J6+G6)*'Hoja 4 - Cálculo'!$B$15)</f>
        <v>0.44228000000000001</v>
      </c>
      <c r="L6" s="15">
        <f t="shared" si="2"/>
        <v>21.671720000000001</v>
      </c>
      <c r="M6" s="15">
        <f t="shared" si="3"/>
        <v>12</v>
      </c>
      <c r="N6" s="15">
        <f t="shared" si="4"/>
        <v>1</v>
      </c>
      <c r="O6" s="15">
        <f t="shared" si="5"/>
        <v>8.6717200000000005</v>
      </c>
      <c r="P6" s="15">
        <f t="shared" si="6"/>
        <v>0</v>
      </c>
      <c r="Q6" s="14" t="str">
        <f>IF(M6&gt;=I6*'Hoja 4 - Cálculo'!$B$16,"Satisfactorio","Falla")</f>
        <v>Satisfactorio</v>
      </c>
      <c r="R6" s="14">
        <f t="shared" si="8"/>
        <v>0</v>
      </c>
      <c r="S6" s="14">
        <f t="shared" si="9"/>
        <v>0</v>
      </c>
    </row>
    <row r="7" spans="1:19">
      <c r="A7" s="14" t="str">
        <f t="shared" si="0"/>
        <v>SRY-1-1</v>
      </c>
      <c r="B7" s="15">
        <f>'Curvas SRY'!$B$8</f>
        <v>1</v>
      </c>
      <c r="C7" s="15">
        <f>'Curvas SRY'!$E$8</f>
        <v>0.75</v>
      </c>
      <c r="D7" s="14" t="str">
        <f>'Curvas SRY'!$B$14</f>
        <v>Uso variable</v>
      </c>
      <c r="E7" s="14">
        <f>4</f>
        <v>4</v>
      </c>
      <c r="F7" s="21">
        <f>'Hoja 4 - Cálculo'!A28</f>
        <v>29677</v>
      </c>
      <c r="G7" s="15">
        <f>'Hoja 4 - Cálculo'!H28</f>
        <v>29.280374999999999</v>
      </c>
      <c r="H7" s="15">
        <f>IF(D7="Uso único",'Hoja 4 - Cálculo'!I28,IF(D7="Uso múltiple",AVERAGE('Hoja 4 - Cálculo'!$I$25:$I$384)+AVERAGE('Hoja 4 - Cálculo'!$J$25:$J$384)+AVERAGE('Hoja 4 - Cálculo'!$K$25:$K$384),IF(D7="Uso prioritario",'Hoja 4 - Cálculo'!I28+'Hoja 4 - Cálculo'!K28,'Hoja 4 - Cálculo'!I28+'Hoja 4 - Cálculo'!J28+'Hoja 4 - Cálculo'!K28)))</f>
        <v>11.5</v>
      </c>
      <c r="I7" s="15">
        <f t="shared" si="1"/>
        <v>8.625</v>
      </c>
      <c r="J7" s="15">
        <f t="shared" si="7"/>
        <v>1</v>
      </c>
      <c r="K7" s="15">
        <f>MIN(J7+G7,(J7+G7)*'Hoja 4 - Cálculo'!$B$15)</f>
        <v>0.60560749999999997</v>
      </c>
      <c r="L7" s="15">
        <f t="shared" si="2"/>
        <v>29.674767499999998</v>
      </c>
      <c r="M7" s="15">
        <f t="shared" si="3"/>
        <v>8.625</v>
      </c>
      <c r="N7" s="15">
        <f t="shared" si="4"/>
        <v>1</v>
      </c>
      <c r="O7" s="15">
        <f t="shared" si="5"/>
        <v>20.049767499999998</v>
      </c>
      <c r="P7" s="15">
        <f t="shared" si="6"/>
        <v>0</v>
      </c>
      <c r="Q7" s="14" t="str">
        <f>IF(M7&gt;=I7*'Hoja 4 - Cálculo'!$B$16,"Satisfactorio","Falla")</f>
        <v>Satisfactorio</v>
      </c>
      <c r="R7" s="14">
        <f t="shared" si="8"/>
        <v>0</v>
      </c>
      <c r="S7" s="14">
        <f t="shared" si="9"/>
        <v>0</v>
      </c>
    </row>
    <row r="8" spans="1:19">
      <c r="A8" s="14" t="str">
        <f t="shared" si="0"/>
        <v>SRY-1-1</v>
      </c>
      <c r="B8" s="15">
        <f>'Curvas SRY'!$B$8</f>
        <v>1</v>
      </c>
      <c r="C8" s="15">
        <f>'Curvas SRY'!$E$8</f>
        <v>0.75</v>
      </c>
      <c r="D8" s="14" t="str">
        <f>'Curvas SRY'!$B$14</f>
        <v>Uso variable</v>
      </c>
      <c r="E8" s="14">
        <f>5</f>
        <v>5</v>
      </c>
      <c r="F8" s="21">
        <f>'Hoja 4 - Cálculo'!A29</f>
        <v>29707</v>
      </c>
      <c r="G8" s="15">
        <f>'Hoja 4 - Cálculo'!H29</f>
        <v>26.048249999999999</v>
      </c>
      <c r="H8" s="15">
        <f>IF(D8="Uso único",'Hoja 4 - Cálculo'!I29,IF(D8="Uso múltiple",AVERAGE('Hoja 4 - Cálculo'!$I$25:$I$384)+AVERAGE('Hoja 4 - Cálculo'!$J$25:$J$384)+AVERAGE('Hoja 4 - Cálculo'!$K$25:$K$384),IF(D8="Uso prioritario",'Hoja 4 - Cálculo'!I29+'Hoja 4 - Cálculo'!K29,'Hoja 4 - Cálculo'!I29+'Hoja 4 - Cálculo'!J29+'Hoja 4 - Cálculo'!K29)))</f>
        <v>11.5</v>
      </c>
      <c r="I8" s="15">
        <f t="shared" si="1"/>
        <v>8.625</v>
      </c>
      <c r="J8" s="15">
        <f t="shared" si="7"/>
        <v>1</v>
      </c>
      <c r="K8" s="15">
        <f>MIN(J8+G8,(J8+G8)*'Hoja 4 - Cálculo'!$B$15)</f>
        <v>0.54096500000000003</v>
      </c>
      <c r="L8" s="15">
        <f t="shared" si="2"/>
        <v>26.507285</v>
      </c>
      <c r="M8" s="15">
        <f t="shared" si="3"/>
        <v>8.625</v>
      </c>
      <c r="N8" s="15">
        <f t="shared" si="4"/>
        <v>1</v>
      </c>
      <c r="O8" s="15">
        <f t="shared" si="5"/>
        <v>16.882285</v>
      </c>
      <c r="P8" s="15">
        <f t="shared" si="6"/>
        <v>0</v>
      </c>
      <c r="Q8" s="14" t="str">
        <f>IF(M8&gt;=I8*'Hoja 4 - Cálculo'!$B$16,"Satisfactorio","Falla")</f>
        <v>Satisfactorio</v>
      </c>
      <c r="R8" s="14">
        <f t="shared" si="8"/>
        <v>0</v>
      </c>
      <c r="S8" s="14">
        <f t="shared" si="9"/>
        <v>0</v>
      </c>
    </row>
    <row r="9" spans="1:19">
      <c r="A9" s="14" t="str">
        <f t="shared" si="0"/>
        <v>SRY-1-1</v>
      </c>
      <c r="B9" s="15">
        <f>'Curvas SRY'!$B$8</f>
        <v>1</v>
      </c>
      <c r="C9" s="15">
        <f>'Curvas SRY'!$E$8</f>
        <v>0.75</v>
      </c>
      <c r="D9" s="14" t="str">
        <f>'Curvas SRY'!$B$14</f>
        <v>Uso variable</v>
      </c>
      <c r="E9" s="14">
        <f>6</f>
        <v>6</v>
      </c>
      <c r="F9" s="21">
        <f>'Hoja 4 - Cálculo'!A30</f>
        <v>29738</v>
      </c>
      <c r="G9" s="15">
        <f>'Hoja 4 - Cálculo'!H30</f>
        <v>15.625125000000001</v>
      </c>
      <c r="H9" s="15">
        <f>IF(D9="Uso único",'Hoja 4 - Cálculo'!I30,IF(D9="Uso múltiple",AVERAGE('Hoja 4 - Cálculo'!$I$25:$I$384)+AVERAGE('Hoja 4 - Cálculo'!$J$25:$J$384)+AVERAGE('Hoja 4 - Cálculo'!$K$25:$K$384),IF(D9="Uso prioritario",'Hoja 4 - Cálculo'!I30+'Hoja 4 - Cálculo'!K30,'Hoja 4 - Cálculo'!I30+'Hoja 4 - Cálculo'!J30+'Hoja 4 - Cálculo'!K30)))</f>
        <v>11.5</v>
      </c>
      <c r="I9" s="15">
        <f t="shared" si="1"/>
        <v>8.625</v>
      </c>
      <c r="J9" s="15">
        <f t="shared" si="7"/>
        <v>1</v>
      </c>
      <c r="K9" s="15">
        <f>MIN(J9+G9,(J9+G9)*'Hoja 4 - Cálculo'!$B$15)</f>
        <v>0.33250250000000003</v>
      </c>
      <c r="L9" s="15">
        <f t="shared" si="2"/>
        <v>16.2926225</v>
      </c>
      <c r="M9" s="15">
        <f t="shared" si="3"/>
        <v>8.625</v>
      </c>
      <c r="N9" s="15">
        <f t="shared" si="4"/>
        <v>1</v>
      </c>
      <c r="O9" s="15">
        <f t="shared" si="5"/>
        <v>6.6676225000000002</v>
      </c>
      <c r="P9" s="15">
        <f t="shared" si="6"/>
        <v>0</v>
      </c>
      <c r="Q9" s="14" t="str">
        <f>IF(M9&gt;=I9*'Hoja 4 - Cálculo'!$B$16,"Satisfactorio","Falla")</f>
        <v>Satisfactorio</v>
      </c>
      <c r="R9" s="14">
        <f t="shared" si="8"/>
        <v>0</v>
      </c>
      <c r="S9" s="14">
        <f t="shared" si="9"/>
        <v>0</v>
      </c>
    </row>
    <row r="10" spans="1:19">
      <c r="A10" s="14" t="str">
        <f t="shared" si="0"/>
        <v>SRY-1-1</v>
      </c>
      <c r="B10" s="15">
        <f>'Curvas SRY'!$B$8</f>
        <v>1</v>
      </c>
      <c r="C10" s="15">
        <f>'Curvas SRY'!$E$8</f>
        <v>0.75</v>
      </c>
      <c r="D10" s="14" t="str">
        <f>'Curvas SRY'!$B$14</f>
        <v>Uso variable</v>
      </c>
      <c r="E10" s="14">
        <f>7</f>
        <v>7</v>
      </c>
      <c r="F10" s="21">
        <f>'Hoja 4 - Cálculo'!A31</f>
        <v>29768</v>
      </c>
      <c r="G10" s="15">
        <f>'Hoja 4 - Cálculo'!H31</f>
        <v>12.794625</v>
      </c>
      <c r="H10" s="15">
        <f>IF(D10="Uso único",'Hoja 4 - Cálculo'!I31,IF(D10="Uso múltiple",AVERAGE('Hoja 4 - Cálculo'!$I$25:$I$384)+AVERAGE('Hoja 4 - Cálculo'!$J$25:$J$384)+AVERAGE('Hoja 4 - Cálculo'!$K$25:$K$384),IF(D10="Uso prioritario",'Hoja 4 - Cálculo'!I31+'Hoja 4 - Cálculo'!K31,'Hoja 4 - Cálculo'!I31+'Hoja 4 - Cálculo'!J31+'Hoja 4 - Cálculo'!K31)))</f>
        <v>16</v>
      </c>
      <c r="I10" s="15">
        <f t="shared" si="1"/>
        <v>12</v>
      </c>
      <c r="J10" s="15">
        <f t="shared" si="7"/>
        <v>1</v>
      </c>
      <c r="K10" s="15">
        <f>MIN(J10+G10,(J10+G10)*'Hoja 4 - Cálculo'!$B$15)</f>
        <v>0.27589249999999998</v>
      </c>
      <c r="L10" s="15">
        <f t="shared" si="2"/>
        <v>13.5187325</v>
      </c>
      <c r="M10" s="15">
        <f t="shared" si="3"/>
        <v>12</v>
      </c>
      <c r="N10" s="15">
        <f t="shared" si="4"/>
        <v>1</v>
      </c>
      <c r="O10" s="15">
        <f t="shared" si="5"/>
        <v>0.51873250000000048</v>
      </c>
      <c r="P10" s="15">
        <f t="shared" si="6"/>
        <v>0</v>
      </c>
      <c r="Q10" s="14" t="str">
        <f>IF(M10&gt;=I10*'Hoja 4 - Cálculo'!$B$16,"Satisfactorio","Falla")</f>
        <v>Satisfactorio</v>
      </c>
      <c r="R10" s="14">
        <f t="shared" si="8"/>
        <v>0</v>
      </c>
      <c r="S10" s="14">
        <f t="shared" si="9"/>
        <v>0</v>
      </c>
    </row>
    <row r="11" spans="1:19">
      <c r="A11" s="14" t="str">
        <f t="shared" si="0"/>
        <v>SRY-1-1</v>
      </c>
      <c r="B11" s="15">
        <f>'Curvas SRY'!$B$8</f>
        <v>1</v>
      </c>
      <c r="C11" s="15">
        <f>'Curvas SRY'!$E$8</f>
        <v>0.75</v>
      </c>
      <c r="D11" s="14" t="str">
        <f>'Curvas SRY'!$B$14</f>
        <v>Uso variable</v>
      </c>
      <c r="E11" s="14">
        <f>8</f>
        <v>8</v>
      </c>
      <c r="F11" s="21">
        <f>'Hoja 4 - Cálculo'!A32</f>
        <v>29799</v>
      </c>
      <c r="G11" s="15">
        <f>'Hoja 4 - Cálculo'!H32</f>
        <v>13.712624999999999</v>
      </c>
      <c r="H11" s="15">
        <f>IF(D11="Uso único",'Hoja 4 - Cálculo'!I32,IF(D11="Uso múltiple",AVERAGE('Hoja 4 - Cálculo'!$I$25:$I$384)+AVERAGE('Hoja 4 - Cálculo'!$J$25:$J$384)+AVERAGE('Hoja 4 - Cálculo'!$K$25:$K$384),IF(D11="Uso prioritario",'Hoja 4 - Cálculo'!I32+'Hoja 4 - Cálculo'!K32,'Hoja 4 - Cálculo'!I32+'Hoja 4 - Cálculo'!J32+'Hoja 4 - Cálculo'!K32)))</f>
        <v>16</v>
      </c>
      <c r="I11" s="15">
        <f t="shared" si="1"/>
        <v>12</v>
      </c>
      <c r="J11" s="15">
        <f t="shared" si="7"/>
        <v>1</v>
      </c>
      <c r="K11" s="15">
        <f>MIN(J11+G11,(J11+G11)*'Hoja 4 - Cálculo'!$B$15)</f>
        <v>0.29425249999999997</v>
      </c>
      <c r="L11" s="15">
        <f t="shared" si="2"/>
        <v>14.418372499999998</v>
      </c>
      <c r="M11" s="15">
        <f t="shared" si="3"/>
        <v>12</v>
      </c>
      <c r="N11" s="15">
        <f t="shared" si="4"/>
        <v>1</v>
      </c>
      <c r="O11" s="15">
        <f t="shared" si="5"/>
        <v>1.4183724999999985</v>
      </c>
      <c r="P11" s="15">
        <f t="shared" si="6"/>
        <v>0</v>
      </c>
      <c r="Q11" s="14" t="str">
        <f>IF(M11&gt;=I11*'Hoja 4 - Cálculo'!$B$16,"Satisfactorio","Falla")</f>
        <v>Satisfactorio</v>
      </c>
      <c r="R11" s="14">
        <f t="shared" si="8"/>
        <v>0</v>
      </c>
      <c r="S11" s="14">
        <f t="shared" si="9"/>
        <v>0</v>
      </c>
    </row>
    <row r="12" spans="1:19">
      <c r="A12" s="14" t="str">
        <f t="shared" si="0"/>
        <v>SRY-1-1</v>
      </c>
      <c r="B12" s="15">
        <f>'Curvas SRY'!$B$8</f>
        <v>1</v>
      </c>
      <c r="C12" s="15">
        <f>'Curvas SRY'!$E$8</f>
        <v>0.75</v>
      </c>
      <c r="D12" s="14" t="str">
        <f>'Curvas SRY'!$B$14</f>
        <v>Uso variable</v>
      </c>
      <c r="E12" s="14">
        <f>9</f>
        <v>9</v>
      </c>
      <c r="F12" s="21">
        <f>'Hoja 4 - Cálculo'!A33</f>
        <v>29830</v>
      </c>
      <c r="G12" s="15">
        <f>'Hoja 4 - Cálculo'!H33</f>
        <v>22.070250000000001</v>
      </c>
      <c r="H12" s="15">
        <f>IF(D12="Uso único",'Hoja 4 - Cálculo'!I33,IF(D12="Uso múltiple",AVERAGE('Hoja 4 - Cálculo'!$I$25:$I$384)+AVERAGE('Hoja 4 - Cálculo'!$J$25:$J$384)+AVERAGE('Hoja 4 - Cálculo'!$K$25:$K$384),IF(D12="Uso prioritario",'Hoja 4 - Cálculo'!I33+'Hoja 4 - Cálculo'!K33,'Hoja 4 - Cálculo'!I33+'Hoja 4 - Cálculo'!J33+'Hoja 4 - Cálculo'!K33)))</f>
        <v>11.5</v>
      </c>
      <c r="I12" s="15">
        <f t="shared" si="1"/>
        <v>8.625</v>
      </c>
      <c r="J12" s="15">
        <f t="shared" si="7"/>
        <v>1</v>
      </c>
      <c r="K12" s="15">
        <f>MIN(J12+G12,(J12+G12)*'Hoja 4 - Cálculo'!$B$15)</f>
        <v>0.46140500000000007</v>
      </c>
      <c r="L12" s="15">
        <f t="shared" si="2"/>
        <v>22.608845000000002</v>
      </c>
      <c r="M12" s="15">
        <f t="shared" si="3"/>
        <v>8.625</v>
      </c>
      <c r="N12" s="15">
        <f t="shared" si="4"/>
        <v>1</v>
      </c>
      <c r="O12" s="15">
        <f t="shared" si="5"/>
        <v>12.983845000000002</v>
      </c>
      <c r="P12" s="15">
        <f t="shared" si="6"/>
        <v>0</v>
      </c>
      <c r="Q12" s="14" t="str">
        <f>IF(M12&gt;=I12*'Hoja 4 - Cálculo'!$B$16,"Satisfactorio","Falla")</f>
        <v>Satisfactorio</v>
      </c>
      <c r="R12" s="14">
        <f t="shared" si="8"/>
        <v>0</v>
      </c>
      <c r="S12" s="14">
        <f t="shared" si="9"/>
        <v>0</v>
      </c>
    </row>
    <row r="13" spans="1:19">
      <c r="A13" s="14" t="str">
        <f t="shared" si="0"/>
        <v>SRY-1-1</v>
      </c>
      <c r="B13" s="15">
        <f>'Curvas SRY'!$B$8</f>
        <v>1</v>
      </c>
      <c r="C13" s="15">
        <f>'Curvas SRY'!$E$8</f>
        <v>0.75</v>
      </c>
      <c r="D13" s="14" t="str">
        <f>'Curvas SRY'!$B$14</f>
        <v>Uso variable</v>
      </c>
      <c r="E13" s="14">
        <f>10</f>
        <v>10</v>
      </c>
      <c r="F13" s="21">
        <f>'Hoja 4 - Cálculo'!A34</f>
        <v>29860</v>
      </c>
      <c r="G13" s="15">
        <f>'Hoja 4 - Cálculo'!H34</f>
        <v>29.777625</v>
      </c>
      <c r="H13" s="15">
        <f>IF(D13="Uso único",'Hoja 4 - Cálculo'!I34,IF(D13="Uso múltiple",AVERAGE('Hoja 4 - Cálculo'!$I$25:$I$384)+AVERAGE('Hoja 4 - Cálculo'!$J$25:$J$384)+AVERAGE('Hoja 4 - Cálculo'!$K$25:$K$384),IF(D13="Uso prioritario",'Hoja 4 - Cálculo'!I34+'Hoja 4 - Cálculo'!K34,'Hoja 4 - Cálculo'!I34+'Hoja 4 - Cálculo'!J34+'Hoja 4 - Cálculo'!K34)))</f>
        <v>11.5</v>
      </c>
      <c r="I13" s="15">
        <f t="shared" si="1"/>
        <v>8.625</v>
      </c>
      <c r="J13" s="15">
        <f t="shared" si="7"/>
        <v>1</v>
      </c>
      <c r="K13" s="15">
        <f>MIN(J13+G13,(J13+G13)*'Hoja 4 - Cálculo'!$B$15)</f>
        <v>0.61555250000000006</v>
      </c>
      <c r="L13" s="15">
        <f t="shared" si="2"/>
        <v>30.162072500000001</v>
      </c>
      <c r="M13" s="15">
        <f t="shared" si="3"/>
        <v>8.625</v>
      </c>
      <c r="N13" s="15">
        <f t="shared" si="4"/>
        <v>1</v>
      </c>
      <c r="O13" s="15">
        <f t="shared" si="5"/>
        <v>20.537072500000001</v>
      </c>
      <c r="P13" s="15">
        <f t="shared" si="6"/>
        <v>0</v>
      </c>
      <c r="Q13" s="14" t="str">
        <f>IF(M13&gt;=I13*'Hoja 4 - Cálculo'!$B$16,"Satisfactorio","Falla")</f>
        <v>Satisfactorio</v>
      </c>
      <c r="R13" s="14">
        <f t="shared" si="8"/>
        <v>0</v>
      </c>
      <c r="S13" s="14">
        <f t="shared" si="9"/>
        <v>0</v>
      </c>
    </row>
    <row r="14" spans="1:19">
      <c r="A14" s="14" t="str">
        <f t="shared" si="0"/>
        <v>SRY-1-1</v>
      </c>
      <c r="B14" s="15">
        <f>'Curvas SRY'!$B$8</f>
        <v>1</v>
      </c>
      <c r="C14" s="15">
        <f>'Curvas SRY'!$E$8</f>
        <v>0.75</v>
      </c>
      <c r="D14" s="14" t="str">
        <f>'Curvas SRY'!$B$14</f>
        <v>Uso variable</v>
      </c>
      <c r="E14" s="14">
        <f>11</f>
        <v>11</v>
      </c>
      <c r="F14" s="21">
        <f>'Hoja 4 - Cálculo'!A35</f>
        <v>29891</v>
      </c>
      <c r="G14" s="15">
        <f>'Hoja 4 - Cálculo'!H35</f>
        <v>25.51275</v>
      </c>
      <c r="H14" s="15">
        <f>IF(D14="Uso único",'Hoja 4 - Cálculo'!I35,IF(D14="Uso múltiple",AVERAGE('Hoja 4 - Cálculo'!$I$25:$I$384)+AVERAGE('Hoja 4 - Cálculo'!$J$25:$J$384)+AVERAGE('Hoja 4 - Cálculo'!$K$25:$K$384),IF(D14="Uso prioritario",'Hoja 4 - Cálculo'!I35+'Hoja 4 - Cálculo'!K35,'Hoja 4 - Cálculo'!I35+'Hoja 4 - Cálculo'!J35+'Hoja 4 - Cálculo'!K35)))</f>
        <v>11.5</v>
      </c>
      <c r="I14" s="15">
        <f t="shared" si="1"/>
        <v>8.625</v>
      </c>
      <c r="J14" s="15">
        <f t="shared" si="7"/>
        <v>1</v>
      </c>
      <c r="K14" s="15">
        <f>MIN(J14+G14,(J14+G14)*'Hoja 4 - Cálculo'!$B$15)</f>
        <v>0.53025500000000003</v>
      </c>
      <c r="L14" s="15">
        <f t="shared" si="2"/>
        <v>25.982495</v>
      </c>
      <c r="M14" s="15">
        <f t="shared" si="3"/>
        <v>8.625</v>
      </c>
      <c r="N14" s="15">
        <f t="shared" si="4"/>
        <v>1</v>
      </c>
      <c r="O14" s="15">
        <f t="shared" si="5"/>
        <v>16.357495</v>
      </c>
      <c r="P14" s="15">
        <f t="shared" si="6"/>
        <v>0</v>
      </c>
      <c r="Q14" s="14" t="str">
        <f>IF(M14&gt;=I14*'Hoja 4 - Cálculo'!$B$16,"Satisfactorio","Falla")</f>
        <v>Satisfactorio</v>
      </c>
      <c r="R14" s="14">
        <f t="shared" si="8"/>
        <v>0</v>
      </c>
      <c r="S14" s="14">
        <f t="shared" si="9"/>
        <v>0</v>
      </c>
    </row>
    <row r="15" spans="1:19">
      <c r="A15" s="14" t="str">
        <f t="shared" si="0"/>
        <v>SRY-1-1</v>
      </c>
      <c r="B15" s="15">
        <f>'Curvas SRY'!$B$8</f>
        <v>1</v>
      </c>
      <c r="C15" s="15">
        <f>'Curvas SRY'!$E$8</f>
        <v>0.75</v>
      </c>
      <c r="D15" s="14" t="str">
        <f>'Curvas SRY'!$B$14</f>
        <v>Uso variable</v>
      </c>
      <c r="E15" s="14">
        <f>12</f>
        <v>12</v>
      </c>
      <c r="F15" s="21">
        <f>'Hoja 4 - Cálculo'!A36</f>
        <v>29921</v>
      </c>
      <c r="G15" s="15">
        <f>'Hoja 4 - Cálculo'!H36</f>
        <v>15.3765</v>
      </c>
      <c r="H15" s="15">
        <f>IF(D15="Uso único",'Hoja 4 - Cálculo'!I36,IF(D15="Uso múltiple",AVERAGE('Hoja 4 - Cálculo'!$I$25:$I$384)+AVERAGE('Hoja 4 - Cálculo'!$J$25:$J$384)+AVERAGE('Hoja 4 - Cálculo'!$K$25:$K$384),IF(D15="Uso prioritario",'Hoja 4 - Cálculo'!I36+'Hoja 4 - Cálculo'!K36,'Hoja 4 - Cálculo'!I36+'Hoja 4 - Cálculo'!J36+'Hoja 4 - Cálculo'!K36)))</f>
        <v>16</v>
      </c>
      <c r="I15" s="15">
        <f t="shared" si="1"/>
        <v>12</v>
      </c>
      <c r="J15" s="15">
        <f t="shared" si="7"/>
        <v>1</v>
      </c>
      <c r="K15" s="15">
        <f>MIN(J15+G15,(J15+G15)*'Hoja 4 - Cálculo'!$B$15)</f>
        <v>0.32752999999999999</v>
      </c>
      <c r="L15" s="15">
        <f t="shared" si="2"/>
        <v>16.048970000000001</v>
      </c>
      <c r="M15" s="15">
        <f t="shared" si="3"/>
        <v>12</v>
      </c>
      <c r="N15" s="15">
        <f t="shared" si="4"/>
        <v>1</v>
      </c>
      <c r="O15" s="15">
        <f t="shared" si="5"/>
        <v>3.0489700000000006</v>
      </c>
      <c r="P15" s="15">
        <f t="shared" si="6"/>
        <v>0</v>
      </c>
      <c r="Q15" s="14" t="str">
        <f>IF(M15&gt;=I15*'Hoja 4 - Cálculo'!$B$16,"Satisfactorio","Falla")</f>
        <v>Satisfactorio</v>
      </c>
      <c r="R15" s="14">
        <f t="shared" si="8"/>
        <v>0</v>
      </c>
      <c r="S15" s="14">
        <f t="shared" si="9"/>
        <v>0</v>
      </c>
    </row>
    <row r="16" spans="1:19">
      <c r="A16" s="14" t="str">
        <f t="shared" si="0"/>
        <v>SRY-1-1</v>
      </c>
      <c r="B16" s="15">
        <f>'Curvas SRY'!$B$8</f>
        <v>1</v>
      </c>
      <c r="C16" s="15">
        <f>'Curvas SRY'!$E$8</f>
        <v>0.75</v>
      </c>
      <c r="D16" s="14" t="str">
        <f>'Curvas SRY'!$B$14</f>
        <v>Uso variable</v>
      </c>
      <c r="E16" s="14">
        <f>13</f>
        <v>13</v>
      </c>
      <c r="F16" s="21">
        <f>'Hoja 4 - Cálculo'!A37</f>
        <v>29952</v>
      </c>
      <c r="G16" s="15">
        <f>'Hoja 4 - Cálculo'!H37</f>
        <v>13.808249999999999</v>
      </c>
      <c r="H16" s="15">
        <f>IF(D16="Uso único",'Hoja 4 - Cálculo'!I37,IF(D16="Uso múltiple",AVERAGE('Hoja 4 - Cálculo'!$I$25:$I$384)+AVERAGE('Hoja 4 - Cálculo'!$J$25:$J$384)+AVERAGE('Hoja 4 - Cálculo'!$K$25:$K$384),IF(D16="Uso prioritario",'Hoja 4 - Cálculo'!I37+'Hoja 4 - Cálculo'!K37,'Hoja 4 - Cálculo'!I37+'Hoja 4 - Cálculo'!J37+'Hoja 4 - Cálculo'!K37)))</f>
        <v>16</v>
      </c>
      <c r="I16" s="15">
        <f t="shared" si="1"/>
        <v>12</v>
      </c>
      <c r="J16" s="15">
        <f t="shared" si="7"/>
        <v>1</v>
      </c>
      <c r="K16" s="15">
        <f>MIN(J16+G16,(J16+G16)*'Hoja 4 - Cálculo'!$B$15)</f>
        <v>0.29616500000000001</v>
      </c>
      <c r="L16" s="15">
        <f t="shared" si="2"/>
        <v>14.512084999999999</v>
      </c>
      <c r="M16" s="15">
        <f t="shared" si="3"/>
        <v>12</v>
      </c>
      <c r="N16" s="15">
        <f t="shared" si="4"/>
        <v>1</v>
      </c>
      <c r="O16" s="15">
        <f t="shared" si="5"/>
        <v>1.512084999999999</v>
      </c>
      <c r="P16" s="15">
        <f t="shared" si="6"/>
        <v>0</v>
      </c>
      <c r="Q16" s="14" t="str">
        <f>IF(M16&gt;=I16*'Hoja 4 - Cálculo'!$B$16,"Satisfactorio","Falla")</f>
        <v>Satisfactorio</v>
      </c>
      <c r="R16" s="14">
        <f t="shared" si="8"/>
        <v>0</v>
      </c>
      <c r="S16" s="14">
        <f t="shared" si="9"/>
        <v>0</v>
      </c>
    </row>
    <row r="17" spans="1:19">
      <c r="A17" s="14" t="str">
        <f t="shared" si="0"/>
        <v>SRY-1-1</v>
      </c>
      <c r="B17" s="15">
        <f>'Curvas SRY'!$B$8</f>
        <v>1</v>
      </c>
      <c r="C17" s="15">
        <f>'Curvas SRY'!$E$8</f>
        <v>0.75</v>
      </c>
      <c r="D17" s="14" t="str">
        <f>'Curvas SRY'!$B$14</f>
        <v>Uso variable</v>
      </c>
      <c r="E17" s="14">
        <f>14</f>
        <v>14</v>
      </c>
      <c r="F17" s="21">
        <f>'Hoja 4 - Cálculo'!A38</f>
        <v>29983</v>
      </c>
      <c r="G17" s="15">
        <f>'Hoja 4 - Cálculo'!H38</f>
        <v>15.472125</v>
      </c>
      <c r="H17" s="15">
        <f>IF(D17="Uso único",'Hoja 4 - Cálculo'!I38,IF(D17="Uso múltiple",AVERAGE('Hoja 4 - Cálculo'!$I$25:$I$384)+AVERAGE('Hoja 4 - Cálculo'!$J$25:$J$384)+AVERAGE('Hoja 4 - Cálculo'!$K$25:$K$384),IF(D17="Uso prioritario",'Hoja 4 - Cálculo'!I38+'Hoja 4 - Cálculo'!K38,'Hoja 4 - Cálculo'!I38+'Hoja 4 - Cálculo'!J38+'Hoja 4 - Cálculo'!K38)))</f>
        <v>16</v>
      </c>
      <c r="I17" s="15">
        <f t="shared" si="1"/>
        <v>12</v>
      </c>
      <c r="J17" s="15">
        <f t="shared" si="7"/>
        <v>1</v>
      </c>
      <c r="K17" s="15">
        <f>MIN(J17+G17,(J17+G17)*'Hoja 4 - Cálculo'!$B$15)</f>
        <v>0.32944249999999997</v>
      </c>
      <c r="L17" s="15">
        <f t="shared" si="2"/>
        <v>16.142682499999999</v>
      </c>
      <c r="M17" s="15">
        <f t="shared" si="3"/>
        <v>12</v>
      </c>
      <c r="N17" s="15">
        <f t="shared" si="4"/>
        <v>1</v>
      </c>
      <c r="O17" s="15">
        <f t="shared" si="5"/>
        <v>3.1426824999999994</v>
      </c>
      <c r="P17" s="15">
        <f t="shared" si="6"/>
        <v>0</v>
      </c>
      <c r="Q17" s="14" t="str">
        <f>IF(M17&gt;=I17*'Hoja 4 - Cálculo'!$B$16,"Satisfactorio","Falla")</f>
        <v>Satisfactorio</v>
      </c>
      <c r="R17" s="14">
        <f t="shared" si="8"/>
        <v>0</v>
      </c>
      <c r="S17" s="14">
        <f t="shared" si="9"/>
        <v>0</v>
      </c>
    </row>
    <row r="18" spans="1:19">
      <c r="A18" s="14" t="str">
        <f t="shared" si="0"/>
        <v>SRY-1-1</v>
      </c>
      <c r="B18" s="15">
        <f>'Curvas SRY'!$B$8</f>
        <v>1</v>
      </c>
      <c r="C18" s="15">
        <f>'Curvas SRY'!$E$8</f>
        <v>0.75</v>
      </c>
      <c r="D18" s="14" t="str">
        <f>'Curvas SRY'!$B$14</f>
        <v>Uso variable</v>
      </c>
      <c r="E18" s="14">
        <f>15</f>
        <v>15</v>
      </c>
      <c r="F18" s="21">
        <f>'Hoja 4 - Cálculo'!A39</f>
        <v>30011</v>
      </c>
      <c r="G18" s="15">
        <f>'Hoja 4 - Cálculo'!H39</f>
        <v>22.338000000000001</v>
      </c>
      <c r="H18" s="15">
        <f>IF(D18="Uso único",'Hoja 4 - Cálculo'!I39,IF(D18="Uso múltiple",AVERAGE('Hoja 4 - Cálculo'!$I$25:$I$384)+AVERAGE('Hoja 4 - Cálculo'!$J$25:$J$384)+AVERAGE('Hoja 4 - Cálculo'!$K$25:$K$384),IF(D18="Uso prioritario",'Hoja 4 - Cálculo'!I39+'Hoja 4 - Cálculo'!K39,'Hoja 4 - Cálculo'!I39+'Hoja 4 - Cálculo'!J39+'Hoja 4 - Cálculo'!K39)))</f>
        <v>16</v>
      </c>
      <c r="I18" s="15">
        <f t="shared" si="1"/>
        <v>12</v>
      </c>
      <c r="J18" s="15">
        <f t="shared" si="7"/>
        <v>1</v>
      </c>
      <c r="K18" s="15">
        <f>MIN(J18+G18,(J18+G18)*'Hoja 4 - Cálculo'!$B$15)</f>
        <v>0.46676000000000001</v>
      </c>
      <c r="L18" s="15">
        <f t="shared" si="2"/>
        <v>22.87124</v>
      </c>
      <c r="M18" s="15">
        <f t="shared" si="3"/>
        <v>12</v>
      </c>
      <c r="N18" s="15">
        <f t="shared" si="4"/>
        <v>1</v>
      </c>
      <c r="O18" s="15">
        <f t="shared" si="5"/>
        <v>9.8712400000000002</v>
      </c>
      <c r="P18" s="15">
        <f t="shared" si="6"/>
        <v>0</v>
      </c>
      <c r="Q18" s="14" t="str">
        <f>IF(M18&gt;=I18*'Hoja 4 - Cálculo'!$B$16,"Satisfactorio","Falla")</f>
        <v>Satisfactorio</v>
      </c>
      <c r="R18" s="14">
        <f t="shared" si="8"/>
        <v>0</v>
      </c>
      <c r="S18" s="14">
        <f t="shared" si="9"/>
        <v>0</v>
      </c>
    </row>
    <row r="19" spans="1:19">
      <c r="A19" s="14" t="str">
        <f t="shared" si="0"/>
        <v>SRY-1-1</v>
      </c>
      <c r="B19" s="15">
        <f>'Curvas SRY'!$B$8</f>
        <v>1</v>
      </c>
      <c r="C19" s="15">
        <f>'Curvas SRY'!$E$8</f>
        <v>0.75</v>
      </c>
      <c r="D19" s="14" t="str">
        <f>'Curvas SRY'!$B$14</f>
        <v>Uso variable</v>
      </c>
      <c r="E19" s="14">
        <f>16</f>
        <v>16</v>
      </c>
      <c r="F19" s="21">
        <f>'Hoja 4 - Cálculo'!A40</f>
        <v>30042</v>
      </c>
      <c r="G19" s="15">
        <f>'Hoja 4 - Cálculo'!H40</f>
        <v>31.670999999999999</v>
      </c>
      <c r="H19" s="15">
        <f>IF(D19="Uso único",'Hoja 4 - Cálculo'!I40,IF(D19="Uso múltiple",AVERAGE('Hoja 4 - Cálculo'!$I$25:$I$384)+AVERAGE('Hoja 4 - Cálculo'!$J$25:$J$384)+AVERAGE('Hoja 4 - Cálculo'!$K$25:$K$384),IF(D19="Uso prioritario",'Hoja 4 - Cálculo'!I40+'Hoja 4 - Cálculo'!K40,'Hoja 4 - Cálculo'!I40+'Hoja 4 - Cálculo'!J40+'Hoja 4 - Cálculo'!K40)))</f>
        <v>11.5</v>
      </c>
      <c r="I19" s="15">
        <f t="shared" si="1"/>
        <v>8.625</v>
      </c>
      <c r="J19" s="15">
        <f t="shared" si="7"/>
        <v>1</v>
      </c>
      <c r="K19" s="15">
        <f>MIN(J19+G19,(J19+G19)*'Hoja 4 - Cálculo'!$B$15)</f>
        <v>0.65342</v>
      </c>
      <c r="L19" s="15">
        <f t="shared" si="2"/>
        <v>32.017580000000002</v>
      </c>
      <c r="M19" s="15">
        <f t="shared" si="3"/>
        <v>8.625</v>
      </c>
      <c r="N19" s="15">
        <f t="shared" si="4"/>
        <v>1</v>
      </c>
      <c r="O19" s="15">
        <f t="shared" si="5"/>
        <v>22.392580000000002</v>
      </c>
      <c r="P19" s="15">
        <f t="shared" si="6"/>
        <v>0</v>
      </c>
      <c r="Q19" s="14" t="str">
        <f>IF(M19&gt;=I19*'Hoja 4 - Cálculo'!$B$16,"Satisfactorio","Falla")</f>
        <v>Satisfactorio</v>
      </c>
      <c r="R19" s="14">
        <f t="shared" si="8"/>
        <v>0</v>
      </c>
      <c r="S19" s="14">
        <f t="shared" si="9"/>
        <v>0</v>
      </c>
    </row>
    <row r="20" spans="1:19">
      <c r="A20" s="14" t="str">
        <f t="shared" si="0"/>
        <v>SRY-1-1</v>
      </c>
      <c r="B20" s="15">
        <f>'Curvas SRY'!$B$8</f>
        <v>1</v>
      </c>
      <c r="C20" s="15">
        <f>'Curvas SRY'!$E$8</f>
        <v>0.75</v>
      </c>
      <c r="D20" s="14" t="str">
        <f>'Curvas SRY'!$B$14</f>
        <v>Uso variable</v>
      </c>
      <c r="E20" s="14">
        <f>17</f>
        <v>17</v>
      </c>
      <c r="F20" s="21">
        <f>'Hoja 4 - Cálculo'!A41</f>
        <v>30072</v>
      </c>
      <c r="G20" s="15">
        <f>'Hoja 4 - Cálculo'!H41</f>
        <v>29.299499999999998</v>
      </c>
      <c r="H20" s="15">
        <f>IF(D20="Uso único",'Hoja 4 - Cálculo'!I41,IF(D20="Uso múltiple",AVERAGE('Hoja 4 - Cálculo'!$I$25:$I$384)+AVERAGE('Hoja 4 - Cálculo'!$J$25:$J$384)+AVERAGE('Hoja 4 - Cálculo'!$K$25:$K$384),IF(D20="Uso prioritario",'Hoja 4 - Cálculo'!I41+'Hoja 4 - Cálculo'!K41,'Hoja 4 - Cálculo'!I41+'Hoja 4 - Cálculo'!J41+'Hoja 4 - Cálculo'!K41)))</f>
        <v>11.5</v>
      </c>
      <c r="I20" s="15">
        <f t="shared" si="1"/>
        <v>8.625</v>
      </c>
      <c r="J20" s="15">
        <f t="shared" si="7"/>
        <v>1</v>
      </c>
      <c r="K20" s="15">
        <f>MIN(J20+G20,(J20+G20)*'Hoja 4 - Cálculo'!$B$15)</f>
        <v>0.60599000000000003</v>
      </c>
      <c r="L20" s="15">
        <f t="shared" si="2"/>
        <v>29.69351</v>
      </c>
      <c r="M20" s="15">
        <f t="shared" si="3"/>
        <v>8.625</v>
      </c>
      <c r="N20" s="15">
        <f t="shared" si="4"/>
        <v>1</v>
      </c>
      <c r="O20" s="15">
        <f t="shared" si="5"/>
        <v>20.06851</v>
      </c>
      <c r="P20" s="15">
        <f t="shared" si="6"/>
        <v>0</v>
      </c>
      <c r="Q20" s="14" t="str">
        <f>IF(M20&gt;=I20*'Hoja 4 - Cálculo'!$B$16,"Satisfactorio","Falla")</f>
        <v>Satisfactorio</v>
      </c>
      <c r="R20" s="14">
        <f t="shared" si="8"/>
        <v>0</v>
      </c>
      <c r="S20" s="14">
        <f t="shared" si="9"/>
        <v>0</v>
      </c>
    </row>
    <row r="21" spans="1:19">
      <c r="A21" s="14" t="str">
        <f t="shared" si="0"/>
        <v>SRY-1-1</v>
      </c>
      <c r="B21" s="15">
        <f>'Curvas SRY'!$B$8</f>
        <v>1</v>
      </c>
      <c r="C21" s="15">
        <f>'Curvas SRY'!$E$8</f>
        <v>0.75</v>
      </c>
      <c r="D21" s="14" t="str">
        <f>'Curvas SRY'!$B$14</f>
        <v>Uso variable</v>
      </c>
      <c r="E21" s="14">
        <f>18</f>
        <v>18</v>
      </c>
      <c r="F21" s="21">
        <f>'Hoja 4 - Cálculo'!A42</f>
        <v>30103</v>
      </c>
      <c r="G21" s="15">
        <f>'Hoja 4 - Cálculo'!H42</f>
        <v>18.321750000000002</v>
      </c>
      <c r="H21" s="15">
        <f>IF(D21="Uso único",'Hoja 4 - Cálculo'!I42,IF(D21="Uso múltiple",AVERAGE('Hoja 4 - Cálculo'!$I$25:$I$384)+AVERAGE('Hoja 4 - Cálculo'!$J$25:$J$384)+AVERAGE('Hoja 4 - Cálculo'!$K$25:$K$384),IF(D21="Uso prioritario",'Hoja 4 - Cálculo'!I42+'Hoja 4 - Cálculo'!K42,'Hoja 4 - Cálculo'!I42+'Hoja 4 - Cálculo'!J42+'Hoja 4 - Cálculo'!K42)))</f>
        <v>11.5</v>
      </c>
      <c r="I21" s="15">
        <f t="shared" si="1"/>
        <v>8.625</v>
      </c>
      <c r="J21" s="15">
        <f t="shared" si="7"/>
        <v>1</v>
      </c>
      <c r="K21" s="15">
        <f>MIN(J21+G21,(J21+G21)*'Hoja 4 - Cálculo'!$B$15)</f>
        <v>0.38643500000000003</v>
      </c>
      <c r="L21" s="15">
        <f t="shared" si="2"/>
        <v>18.935315000000003</v>
      </c>
      <c r="M21" s="15">
        <f t="shared" si="3"/>
        <v>8.625</v>
      </c>
      <c r="N21" s="15">
        <f t="shared" si="4"/>
        <v>1</v>
      </c>
      <c r="O21" s="15">
        <f t="shared" si="5"/>
        <v>9.3103150000000028</v>
      </c>
      <c r="P21" s="15">
        <f t="shared" si="6"/>
        <v>0</v>
      </c>
      <c r="Q21" s="14" t="str">
        <f>IF(M21&gt;=I21*'Hoja 4 - Cálculo'!$B$16,"Satisfactorio","Falla")</f>
        <v>Satisfactorio</v>
      </c>
      <c r="R21" s="14">
        <f t="shared" si="8"/>
        <v>0</v>
      </c>
      <c r="S21" s="14">
        <f t="shared" si="9"/>
        <v>0</v>
      </c>
    </row>
    <row r="22" spans="1:19">
      <c r="A22" s="14" t="str">
        <f t="shared" si="0"/>
        <v>SRY-1-1</v>
      </c>
      <c r="B22" s="15">
        <f>'Curvas SRY'!$B$8</f>
        <v>1</v>
      </c>
      <c r="C22" s="15">
        <f>'Curvas SRY'!$E$8</f>
        <v>0.75</v>
      </c>
      <c r="D22" s="14" t="str">
        <f>'Curvas SRY'!$B$14</f>
        <v>Uso variable</v>
      </c>
      <c r="E22" s="14">
        <f>19</f>
        <v>19</v>
      </c>
      <c r="F22" s="21">
        <f>'Hoja 4 - Cálculo'!A43</f>
        <v>30133</v>
      </c>
      <c r="G22" s="15">
        <f>'Hoja 4 - Cálculo'!H43</f>
        <v>15.3765</v>
      </c>
      <c r="H22" s="15">
        <f>IF(D22="Uso único",'Hoja 4 - Cálculo'!I43,IF(D22="Uso múltiple",AVERAGE('Hoja 4 - Cálculo'!$I$25:$I$384)+AVERAGE('Hoja 4 - Cálculo'!$J$25:$J$384)+AVERAGE('Hoja 4 - Cálculo'!$K$25:$K$384),IF(D22="Uso prioritario",'Hoja 4 - Cálculo'!I43+'Hoja 4 - Cálculo'!K43,'Hoja 4 - Cálculo'!I43+'Hoja 4 - Cálculo'!J43+'Hoja 4 - Cálculo'!K43)))</f>
        <v>16</v>
      </c>
      <c r="I22" s="15">
        <f t="shared" si="1"/>
        <v>12</v>
      </c>
      <c r="J22" s="15">
        <f t="shared" si="7"/>
        <v>1</v>
      </c>
      <c r="K22" s="15">
        <f>MIN(J22+G22,(J22+G22)*'Hoja 4 - Cálculo'!$B$15)</f>
        <v>0.32752999999999999</v>
      </c>
      <c r="L22" s="15">
        <f t="shared" si="2"/>
        <v>16.048970000000001</v>
      </c>
      <c r="M22" s="15">
        <f t="shared" si="3"/>
        <v>12</v>
      </c>
      <c r="N22" s="15">
        <f t="shared" si="4"/>
        <v>1</v>
      </c>
      <c r="O22" s="15">
        <f t="shared" si="5"/>
        <v>3.0489700000000006</v>
      </c>
      <c r="P22" s="15">
        <f t="shared" si="6"/>
        <v>0</v>
      </c>
      <c r="Q22" s="14" t="str">
        <f>IF(M22&gt;=I22*'Hoja 4 - Cálculo'!$B$16,"Satisfactorio","Falla")</f>
        <v>Satisfactorio</v>
      </c>
      <c r="R22" s="14">
        <f t="shared" si="8"/>
        <v>0</v>
      </c>
      <c r="S22" s="14">
        <f t="shared" si="9"/>
        <v>0</v>
      </c>
    </row>
    <row r="23" spans="1:19">
      <c r="A23" s="14" t="str">
        <f t="shared" si="0"/>
        <v>SRY-1-1</v>
      </c>
      <c r="B23" s="15">
        <f>'Curvas SRY'!$B$8</f>
        <v>1</v>
      </c>
      <c r="C23" s="15">
        <f>'Curvas SRY'!$E$8</f>
        <v>0.75</v>
      </c>
      <c r="D23" s="14" t="str">
        <f>'Curvas SRY'!$B$14</f>
        <v>Uso variable</v>
      </c>
      <c r="E23" s="14">
        <f>20</f>
        <v>20</v>
      </c>
      <c r="F23" s="21">
        <f>'Hoja 4 - Cálculo'!A44</f>
        <v>30164</v>
      </c>
      <c r="G23" s="15">
        <f>'Hoja 4 - Cálculo'!H44</f>
        <v>16.466625000000001</v>
      </c>
      <c r="H23" s="15">
        <f>IF(D23="Uso único",'Hoja 4 - Cálculo'!I44,IF(D23="Uso múltiple",AVERAGE('Hoja 4 - Cálculo'!$I$25:$I$384)+AVERAGE('Hoja 4 - Cálculo'!$J$25:$J$384)+AVERAGE('Hoja 4 - Cálculo'!$K$25:$K$384),IF(D23="Uso prioritario",'Hoja 4 - Cálculo'!I44+'Hoja 4 - Cálculo'!K44,'Hoja 4 - Cálculo'!I44+'Hoja 4 - Cálculo'!J44+'Hoja 4 - Cálculo'!K44)))</f>
        <v>16</v>
      </c>
      <c r="I23" s="15">
        <f t="shared" si="1"/>
        <v>12</v>
      </c>
      <c r="J23" s="15">
        <f t="shared" si="7"/>
        <v>1</v>
      </c>
      <c r="K23" s="15">
        <f>MIN(J23+G23,(J23+G23)*'Hoja 4 - Cálculo'!$B$15)</f>
        <v>0.34933249999999999</v>
      </c>
      <c r="L23" s="15">
        <f t="shared" si="2"/>
        <v>17.117292500000001</v>
      </c>
      <c r="M23" s="15">
        <f t="shared" si="3"/>
        <v>12</v>
      </c>
      <c r="N23" s="15">
        <f t="shared" si="4"/>
        <v>1</v>
      </c>
      <c r="O23" s="15">
        <f t="shared" si="5"/>
        <v>4.1172925000000014</v>
      </c>
      <c r="P23" s="15">
        <f t="shared" si="6"/>
        <v>0</v>
      </c>
      <c r="Q23" s="14" t="str">
        <f>IF(M23&gt;=I23*'Hoja 4 - Cálculo'!$B$16,"Satisfactorio","Falla")</f>
        <v>Satisfactorio</v>
      </c>
      <c r="R23" s="14">
        <f t="shared" si="8"/>
        <v>0</v>
      </c>
      <c r="S23" s="14">
        <f t="shared" si="9"/>
        <v>0</v>
      </c>
    </row>
    <row r="24" spans="1:19">
      <c r="A24" s="14" t="str">
        <f t="shared" si="0"/>
        <v>SRY-1-1</v>
      </c>
      <c r="B24" s="15">
        <f>'Curvas SRY'!$B$8</f>
        <v>1</v>
      </c>
      <c r="C24" s="15">
        <f>'Curvas SRY'!$E$8</f>
        <v>0.75</v>
      </c>
      <c r="D24" s="14" t="str">
        <f>'Curvas SRY'!$B$14</f>
        <v>Uso variable</v>
      </c>
      <c r="E24" s="14">
        <f>21</f>
        <v>21</v>
      </c>
      <c r="F24" s="21">
        <f>'Hoja 4 - Cálculo'!A45</f>
        <v>30195</v>
      </c>
      <c r="G24" s="15">
        <f>'Hoja 4 - Cálculo'!H45</f>
        <v>25.837875</v>
      </c>
      <c r="H24" s="15">
        <f>IF(D24="Uso único",'Hoja 4 - Cálculo'!I45,IF(D24="Uso múltiple",AVERAGE('Hoja 4 - Cálculo'!$I$25:$I$384)+AVERAGE('Hoja 4 - Cálculo'!$J$25:$J$384)+AVERAGE('Hoja 4 - Cálculo'!$K$25:$K$384),IF(D24="Uso prioritario",'Hoja 4 - Cálculo'!I45+'Hoja 4 - Cálculo'!K45,'Hoja 4 - Cálculo'!I45+'Hoja 4 - Cálculo'!J45+'Hoja 4 - Cálculo'!K45)))</f>
        <v>11.5</v>
      </c>
      <c r="I24" s="15">
        <f t="shared" si="1"/>
        <v>8.625</v>
      </c>
      <c r="J24" s="15">
        <f t="shared" si="7"/>
        <v>1</v>
      </c>
      <c r="K24" s="15">
        <f>MIN(J24+G24,(J24+G24)*'Hoja 4 - Cálculo'!$B$15)</f>
        <v>0.5367575</v>
      </c>
      <c r="L24" s="15">
        <f t="shared" si="2"/>
        <v>26.3011175</v>
      </c>
      <c r="M24" s="15">
        <f t="shared" si="3"/>
        <v>8.625</v>
      </c>
      <c r="N24" s="15">
        <f t="shared" si="4"/>
        <v>1</v>
      </c>
      <c r="O24" s="15">
        <f t="shared" si="5"/>
        <v>16.6761175</v>
      </c>
      <c r="P24" s="15">
        <f t="shared" si="6"/>
        <v>0</v>
      </c>
      <c r="Q24" s="14" t="str">
        <f>IF(M24&gt;=I24*'Hoja 4 - Cálculo'!$B$16,"Satisfactorio","Falla")</f>
        <v>Satisfactorio</v>
      </c>
      <c r="R24" s="14">
        <f t="shared" si="8"/>
        <v>0</v>
      </c>
      <c r="S24" s="14">
        <f t="shared" si="9"/>
        <v>0</v>
      </c>
    </row>
    <row r="25" spans="1:19">
      <c r="A25" s="14" t="str">
        <f t="shared" si="0"/>
        <v>SRY-1-1</v>
      </c>
      <c r="B25" s="15">
        <f>'Curvas SRY'!$B$8</f>
        <v>1</v>
      </c>
      <c r="C25" s="15">
        <f>'Curvas SRY'!$E$8</f>
        <v>0.75</v>
      </c>
      <c r="D25" s="14" t="str">
        <f>'Curvas SRY'!$B$14</f>
        <v>Uso variable</v>
      </c>
      <c r="E25" s="14">
        <f>22</f>
        <v>22</v>
      </c>
      <c r="F25" s="21">
        <f>'Hoja 4 - Cálculo'!A46</f>
        <v>30225</v>
      </c>
      <c r="G25" s="15">
        <f>'Hoja 4 - Cálculo'!H46</f>
        <v>33.46875</v>
      </c>
      <c r="H25" s="15">
        <f>IF(D25="Uso único",'Hoja 4 - Cálculo'!I46,IF(D25="Uso múltiple",AVERAGE('Hoja 4 - Cálculo'!$I$25:$I$384)+AVERAGE('Hoja 4 - Cálculo'!$J$25:$J$384)+AVERAGE('Hoja 4 - Cálculo'!$K$25:$K$384),IF(D25="Uso prioritario",'Hoja 4 - Cálculo'!I46+'Hoja 4 - Cálculo'!K46,'Hoja 4 - Cálculo'!I46+'Hoja 4 - Cálculo'!J46+'Hoja 4 - Cálculo'!K46)))</f>
        <v>11.5</v>
      </c>
      <c r="I25" s="15">
        <f t="shared" si="1"/>
        <v>8.625</v>
      </c>
      <c r="J25" s="15">
        <f t="shared" si="7"/>
        <v>1</v>
      </c>
      <c r="K25" s="15">
        <f>MIN(J25+G25,(J25+G25)*'Hoja 4 - Cálculo'!$B$15)</f>
        <v>0.68937499999999996</v>
      </c>
      <c r="L25" s="15">
        <f t="shared" si="2"/>
        <v>33.779375000000002</v>
      </c>
      <c r="M25" s="15">
        <f t="shared" si="3"/>
        <v>8.625</v>
      </c>
      <c r="N25" s="15">
        <f t="shared" si="4"/>
        <v>1</v>
      </c>
      <c r="O25" s="15">
        <f t="shared" si="5"/>
        <v>24.154375000000002</v>
      </c>
      <c r="P25" s="15">
        <f t="shared" si="6"/>
        <v>0</v>
      </c>
      <c r="Q25" s="14" t="str">
        <f>IF(M25&gt;=I25*'Hoja 4 - Cálculo'!$B$16,"Satisfactorio","Falla")</f>
        <v>Satisfactorio</v>
      </c>
      <c r="R25" s="14">
        <f t="shared" si="8"/>
        <v>0</v>
      </c>
      <c r="S25" s="14">
        <f t="shared" si="9"/>
        <v>0</v>
      </c>
    </row>
    <row r="26" spans="1:19">
      <c r="A26" s="14" t="str">
        <f t="shared" si="0"/>
        <v>SRY-1-1</v>
      </c>
      <c r="B26" s="15">
        <f>'Curvas SRY'!$B$8</f>
        <v>1</v>
      </c>
      <c r="C26" s="15">
        <f>'Curvas SRY'!$E$8</f>
        <v>0.75</v>
      </c>
      <c r="D26" s="14" t="str">
        <f>'Curvas SRY'!$B$14</f>
        <v>Uso variable</v>
      </c>
      <c r="E26" s="14">
        <f>23</f>
        <v>23</v>
      </c>
      <c r="F26" s="21">
        <f>'Hoja 4 - Cálculo'!A47</f>
        <v>30256</v>
      </c>
      <c r="G26" s="15">
        <f>'Hoja 4 - Cálculo'!H47</f>
        <v>27.578250000000001</v>
      </c>
      <c r="H26" s="15">
        <f>IF(D26="Uso único",'Hoja 4 - Cálculo'!I47,IF(D26="Uso múltiple",AVERAGE('Hoja 4 - Cálculo'!$I$25:$I$384)+AVERAGE('Hoja 4 - Cálculo'!$J$25:$J$384)+AVERAGE('Hoja 4 - Cálculo'!$K$25:$K$384),IF(D26="Uso prioritario",'Hoja 4 - Cálculo'!I47+'Hoja 4 - Cálculo'!K47,'Hoja 4 - Cálculo'!I47+'Hoja 4 - Cálculo'!J47+'Hoja 4 - Cálculo'!K47)))</f>
        <v>11.5</v>
      </c>
      <c r="I26" s="15">
        <f t="shared" si="1"/>
        <v>8.625</v>
      </c>
      <c r="J26" s="15">
        <f t="shared" si="7"/>
        <v>1</v>
      </c>
      <c r="K26" s="15">
        <f>MIN(J26+G26,(J26+G26)*'Hoja 4 - Cálculo'!$B$15)</f>
        <v>0.57156499999999999</v>
      </c>
      <c r="L26" s="15">
        <f t="shared" si="2"/>
        <v>28.006685000000001</v>
      </c>
      <c r="M26" s="15">
        <f t="shared" si="3"/>
        <v>8.625</v>
      </c>
      <c r="N26" s="15">
        <f t="shared" si="4"/>
        <v>1</v>
      </c>
      <c r="O26" s="15">
        <f t="shared" si="5"/>
        <v>18.381685000000001</v>
      </c>
      <c r="P26" s="15">
        <f t="shared" si="6"/>
        <v>0</v>
      </c>
      <c r="Q26" s="14" t="str">
        <f>IF(M26&gt;=I26*'Hoja 4 - Cálculo'!$B$16,"Satisfactorio","Falla")</f>
        <v>Satisfactorio</v>
      </c>
      <c r="R26" s="14">
        <f t="shared" si="8"/>
        <v>0</v>
      </c>
      <c r="S26" s="14">
        <f t="shared" si="9"/>
        <v>0</v>
      </c>
    </row>
    <row r="27" spans="1:19">
      <c r="A27" s="14" t="str">
        <f t="shared" si="0"/>
        <v>SRY-1-1</v>
      </c>
      <c r="B27" s="15">
        <f>'Curvas SRY'!$B$8</f>
        <v>1</v>
      </c>
      <c r="C27" s="15">
        <f>'Curvas SRY'!$E$8</f>
        <v>0.75</v>
      </c>
      <c r="D27" s="14" t="str">
        <f>'Curvas SRY'!$B$14</f>
        <v>Uso variable</v>
      </c>
      <c r="E27" s="14">
        <f>24</f>
        <v>24</v>
      </c>
      <c r="F27" s="21">
        <f>'Hoja 4 - Cálculo'!A48</f>
        <v>30286</v>
      </c>
      <c r="G27" s="15">
        <f>'Hoja 4 - Cálculo'!H48</f>
        <v>16.256250000000001</v>
      </c>
      <c r="H27" s="15">
        <f>IF(D27="Uso único",'Hoja 4 - Cálculo'!I48,IF(D27="Uso múltiple",AVERAGE('Hoja 4 - Cálculo'!$I$25:$I$384)+AVERAGE('Hoja 4 - Cálculo'!$J$25:$J$384)+AVERAGE('Hoja 4 - Cálculo'!$K$25:$K$384),IF(D27="Uso prioritario",'Hoja 4 - Cálculo'!I48+'Hoja 4 - Cálculo'!K48,'Hoja 4 - Cálculo'!I48+'Hoja 4 - Cálculo'!J48+'Hoja 4 - Cálculo'!K48)))</f>
        <v>16</v>
      </c>
      <c r="I27" s="15">
        <f t="shared" si="1"/>
        <v>12</v>
      </c>
      <c r="J27" s="15">
        <f t="shared" si="7"/>
        <v>1</v>
      </c>
      <c r="K27" s="15">
        <f>MIN(J27+G27,(J27+G27)*'Hoja 4 - Cálculo'!$B$15)</f>
        <v>0.34512500000000002</v>
      </c>
      <c r="L27" s="15">
        <f t="shared" si="2"/>
        <v>16.911125000000002</v>
      </c>
      <c r="M27" s="15">
        <f t="shared" si="3"/>
        <v>12</v>
      </c>
      <c r="N27" s="15">
        <f t="shared" si="4"/>
        <v>1</v>
      </c>
      <c r="O27" s="15">
        <f t="shared" si="5"/>
        <v>3.911125000000002</v>
      </c>
      <c r="P27" s="15">
        <f t="shared" si="6"/>
        <v>0</v>
      </c>
      <c r="Q27" s="14" t="str">
        <f>IF(M27&gt;=I27*'Hoja 4 - Cálculo'!$B$16,"Satisfactorio","Falla")</f>
        <v>Satisfactorio</v>
      </c>
      <c r="R27" s="14">
        <f t="shared" si="8"/>
        <v>0</v>
      </c>
      <c r="S27" s="14">
        <f t="shared" si="9"/>
        <v>0</v>
      </c>
    </row>
    <row r="28" spans="1:19">
      <c r="A28" s="14" t="str">
        <f t="shared" si="0"/>
        <v>SRY-1-1</v>
      </c>
      <c r="B28" s="15">
        <f>'Curvas SRY'!$B$8</f>
        <v>1</v>
      </c>
      <c r="C28" s="15">
        <f>'Curvas SRY'!$E$8</f>
        <v>0.75</v>
      </c>
      <c r="D28" s="14" t="str">
        <f>'Curvas SRY'!$B$14</f>
        <v>Uso variable</v>
      </c>
      <c r="E28" s="14">
        <f>25</f>
        <v>25</v>
      </c>
      <c r="F28" s="21">
        <f>'Hoja 4 - Cálculo'!A49</f>
        <v>30317</v>
      </c>
      <c r="G28" s="15">
        <f>'Hoja 4 - Cálculo'!H49</f>
        <v>12.775499999999999</v>
      </c>
      <c r="H28" s="15">
        <f>IF(D28="Uso único",'Hoja 4 - Cálculo'!I49,IF(D28="Uso múltiple",AVERAGE('Hoja 4 - Cálculo'!$I$25:$I$384)+AVERAGE('Hoja 4 - Cálculo'!$J$25:$J$384)+AVERAGE('Hoja 4 - Cálculo'!$K$25:$K$384),IF(D28="Uso prioritario",'Hoja 4 - Cálculo'!I49+'Hoja 4 - Cálculo'!K49,'Hoja 4 - Cálculo'!I49+'Hoja 4 - Cálculo'!J49+'Hoja 4 - Cálculo'!K49)))</f>
        <v>16</v>
      </c>
      <c r="I28" s="15">
        <f t="shared" si="1"/>
        <v>12</v>
      </c>
      <c r="J28" s="15">
        <f t="shared" si="7"/>
        <v>1</v>
      </c>
      <c r="K28" s="15">
        <f>MIN(J28+G28,(J28+G28)*'Hoja 4 - Cálculo'!$B$15)</f>
        <v>0.27550999999999998</v>
      </c>
      <c r="L28" s="15">
        <f t="shared" si="2"/>
        <v>13.499989999999999</v>
      </c>
      <c r="M28" s="15">
        <f t="shared" si="3"/>
        <v>12</v>
      </c>
      <c r="N28" s="15">
        <f t="shared" si="4"/>
        <v>1</v>
      </c>
      <c r="O28" s="15">
        <f t="shared" si="5"/>
        <v>0.4999899999999986</v>
      </c>
      <c r="P28" s="15">
        <f t="shared" si="6"/>
        <v>0</v>
      </c>
      <c r="Q28" s="14" t="str">
        <f>IF(M28&gt;=I28*'Hoja 4 - Cálculo'!$B$16,"Satisfactorio","Falla")</f>
        <v>Satisfactorio</v>
      </c>
      <c r="R28" s="14">
        <f t="shared" si="8"/>
        <v>0</v>
      </c>
      <c r="S28" s="14">
        <f t="shared" si="9"/>
        <v>0</v>
      </c>
    </row>
    <row r="29" spans="1:19">
      <c r="A29" s="14" t="str">
        <f t="shared" si="0"/>
        <v>SRY-1-1</v>
      </c>
      <c r="B29" s="15">
        <f>'Curvas SRY'!$B$8</f>
        <v>1</v>
      </c>
      <c r="C29" s="15">
        <f>'Curvas SRY'!$E$8</f>
        <v>0.75</v>
      </c>
      <c r="D29" s="14" t="str">
        <f>'Curvas SRY'!$B$14</f>
        <v>Uso variable</v>
      </c>
      <c r="E29" s="14">
        <f>26</f>
        <v>26</v>
      </c>
      <c r="F29" s="21">
        <f>'Hoja 4 - Cálculo'!A50</f>
        <v>30348</v>
      </c>
      <c r="G29" s="15">
        <f>'Hoja 4 - Cálculo'!H50</f>
        <v>14.49675</v>
      </c>
      <c r="H29" s="15">
        <f>IF(D29="Uso único",'Hoja 4 - Cálculo'!I50,IF(D29="Uso múltiple",AVERAGE('Hoja 4 - Cálculo'!$I$25:$I$384)+AVERAGE('Hoja 4 - Cálculo'!$J$25:$J$384)+AVERAGE('Hoja 4 - Cálculo'!$K$25:$K$384),IF(D29="Uso prioritario",'Hoja 4 - Cálculo'!I50+'Hoja 4 - Cálculo'!K50,'Hoja 4 - Cálculo'!I50+'Hoja 4 - Cálculo'!J50+'Hoja 4 - Cálculo'!K50)))</f>
        <v>16</v>
      </c>
      <c r="I29" s="15">
        <f t="shared" si="1"/>
        <v>12</v>
      </c>
      <c r="J29" s="15">
        <f t="shared" si="7"/>
        <v>1</v>
      </c>
      <c r="K29" s="15">
        <f>MIN(J29+G29,(J29+G29)*'Hoja 4 - Cálculo'!$B$15)</f>
        <v>0.30993500000000002</v>
      </c>
      <c r="L29" s="15">
        <f t="shared" si="2"/>
        <v>15.186815000000001</v>
      </c>
      <c r="M29" s="15">
        <f t="shared" si="3"/>
        <v>12</v>
      </c>
      <c r="N29" s="15">
        <f t="shared" si="4"/>
        <v>1</v>
      </c>
      <c r="O29" s="15">
        <f t="shared" si="5"/>
        <v>2.1868150000000011</v>
      </c>
      <c r="P29" s="15">
        <f t="shared" si="6"/>
        <v>0</v>
      </c>
      <c r="Q29" s="14" t="str">
        <f>IF(M29&gt;=I29*'Hoja 4 - Cálculo'!$B$16,"Satisfactorio","Falla")</f>
        <v>Satisfactorio</v>
      </c>
      <c r="R29" s="14">
        <f t="shared" si="8"/>
        <v>0</v>
      </c>
      <c r="S29" s="14">
        <f t="shared" si="9"/>
        <v>0</v>
      </c>
    </row>
    <row r="30" spans="1:19">
      <c r="A30" s="14" t="str">
        <f t="shared" si="0"/>
        <v>SRY-1-1</v>
      </c>
      <c r="B30" s="15">
        <f>'Curvas SRY'!$B$8</f>
        <v>1</v>
      </c>
      <c r="C30" s="15">
        <f>'Curvas SRY'!$E$8</f>
        <v>0.75</v>
      </c>
      <c r="D30" s="14" t="str">
        <f>'Curvas SRY'!$B$14</f>
        <v>Uso variable</v>
      </c>
      <c r="E30" s="14">
        <f>27</f>
        <v>27</v>
      </c>
      <c r="F30" s="21">
        <f>'Hoja 4 - Cálculo'!A51</f>
        <v>30376</v>
      </c>
      <c r="G30" s="15">
        <f>'Hoja 4 - Cálculo'!H51</f>
        <v>21.936375000000002</v>
      </c>
      <c r="H30" s="15">
        <f>IF(D30="Uso único",'Hoja 4 - Cálculo'!I51,IF(D30="Uso múltiple",AVERAGE('Hoja 4 - Cálculo'!$I$25:$I$384)+AVERAGE('Hoja 4 - Cálculo'!$J$25:$J$384)+AVERAGE('Hoja 4 - Cálculo'!$K$25:$K$384),IF(D30="Uso prioritario",'Hoja 4 - Cálculo'!I51+'Hoja 4 - Cálculo'!K51,'Hoja 4 - Cálculo'!I51+'Hoja 4 - Cálculo'!J51+'Hoja 4 - Cálculo'!K51)))</f>
        <v>16</v>
      </c>
      <c r="I30" s="15">
        <f t="shared" si="1"/>
        <v>12</v>
      </c>
      <c r="J30" s="15">
        <f t="shared" si="7"/>
        <v>1</v>
      </c>
      <c r="K30" s="15">
        <f>MIN(J30+G30,(J30+G30)*'Hoja 4 - Cálculo'!$B$15)</f>
        <v>0.45872750000000007</v>
      </c>
      <c r="L30" s="15">
        <f t="shared" si="2"/>
        <v>22.477647500000003</v>
      </c>
      <c r="M30" s="15">
        <f t="shared" si="3"/>
        <v>12</v>
      </c>
      <c r="N30" s="15">
        <f t="shared" si="4"/>
        <v>1</v>
      </c>
      <c r="O30" s="15">
        <f t="shared" si="5"/>
        <v>9.4776475000000033</v>
      </c>
      <c r="P30" s="15">
        <f t="shared" si="6"/>
        <v>0</v>
      </c>
      <c r="Q30" s="14" t="str">
        <f>IF(M30&gt;=I30*'Hoja 4 - Cálculo'!$B$16,"Satisfactorio","Falla")</f>
        <v>Satisfactorio</v>
      </c>
      <c r="R30" s="14">
        <f t="shared" si="8"/>
        <v>0</v>
      </c>
      <c r="S30" s="14">
        <f t="shared" si="9"/>
        <v>0</v>
      </c>
    </row>
    <row r="31" spans="1:19">
      <c r="A31" s="14" t="str">
        <f t="shared" si="0"/>
        <v>SRY-1-1</v>
      </c>
      <c r="B31" s="15">
        <f>'Curvas SRY'!$B$8</f>
        <v>1</v>
      </c>
      <c r="C31" s="15">
        <f>'Curvas SRY'!$E$8</f>
        <v>0.75</v>
      </c>
      <c r="D31" s="14" t="str">
        <f>'Curvas SRY'!$B$14</f>
        <v>Uso variable</v>
      </c>
      <c r="E31" s="14">
        <f>28</f>
        <v>28</v>
      </c>
      <c r="F31" s="21">
        <f>'Hoja 4 - Cálculo'!A52</f>
        <v>30407</v>
      </c>
      <c r="G31" s="15">
        <f>'Hoja 4 - Cálculo'!H52</f>
        <v>32.263874999999999</v>
      </c>
      <c r="H31" s="15">
        <f>IF(D31="Uso único",'Hoja 4 - Cálculo'!I52,IF(D31="Uso múltiple",AVERAGE('Hoja 4 - Cálculo'!$I$25:$I$384)+AVERAGE('Hoja 4 - Cálculo'!$J$25:$J$384)+AVERAGE('Hoja 4 - Cálculo'!$K$25:$K$384),IF(D31="Uso prioritario",'Hoja 4 - Cálculo'!I52+'Hoja 4 - Cálculo'!K52,'Hoja 4 - Cálculo'!I52+'Hoja 4 - Cálculo'!J52+'Hoja 4 - Cálculo'!K52)))</f>
        <v>11.5</v>
      </c>
      <c r="I31" s="15">
        <f t="shared" si="1"/>
        <v>8.625</v>
      </c>
      <c r="J31" s="15">
        <f t="shared" si="7"/>
        <v>1</v>
      </c>
      <c r="K31" s="15">
        <f>MIN(J31+G31,(J31+G31)*'Hoja 4 - Cálculo'!$B$15)</f>
        <v>0.66527749999999997</v>
      </c>
      <c r="L31" s="15">
        <f t="shared" si="2"/>
        <v>32.598597499999997</v>
      </c>
      <c r="M31" s="15">
        <f t="shared" si="3"/>
        <v>8.625</v>
      </c>
      <c r="N31" s="15">
        <f t="shared" si="4"/>
        <v>1</v>
      </c>
      <c r="O31" s="15">
        <f t="shared" si="5"/>
        <v>22.973597499999997</v>
      </c>
      <c r="P31" s="15">
        <f t="shared" si="6"/>
        <v>0</v>
      </c>
      <c r="Q31" s="14" t="str">
        <f>IF(M31&gt;=I31*'Hoja 4 - Cálculo'!$B$16,"Satisfactorio","Falla")</f>
        <v>Satisfactorio</v>
      </c>
      <c r="R31" s="14">
        <f t="shared" si="8"/>
        <v>0</v>
      </c>
      <c r="S31" s="14">
        <f t="shared" si="9"/>
        <v>0</v>
      </c>
    </row>
    <row r="32" spans="1:19">
      <c r="A32" s="14" t="str">
        <f t="shared" si="0"/>
        <v>SRY-1-1</v>
      </c>
      <c r="B32" s="15">
        <f>'Curvas SRY'!$B$8</f>
        <v>1</v>
      </c>
      <c r="C32" s="15">
        <f>'Curvas SRY'!$E$8</f>
        <v>0.75</v>
      </c>
      <c r="D32" s="14" t="str">
        <f>'Curvas SRY'!$B$14</f>
        <v>Uso variable</v>
      </c>
      <c r="E32" s="14">
        <f>29</f>
        <v>29</v>
      </c>
      <c r="F32" s="21">
        <f>'Hoja 4 - Cálculo'!A53</f>
        <v>30437</v>
      </c>
      <c r="G32" s="15">
        <f>'Hoja 4 - Cálculo'!H53</f>
        <v>29.356874999999999</v>
      </c>
      <c r="H32" s="15">
        <f>IF(D32="Uso único",'Hoja 4 - Cálculo'!I53,IF(D32="Uso múltiple",AVERAGE('Hoja 4 - Cálculo'!$I$25:$I$384)+AVERAGE('Hoja 4 - Cálculo'!$J$25:$J$384)+AVERAGE('Hoja 4 - Cálculo'!$K$25:$K$384),IF(D32="Uso prioritario",'Hoja 4 - Cálculo'!I53+'Hoja 4 - Cálculo'!K53,'Hoja 4 - Cálculo'!I53+'Hoja 4 - Cálculo'!J53+'Hoja 4 - Cálculo'!K53)))</f>
        <v>11.5</v>
      </c>
      <c r="I32" s="15">
        <f t="shared" si="1"/>
        <v>8.625</v>
      </c>
      <c r="J32" s="15">
        <f t="shared" si="7"/>
        <v>1</v>
      </c>
      <c r="K32" s="15">
        <f>MIN(J32+G32,(J32+G32)*'Hoja 4 - Cálculo'!$B$15)</f>
        <v>0.6071375</v>
      </c>
      <c r="L32" s="15">
        <f t="shared" si="2"/>
        <v>29.749737499999998</v>
      </c>
      <c r="M32" s="15">
        <f t="shared" si="3"/>
        <v>8.625</v>
      </c>
      <c r="N32" s="15">
        <f t="shared" si="4"/>
        <v>1</v>
      </c>
      <c r="O32" s="15">
        <f t="shared" si="5"/>
        <v>20.124737499999998</v>
      </c>
      <c r="P32" s="15">
        <f t="shared" si="6"/>
        <v>0</v>
      </c>
      <c r="Q32" s="14" t="str">
        <f>IF(M32&gt;=I32*'Hoja 4 - Cálculo'!$B$16,"Satisfactorio","Falla")</f>
        <v>Satisfactorio</v>
      </c>
      <c r="R32" s="14">
        <f t="shared" si="8"/>
        <v>0</v>
      </c>
      <c r="S32" s="14">
        <f t="shared" si="9"/>
        <v>0</v>
      </c>
    </row>
    <row r="33" spans="1:19">
      <c r="A33" s="14" t="str">
        <f t="shared" si="0"/>
        <v>SRY-1-1</v>
      </c>
      <c r="B33" s="15">
        <f>'Curvas SRY'!$B$8</f>
        <v>1</v>
      </c>
      <c r="C33" s="15">
        <f>'Curvas SRY'!$E$8</f>
        <v>0.75</v>
      </c>
      <c r="D33" s="14" t="str">
        <f>'Curvas SRY'!$B$14</f>
        <v>Uso variable</v>
      </c>
      <c r="E33" s="14">
        <f>30</f>
        <v>30</v>
      </c>
      <c r="F33" s="21">
        <f>'Hoja 4 - Cálculo'!A54</f>
        <v>30468</v>
      </c>
      <c r="G33" s="15">
        <f>'Hoja 4 - Cálculo'!H54</f>
        <v>17.212499999999999</v>
      </c>
      <c r="H33" s="15">
        <f>IF(D33="Uso único",'Hoja 4 - Cálculo'!I54,IF(D33="Uso múltiple",AVERAGE('Hoja 4 - Cálculo'!$I$25:$I$384)+AVERAGE('Hoja 4 - Cálculo'!$J$25:$J$384)+AVERAGE('Hoja 4 - Cálculo'!$K$25:$K$384),IF(D33="Uso prioritario",'Hoja 4 - Cálculo'!I54+'Hoja 4 - Cálculo'!K54,'Hoja 4 - Cálculo'!I54+'Hoja 4 - Cálculo'!J54+'Hoja 4 - Cálculo'!K54)))</f>
        <v>11.5</v>
      </c>
      <c r="I33" s="15">
        <f t="shared" si="1"/>
        <v>8.625</v>
      </c>
      <c r="J33" s="15">
        <f t="shared" si="7"/>
        <v>1</v>
      </c>
      <c r="K33" s="15">
        <f>MIN(J33+G33,(J33+G33)*'Hoja 4 - Cálculo'!$B$15)</f>
        <v>0.36424999999999996</v>
      </c>
      <c r="L33" s="15">
        <f t="shared" si="2"/>
        <v>17.84825</v>
      </c>
      <c r="M33" s="15">
        <f t="shared" si="3"/>
        <v>8.625</v>
      </c>
      <c r="N33" s="15">
        <f t="shared" si="4"/>
        <v>1</v>
      </c>
      <c r="O33" s="15">
        <f t="shared" si="5"/>
        <v>8.2232500000000002</v>
      </c>
      <c r="P33" s="15">
        <f t="shared" si="6"/>
        <v>0</v>
      </c>
      <c r="Q33" s="14" t="str">
        <f>IF(M33&gt;=I33*'Hoja 4 - Cálculo'!$B$16,"Satisfactorio","Falla")</f>
        <v>Satisfactorio</v>
      </c>
      <c r="R33" s="14">
        <f t="shared" si="8"/>
        <v>0</v>
      </c>
      <c r="S33" s="14">
        <f t="shared" si="9"/>
        <v>0</v>
      </c>
    </row>
    <row r="34" spans="1:19">
      <c r="A34" s="14" t="str">
        <f t="shared" si="0"/>
        <v>SRY-1-1</v>
      </c>
      <c r="B34" s="15">
        <f>'Curvas SRY'!$B$8</f>
        <v>1</v>
      </c>
      <c r="C34" s="15">
        <f>'Curvas SRY'!$E$8</f>
        <v>0.75</v>
      </c>
      <c r="D34" s="14" t="str">
        <f>'Curvas SRY'!$B$14</f>
        <v>Uso variable</v>
      </c>
      <c r="E34" s="14">
        <f>31</f>
        <v>31</v>
      </c>
      <c r="F34" s="21">
        <f>'Hoja 4 - Cálculo'!A55</f>
        <v>30498</v>
      </c>
      <c r="G34" s="15">
        <f>'Hoja 4 - Cálculo'!H55</f>
        <v>13.597875</v>
      </c>
      <c r="H34" s="15">
        <f>IF(D34="Uso único",'Hoja 4 - Cálculo'!I55,IF(D34="Uso múltiple",AVERAGE('Hoja 4 - Cálculo'!$I$25:$I$384)+AVERAGE('Hoja 4 - Cálculo'!$J$25:$J$384)+AVERAGE('Hoja 4 - Cálculo'!$K$25:$K$384),IF(D34="Uso prioritario",'Hoja 4 - Cálculo'!I55+'Hoja 4 - Cálculo'!K55,'Hoja 4 - Cálculo'!I55+'Hoja 4 - Cálculo'!J55+'Hoja 4 - Cálculo'!K55)))</f>
        <v>16</v>
      </c>
      <c r="I34" s="15">
        <f t="shared" si="1"/>
        <v>12</v>
      </c>
      <c r="J34" s="15">
        <f t="shared" si="7"/>
        <v>1</v>
      </c>
      <c r="K34" s="15">
        <f>MIN(J34+G34,(J34+G34)*'Hoja 4 - Cálculo'!$B$15)</f>
        <v>0.29195750000000004</v>
      </c>
      <c r="L34" s="15">
        <f t="shared" si="2"/>
        <v>14.3059175</v>
      </c>
      <c r="M34" s="15">
        <f t="shared" si="3"/>
        <v>12</v>
      </c>
      <c r="N34" s="15">
        <f t="shared" si="4"/>
        <v>1</v>
      </c>
      <c r="O34" s="15">
        <f t="shared" si="5"/>
        <v>1.3059174999999996</v>
      </c>
      <c r="P34" s="15">
        <f t="shared" si="6"/>
        <v>0</v>
      </c>
      <c r="Q34" s="14" t="str">
        <f>IF(M34&gt;=I34*'Hoja 4 - Cálculo'!$B$16,"Satisfactorio","Falla")</f>
        <v>Satisfactorio</v>
      </c>
      <c r="R34" s="14">
        <f t="shared" si="8"/>
        <v>0</v>
      </c>
      <c r="S34" s="14">
        <f t="shared" si="9"/>
        <v>0</v>
      </c>
    </row>
    <row r="35" spans="1:19">
      <c r="A35" s="14" t="str">
        <f t="shared" si="0"/>
        <v>SRY-1-1</v>
      </c>
      <c r="B35" s="15">
        <f>'Curvas SRY'!$B$8</f>
        <v>1</v>
      </c>
      <c r="C35" s="15">
        <f>'Curvas SRY'!$E$8</f>
        <v>0.75</v>
      </c>
      <c r="D35" s="14" t="str">
        <f>'Curvas SRY'!$B$14</f>
        <v>Uso variable</v>
      </c>
      <c r="E35" s="14">
        <f>32</f>
        <v>32</v>
      </c>
      <c r="F35" s="21">
        <f>'Hoja 4 - Cálculo'!A56</f>
        <v>30529</v>
      </c>
      <c r="G35" s="15">
        <f>'Hoja 4 - Cálculo'!H56</f>
        <v>14.592375000000001</v>
      </c>
      <c r="H35" s="15">
        <f>IF(D35="Uso único",'Hoja 4 - Cálculo'!I56,IF(D35="Uso múltiple",AVERAGE('Hoja 4 - Cálculo'!$I$25:$I$384)+AVERAGE('Hoja 4 - Cálculo'!$J$25:$J$384)+AVERAGE('Hoja 4 - Cálculo'!$K$25:$K$384),IF(D35="Uso prioritario",'Hoja 4 - Cálculo'!I56+'Hoja 4 - Cálculo'!K56,'Hoja 4 - Cálculo'!I56+'Hoja 4 - Cálculo'!J56+'Hoja 4 - Cálculo'!K56)))</f>
        <v>16</v>
      </c>
      <c r="I35" s="15">
        <f t="shared" si="1"/>
        <v>12</v>
      </c>
      <c r="J35" s="15">
        <f t="shared" si="7"/>
        <v>1</v>
      </c>
      <c r="K35" s="15">
        <f>MIN(J35+G35,(J35+G35)*'Hoja 4 - Cálculo'!$B$15)</f>
        <v>0.3118475</v>
      </c>
      <c r="L35" s="15">
        <f t="shared" si="2"/>
        <v>15.2805275</v>
      </c>
      <c r="M35" s="15">
        <f t="shared" si="3"/>
        <v>12</v>
      </c>
      <c r="N35" s="15">
        <f t="shared" si="4"/>
        <v>1</v>
      </c>
      <c r="O35" s="15">
        <f t="shared" si="5"/>
        <v>2.2805274999999998</v>
      </c>
      <c r="P35" s="15">
        <f t="shared" si="6"/>
        <v>0</v>
      </c>
      <c r="Q35" s="14" t="str">
        <f>IF(M35&gt;=I35*'Hoja 4 - Cálculo'!$B$16,"Satisfactorio","Falla")</f>
        <v>Satisfactorio</v>
      </c>
      <c r="R35" s="14">
        <f t="shared" si="8"/>
        <v>0</v>
      </c>
      <c r="S35" s="14">
        <f t="shared" si="9"/>
        <v>0</v>
      </c>
    </row>
    <row r="36" spans="1:19">
      <c r="A36" s="14" t="str">
        <f t="shared" ref="A36:A67" si="10">"SRY-1-1"</f>
        <v>SRY-1-1</v>
      </c>
      <c r="B36" s="15">
        <f>'Curvas SRY'!$B$8</f>
        <v>1</v>
      </c>
      <c r="C36" s="15">
        <f>'Curvas SRY'!$E$8</f>
        <v>0.75</v>
      </c>
      <c r="D36" s="14" t="str">
        <f>'Curvas SRY'!$B$14</f>
        <v>Uso variable</v>
      </c>
      <c r="E36" s="14">
        <f>33</f>
        <v>33</v>
      </c>
      <c r="F36" s="21">
        <f>'Hoja 4 - Cálculo'!A57</f>
        <v>30560</v>
      </c>
      <c r="G36" s="15">
        <f>'Hoja 4 - Cálculo'!H57</f>
        <v>24.307874999999999</v>
      </c>
      <c r="H36" s="15">
        <f>IF(D36="Uso único",'Hoja 4 - Cálculo'!I57,IF(D36="Uso múltiple",AVERAGE('Hoja 4 - Cálculo'!$I$25:$I$384)+AVERAGE('Hoja 4 - Cálculo'!$J$25:$J$384)+AVERAGE('Hoja 4 - Cálculo'!$K$25:$K$384),IF(D36="Uso prioritario",'Hoja 4 - Cálculo'!I57+'Hoja 4 - Cálculo'!K57,'Hoja 4 - Cálculo'!I57+'Hoja 4 - Cálculo'!J57+'Hoja 4 - Cálculo'!K57)))</f>
        <v>11.5</v>
      </c>
      <c r="I36" s="15">
        <f t="shared" si="1"/>
        <v>8.625</v>
      </c>
      <c r="J36" s="15">
        <f t="shared" si="7"/>
        <v>1</v>
      </c>
      <c r="K36" s="15">
        <f>MIN(J36+G36,(J36+G36)*'Hoja 4 - Cálculo'!$B$15)</f>
        <v>0.50615750000000004</v>
      </c>
      <c r="L36" s="15">
        <f t="shared" si="2"/>
        <v>24.801717499999999</v>
      </c>
      <c r="M36" s="15">
        <f t="shared" si="3"/>
        <v>8.625</v>
      </c>
      <c r="N36" s="15">
        <f t="shared" si="4"/>
        <v>1</v>
      </c>
      <c r="O36" s="15">
        <f t="shared" si="5"/>
        <v>15.176717499999999</v>
      </c>
      <c r="P36" s="15">
        <f t="shared" si="6"/>
        <v>0</v>
      </c>
      <c r="Q36" s="14" t="str">
        <f>IF(M36&gt;=I36*'Hoja 4 - Cálculo'!$B$16,"Satisfactorio","Falla")</f>
        <v>Satisfactorio</v>
      </c>
      <c r="R36" s="14">
        <f t="shared" si="8"/>
        <v>0</v>
      </c>
      <c r="S36" s="14">
        <f t="shared" si="9"/>
        <v>0</v>
      </c>
    </row>
    <row r="37" spans="1:19">
      <c r="A37" s="14" t="str">
        <f t="shared" si="10"/>
        <v>SRY-1-1</v>
      </c>
      <c r="B37" s="15">
        <f>'Curvas SRY'!$B$8</f>
        <v>1</v>
      </c>
      <c r="C37" s="15">
        <f>'Curvas SRY'!$E$8</f>
        <v>0.75</v>
      </c>
      <c r="D37" s="14" t="str">
        <f>'Curvas SRY'!$B$14</f>
        <v>Uso variable</v>
      </c>
      <c r="E37" s="14">
        <f>34</f>
        <v>34</v>
      </c>
      <c r="F37" s="21">
        <f>'Hoja 4 - Cálculo'!A58</f>
        <v>30590</v>
      </c>
      <c r="G37" s="15">
        <f>'Hoja 4 - Cálculo'!H58</f>
        <v>33.564374999999998</v>
      </c>
      <c r="H37" s="15">
        <f>IF(D37="Uso único",'Hoja 4 - Cálculo'!I58,IF(D37="Uso múltiple",AVERAGE('Hoja 4 - Cálculo'!$I$25:$I$384)+AVERAGE('Hoja 4 - Cálculo'!$J$25:$J$384)+AVERAGE('Hoja 4 - Cálculo'!$K$25:$K$384),IF(D37="Uso prioritario",'Hoja 4 - Cálculo'!I58+'Hoja 4 - Cálculo'!K58,'Hoja 4 - Cálculo'!I58+'Hoja 4 - Cálculo'!J58+'Hoja 4 - Cálculo'!K58)))</f>
        <v>11.5</v>
      </c>
      <c r="I37" s="15">
        <f t="shared" si="1"/>
        <v>8.625</v>
      </c>
      <c r="J37" s="15">
        <f t="shared" ref="J37:J68" si="11">N36</f>
        <v>1</v>
      </c>
      <c r="K37" s="15">
        <f>MIN(J37+G37,(J37+G37)*'Hoja 4 - Cálculo'!$B$15)</f>
        <v>0.69128749999999994</v>
      </c>
      <c r="L37" s="15">
        <f t="shared" si="2"/>
        <v>33.873087499999997</v>
      </c>
      <c r="M37" s="15">
        <f t="shared" si="3"/>
        <v>8.625</v>
      </c>
      <c r="N37" s="15">
        <f t="shared" si="4"/>
        <v>1</v>
      </c>
      <c r="O37" s="15">
        <f t="shared" si="5"/>
        <v>24.248087499999997</v>
      </c>
      <c r="P37" s="15">
        <f t="shared" si="6"/>
        <v>0</v>
      </c>
      <c r="Q37" s="14" t="str">
        <f>IF(M37&gt;=I37*'Hoja 4 - Cálculo'!$B$16,"Satisfactorio","Falla")</f>
        <v>Satisfactorio</v>
      </c>
      <c r="R37" s="14">
        <f t="shared" ref="R37:R68" si="12">IF(AND(Q36="Falla",Q37="Satisfactorio"),1,0)</f>
        <v>0</v>
      </c>
      <c r="S37" s="14">
        <f t="shared" ref="S37:S68" si="13">IF(AND(Q37="Falla",Q36&lt;&gt;"Falla"),1,0)</f>
        <v>0</v>
      </c>
    </row>
    <row r="38" spans="1:19">
      <c r="A38" s="14" t="str">
        <f t="shared" si="10"/>
        <v>SRY-1-1</v>
      </c>
      <c r="B38" s="15">
        <f>'Curvas SRY'!$B$8</f>
        <v>1</v>
      </c>
      <c r="C38" s="15">
        <f>'Curvas SRY'!$E$8</f>
        <v>0.75</v>
      </c>
      <c r="D38" s="14" t="str">
        <f>'Curvas SRY'!$B$14</f>
        <v>Uso variable</v>
      </c>
      <c r="E38" s="14">
        <f>35</f>
        <v>35</v>
      </c>
      <c r="F38" s="21">
        <f>'Hoja 4 - Cálculo'!A59</f>
        <v>30621</v>
      </c>
      <c r="G38" s="15">
        <f>'Hoja 4 - Cálculo'!H59</f>
        <v>28.075500000000002</v>
      </c>
      <c r="H38" s="15">
        <f>IF(D38="Uso único",'Hoja 4 - Cálculo'!I59,IF(D38="Uso múltiple",AVERAGE('Hoja 4 - Cálculo'!$I$25:$I$384)+AVERAGE('Hoja 4 - Cálculo'!$J$25:$J$384)+AVERAGE('Hoja 4 - Cálculo'!$K$25:$K$384),IF(D38="Uso prioritario",'Hoja 4 - Cálculo'!I59+'Hoja 4 - Cálculo'!K59,'Hoja 4 - Cálculo'!I59+'Hoja 4 - Cálculo'!J59+'Hoja 4 - Cálculo'!K59)))</f>
        <v>11.5</v>
      </c>
      <c r="I38" s="15">
        <f t="shared" si="1"/>
        <v>8.625</v>
      </c>
      <c r="J38" s="15">
        <f t="shared" si="11"/>
        <v>1</v>
      </c>
      <c r="K38" s="15">
        <f>MIN(J38+G38,(J38+G38)*'Hoja 4 - Cálculo'!$B$15)</f>
        <v>0.58151000000000008</v>
      </c>
      <c r="L38" s="15">
        <f t="shared" si="2"/>
        <v>28.49399</v>
      </c>
      <c r="M38" s="15">
        <f t="shared" si="3"/>
        <v>8.625</v>
      </c>
      <c r="N38" s="15">
        <f t="shared" si="4"/>
        <v>1</v>
      </c>
      <c r="O38" s="15">
        <f t="shared" si="5"/>
        <v>18.86899</v>
      </c>
      <c r="P38" s="15">
        <f t="shared" si="6"/>
        <v>0</v>
      </c>
      <c r="Q38" s="14" t="str">
        <f>IF(M38&gt;=I38*'Hoja 4 - Cálculo'!$B$16,"Satisfactorio","Falla")</f>
        <v>Satisfactorio</v>
      </c>
      <c r="R38" s="14">
        <f t="shared" si="12"/>
        <v>0</v>
      </c>
      <c r="S38" s="14">
        <f t="shared" si="13"/>
        <v>0</v>
      </c>
    </row>
    <row r="39" spans="1:19">
      <c r="A39" s="14" t="str">
        <f t="shared" si="10"/>
        <v>SRY-1-1</v>
      </c>
      <c r="B39" s="15">
        <f>'Curvas SRY'!$B$8</f>
        <v>1</v>
      </c>
      <c r="C39" s="15">
        <f>'Curvas SRY'!$E$8</f>
        <v>0.75</v>
      </c>
      <c r="D39" s="14" t="str">
        <f>'Curvas SRY'!$B$14</f>
        <v>Uso variable</v>
      </c>
      <c r="E39" s="14">
        <f>36</f>
        <v>36</v>
      </c>
      <c r="F39" s="21">
        <f>'Hoja 4 - Cálculo'!A60</f>
        <v>30651</v>
      </c>
      <c r="G39" s="15">
        <f>'Hoja 4 - Cálculo'!H60</f>
        <v>15.931125</v>
      </c>
      <c r="H39" s="15">
        <f>IF(D39="Uso único",'Hoja 4 - Cálculo'!I60,IF(D39="Uso múltiple",AVERAGE('Hoja 4 - Cálculo'!$I$25:$I$384)+AVERAGE('Hoja 4 - Cálculo'!$J$25:$J$384)+AVERAGE('Hoja 4 - Cálculo'!$K$25:$K$384),IF(D39="Uso prioritario",'Hoja 4 - Cálculo'!I60+'Hoja 4 - Cálculo'!K60,'Hoja 4 - Cálculo'!I60+'Hoja 4 - Cálculo'!J60+'Hoja 4 - Cálculo'!K60)))</f>
        <v>16</v>
      </c>
      <c r="I39" s="15">
        <f t="shared" si="1"/>
        <v>12</v>
      </c>
      <c r="J39" s="15">
        <f t="shared" si="11"/>
        <v>1</v>
      </c>
      <c r="K39" s="15">
        <f>MIN(J39+G39,(J39+G39)*'Hoja 4 - Cálculo'!$B$15)</f>
        <v>0.33862250000000005</v>
      </c>
      <c r="L39" s="15">
        <f t="shared" si="2"/>
        <v>16.592502500000002</v>
      </c>
      <c r="M39" s="15">
        <f t="shared" si="3"/>
        <v>12</v>
      </c>
      <c r="N39" s="15">
        <f t="shared" si="4"/>
        <v>1</v>
      </c>
      <c r="O39" s="15">
        <f t="shared" si="5"/>
        <v>3.5925025000000019</v>
      </c>
      <c r="P39" s="15">
        <f t="shared" si="6"/>
        <v>0</v>
      </c>
      <c r="Q39" s="14" t="str">
        <f>IF(M39&gt;=I39*'Hoja 4 - Cálculo'!$B$16,"Satisfactorio","Falla")</f>
        <v>Satisfactorio</v>
      </c>
      <c r="R39" s="14">
        <f t="shared" si="12"/>
        <v>0</v>
      </c>
      <c r="S39" s="14">
        <f t="shared" si="13"/>
        <v>0</v>
      </c>
    </row>
    <row r="40" spans="1:19">
      <c r="A40" s="14" t="str">
        <f t="shared" si="10"/>
        <v>SRY-1-1</v>
      </c>
      <c r="B40" s="15">
        <f>'Curvas SRY'!$B$8</f>
        <v>1</v>
      </c>
      <c r="C40" s="15">
        <f>'Curvas SRY'!$E$8</f>
        <v>0.75</v>
      </c>
      <c r="D40" s="14" t="str">
        <f>'Curvas SRY'!$B$14</f>
        <v>Uso variable</v>
      </c>
      <c r="E40" s="14">
        <f>37</f>
        <v>37</v>
      </c>
      <c r="F40" s="21">
        <f>'Hoja 4 - Cálculo'!A61</f>
        <v>30682</v>
      </c>
      <c r="G40" s="15">
        <f>'Hoja 4 - Cálculo'!H61</f>
        <v>10.920375</v>
      </c>
      <c r="H40" s="15">
        <f>IF(D40="Uso único",'Hoja 4 - Cálculo'!I61,IF(D40="Uso múltiple",AVERAGE('Hoja 4 - Cálculo'!$I$25:$I$384)+AVERAGE('Hoja 4 - Cálculo'!$J$25:$J$384)+AVERAGE('Hoja 4 - Cálculo'!$K$25:$K$384),IF(D40="Uso prioritario",'Hoja 4 - Cálculo'!I61+'Hoja 4 - Cálculo'!K61,'Hoja 4 - Cálculo'!I61+'Hoja 4 - Cálculo'!J61+'Hoja 4 - Cálculo'!K61)))</f>
        <v>16</v>
      </c>
      <c r="I40" s="15">
        <f t="shared" si="1"/>
        <v>12</v>
      </c>
      <c r="J40" s="15">
        <f t="shared" si="11"/>
        <v>1</v>
      </c>
      <c r="K40" s="15">
        <f>MIN(J40+G40,(J40+G40)*'Hoja 4 - Cálculo'!$B$15)</f>
        <v>0.23840749999999999</v>
      </c>
      <c r="L40" s="15">
        <f t="shared" si="2"/>
        <v>11.681967500000001</v>
      </c>
      <c r="M40" s="15">
        <f t="shared" si="3"/>
        <v>11.681967500000001</v>
      </c>
      <c r="N40" s="15">
        <f t="shared" si="4"/>
        <v>0</v>
      </c>
      <c r="O40" s="15">
        <f t="shared" si="5"/>
        <v>0</v>
      </c>
      <c r="P40" s="15">
        <f t="shared" si="6"/>
        <v>0.31803249999999927</v>
      </c>
      <c r="Q40" s="14" t="str">
        <f>IF(M40&gt;=I40*'Hoja 4 - Cálculo'!$B$16,"Satisfactorio","Falla")</f>
        <v>Falla</v>
      </c>
      <c r="R40" s="14">
        <f t="shared" si="12"/>
        <v>0</v>
      </c>
      <c r="S40" s="14">
        <f t="shared" si="13"/>
        <v>1</v>
      </c>
    </row>
    <row r="41" spans="1:19">
      <c r="A41" s="14" t="str">
        <f t="shared" si="10"/>
        <v>SRY-1-1</v>
      </c>
      <c r="B41" s="15">
        <f>'Curvas SRY'!$B$8</f>
        <v>1</v>
      </c>
      <c r="C41" s="15">
        <f>'Curvas SRY'!$E$8</f>
        <v>0.75</v>
      </c>
      <c r="D41" s="14" t="str">
        <f>'Curvas SRY'!$B$14</f>
        <v>Uso variable</v>
      </c>
      <c r="E41" s="14">
        <f>38</f>
        <v>38</v>
      </c>
      <c r="F41" s="21">
        <f>'Hoja 4 - Cálculo'!A62</f>
        <v>30713</v>
      </c>
      <c r="G41" s="15">
        <f>'Hoja 4 - Cálculo'!H62</f>
        <v>13.04325</v>
      </c>
      <c r="H41" s="15">
        <f>IF(D41="Uso único",'Hoja 4 - Cálculo'!I62,IF(D41="Uso múltiple",AVERAGE('Hoja 4 - Cálculo'!$I$25:$I$384)+AVERAGE('Hoja 4 - Cálculo'!$J$25:$J$384)+AVERAGE('Hoja 4 - Cálculo'!$K$25:$K$384),IF(D41="Uso prioritario",'Hoja 4 - Cálculo'!I62+'Hoja 4 - Cálculo'!K62,'Hoja 4 - Cálculo'!I62+'Hoja 4 - Cálculo'!J62+'Hoja 4 - Cálculo'!K62)))</f>
        <v>16</v>
      </c>
      <c r="I41" s="15">
        <f t="shared" si="1"/>
        <v>12</v>
      </c>
      <c r="J41" s="15">
        <f t="shared" si="11"/>
        <v>0</v>
      </c>
      <c r="K41" s="15">
        <f>MIN(J41+G41,(J41+G41)*'Hoja 4 - Cálculo'!$B$15)</f>
        <v>0.26086500000000001</v>
      </c>
      <c r="L41" s="15">
        <f t="shared" si="2"/>
        <v>12.782385</v>
      </c>
      <c r="M41" s="15">
        <f t="shared" si="3"/>
        <v>12</v>
      </c>
      <c r="N41" s="15">
        <f t="shared" si="4"/>
        <v>0.78238499999999966</v>
      </c>
      <c r="O41" s="15">
        <f t="shared" si="5"/>
        <v>0</v>
      </c>
      <c r="P41" s="15">
        <f t="shared" si="6"/>
        <v>0</v>
      </c>
      <c r="Q41" s="14" t="str">
        <f>IF(M41&gt;=I41*'Hoja 4 - Cálculo'!$B$16,"Satisfactorio","Falla")</f>
        <v>Satisfactorio</v>
      </c>
      <c r="R41" s="14">
        <f t="shared" si="12"/>
        <v>1</v>
      </c>
      <c r="S41" s="14">
        <f t="shared" si="13"/>
        <v>0</v>
      </c>
    </row>
    <row r="42" spans="1:19">
      <c r="A42" s="14" t="str">
        <f t="shared" si="10"/>
        <v>SRY-1-1</v>
      </c>
      <c r="B42" s="15">
        <f>'Curvas SRY'!$B$8</f>
        <v>1</v>
      </c>
      <c r="C42" s="15">
        <f>'Curvas SRY'!$E$8</f>
        <v>0.75</v>
      </c>
      <c r="D42" s="14" t="str">
        <f>'Curvas SRY'!$B$14</f>
        <v>Uso variable</v>
      </c>
      <c r="E42" s="14">
        <f>39</f>
        <v>39</v>
      </c>
      <c r="F42" s="21">
        <f>'Hoja 4 - Cálculo'!A63</f>
        <v>30742</v>
      </c>
      <c r="G42" s="15">
        <f>'Hoja 4 - Cálculo'!H63</f>
        <v>20.272500000000001</v>
      </c>
      <c r="H42" s="15">
        <f>IF(D42="Uso único",'Hoja 4 - Cálculo'!I63,IF(D42="Uso múltiple",AVERAGE('Hoja 4 - Cálculo'!$I$25:$I$384)+AVERAGE('Hoja 4 - Cálculo'!$J$25:$J$384)+AVERAGE('Hoja 4 - Cálculo'!$K$25:$K$384),IF(D42="Uso prioritario",'Hoja 4 - Cálculo'!I63+'Hoja 4 - Cálculo'!K63,'Hoja 4 - Cálculo'!I63+'Hoja 4 - Cálculo'!J63+'Hoja 4 - Cálculo'!K63)))</f>
        <v>16</v>
      </c>
      <c r="I42" s="15">
        <f t="shared" si="1"/>
        <v>12</v>
      </c>
      <c r="J42" s="15">
        <f t="shared" si="11"/>
        <v>0.78238499999999966</v>
      </c>
      <c r="K42" s="15">
        <f>MIN(J42+G42,(J42+G42)*'Hoja 4 - Cálculo'!$B$15)</f>
        <v>0.42109769999999996</v>
      </c>
      <c r="L42" s="15">
        <f t="shared" si="2"/>
        <v>20.633787299999998</v>
      </c>
      <c r="M42" s="15">
        <f t="shared" si="3"/>
        <v>12</v>
      </c>
      <c r="N42" s="15">
        <f t="shared" si="4"/>
        <v>1</v>
      </c>
      <c r="O42" s="15">
        <f t="shared" si="5"/>
        <v>7.6337872999999981</v>
      </c>
      <c r="P42" s="15">
        <f t="shared" si="6"/>
        <v>0</v>
      </c>
      <c r="Q42" s="14" t="str">
        <f>IF(M42&gt;=I42*'Hoja 4 - Cálculo'!$B$16,"Satisfactorio","Falla")</f>
        <v>Satisfactorio</v>
      </c>
      <c r="R42" s="14">
        <f t="shared" si="12"/>
        <v>0</v>
      </c>
      <c r="S42" s="14">
        <f t="shared" si="13"/>
        <v>0</v>
      </c>
    </row>
    <row r="43" spans="1:19">
      <c r="A43" s="14" t="str">
        <f t="shared" si="10"/>
        <v>SRY-1-1</v>
      </c>
      <c r="B43" s="15">
        <f>'Curvas SRY'!$B$8</f>
        <v>1</v>
      </c>
      <c r="C43" s="15">
        <f>'Curvas SRY'!$E$8</f>
        <v>0.75</v>
      </c>
      <c r="D43" s="14" t="str">
        <f>'Curvas SRY'!$B$14</f>
        <v>Uso variable</v>
      </c>
      <c r="E43" s="14">
        <f>40</f>
        <v>40</v>
      </c>
      <c r="F43" s="21">
        <f>'Hoja 4 - Cálculo'!A64</f>
        <v>30773</v>
      </c>
      <c r="G43" s="15">
        <f>'Hoja 4 - Cálculo'!H64</f>
        <v>27.922499999999999</v>
      </c>
      <c r="H43" s="15">
        <f>IF(D43="Uso único",'Hoja 4 - Cálculo'!I64,IF(D43="Uso múltiple",AVERAGE('Hoja 4 - Cálculo'!$I$25:$I$384)+AVERAGE('Hoja 4 - Cálculo'!$J$25:$J$384)+AVERAGE('Hoja 4 - Cálculo'!$K$25:$K$384),IF(D43="Uso prioritario",'Hoja 4 - Cálculo'!I64+'Hoja 4 - Cálculo'!K64,'Hoja 4 - Cálculo'!I64+'Hoja 4 - Cálculo'!J64+'Hoja 4 - Cálculo'!K64)))</f>
        <v>11.5</v>
      </c>
      <c r="I43" s="15">
        <f t="shared" si="1"/>
        <v>8.625</v>
      </c>
      <c r="J43" s="15">
        <f t="shared" si="11"/>
        <v>1</v>
      </c>
      <c r="K43" s="15">
        <f>MIN(J43+G43,(J43+G43)*'Hoja 4 - Cálculo'!$B$15)</f>
        <v>0.57845000000000002</v>
      </c>
      <c r="L43" s="15">
        <f t="shared" si="2"/>
        <v>28.344049999999999</v>
      </c>
      <c r="M43" s="15">
        <f t="shared" si="3"/>
        <v>8.625</v>
      </c>
      <c r="N43" s="15">
        <f t="shared" si="4"/>
        <v>1</v>
      </c>
      <c r="O43" s="15">
        <f t="shared" si="5"/>
        <v>18.719049999999999</v>
      </c>
      <c r="P43" s="15">
        <f t="shared" si="6"/>
        <v>0</v>
      </c>
      <c r="Q43" s="14" t="str">
        <f>IF(M43&gt;=I43*'Hoja 4 - Cálculo'!$B$16,"Satisfactorio","Falla")</f>
        <v>Satisfactorio</v>
      </c>
      <c r="R43" s="14">
        <f t="shared" si="12"/>
        <v>0</v>
      </c>
      <c r="S43" s="14">
        <f t="shared" si="13"/>
        <v>0</v>
      </c>
    </row>
    <row r="44" spans="1:19">
      <c r="A44" s="14" t="str">
        <f t="shared" si="10"/>
        <v>SRY-1-1</v>
      </c>
      <c r="B44" s="15">
        <f>'Curvas SRY'!$B$8</f>
        <v>1</v>
      </c>
      <c r="C44" s="15">
        <f>'Curvas SRY'!$E$8</f>
        <v>0.75</v>
      </c>
      <c r="D44" s="14" t="str">
        <f>'Curvas SRY'!$B$14</f>
        <v>Uso variable</v>
      </c>
      <c r="E44" s="14">
        <f>41</f>
        <v>41</v>
      </c>
      <c r="F44" s="21">
        <f>'Hoja 4 - Cálculo'!A65</f>
        <v>30803</v>
      </c>
      <c r="G44" s="15">
        <f>'Hoja 4 - Cálculo'!H65</f>
        <v>23.657624999999999</v>
      </c>
      <c r="H44" s="15">
        <f>IF(D44="Uso único",'Hoja 4 - Cálculo'!I65,IF(D44="Uso múltiple",AVERAGE('Hoja 4 - Cálculo'!$I$25:$I$384)+AVERAGE('Hoja 4 - Cálculo'!$J$25:$J$384)+AVERAGE('Hoja 4 - Cálculo'!$K$25:$K$384),IF(D44="Uso prioritario",'Hoja 4 - Cálculo'!I65+'Hoja 4 - Cálculo'!K65,'Hoja 4 - Cálculo'!I65+'Hoja 4 - Cálculo'!J65+'Hoja 4 - Cálculo'!K65)))</f>
        <v>11.5</v>
      </c>
      <c r="I44" s="15">
        <f t="shared" si="1"/>
        <v>8.625</v>
      </c>
      <c r="J44" s="15">
        <f t="shared" si="11"/>
        <v>1</v>
      </c>
      <c r="K44" s="15">
        <f>MIN(J44+G44,(J44+G44)*'Hoja 4 - Cálculo'!$B$15)</f>
        <v>0.49315249999999999</v>
      </c>
      <c r="L44" s="15">
        <f t="shared" si="2"/>
        <v>24.164472499999999</v>
      </c>
      <c r="M44" s="15">
        <f t="shared" si="3"/>
        <v>8.625</v>
      </c>
      <c r="N44" s="15">
        <f t="shared" si="4"/>
        <v>1</v>
      </c>
      <c r="O44" s="15">
        <f t="shared" si="5"/>
        <v>14.539472499999999</v>
      </c>
      <c r="P44" s="15">
        <f t="shared" si="6"/>
        <v>0</v>
      </c>
      <c r="Q44" s="14" t="str">
        <f>IF(M44&gt;=I44*'Hoja 4 - Cálculo'!$B$16,"Satisfactorio","Falla")</f>
        <v>Satisfactorio</v>
      </c>
      <c r="R44" s="14">
        <f t="shared" si="12"/>
        <v>0</v>
      </c>
      <c r="S44" s="14">
        <f t="shared" si="13"/>
        <v>0</v>
      </c>
    </row>
    <row r="45" spans="1:19">
      <c r="A45" s="14" t="str">
        <f t="shared" si="10"/>
        <v>SRY-1-1</v>
      </c>
      <c r="B45" s="15">
        <f>'Curvas SRY'!$B$8</f>
        <v>1</v>
      </c>
      <c r="C45" s="15">
        <f>'Curvas SRY'!$E$8</f>
        <v>0.75</v>
      </c>
      <c r="D45" s="14" t="str">
        <f>'Curvas SRY'!$B$14</f>
        <v>Uso variable</v>
      </c>
      <c r="E45" s="14">
        <f>42</f>
        <v>42</v>
      </c>
      <c r="F45" s="21">
        <f>'Hoja 4 - Cálculo'!A66</f>
        <v>30834</v>
      </c>
      <c r="G45" s="15">
        <f>'Hoja 4 - Cálculo'!H66</f>
        <v>14.554125000000001</v>
      </c>
      <c r="H45" s="15">
        <f>IF(D45="Uso único",'Hoja 4 - Cálculo'!I66,IF(D45="Uso múltiple",AVERAGE('Hoja 4 - Cálculo'!$I$25:$I$384)+AVERAGE('Hoja 4 - Cálculo'!$J$25:$J$384)+AVERAGE('Hoja 4 - Cálculo'!$K$25:$K$384),IF(D45="Uso prioritario",'Hoja 4 - Cálculo'!I66+'Hoja 4 - Cálculo'!K66,'Hoja 4 - Cálculo'!I66+'Hoja 4 - Cálculo'!J66+'Hoja 4 - Cálculo'!K66)))</f>
        <v>11.5</v>
      </c>
      <c r="I45" s="15">
        <f t="shared" si="1"/>
        <v>8.625</v>
      </c>
      <c r="J45" s="15">
        <f t="shared" si="11"/>
        <v>1</v>
      </c>
      <c r="K45" s="15">
        <f>MIN(J45+G45,(J45+G45)*'Hoja 4 - Cálculo'!$B$15)</f>
        <v>0.31108250000000004</v>
      </c>
      <c r="L45" s="15">
        <f t="shared" si="2"/>
        <v>15.243042500000001</v>
      </c>
      <c r="M45" s="15">
        <f t="shared" si="3"/>
        <v>8.625</v>
      </c>
      <c r="N45" s="15">
        <f t="shared" si="4"/>
        <v>1</v>
      </c>
      <c r="O45" s="15">
        <f t="shared" si="5"/>
        <v>5.6180425000000014</v>
      </c>
      <c r="P45" s="15">
        <f t="shared" si="6"/>
        <v>0</v>
      </c>
      <c r="Q45" s="14" t="str">
        <f>IF(M45&gt;=I45*'Hoja 4 - Cálculo'!$B$16,"Satisfactorio","Falla")</f>
        <v>Satisfactorio</v>
      </c>
      <c r="R45" s="14">
        <f t="shared" si="12"/>
        <v>0</v>
      </c>
      <c r="S45" s="14">
        <f t="shared" si="13"/>
        <v>0</v>
      </c>
    </row>
    <row r="46" spans="1:19">
      <c r="A46" s="14" t="str">
        <f t="shared" si="10"/>
        <v>SRY-1-1</v>
      </c>
      <c r="B46" s="15">
        <f>'Curvas SRY'!$B$8</f>
        <v>1</v>
      </c>
      <c r="C46" s="15">
        <f>'Curvas SRY'!$E$8</f>
        <v>0.75</v>
      </c>
      <c r="D46" s="14" t="str">
        <f>'Curvas SRY'!$B$14</f>
        <v>Uso variable</v>
      </c>
      <c r="E46" s="14">
        <f>43</f>
        <v>43</v>
      </c>
      <c r="F46" s="21">
        <f>'Hoja 4 - Cálculo'!A67</f>
        <v>30864</v>
      </c>
      <c r="G46" s="15">
        <f>'Hoja 4 - Cálculo'!H67</f>
        <v>12.794625</v>
      </c>
      <c r="H46" s="15">
        <f>IF(D46="Uso único",'Hoja 4 - Cálculo'!I67,IF(D46="Uso múltiple",AVERAGE('Hoja 4 - Cálculo'!$I$25:$I$384)+AVERAGE('Hoja 4 - Cálculo'!$J$25:$J$384)+AVERAGE('Hoja 4 - Cálculo'!$K$25:$K$384),IF(D46="Uso prioritario",'Hoja 4 - Cálculo'!I67+'Hoja 4 - Cálculo'!K67,'Hoja 4 - Cálculo'!I67+'Hoja 4 - Cálculo'!J67+'Hoja 4 - Cálculo'!K67)))</f>
        <v>16</v>
      </c>
      <c r="I46" s="15">
        <f t="shared" si="1"/>
        <v>12</v>
      </c>
      <c r="J46" s="15">
        <f t="shared" si="11"/>
        <v>1</v>
      </c>
      <c r="K46" s="15">
        <f>MIN(J46+G46,(J46+G46)*'Hoja 4 - Cálculo'!$B$15)</f>
        <v>0.27589249999999998</v>
      </c>
      <c r="L46" s="15">
        <f t="shared" si="2"/>
        <v>13.5187325</v>
      </c>
      <c r="M46" s="15">
        <f t="shared" si="3"/>
        <v>12</v>
      </c>
      <c r="N46" s="15">
        <f t="shared" si="4"/>
        <v>1</v>
      </c>
      <c r="O46" s="15">
        <f t="shared" si="5"/>
        <v>0.51873250000000048</v>
      </c>
      <c r="P46" s="15">
        <f t="shared" si="6"/>
        <v>0</v>
      </c>
      <c r="Q46" s="14" t="str">
        <f>IF(M46&gt;=I46*'Hoja 4 - Cálculo'!$B$16,"Satisfactorio","Falla")</f>
        <v>Satisfactorio</v>
      </c>
      <c r="R46" s="14">
        <f t="shared" si="12"/>
        <v>0</v>
      </c>
      <c r="S46" s="14">
        <f t="shared" si="13"/>
        <v>0</v>
      </c>
    </row>
    <row r="47" spans="1:19">
      <c r="A47" s="14" t="str">
        <f t="shared" si="10"/>
        <v>SRY-1-1</v>
      </c>
      <c r="B47" s="15">
        <f>'Curvas SRY'!$B$8</f>
        <v>1</v>
      </c>
      <c r="C47" s="15">
        <f>'Curvas SRY'!$E$8</f>
        <v>0.75</v>
      </c>
      <c r="D47" s="14" t="str">
        <f>'Curvas SRY'!$B$14</f>
        <v>Uso variable</v>
      </c>
      <c r="E47" s="14">
        <f>44</f>
        <v>44</v>
      </c>
      <c r="F47" s="21">
        <f>'Hoja 4 - Cálculo'!A68</f>
        <v>30895</v>
      </c>
      <c r="G47" s="15">
        <f>'Hoja 4 - Cálculo'!H68</f>
        <v>13.6935</v>
      </c>
      <c r="H47" s="15">
        <f>IF(D47="Uso único",'Hoja 4 - Cálculo'!I68,IF(D47="Uso múltiple",AVERAGE('Hoja 4 - Cálculo'!$I$25:$I$384)+AVERAGE('Hoja 4 - Cálculo'!$J$25:$J$384)+AVERAGE('Hoja 4 - Cálculo'!$K$25:$K$384),IF(D47="Uso prioritario",'Hoja 4 - Cálculo'!I68+'Hoja 4 - Cálculo'!K68,'Hoja 4 - Cálculo'!I68+'Hoja 4 - Cálculo'!J68+'Hoja 4 - Cálculo'!K68)))</f>
        <v>16</v>
      </c>
      <c r="I47" s="15">
        <f t="shared" si="1"/>
        <v>12</v>
      </c>
      <c r="J47" s="15">
        <f t="shared" si="11"/>
        <v>1</v>
      </c>
      <c r="K47" s="15">
        <f>MIN(J47+G47,(J47+G47)*'Hoja 4 - Cálculo'!$B$15)</f>
        <v>0.29387000000000002</v>
      </c>
      <c r="L47" s="15">
        <f t="shared" si="2"/>
        <v>14.39963</v>
      </c>
      <c r="M47" s="15">
        <f t="shared" si="3"/>
        <v>12</v>
      </c>
      <c r="N47" s="15">
        <f t="shared" si="4"/>
        <v>1</v>
      </c>
      <c r="O47" s="15">
        <f t="shared" si="5"/>
        <v>1.3996300000000002</v>
      </c>
      <c r="P47" s="15">
        <f t="shared" si="6"/>
        <v>0</v>
      </c>
      <c r="Q47" s="14" t="str">
        <f>IF(M47&gt;=I47*'Hoja 4 - Cálculo'!$B$16,"Satisfactorio","Falla")</f>
        <v>Satisfactorio</v>
      </c>
      <c r="R47" s="14">
        <f t="shared" si="12"/>
        <v>0</v>
      </c>
      <c r="S47" s="14">
        <f t="shared" si="13"/>
        <v>0</v>
      </c>
    </row>
    <row r="48" spans="1:19">
      <c r="A48" s="14" t="str">
        <f t="shared" si="10"/>
        <v>SRY-1-1</v>
      </c>
      <c r="B48" s="15">
        <f>'Curvas SRY'!$B$8</f>
        <v>1</v>
      </c>
      <c r="C48" s="15">
        <f>'Curvas SRY'!$E$8</f>
        <v>0.75</v>
      </c>
      <c r="D48" s="14" t="str">
        <f>'Curvas SRY'!$B$14</f>
        <v>Uso variable</v>
      </c>
      <c r="E48" s="14">
        <f>45</f>
        <v>45</v>
      </c>
      <c r="F48" s="21">
        <f>'Hoja 4 - Cálculo'!A69</f>
        <v>30926</v>
      </c>
      <c r="G48" s="15">
        <f>'Hoja 4 - Cálculo'!H69</f>
        <v>20.521125000000001</v>
      </c>
      <c r="H48" s="15">
        <f>IF(D48="Uso único",'Hoja 4 - Cálculo'!I69,IF(D48="Uso múltiple",AVERAGE('Hoja 4 - Cálculo'!$I$25:$I$384)+AVERAGE('Hoja 4 - Cálculo'!$J$25:$J$384)+AVERAGE('Hoja 4 - Cálculo'!$K$25:$K$384),IF(D48="Uso prioritario",'Hoja 4 - Cálculo'!I69+'Hoja 4 - Cálculo'!K69,'Hoja 4 - Cálculo'!I69+'Hoja 4 - Cálculo'!J69+'Hoja 4 - Cálculo'!K69)))</f>
        <v>11.5</v>
      </c>
      <c r="I48" s="15">
        <f t="shared" si="1"/>
        <v>8.625</v>
      </c>
      <c r="J48" s="15">
        <f t="shared" si="11"/>
        <v>1</v>
      </c>
      <c r="K48" s="15">
        <f>MIN(J48+G48,(J48+G48)*'Hoja 4 - Cálculo'!$B$15)</f>
        <v>0.43042250000000004</v>
      </c>
      <c r="L48" s="15">
        <f t="shared" si="2"/>
        <v>21.090702500000003</v>
      </c>
      <c r="M48" s="15">
        <f t="shared" si="3"/>
        <v>8.625</v>
      </c>
      <c r="N48" s="15">
        <f t="shared" si="4"/>
        <v>1</v>
      </c>
      <c r="O48" s="15">
        <f t="shared" si="5"/>
        <v>11.465702500000003</v>
      </c>
      <c r="P48" s="15">
        <f t="shared" si="6"/>
        <v>0</v>
      </c>
      <c r="Q48" s="14" t="str">
        <f>IF(M48&gt;=I48*'Hoja 4 - Cálculo'!$B$16,"Satisfactorio","Falla")</f>
        <v>Satisfactorio</v>
      </c>
      <c r="R48" s="14">
        <f t="shared" si="12"/>
        <v>0</v>
      </c>
      <c r="S48" s="14">
        <f t="shared" si="13"/>
        <v>0</v>
      </c>
    </row>
    <row r="49" spans="1:19">
      <c r="A49" s="14" t="str">
        <f t="shared" si="10"/>
        <v>SRY-1-1</v>
      </c>
      <c r="B49" s="15">
        <f>'Curvas SRY'!$B$8</f>
        <v>1</v>
      </c>
      <c r="C49" s="15">
        <f>'Curvas SRY'!$E$8</f>
        <v>0.75</v>
      </c>
      <c r="D49" s="14" t="str">
        <f>'Curvas SRY'!$B$14</f>
        <v>Uso variable</v>
      </c>
      <c r="E49" s="14">
        <f>46</f>
        <v>46</v>
      </c>
      <c r="F49" s="21">
        <f>'Hoja 4 - Cálculo'!A70</f>
        <v>30956</v>
      </c>
      <c r="G49" s="15">
        <f>'Hoja 4 - Cálculo'!H70</f>
        <v>27.061875000000001</v>
      </c>
      <c r="H49" s="15">
        <f>IF(D49="Uso único",'Hoja 4 - Cálculo'!I70,IF(D49="Uso múltiple",AVERAGE('Hoja 4 - Cálculo'!$I$25:$I$384)+AVERAGE('Hoja 4 - Cálculo'!$J$25:$J$384)+AVERAGE('Hoja 4 - Cálculo'!$K$25:$K$384),IF(D49="Uso prioritario",'Hoja 4 - Cálculo'!I70+'Hoja 4 - Cálculo'!K70,'Hoja 4 - Cálculo'!I70+'Hoja 4 - Cálculo'!J70+'Hoja 4 - Cálculo'!K70)))</f>
        <v>11.5</v>
      </c>
      <c r="I49" s="15">
        <f t="shared" si="1"/>
        <v>8.625</v>
      </c>
      <c r="J49" s="15">
        <f t="shared" si="11"/>
        <v>1</v>
      </c>
      <c r="K49" s="15">
        <f>MIN(J49+G49,(J49+G49)*'Hoja 4 - Cálculo'!$B$15)</f>
        <v>0.56123750000000006</v>
      </c>
      <c r="L49" s="15">
        <f t="shared" si="2"/>
        <v>27.5006375</v>
      </c>
      <c r="M49" s="15">
        <f t="shared" si="3"/>
        <v>8.625</v>
      </c>
      <c r="N49" s="15">
        <f t="shared" si="4"/>
        <v>1</v>
      </c>
      <c r="O49" s="15">
        <f t="shared" si="5"/>
        <v>17.8756375</v>
      </c>
      <c r="P49" s="15">
        <f t="shared" si="6"/>
        <v>0</v>
      </c>
      <c r="Q49" s="14" t="str">
        <f>IF(M49&gt;=I49*'Hoja 4 - Cálculo'!$B$16,"Satisfactorio","Falla")</f>
        <v>Satisfactorio</v>
      </c>
      <c r="R49" s="14">
        <f t="shared" si="12"/>
        <v>0</v>
      </c>
      <c r="S49" s="14">
        <f t="shared" si="13"/>
        <v>0</v>
      </c>
    </row>
    <row r="50" spans="1:19">
      <c r="A50" s="14" t="str">
        <f t="shared" si="10"/>
        <v>SRY-1-1</v>
      </c>
      <c r="B50" s="15">
        <f>'Curvas SRY'!$B$8</f>
        <v>1</v>
      </c>
      <c r="C50" s="15">
        <f>'Curvas SRY'!$E$8</f>
        <v>0.75</v>
      </c>
      <c r="D50" s="14" t="str">
        <f>'Curvas SRY'!$B$14</f>
        <v>Uso variable</v>
      </c>
      <c r="E50" s="14">
        <f>47</f>
        <v>47</v>
      </c>
      <c r="F50" s="21">
        <f>'Hoja 4 - Cálculo'!A71</f>
        <v>30987</v>
      </c>
      <c r="G50" s="15">
        <f>'Hoja 4 - Cálculo'!H71</f>
        <v>24.346125000000001</v>
      </c>
      <c r="H50" s="15">
        <f>IF(D50="Uso único",'Hoja 4 - Cálculo'!I71,IF(D50="Uso múltiple",AVERAGE('Hoja 4 - Cálculo'!$I$25:$I$384)+AVERAGE('Hoja 4 - Cálculo'!$J$25:$J$384)+AVERAGE('Hoja 4 - Cálculo'!$K$25:$K$384),IF(D50="Uso prioritario",'Hoja 4 - Cálculo'!I71+'Hoja 4 - Cálculo'!K71,'Hoja 4 - Cálculo'!I71+'Hoja 4 - Cálculo'!J71+'Hoja 4 - Cálculo'!K71)))</f>
        <v>11.5</v>
      </c>
      <c r="I50" s="15">
        <f t="shared" si="1"/>
        <v>8.625</v>
      </c>
      <c r="J50" s="15">
        <f t="shared" si="11"/>
        <v>1</v>
      </c>
      <c r="K50" s="15">
        <f>MIN(J50+G50,(J50+G50)*'Hoja 4 - Cálculo'!$B$15)</f>
        <v>0.50692250000000005</v>
      </c>
      <c r="L50" s="15">
        <f t="shared" si="2"/>
        <v>24.839202499999999</v>
      </c>
      <c r="M50" s="15">
        <f t="shared" si="3"/>
        <v>8.625</v>
      </c>
      <c r="N50" s="15">
        <f t="shared" si="4"/>
        <v>1</v>
      </c>
      <c r="O50" s="15">
        <f t="shared" si="5"/>
        <v>15.214202499999999</v>
      </c>
      <c r="P50" s="15">
        <f t="shared" si="6"/>
        <v>0</v>
      </c>
      <c r="Q50" s="14" t="str">
        <f>IF(M50&gt;=I50*'Hoja 4 - Cálculo'!$B$16,"Satisfactorio","Falla")</f>
        <v>Satisfactorio</v>
      </c>
      <c r="R50" s="14">
        <f t="shared" si="12"/>
        <v>0</v>
      </c>
      <c r="S50" s="14">
        <f t="shared" si="13"/>
        <v>0</v>
      </c>
    </row>
    <row r="51" spans="1:19">
      <c r="A51" s="14" t="str">
        <f t="shared" si="10"/>
        <v>SRY-1-1</v>
      </c>
      <c r="B51" s="15">
        <f>'Curvas SRY'!$B$8</f>
        <v>1</v>
      </c>
      <c r="C51" s="15">
        <f>'Curvas SRY'!$E$8</f>
        <v>0.75</v>
      </c>
      <c r="D51" s="14" t="str">
        <f>'Curvas SRY'!$B$14</f>
        <v>Uso variable</v>
      </c>
      <c r="E51" s="14">
        <f>48</f>
        <v>48</v>
      </c>
      <c r="F51" s="21">
        <f>'Hoja 4 - Cálculo'!A72</f>
        <v>31017</v>
      </c>
      <c r="G51" s="15">
        <f>'Hoja 4 - Cálculo'!H72</f>
        <v>14.745374999999999</v>
      </c>
      <c r="H51" s="15">
        <f>IF(D51="Uso único",'Hoja 4 - Cálculo'!I72,IF(D51="Uso múltiple",AVERAGE('Hoja 4 - Cálculo'!$I$25:$I$384)+AVERAGE('Hoja 4 - Cálculo'!$J$25:$J$384)+AVERAGE('Hoja 4 - Cálculo'!$K$25:$K$384),IF(D51="Uso prioritario",'Hoja 4 - Cálculo'!I72+'Hoja 4 - Cálculo'!K72,'Hoja 4 - Cálculo'!I72+'Hoja 4 - Cálculo'!J72+'Hoja 4 - Cálculo'!K72)))</f>
        <v>16</v>
      </c>
      <c r="I51" s="15">
        <f t="shared" si="1"/>
        <v>12</v>
      </c>
      <c r="J51" s="15">
        <f t="shared" si="11"/>
        <v>1</v>
      </c>
      <c r="K51" s="15">
        <f>MIN(J51+G51,(J51+G51)*'Hoja 4 - Cálculo'!$B$15)</f>
        <v>0.31490750000000001</v>
      </c>
      <c r="L51" s="15">
        <f t="shared" si="2"/>
        <v>15.430467499999999</v>
      </c>
      <c r="M51" s="15">
        <f t="shared" si="3"/>
        <v>12</v>
      </c>
      <c r="N51" s="15">
        <f t="shared" si="4"/>
        <v>1</v>
      </c>
      <c r="O51" s="15">
        <f t="shared" si="5"/>
        <v>2.4304674999999989</v>
      </c>
      <c r="P51" s="15">
        <f t="shared" si="6"/>
        <v>0</v>
      </c>
      <c r="Q51" s="14" t="str">
        <f>IF(M51&gt;=I51*'Hoja 4 - Cálculo'!$B$16,"Satisfactorio","Falla")</f>
        <v>Satisfactorio</v>
      </c>
      <c r="R51" s="14">
        <f t="shared" si="12"/>
        <v>0</v>
      </c>
      <c r="S51" s="14">
        <f t="shared" si="13"/>
        <v>0</v>
      </c>
    </row>
    <row r="52" spans="1:19">
      <c r="A52" s="14" t="str">
        <f t="shared" si="10"/>
        <v>SRY-1-1</v>
      </c>
      <c r="B52" s="15">
        <f>'Curvas SRY'!$B$8</f>
        <v>1</v>
      </c>
      <c r="C52" s="15">
        <f>'Curvas SRY'!$E$8</f>
        <v>0.75</v>
      </c>
      <c r="D52" s="14" t="str">
        <f>'Curvas SRY'!$B$14</f>
        <v>Uso variable</v>
      </c>
      <c r="E52" s="14">
        <f>49</f>
        <v>49</v>
      </c>
      <c r="F52" s="21">
        <f>'Hoja 4 - Cálculo'!A73</f>
        <v>31048</v>
      </c>
      <c r="G52" s="15">
        <f>'Hoja 4 - Cálculo'!H73</f>
        <v>10.767374999999999</v>
      </c>
      <c r="H52" s="15">
        <f>IF(D52="Uso único",'Hoja 4 - Cálculo'!I73,IF(D52="Uso múltiple",AVERAGE('Hoja 4 - Cálculo'!$I$25:$I$384)+AVERAGE('Hoja 4 - Cálculo'!$J$25:$J$384)+AVERAGE('Hoja 4 - Cálculo'!$K$25:$K$384),IF(D52="Uso prioritario",'Hoja 4 - Cálculo'!I73+'Hoja 4 - Cálculo'!K73,'Hoja 4 - Cálculo'!I73+'Hoja 4 - Cálculo'!J73+'Hoja 4 - Cálculo'!K73)))</f>
        <v>16</v>
      </c>
      <c r="I52" s="15">
        <f t="shared" si="1"/>
        <v>12</v>
      </c>
      <c r="J52" s="15">
        <f t="shared" si="11"/>
        <v>1</v>
      </c>
      <c r="K52" s="15">
        <f>MIN(J52+G52,(J52+G52)*'Hoja 4 - Cálculo'!$B$15)</f>
        <v>0.23534749999999999</v>
      </c>
      <c r="L52" s="15">
        <f t="shared" si="2"/>
        <v>11.5320275</v>
      </c>
      <c r="M52" s="15">
        <f t="shared" si="3"/>
        <v>11.5320275</v>
      </c>
      <c r="N52" s="15">
        <f t="shared" si="4"/>
        <v>0</v>
      </c>
      <c r="O52" s="15">
        <f t="shared" si="5"/>
        <v>0</v>
      </c>
      <c r="P52" s="15">
        <f t="shared" si="6"/>
        <v>0.46797250000000012</v>
      </c>
      <c r="Q52" s="14" t="str">
        <f>IF(M52&gt;=I52*'Hoja 4 - Cálculo'!$B$16,"Satisfactorio","Falla")</f>
        <v>Falla</v>
      </c>
      <c r="R52" s="14">
        <f t="shared" si="12"/>
        <v>0</v>
      </c>
      <c r="S52" s="14">
        <f t="shared" si="13"/>
        <v>1</v>
      </c>
    </row>
    <row r="53" spans="1:19">
      <c r="A53" s="14" t="str">
        <f t="shared" si="10"/>
        <v>SRY-1-1</v>
      </c>
      <c r="B53" s="15">
        <f>'Curvas SRY'!$B$8</f>
        <v>1</v>
      </c>
      <c r="C53" s="15">
        <f>'Curvas SRY'!$E$8</f>
        <v>0.75</v>
      </c>
      <c r="D53" s="14" t="str">
        <f>'Curvas SRY'!$B$14</f>
        <v>Uso variable</v>
      </c>
      <c r="E53" s="14">
        <f>50</f>
        <v>50</v>
      </c>
      <c r="F53" s="21">
        <f>'Hoja 4 - Cálculo'!A74</f>
        <v>31079</v>
      </c>
      <c r="G53" s="15">
        <f>'Hoja 4 - Cálculo'!H74</f>
        <v>13.464</v>
      </c>
      <c r="H53" s="15">
        <f>IF(D53="Uso único",'Hoja 4 - Cálculo'!I74,IF(D53="Uso múltiple",AVERAGE('Hoja 4 - Cálculo'!$I$25:$I$384)+AVERAGE('Hoja 4 - Cálculo'!$J$25:$J$384)+AVERAGE('Hoja 4 - Cálculo'!$K$25:$K$384),IF(D53="Uso prioritario",'Hoja 4 - Cálculo'!I74+'Hoja 4 - Cálculo'!K74,'Hoja 4 - Cálculo'!I74+'Hoja 4 - Cálculo'!J74+'Hoja 4 - Cálculo'!K74)))</f>
        <v>16</v>
      </c>
      <c r="I53" s="15">
        <f t="shared" si="1"/>
        <v>12</v>
      </c>
      <c r="J53" s="15">
        <f t="shared" si="11"/>
        <v>0</v>
      </c>
      <c r="K53" s="15">
        <f>MIN(J53+G53,(J53+G53)*'Hoja 4 - Cálculo'!$B$15)</f>
        <v>0.26928000000000002</v>
      </c>
      <c r="L53" s="15">
        <f t="shared" si="2"/>
        <v>13.19472</v>
      </c>
      <c r="M53" s="15">
        <f t="shared" si="3"/>
        <v>12</v>
      </c>
      <c r="N53" s="15">
        <f t="shared" si="4"/>
        <v>1</v>
      </c>
      <c r="O53" s="15">
        <f t="shared" si="5"/>
        <v>0.19472000000000023</v>
      </c>
      <c r="P53" s="15">
        <f t="shared" si="6"/>
        <v>0</v>
      </c>
      <c r="Q53" s="14" t="str">
        <f>IF(M53&gt;=I53*'Hoja 4 - Cálculo'!$B$16,"Satisfactorio","Falla")</f>
        <v>Satisfactorio</v>
      </c>
      <c r="R53" s="14">
        <f t="shared" si="12"/>
        <v>1</v>
      </c>
      <c r="S53" s="14">
        <f t="shared" si="13"/>
        <v>0</v>
      </c>
    </row>
    <row r="54" spans="1:19">
      <c r="A54" s="14" t="str">
        <f t="shared" si="10"/>
        <v>SRY-1-1</v>
      </c>
      <c r="B54" s="15">
        <f>'Curvas SRY'!$B$8</f>
        <v>1</v>
      </c>
      <c r="C54" s="15">
        <f>'Curvas SRY'!$E$8</f>
        <v>0.75</v>
      </c>
      <c r="D54" s="14" t="str">
        <f>'Curvas SRY'!$B$14</f>
        <v>Uso variable</v>
      </c>
      <c r="E54" s="14">
        <f>51</f>
        <v>51</v>
      </c>
      <c r="F54" s="21">
        <f>'Hoja 4 - Cálculo'!A75</f>
        <v>31107</v>
      </c>
      <c r="G54" s="15">
        <f>'Hoja 4 - Cálculo'!H75</f>
        <v>19.450125</v>
      </c>
      <c r="H54" s="15">
        <f>IF(D54="Uso único",'Hoja 4 - Cálculo'!I75,IF(D54="Uso múltiple",AVERAGE('Hoja 4 - Cálculo'!$I$25:$I$384)+AVERAGE('Hoja 4 - Cálculo'!$J$25:$J$384)+AVERAGE('Hoja 4 - Cálculo'!$K$25:$K$384),IF(D54="Uso prioritario",'Hoja 4 - Cálculo'!I75+'Hoja 4 - Cálculo'!K75,'Hoja 4 - Cálculo'!I75+'Hoja 4 - Cálculo'!J75+'Hoja 4 - Cálculo'!K75)))</f>
        <v>16</v>
      </c>
      <c r="I54" s="15">
        <f t="shared" si="1"/>
        <v>12</v>
      </c>
      <c r="J54" s="15">
        <f t="shared" si="11"/>
        <v>1</v>
      </c>
      <c r="K54" s="15">
        <f>MIN(J54+G54,(J54+G54)*'Hoja 4 - Cálculo'!$B$15)</f>
        <v>0.40900249999999999</v>
      </c>
      <c r="L54" s="15">
        <f t="shared" si="2"/>
        <v>20.0411225</v>
      </c>
      <c r="M54" s="15">
        <f t="shared" si="3"/>
        <v>12</v>
      </c>
      <c r="N54" s="15">
        <f t="shared" si="4"/>
        <v>1</v>
      </c>
      <c r="O54" s="15">
        <f t="shared" si="5"/>
        <v>7.0411225000000002</v>
      </c>
      <c r="P54" s="15">
        <f t="shared" si="6"/>
        <v>0</v>
      </c>
      <c r="Q54" s="14" t="str">
        <f>IF(M54&gt;=I54*'Hoja 4 - Cálculo'!$B$16,"Satisfactorio","Falla")</f>
        <v>Satisfactorio</v>
      </c>
      <c r="R54" s="14">
        <f t="shared" si="12"/>
        <v>0</v>
      </c>
      <c r="S54" s="14">
        <f t="shared" si="13"/>
        <v>0</v>
      </c>
    </row>
    <row r="55" spans="1:19">
      <c r="A55" s="14" t="str">
        <f t="shared" si="10"/>
        <v>SRY-1-1</v>
      </c>
      <c r="B55" s="15">
        <f>'Curvas SRY'!$B$8</f>
        <v>1</v>
      </c>
      <c r="C55" s="15">
        <f>'Curvas SRY'!$E$8</f>
        <v>0.75</v>
      </c>
      <c r="D55" s="14" t="str">
        <f>'Curvas SRY'!$B$14</f>
        <v>Uso variable</v>
      </c>
      <c r="E55" s="14">
        <f>52</f>
        <v>52</v>
      </c>
      <c r="F55" s="21">
        <f>'Hoja 4 - Cálculo'!A76</f>
        <v>31138</v>
      </c>
      <c r="G55" s="15">
        <f>'Hoja 4 - Cálculo'!H76</f>
        <v>25.51275</v>
      </c>
      <c r="H55" s="15">
        <f>IF(D55="Uso único",'Hoja 4 - Cálculo'!I76,IF(D55="Uso múltiple",AVERAGE('Hoja 4 - Cálculo'!$I$25:$I$384)+AVERAGE('Hoja 4 - Cálculo'!$J$25:$J$384)+AVERAGE('Hoja 4 - Cálculo'!$K$25:$K$384),IF(D55="Uso prioritario",'Hoja 4 - Cálculo'!I76+'Hoja 4 - Cálculo'!K76,'Hoja 4 - Cálculo'!I76+'Hoja 4 - Cálculo'!J76+'Hoja 4 - Cálculo'!K76)))</f>
        <v>11.5</v>
      </c>
      <c r="I55" s="15">
        <f t="shared" si="1"/>
        <v>8.625</v>
      </c>
      <c r="J55" s="15">
        <f t="shared" si="11"/>
        <v>1</v>
      </c>
      <c r="K55" s="15">
        <f>MIN(J55+G55,(J55+G55)*'Hoja 4 - Cálculo'!$B$15)</f>
        <v>0.53025500000000003</v>
      </c>
      <c r="L55" s="15">
        <f t="shared" si="2"/>
        <v>25.982495</v>
      </c>
      <c r="M55" s="15">
        <f t="shared" si="3"/>
        <v>8.625</v>
      </c>
      <c r="N55" s="15">
        <f t="shared" si="4"/>
        <v>1</v>
      </c>
      <c r="O55" s="15">
        <f t="shared" si="5"/>
        <v>16.357495</v>
      </c>
      <c r="P55" s="15">
        <f t="shared" si="6"/>
        <v>0</v>
      </c>
      <c r="Q55" s="14" t="str">
        <f>IF(M55&gt;=I55*'Hoja 4 - Cálculo'!$B$16,"Satisfactorio","Falla")</f>
        <v>Satisfactorio</v>
      </c>
      <c r="R55" s="14">
        <f t="shared" si="12"/>
        <v>0</v>
      </c>
      <c r="S55" s="14">
        <f t="shared" si="13"/>
        <v>0</v>
      </c>
    </row>
    <row r="56" spans="1:19">
      <c r="A56" s="14" t="str">
        <f t="shared" si="10"/>
        <v>SRY-1-1</v>
      </c>
      <c r="B56" s="15">
        <f>'Curvas SRY'!$B$8</f>
        <v>1</v>
      </c>
      <c r="C56" s="15">
        <f>'Curvas SRY'!$E$8</f>
        <v>0.75</v>
      </c>
      <c r="D56" s="14" t="str">
        <f>'Curvas SRY'!$B$14</f>
        <v>Uso variable</v>
      </c>
      <c r="E56" s="14">
        <f>53</f>
        <v>53</v>
      </c>
      <c r="F56" s="21">
        <f>'Hoja 4 - Cálculo'!A77</f>
        <v>31168</v>
      </c>
      <c r="G56" s="15">
        <f>'Hoja 4 - Cálculo'!H77</f>
        <v>24.36525</v>
      </c>
      <c r="H56" s="15">
        <f>IF(D56="Uso único",'Hoja 4 - Cálculo'!I77,IF(D56="Uso múltiple",AVERAGE('Hoja 4 - Cálculo'!$I$25:$I$384)+AVERAGE('Hoja 4 - Cálculo'!$J$25:$J$384)+AVERAGE('Hoja 4 - Cálculo'!$K$25:$K$384),IF(D56="Uso prioritario",'Hoja 4 - Cálculo'!I77+'Hoja 4 - Cálculo'!K77,'Hoja 4 - Cálculo'!I77+'Hoja 4 - Cálculo'!J77+'Hoja 4 - Cálculo'!K77)))</f>
        <v>11.5</v>
      </c>
      <c r="I56" s="15">
        <f t="shared" si="1"/>
        <v>8.625</v>
      </c>
      <c r="J56" s="15">
        <f t="shared" si="11"/>
        <v>1</v>
      </c>
      <c r="K56" s="15">
        <f>MIN(J56+G56,(J56+G56)*'Hoja 4 - Cálculo'!$B$15)</f>
        <v>0.50730500000000001</v>
      </c>
      <c r="L56" s="15">
        <f t="shared" si="2"/>
        <v>24.857945000000001</v>
      </c>
      <c r="M56" s="15">
        <f t="shared" si="3"/>
        <v>8.625</v>
      </c>
      <c r="N56" s="15">
        <f t="shared" si="4"/>
        <v>1</v>
      </c>
      <c r="O56" s="15">
        <f t="shared" si="5"/>
        <v>15.232945000000001</v>
      </c>
      <c r="P56" s="15">
        <f t="shared" si="6"/>
        <v>0</v>
      </c>
      <c r="Q56" s="14" t="str">
        <f>IF(M56&gt;=I56*'Hoja 4 - Cálculo'!$B$16,"Satisfactorio","Falla")</f>
        <v>Satisfactorio</v>
      </c>
      <c r="R56" s="14">
        <f t="shared" si="12"/>
        <v>0</v>
      </c>
      <c r="S56" s="14">
        <f t="shared" si="13"/>
        <v>0</v>
      </c>
    </row>
    <row r="57" spans="1:19">
      <c r="A57" s="14" t="str">
        <f t="shared" si="10"/>
        <v>SRY-1-1</v>
      </c>
      <c r="B57" s="15">
        <f>'Curvas SRY'!$B$8</f>
        <v>1</v>
      </c>
      <c r="C57" s="15">
        <f>'Curvas SRY'!$E$8</f>
        <v>0.75</v>
      </c>
      <c r="D57" s="14" t="str">
        <f>'Curvas SRY'!$B$14</f>
        <v>Uso variable</v>
      </c>
      <c r="E57" s="14">
        <f>54</f>
        <v>54</v>
      </c>
      <c r="F57" s="21">
        <f>'Hoja 4 - Cálculo'!A78</f>
        <v>31199</v>
      </c>
      <c r="G57" s="15">
        <f>'Hoja 4 - Cálculo'!H78</f>
        <v>15.395625000000001</v>
      </c>
      <c r="H57" s="15">
        <f>IF(D57="Uso único",'Hoja 4 - Cálculo'!I78,IF(D57="Uso múltiple",AVERAGE('Hoja 4 - Cálculo'!$I$25:$I$384)+AVERAGE('Hoja 4 - Cálculo'!$J$25:$J$384)+AVERAGE('Hoja 4 - Cálculo'!$K$25:$K$384),IF(D57="Uso prioritario",'Hoja 4 - Cálculo'!I78+'Hoja 4 - Cálculo'!K78,'Hoja 4 - Cálculo'!I78+'Hoja 4 - Cálculo'!J78+'Hoja 4 - Cálculo'!K78)))</f>
        <v>11.5</v>
      </c>
      <c r="I57" s="15">
        <f t="shared" si="1"/>
        <v>8.625</v>
      </c>
      <c r="J57" s="15">
        <f t="shared" si="11"/>
        <v>1</v>
      </c>
      <c r="K57" s="15">
        <f>MIN(J57+G57,(J57+G57)*'Hoja 4 - Cálculo'!$B$15)</f>
        <v>0.32791250000000005</v>
      </c>
      <c r="L57" s="15">
        <f t="shared" si="2"/>
        <v>16.067712500000003</v>
      </c>
      <c r="M57" s="15">
        <f t="shared" si="3"/>
        <v>8.625</v>
      </c>
      <c r="N57" s="15">
        <f t="shared" si="4"/>
        <v>1</v>
      </c>
      <c r="O57" s="15">
        <f t="shared" si="5"/>
        <v>6.4427125000000025</v>
      </c>
      <c r="P57" s="15">
        <f t="shared" si="6"/>
        <v>0</v>
      </c>
      <c r="Q57" s="14" t="str">
        <f>IF(M57&gt;=I57*'Hoja 4 - Cálculo'!$B$16,"Satisfactorio","Falla")</f>
        <v>Satisfactorio</v>
      </c>
      <c r="R57" s="14">
        <f t="shared" si="12"/>
        <v>0</v>
      </c>
      <c r="S57" s="14">
        <f t="shared" si="13"/>
        <v>0</v>
      </c>
    </row>
    <row r="58" spans="1:19">
      <c r="A58" s="14" t="str">
        <f t="shared" si="10"/>
        <v>SRY-1-1</v>
      </c>
      <c r="B58" s="15">
        <f>'Curvas SRY'!$B$8</f>
        <v>1</v>
      </c>
      <c r="C58" s="15">
        <f>'Curvas SRY'!$E$8</f>
        <v>0.75</v>
      </c>
      <c r="D58" s="14" t="str">
        <f>'Curvas SRY'!$B$14</f>
        <v>Uso variable</v>
      </c>
      <c r="E58" s="14">
        <f>55</f>
        <v>55</v>
      </c>
      <c r="F58" s="21">
        <f>'Hoja 4 - Cálculo'!A79</f>
        <v>31229</v>
      </c>
      <c r="G58" s="15">
        <f>'Hoja 4 - Cálculo'!H79</f>
        <v>11.742749999999999</v>
      </c>
      <c r="H58" s="15">
        <f>IF(D58="Uso único",'Hoja 4 - Cálculo'!I79,IF(D58="Uso múltiple",AVERAGE('Hoja 4 - Cálculo'!$I$25:$I$384)+AVERAGE('Hoja 4 - Cálculo'!$J$25:$J$384)+AVERAGE('Hoja 4 - Cálculo'!$K$25:$K$384),IF(D58="Uso prioritario",'Hoja 4 - Cálculo'!I79+'Hoja 4 - Cálculo'!K79,'Hoja 4 - Cálculo'!I79+'Hoja 4 - Cálculo'!J79+'Hoja 4 - Cálculo'!K79)))</f>
        <v>16</v>
      </c>
      <c r="I58" s="15">
        <f t="shared" si="1"/>
        <v>12</v>
      </c>
      <c r="J58" s="15">
        <f t="shared" si="11"/>
        <v>1</v>
      </c>
      <c r="K58" s="15">
        <f>MIN(J58+G58,(J58+G58)*'Hoja 4 - Cálculo'!$B$15)</f>
        <v>0.254855</v>
      </c>
      <c r="L58" s="15">
        <f t="shared" si="2"/>
        <v>12.487895</v>
      </c>
      <c r="M58" s="15">
        <f t="shared" si="3"/>
        <v>12</v>
      </c>
      <c r="N58" s="15">
        <f t="shared" si="4"/>
        <v>0.48789499999999997</v>
      </c>
      <c r="O58" s="15">
        <f t="shared" si="5"/>
        <v>0</v>
      </c>
      <c r="P58" s="15">
        <f t="shared" si="6"/>
        <v>0</v>
      </c>
      <c r="Q58" s="14" t="str">
        <f>IF(M58&gt;=I58*'Hoja 4 - Cálculo'!$B$16,"Satisfactorio","Falla")</f>
        <v>Satisfactorio</v>
      </c>
      <c r="R58" s="14">
        <f t="shared" si="12"/>
        <v>0</v>
      </c>
      <c r="S58" s="14">
        <f t="shared" si="13"/>
        <v>0</v>
      </c>
    </row>
    <row r="59" spans="1:19">
      <c r="A59" s="14" t="str">
        <f t="shared" si="10"/>
        <v>SRY-1-1</v>
      </c>
      <c r="B59" s="15">
        <f>'Curvas SRY'!$B$8</f>
        <v>1</v>
      </c>
      <c r="C59" s="15">
        <f>'Curvas SRY'!$E$8</f>
        <v>0.75</v>
      </c>
      <c r="D59" s="14" t="str">
        <f>'Curvas SRY'!$B$14</f>
        <v>Uso variable</v>
      </c>
      <c r="E59" s="14">
        <f>56</f>
        <v>56</v>
      </c>
      <c r="F59" s="21">
        <f>'Hoja 4 - Cálculo'!A80</f>
        <v>31260</v>
      </c>
      <c r="G59" s="15">
        <f>'Hoja 4 - Cálculo'!H80</f>
        <v>12.603375</v>
      </c>
      <c r="H59" s="15">
        <f>IF(D59="Uso único",'Hoja 4 - Cálculo'!I80,IF(D59="Uso múltiple",AVERAGE('Hoja 4 - Cálculo'!$I$25:$I$384)+AVERAGE('Hoja 4 - Cálculo'!$J$25:$J$384)+AVERAGE('Hoja 4 - Cálculo'!$K$25:$K$384),IF(D59="Uso prioritario",'Hoja 4 - Cálculo'!I80+'Hoja 4 - Cálculo'!K80,'Hoja 4 - Cálculo'!I80+'Hoja 4 - Cálculo'!J80+'Hoja 4 - Cálculo'!K80)))</f>
        <v>16</v>
      </c>
      <c r="I59" s="15">
        <f t="shared" si="1"/>
        <v>12</v>
      </c>
      <c r="J59" s="15">
        <f t="shared" si="11"/>
        <v>0.48789499999999997</v>
      </c>
      <c r="K59" s="15">
        <f>MIN(J59+G59,(J59+G59)*'Hoja 4 - Cálculo'!$B$15)</f>
        <v>0.26182539999999999</v>
      </c>
      <c r="L59" s="15">
        <f t="shared" si="2"/>
        <v>12.8294446</v>
      </c>
      <c r="M59" s="15">
        <f t="shared" si="3"/>
        <v>12</v>
      </c>
      <c r="N59" s="15">
        <f t="shared" si="4"/>
        <v>0.82944460000000042</v>
      </c>
      <c r="O59" s="15">
        <f t="shared" si="5"/>
        <v>0</v>
      </c>
      <c r="P59" s="15">
        <f t="shared" si="6"/>
        <v>0</v>
      </c>
      <c r="Q59" s="14" t="str">
        <f>IF(M59&gt;=I59*'Hoja 4 - Cálculo'!$B$16,"Satisfactorio","Falla")</f>
        <v>Satisfactorio</v>
      </c>
      <c r="R59" s="14">
        <f t="shared" si="12"/>
        <v>0</v>
      </c>
      <c r="S59" s="14">
        <f t="shared" si="13"/>
        <v>0</v>
      </c>
    </row>
    <row r="60" spans="1:19">
      <c r="A60" s="14" t="str">
        <f t="shared" si="10"/>
        <v>SRY-1-1</v>
      </c>
      <c r="B60" s="15">
        <f>'Curvas SRY'!$B$8</f>
        <v>1</v>
      </c>
      <c r="C60" s="15">
        <f>'Curvas SRY'!$E$8</f>
        <v>0.75</v>
      </c>
      <c r="D60" s="14" t="str">
        <f>'Curvas SRY'!$B$14</f>
        <v>Uso variable</v>
      </c>
      <c r="E60" s="14">
        <f>57</f>
        <v>57</v>
      </c>
      <c r="F60" s="21">
        <f>'Hoja 4 - Cálculo'!A81</f>
        <v>31291</v>
      </c>
      <c r="G60" s="15">
        <f>'Hoja 4 - Cálculo'!H81</f>
        <v>21.745125000000002</v>
      </c>
      <c r="H60" s="15">
        <f>IF(D60="Uso único",'Hoja 4 - Cálculo'!I81,IF(D60="Uso múltiple",AVERAGE('Hoja 4 - Cálculo'!$I$25:$I$384)+AVERAGE('Hoja 4 - Cálculo'!$J$25:$J$384)+AVERAGE('Hoja 4 - Cálculo'!$K$25:$K$384),IF(D60="Uso prioritario",'Hoja 4 - Cálculo'!I81+'Hoja 4 - Cálculo'!K81,'Hoja 4 - Cálculo'!I81+'Hoja 4 - Cálculo'!J81+'Hoja 4 - Cálculo'!K81)))</f>
        <v>11.5</v>
      </c>
      <c r="I60" s="15">
        <f t="shared" si="1"/>
        <v>8.625</v>
      </c>
      <c r="J60" s="15">
        <f t="shared" si="11"/>
        <v>0.82944460000000042</v>
      </c>
      <c r="K60" s="15">
        <f>MIN(J60+G60,(J60+G60)*'Hoja 4 - Cálculo'!$B$15)</f>
        <v>0.4514913920000001</v>
      </c>
      <c r="L60" s="15">
        <f t="shared" si="2"/>
        <v>22.123078208000003</v>
      </c>
      <c r="M60" s="15">
        <f t="shared" si="3"/>
        <v>8.625</v>
      </c>
      <c r="N60" s="15">
        <f t="shared" si="4"/>
        <v>1</v>
      </c>
      <c r="O60" s="15">
        <f t="shared" si="5"/>
        <v>12.498078208000003</v>
      </c>
      <c r="P60" s="15">
        <f t="shared" si="6"/>
        <v>0</v>
      </c>
      <c r="Q60" s="14" t="str">
        <f>IF(M60&gt;=I60*'Hoja 4 - Cálculo'!$B$16,"Satisfactorio","Falla")</f>
        <v>Satisfactorio</v>
      </c>
      <c r="R60" s="14">
        <f t="shared" si="12"/>
        <v>0</v>
      </c>
      <c r="S60" s="14">
        <f t="shared" si="13"/>
        <v>0</v>
      </c>
    </row>
    <row r="61" spans="1:19">
      <c r="A61" s="14" t="str">
        <f t="shared" si="10"/>
        <v>SRY-1-1</v>
      </c>
      <c r="B61" s="15">
        <f>'Curvas SRY'!$B$8</f>
        <v>1</v>
      </c>
      <c r="C61" s="15">
        <f>'Curvas SRY'!$E$8</f>
        <v>0.75</v>
      </c>
      <c r="D61" s="14" t="str">
        <f>'Curvas SRY'!$B$14</f>
        <v>Uso variable</v>
      </c>
      <c r="E61" s="14">
        <f>58</f>
        <v>58</v>
      </c>
      <c r="F61" s="21">
        <f>'Hoja 4 - Cálculo'!A82</f>
        <v>31321</v>
      </c>
      <c r="G61" s="15">
        <f>'Hoja 4 - Cálculo'!H82</f>
        <v>27.788625</v>
      </c>
      <c r="H61" s="15">
        <f>IF(D61="Uso único",'Hoja 4 - Cálculo'!I82,IF(D61="Uso múltiple",AVERAGE('Hoja 4 - Cálculo'!$I$25:$I$384)+AVERAGE('Hoja 4 - Cálculo'!$J$25:$J$384)+AVERAGE('Hoja 4 - Cálculo'!$K$25:$K$384),IF(D61="Uso prioritario",'Hoja 4 - Cálculo'!I82+'Hoja 4 - Cálculo'!K82,'Hoja 4 - Cálculo'!I82+'Hoja 4 - Cálculo'!J82+'Hoja 4 - Cálculo'!K82)))</f>
        <v>11.5</v>
      </c>
      <c r="I61" s="15">
        <f t="shared" si="1"/>
        <v>8.625</v>
      </c>
      <c r="J61" s="15">
        <f t="shared" si="11"/>
        <v>1</v>
      </c>
      <c r="K61" s="15">
        <f>MIN(J61+G61,(J61+G61)*'Hoja 4 - Cálculo'!$B$15)</f>
        <v>0.57577250000000002</v>
      </c>
      <c r="L61" s="15">
        <f t="shared" si="2"/>
        <v>28.2128525</v>
      </c>
      <c r="M61" s="15">
        <f t="shared" si="3"/>
        <v>8.625</v>
      </c>
      <c r="N61" s="15">
        <f t="shared" si="4"/>
        <v>1</v>
      </c>
      <c r="O61" s="15">
        <f t="shared" si="5"/>
        <v>18.5878525</v>
      </c>
      <c r="P61" s="15">
        <f t="shared" si="6"/>
        <v>0</v>
      </c>
      <c r="Q61" s="14" t="str">
        <f>IF(M61&gt;=I61*'Hoja 4 - Cálculo'!$B$16,"Satisfactorio","Falla")</f>
        <v>Satisfactorio</v>
      </c>
      <c r="R61" s="14">
        <f t="shared" si="12"/>
        <v>0</v>
      </c>
      <c r="S61" s="14">
        <f t="shared" si="13"/>
        <v>0</v>
      </c>
    </row>
    <row r="62" spans="1:19">
      <c r="A62" s="14" t="str">
        <f t="shared" si="10"/>
        <v>SRY-1-1</v>
      </c>
      <c r="B62" s="15">
        <f>'Curvas SRY'!$B$8</f>
        <v>1</v>
      </c>
      <c r="C62" s="15">
        <f>'Curvas SRY'!$E$8</f>
        <v>0.75</v>
      </c>
      <c r="D62" s="14" t="str">
        <f>'Curvas SRY'!$B$14</f>
        <v>Uso variable</v>
      </c>
      <c r="E62" s="14">
        <f>59</f>
        <v>59</v>
      </c>
      <c r="F62" s="21">
        <f>'Hoja 4 - Cálculo'!A83</f>
        <v>31352</v>
      </c>
      <c r="G62" s="15">
        <f>'Hoja 4 - Cálculo'!H83</f>
        <v>22.22325</v>
      </c>
      <c r="H62" s="15">
        <f>IF(D62="Uso único",'Hoja 4 - Cálculo'!I83,IF(D62="Uso múltiple",AVERAGE('Hoja 4 - Cálculo'!$I$25:$I$384)+AVERAGE('Hoja 4 - Cálculo'!$J$25:$J$384)+AVERAGE('Hoja 4 - Cálculo'!$K$25:$K$384),IF(D62="Uso prioritario",'Hoja 4 - Cálculo'!I83+'Hoja 4 - Cálculo'!K83,'Hoja 4 - Cálculo'!I83+'Hoja 4 - Cálculo'!J83+'Hoja 4 - Cálculo'!K83)))</f>
        <v>11.5</v>
      </c>
      <c r="I62" s="15">
        <f t="shared" si="1"/>
        <v>8.625</v>
      </c>
      <c r="J62" s="15">
        <f t="shared" si="11"/>
        <v>1</v>
      </c>
      <c r="K62" s="15">
        <f>MIN(J62+G62,(J62+G62)*'Hoja 4 - Cálculo'!$B$15)</f>
        <v>0.46446500000000002</v>
      </c>
      <c r="L62" s="15">
        <f t="shared" si="2"/>
        <v>22.758785</v>
      </c>
      <c r="M62" s="15">
        <f t="shared" si="3"/>
        <v>8.625</v>
      </c>
      <c r="N62" s="15">
        <f t="shared" si="4"/>
        <v>1</v>
      </c>
      <c r="O62" s="15">
        <f t="shared" si="5"/>
        <v>13.133785</v>
      </c>
      <c r="P62" s="15">
        <f t="shared" si="6"/>
        <v>0</v>
      </c>
      <c r="Q62" s="14" t="str">
        <f>IF(M62&gt;=I62*'Hoja 4 - Cálculo'!$B$16,"Satisfactorio","Falla")</f>
        <v>Satisfactorio</v>
      </c>
      <c r="R62" s="14">
        <f t="shared" si="12"/>
        <v>0</v>
      </c>
      <c r="S62" s="14">
        <f t="shared" si="13"/>
        <v>0</v>
      </c>
    </row>
    <row r="63" spans="1:19">
      <c r="A63" s="14" t="str">
        <f t="shared" si="10"/>
        <v>SRY-1-1</v>
      </c>
      <c r="B63" s="15">
        <f>'Curvas SRY'!$B$8</f>
        <v>1</v>
      </c>
      <c r="C63" s="15">
        <f>'Curvas SRY'!$E$8</f>
        <v>0.75</v>
      </c>
      <c r="D63" s="14" t="str">
        <f>'Curvas SRY'!$B$14</f>
        <v>Uso variable</v>
      </c>
      <c r="E63" s="14">
        <f>60</f>
        <v>60</v>
      </c>
      <c r="F63" s="21">
        <f>'Hoja 4 - Cálculo'!A84</f>
        <v>31382</v>
      </c>
      <c r="G63" s="15">
        <f>'Hoja 4 - Cálculo'!H84</f>
        <v>14.171625000000001</v>
      </c>
      <c r="H63" s="15">
        <f>IF(D63="Uso único",'Hoja 4 - Cálculo'!I84,IF(D63="Uso múltiple",AVERAGE('Hoja 4 - Cálculo'!$I$25:$I$384)+AVERAGE('Hoja 4 - Cálculo'!$J$25:$J$384)+AVERAGE('Hoja 4 - Cálculo'!$K$25:$K$384),IF(D63="Uso prioritario",'Hoja 4 - Cálculo'!I84+'Hoja 4 - Cálculo'!K84,'Hoja 4 - Cálculo'!I84+'Hoja 4 - Cálculo'!J84+'Hoja 4 - Cálculo'!K84)))</f>
        <v>16</v>
      </c>
      <c r="I63" s="15">
        <f t="shared" si="1"/>
        <v>12</v>
      </c>
      <c r="J63" s="15">
        <f t="shared" si="11"/>
        <v>1</v>
      </c>
      <c r="K63" s="15">
        <f>MIN(J63+G63,(J63+G63)*'Hoja 4 - Cálculo'!$B$15)</f>
        <v>0.30343249999999999</v>
      </c>
      <c r="L63" s="15">
        <f t="shared" si="2"/>
        <v>14.868192500000001</v>
      </c>
      <c r="M63" s="15">
        <f t="shared" si="3"/>
        <v>12</v>
      </c>
      <c r="N63" s="15">
        <f t="shared" si="4"/>
        <v>1</v>
      </c>
      <c r="O63" s="15">
        <f t="shared" si="5"/>
        <v>1.868192500000001</v>
      </c>
      <c r="P63" s="15">
        <f t="shared" si="6"/>
        <v>0</v>
      </c>
      <c r="Q63" s="14" t="str">
        <f>IF(M63&gt;=I63*'Hoja 4 - Cálculo'!$B$16,"Satisfactorio","Falla")</f>
        <v>Satisfactorio</v>
      </c>
      <c r="R63" s="14">
        <f t="shared" si="12"/>
        <v>0</v>
      </c>
      <c r="S63" s="14">
        <f t="shared" si="13"/>
        <v>0</v>
      </c>
    </row>
    <row r="64" spans="1:19">
      <c r="A64" s="14" t="str">
        <f t="shared" si="10"/>
        <v>SRY-1-1</v>
      </c>
      <c r="B64" s="15">
        <f>'Curvas SRY'!$B$8</f>
        <v>1</v>
      </c>
      <c r="C64" s="15">
        <f>'Curvas SRY'!$E$8</f>
        <v>0.75</v>
      </c>
      <c r="D64" s="14" t="str">
        <f>'Curvas SRY'!$B$14</f>
        <v>Uso variable</v>
      </c>
      <c r="E64" s="14">
        <f>61</f>
        <v>61</v>
      </c>
      <c r="F64" s="21">
        <f>'Hoja 4 - Cálculo'!A85</f>
        <v>31413</v>
      </c>
      <c r="G64" s="15">
        <f>'Hoja 4 - Cálculo'!H85</f>
        <v>12.641624999999999</v>
      </c>
      <c r="H64" s="15">
        <f>IF(D64="Uso único",'Hoja 4 - Cálculo'!I85,IF(D64="Uso múltiple",AVERAGE('Hoja 4 - Cálculo'!$I$25:$I$384)+AVERAGE('Hoja 4 - Cálculo'!$J$25:$J$384)+AVERAGE('Hoja 4 - Cálculo'!$K$25:$K$384),IF(D64="Uso prioritario",'Hoja 4 - Cálculo'!I85+'Hoja 4 - Cálculo'!K85,'Hoja 4 - Cálculo'!I85+'Hoja 4 - Cálculo'!J85+'Hoja 4 - Cálculo'!K85)))</f>
        <v>16</v>
      </c>
      <c r="I64" s="15">
        <f t="shared" si="1"/>
        <v>12</v>
      </c>
      <c r="J64" s="15">
        <f t="shared" si="11"/>
        <v>1</v>
      </c>
      <c r="K64" s="15">
        <f>MIN(J64+G64,(J64+G64)*'Hoja 4 - Cálculo'!$B$15)</f>
        <v>0.27283249999999998</v>
      </c>
      <c r="L64" s="15">
        <f t="shared" si="2"/>
        <v>13.3687925</v>
      </c>
      <c r="M64" s="15">
        <f t="shared" si="3"/>
        <v>12</v>
      </c>
      <c r="N64" s="15">
        <f t="shared" si="4"/>
        <v>1</v>
      </c>
      <c r="O64" s="15">
        <f t="shared" si="5"/>
        <v>0.36879249999999963</v>
      </c>
      <c r="P64" s="15">
        <f t="shared" si="6"/>
        <v>0</v>
      </c>
      <c r="Q64" s="14" t="str">
        <f>IF(M64&gt;=I64*'Hoja 4 - Cálculo'!$B$16,"Satisfactorio","Falla")</f>
        <v>Satisfactorio</v>
      </c>
      <c r="R64" s="14">
        <f t="shared" si="12"/>
        <v>0</v>
      </c>
      <c r="S64" s="14">
        <f t="shared" si="13"/>
        <v>0</v>
      </c>
    </row>
    <row r="65" spans="1:19">
      <c r="A65" s="14" t="str">
        <f t="shared" si="10"/>
        <v>SRY-1-1</v>
      </c>
      <c r="B65" s="15">
        <f>'Curvas SRY'!$B$8</f>
        <v>1</v>
      </c>
      <c r="C65" s="15">
        <f>'Curvas SRY'!$E$8</f>
        <v>0.75</v>
      </c>
      <c r="D65" s="14" t="str">
        <f>'Curvas SRY'!$B$14</f>
        <v>Uso variable</v>
      </c>
      <c r="E65" s="14">
        <f>62</f>
        <v>62</v>
      </c>
      <c r="F65" s="21">
        <f>'Hoja 4 - Cálculo'!A86</f>
        <v>31444</v>
      </c>
      <c r="G65" s="15">
        <f>'Hoja 4 - Cálculo'!H86</f>
        <v>15.357374999999999</v>
      </c>
      <c r="H65" s="15">
        <f>IF(D65="Uso único",'Hoja 4 - Cálculo'!I86,IF(D65="Uso múltiple",AVERAGE('Hoja 4 - Cálculo'!$I$25:$I$384)+AVERAGE('Hoja 4 - Cálculo'!$J$25:$J$384)+AVERAGE('Hoja 4 - Cálculo'!$K$25:$K$384),IF(D65="Uso prioritario",'Hoja 4 - Cálculo'!I86+'Hoja 4 - Cálculo'!K86,'Hoja 4 - Cálculo'!I86+'Hoja 4 - Cálculo'!J86+'Hoja 4 - Cálculo'!K86)))</f>
        <v>16</v>
      </c>
      <c r="I65" s="15">
        <f t="shared" si="1"/>
        <v>12</v>
      </c>
      <c r="J65" s="15">
        <f t="shared" si="11"/>
        <v>1</v>
      </c>
      <c r="K65" s="15">
        <f>MIN(J65+G65,(J65+G65)*'Hoja 4 - Cálculo'!$B$15)</f>
        <v>0.32714749999999998</v>
      </c>
      <c r="L65" s="15">
        <f t="shared" si="2"/>
        <v>16.030227499999999</v>
      </c>
      <c r="M65" s="15">
        <f t="shared" si="3"/>
        <v>12</v>
      </c>
      <c r="N65" s="15">
        <f t="shared" si="4"/>
        <v>1</v>
      </c>
      <c r="O65" s="15">
        <f t="shared" si="5"/>
        <v>3.0302274999999987</v>
      </c>
      <c r="P65" s="15">
        <f t="shared" si="6"/>
        <v>0</v>
      </c>
      <c r="Q65" s="14" t="str">
        <f>IF(M65&gt;=I65*'Hoja 4 - Cálculo'!$B$16,"Satisfactorio","Falla")</f>
        <v>Satisfactorio</v>
      </c>
      <c r="R65" s="14">
        <f t="shared" si="12"/>
        <v>0</v>
      </c>
      <c r="S65" s="14">
        <f t="shared" si="13"/>
        <v>0</v>
      </c>
    </row>
    <row r="66" spans="1:19">
      <c r="A66" s="14" t="str">
        <f t="shared" si="10"/>
        <v>SRY-1-1</v>
      </c>
      <c r="B66" s="15">
        <f>'Curvas SRY'!$B$8</f>
        <v>1</v>
      </c>
      <c r="C66" s="15">
        <f>'Curvas SRY'!$E$8</f>
        <v>0.75</v>
      </c>
      <c r="D66" s="14" t="str">
        <f>'Curvas SRY'!$B$14</f>
        <v>Uso variable</v>
      </c>
      <c r="E66" s="14">
        <f>63</f>
        <v>63</v>
      </c>
      <c r="F66" s="21">
        <f>'Hoja 4 - Cálculo'!A87</f>
        <v>31472</v>
      </c>
      <c r="G66" s="15">
        <f>'Hoja 4 - Cálculo'!H87</f>
        <v>20.846250000000001</v>
      </c>
      <c r="H66" s="15">
        <f>IF(D66="Uso único",'Hoja 4 - Cálculo'!I87,IF(D66="Uso múltiple",AVERAGE('Hoja 4 - Cálculo'!$I$25:$I$384)+AVERAGE('Hoja 4 - Cálculo'!$J$25:$J$384)+AVERAGE('Hoja 4 - Cálculo'!$K$25:$K$384),IF(D66="Uso prioritario",'Hoja 4 - Cálculo'!I87+'Hoja 4 - Cálculo'!K87,'Hoja 4 - Cálculo'!I87+'Hoja 4 - Cálculo'!J87+'Hoja 4 - Cálculo'!K87)))</f>
        <v>16</v>
      </c>
      <c r="I66" s="15">
        <f t="shared" si="1"/>
        <v>12</v>
      </c>
      <c r="J66" s="15">
        <f t="shared" si="11"/>
        <v>1</v>
      </c>
      <c r="K66" s="15">
        <f>MIN(J66+G66,(J66+G66)*'Hoja 4 - Cálculo'!$B$15)</f>
        <v>0.43692500000000001</v>
      </c>
      <c r="L66" s="15">
        <f t="shared" si="2"/>
        <v>21.409325000000003</v>
      </c>
      <c r="M66" s="15">
        <f t="shared" si="3"/>
        <v>12</v>
      </c>
      <c r="N66" s="15">
        <f t="shared" si="4"/>
        <v>1</v>
      </c>
      <c r="O66" s="15">
        <f t="shared" si="5"/>
        <v>8.4093250000000026</v>
      </c>
      <c r="P66" s="15">
        <f t="shared" si="6"/>
        <v>0</v>
      </c>
      <c r="Q66" s="14" t="str">
        <f>IF(M66&gt;=I66*'Hoja 4 - Cálculo'!$B$16,"Satisfactorio","Falla")</f>
        <v>Satisfactorio</v>
      </c>
      <c r="R66" s="14">
        <f t="shared" si="12"/>
        <v>0</v>
      </c>
      <c r="S66" s="14">
        <f t="shared" si="13"/>
        <v>0</v>
      </c>
    </row>
    <row r="67" spans="1:19">
      <c r="A67" s="14" t="str">
        <f t="shared" si="10"/>
        <v>SRY-1-1</v>
      </c>
      <c r="B67" s="15">
        <f>'Curvas SRY'!$B$8</f>
        <v>1</v>
      </c>
      <c r="C67" s="15">
        <f>'Curvas SRY'!$E$8</f>
        <v>0.75</v>
      </c>
      <c r="D67" s="14" t="str">
        <f>'Curvas SRY'!$B$14</f>
        <v>Uso variable</v>
      </c>
      <c r="E67" s="14">
        <f>64</f>
        <v>64</v>
      </c>
      <c r="F67" s="21">
        <f>'Hoja 4 - Cálculo'!A88</f>
        <v>31503</v>
      </c>
      <c r="G67" s="15">
        <f>'Hoja 4 - Cálculo'!H88</f>
        <v>30.638249999999999</v>
      </c>
      <c r="H67" s="15">
        <f>IF(D67="Uso único",'Hoja 4 - Cálculo'!I88,IF(D67="Uso múltiple",AVERAGE('Hoja 4 - Cálculo'!$I$25:$I$384)+AVERAGE('Hoja 4 - Cálculo'!$J$25:$J$384)+AVERAGE('Hoja 4 - Cálculo'!$K$25:$K$384),IF(D67="Uso prioritario",'Hoja 4 - Cálculo'!I88+'Hoja 4 - Cálculo'!K88,'Hoja 4 - Cálculo'!I88+'Hoja 4 - Cálculo'!J88+'Hoja 4 - Cálculo'!K88)))</f>
        <v>11.5</v>
      </c>
      <c r="I67" s="15">
        <f t="shared" si="1"/>
        <v>8.625</v>
      </c>
      <c r="J67" s="15">
        <f t="shared" si="11"/>
        <v>1</v>
      </c>
      <c r="K67" s="15">
        <f>MIN(J67+G67,(J67+G67)*'Hoja 4 - Cálculo'!$B$15)</f>
        <v>0.63276500000000002</v>
      </c>
      <c r="L67" s="15">
        <f t="shared" si="2"/>
        <v>31.005485</v>
      </c>
      <c r="M67" s="15">
        <f t="shared" si="3"/>
        <v>8.625</v>
      </c>
      <c r="N67" s="15">
        <f t="shared" si="4"/>
        <v>1</v>
      </c>
      <c r="O67" s="15">
        <f t="shared" si="5"/>
        <v>21.380485</v>
      </c>
      <c r="P67" s="15">
        <f t="shared" si="6"/>
        <v>0</v>
      </c>
      <c r="Q67" s="14" t="str">
        <f>IF(M67&gt;=I67*'Hoja 4 - Cálculo'!$B$16,"Satisfactorio","Falla")</f>
        <v>Satisfactorio</v>
      </c>
      <c r="R67" s="14">
        <f t="shared" si="12"/>
        <v>0</v>
      </c>
      <c r="S67" s="14">
        <f t="shared" si="13"/>
        <v>0</v>
      </c>
    </row>
    <row r="68" spans="1:19">
      <c r="A68" s="14" t="str">
        <f t="shared" ref="A68:A99" si="14">"SRY-1-1"</f>
        <v>SRY-1-1</v>
      </c>
      <c r="B68" s="15">
        <f>'Curvas SRY'!$B$8</f>
        <v>1</v>
      </c>
      <c r="C68" s="15">
        <f>'Curvas SRY'!$E$8</f>
        <v>0.75</v>
      </c>
      <c r="D68" s="14" t="str">
        <f>'Curvas SRY'!$B$14</f>
        <v>Uso variable</v>
      </c>
      <c r="E68" s="14">
        <f>65</f>
        <v>65</v>
      </c>
      <c r="F68" s="21">
        <f>'Hoja 4 - Cálculo'!A89</f>
        <v>31533</v>
      </c>
      <c r="G68" s="15">
        <f>'Hoja 4 - Cálculo'!H89</f>
        <v>28.438874999999999</v>
      </c>
      <c r="H68" s="15">
        <f>IF(D68="Uso único",'Hoja 4 - Cálculo'!I89,IF(D68="Uso múltiple",AVERAGE('Hoja 4 - Cálculo'!$I$25:$I$384)+AVERAGE('Hoja 4 - Cálculo'!$J$25:$J$384)+AVERAGE('Hoja 4 - Cálculo'!$K$25:$K$384),IF(D68="Uso prioritario",'Hoja 4 - Cálculo'!I89+'Hoja 4 - Cálculo'!K89,'Hoja 4 - Cálculo'!I89+'Hoja 4 - Cálculo'!J89+'Hoja 4 - Cálculo'!K89)))</f>
        <v>11.5</v>
      </c>
      <c r="I68" s="15">
        <f t="shared" ref="I68:I131" si="15">H68*C68</f>
        <v>8.625</v>
      </c>
      <c r="J68" s="15">
        <f t="shared" si="11"/>
        <v>1</v>
      </c>
      <c r="K68" s="15">
        <f>MIN(J68+G68,(J68+G68)*'Hoja 4 - Cálculo'!$B$15)</f>
        <v>0.58877749999999995</v>
      </c>
      <c r="L68" s="15">
        <f t="shared" ref="L68:L131" si="16">MAX(0,J68+G68-K68)</f>
        <v>28.8500975</v>
      </c>
      <c r="M68" s="15">
        <f t="shared" ref="M68:M131" si="17">MIN(I68,L68)</f>
        <v>8.625</v>
      </c>
      <c r="N68" s="15">
        <f t="shared" ref="N68:N131" si="18">MIN(B68,MAX(0,L68-M68))</f>
        <v>1</v>
      </c>
      <c r="O68" s="15">
        <f t="shared" ref="O68:O131" si="19">MAX(0,L68-M68-B68)</f>
        <v>19.2250975</v>
      </c>
      <c r="P68" s="15">
        <f t="shared" ref="P68:P131" si="20">MAX(0,I68-M68)</f>
        <v>0</v>
      </c>
      <c r="Q68" s="14" t="str">
        <f>IF(M68&gt;=I68*'Hoja 4 - Cálculo'!$B$16,"Satisfactorio","Falla")</f>
        <v>Satisfactorio</v>
      </c>
      <c r="R68" s="14">
        <f t="shared" si="12"/>
        <v>0</v>
      </c>
      <c r="S68" s="14">
        <f t="shared" si="13"/>
        <v>0</v>
      </c>
    </row>
    <row r="69" spans="1:19">
      <c r="A69" s="14" t="str">
        <f t="shared" si="14"/>
        <v>SRY-1-1</v>
      </c>
      <c r="B69" s="15">
        <f>'Curvas SRY'!$B$8</f>
        <v>1</v>
      </c>
      <c r="C69" s="15">
        <f>'Curvas SRY'!$E$8</f>
        <v>0.75</v>
      </c>
      <c r="D69" s="14" t="str">
        <f>'Curvas SRY'!$B$14</f>
        <v>Uso variable</v>
      </c>
      <c r="E69" s="14">
        <f>66</f>
        <v>66</v>
      </c>
      <c r="F69" s="21">
        <f>'Hoja 4 - Cálculo'!A90</f>
        <v>31564</v>
      </c>
      <c r="G69" s="15">
        <f>'Hoja 4 - Cálculo'!H90</f>
        <v>16.007625000000001</v>
      </c>
      <c r="H69" s="15">
        <f>IF(D69="Uso único",'Hoja 4 - Cálculo'!I90,IF(D69="Uso múltiple",AVERAGE('Hoja 4 - Cálculo'!$I$25:$I$384)+AVERAGE('Hoja 4 - Cálculo'!$J$25:$J$384)+AVERAGE('Hoja 4 - Cálculo'!$K$25:$K$384),IF(D69="Uso prioritario",'Hoja 4 - Cálculo'!I90+'Hoja 4 - Cálculo'!K90,'Hoja 4 - Cálculo'!I90+'Hoja 4 - Cálculo'!J90+'Hoja 4 - Cálculo'!K90)))</f>
        <v>11.5</v>
      </c>
      <c r="I69" s="15">
        <f t="shared" si="15"/>
        <v>8.625</v>
      </c>
      <c r="J69" s="15">
        <f t="shared" ref="J69:J100" si="21">N68</f>
        <v>1</v>
      </c>
      <c r="K69" s="15">
        <f>MIN(J69+G69,(J69+G69)*'Hoja 4 - Cálculo'!$B$15)</f>
        <v>0.34015250000000002</v>
      </c>
      <c r="L69" s="15">
        <f t="shared" si="16"/>
        <v>16.667472500000002</v>
      </c>
      <c r="M69" s="15">
        <f t="shared" si="17"/>
        <v>8.625</v>
      </c>
      <c r="N69" s="15">
        <f t="shared" si="18"/>
        <v>1</v>
      </c>
      <c r="O69" s="15">
        <f t="shared" si="19"/>
        <v>7.0424725000000024</v>
      </c>
      <c r="P69" s="15">
        <f t="shared" si="20"/>
        <v>0</v>
      </c>
      <c r="Q69" s="14" t="str">
        <f>IF(M69&gt;=I69*'Hoja 4 - Cálculo'!$B$16,"Satisfactorio","Falla")</f>
        <v>Satisfactorio</v>
      </c>
      <c r="R69" s="14">
        <f t="shared" ref="R69:R100" si="22">IF(AND(Q68="Falla",Q69="Satisfactorio"),1,0)</f>
        <v>0</v>
      </c>
      <c r="S69" s="14">
        <f t="shared" ref="S69:S100" si="23">IF(AND(Q69="Falla",Q68&lt;&gt;"Falla"),1,0)</f>
        <v>0</v>
      </c>
    </row>
    <row r="70" spans="1:19">
      <c r="A70" s="14" t="str">
        <f t="shared" si="14"/>
        <v>SRY-1-1</v>
      </c>
      <c r="B70" s="15">
        <f>'Curvas SRY'!$B$8</f>
        <v>1</v>
      </c>
      <c r="C70" s="15">
        <f>'Curvas SRY'!$E$8</f>
        <v>0.75</v>
      </c>
      <c r="D70" s="14" t="str">
        <f>'Curvas SRY'!$B$14</f>
        <v>Uso variable</v>
      </c>
      <c r="E70" s="14">
        <f>67</f>
        <v>67</v>
      </c>
      <c r="F70" s="21">
        <f>'Hoja 4 - Cálculo'!A91</f>
        <v>31594</v>
      </c>
      <c r="G70" s="15">
        <f>'Hoja 4 - Cálculo'!H91</f>
        <v>14.056875</v>
      </c>
      <c r="H70" s="15">
        <f>IF(D70="Uso único",'Hoja 4 - Cálculo'!I91,IF(D70="Uso múltiple",AVERAGE('Hoja 4 - Cálculo'!$I$25:$I$384)+AVERAGE('Hoja 4 - Cálculo'!$J$25:$J$384)+AVERAGE('Hoja 4 - Cálculo'!$K$25:$K$384),IF(D70="Uso prioritario",'Hoja 4 - Cálculo'!I91+'Hoja 4 - Cálculo'!K91,'Hoja 4 - Cálculo'!I91+'Hoja 4 - Cálculo'!J91+'Hoja 4 - Cálculo'!K91)))</f>
        <v>16</v>
      </c>
      <c r="I70" s="15">
        <f t="shared" si="15"/>
        <v>12</v>
      </c>
      <c r="J70" s="15">
        <f t="shared" si="21"/>
        <v>1</v>
      </c>
      <c r="K70" s="15">
        <f>MIN(J70+G70,(J70+G70)*'Hoja 4 - Cálculo'!$B$15)</f>
        <v>0.3011375</v>
      </c>
      <c r="L70" s="15">
        <f t="shared" si="16"/>
        <v>14.7557375</v>
      </c>
      <c r="M70" s="15">
        <f t="shared" si="17"/>
        <v>12</v>
      </c>
      <c r="N70" s="15">
        <f t="shared" si="18"/>
        <v>1</v>
      </c>
      <c r="O70" s="15">
        <f t="shared" si="19"/>
        <v>1.7557375000000004</v>
      </c>
      <c r="P70" s="15">
        <f t="shared" si="20"/>
        <v>0</v>
      </c>
      <c r="Q70" s="14" t="str">
        <f>IF(M70&gt;=I70*'Hoja 4 - Cálculo'!$B$16,"Satisfactorio","Falla")</f>
        <v>Satisfactorio</v>
      </c>
      <c r="R70" s="14">
        <f t="shared" si="22"/>
        <v>0</v>
      </c>
      <c r="S70" s="14">
        <f t="shared" si="23"/>
        <v>0</v>
      </c>
    </row>
    <row r="71" spans="1:19">
      <c r="A71" s="14" t="str">
        <f t="shared" si="14"/>
        <v>SRY-1-1</v>
      </c>
      <c r="B71" s="15">
        <f>'Curvas SRY'!$B$8</f>
        <v>1</v>
      </c>
      <c r="C71" s="15">
        <f>'Curvas SRY'!$E$8</f>
        <v>0.75</v>
      </c>
      <c r="D71" s="14" t="str">
        <f>'Curvas SRY'!$B$14</f>
        <v>Uso variable</v>
      </c>
      <c r="E71" s="14">
        <f>68</f>
        <v>68</v>
      </c>
      <c r="F71" s="21">
        <f>'Hoja 4 - Cálculo'!A92</f>
        <v>31625</v>
      </c>
      <c r="G71" s="15">
        <f>'Hoja 4 - Cálculo'!H92</f>
        <v>15.032249999999999</v>
      </c>
      <c r="H71" s="15">
        <f>IF(D71="Uso único",'Hoja 4 - Cálculo'!I92,IF(D71="Uso múltiple",AVERAGE('Hoja 4 - Cálculo'!$I$25:$I$384)+AVERAGE('Hoja 4 - Cálculo'!$J$25:$J$384)+AVERAGE('Hoja 4 - Cálculo'!$K$25:$K$384),IF(D71="Uso prioritario",'Hoja 4 - Cálculo'!I92+'Hoja 4 - Cálculo'!K92,'Hoja 4 - Cálculo'!I92+'Hoja 4 - Cálculo'!J92+'Hoja 4 - Cálculo'!K92)))</f>
        <v>16</v>
      </c>
      <c r="I71" s="15">
        <f t="shared" si="15"/>
        <v>12</v>
      </c>
      <c r="J71" s="15">
        <f t="shared" si="21"/>
        <v>1</v>
      </c>
      <c r="K71" s="15">
        <f>MIN(J71+G71,(J71+G71)*'Hoja 4 - Cálculo'!$B$15)</f>
        <v>0.32064499999999996</v>
      </c>
      <c r="L71" s="15">
        <f t="shared" si="16"/>
        <v>15.711604999999997</v>
      </c>
      <c r="M71" s="15">
        <f t="shared" si="17"/>
        <v>12</v>
      </c>
      <c r="N71" s="15">
        <f t="shared" si="18"/>
        <v>1</v>
      </c>
      <c r="O71" s="15">
        <f t="shared" si="19"/>
        <v>2.7116049999999969</v>
      </c>
      <c r="P71" s="15">
        <f t="shared" si="20"/>
        <v>0</v>
      </c>
      <c r="Q71" s="14" t="str">
        <f>IF(M71&gt;=I71*'Hoja 4 - Cálculo'!$B$16,"Satisfactorio","Falla")</f>
        <v>Satisfactorio</v>
      </c>
      <c r="R71" s="14">
        <f t="shared" si="22"/>
        <v>0</v>
      </c>
      <c r="S71" s="14">
        <f t="shared" si="23"/>
        <v>0</v>
      </c>
    </row>
    <row r="72" spans="1:19">
      <c r="A72" s="14" t="str">
        <f t="shared" si="14"/>
        <v>SRY-1-1</v>
      </c>
      <c r="B72" s="15">
        <f>'Curvas SRY'!$B$8</f>
        <v>1</v>
      </c>
      <c r="C72" s="15">
        <f>'Curvas SRY'!$E$8</f>
        <v>0.75</v>
      </c>
      <c r="D72" s="14" t="str">
        <f>'Curvas SRY'!$B$14</f>
        <v>Uso variable</v>
      </c>
      <c r="E72" s="14">
        <f>69</f>
        <v>69</v>
      </c>
      <c r="F72" s="21">
        <f>'Hoja 4 - Cálculo'!A93</f>
        <v>31656</v>
      </c>
      <c r="G72" s="15">
        <f>'Hoja 4 - Cálculo'!H93</f>
        <v>22.60575</v>
      </c>
      <c r="H72" s="15">
        <f>IF(D72="Uso único",'Hoja 4 - Cálculo'!I93,IF(D72="Uso múltiple",AVERAGE('Hoja 4 - Cálculo'!$I$25:$I$384)+AVERAGE('Hoja 4 - Cálculo'!$J$25:$J$384)+AVERAGE('Hoja 4 - Cálculo'!$K$25:$K$384),IF(D72="Uso prioritario",'Hoja 4 - Cálculo'!I93+'Hoja 4 - Cálculo'!K93,'Hoja 4 - Cálculo'!I93+'Hoja 4 - Cálculo'!J93+'Hoja 4 - Cálculo'!K93)))</f>
        <v>11.5</v>
      </c>
      <c r="I72" s="15">
        <f t="shared" si="15"/>
        <v>8.625</v>
      </c>
      <c r="J72" s="15">
        <f t="shared" si="21"/>
        <v>1</v>
      </c>
      <c r="K72" s="15">
        <f>MIN(J72+G72,(J72+G72)*'Hoja 4 - Cálculo'!$B$15)</f>
        <v>0.47211500000000001</v>
      </c>
      <c r="L72" s="15">
        <f t="shared" si="16"/>
        <v>23.133635000000002</v>
      </c>
      <c r="M72" s="15">
        <f t="shared" si="17"/>
        <v>8.625</v>
      </c>
      <c r="N72" s="15">
        <f t="shared" si="18"/>
        <v>1</v>
      </c>
      <c r="O72" s="15">
        <f t="shared" si="19"/>
        <v>13.508635000000002</v>
      </c>
      <c r="P72" s="15">
        <f t="shared" si="20"/>
        <v>0</v>
      </c>
      <c r="Q72" s="14" t="str">
        <f>IF(M72&gt;=I72*'Hoja 4 - Cálculo'!$B$16,"Satisfactorio","Falla")</f>
        <v>Satisfactorio</v>
      </c>
      <c r="R72" s="14">
        <f t="shared" si="22"/>
        <v>0</v>
      </c>
      <c r="S72" s="14">
        <f t="shared" si="23"/>
        <v>0</v>
      </c>
    </row>
    <row r="73" spans="1:19">
      <c r="A73" s="14" t="str">
        <f t="shared" si="14"/>
        <v>SRY-1-1</v>
      </c>
      <c r="B73" s="15">
        <f>'Curvas SRY'!$B$8</f>
        <v>1</v>
      </c>
      <c r="C73" s="15">
        <f>'Curvas SRY'!$E$8</f>
        <v>0.75</v>
      </c>
      <c r="D73" s="14" t="str">
        <f>'Curvas SRY'!$B$14</f>
        <v>Uso variable</v>
      </c>
      <c r="E73" s="14">
        <f>70</f>
        <v>70</v>
      </c>
      <c r="F73" s="21">
        <f>'Hoja 4 - Cálculo'!A94</f>
        <v>31686</v>
      </c>
      <c r="G73" s="15">
        <f>'Hoja 4 - Cálculo'!H94</f>
        <v>32.531624999999998</v>
      </c>
      <c r="H73" s="15">
        <f>IF(D73="Uso único",'Hoja 4 - Cálculo'!I94,IF(D73="Uso múltiple",AVERAGE('Hoja 4 - Cálculo'!$I$25:$I$384)+AVERAGE('Hoja 4 - Cálculo'!$J$25:$J$384)+AVERAGE('Hoja 4 - Cálculo'!$K$25:$K$384),IF(D73="Uso prioritario",'Hoja 4 - Cálculo'!I94+'Hoja 4 - Cálculo'!K94,'Hoja 4 - Cálculo'!I94+'Hoja 4 - Cálculo'!J94+'Hoja 4 - Cálculo'!K94)))</f>
        <v>11.5</v>
      </c>
      <c r="I73" s="15">
        <f t="shared" si="15"/>
        <v>8.625</v>
      </c>
      <c r="J73" s="15">
        <f t="shared" si="21"/>
        <v>1</v>
      </c>
      <c r="K73" s="15">
        <f>MIN(J73+G73,(J73+G73)*'Hoja 4 - Cálculo'!$B$15)</f>
        <v>0.67063249999999996</v>
      </c>
      <c r="L73" s="15">
        <f t="shared" si="16"/>
        <v>32.860992499999995</v>
      </c>
      <c r="M73" s="15">
        <f t="shared" si="17"/>
        <v>8.625</v>
      </c>
      <c r="N73" s="15">
        <f t="shared" si="18"/>
        <v>1</v>
      </c>
      <c r="O73" s="15">
        <f t="shared" si="19"/>
        <v>23.235992499999995</v>
      </c>
      <c r="P73" s="15">
        <f t="shared" si="20"/>
        <v>0</v>
      </c>
      <c r="Q73" s="14" t="str">
        <f>IF(M73&gt;=I73*'Hoja 4 - Cálculo'!$B$16,"Satisfactorio","Falla")</f>
        <v>Satisfactorio</v>
      </c>
      <c r="R73" s="14">
        <f t="shared" si="22"/>
        <v>0</v>
      </c>
      <c r="S73" s="14">
        <f t="shared" si="23"/>
        <v>0</v>
      </c>
    </row>
    <row r="74" spans="1:19">
      <c r="A74" s="14" t="str">
        <f t="shared" si="14"/>
        <v>SRY-1-1</v>
      </c>
      <c r="B74" s="15">
        <f>'Curvas SRY'!$B$8</f>
        <v>1</v>
      </c>
      <c r="C74" s="15">
        <f>'Curvas SRY'!$E$8</f>
        <v>0.75</v>
      </c>
      <c r="D74" s="14" t="str">
        <f>'Curvas SRY'!$B$14</f>
        <v>Uso variable</v>
      </c>
      <c r="E74" s="14">
        <f>71</f>
        <v>71</v>
      </c>
      <c r="F74" s="21">
        <f>'Hoja 4 - Cálculo'!A95</f>
        <v>31717</v>
      </c>
      <c r="G74" s="15">
        <f>'Hoja 4 - Cálculo'!H95</f>
        <v>26.641124999999999</v>
      </c>
      <c r="H74" s="15">
        <f>IF(D74="Uso único",'Hoja 4 - Cálculo'!I95,IF(D74="Uso múltiple",AVERAGE('Hoja 4 - Cálculo'!$I$25:$I$384)+AVERAGE('Hoja 4 - Cálculo'!$J$25:$J$384)+AVERAGE('Hoja 4 - Cálculo'!$K$25:$K$384),IF(D74="Uso prioritario",'Hoja 4 - Cálculo'!I95+'Hoja 4 - Cálculo'!K95,'Hoja 4 - Cálculo'!I95+'Hoja 4 - Cálculo'!J95+'Hoja 4 - Cálculo'!K95)))</f>
        <v>11.5</v>
      </c>
      <c r="I74" s="15">
        <f t="shared" si="15"/>
        <v>8.625</v>
      </c>
      <c r="J74" s="15">
        <f t="shared" si="21"/>
        <v>1</v>
      </c>
      <c r="K74" s="15">
        <f>MIN(J74+G74,(J74+G74)*'Hoja 4 - Cálculo'!$B$15)</f>
        <v>0.55282249999999999</v>
      </c>
      <c r="L74" s="15">
        <f t="shared" si="16"/>
        <v>27.088302499999998</v>
      </c>
      <c r="M74" s="15">
        <f t="shared" si="17"/>
        <v>8.625</v>
      </c>
      <c r="N74" s="15">
        <f t="shared" si="18"/>
        <v>1</v>
      </c>
      <c r="O74" s="15">
        <f t="shared" si="19"/>
        <v>17.463302499999998</v>
      </c>
      <c r="P74" s="15">
        <f t="shared" si="20"/>
        <v>0</v>
      </c>
      <c r="Q74" s="14" t="str">
        <f>IF(M74&gt;=I74*'Hoja 4 - Cálculo'!$B$16,"Satisfactorio","Falla")</f>
        <v>Satisfactorio</v>
      </c>
      <c r="R74" s="14">
        <f t="shared" si="22"/>
        <v>0</v>
      </c>
      <c r="S74" s="14">
        <f t="shared" si="23"/>
        <v>0</v>
      </c>
    </row>
    <row r="75" spans="1:19">
      <c r="A75" s="14" t="str">
        <f t="shared" si="14"/>
        <v>SRY-1-1</v>
      </c>
      <c r="B75" s="15">
        <f>'Curvas SRY'!$B$8</f>
        <v>1</v>
      </c>
      <c r="C75" s="15">
        <f>'Curvas SRY'!$E$8</f>
        <v>0.75</v>
      </c>
      <c r="D75" s="14" t="str">
        <f>'Curvas SRY'!$B$14</f>
        <v>Uso variable</v>
      </c>
      <c r="E75" s="14">
        <f>72</f>
        <v>72</v>
      </c>
      <c r="F75" s="21">
        <f>'Hoja 4 - Cálculo'!A96</f>
        <v>31747</v>
      </c>
      <c r="G75" s="15">
        <f>'Hoja 4 - Cálculo'!H96</f>
        <v>15.166124999999999</v>
      </c>
      <c r="H75" s="15">
        <f>IF(D75="Uso único",'Hoja 4 - Cálculo'!I96,IF(D75="Uso múltiple",AVERAGE('Hoja 4 - Cálculo'!$I$25:$I$384)+AVERAGE('Hoja 4 - Cálculo'!$J$25:$J$384)+AVERAGE('Hoja 4 - Cálculo'!$K$25:$K$384),IF(D75="Uso prioritario",'Hoja 4 - Cálculo'!I96+'Hoja 4 - Cálculo'!K96,'Hoja 4 - Cálculo'!I96+'Hoja 4 - Cálculo'!J96+'Hoja 4 - Cálculo'!K96)))</f>
        <v>16</v>
      </c>
      <c r="I75" s="15">
        <f t="shared" si="15"/>
        <v>12</v>
      </c>
      <c r="J75" s="15">
        <f t="shared" si="21"/>
        <v>1</v>
      </c>
      <c r="K75" s="15">
        <f>MIN(J75+G75,(J75+G75)*'Hoja 4 - Cálculo'!$B$15)</f>
        <v>0.32332250000000001</v>
      </c>
      <c r="L75" s="15">
        <f t="shared" si="16"/>
        <v>15.842802500000001</v>
      </c>
      <c r="M75" s="15">
        <f t="shared" si="17"/>
        <v>12</v>
      </c>
      <c r="N75" s="15">
        <f t="shared" si="18"/>
        <v>1</v>
      </c>
      <c r="O75" s="15">
        <f t="shared" si="19"/>
        <v>2.8428025000000012</v>
      </c>
      <c r="P75" s="15">
        <f t="shared" si="20"/>
        <v>0</v>
      </c>
      <c r="Q75" s="14" t="str">
        <f>IF(M75&gt;=I75*'Hoja 4 - Cálculo'!$B$16,"Satisfactorio","Falla")</f>
        <v>Satisfactorio</v>
      </c>
      <c r="R75" s="14">
        <f t="shared" si="22"/>
        <v>0</v>
      </c>
      <c r="S75" s="14">
        <f t="shared" si="23"/>
        <v>0</v>
      </c>
    </row>
    <row r="76" spans="1:19">
      <c r="A76" s="14" t="str">
        <f t="shared" si="14"/>
        <v>SRY-1-1</v>
      </c>
      <c r="B76" s="15">
        <f>'Curvas SRY'!$B$8</f>
        <v>1</v>
      </c>
      <c r="C76" s="15">
        <f>'Curvas SRY'!$E$8</f>
        <v>0.75</v>
      </c>
      <c r="D76" s="14" t="str">
        <f>'Curvas SRY'!$B$14</f>
        <v>Uso variable</v>
      </c>
      <c r="E76" s="14">
        <f>73</f>
        <v>73</v>
      </c>
      <c r="F76" s="21">
        <f>'Hoja 4 - Cálculo'!A97</f>
        <v>31778</v>
      </c>
      <c r="G76" s="15">
        <f>'Hoja 4 - Cálculo'!H97</f>
        <v>14.056875</v>
      </c>
      <c r="H76" s="15">
        <f>IF(D76="Uso único",'Hoja 4 - Cálculo'!I97,IF(D76="Uso múltiple",AVERAGE('Hoja 4 - Cálculo'!$I$25:$I$384)+AVERAGE('Hoja 4 - Cálculo'!$J$25:$J$384)+AVERAGE('Hoja 4 - Cálculo'!$K$25:$K$384),IF(D76="Uso prioritario",'Hoja 4 - Cálculo'!I97+'Hoja 4 - Cálculo'!K97,'Hoja 4 - Cálculo'!I97+'Hoja 4 - Cálculo'!J97+'Hoja 4 - Cálculo'!K97)))</f>
        <v>16</v>
      </c>
      <c r="I76" s="15">
        <f t="shared" si="15"/>
        <v>12</v>
      </c>
      <c r="J76" s="15">
        <f t="shared" si="21"/>
        <v>1</v>
      </c>
      <c r="K76" s="15">
        <f>MIN(J76+G76,(J76+G76)*'Hoja 4 - Cálculo'!$B$15)</f>
        <v>0.3011375</v>
      </c>
      <c r="L76" s="15">
        <f t="shared" si="16"/>
        <v>14.7557375</v>
      </c>
      <c r="M76" s="15">
        <f t="shared" si="17"/>
        <v>12</v>
      </c>
      <c r="N76" s="15">
        <f t="shared" si="18"/>
        <v>1</v>
      </c>
      <c r="O76" s="15">
        <f t="shared" si="19"/>
        <v>1.7557375000000004</v>
      </c>
      <c r="P76" s="15">
        <f t="shared" si="20"/>
        <v>0</v>
      </c>
      <c r="Q76" s="14" t="str">
        <f>IF(M76&gt;=I76*'Hoja 4 - Cálculo'!$B$16,"Satisfactorio","Falla")</f>
        <v>Satisfactorio</v>
      </c>
      <c r="R76" s="14">
        <f t="shared" si="22"/>
        <v>0</v>
      </c>
      <c r="S76" s="14">
        <f t="shared" si="23"/>
        <v>0</v>
      </c>
    </row>
    <row r="77" spans="1:19">
      <c r="A77" s="14" t="str">
        <f t="shared" si="14"/>
        <v>SRY-1-1</v>
      </c>
      <c r="B77" s="15">
        <f>'Curvas SRY'!$B$8</f>
        <v>1</v>
      </c>
      <c r="C77" s="15">
        <f>'Curvas SRY'!$E$8</f>
        <v>0.75</v>
      </c>
      <c r="D77" s="14" t="str">
        <f>'Curvas SRY'!$B$14</f>
        <v>Uso variable</v>
      </c>
      <c r="E77" s="14">
        <f>74</f>
        <v>74</v>
      </c>
      <c r="F77" s="21">
        <f>'Hoja 4 - Cálculo'!A98</f>
        <v>31809</v>
      </c>
      <c r="G77" s="15">
        <f>'Hoja 4 - Cálculo'!H98</f>
        <v>15.969374999999999</v>
      </c>
      <c r="H77" s="15">
        <f>IF(D77="Uso único",'Hoja 4 - Cálculo'!I98,IF(D77="Uso múltiple",AVERAGE('Hoja 4 - Cálculo'!$I$25:$I$384)+AVERAGE('Hoja 4 - Cálculo'!$J$25:$J$384)+AVERAGE('Hoja 4 - Cálculo'!$K$25:$K$384),IF(D77="Uso prioritario",'Hoja 4 - Cálculo'!I98+'Hoja 4 - Cálculo'!K98,'Hoja 4 - Cálculo'!I98+'Hoja 4 - Cálculo'!J98+'Hoja 4 - Cálculo'!K98)))</f>
        <v>16</v>
      </c>
      <c r="I77" s="15">
        <f t="shared" si="15"/>
        <v>12</v>
      </c>
      <c r="J77" s="15">
        <f t="shared" si="21"/>
        <v>1</v>
      </c>
      <c r="K77" s="15">
        <f>MIN(J77+G77,(J77+G77)*'Hoja 4 - Cálculo'!$B$15)</f>
        <v>0.33938750000000001</v>
      </c>
      <c r="L77" s="15">
        <f t="shared" si="16"/>
        <v>16.629987499999999</v>
      </c>
      <c r="M77" s="15">
        <f t="shared" si="17"/>
        <v>12</v>
      </c>
      <c r="N77" s="15">
        <f t="shared" si="18"/>
        <v>1</v>
      </c>
      <c r="O77" s="15">
        <f t="shared" si="19"/>
        <v>3.6299874999999986</v>
      </c>
      <c r="P77" s="15">
        <f t="shared" si="20"/>
        <v>0</v>
      </c>
      <c r="Q77" s="14" t="str">
        <f>IF(M77&gt;=I77*'Hoja 4 - Cálculo'!$B$16,"Satisfactorio","Falla")</f>
        <v>Satisfactorio</v>
      </c>
      <c r="R77" s="14">
        <f t="shared" si="22"/>
        <v>0</v>
      </c>
      <c r="S77" s="14">
        <f t="shared" si="23"/>
        <v>0</v>
      </c>
    </row>
    <row r="78" spans="1:19">
      <c r="A78" s="14" t="str">
        <f t="shared" si="14"/>
        <v>SRY-1-1</v>
      </c>
      <c r="B78" s="15">
        <f>'Curvas SRY'!$B$8</f>
        <v>1</v>
      </c>
      <c r="C78" s="15">
        <f>'Curvas SRY'!$E$8</f>
        <v>0.75</v>
      </c>
      <c r="D78" s="14" t="str">
        <f>'Curvas SRY'!$B$14</f>
        <v>Uso variable</v>
      </c>
      <c r="E78" s="14">
        <f>75</f>
        <v>75</v>
      </c>
      <c r="F78" s="21">
        <f>'Hoja 4 - Cálculo'!A99</f>
        <v>31837</v>
      </c>
      <c r="G78" s="15">
        <f>'Hoja 4 - Cálculo'!H99</f>
        <v>22.797000000000001</v>
      </c>
      <c r="H78" s="15">
        <f>IF(D78="Uso único",'Hoja 4 - Cálculo'!I99,IF(D78="Uso múltiple",AVERAGE('Hoja 4 - Cálculo'!$I$25:$I$384)+AVERAGE('Hoja 4 - Cálculo'!$J$25:$J$384)+AVERAGE('Hoja 4 - Cálculo'!$K$25:$K$384),IF(D78="Uso prioritario",'Hoja 4 - Cálculo'!I99+'Hoja 4 - Cálculo'!K99,'Hoja 4 - Cálculo'!I99+'Hoja 4 - Cálculo'!J99+'Hoja 4 - Cálculo'!K99)))</f>
        <v>16</v>
      </c>
      <c r="I78" s="15">
        <f t="shared" si="15"/>
        <v>12</v>
      </c>
      <c r="J78" s="15">
        <f t="shared" si="21"/>
        <v>1</v>
      </c>
      <c r="K78" s="15">
        <f>MIN(J78+G78,(J78+G78)*'Hoja 4 - Cálculo'!$B$15)</f>
        <v>0.47594000000000003</v>
      </c>
      <c r="L78" s="15">
        <f t="shared" si="16"/>
        <v>23.321059999999999</v>
      </c>
      <c r="M78" s="15">
        <f t="shared" si="17"/>
        <v>12</v>
      </c>
      <c r="N78" s="15">
        <f t="shared" si="18"/>
        <v>1</v>
      </c>
      <c r="O78" s="15">
        <f t="shared" si="19"/>
        <v>10.321059999999999</v>
      </c>
      <c r="P78" s="15">
        <f t="shared" si="20"/>
        <v>0</v>
      </c>
      <c r="Q78" s="14" t="str">
        <f>IF(M78&gt;=I78*'Hoja 4 - Cálculo'!$B$16,"Satisfactorio","Falla")</f>
        <v>Satisfactorio</v>
      </c>
      <c r="R78" s="14">
        <f t="shared" si="22"/>
        <v>0</v>
      </c>
      <c r="S78" s="14">
        <f t="shared" si="23"/>
        <v>0</v>
      </c>
    </row>
    <row r="79" spans="1:19">
      <c r="A79" s="14" t="str">
        <f t="shared" si="14"/>
        <v>SRY-1-1</v>
      </c>
      <c r="B79" s="15">
        <f>'Curvas SRY'!$B$8</f>
        <v>1</v>
      </c>
      <c r="C79" s="15">
        <f>'Curvas SRY'!$E$8</f>
        <v>0.75</v>
      </c>
      <c r="D79" s="14" t="str">
        <f>'Curvas SRY'!$B$14</f>
        <v>Uso variable</v>
      </c>
      <c r="E79" s="14">
        <f>76</f>
        <v>76</v>
      </c>
      <c r="F79" s="21">
        <f>'Hoja 4 - Cálculo'!A100</f>
        <v>31868</v>
      </c>
      <c r="G79" s="15">
        <f>'Hoja 4 - Cálculo'!H100</f>
        <v>34.138125000000002</v>
      </c>
      <c r="H79" s="15">
        <f>IF(D79="Uso único",'Hoja 4 - Cálculo'!I100,IF(D79="Uso múltiple",AVERAGE('Hoja 4 - Cálculo'!$I$25:$I$384)+AVERAGE('Hoja 4 - Cálculo'!$J$25:$J$384)+AVERAGE('Hoja 4 - Cálculo'!$K$25:$K$384),IF(D79="Uso prioritario",'Hoja 4 - Cálculo'!I100+'Hoja 4 - Cálculo'!K100,'Hoja 4 - Cálculo'!I100+'Hoja 4 - Cálculo'!J100+'Hoja 4 - Cálculo'!K100)))</f>
        <v>11.5</v>
      </c>
      <c r="I79" s="15">
        <f t="shared" si="15"/>
        <v>8.625</v>
      </c>
      <c r="J79" s="15">
        <f t="shared" si="21"/>
        <v>1</v>
      </c>
      <c r="K79" s="15">
        <f>MIN(J79+G79,(J79+G79)*'Hoja 4 - Cálculo'!$B$15)</f>
        <v>0.70276250000000007</v>
      </c>
      <c r="L79" s="15">
        <f t="shared" si="16"/>
        <v>34.435362500000004</v>
      </c>
      <c r="M79" s="15">
        <f t="shared" si="17"/>
        <v>8.625</v>
      </c>
      <c r="N79" s="15">
        <f t="shared" si="18"/>
        <v>1</v>
      </c>
      <c r="O79" s="15">
        <f t="shared" si="19"/>
        <v>24.810362500000004</v>
      </c>
      <c r="P79" s="15">
        <f t="shared" si="20"/>
        <v>0</v>
      </c>
      <c r="Q79" s="14" t="str">
        <f>IF(M79&gt;=I79*'Hoja 4 - Cálculo'!$B$16,"Satisfactorio","Falla")</f>
        <v>Satisfactorio</v>
      </c>
      <c r="R79" s="14">
        <f t="shared" si="22"/>
        <v>0</v>
      </c>
      <c r="S79" s="14">
        <f t="shared" si="23"/>
        <v>0</v>
      </c>
    </row>
    <row r="80" spans="1:19">
      <c r="A80" s="14" t="str">
        <f t="shared" si="14"/>
        <v>SRY-1-1</v>
      </c>
      <c r="B80" s="15">
        <f>'Curvas SRY'!$B$8</f>
        <v>1</v>
      </c>
      <c r="C80" s="15">
        <f>'Curvas SRY'!$E$8</f>
        <v>0.75</v>
      </c>
      <c r="D80" s="14" t="str">
        <f>'Curvas SRY'!$B$14</f>
        <v>Uso variable</v>
      </c>
      <c r="E80" s="14">
        <f>77</f>
        <v>77</v>
      </c>
      <c r="F80" s="21">
        <f>'Hoja 4 - Cálculo'!A101</f>
        <v>31898</v>
      </c>
      <c r="G80" s="15">
        <f>'Hoja 4 - Cálculo'!H101</f>
        <v>28.534500000000001</v>
      </c>
      <c r="H80" s="15">
        <f>IF(D80="Uso único",'Hoja 4 - Cálculo'!I101,IF(D80="Uso múltiple",AVERAGE('Hoja 4 - Cálculo'!$I$25:$I$384)+AVERAGE('Hoja 4 - Cálculo'!$J$25:$J$384)+AVERAGE('Hoja 4 - Cálculo'!$K$25:$K$384),IF(D80="Uso prioritario",'Hoja 4 - Cálculo'!I101+'Hoja 4 - Cálculo'!K101,'Hoja 4 - Cálculo'!I101+'Hoja 4 - Cálculo'!J101+'Hoja 4 - Cálculo'!K101)))</f>
        <v>11.5</v>
      </c>
      <c r="I80" s="15">
        <f t="shared" si="15"/>
        <v>8.625</v>
      </c>
      <c r="J80" s="15">
        <f t="shared" si="21"/>
        <v>1</v>
      </c>
      <c r="K80" s="15">
        <f>MIN(J80+G80,(J80+G80)*'Hoja 4 - Cálculo'!$B$15)</f>
        <v>0.59069000000000005</v>
      </c>
      <c r="L80" s="15">
        <f t="shared" si="16"/>
        <v>28.943810000000003</v>
      </c>
      <c r="M80" s="15">
        <f t="shared" si="17"/>
        <v>8.625</v>
      </c>
      <c r="N80" s="15">
        <f t="shared" si="18"/>
        <v>1</v>
      </c>
      <c r="O80" s="15">
        <f t="shared" si="19"/>
        <v>19.318810000000003</v>
      </c>
      <c r="P80" s="15">
        <f t="shared" si="20"/>
        <v>0</v>
      </c>
      <c r="Q80" s="14" t="str">
        <f>IF(M80&gt;=I80*'Hoja 4 - Cálculo'!$B$16,"Satisfactorio","Falla")</f>
        <v>Satisfactorio</v>
      </c>
      <c r="R80" s="14">
        <f t="shared" si="22"/>
        <v>0</v>
      </c>
      <c r="S80" s="14">
        <f t="shared" si="23"/>
        <v>0</v>
      </c>
    </row>
    <row r="81" spans="1:19">
      <c r="A81" s="14" t="str">
        <f t="shared" si="14"/>
        <v>SRY-1-1</v>
      </c>
      <c r="B81" s="15">
        <f>'Curvas SRY'!$B$8</f>
        <v>1</v>
      </c>
      <c r="C81" s="15">
        <f>'Curvas SRY'!$E$8</f>
        <v>0.75</v>
      </c>
      <c r="D81" s="14" t="str">
        <f>'Curvas SRY'!$B$14</f>
        <v>Uso variable</v>
      </c>
      <c r="E81" s="14">
        <f>78</f>
        <v>78</v>
      </c>
      <c r="F81" s="21">
        <f>'Hoja 4 - Cálculo'!A102</f>
        <v>31929</v>
      </c>
      <c r="G81" s="15">
        <f>'Hoja 4 - Cálculo'!H102</f>
        <v>18.589500000000001</v>
      </c>
      <c r="H81" s="15">
        <f>IF(D81="Uso único",'Hoja 4 - Cálculo'!I102,IF(D81="Uso múltiple",AVERAGE('Hoja 4 - Cálculo'!$I$25:$I$384)+AVERAGE('Hoja 4 - Cálculo'!$J$25:$J$384)+AVERAGE('Hoja 4 - Cálculo'!$K$25:$K$384),IF(D81="Uso prioritario",'Hoja 4 - Cálculo'!I102+'Hoja 4 - Cálculo'!K102,'Hoja 4 - Cálculo'!I102+'Hoja 4 - Cálculo'!J102+'Hoja 4 - Cálculo'!K102)))</f>
        <v>11.5</v>
      </c>
      <c r="I81" s="15">
        <f t="shared" si="15"/>
        <v>8.625</v>
      </c>
      <c r="J81" s="15">
        <f t="shared" si="21"/>
        <v>1</v>
      </c>
      <c r="K81" s="15">
        <f>MIN(J81+G81,(J81+G81)*'Hoja 4 - Cálculo'!$B$15)</f>
        <v>0.39179000000000003</v>
      </c>
      <c r="L81" s="15">
        <f t="shared" si="16"/>
        <v>19.197710000000001</v>
      </c>
      <c r="M81" s="15">
        <f t="shared" si="17"/>
        <v>8.625</v>
      </c>
      <c r="N81" s="15">
        <f t="shared" si="18"/>
        <v>1</v>
      </c>
      <c r="O81" s="15">
        <f t="shared" si="19"/>
        <v>9.5727100000000007</v>
      </c>
      <c r="P81" s="15">
        <f t="shared" si="20"/>
        <v>0</v>
      </c>
      <c r="Q81" s="14" t="str">
        <f>IF(M81&gt;=I81*'Hoja 4 - Cálculo'!$B$16,"Satisfactorio","Falla")</f>
        <v>Satisfactorio</v>
      </c>
      <c r="R81" s="14">
        <f t="shared" si="22"/>
        <v>0</v>
      </c>
      <c r="S81" s="14">
        <f t="shared" si="23"/>
        <v>0</v>
      </c>
    </row>
    <row r="82" spans="1:19">
      <c r="A82" s="14" t="str">
        <f t="shared" si="14"/>
        <v>SRY-1-1</v>
      </c>
      <c r="B82" s="15">
        <f>'Curvas SRY'!$B$8</f>
        <v>1</v>
      </c>
      <c r="C82" s="15">
        <f>'Curvas SRY'!$E$8</f>
        <v>0.75</v>
      </c>
      <c r="D82" s="14" t="str">
        <f>'Curvas SRY'!$B$14</f>
        <v>Uso variable</v>
      </c>
      <c r="E82" s="14">
        <f>79</f>
        <v>79</v>
      </c>
      <c r="F82" s="21">
        <f>'Hoja 4 - Cálculo'!A103</f>
        <v>31959</v>
      </c>
      <c r="G82" s="15">
        <f>'Hoja 4 - Cálculo'!H103</f>
        <v>14.688000000000001</v>
      </c>
      <c r="H82" s="15">
        <f>IF(D82="Uso único",'Hoja 4 - Cálculo'!I103,IF(D82="Uso múltiple",AVERAGE('Hoja 4 - Cálculo'!$I$25:$I$384)+AVERAGE('Hoja 4 - Cálculo'!$J$25:$J$384)+AVERAGE('Hoja 4 - Cálculo'!$K$25:$K$384),IF(D82="Uso prioritario",'Hoja 4 - Cálculo'!I103+'Hoja 4 - Cálculo'!K103,'Hoja 4 - Cálculo'!I103+'Hoja 4 - Cálculo'!J103+'Hoja 4 - Cálculo'!K103)))</f>
        <v>16</v>
      </c>
      <c r="I82" s="15">
        <f t="shared" si="15"/>
        <v>12</v>
      </c>
      <c r="J82" s="15">
        <f t="shared" si="21"/>
        <v>1</v>
      </c>
      <c r="K82" s="15">
        <f>MIN(J82+G82,(J82+G82)*'Hoja 4 - Cálculo'!$B$15)</f>
        <v>0.31376000000000004</v>
      </c>
      <c r="L82" s="15">
        <f t="shared" si="16"/>
        <v>15.37424</v>
      </c>
      <c r="M82" s="15">
        <f t="shared" si="17"/>
        <v>12</v>
      </c>
      <c r="N82" s="15">
        <f t="shared" si="18"/>
        <v>1</v>
      </c>
      <c r="O82" s="15">
        <f t="shared" si="19"/>
        <v>2.3742400000000004</v>
      </c>
      <c r="P82" s="15">
        <f t="shared" si="20"/>
        <v>0</v>
      </c>
      <c r="Q82" s="14" t="str">
        <f>IF(M82&gt;=I82*'Hoja 4 - Cálculo'!$B$16,"Satisfactorio","Falla")</f>
        <v>Satisfactorio</v>
      </c>
      <c r="R82" s="14">
        <f t="shared" si="22"/>
        <v>0</v>
      </c>
      <c r="S82" s="14">
        <f t="shared" si="23"/>
        <v>0</v>
      </c>
    </row>
    <row r="83" spans="1:19">
      <c r="A83" s="14" t="str">
        <f t="shared" si="14"/>
        <v>SRY-1-1</v>
      </c>
      <c r="B83" s="15">
        <f>'Curvas SRY'!$B$8</f>
        <v>1</v>
      </c>
      <c r="C83" s="15">
        <f>'Curvas SRY'!$E$8</f>
        <v>0.75</v>
      </c>
      <c r="D83" s="14" t="str">
        <f>'Curvas SRY'!$B$14</f>
        <v>Uso variable</v>
      </c>
      <c r="E83" s="14">
        <f>80</f>
        <v>80</v>
      </c>
      <c r="F83" s="21">
        <f>'Hoja 4 - Cálculo'!A104</f>
        <v>31990</v>
      </c>
      <c r="G83" s="15">
        <f>'Hoja 4 - Cálculo'!H104</f>
        <v>15.759</v>
      </c>
      <c r="H83" s="15">
        <f>IF(D83="Uso único",'Hoja 4 - Cálculo'!I104,IF(D83="Uso múltiple",AVERAGE('Hoja 4 - Cálculo'!$I$25:$I$384)+AVERAGE('Hoja 4 - Cálculo'!$J$25:$J$384)+AVERAGE('Hoja 4 - Cálculo'!$K$25:$K$384),IF(D83="Uso prioritario",'Hoja 4 - Cálculo'!I104+'Hoja 4 - Cálculo'!K104,'Hoja 4 - Cálculo'!I104+'Hoja 4 - Cálculo'!J104+'Hoja 4 - Cálculo'!K104)))</f>
        <v>16</v>
      </c>
      <c r="I83" s="15">
        <f t="shared" si="15"/>
        <v>12</v>
      </c>
      <c r="J83" s="15">
        <f t="shared" si="21"/>
        <v>1</v>
      </c>
      <c r="K83" s="15">
        <f>MIN(J83+G83,(J83+G83)*'Hoja 4 - Cálculo'!$B$15)</f>
        <v>0.33518000000000003</v>
      </c>
      <c r="L83" s="15">
        <f t="shared" si="16"/>
        <v>16.423819999999999</v>
      </c>
      <c r="M83" s="15">
        <f t="shared" si="17"/>
        <v>12</v>
      </c>
      <c r="N83" s="15">
        <f t="shared" si="18"/>
        <v>1</v>
      </c>
      <c r="O83" s="15">
        <f t="shared" si="19"/>
        <v>3.4238199999999992</v>
      </c>
      <c r="P83" s="15">
        <f t="shared" si="20"/>
        <v>0</v>
      </c>
      <c r="Q83" s="14" t="str">
        <f>IF(M83&gt;=I83*'Hoja 4 - Cálculo'!$B$16,"Satisfactorio","Falla")</f>
        <v>Satisfactorio</v>
      </c>
      <c r="R83" s="14">
        <f t="shared" si="22"/>
        <v>0</v>
      </c>
      <c r="S83" s="14">
        <f t="shared" si="23"/>
        <v>0</v>
      </c>
    </row>
    <row r="84" spans="1:19">
      <c r="A84" s="14" t="str">
        <f t="shared" si="14"/>
        <v>SRY-1-1</v>
      </c>
      <c r="B84" s="15">
        <f>'Curvas SRY'!$B$8</f>
        <v>1</v>
      </c>
      <c r="C84" s="15">
        <f>'Curvas SRY'!$E$8</f>
        <v>0.75</v>
      </c>
      <c r="D84" s="14" t="str">
        <f>'Curvas SRY'!$B$14</f>
        <v>Uso variable</v>
      </c>
      <c r="E84" s="14">
        <f>81</f>
        <v>81</v>
      </c>
      <c r="F84" s="21">
        <f>'Hoja 4 - Cálculo'!A105</f>
        <v>32021</v>
      </c>
      <c r="G84" s="15">
        <f>'Hoja 4 - Cálculo'!H105</f>
        <v>26.220375000000001</v>
      </c>
      <c r="H84" s="15">
        <f>IF(D84="Uso único",'Hoja 4 - Cálculo'!I105,IF(D84="Uso múltiple",AVERAGE('Hoja 4 - Cálculo'!$I$25:$I$384)+AVERAGE('Hoja 4 - Cálculo'!$J$25:$J$384)+AVERAGE('Hoja 4 - Cálculo'!$K$25:$K$384),IF(D84="Uso prioritario",'Hoja 4 - Cálculo'!I105+'Hoja 4 - Cálculo'!K105,'Hoja 4 - Cálculo'!I105+'Hoja 4 - Cálculo'!J105+'Hoja 4 - Cálculo'!K105)))</f>
        <v>11.5</v>
      </c>
      <c r="I84" s="15">
        <f t="shared" si="15"/>
        <v>8.625</v>
      </c>
      <c r="J84" s="15">
        <f t="shared" si="21"/>
        <v>1</v>
      </c>
      <c r="K84" s="15">
        <f>MIN(J84+G84,(J84+G84)*'Hoja 4 - Cálculo'!$B$15)</f>
        <v>0.54440750000000004</v>
      </c>
      <c r="L84" s="15">
        <f t="shared" si="16"/>
        <v>26.675967500000002</v>
      </c>
      <c r="M84" s="15">
        <f t="shared" si="17"/>
        <v>8.625</v>
      </c>
      <c r="N84" s="15">
        <f t="shared" si="18"/>
        <v>1</v>
      </c>
      <c r="O84" s="15">
        <f t="shared" si="19"/>
        <v>17.050967500000002</v>
      </c>
      <c r="P84" s="15">
        <f t="shared" si="20"/>
        <v>0</v>
      </c>
      <c r="Q84" s="14" t="str">
        <f>IF(M84&gt;=I84*'Hoja 4 - Cálculo'!$B$16,"Satisfactorio","Falla")</f>
        <v>Satisfactorio</v>
      </c>
      <c r="R84" s="14">
        <f t="shared" si="22"/>
        <v>0</v>
      </c>
      <c r="S84" s="14">
        <f t="shared" si="23"/>
        <v>0</v>
      </c>
    </row>
    <row r="85" spans="1:19">
      <c r="A85" s="14" t="str">
        <f t="shared" si="14"/>
        <v>SRY-1-1</v>
      </c>
      <c r="B85" s="15">
        <f>'Curvas SRY'!$B$8</f>
        <v>1</v>
      </c>
      <c r="C85" s="15">
        <f>'Curvas SRY'!$E$8</f>
        <v>0.75</v>
      </c>
      <c r="D85" s="14" t="str">
        <f>'Curvas SRY'!$B$14</f>
        <v>Uso variable</v>
      </c>
      <c r="E85" s="14">
        <f>82</f>
        <v>82</v>
      </c>
      <c r="F85" s="21">
        <f>'Hoja 4 - Cálculo'!A106</f>
        <v>32051</v>
      </c>
      <c r="G85" s="15">
        <f>'Hoja 4 - Cálculo'!H106</f>
        <v>32.627249999999997</v>
      </c>
      <c r="H85" s="15">
        <f>IF(D85="Uso único",'Hoja 4 - Cálculo'!I106,IF(D85="Uso múltiple",AVERAGE('Hoja 4 - Cálculo'!$I$25:$I$384)+AVERAGE('Hoja 4 - Cálculo'!$J$25:$J$384)+AVERAGE('Hoja 4 - Cálculo'!$K$25:$K$384),IF(D85="Uso prioritario",'Hoja 4 - Cálculo'!I106+'Hoja 4 - Cálculo'!K106,'Hoja 4 - Cálculo'!I106+'Hoja 4 - Cálculo'!J106+'Hoja 4 - Cálculo'!K106)))</f>
        <v>11.5</v>
      </c>
      <c r="I85" s="15">
        <f t="shared" si="15"/>
        <v>8.625</v>
      </c>
      <c r="J85" s="15">
        <f t="shared" si="21"/>
        <v>1</v>
      </c>
      <c r="K85" s="15">
        <f>MIN(J85+G85,(J85+G85)*'Hoja 4 - Cálculo'!$B$15)</f>
        <v>0.67254499999999995</v>
      </c>
      <c r="L85" s="15">
        <f t="shared" si="16"/>
        <v>32.954704999999997</v>
      </c>
      <c r="M85" s="15">
        <f t="shared" si="17"/>
        <v>8.625</v>
      </c>
      <c r="N85" s="15">
        <f t="shared" si="18"/>
        <v>1</v>
      </c>
      <c r="O85" s="15">
        <f t="shared" si="19"/>
        <v>23.329704999999997</v>
      </c>
      <c r="P85" s="15">
        <f t="shared" si="20"/>
        <v>0</v>
      </c>
      <c r="Q85" s="14" t="str">
        <f>IF(M85&gt;=I85*'Hoja 4 - Cálculo'!$B$16,"Satisfactorio","Falla")</f>
        <v>Satisfactorio</v>
      </c>
      <c r="R85" s="14">
        <f t="shared" si="22"/>
        <v>0</v>
      </c>
      <c r="S85" s="14">
        <f t="shared" si="23"/>
        <v>0</v>
      </c>
    </row>
    <row r="86" spans="1:19">
      <c r="A86" s="14" t="str">
        <f t="shared" si="14"/>
        <v>SRY-1-1</v>
      </c>
      <c r="B86" s="15">
        <f>'Curvas SRY'!$B$8</f>
        <v>1</v>
      </c>
      <c r="C86" s="15">
        <f>'Curvas SRY'!$E$8</f>
        <v>0.75</v>
      </c>
      <c r="D86" s="14" t="str">
        <f>'Curvas SRY'!$B$14</f>
        <v>Uso variable</v>
      </c>
      <c r="E86" s="14">
        <f>83</f>
        <v>83</v>
      </c>
      <c r="F86" s="21">
        <f>'Hoja 4 - Cálculo'!A107</f>
        <v>32082</v>
      </c>
      <c r="G86" s="15">
        <f>'Hoja 4 - Cálculo'!H107</f>
        <v>29.758500000000002</v>
      </c>
      <c r="H86" s="15">
        <f>IF(D86="Uso único",'Hoja 4 - Cálculo'!I107,IF(D86="Uso múltiple",AVERAGE('Hoja 4 - Cálculo'!$I$25:$I$384)+AVERAGE('Hoja 4 - Cálculo'!$J$25:$J$384)+AVERAGE('Hoja 4 - Cálculo'!$K$25:$K$384),IF(D86="Uso prioritario",'Hoja 4 - Cálculo'!I107+'Hoja 4 - Cálculo'!K107,'Hoja 4 - Cálculo'!I107+'Hoja 4 - Cálculo'!J107+'Hoja 4 - Cálculo'!K107)))</f>
        <v>11.5</v>
      </c>
      <c r="I86" s="15">
        <f t="shared" si="15"/>
        <v>8.625</v>
      </c>
      <c r="J86" s="15">
        <f t="shared" si="21"/>
        <v>1</v>
      </c>
      <c r="K86" s="15">
        <f>MIN(J86+G86,(J86+G86)*'Hoja 4 - Cálculo'!$B$15)</f>
        <v>0.61516999999999999</v>
      </c>
      <c r="L86" s="15">
        <f t="shared" si="16"/>
        <v>30.143330000000002</v>
      </c>
      <c r="M86" s="15">
        <f t="shared" si="17"/>
        <v>8.625</v>
      </c>
      <c r="N86" s="15">
        <f t="shared" si="18"/>
        <v>1</v>
      </c>
      <c r="O86" s="15">
        <f t="shared" si="19"/>
        <v>20.518330000000002</v>
      </c>
      <c r="P86" s="15">
        <f t="shared" si="20"/>
        <v>0</v>
      </c>
      <c r="Q86" s="14" t="str">
        <f>IF(M86&gt;=I86*'Hoja 4 - Cálculo'!$B$16,"Satisfactorio","Falla")</f>
        <v>Satisfactorio</v>
      </c>
      <c r="R86" s="14">
        <f t="shared" si="22"/>
        <v>0</v>
      </c>
      <c r="S86" s="14">
        <f t="shared" si="23"/>
        <v>0</v>
      </c>
    </row>
    <row r="87" spans="1:19">
      <c r="A87" s="14" t="str">
        <f t="shared" si="14"/>
        <v>SRY-1-1</v>
      </c>
      <c r="B87" s="15">
        <f>'Curvas SRY'!$B$8</f>
        <v>1</v>
      </c>
      <c r="C87" s="15">
        <f>'Curvas SRY'!$E$8</f>
        <v>0.75</v>
      </c>
      <c r="D87" s="14" t="str">
        <f>'Curvas SRY'!$B$14</f>
        <v>Uso variable</v>
      </c>
      <c r="E87" s="14">
        <f>84</f>
        <v>84</v>
      </c>
      <c r="F87" s="21">
        <f>'Hoja 4 - Cálculo'!A108</f>
        <v>32112</v>
      </c>
      <c r="G87" s="15">
        <f>'Hoja 4 - Cálculo'!H108</f>
        <v>16.543125</v>
      </c>
      <c r="H87" s="15">
        <f>IF(D87="Uso único",'Hoja 4 - Cálculo'!I108,IF(D87="Uso múltiple",AVERAGE('Hoja 4 - Cálculo'!$I$25:$I$384)+AVERAGE('Hoja 4 - Cálculo'!$J$25:$J$384)+AVERAGE('Hoja 4 - Cálculo'!$K$25:$K$384),IF(D87="Uso prioritario",'Hoja 4 - Cálculo'!I108+'Hoja 4 - Cálculo'!K108,'Hoja 4 - Cálculo'!I108+'Hoja 4 - Cálculo'!J108+'Hoja 4 - Cálculo'!K108)))</f>
        <v>16</v>
      </c>
      <c r="I87" s="15">
        <f t="shared" si="15"/>
        <v>12</v>
      </c>
      <c r="J87" s="15">
        <f t="shared" si="21"/>
        <v>1</v>
      </c>
      <c r="K87" s="15">
        <f>MIN(J87+G87,(J87+G87)*'Hoja 4 - Cálculo'!$B$15)</f>
        <v>0.35086250000000002</v>
      </c>
      <c r="L87" s="15">
        <f t="shared" si="16"/>
        <v>17.192262499999998</v>
      </c>
      <c r="M87" s="15">
        <f t="shared" si="17"/>
        <v>12</v>
      </c>
      <c r="N87" s="15">
        <f t="shared" si="18"/>
        <v>1</v>
      </c>
      <c r="O87" s="15">
        <f t="shared" si="19"/>
        <v>4.1922624999999982</v>
      </c>
      <c r="P87" s="15">
        <f t="shared" si="20"/>
        <v>0</v>
      </c>
      <c r="Q87" s="14" t="str">
        <f>IF(M87&gt;=I87*'Hoja 4 - Cálculo'!$B$16,"Satisfactorio","Falla")</f>
        <v>Satisfactorio</v>
      </c>
      <c r="R87" s="14">
        <f t="shared" si="22"/>
        <v>0</v>
      </c>
      <c r="S87" s="14">
        <f t="shared" si="23"/>
        <v>0</v>
      </c>
    </row>
    <row r="88" spans="1:19">
      <c r="A88" s="14" t="str">
        <f t="shared" si="14"/>
        <v>SRY-1-1</v>
      </c>
      <c r="B88" s="15">
        <f>'Curvas SRY'!$B$8</f>
        <v>1</v>
      </c>
      <c r="C88" s="15">
        <f>'Curvas SRY'!$E$8</f>
        <v>0.75</v>
      </c>
      <c r="D88" s="14" t="str">
        <f>'Curvas SRY'!$B$14</f>
        <v>Uso variable</v>
      </c>
      <c r="E88" s="14">
        <f>85</f>
        <v>85</v>
      </c>
      <c r="F88" s="21">
        <f>'Hoja 4 - Cálculo'!A109</f>
        <v>32143</v>
      </c>
      <c r="G88" s="15">
        <f>'Hoja 4 - Cálculo'!H109</f>
        <v>13.291874999999999</v>
      </c>
      <c r="H88" s="15">
        <f>IF(D88="Uso único",'Hoja 4 - Cálculo'!I109,IF(D88="Uso múltiple",AVERAGE('Hoja 4 - Cálculo'!$I$25:$I$384)+AVERAGE('Hoja 4 - Cálculo'!$J$25:$J$384)+AVERAGE('Hoja 4 - Cálculo'!$K$25:$K$384),IF(D88="Uso prioritario",'Hoja 4 - Cálculo'!I109+'Hoja 4 - Cálculo'!K109,'Hoja 4 - Cálculo'!I109+'Hoja 4 - Cálculo'!J109+'Hoja 4 - Cálculo'!K109)))</f>
        <v>16</v>
      </c>
      <c r="I88" s="15">
        <f t="shared" si="15"/>
        <v>12</v>
      </c>
      <c r="J88" s="15">
        <f t="shared" si="21"/>
        <v>1</v>
      </c>
      <c r="K88" s="15">
        <f>MIN(J88+G88,(J88+G88)*'Hoja 4 - Cálculo'!$B$15)</f>
        <v>0.28583749999999997</v>
      </c>
      <c r="L88" s="15">
        <f t="shared" si="16"/>
        <v>14.0060375</v>
      </c>
      <c r="M88" s="15">
        <f t="shared" si="17"/>
        <v>12</v>
      </c>
      <c r="N88" s="15">
        <f t="shared" si="18"/>
        <v>1</v>
      </c>
      <c r="O88" s="15">
        <f t="shared" si="19"/>
        <v>1.0060374999999997</v>
      </c>
      <c r="P88" s="15">
        <f t="shared" si="20"/>
        <v>0</v>
      </c>
      <c r="Q88" s="14" t="str">
        <f>IF(M88&gt;=I88*'Hoja 4 - Cálculo'!$B$16,"Satisfactorio","Falla")</f>
        <v>Satisfactorio</v>
      </c>
      <c r="R88" s="14">
        <f t="shared" si="22"/>
        <v>0</v>
      </c>
      <c r="S88" s="14">
        <f t="shared" si="23"/>
        <v>0</v>
      </c>
    </row>
    <row r="89" spans="1:19">
      <c r="A89" s="14" t="str">
        <f t="shared" si="14"/>
        <v>SRY-1-1</v>
      </c>
      <c r="B89" s="15">
        <f>'Curvas SRY'!$B$8</f>
        <v>1</v>
      </c>
      <c r="C89" s="15">
        <f>'Curvas SRY'!$E$8</f>
        <v>0.75</v>
      </c>
      <c r="D89" s="14" t="str">
        <f>'Curvas SRY'!$B$14</f>
        <v>Uso variable</v>
      </c>
      <c r="E89" s="14">
        <f>86</f>
        <v>86</v>
      </c>
      <c r="F89" s="21">
        <f>'Hoja 4 - Cálculo'!A110</f>
        <v>32174</v>
      </c>
      <c r="G89" s="15">
        <f>'Hoja 4 - Cálculo'!H110</f>
        <v>14.19075</v>
      </c>
      <c r="H89" s="15">
        <f>IF(D89="Uso único",'Hoja 4 - Cálculo'!I110,IF(D89="Uso múltiple",AVERAGE('Hoja 4 - Cálculo'!$I$25:$I$384)+AVERAGE('Hoja 4 - Cálculo'!$J$25:$J$384)+AVERAGE('Hoja 4 - Cálculo'!$K$25:$K$384),IF(D89="Uso prioritario",'Hoja 4 - Cálculo'!I110+'Hoja 4 - Cálculo'!K110,'Hoja 4 - Cálculo'!I110+'Hoja 4 - Cálculo'!J110+'Hoja 4 - Cálculo'!K110)))</f>
        <v>16</v>
      </c>
      <c r="I89" s="15">
        <f t="shared" si="15"/>
        <v>12</v>
      </c>
      <c r="J89" s="15">
        <f t="shared" si="21"/>
        <v>1</v>
      </c>
      <c r="K89" s="15">
        <f>MIN(J89+G89,(J89+G89)*'Hoja 4 - Cálculo'!$B$15)</f>
        <v>0.303815</v>
      </c>
      <c r="L89" s="15">
        <f t="shared" si="16"/>
        <v>14.886934999999999</v>
      </c>
      <c r="M89" s="15">
        <f t="shared" si="17"/>
        <v>12</v>
      </c>
      <c r="N89" s="15">
        <f t="shared" si="18"/>
        <v>1</v>
      </c>
      <c r="O89" s="15">
        <f t="shared" si="19"/>
        <v>1.8869349999999994</v>
      </c>
      <c r="P89" s="15">
        <f t="shared" si="20"/>
        <v>0</v>
      </c>
      <c r="Q89" s="14" t="str">
        <f>IF(M89&gt;=I89*'Hoja 4 - Cálculo'!$B$16,"Satisfactorio","Falla")</f>
        <v>Satisfactorio</v>
      </c>
      <c r="R89" s="14">
        <f t="shared" si="22"/>
        <v>0</v>
      </c>
      <c r="S89" s="14">
        <f t="shared" si="23"/>
        <v>0</v>
      </c>
    </row>
    <row r="90" spans="1:19">
      <c r="A90" s="14" t="str">
        <f t="shared" si="14"/>
        <v>SRY-1-1</v>
      </c>
      <c r="B90" s="15">
        <f>'Curvas SRY'!$B$8</f>
        <v>1</v>
      </c>
      <c r="C90" s="15">
        <f>'Curvas SRY'!$E$8</f>
        <v>0.75</v>
      </c>
      <c r="D90" s="14" t="str">
        <f>'Curvas SRY'!$B$14</f>
        <v>Uso variable</v>
      </c>
      <c r="E90" s="14">
        <f>87</f>
        <v>87</v>
      </c>
      <c r="F90" s="21">
        <f>'Hoja 4 - Cálculo'!A111</f>
        <v>32203</v>
      </c>
      <c r="G90" s="15">
        <f>'Hoja 4 - Cálculo'!H111</f>
        <v>22.338000000000001</v>
      </c>
      <c r="H90" s="15">
        <f>IF(D90="Uso único",'Hoja 4 - Cálculo'!I111,IF(D90="Uso múltiple",AVERAGE('Hoja 4 - Cálculo'!$I$25:$I$384)+AVERAGE('Hoja 4 - Cálculo'!$J$25:$J$384)+AVERAGE('Hoja 4 - Cálculo'!$K$25:$K$384),IF(D90="Uso prioritario",'Hoja 4 - Cálculo'!I111+'Hoja 4 - Cálculo'!K111,'Hoja 4 - Cálculo'!I111+'Hoja 4 - Cálculo'!J111+'Hoja 4 - Cálculo'!K111)))</f>
        <v>16</v>
      </c>
      <c r="I90" s="15">
        <f t="shared" si="15"/>
        <v>12</v>
      </c>
      <c r="J90" s="15">
        <f t="shared" si="21"/>
        <v>1</v>
      </c>
      <c r="K90" s="15">
        <f>MIN(J90+G90,(J90+G90)*'Hoja 4 - Cálculo'!$B$15)</f>
        <v>0.46676000000000001</v>
      </c>
      <c r="L90" s="15">
        <f t="shared" si="16"/>
        <v>22.87124</v>
      </c>
      <c r="M90" s="15">
        <f t="shared" si="17"/>
        <v>12</v>
      </c>
      <c r="N90" s="15">
        <f t="shared" si="18"/>
        <v>1</v>
      </c>
      <c r="O90" s="15">
        <f t="shared" si="19"/>
        <v>9.8712400000000002</v>
      </c>
      <c r="P90" s="15">
        <f t="shared" si="20"/>
        <v>0</v>
      </c>
      <c r="Q90" s="14" t="str">
        <f>IF(M90&gt;=I90*'Hoja 4 - Cálculo'!$B$16,"Satisfactorio","Falla")</f>
        <v>Satisfactorio</v>
      </c>
      <c r="R90" s="14">
        <f t="shared" si="22"/>
        <v>0</v>
      </c>
      <c r="S90" s="14">
        <f t="shared" si="23"/>
        <v>0</v>
      </c>
    </row>
    <row r="91" spans="1:19">
      <c r="A91" s="14" t="str">
        <f t="shared" si="14"/>
        <v>SRY-1-1</v>
      </c>
      <c r="B91" s="15">
        <f>'Curvas SRY'!$B$8</f>
        <v>1</v>
      </c>
      <c r="C91" s="15">
        <f>'Curvas SRY'!$E$8</f>
        <v>0.75</v>
      </c>
      <c r="D91" s="14" t="str">
        <f>'Curvas SRY'!$B$14</f>
        <v>Uso variable</v>
      </c>
      <c r="E91" s="14">
        <f>88</f>
        <v>88</v>
      </c>
      <c r="F91" s="21">
        <f>'Hoja 4 - Cálculo'!A112</f>
        <v>32234</v>
      </c>
      <c r="G91" s="15">
        <f>'Hoja 4 - Cálculo'!H112</f>
        <v>29.643750000000001</v>
      </c>
      <c r="H91" s="15">
        <f>IF(D91="Uso único",'Hoja 4 - Cálculo'!I112,IF(D91="Uso múltiple",AVERAGE('Hoja 4 - Cálculo'!$I$25:$I$384)+AVERAGE('Hoja 4 - Cálculo'!$J$25:$J$384)+AVERAGE('Hoja 4 - Cálculo'!$K$25:$K$384),IF(D91="Uso prioritario",'Hoja 4 - Cálculo'!I112+'Hoja 4 - Cálculo'!K112,'Hoja 4 - Cálculo'!I112+'Hoja 4 - Cálculo'!J112+'Hoja 4 - Cálculo'!K112)))</f>
        <v>11.5</v>
      </c>
      <c r="I91" s="15">
        <f t="shared" si="15"/>
        <v>8.625</v>
      </c>
      <c r="J91" s="15">
        <f t="shared" si="21"/>
        <v>1</v>
      </c>
      <c r="K91" s="15">
        <f>MIN(J91+G91,(J91+G91)*'Hoja 4 - Cálculo'!$B$15)</f>
        <v>0.61287500000000006</v>
      </c>
      <c r="L91" s="15">
        <f t="shared" si="16"/>
        <v>30.030875000000002</v>
      </c>
      <c r="M91" s="15">
        <f t="shared" si="17"/>
        <v>8.625</v>
      </c>
      <c r="N91" s="15">
        <f t="shared" si="18"/>
        <v>1</v>
      </c>
      <c r="O91" s="15">
        <f t="shared" si="19"/>
        <v>20.405875000000002</v>
      </c>
      <c r="P91" s="15">
        <f t="shared" si="20"/>
        <v>0</v>
      </c>
      <c r="Q91" s="14" t="str">
        <f>IF(M91&gt;=I91*'Hoja 4 - Cálculo'!$B$16,"Satisfactorio","Falla")</f>
        <v>Satisfactorio</v>
      </c>
      <c r="R91" s="14">
        <f t="shared" si="22"/>
        <v>0</v>
      </c>
      <c r="S91" s="14">
        <f t="shared" si="23"/>
        <v>0</v>
      </c>
    </row>
    <row r="92" spans="1:19">
      <c r="A92" s="14" t="str">
        <f t="shared" si="14"/>
        <v>SRY-1-1</v>
      </c>
      <c r="B92" s="15">
        <f>'Curvas SRY'!$B$8</f>
        <v>1</v>
      </c>
      <c r="C92" s="15">
        <f>'Curvas SRY'!$E$8</f>
        <v>0.75</v>
      </c>
      <c r="D92" s="14" t="str">
        <f>'Curvas SRY'!$B$14</f>
        <v>Uso variable</v>
      </c>
      <c r="E92" s="14">
        <f>89</f>
        <v>89</v>
      </c>
      <c r="F92" s="21">
        <f>'Hoja 4 - Cálculo'!A113</f>
        <v>32264</v>
      </c>
      <c r="G92" s="15">
        <f>'Hoja 4 - Cálculo'!H113</f>
        <v>28.075500000000002</v>
      </c>
      <c r="H92" s="15">
        <f>IF(D92="Uso único",'Hoja 4 - Cálculo'!I113,IF(D92="Uso múltiple",AVERAGE('Hoja 4 - Cálculo'!$I$25:$I$384)+AVERAGE('Hoja 4 - Cálculo'!$J$25:$J$384)+AVERAGE('Hoja 4 - Cálculo'!$K$25:$K$384),IF(D92="Uso prioritario",'Hoja 4 - Cálculo'!I113+'Hoja 4 - Cálculo'!K113,'Hoja 4 - Cálculo'!I113+'Hoja 4 - Cálculo'!J113+'Hoja 4 - Cálculo'!K113)))</f>
        <v>11.5</v>
      </c>
      <c r="I92" s="15">
        <f t="shared" si="15"/>
        <v>8.625</v>
      </c>
      <c r="J92" s="15">
        <f t="shared" si="21"/>
        <v>1</v>
      </c>
      <c r="K92" s="15">
        <f>MIN(J92+G92,(J92+G92)*'Hoja 4 - Cálculo'!$B$15)</f>
        <v>0.58151000000000008</v>
      </c>
      <c r="L92" s="15">
        <f t="shared" si="16"/>
        <v>28.49399</v>
      </c>
      <c r="M92" s="15">
        <f t="shared" si="17"/>
        <v>8.625</v>
      </c>
      <c r="N92" s="15">
        <f t="shared" si="18"/>
        <v>1</v>
      </c>
      <c r="O92" s="15">
        <f t="shared" si="19"/>
        <v>18.86899</v>
      </c>
      <c r="P92" s="15">
        <f t="shared" si="20"/>
        <v>0</v>
      </c>
      <c r="Q92" s="14" t="str">
        <f>IF(M92&gt;=I92*'Hoja 4 - Cálculo'!$B$16,"Satisfactorio","Falla")</f>
        <v>Satisfactorio</v>
      </c>
      <c r="R92" s="14">
        <f t="shared" si="22"/>
        <v>0</v>
      </c>
      <c r="S92" s="14">
        <f t="shared" si="23"/>
        <v>0</v>
      </c>
    </row>
    <row r="93" spans="1:19">
      <c r="A93" s="14" t="str">
        <f t="shared" si="14"/>
        <v>SRY-1-1</v>
      </c>
      <c r="B93" s="15">
        <f>'Curvas SRY'!$B$8</f>
        <v>1</v>
      </c>
      <c r="C93" s="15">
        <f>'Curvas SRY'!$E$8</f>
        <v>0.75</v>
      </c>
      <c r="D93" s="14" t="str">
        <f>'Curvas SRY'!$B$14</f>
        <v>Uso variable</v>
      </c>
      <c r="E93" s="14">
        <f>90</f>
        <v>90</v>
      </c>
      <c r="F93" s="21">
        <f>'Hoja 4 - Cálculo'!A114</f>
        <v>32295</v>
      </c>
      <c r="G93" s="15">
        <f>'Hoja 4 - Cálculo'!H114</f>
        <v>16.485749999999999</v>
      </c>
      <c r="H93" s="15">
        <f>IF(D93="Uso único",'Hoja 4 - Cálculo'!I114,IF(D93="Uso múltiple",AVERAGE('Hoja 4 - Cálculo'!$I$25:$I$384)+AVERAGE('Hoja 4 - Cálculo'!$J$25:$J$384)+AVERAGE('Hoja 4 - Cálculo'!$K$25:$K$384),IF(D93="Uso prioritario",'Hoja 4 - Cálculo'!I114+'Hoja 4 - Cálculo'!K114,'Hoja 4 - Cálculo'!I114+'Hoja 4 - Cálculo'!J114+'Hoja 4 - Cálculo'!K114)))</f>
        <v>11.5</v>
      </c>
      <c r="I93" s="15">
        <f t="shared" si="15"/>
        <v>8.625</v>
      </c>
      <c r="J93" s="15">
        <f t="shared" si="21"/>
        <v>1</v>
      </c>
      <c r="K93" s="15">
        <f>MIN(J93+G93,(J93+G93)*'Hoja 4 - Cálculo'!$B$15)</f>
        <v>0.349715</v>
      </c>
      <c r="L93" s="15">
        <f t="shared" si="16"/>
        <v>17.136035</v>
      </c>
      <c r="M93" s="15">
        <f t="shared" si="17"/>
        <v>8.625</v>
      </c>
      <c r="N93" s="15">
        <f t="shared" si="18"/>
        <v>1</v>
      </c>
      <c r="O93" s="15">
        <f t="shared" si="19"/>
        <v>7.5110349999999997</v>
      </c>
      <c r="P93" s="15">
        <f t="shared" si="20"/>
        <v>0</v>
      </c>
      <c r="Q93" s="14" t="str">
        <f>IF(M93&gt;=I93*'Hoja 4 - Cálculo'!$B$16,"Satisfactorio","Falla")</f>
        <v>Satisfactorio</v>
      </c>
      <c r="R93" s="14">
        <f t="shared" si="22"/>
        <v>0</v>
      </c>
      <c r="S93" s="14">
        <f t="shared" si="23"/>
        <v>0</v>
      </c>
    </row>
    <row r="94" spans="1:19">
      <c r="A94" s="14" t="str">
        <f t="shared" si="14"/>
        <v>SRY-1-1</v>
      </c>
      <c r="B94" s="15">
        <f>'Curvas SRY'!$B$8</f>
        <v>1</v>
      </c>
      <c r="C94" s="15">
        <f>'Curvas SRY'!$E$8</f>
        <v>0.75</v>
      </c>
      <c r="D94" s="14" t="str">
        <f>'Curvas SRY'!$B$14</f>
        <v>Uso variable</v>
      </c>
      <c r="E94" s="14">
        <f>91</f>
        <v>91</v>
      </c>
      <c r="F94" s="21">
        <f>'Hoja 4 - Cálculo'!A115</f>
        <v>32325</v>
      </c>
      <c r="G94" s="15">
        <f>'Hoja 4 - Cálculo'!H115</f>
        <v>13.827375</v>
      </c>
      <c r="H94" s="15">
        <f>IF(D94="Uso único",'Hoja 4 - Cálculo'!I115,IF(D94="Uso múltiple",AVERAGE('Hoja 4 - Cálculo'!$I$25:$I$384)+AVERAGE('Hoja 4 - Cálculo'!$J$25:$J$384)+AVERAGE('Hoja 4 - Cálculo'!$K$25:$K$384),IF(D94="Uso prioritario",'Hoja 4 - Cálculo'!I115+'Hoja 4 - Cálculo'!K115,'Hoja 4 - Cálculo'!I115+'Hoja 4 - Cálculo'!J115+'Hoja 4 - Cálculo'!K115)))</f>
        <v>16</v>
      </c>
      <c r="I94" s="15">
        <f t="shared" si="15"/>
        <v>12</v>
      </c>
      <c r="J94" s="15">
        <f t="shared" si="21"/>
        <v>1</v>
      </c>
      <c r="K94" s="15">
        <f>MIN(J94+G94,(J94+G94)*'Hoja 4 - Cálculo'!$B$15)</f>
        <v>0.29654750000000002</v>
      </c>
      <c r="L94" s="15">
        <f t="shared" si="16"/>
        <v>14.530827499999999</v>
      </c>
      <c r="M94" s="15">
        <f t="shared" si="17"/>
        <v>12</v>
      </c>
      <c r="N94" s="15">
        <f t="shared" si="18"/>
        <v>1</v>
      </c>
      <c r="O94" s="15">
        <f t="shared" si="19"/>
        <v>1.5308274999999991</v>
      </c>
      <c r="P94" s="15">
        <f t="shared" si="20"/>
        <v>0</v>
      </c>
      <c r="Q94" s="14" t="str">
        <f>IF(M94&gt;=I94*'Hoja 4 - Cálculo'!$B$16,"Satisfactorio","Falla")</f>
        <v>Satisfactorio</v>
      </c>
      <c r="R94" s="14">
        <f t="shared" si="22"/>
        <v>0</v>
      </c>
      <c r="S94" s="14">
        <f t="shared" si="23"/>
        <v>0</v>
      </c>
    </row>
    <row r="95" spans="1:19">
      <c r="A95" s="14" t="str">
        <f t="shared" si="14"/>
        <v>SRY-1-1</v>
      </c>
      <c r="B95" s="15">
        <f>'Curvas SRY'!$B$8</f>
        <v>1</v>
      </c>
      <c r="C95" s="15">
        <f>'Curvas SRY'!$E$8</f>
        <v>0.75</v>
      </c>
      <c r="D95" s="14" t="str">
        <f>'Curvas SRY'!$B$14</f>
        <v>Uso variable</v>
      </c>
      <c r="E95" s="14">
        <f>92</f>
        <v>92</v>
      </c>
      <c r="F95" s="21">
        <f>'Hoja 4 - Cálculo'!A116</f>
        <v>32356</v>
      </c>
      <c r="G95" s="15">
        <f>'Hoja 4 - Cálculo'!H116</f>
        <v>14.783625000000001</v>
      </c>
      <c r="H95" s="15">
        <f>IF(D95="Uso único",'Hoja 4 - Cálculo'!I116,IF(D95="Uso múltiple",AVERAGE('Hoja 4 - Cálculo'!$I$25:$I$384)+AVERAGE('Hoja 4 - Cálculo'!$J$25:$J$384)+AVERAGE('Hoja 4 - Cálculo'!$K$25:$K$384),IF(D95="Uso prioritario",'Hoja 4 - Cálculo'!I116+'Hoja 4 - Cálculo'!K116,'Hoja 4 - Cálculo'!I116+'Hoja 4 - Cálculo'!J116+'Hoja 4 - Cálculo'!K116)))</f>
        <v>16</v>
      </c>
      <c r="I95" s="15">
        <f t="shared" si="15"/>
        <v>12</v>
      </c>
      <c r="J95" s="15">
        <f t="shared" si="21"/>
        <v>1</v>
      </c>
      <c r="K95" s="15">
        <f>MIN(J95+G95,(J95+G95)*'Hoja 4 - Cálculo'!$B$15)</f>
        <v>0.31567250000000002</v>
      </c>
      <c r="L95" s="15">
        <f t="shared" si="16"/>
        <v>15.467952500000001</v>
      </c>
      <c r="M95" s="15">
        <f t="shared" si="17"/>
        <v>12</v>
      </c>
      <c r="N95" s="15">
        <f t="shared" si="18"/>
        <v>1</v>
      </c>
      <c r="O95" s="15">
        <f t="shared" si="19"/>
        <v>2.4679525000000009</v>
      </c>
      <c r="P95" s="15">
        <f t="shared" si="20"/>
        <v>0</v>
      </c>
      <c r="Q95" s="14" t="str">
        <f>IF(M95&gt;=I95*'Hoja 4 - Cálculo'!$B$16,"Satisfactorio","Falla")</f>
        <v>Satisfactorio</v>
      </c>
      <c r="R95" s="14">
        <f t="shared" si="22"/>
        <v>0</v>
      </c>
      <c r="S95" s="14">
        <f t="shared" si="23"/>
        <v>0</v>
      </c>
    </row>
    <row r="96" spans="1:19">
      <c r="A96" s="14" t="str">
        <f t="shared" si="14"/>
        <v>SRY-1-1</v>
      </c>
      <c r="B96" s="15">
        <f>'Curvas SRY'!$B$8</f>
        <v>1</v>
      </c>
      <c r="C96" s="15">
        <f>'Curvas SRY'!$E$8</f>
        <v>0.75</v>
      </c>
      <c r="D96" s="14" t="str">
        <f>'Curvas SRY'!$B$14</f>
        <v>Uso variable</v>
      </c>
      <c r="E96" s="14">
        <f>93</f>
        <v>93</v>
      </c>
      <c r="F96" s="21">
        <f>'Hoja 4 - Cálculo'!A117</f>
        <v>32387</v>
      </c>
      <c r="G96" s="15">
        <f>'Hoja 4 - Cálculo'!H117</f>
        <v>23.3325</v>
      </c>
      <c r="H96" s="15">
        <f>IF(D96="Uso único",'Hoja 4 - Cálculo'!I117,IF(D96="Uso múltiple",AVERAGE('Hoja 4 - Cálculo'!$I$25:$I$384)+AVERAGE('Hoja 4 - Cálculo'!$J$25:$J$384)+AVERAGE('Hoja 4 - Cálculo'!$K$25:$K$384),IF(D96="Uso prioritario",'Hoja 4 - Cálculo'!I117+'Hoja 4 - Cálculo'!K117,'Hoja 4 - Cálculo'!I117+'Hoja 4 - Cálculo'!J117+'Hoja 4 - Cálculo'!K117)))</f>
        <v>11.5</v>
      </c>
      <c r="I96" s="15">
        <f t="shared" si="15"/>
        <v>8.625</v>
      </c>
      <c r="J96" s="15">
        <f t="shared" si="21"/>
        <v>1</v>
      </c>
      <c r="K96" s="15">
        <f>MIN(J96+G96,(J96+G96)*'Hoja 4 - Cálculo'!$B$15)</f>
        <v>0.48665000000000003</v>
      </c>
      <c r="L96" s="15">
        <f t="shared" si="16"/>
        <v>23.845849999999999</v>
      </c>
      <c r="M96" s="15">
        <f t="shared" si="17"/>
        <v>8.625</v>
      </c>
      <c r="N96" s="15">
        <f t="shared" si="18"/>
        <v>1</v>
      </c>
      <c r="O96" s="15">
        <f t="shared" si="19"/>
        <v>14.220849999999999</v>
      </c>
      <c r="P96" s="15">
        <f t="shared" si="20"/>
        <v>0</v>
      </c>
      <c r="Q96" s="14" t="str">
        <f>IF(M96&gt;=I96*'Hoja 4 - Cálculo'!$B$16,"Satisfactorio","Falla")</f>
        <v>Satisfactorio</v>
      </c>
      <c r="R96" s="14">
        <f t="shared" si="22"/>
        <v>0</v>
      </c>
      <c r="S96" s="14">
        <f t="shared" si="23"/>
        <v>0</v>
      </c>
    </row>
    <row r="97" spans="1:19">
      <c r="A97" s="14" t="str">
        <f t="shared" si="14"/>
        <v>SRY-1-1</v>
      </c>
      <c r="B97" s="15">
        <f>'Curvas SRY'!$B$8</f>
        <v>1</v>
      </c>
      <c r="C97" s="15">
        <f>'Curvas SRY'!$E$8</f>
        <v>0.75</v>
      </c>
      <c r="D97" s="14" t="str">
        <f>'Curvas SRY'!$B$14</f>
        <v>Uso variable</v>
      </c>
      <c r="E97" s="14">
        <f>94</f>
        <v>94</v>
      </c>
      <c r="F97" s="21">
        <f>'Hoja 4 - Cálculo'!A118</f>
        <v>32417</v>
      </c>
      <c r="G97" s="15">
        <f>'Hoja 4 - Cálculo'!H118</f>
        <v>32.015250000000002</v>
      </c>
      <c r="H97" s="15">
        <f>IF(D97="Uso único",'Hoja 4 - Cálculo'!I118,IF(D97="Uso múltiple",AVERAGE('Hoja 4 - Cálculo'!$I$25:$I$384)+AVERAGE('Hoja 4 - Cálculo'!$J$25:$J$384)+AVERAGE('Hoja 4 - Cálculo'!$K$25:$K$384),IF(D97="Uso prioritario",'Hoja 4 - Cálculo'!I118+'Hoja 4 - Cálculo'!K118,'Hoja 4 - Cálculo'!I118+'Hoja 4 - Cálculo'!J118+'Hoja 4 - Cálculo'!K118)))</f>
        <v>11.5</v>
      </c>
      <c r="I97" s="15">
        <f t="shared" si="15"/>
        <v>8.625</v>
      </c>
      <c r="J97" s="15">
        <f t="shared" si="21"/>
        <v>1</v>
      </c>
      <c r="K97" s="15">
        <f>MIN(J97+G97,(J97+G97)*'Hoja 4 - Cálculo'!$B$15)</f>
        <v>0.66030500000000003</v>
      </c>
      <c r="L97" s="15">
        <f t="shared" si="16"/>
        <v>32.354945000000001</v>
      </c>
      <c r="M97" s="15">
        <f t="shared" si="17"/>
        <v>8.625</v>
      </c>
      <c r="N97" s="15">
        <f t="shared" si="18"/>
        <v>1</v>
      </c>
      <c r="O97" s="15">
        <f t="shared" si="19"/>
        <v>22.729945000000001</v>
      </c>
      <c r="P97" s="15">
        <f t="shared" si="20"/>
        <v>0</v>
      </c>
      <c r="Q97" s="14" t="str">
        <f>IF(M97&gt;=I97*'Hoja 4 - Cálculo'!$B$16,"Satisfactorio","Falla")</f>
        <v>Satisfactorio</v>
      </c>
      <c r="R97" s="14">
        <f t="shared" si="22"/>
        <v>0</v>
      </c>
      <c r="S97" s="14">
        <f t="shared" si="23"/>
        <v>0</v>
      </c>
    </row>
    <row r="98" spans="1:19">
      <c r="A98" s="14" t="str">
        <f t="shared" si="14"/>
        <v>SRY-1-1</v>
      </c>
      <c r="B98" s="15">
        <f>'Curvas SRY'!$B$8</f>
        <v>1</v>
      </c>
      <c r="C98" s="15">
        <f>'Curvas SRY'!$E$8</f>
        <v>0.75</v>
      </c>
      <c r="D98" s="14" t="str">
        <f>'Curvas SRY'!$B$14</f>
        <v>Uso variable</v>
      </c>
      <c r="E98" s="14">
        <f>95</f>
        <v>95</v>
      </c>
      <c r="F98" s="21">
        <f>'Hoja 4 - Cálculo'!A119</f>
        <v>32448</v>
      </c>
      <c r="G98" s="15">
        <f>'Hoja 4 - Cálculo'!H119</f>
        <v>25.876124999999998</v>
      </c>
      <c r="H98" s="15">
        <f>IF(D98="Uso único",'Hoja 4 - Cálculo'!I119,IF(D98="Uso múltiple",AVERAGE('Hoja 4 - Cálculo'!$I$25:$I$384)+AVERAGE('Hoja 4 - Cálculo'!$J$25:$J$384)+AVERAGE('Hoja 4 - Cálculo'!$K$25:$K$384),IF(D98="Uso prioritario",'Hoja 4 - Cálculo'!I119+'Hoja 4 - Cálculo'!K119,'Hoja 4 - Cálculo'!I119+'Hoja 4 - Cálculo'!J119+'Hoja 4 - Cálculo'!K119)))</f>
        <v>11.5</v>
      </c>
      <c r="I98" s="15">
        <f t="shared" si="15"/>
        <v>8.625</v>
      </c>
      <c r="J98" s="15">
        <f t="shared" si="21"/>
        <v>1</v>
      </c>
      <c r="K98" s="15">
        <f>MIN(J98+G98,(J98+G98)*'Hoja 4 - Cálculo'!$B$15)</f>
        <v>0.53752250000000001</v>
      </c>
      <c r="L98" s="15">
        <f t="shared" si="16"/>
        <v>26.338602499999997</v>
      </c>
      <c r="M98" s="15">
        <f t="shared" si="17"/>
        <v>8.625</v>
      </c>
      <c r="N98" s="15">
        <f t="shared" si="18"/>
        <v>1</v>
      </c>
      <c r="O98" s="15">
        <f t="shared" si="19"/>
        <v>16.713602499999997</v>
      </c>
      <c r="P98" s="15">
        <f t="shared" si="20"/>
        <v>0</v>
      </c>
      <c r="Q98" s="14" t="str">
        <f>IF(M98&gt;=I98*'Hoja 4 - Cálculo'!$B$16,"Satisfactorio","Falla")</f>
        <v>Satisfactorio</v>
      </c>
      <c r="R98" s="14">
        <f t="shared" si="22"/>
        <v>0</v>
      </c>
      <c r="S98" s="14">
        <f t="shared" si="23"/>
        <v>0</v>
      </c>
    </row>
    <row r="99" spans="1:19">
      <c r="A99" s="14" t="str">
        <f t="shared" si="14"/>
        <v>SRY-1-1</v>
      </c>
      <c r="B99" s="15">
        <f>'Curvas SRY'!$B$8</f>
        <v>1</v>
      </c>
      <c r="C99" s="15">
        <f>'Curvas SRY'!$E$8</f>
        <v>0.75</v>
      </c>
      <c r="D99" s="14" t="str">
        <f>'Curvas SRY'!$B$14</f>
        <v>Uso variable</v>
      </c>
      <c r="E99" s="14">
        <f>96</f>
        <v>96</v>
      </c>
      <c r="F99" s="21">
        <f>'Hoja 4 - Cálculo'!A120</f>
        <v>32478</v>
      </c>
      <c r="G99" s="15">
        <f>'Hoja 4 - Cálculo'!H120</f>
        <v>16.218</v>
      </c>
      <c r="H99" s="15">
        <f>IF(D99="Uso único",'Hoja 4 - Cálculo'!I120,IF(D99="Uso múltiple",AVERAGE('Hoja 4 - Cálculo'!$I$25:$I$384)+AVERAGE('Hoja 4 - Cálculo'!$J$25:$J$384)+AVERAGE('Hoja 4 - Cálculo'!$K$25:$K$384),IF(D99="Uso prioritario",'Hoja 4 - Cálculo'!I120+'Hoja 4 - Cálculo'!K120,'Hoja 4 - Cálculo'!I120+'Hoja 4 - Cálculo'!J120+'Hoja 4 - Cálculo'!K120)))</f>
        <v>16</v>
      </c>
      <c r="I99" s="15">
        <f t="shared" si="15"/>
        <v>12</v>
      </c>
      <c r="J99" s="15">
        <f t="shared" si="21"/>
        <v>1</v>
      </c>
      <c r="K99" s="15">
        <f>MIN(J99+G99,(J99+G99)*'Hoja 4 - Cálculo'!$B$15)</f>
        <v>0.34436</v>
      </c>
      <c r="L99" s="15">
        <f t="shared" si="16"/>
        <v>16.873640000000002</v>
      </c>
      <c r="M99" s="15">
        <f t="shared" si="17"/>
        <v>12</v>
      </c>
      <c r="N99" s="15">
        <f t="shared" si="18"/>
        <v>1</v>
      </c>
      <c r="O99" s="15">
        <f t="shared" si="19"/>
        <v>3.8736400000000017</v>
      </c>
      <c r="P99" s="15">
        <f t="shared" si="20"/>
        <v>0</v>
      </c>
      <c r="Q99" s="14" t="str">
        <f>IF(M99&gt;=I99*'Hoja 4 - Cálculo'!$B$16,"Satisfactorio","Falla")</f>
        <v>Satisfactorio</v>
      </c>
      <c r="R99" s="14">
        <f t="shared" si="22"/>
        <v>0</v>
      </c>
      <c r="S99" s="14">
        <f t="shared" si="23"/>
        <v>0</v>
      </c>
    </row>
    <row r="100" spans="1:19">
      <c r="A100" s="14" t="str">
        <f t="shared" ref="A100:A123" si="24">"SRY-1-1"</f>
        <v>SRY-1-1</v>
      </c>
      <c r="B100" s="15">
        <f>'Curvas SRY'!$B$8</f>
        <v>1</v>
      </c>
      <c r="C100" s="15">
        <f>'Curvas SRY'!$E$8</f>
        <v>0.75</v>
      </c>
      <c r="D100" s="14" t="str">
        <f>'Curvas SRY'!$B$14</f>
        <v>Uso variable</v>
      </c>
      <c r="E100" s="14">
        <f>97</f>
        <v>97</v>
      </c>
      <c r="F100" s="21">
        <f>'Hoja 4 - Cálculo'!A121</f>
        <v>32509</v>
      </c>
      <c r="G100" s="15">
        <f>'Hoja 4 - Cálculo'!H121</f>
        <v>11.761875</v>
      </c>
      <c r="H100" s="15">
        <f>IF(D100="Uso único",'Hoja 4 - Cálculo'!I121,IF(D100="Uso múltiple",AVERAGE('Hoja 4 - Cálculo'!$I$25:$I$384)+AVERAGE('Hoja 4 - Cálculo'!$J$25:$J$384)+AVERAGE('Hoja 4 - Cálculo'!$K$25:$K$384),IF(D100="Uso prioritario",'Hoja 4 - Cálculo'!I121+'Hoja 4 - Cálculo'!K121,'Hoja 4 - Cálculo'!I121+'Hoja 4 - Cálculo'!J121+'Hoja 4 - Cálculo'!K121)))</f>
        <v>16</v>
      </c>
      <c r="I100" s="15">
        <f t="shared" si="15"/>
        <v>12</v>
      </c>
      <c r="J100" s="15">
        <f t="shared" si="21"/>
        <v>1</v>
      </c>
      <c r="K100" s="15">
        <f>MIN(J100+G100,(J100+G100)*'Hoja 4 - Cálculo'!$B$15)</f>
        <v>0.25523750000000001</v>
      </c>
      <c r="L100" s="15">
        <f t="shared" si="16"/>
        <v>12.5066375</v>
      </c>
      <c r="M100" s="15">
        <f t="shared" si="17"/>
        <v>12</v>
      </c>
      <c r="N100" s="15">
        <f t="shared" si="18"/>
        <v>0.50663750000000007</v>
      </c>
      <c r="O100" s="15">
        <f t="shared" si="19"/>
        <v>0</v>
      </c>
      <c r="P100" s="15">
        <f t="shared" si="20"/>
        <v>0</v>
      </c>
      <c r="Q100" s="14" t="str">
        <f>IF(M100&gt;=I100*'Hoja 4 - Cálculo'!$B$16,"Satisfactorio","Falla")</f>
        <v>Satisfactorio</v>
      </c>
      <c r="R100" s="14">
        <f t="shared" si="22"/>
        <v>0</v>
      </c>
      <c r="S100" s="14">
        <f t="shared" si="23"/>
        <v>0</v>
      </c>
    </row>
    <row r="101" spans="1:19">
      <c r="A101" s="14" t="str">
        <f t="shared" si="24"/>
        <v>SRY-1-1</v>
      </c>
      <c r="B101" s="15">
        <f>'Curvas SRY'!$B$8</f>
        <v>1</v>
      </c>
      <c r="C101" s="15">
        <f>'Curvas SRY'!$E$8</f>
        <v>0.75</v>
      </c>
      <c r="D101" s="14" t="str">
        <f>'Curvas SRY'!$B$14</f>
        <v>Uso variable</v>
      </c>
      <c r="E101" s="14">
        <f>98</f>
        <v>98</v>
      </c>
      <c r="F101" s="21">
        <f>'Hoja 4 - Cálculo'!A122</f>
        <v>32540</v>
      </c>
      <c r="G101" s="15">
        <f>'Hoja 4 - Cálculo'!H122</f>
        <v>12.43125</v>
      </c>
      <c r="H101" s="15">
        <f>IF(D101="Uso único",'Hoja 4 - Cálculo'!I122,IF(D101="Uso múltiple",AVERAGE('Hoja 4 - Cálculo'!$I$25:$I$384)+AVERAGE('Hoja 4 - Cálculo'!$J$25:$J$384)+AVERAGE('Hoja 4 - Cálculo'!$K$25:$K$384),IF(D101="Uso prioritario",'Hoja 4 - Cálculo'!I122+'Hoja 4 - Cálculo'!K122,'Hoja 4 - Cálculo'!I122+'Hoja 4 - Cálculo'!J122+'Hoja 4 - Cálculo'!K122)))</f>
        <v>16</v>
      </c>
      <c r="I101" s="15">
        <f t="shared" si="15"/>
        <v>12</v>
      </c>
      <c r="J101" s="15">
        <f t="shared" ref="J101:J123" si="25">N100</f>
        <v>0.50663750000000007</v>
      </c>
      <c r="K101" s="15">
        <f>MIN(J101+G101,(J101+G101)*'Hoja 4 - Cálculo'!$B$15)</f>
        <v>0.25875775000000001</v>
      </c>
      <c r="L101" s="15">
        <f t="shared" si="16"/>
        <v>12.679129750000001</v>
      </c>
      <c r="M101" s="15">
        <f t="shared" si="17"/>
        <v>12</v>
      </c>
      <c r="N101" s="15">
        <f t="shared" si="18"/>
        <v>0.67912975000000131</v>
      </c>
      <c r="O101" s="15">
        <f t="shared" si="19"/>
        <v>0</v>
      </c>
      <c r="P101" s="15">
        <f t="shared" si="20"/>
        <v>0</v>
      </c>
      <c r="Q101" s="14" t="str">
        <f>IF(M101&gt;=I101*'Hoja 4 - Cálculo'!$B$16,"Satisfactorio","Falla")</f>
        <v>Satisfactorio</v>
      </c>
      <c r="R101" s="14">
        <f t="shared" ref="R101:R132" si="26">IF(AND(Q100="Falla",Q101="Satisfactorio"),1,0)</f>
        <v>0</v>
      </c>
      <c r="S101" s="14">
        <f t="shared" ref="S101:S123" si="27">IF(AND(Q101="Falla",Q100&lt;&gt;"Falla"),1,0)</f>
        <v>0</v>
      </c>
    </row>
    <row r="102" spans="1:19">
      <c r="A102" s="14" t="str">
        <f t="shared" si="24"/>
        <v>SRY-1-1</v>
      </c>
      <c r="B102" s="15">
        <f>'Curvas SRY'!$B$8</f>
        <v>1</v>
      </c>
      <c r="C102" s="15">
        <f>'Curvas SRY'!$E$8</f>
        <v>0.75</v>
      </c>
      <c r="D102" s="14" t="str">
        <f>'Curvas SRY'!$B$14</f>
        <v>Uso variable</v>
      </c>
      <c r="E102" s="14">
        <f>99</f>
        <v>99</v>
      </c>
      <c r="F102" s="21">
        <f>'Hoja 4 - Cálculo'!A123</f>
        <v>32568</v>
      </c>
      <c r="G102" s="15">
        <f>'Hoja 4 - Cálculo'!H123</f>
        <v>19.717874999999999</v>
      </c>
      <c r="H102" s="15">
        <f>IF(D102="Uso único",'Hoja 4 - Cálculo'!I123,IF(D102="Uso múltiple",AVERAGE('Hoja 4 - Cálculo'!$I$25:$I$384)+AVERAGE('Hoja 4 - Cálculo'!$J$25:$J$384)+AVERAGE('Hoja 4 - Cálculo'!$K$25:$K$384),IF(D102="Uso prioritario",'Hoja 4 - Cálculo'!I123+'Hoja 4 - Cálculo'!K123,'Hoja 4 - Cálculo'!I123+'Hoja 4 - Cálculo'!J123+'Hoja 4 - Cálculo'!K123)))</f>
        <v>16</v>
      </c>
      <c r="I102" s="15">
        <f t="shared" si="15"/>
        <v>12</v>
      </c>
      <c r="J102" s="15">
        <f t="shared" si="25"/>
        <v>0.67912975000000131</v>
      </c>
      <c r="K102" s="15">
        <f>MIN(J102+G102,(J102+G102)*'Hoja 4 - Cálculo'!$B$15)</f>
        <v>0.407940095</v>
      </c>
      <c r="L102" s="15">
        <f t="shared" si="16"/>
        <v>19.989064655</v>
      </c>
      <c r="M102" s="15">
        <f t="shared" si="17"/>
        <v>12</v>
      </c>
      <c r="N102" s="15">
        <f t="shared" si="18"/>
        <v>1</v>
      </c>
      <c r="O102" s="15">
        <f t="shared" si="19"/>
        <v>6.989064655</v>
      </c>
      <c r="P102" s="15">
        <f t="shared" si="20"/>
        <v>0</v>
      </c>
      <c r="Q102" s="14" t="str">
        <f>IF(M102&gt;=I102*'Hoja 4 - Cálculo'!$B$16,"Satisfactorio","Falla")</f>
        <v>Satisfactorio</v>
      </c>
      <c r="R102" s="14">
        <f t="shared" si="26"/>
        <v>0</v>
      </c>
      <c r="S102" s="14">
        <f t="shared" si="27"/>
        <v>0</v>
      </c>
    </row>
    <row r="103" spans="1:19">
      <c r="A103" s="14" t="str">
        <f t="shared" si="24"/>
        <v>SRY-1-1</v>
      </c>
      <c r="B103" s="15">
        <f>'Curvas SRY'!$B$8</f>
        <v>1</v>
      </c>
      <c r="C103" s="15">
        <f>'Curvas SRY'!$E$8</f>
        <v>0.75</v>
      </c>
      <c r="D103" s="14" t="str">
        <f>'Curvas SRY'!$B$14</f>
        <v>Uso variable</v>
      </c>
      <c r="E103" s="14">
        <f>100</f>
        <v>100</v>
      </c>
      <c r="F103" s="21">
        <f>'Hoja 4 - Cálculo'!A124</f>
        <v>32599</v>
      </c>
      <c r="G103" s="15">
        <f>'Hoja 4 - Cálculo'!H124</f>
        <v>26.029125000000001</v>
      </c>
      <c r="H103" s="15">
        <f>IF(D103="Uso único",'Hoja 4 - Cálculo'!I124,IF(D103="Uso múltiple",AVERAGE('Hoja 4 - Cálculo'!$I$25:$I$384)+AVERAGE('Hoja 4 - Cálculo'!$J$25:$J$384)+AVERAGE('Hoja 4 - Cálculo'!$K$25:$K$384),IF(D103="Uso prioritario",'Hoja 4 - Cálculo'!I124+'Hoja 4 - Cálculo'!K124,'Hoja 4 - Cálculo'!I124+'Hoja 4 - Cálculo'!J124+'Hoja 4 - Cálculo'!K124)))</f>
        <v>11.5</v>
      </c>
      <c r="I103" s="15">
        <f t="shared" si="15"/>
        <v>8.625</v>
      </c>
      <c r="J103" s="15">
        <f t="shared" si="25"/>
        <v>1</v>
      </c>
      <c r="K103" s="15">
        <f>MIN(J103+G103,(J103+G103)*'Hoja 4 - Cálculo'!$B$15)</f>
        <v>0.54058250000000008</v>
      </c>
      <c r="L103" s="15">
        <f t="shared" si="16"/>
        <v>26.488542500000001</v>
      </c>
      <c r="M103" s="15">
        <f t="shared" si="17"/>
        <v>8.625</v>
      </c>
      <c r="N103" s="15">
        <f t="shared" si="18"/>
        <v>1</v>
      </c>
      <c r="O103" s="15">
        <f t="shared" si="19"/>
        <v>16.863542500000001</v>
      </c>
      <c r="P103" s="15">
        <f t="shared" si="20"/>
        <v>0</v>
      </c>
      <c r="Q103" s="14" t="str">
        <f>IF(M103&gt;=I103*'Hoja 4 - Cálculo'!$B$16,"Satisfactorio","Falla")</f>
        <v>Satisfactorio</v>
      </c>
      <c r="R103" s="14">
        <f t="shared" si="26"/>
        <v>0</v>
      </c>
      <c r="S103" s="14">
        <f t="shared" si="27"/>
        <v>0</v>
      </c>
    </row>
    <row r="104" spans="1:19">
      <c r="A104" s="14" t="str">
        <f t="shared" si="24"/>
        <v>SRY-1-1</v>
      </c>
      <c r="B104" s="15">
        <f>'Curvas SRY'!$B$8</f>
        <v>1</v>
      </c>
      <c r="C104" s="15">
        <f>'Curvas SRY'!$E$8</f>
        <v>0.75</v>
      </c>
      <c r="D104" s="14" t="str">
        <f>'Curvas SRY'!$B$14</f>
        <v>Uso variable</v>
      </c>
      <c r="E104" s="14">
        <f>101</f>
        <v>101</v>
      </c>
      <c r="F104" s="21">
        <f>'Hoja 4 - Cálculo'!A125</f>
        <v>32629</v>
      </c>
      <c r="G104" s="15">
        <f>'Hoja 4 - Cálculo'!H125</f>
        <v>24.728625000000005</v>
      </c>
      <c r="H104" s="15">
        <f>IF(D104="Uso único",'Hoja 4 - Cálculo'!I125,IF(D104="Uso múltiple",AVERAGE('Hoja 4 - Cálculo'!$I$25:$I$384)+AVERAGE('Hoja 4 - Cálculo'!$J$25:$J$384)+AVERAGE('Hoja 4 - Cálculo'!$K$25:$K$384),IF(D104="Uso prioritario",'Hoja 4 - Cálculo'!I125+'Hoja 4 - Cálculo'!K125,'Hoja 4 - Cálculo'!I125+'Hoja 4 - Cálculo'!J125+'Hoja 4 - Cálculo'!K125)))</f>
        <v>11.5</v>
      </c>
      <c r="I104" s="15">
        <f t="shared" si="15"/>
        <v>8.625</v>
      </c>
      <c r="J104" s="15">
        <f t="shared" si="25"/>
        <v>1</v>
      </c>
      <c r="K104" s="15">
        <f>MIN(J104+G104,(J104+G104)*'Hoja 4 - Cálculo'!$B$15)</f>
        <v>0.5145725000000001</v>
      </c>
      <c r="L104" s="15">
        <f t="shared" si="16"/>
        <v>25.214052500000005</v>
      </c>
      <c r="M104" s="15">
        <f t="shared" si="17"/>
        <v>8.625</v>
      </c>
      <c r="N104" s="15">
        <f t="shared" si="18"/>
        <v>1</v>
      </c>
      <c r="O104" s="15">
        <f t="shared" si="19"/>
        <v>15.589052500000005</v>
      </c>
      <c r="P104" s="15">
        <f t="shared" si="20"/>
        <v>0</v>
      </c>
      <c r="Q104" s="14" t="str">
        <f>IF(M104&gt;=I104*'Hoja 4 - Cálculo'!$B$16,"Satisfactorio","Falla")</f>
        <v>Satisfactorio</v>
      </c>
      <c r="R104" s="14">
        <f t="shared" si="26"/>
        <v>0</v>
      </c>
      <c r="S104" s="14">
        <f t="shared" si="27"/>
        <v>0</v>
      </c>
    </row>
    <row r="105" spans="1:19">
      <c r="A105" s="14" t="str">
        <f t="shared" si="24"/>
        <v>SRY-1-1</v>
      </c>
      <c r="B105" s="15">
        <f>'Curvas SRY'!$B$8</f>
        <v>1</v>
      </c>
      <c r="C105" s="15">
        <f>'Curvas SRY'!$E$8</f>
        <v>0.75</v>
      </c>
      <c r="D105" s="14" t="str">
        <f>'Curvas SRY'!$B$14</f>
        <v>Uso variable</v>
      </c>
      <c r="E105" s="14">
        <f>102</f>
        <v>102</v>
      </c>
      <c r="F105" s="21">
        <f>'Hoja 4 - Cálculo'!A126</f>
        <v>32660</v>
      </c>
      <c r="G105" s="15">
        <f>'Hoja 4 - Cálculo'!H126</f>
        <v>14.515874999999999</v>
      </c>
      <c r="H105" s="15">
        <f>IF(D105="Uso único",'Hoja 4 - Cálculo'!I126,IF(D105="Uso múltiple",AVERAGE('Hoja 4 - Cálculo'!$I$25:$I$384)+AVERAGE('Hoja 4 - Cálculo'!$J$25:$J$384)+AVERAGE('Hoja 4 - Cálculo'!$K$25:$K$384),IF(D105="Uso prioritario",'Hoja 4 - Cálculo'!I126+'Hoja 4 - Cálculo'!K126,'Hoja 4 - Cálculo'!I126+'Hoja 4 - Cálculo'!J126+'Hoja 4 - Cálculo'!K126)))</f>
        <v>11.5</v>
      </c>
      <c r="I105" s="15">
        <f t="shared" si="15"/>
        <v>8.625</v>
      </c>
      <c r="J105" s="15">
        <f t="shared" si="25"/>
        <v>1</v>
      </c>
      <c r="K105" s="15">
        <f>MIN(J105+G105,(J105+G105)*'Hoja 4 - Cálculo'!$B$15)</f>
        <v>0.31031749999999997</v>
      </c>
      <c r="L105" s="15">
        <f t="shared" si="16"/>
        <v>15.205557499999999</v>
      </c>
      <c r="M105" s="15">
        <f t="shared" si="17"/>
        <v>8.625</v>
      </c>
      <c r="N105" s="15">
        <f t="shared" si="18"/>
        <v>1</v>
      </c>
      <c r="O105" s="15">
        <f t="shared" si="19"/>
        <v>5.5805574999999994</v>
      </c>
      <c r="P105" s="15">
        <f t="shared" si="20"/>
        <v>0</v>
      </c>
      <c r="Q105" s="14" t="str">
        <f>IF(M105&gt;=I105*'Hoja 4 - Cálculo'!$B$16,"Satisfactorio","Falla")</f>
        <v>Satisfactorio</v>
      </c>
      <c r="R105" s="14">
        <f t="shared" si="26"/>
        <v>0</v>
      </c>
      <c r="S105" s="14">
        <f t="shared" si="27"/>
        <v>0</v>
      </c>
    </row>
    <row r="106" spans="1:19">
      <c r="A106" s="14" t="str">
        <f t="shared" si="24"/>
        <v>SRY-1-1</v>
      </c>
      <c r="B106" s="15">
        <f>'Curvas SRY'!$B$8</f>
        <v>1</v>
      </c>
      <c r="C106" s="15">
        <f>'Curvas SRY'!$E$8</f>
        <v>0.75</v>
      </c>
      <c r="D106" s="14" t="str">
        <f>'Curvas SRY'!$B$14</f>
        <v>Uso variable</v>
      </c>
      <c r="E106" s="14">
        <f>103</f>
        <v>103</v>
      </c>
      <c r="F106" s="21">
        <f>'Hoja 4 - Cálculo'!A127</f>
        <v>32690</v>
      </c>
      <c r="G106" s="15">
        <f>'Hoja 4 - Cálculo'!H127</f>
        <v>12.144375</v>
      </c>
      <c r="H106" s="15">
        <f>IF(D106="Uso único",'Hoja 4 - Cálculo'!I127,IF(D106="Uso múltiple",AVERAGE('Hoja 4 - Cálculo'!$I$25:$I$384)+AVERAGE('Hoja 4 - Cálculo'!$J$25:$J$384)+AVERAGE('Hoja 4 - Cálculo'!$K$25:$K$384),IF(D106="Uso prioritario",'Hoja 4 - Cálculo'!I127+'Hoja 4 - Cálculo'!K127,'Hoja 4 - Cálculo'!I127+'Hoja 4 - Cálculo'!J127+'Hoja 4 - Cálculo'!K127)))</f>
        <v>16</v>
      </c>
      <c r="I106" s="15">
        <f t="shared" si="15"/>
        <v>12</v>
      </c>
      <c r="J106" s="15">
        <f t="shared" si="25"/>
        <v>1</v>
      </c>
      <c r="K106" s="15">
        <f>MIN(J106+G106,(J106+G106)*'Hoja 4 - Cálculo'!$B$15)</f>
        <v>0.2628875</v>
      </c>
      <c r="L106" s="15">
        <f t="shared" si="16"/>
        <v>12.8814875</v>
      </c>
      <c r="M106" s="15">
        <f t="shared" si="17"/>
        <v>12</v>
      </c>
      <c r="N106" s="15">
        <f t="shared" si="18"/>
        <v>0.88148750000000042</v>
      </c>
      <c r="O106" s="15">
        <f t="shared" si="19"/>
        <v>0</v>
      </c>
      <c r="P106" s="15">
        <f t="shared" si="20"/>
        <v>0</v>
      </c>
      <c r="Q106" s="14" t="str">
        <f>IF(M106&gt;=I106*'Hoja 4 - Cálculo'!$B$16,"Satisfactorio","Falla")</f>
        <v>Satisfactorio</v>
      </c>
      <c r="R106" s="14">
        <f t="shared" si="26"/>
        <v>0</v>
      </c>
      <c r="S106" s="14">
        <f t="shared" si="27"/>
        <v>0</v>
      </c>
    </row>
    <row r="107" spans="1:19">
      <c r="A107" s="14" t="str">
        <f t="shared" si="24"/>
        <v>SRY-1-1</v>
      </c>
      <c r="B107" s="15">
        <f>'Curvas SRY'!$B$8</f>
        <v>1</v>
      </c>
      <c r="C107" s="15">
        <f>'Curvas SRY'!$E$8</f>
        <v>0.75</v>
      </c>
      <c r="D107" s="14" t="str">
        <f>'Curvas SRY'!$B$14</f>
        <v>Uso variable</v>
      </c>
      <c r="E107" s="14">
        <f>104</f>
        <v>104</v>
      </c>
      <c r="F107" s="21">
        <f>'Hoja 4 - Cálculo'!A128</f>
        <v>32721</v>
      </c>
      <c r="G107" s="15">
        <f>'Hoja 4 - Cálculo'!H128</f>
        <v>13.04325</v>
      </c>
      <c r="H107" s="15">
        <f>IF(D107="Uso único",'Hoja 4 - Cálculo'!I128,IF(D107="Uso múltiple",AVERAGE('Hoja 4 - Cálculo'!$I$25:$I$384)+AVERAGE('Hoja 4 - Cálculo'!$J$25:$J$384)+AVERAGE('Hoja 4 - Cálculo'!$K$25:$K$384),IF(D107="Uso prioritario",'Hoja 4 - Cálculo'!I128+'Hoja 4 - Cálculo'!K128,'Hoja 4 - Cálculo'!I128+'Hoja 4 - Cálculo'!J128+'Hoja 4 - Cálculo'!K128)))</f>
        <v>16</v>
      </c>
      <c r="I107" s="15">
        <f t="shared" si="15"/>
        <v>12</v>
      </c>
      <c r="J107" s="15">
        <f t="shared" si="25"/>
        <v>0.88148750000000042</v>
      </c>
      <c r="K107" s="15">
        <f>MIN(J107+G107,(J107+G107)*'Hoja 4 - Cálculo'!$B$15)</f>
        <v>0.27849475000000001</v>
      </c>
      <c r="L107" s="15">
        <f t="shared" si="16"/>
        <v>13.646242750000001</v>
      </c>
      <c r="M107" s="15">
        <f t="shared" si="17"/>
        <v>12</v>
      </c>
      <c r="N107" s="15">
        <f t="shared" si="18"/>
        <v>1</v>
      </c>
      <c r="O107" s="15">
        <f t="shared" si="19"/>
        <v>0.64624275000000075</v>
      </c>
      <c r="P107" s="15">
        <f t="shared" si="20"/>
        <v>0</v>
      </c>
      <c r="Q107" s="14" t="str">
        <f>IF(M107&gt;=I107*'Hoja 4 - Cálculo'!$B$16,"Satisfactorio","Falla")</f>
        <v>Satisfactorio</v>
      </c>
      <c r="R107" s="14">
        <f t="shared" si="26"/>
        <v>0</v>
      </c>
      <c r="S107" s="14">
        <f t="shared" si="27"/>
        <v>0</v>
      </c>
    </row>
    <row r="108" spans="1:19">
      <c r="A108" s="14" t="str">
        <f t="shared" si="24"/>
        <v>SRY-1-1</v>
      </c>
      <c r="B108" s="15">
        <f>'Curvas SRY'!$B$8</f>
        <v>1</v>
      </c>
      <c r="C108" s="15">
        <f>'Curvas SRY'!$E$8</f>
        <v>0.75</v>
      </c>
      <c r="D108" s="14" t="str">
        <f>'Curvas SRY'!$B$14</f>
        <v>Uso variable</v>
      </c>
      <c r="E108" s="14">
        <f>105</f>
        <v>105</v>
      </c>
      <c r="F108" s="21">
        <f>'Hoja 4 - Cálculo'!A129</f>
        <v>32752</v>
      </c>
      <c r="G108" s="15">
        <f>'Hoja 4 - Cálculo'!H129</f>
        <v>20.444624999999998</v>
      </c>
      <c r="H108" s="15">
        <f>IF(D108="Uso único",'Hoja 4 - Cálculo'!I129,IF(D108="Uso múltiple",AVERAGE('Hoja 4 - Cálculo'!$I$25:$I$384)+AVERAGE('Hoja 4 - Cálculo'!$J$25:$J$384)+AVERAGE('Hoja 4 - Cálculo'!$K$25:$K$384),IF(D108="Uso prioritario",'Hoja 4 - Cálculo'!I129+'Hoja 4 - Cálculo'!K129,'Hoja 4 - Cálculo'!I129+'Hoja 4 - Cálculo'!J129+'Hoja 4 - Cálculo'!K129)))</f>
        <v>11.5</v>
      </c>
      <c r="I108" s="15">
        <f t="shared" si="15"/>
        <v>8.625</v>
      </c>
      <c r="J108" s="15">
        <f t="shared" si="25"/>
        <v>1</v>
      </c>
      <c r="K108" s="15">
        <f>MIN(J108+G108,(J108+G108)*'Hoja 4 - Cálculo'!$B$15)</f>
        <v>0.42889249999999995</v>
      </c>
      <c r="L108" s="15">
        <f t="shared" si="16"/>
        <v>21.015732499999999</v>
      </c>
      <c r="M108" s="15">
        <f t="shared" si="17"/>
        <v>8.625</v>
      </c>
      <c r="N108" s="15">
        <f t="shared" si="18"/>
        <v>1</v>
      </c>
      <c r="O108" s="15">
        <f t="shared" si="19"/>
        <v>11.390732499999999</v>
      </c>
      <c r="P108" s="15">
        <f t="shared" si="20"/>
        <v>0</v>
      </c>
      <c r="Q108" s="14" t="str">
        <f>IF(M108&gt;=I108*'Hoja 4 - Cálculo'!$B$16,"Satisfactorio","Falla")</f>
        <v>Satisfactorio</v>
      </c>
      <c r="R108" s="14">
        <f t="shared" si="26"/>
        <v>0</v>
      </c>
      <c r="S108" s="14">
        <f t="shared" si="27"/>
        <v>0</v>
      </c>
    </row>
    <row r="109" spans="1:19">
      <c r="A109" s="14" t="str">
        <f t="shared" si="24"/>
        <v>SRY-1-1</v>
      </c>
      <c r="B109" s="15">
        <f>'Curvas SRY'!$B$8</f>
        <v>1</v>
      </c>
      <c r="C109" s="15">
        <f>'Curvas SRY'!$E$8</f>
        <v>0.75</v>
      </c>
      <c r="D109" s="14" t="str">
        <f>'Curvas SRY'!$B$14</f>
        <v>Uso variable</v>
      </c>
      <c r="E109" s="14">
        <f>106</f>
        <v>106</v>
      </c>
      <c r="F109" s="21">
        <f>'Hoja 4 - Cálculo'!A130</f>
        <v>32782</v>
      </c>
      <c r="G109" s="15">
        <f>'Hoja 4 - Cálculo'!H130</f>
        <v>28.343250000000001</v>
      </c>
      <c r="H109" s="15">
        <f>IF(D109="Uso único",'Hoja 4 - Cálculo'!I130,IF(D109="Uso múltiple",AVERAGE('Hoja 4 - Cálculo'!$I$25:$I$384)+AVERAGE('Hoja 4 - Cálculo'!$J$25:$J$384)+AVERAGE('Hoja 4 - Cálculo'!$K$25:$K$384),IF(D109="Uso prioritario",'Hoja 4 - Cálculo'!I130+'Hoja 4 - Cálculo'!K130,'Hoja 4 - Cálculo'!I130+'Hoja 4 - Cálculo'!J130+'Hoja 4 - Cálculo'!K130)))</f>
        <v>11.5</v>
      </c>
      <c r="I109" s="15">
        <f t="shared" si="15"/>
        <v>8.625</v>
      </c>
      <c r="J109" s="15">
        <f t="shared" si="25"/>
        <v>1</v>
      </c>
      <c r="K109" s="15">
        <f>MIN(J109+G109,(J109+G109)*'Hoja 4 - Cálculo'!$B$15)</f>
        <v>0.58686500000000008</v>
      </c>
      <c r="L109" s="15">
        <f t="shared" si="16"/>
        <v>28.756385000000002</v>
      </c>
      <c r="M109" s="15">
        <f t="shared" si="17"/>
        <v>8.625</v>
      </c>
      <c r="N109" s="15">
        <f t="shared" si="18"/>
        <v>1</v>
      </c>
      <c r="O109" s="15">
        <f t="shared" si="19"/>
        <v>19.131385000000002</v>
      </c>
      <c r="P109" s="15">
        <f t="shared" si="20"/>
        <v>0</v>
      </c>
      <c r="Q109" s="14" t="str">
        <f>IF(M109&gt;=I109*'Hoja 4 - Cálculo'!$B$16,"Satisfactorio","Falla")</f>
        <v>Satisfactorio</v>
      </c>
      <c r="R109" s="14">
        <f t="shared" si="26"/>
        <v>0</v>
      </c>
      <c r="S109" s="14">
        <f t="shared" si="27"/>
        <v>0</v>
      </c>
    </row>
    <row r="110" spans="1:19">
      <c r="A110" s="14" t="str">
        <f t="shared" si="24"/>
        <v>SRY-1-1</v>
      </c>
      <c r="B110" s="15">
        <f>'Curvas SRY'!$B$8</f>
        <v>1</v>
      </c>
      <c r="C110" s="15">
        <f>'Curvas SRY'!$E$8</f>
        <v>0.75</v>
      </c>
      <c r="D110" s="14" t="str">
        <f>'Curvas SRY'!$B$14</f>
        <v>Uso variable</v>
      </c>
      <c r="E110" s="14">
        <f>107</f>
        <v>107</v>
      </c>
      <c r="F110" s="21">
        <f>'Hoja 4 - Cálculo'!A131</f>
        <v>32813</v>
      </c>
      <c r="G110" s="15">
        <f>'Hoja 4 - Cálculo'!H131</f>
        <v>22.60575</v>
      </c>
      <c r="H110" s="15">
        <f>IF(D110="Uso único",'Hoja 4 - Cálculo'!I131,IF(D110="Uso múltiple",AVERAGE('Hoja 4 - Cálculo'!$I$25:$I$384)+AVERAGE('Hoja 4 - Cálculo'!$J$25:$J$384)+AVERAGE('Hoja 4 - Cálculo'!$K$25:$K$384),IF(D110="Uso prioritario",'Hoja 4 - Cálculo'!I131+'Hoja 4 - Cálculo'!K131,'Hoja 4 - Cálculo'!I131+'Hoja 4 - Cálculo'!J131+'Hoja 4 - Cálculo'!K131)))</f>
        <v>11.5</v>
      </c>
      <c r="I110" s="15">
        <f t="shared" si="15"/>
        <v>8.625</v>
      </c>
      <c r="J110" s="15">
        <f t="shared" si="25"/>
        <v>1</v>
      </c>
      <c r="K110" s="15">
        <f>MIN(J110+G110,(J110+G110)*'Hoja 4 - Cálculo'!$B$15)</f>
        <v>0.47211500000000001</v>
      </c>
      <c r="L110" s="15">
        <f t="shared" si="16"/>
        <v>23.133635000000002</v>
      </c>
      <c r="M110" s="15">
        <f t="shared" si="17"/>
        <v>8.625</v>
      </c>
      <c r="N110" s="15">
        <f t="shared" si="18"/>
        <v>1</v>
      </c>
      <c r="O110" s="15">
        <f t="shared" si="19"/>
        <v>13.508635000000002</v>
      </c>
      <c r="P110" s="15">
        <f t="shared" si="20"/>
        <v>0</v>
      </c>
      <c r="Q110" s="14" t="str">
        <f>IF(M110&gt;=I110*'Hoja 4 - Cálculo'!$B$16,"Satisfactorio","Falla")</f>
        <v>Satisfactorio</v>
      </c>
      <c r="R110" s="14">
        <f t="shared" si="26"/>
        <v>0</v>
      </c>
      <c r="S110" s="14">
        <f t="shared" si="27"/>
        <v>0</v>
      </c>
    </row>
    <row r="111" spans="1:19">
      <c r="A111" s="14" t="str">
        <f t="shared" si="24"/>
        <v>SRY-1-1</v>
      </c>
      <c r="B111" s="15">
        <f>'Curvas SRY'!$B$8</f>
        <v>1</v>
      </c>
      <c r="C111" s="15">
        <f>'Curvas SRY'!$E$8</f>
        <v>0.75</v>
      </c>
      <c r="D111" s="14" t="str">
        <f>'Curvas SRY'!$B$14</f>
        <v>Uso variable</v>
      </c>
      <c r="E111" s="14">
        <f>108</f>
        <v>108</v>
      </c>
      <c r="F111" s="21">
        <f>'Hoja 4 - Cálculo'!A132</f>
        <v>32843</v>
      </c>
      <c r="G111" s="15">
        <f>'Hoja 4 - Cálculo'!H132</f>
        <v>14.362875000000001</v>
      </c>
      <c r="H111" s="15">
        <f>IF(D111="Uso único",'Hoja 4 - Cálculo'!I132,IF(D111="Uso múltiple",AVERAGE('Hoja 4 - Cálculo'!$I$25:$I$384)+AVERAGE('Hoja 4 - Cálculo'!$J$25:$J$384)+AVERAGE('Hoja 4 - Cálculo'!$K$25:$K$384),IF(D111="Uso prioritario",'Hoja 4 - Cálculo'!I132+'Hoja 4 - Cálculo'!K132,'Hoja 4 - Cálculo'!I132+'Hoja 4 - Cálculo'!J132+'Hoja 4 - Cálculo'!K132)))</f>
        <v>16</v>
      </c>
      <c r="I111" s="15">
        <f t="shared" si="15"/>
        <v>12</v>
      </c>
      <c r="J111" s="15">
        <f t="shared" si="25"/>
        <v>1</v>
      </c>
      <c r="K111" s="15">
        <f>MIN(J111+G111,(J111+G111)*'Hoja 4 - Cálculo'!$B$15)</f>
        <v>0.30725750000000002</v>
      </c>
      <c r="L111" s="15">
        <f t="shared" si="16"/>
        <v>15.0556175</v>
      </c>
      <c r="M111" s="15">
        <f t="shared" si="17"/>
        <v>12</v>
      </c>
      <c r="N111" s="15">
        <f t="shared" si="18"/>
        <v>1</v>
      </c>
      <c r="O111" s="15">
        <f t="shared" si="19"/>
        <v>2.0556175000000003</v>
      </c>
      <c r="P111" s="15">
        <f t="shared" si="20"/>
        <v>0</v>
      </c>
      <c r="Q111" s="14" t="str">
        <f>IF(M111&gt;=I111*'Hoja 4 - Cálculo'!$B$16,"Satisfactorio","Falla")</f>
        <v>Satisfactorio</v>
      </c>
      <c r="R111" s="14">
        <f t="shared" si="26"/>
        <v>0</v>
      </c>
      <c r="S111" s="14">
        <f t="shared" si="27"/>
        <v>0</v>
      </c>
    </row>
    <row r="112" spans="1:19">
      <c r="A112" s="14" t="str">
        <f t="shared" si="24"/>
        <v>SRY-1-1</v>
      </c>
      <c r="B112" s="15">
        <f>'Curvas SRY'!$B$8</f>
        <v>1</v>
      </c>
      <c r="C112" s="15">
        <f>'Curvas SRY'!$E$8</f>
        <v>0.75</v>
      </c>
      <c r="D112" s="14" t="str">
        <f>'Curvas SRY'!$B$14</f>
        <v>Uso variable</v>
      </c>
      <c r="E112" s="14">
        <f>109</f>
        <v>109</v>
      </c>
      <c r="F112" s="21">
        <f>'Hoja 4 - Cálculo'!A133</f>
        <v>32874</v>
      </c>
      <c r="G112" s="15">
        <f>'Hoja 4 - Cálculo'!H133</f>
        <v>11.723625</v>
      </c>
      <c r="H112" s="15">
        <f>IF(D112="Uso único",'Hoja 4 - Cálculo'!I133,IF(D112="Uso múltiple",AVERAGE('Hoja 4 - Cálculo'!$I$25:$I$384)+AVERAGE('Hoja 4 - Cálculo'!$J$25:$J$384)+AVERAGE('Hoja 4 - Cálculo'!$K$25:$K$384),IF(D112="Uso prioritario",'Hoja 4 - Cálculo'!I133+'Hoja 4 - Cálculo'!K133,'Hoja 4 - Cálculo'!I133+'Hoja 4 - Cálculo'!J133+'Hoja 4 - Cálculo'!K133)))</f>
        <v>16</v>
      </c>
      <c r="I112" s="15">
        <f t="shared" si="15"/>
        <v>12</v>
      </c>
      <c r="J112" s="15">
        <f t="shared" si="25"/>
        <v>1</v>
      </c>
      <c r="K112" s="15">
        <f>MIN(J112+G112,(J112+G112)*'Hoja 4 - Cálculo'!$B$15)</f>
        <v>0.25447249999999999</v>
      </c>
      <c r="L112" s="15">
        <f t="shared" si="16"/>
        <v>12.4691525</v>
      </c>
      <c r="M112" s="15">
        <f t="shared" si="17"/>
        <v>12</v>
      </c>
      <c r="N112" s="15">
        <f t="shared" si="18"/>
        <v>0.46915249999999986</v>
      </c>
      <c r="O112" s="15">
        <f t="shared" si="19"/>
        <v>0</v>
      </c>
      <c r="P112" s="15">
        <f t="shared" si="20"/>
        <v>0</v>
      </c>
      <c r="Q112" s="14" t="str">
        <f>IF(M112&gt;=I112*'Hoja 4 - Cálculo'!$B$16,"Satisfactorio","Falla")</f>
        <v>Satisfactorio</v>
      </c>
      <c r="R112" s="14">
        <f t="shared" si="26"/>
        <v>0</v>
      </c>
      <c r="S112" s="14">
        <f t="shared" si="27"/>
        <v>0</v>
      </c>
    </row>
    <row r="113" spans="1:19">
      <c r="A113" s="14" t="str">
        <f t="shared" si="24"/>
        <v>SRY-1-1</v>
      </c>
      <c r="B113" s="15">
        <f>'Curvas SRY'!$B$8</f>
        <v>1</v>
      </c>
      <c r="C113" s="15">
        <f>'Curvas SRY'!$E$8</f>
        <v>0.75</v>
      </c>
      <c r="D113" s="14" t="str">
        <f>'Curvas SRY'!$B$14</f>
        <v>Uso variable</v>
      </c>
      <c r="E113" s="14">
        <f>110</f>
        <v>110</v>
      </c>
      <c r="F113" s="21">
        <f>'Hoja 4 - Cálculo'!A134</f>
        <v>32905</v>
      </c>
      <c r="G113" s="15">
        <f>'Hoja 4 - Cálculo'!H134</f>
        <v>13.311</v>
      </c>
      <c r="H113" s="15">
        <f>IF(D113="Uso único",'Hoja 4 - Cálculo'!I134,IF(D113="Uso múltiple",AVERAGE('Hoja 4 - Cálculo'!$I$25:$I$384)+AVERAGE('Hoja 4 - Cálculo'!$J$25:$J$384)+AVERAGE('Hoja 4 - Cálculo'!$K$25:$K$384),IF(D113="Uso prioritario",'Hoja 4 - Cálculo'!I134+'Hoja 4 - Cálculo'!K134,'Hoja 4 - Cálculo'!I134+'Hoja 4 - Cálculo'!J134+'Hoja 4 - Cálculo'!K134)))</f>
        <v>16</v>
      </c>
      <c r="I113" s="15">
        <f t="shared" si="15"/>
        <v>12</v>
      </c>
      <c r="J113" s="15">
        <f t="shared" si="25"/>
        <v>0.46915249999999986</v>
      </c>
      <c r="K113" s="15">
        <f>MIN(J113+G113,(J113+G113)*'Hoja 4 - Cálculo'!$B$15)</f>
        <v>0.27560305000000002</v>
      </c>
      <c r="L113" s="15">
        <f t="shared" si="16"/>
        <v>13.504549449999999</v>
      </c>
      <c r="M113" s="15">
        <f t="shared" si="17"/>
        <v>12</v>
      </c>
      <c r="N113" s="15">
        <f t="shared" si="18"/>
        <v>1</v>
      </c>
      <c r="O113" s="15">
        <f t="shared" si="19"/>
        <v>0.50454944999999896</v>
      </c>
      <c r="P113" s="15">
        <f t="shared" si="20"/>
        <v>0</v>
      </c>
      <c r="Q113" s="14" t="str">
        <f>IF(M113&gt;=I113*'Hoja 4 - Cálculo'!$B$16,"Satisfactorio","Falla")</f>
        <v>Satisfactorio</v>
      </c>
      <c r="R113" s="14">
        <f t="shared" si="26"/>
        <v>0</v>
      </c>
      <c r="S113" s="14">
        <f t="shared" si="27"/>
        <v>0</v>
      </c>
    </row>
    <row r="114" spans="1:19">
      <c r="A114" s="14" t="str">
        <f t="shared" si="24"/>
        <v>SRY-1-1</v>
      </c>
      <c r="B114" s="15">
        <f>'Curvas SRY'!$B$8</f>
        <v>1</v>
      </c>
      <c r="C114" s="15">
        <f>'Curvas SRY'!$E$8</f>
        <v>0.75</v>
      </c>
      <c r="D114" s="14" t="str">
        <f>'Curvas SRY'!$B$14</f>
        <v>Uso variable</v>
      </c>
      <c r="E114" s="14">
        <f>111</f>
        <v>111</v>
      </c>
      <c r="F114" s="21">
        <f>'Hoja 4 - Cálculo'!A135</f>
        <v>32933</v>
      </c>
      <c r="G114" s="15">
        <f>'Hoja 4 - Cálculo'!H135</f>
        <v>18.838125000000002</v>
      </c>
      <c r="H114" s="15">
        <f>IF(D114="Uso único",'Hoja 4 - Cálculo'!I135,IF(D114="Uso múltiple",AVERAGE('Hoja 4 - Cálculo'!$I$25:$I$384)+AVERAGE('Hoja 4 - Cálculo'!$J$25:$J$384)+AVERAGE('Hoja 4 - Cálculo'!$K$25:$K$384),IF(D114="Uso prioritario",'Hoja 4 - Cálculo'!I135+'Hoja 4 - Cálculo'!K135,'Hoja 4 - Cálculo'!I135+'Hoja 4 - Cálculo'!J135+'Hoja 4 - Cálculo'!K135)))</f>
        <v>16</v>
      </c>
      <c r="I114" s="15">
        <f t="shared" si="15"/>
        <v>12</v>
      </c>
      <c r="J114" s="15">
        <f t="shared" si="25"/>
        <v>1</v>
      </c>
      <c r="K114" s="15">
        <f>MIN(J114+G114,(J114+G114)*'Hoja 4 - Cálculo'!$B$15)</f>
        <v>0.39676250000000002</v>
      </c>
      <c r="L114" s="15">
        <f t="shared" si="16"/>
        <v>19.4413625</v>
      </c>
      <c r="M114" s="15">
        <f t="shared" si="17"/>
        <v>12</v>
      </c>
      <c r="N114" s="15">
        <f t="shared" si="18"/>
        <v>1</v>
      </c>
      <c r="O114" s="15">
        <f t="shared" si="19"/>
        <v>6.4413625000000003</v>
      </c>
      <c r="P114" s="15">
        <f t="shared" si="20"/>
        <v>0</v>
      </c>
      <c r="Q114" s="14" t="str">
        <f>IF(M114&gt;=I114*'Hoja 4 - Cálculo'!$B$16,"Satisfactorio","Falla")</f>
        <v>Satisfactorio</v>
      </c>
      <c r="R114" s="14">
        <f t="shared" si="26"/>
        <v>0</v>
      </c>
      <c r="S114" s="14">
        <f t="shared" si="27"/>
        <v>0</v>
      </c>
    </row>
    <row r="115" spans="1:19">
      <c r="A115" s="14" t="str">
        <f t="shared" si="24"/>
        <v>SRY-1-1</v>
      </c>
      <c r="B115" s="15">
        <f>'Curvas SRY'!$B$8</f>
        <v>1</v>
      </c>
      <c r="C115" s="15">
        <f>'Curvas SRY'!$E$8</f>
        <v>0.75</v>
      </c>
      <c r="D115" s="14" t="str">
        <f>'Curvas SRY'!$B$14</f>
        <v>Uso variable</v>
      </c>
      <c r="E115" s="14">
        <f>112</f>
        <v>112</v>
      </c>
      <c r="F115" s="21">
        <f>'Hoja 4 - Cálculo'!A136</f>
        <v>32964</v>
      </c>
      <c r="G115" s="15">
        <f>'Hoja 4 - Cálculo'!H136</f>
        <v>28.611000000000001</v>
      </c>
      <c r="H115" s="15">
        <f>IF(D115="Uso único",'Hoja 4 - Cálculo'!I136,IF(D115="Uso múltiple",AVERAGE('Hoja 4 - Cálculo'!$I$25:$I$384)+AVERAGE('Hoja 4 - Cálculo'!$J$25:$J$384)+AVERAGE('Hoja 4 - Cálculo'!$K$25:$K$384),IF(D115="Uso prioritario",'Hoja 4 - Cálculo'!I136+'Hoja 4 - Cálculo'!K136,'Hoja 4 - Cálculo'!I136+'Hoja 4 - Cálculo'!J136+'Hoja 4 - Cálculo'!K136)))</f>
        <v>11.5</v>
      </c>
      <c r="I115" s="15">
        <f t="shared" si="15"/>
        <v>8.625</v>
      </c>
      <c r="J115" s="15">
        <f t="shared" si="25"/>
        <v>1</v>
      </c>
      <c r="K115" s="15">
        <f>MIN(J115+G115,(J115+G115)*'Hoja 4 - Cálculo'!$B$15)</f>
        <v>0.59222000000000008</v>
      </c>
      <c r="L115" s="15">
        <f t="shared" si="16"/>
        <v>29.01878</v>
      </c>
      <c r="M115" s="15">
        <f t="shared" si="17"/>
        <v>8.625</v>
      </c>
      <c r="N115" s="15">
        <f t="shared" si="18"/>
        <v>1</v>
      </c>
      <c r="O115" s="15">
        <f t="shared" si="19"/>
        <v>19.39378</v>
      </c>
      <c r="P115" s="15">
        <f t="shared" si="20"/>
        <v>0</v>
      </c>
      <c r="Q115" s="14" t="str">
        <f>IF(M115&gt;=I115*'Hoja 4 - Cálculo'!$B$16,"Satisfactorio","Falla")</f>
        <v>Satisfactorio</v>
      </c>
      <c r="R115" s="14">
        <f t="shared" si="26"/>
        <v>0</v>
      </c>
      <c r="S115" s="14">
        <f t="shared" si="27"/>
        <v>0</v>
      </c>
    </row>
    <row r="116" spans="1:19">
      <c r="A116" s="14" t="str">
        <f t="shared" si="24"/>
        <v>SRY-1-1</v>
      </c>
      <c r="B116" s="15">
        <f>'Curvas SRY'!$B$8</f>
        <v>1</v>
      </c>
      <c r="C116" s="15">
        <f>'Curvas SRY'!$E$8</f>
        <v>0.75</v>
      </c>
      <c r="D116" s="14" t="str">
        <f>'Curvas SRY'!$B$14</f>
        <v>Uso variable</v>
      </c>
      <c r="E116" s="14">
        <f>113</f>
        <v>113</v>
      </c>
      <c r="F116" s="21">
        <f>'Hoja 4 - Cálculo'!A137</f>
        <v>32994</v>
      </c>
      <c r="G116" s="15">
        <f>'Hoja 4 - Cálculo'!H137</f>
        <v>23.52375</v>
      </c>
      <c r="H116" s="15">
        <f>IF(D116="Uso único",'Hoja 4 - Cálculo'!I137,IF(D116="Uso múltiple",AVERAGE('Hoja 4 - Cálculo'!$I$25:$I$384)+AVERAGE('Hoja 4 - Cálculo'!$J$25:$J$384)+AVERAGE('Hoja 4 - Cálculo'!$K$25:$K$384),IF(D116="Uso prioritario",'Hoja 4 - Cálculo'!I137+'Hoja 4 - Cálculo'!K137,'Hoja 4 - Cálculo'!I137+'Hoja 4 - Cálculo'!J137+'Hoja 4 - Cálculo'!K137)))</f>
        <v>11.5</v>
      </c>
      <c r="I116" s="15">
        <f t="shared" si="15"/>
        <v>8.625</v>
      </c>
      <c r="J116" s="15">
        <f t="shared" si="25"/>
        <v>1</v>
      </c>
      <c r="K116" s="15">
        <f>MIN(J116+G116,(J116+G116)*'Hoja 4 - Cálculo'!$B$15)</f>
        <v>0.49047499999999999</v>
      </c>
      <c r="L116" s="15">
        <f t="shared" si="16"/>
        <v>24.033275</v>
      </c>
      <c r="M116" s="15">
        <f t="shared" si="17"/>
        <v>8.625</v>
      </c>
      <c r="N116" s="15">
        <f t="shared" si="18"/>
        <v>1</v>
      </c>
      <c r="O116" s="15">
        <f t="shared" si="19"/>
        <v>14.408275</v>
      </c>
      <c r="P116" s="15">
        <f t="shared" si="20"/>
        <v>0</v>
      </c>
      <c r="Q116" s="14" t="str">
        <f>IF(M116&gt;=I116*'Hoja 4 - Cálculo'!$B$16,"Satisfactorio","Falla")</f>
        <v>Satisfactorio</v>
      </c>
      <c r="R116" s="14">
        <f t="shared" si="26"/>
        <v>0</v>
      </c>
      <c r="S116" s="14">
        <f t="shared" si="27"/>
        <v>0</v>
      </c>
    </row>
    <row r="117" spans="1:19">
      <c r="A117" s="14" t="str">
        <f t="shared" si="24"/>
        <v>SRY-1-1</v>
      </c>
      <c r="B117" s="15">
        <f>'Curvas SRY'!$B$8</f>
        <v>1</v>
      </c>
      <c r="C117" s="15">
        <f>'Curvas SRY'!$E$8</f>
        <v>0.75</v>
      </c>
      <c r="D117" s="14" t="str">
        <f>'Curvas SRY'!$B$14</f>
        <v>Uso variable</v>
      </c>
      <c r="E117" s="14">
        <f>114</f>
        <v>114</v>
      </c>
      <c r="F117" s="21">
        <f>'Hoja 4 - Cálculo'!A138</f>
        <v>33025</v>
      </c>
      <c r="G117" s="15">
        <f>'Hoja 4 - Cálculo'!H138</f>
        <v>15.529500000000001</v>
      </c>
      <c r="H117" s="15">
        <f>IF(D117="Uso único",'Hoja 4 - Cálculo'!I138,IF(D117="Uso múltiple",AVERAGE('Hoja 4 - Cálculo'!$I$25:$I$384)+AVERAGE('Hoja 4 - Cálculo'!$J$25:$J$384)+AVERAGE('Hoja 4 - Cálculo'!$K$25:$K$384),IF(D117="Uso prioritario",'Hoja 4 - Cálculo'!I138+'Hoja 4 - Cálculo'!K138,'Hoja 4 - Cálculo'!I138+'Hoja 4 - Cálculo'!J138+'Hoja 4 - Cálculo'!K138)))</f>
        <v>11.5</v>
      </c>
      <c r="I117" s="15">
        <f t="shared" si="15"/>
        <v>8.625</v>
      </c>
      <c r="J117" s="15">
        <f t="shared" si="25"/>
        <v>1</v>
      </c>
      <c r="K117" s="15">
        <f>MIN(J117+G117,(J117+G117)*'Hoja 4 - Cálculo'!$B$15)</f>
        <v>0.33058999999999999</v>
      </c>
      <c r="L117" s="15">
        <f t="shared" si="16"/>
        <v>16.198909999999998</v>
      </c>
      <c r="M117" s="15">
        <f t="shared" si="17"/>
        <v>8.625</v>
      </c>
      <c r="N117" s="15">
        <f t="shared" si="18"/>
        <v>1</v>
      </c>
      <c r="O117" s="15">
        <f t="shared" si="19"/>
        <v>6.5739099999999979</v>
      </c>
      <c r="P117" s="15">
        <f t="shared" si="20"/>
        <v>0</v>
      </c>
      <c r="Q117" s="14" t="str">
        <f>IF(M117&gt;=I117*'Hoja 4 - Cálculo'!$B$16,"Satisfactorio","Falla")</f>
        <v>Satisfactorio</v>
      </c>
      <c r="R117" s="14">
        <f t="shared" si="26"/>
        <v>0</v>
      </c>
      <c r="S117" s="14">
        <f t="shared" si="27"/>
        <v>0</v>
      </c>
    </row>
    <row r="118" spans="1:19">
      <c r="A118" s="14" t="str">
        <f t="shared" si="24"/>
        <v>SRY-1-1</v>
      </c>
      <c r="B118" s="15">
        <f>'Curvas SRY'!$B$8</f>
        <v>1</v>
      </c>
      <c r="C118" s="15">
        <f>'Curvas SRY'!$E$8</f>
        <v>0.75</v>
      </c>
      <c r="D118" s="14" t="str">
        <f>'Curvas SRY'!$B$14</f>
        <v>Uso variable</v>
      </c>
      <c r="E118" s="14">
        <f>115</f>
        <v>115</v>
      </c>
      <c r="F118" s="21">
        <f>'Hoja 4 - Cálculo'!A139</f>
        <v>33055</v>
      </c>
      <c r="G118" s="15">
        <f>'Hoja 4 - Cálculo'!H139</f>
        <v>12.201750000000001</v>
      </c>
      <c r="H118" s="15">
        <f>IF(D118="Uso único",'Hoja 4 - Cálculo'!I139,IF(D118="Uso múltiple",AVERAGE('Hoja 4 - Cálculo'!$I$25:$I$384)+AVERAGE('Hoja 4 - Cálculo'!$J$25:$J$384)+AVERAGE('Hoja 4 - Cálculo'!$K$25:$K$384),IF(D118="Uso prioritario",'Hoja 4 - Cálculo'!I139+'Hoja 4 - Cálculo'!K139,'Hoja 4 - Cálculo'!I139+'Hoja 4 - Cálculo'!J139+'Hoja 4 - Cálculo'!K139)))</f>
        <v>16</v>
      </c>
      <c r="I118" s="15">
        <f t="shared" si="15"/>
        <v>12</v>
      </c>
      <c r="J118" s="15">
        <f t="shared" si="25"/>
        <v>1</v>
      </c>
      <c r="K118" s="15">
        <f>MIN(J118+G118,(J118+G118)*'Hoja 4 - Cálculo'!$B$15)</f>
        <v>0.26403500000000002</v>
      </c>
      <c r="L118" s="15">
        <f t="shared" si="16"/>
        <v>12.937715000000001</v>
      </c>
      <c r="M118" s="15">
        <f t="shared" si="17"/>
        <v>12</v>
      </c>
      <c r="N118" s="15">
        <f t="shared" si="18"/>
        <v>0.93771500000000074</v>
      </c>
      <c r="O118" s="15">
        <f t="shared" si="19"/>
        <v>0</v>
      </c>
      <c r="P118" s="15">
        <f t="shared" si="20"/>
        <v>0</v>
      </c>
      <c r="Q118" s="14" t="str">
        <f>IF(M118&gt;=I118*'Hoja 4 - Cálculo'!$B$16,"Satisfactorio","Falla")</f>
        <v>Satisfactorio</v>
      </c>
      <c r="R118" s="14">
        <f t="shared" si="26"/>
        <v>0</v>
      </c>
      <c r="S118" s="14">
        <f t="shared" si="27"/>
        <v>0</v>
      </c>
    </row>
    <row r="119" spans="1:19">
      <c r="A119" s="14" t="str">
        <f t="shared" si="24"/>
        <v>SRY-1-1</v>
      </c>
      <c r="B119" s="15">
        <f>'Curvas SRY'!$B$8</f>
        <v>1</v>
      </c>
      <c r="C119" s="15">
        <f>'Curvas SRY'!$E$8</f>
        <v>0.75</v>
      </c>
      <c r="D119" s="14" t="str">
        <f>'Curvas SRY'!$B$14</f>
        <v>Uso variable</v>
      </c>
      <c r="E119" s="14">
        <f>116</f>
        <v>116</v>
      </c>
      <c r="F119" s="21">
        <f>'Hoja 4 - Cálculo'!A140</f>
        <v>33086</v>
      </c>
      <c r="G119" s="15">
        <f>'Hoja 4 - Cálculo'!H140</f>
        <v>13.04325</v>
      </c>
      <c r="H119" s="15">
        <f>IF(D119="Uso único",'Hoja 4 - Cálculo'!I140,IF(D119="Uso múltiple",AVERAGE('Hoja 4 - Cálculo'!$I$25:$I$384)+AVERAGE('Hoja 4 - Cálculo'!$J$25:$J$384)+AVERAGE('Hoja 4 - Cálculo'!$K$25:$K$384),IF(D119="Uso prioritario",'Hoja 4 - Cálculo'!I140+'Hoja 4 - Cálculo'!K140,'Hoja 4 - Cálculo'!I140+'Hoja 4 - Cálculo'!J140+'Hoja 4 - Cálculo'!K140)))</f>
        <v>16</v>
      </c>
      <c r="I119" s="15">
        <f t="shared" si="15"/>
        <v>12</v>
      </c>
      <c r="J119" s="15">
        <f t="shared" si="25"/>
        <v>0.93771500000000074</v>
      </c>
      <c r="K119" s="15">
        <f>MIN(J119+G119,(J119+G119)*'Hoja 4 - Cálculo'!$B$15)</f>
        <v>0.27961930000000002</v>
      </c>
      <c r="L119" s="15">
        <f t="shared" si="16"/>
        <v>13.701345700000001</v>
      </c>
      <c r="M119" s="15">
        <f t="shared" si="17"/>
        <v>12</v>
      </c>
      <c r="N119" s="15">
        <f t="shared" si="18"/>
        <v>1</v>
      </c>
      <c r="O119" s="15">
        <f t="shared" si="19"/>
        <v>0.70134570000000096</v>
      </c>
      <c r="P119" s="15">
        <f t="shared" si="20"/>
        <v>0</v>
      </c>
      <c r="Q119" s="14" t="str">
        <f>IF(M119&gt;=I119*'Hoja 4 - Cálculo'!$B$16,"Satisfactorio","Falla")</f>
        <v>Satisfactorio</v>
      </c>
      <c r="R119" s="14">
        <f t="shared" si="26"/>
        <v>0</v>
      </c>
      <c r="S119" s="14">
        <f t="shared" si="27"/>
        <v>0</v>
      </c>
    </row>
    <row r="120" spans="1:19">
      <c r="A120" s="14" t="str">
        <f t="shared" si="24"/>
        <v>SRY-1-1</v>
      </c>
      <c r="B120" s="15">
        <f>'Curvas SRY'!$B$8</f>
        <v>1</v>
      </c>
      <c r="C120" s="15">
        <f>'Curvas SRY'!$E$8</f>
        <v>0.75</v>
      </c>
      <c r="D120" s="14" t="str">
        <f>'Curvas SRY'!$B$14</f>
        <v>Uso variable</v>
      </c>
      <c r="E120" s="14">
        <f>117</f>
        <v>117</v>
      </c>
      <c r="F120" s="21">
        <f>'Hoja 4 - Cálculo'!A141</f>
        <v>33117</v>
      </c>
      <c r="G120" s="15">
        <f>'Hoja 4 - Cálculo'!H141</f>
        <v>21.974625</v>
      </c>
      <c r="H120" s="15">
        <f>IF(D120="Uso único",'Hoja 4 - Cálculo'!I141,IF(D120="Uso múltiple",AVERAGE('Hoja 4 - Cálculo'!$I$25:$I$384)+AVERAGE('Hoja 4 - Cálculo'!$J$25:$J$384)+AVERAGE('Hoja 4 - Cálculo'!$K$25:$K$384),IF(D120="Uso prioritario",'Hoja 4 - Cálculo'!I141+'Hoja 4 - Cálculo'!K141,'Hoja 4 - Cálculo'!I141+'Hoja 4 - Cálculo'!J141+'Hoja 4 - Cálculo'!K141)))</f>
        <v>11.5</v>
      </c>
      <c r="I120" s="15">
        <f t="shared" si="15"/>
        <v>8.625</v>
      </c>
      <c r="J120" s="15">
        <f t="shared" si="25"/>
        <v>1</v>
      </c>
      <c r="K120" s="15">
        <f>MIN(J120+G120,(J120+G120)*'Hoja 4 - Cálculo'!$B$15)</f>
        <v>0.45949250000000003</v>
      </c>
      <c r="L120" s="15">
        <f t="shared" si="16"/>
        <v>22.5151325</v>
      </c>
      <c r="M120" s="15">
        <f t="shared" si="17"/>
        <v>8.625</v>
      </c>
      <c r="N120" s="15">
        <f t="shared" si="18"/>
        <v>1</v>
      </c>
      <c r="O120" s="15">
        <f t="shared" si="19"/>
        <v>12.8901325</v>
      </c>
      <c r="P120" s="15">
        <f t="shared" si="20"/>
        <v>0</v>
      </c>
      <c r="Q120" s="14" t="str">
        <f>IF(M120&gt;=I120*'Hoja 4 - Cálculo'!$B$16,"Satisfactorio","Falla")</f>
        <v>Satisfactorio</v>
      </c>
      <c r="R120" s="14">
        <f t="shared" si="26"/>
        <v>0</v>
      </c>
      <c r="S120" s="14">
        <f t="shared" si="27"/>
        <v>0</v>
      </c>
    </row>
    <row r="121" spans="1:19">
      <c r="A121" s="14" t="str">
        <f t="shared" si="24"/>
        <v>SRY-1-1</v>
      </c>
      <c r="B121" s="15">
        <f>'Curvas SRY'!$B$8</f>
        <v>1</v>
      </c>
      <c r="C121" s="15">
        <f>'Curvas SRY'!$E$8</f>
        <v>0.75</v>
      </c>
      <c r="D121" s="14" t="str">
        <f>'Curvas SRY'!$B$14</f>
        <v>Uso variable</v>
      </c>
      <c r="E121" s="14">
        <f>118</f>
        <v>118</v>
      </c>
      <c r="F121" s="21">
        <f>'Hoja 4 - Cálculo'!A142</f>
        <v>33147</v>
      </c>
      <c r="G121" s="15">
        <f>'Hoja 4 - Cálculo'!H142</f>
        <v>26.870625</v>
      </c>
      <c r="H121" s="15">
        <f>IF(D121="Uso único",'Hoja 4 - Cálculo'!I142,IF(D121="Uso múltiple",AVERAGE('Hoja 4 - Cálculo'!$I$25:$I$384)+AVERAGE('Hoja 4 - Cálculo'!$J$25:$J$384)+AVERAGE('Hoja 4 - Cálculo'!$K$25:$K$384),IF(D121="Uso prioritario",'Hoja 4 - Cálculo'!I142+'Hoja 4 - Cálculo'!K142,'Hoja 4 - Cálculo'!I142+'Hoja 4 - Cálculo'!J142+'Hoja 4 - Cálculo'!K142)))</f>
        <v>11.5</v>
      </c>
      <c r="I121" s="15">
        <f t="shared" si="15"/>
        <v>8.625</v>
      </c>
      <c r="J121" s="15">
        <f t="shared" si="25"/>
        <v>1</v>
      </c>
      <c r="K121" s="15">
        <f>MIN(J121+G121,(J121+G121)*'Hoja 4 - Cálculo'!$B$15)</f>
        <v>0.55741249999999998</v>
      </c>
      <c r="L121" s="15">
        <f t="shared" si="16"/>
        <v>27.313212499999999</v>
      </c>
      <c r="M121" s="15">
        <f t="shared" si="17"/>
        <v>8.625</v>
      </c>
      <c r="N121" s="15">
        <f t="shared" si="18"/>
        <v>1</v>
      </c>
      <c r="O121" s="15">
        <f t="shared" si="19"/>
        <v>17.688212499999999</v>
      </c>
      <c r="P121" s="15">
        <f t="shared" si="20"/>
        <v>0</v>
      </c>
      <c r="Q121" s="14" t="str">
        <f>IF(M121&gt;=I121*'Hoja 4 - Cálculo'!$B$16,"Satisfactorio","Falla")</f>
        <v>Satisfactorio</v>
      </c>
      <c r="R121" s="14">
        <f t="shared" si="26"/>
        <v>0</v>
      </c>
      <c r="S121" s="14">
        <f t="shared" si="27"/>
        <v>0</v>
      </c>
    </row>
    <row r="122" spans="1:19">
      <c r="A122" s="14" t="str">
        <f t="shared" si="24"/>
        <v>SRY-1-1</v>
      </c>
      <c r="B122" s="15">
        <f>'Curvas SRY'!$B$8</f>
        <v>1</v>
      </c>
      <c r="C122" s="15">
        <f>'Curvas SRY'!$E$8</f>
        <v>0.75</v>
      </c>
      <c r="D122" s="14" t="str">
        <f>'Curvas SRY'!$B$14</f>
        <v>Uso variable</v>
      </c>
      <c r="E122" s="14">
        <f>119</f>
        <v>119</v>
      </c>
      <c r="F122" s="21">
        <f>'Hoja 4 - Cálculo'!A143</f>
        <v>33178</v>
      </c>
      <c r="G122" s="15">
        <f>'Hoja 4 - Cálculo'!H143</f>
        <v>24.881625</v>
      </c>
      <c r="H122" s="15">
        <f>IF(D122="Uso único",'Hoja 4 - Cálculo'!I143,IF(D122="Uso múltiple",AVERAGE('Hoja 4 - Cálculo'!$I$25:$I$384)+AVERAGE('Hoja 4 - Cálculo'!$J$25:$J$384)+AVERAGE('Hoja 4 - Cálculo'!$K$25:$K$384),IF(D122="Uso prioritario",'Hoja 4 - Cálculo'!I143+'Hoja 4 - Cálculo'!K143,'Hoja 4 - Cálculo'!I143+'Hoja 4 - Cálculo'!J143+'Hoja 4 - Cálculo'!K143)))</f>
        <v>11.5</v>
      </c>
      <c r="I122" s="15">
        <f t="shared" si="15"/>
        <v>8.625</v>
      </c>
      <c r="J122" s="15">
        <f t="shared" si="25"/>
        <v>1</v>
      </c>
      <c r="K122" s="15">
        <f>MIN(J122+G122,(J122+G122)*'Hoja 4 - Cálculo'!$B$15)</f>
        <v>0.51763250000000005</v>
      </c>
      <c r="L122" s="15">
        <f t="shared" si="16"/>
        <v>25.363992499999998</v>
      </c>
      <c r="M122" s="15">
        <f t="shared" si="17"/>
        <v>8.625</v>
      </c>
      <c r="N122" s="15">
        <f t="shared" si="18"/>
        <v>1</v>
      </c>
      <c r="O122" s="15">
        <f t="shared" si="19"/>
        <v>15.738992499999998</v>
      </c>
      <c r="P122" s="15">
        <f t="shared" si="20"/>
        <v>0</v>
      </c>
      <c r="Q122" s="14" t="str">
        <f>IF(M122&gt;=I122*'Hoja 4 - Cálculo'!$B$16,"Satisfactorio","Falla")</f>
        <v>Satisfactorio</v>
      </c>
      <c r="R122" s="14">
        <f t="shared" si="26"/>
        <v>0</v>
      </c>
      <c r="S122" s="14">
        <f t="shared" si="27"/>
        <v>0</v>
      </c>
    </row>
    <row r="123" spans="1:19">
      <c r="A123" s="14" t="str">
        <f t="shared" si="24"/>
        <v>SRY-1-1</v>
      </c>
      <c r="B123" s="15">
        <f>'Curvas SRY'!$B$8</f>
        <v>1</v>
      </c>
      <c r="C123" s="15">
        <f>'Curvas SRY'!$E$8</f>
        <v>0.75</v>
      </c>
      <c r="D123" s="14" t="str">
        <f>'Curvas SRY'!$B$14</f>
        <v>Uso variable</v>
      </c>
      <c r="E123" s="14">
        <f>120</f>
        <v>120</v>
      </c>
      <c r="F123" s="21">
        <f>'Hoja 4 - Cálculo'!A144</f>
        <v>33208</v>
      </c>
      <c r="G123" s="15">
        <f>'Hoja 4 - Cálculo'!H144</f>
        <v>13.73175</v>
      </c>
      <c r="H123" s="15">
        <f>IF(D123="Uso único",'Hoja 4 - Cálculo'!I144,IF(D123="Uso múltiple",AVERAGE('Hoja 4 - Cálculo'!$I$25:$I$384)+AVERAGE('Hoja 4 - Cálculo'!$J$25:$J$384)+AVERAGE('Hoja 4 - Cálculo'!$K$25:$K$384),IF(D123="Uso prioritario",'Hoja 4 - Cálculo'!I144+'Hoja 4 - Cálculo'!K144,'Hoja 4 - Cálculo'!I144+'Hoja 4 - Cálculo'!J144+'Hoja 4 - Cálculo'!K144)))</f>
        <v>16</v>
      </c>
      <c r="I123" s="15">
        <f t="shared" si="15"/>
        <v>12</v>
      </c>
      <c r="J123" s="15">
        <f t="shared" si="25"/>
        <v>1</v>
      </c>
      <c r="K123" s="15">
        <f>MIN(J123+G123,(J123+G123)*'Hoja 4 - Cálculo'!$B$15)</f>
        <v>0.29463499999999998</v>
      </c>
      <c r="L123" s="15">
        <f t="shared" si="16"/>
        <v>14.437115</v>
      </c>
      <c r="M123" s="15">
        <f t="shared" si="17"/>
        <v>12</v>
      </c>
      <c r="N123" s="15">
        <f t="shared" si="18"/>
        <v>1</v>
      </c>
      <c r="O123" s="15">
        <f t="shared" si="19"/>
        <v>1.4371150000000004</v>
      </c>
      <c r="P123" s="15">
        <f t="shared" si="20"/>
        <v>0</v>
      </c>
      <c r="Q123" s="14" t="str">
        <f>IF(M123&gt;=I123*'Hoja 4 - Cálculo'!$B$16,"Satisfactorio","Falla")</f>
        <v>Satisfactorio</v>
      </c>
      <c r="R123" s="14">
        <f t="shared" si="26"/>
        <v>0</v>
      </c>
      <c r="S123" s="14">
        <f t="shared" si="27"/>
        <v>0</v>
      </c>
    </row>
    <row r="124" spans="1:19">
      <c r="A124" s="14" t="str">
        <f t="shared" ref="A124:A155" si="28">"SRY-1-2"</f>
        <v>SRY-1-2</v>
      </c>
      <c r="B124" s="15">
        <f>'Curvas SRY'!$B$8</f>
        <v>1</v>
      </c>
      <c r="C124" s="15">
        <f>'Curvas SRY'!$E$9</f>
        <v>1</v>
      </c>
      <c r="D124" s="14" t="str">
        <f>'Curvas SRY'!$B$14</f>
        <v>Uso variable</v>
      </c>
      <c r="E124" s="14">
        <f>1</f>
        <v>1</v>
      </c>
      <c r="F124" s="21">
        <f>'Hoja 4 - Cálculo'!A25</f>
        <v>29587</v>
      </c>
      <c r="G124" s="15">
        <f>'Hoja 4 - Cálculo'!H25</f>
        <v>12.852</v>
      </c>
      <c r="H124" s="15">
        <f>IF(D124="Uso único",'Hoja 4 - Cálculo'!I25,IF(D124="Uso múltiple",AVERAGE('Hoja 4 - Cálculo'!$I$25:$I$384)+AVERAGE('Hoja 4 - Cálculo'!$J$25:$J$384)+AVERAGE('Hoja 4 - Cálculo'!$K$25:$K$384),IF(D124="Uso prioritario",'Hoja 4 - Cálculo'!I25+'Hoja 4 - Cálculo'!K25,'Hoja 4 - Cálculo'!I25+'Hoja 4 - Cálculo'!J25+'Hoja 4 - Cálculo'!K25)))</f>
        <v>16</v>
      </c>
      <c r="I124" s="15">
        <f t="shared" si="15"/>
        <v>16</v>
      </c>
      <c r="J124" s="15">
        <f>0</f>
        <v>0</v>
      </c>
      <c r="K124" s="15">
        <f>MIN(J124+G124,(J124+G124)*'Hoja 4 - Cálculo'!$B$15)</f>
        <v>0.25703999999999999</v>
      </c>
      <c r="L124" s="15">
        <f t="shared" si="16"/>
        <v>12.59496</v>
      </c>
      <c r="M124" s="15">
        <f t="shared" si="17"/>
        <v>12.59496</v>
      </c>
      <c r="N124" s="15">
        <f t="shared" si="18"/>
        <v>0</v>
      </c>
      <c r="O124" s="15">
        <f t="shared" si="19"/>
        <v>0</v>
      </c>
      <c r="P124" s="15">
        <f t="shared" si="20"/>
        <v>3.4050399999999996</v>
      </c>
      <c r="Q124" s="14" t="str">
        <f>IF(M124&gt;=I124*'Hoja 4 - Cálculo'!$B$16,"Satisfactorio","Falla")</f>
        <v>Falla</v>
      </c>
      <c r="R124" s="14">
        <f>0</f>
        <v>0</v>
      </c>
      <c r="S124" s="14">
        <f>IF(Q124="Falla",1,0)</f>
        <v>1</v>
      </c>
    </row>
    <row r="125" spans="1:19">
      <c r="A125" s="14" t="str">
        <f t="shared" si="28"/>
        <v>SRY-1-2</v>
      </c>
      <c r="B125" s="15">
        <f>'Curvas SRY'!$B$8</f>
        <v>1</v>
      </c>
      <c r="C125" s="15">
        <f>'Curvas SRY'!$E$9</f>
        <v>1</v>
      </c>
      <c r="D125" s="14" t="str">
        <f>'Curvas SRY'!$B$14</f>
        <v>Uso variable</v>
      </c>
      <c r="E125" s="14">
        <f>2</f>
        <v>2</v>
      </c>
      <c r="F125" s="21">
        <f>'Hoja 4 - Cálculo'!A26</f>
        <v>29618</v>
      </c>
      <c r="G125" s="15">
        <f>'Hoja 4 - Cálculo'!H26</f>
        <v>14.630625</v>
      </c>
      <c r="H125" s="15">
        <f>IF(D125="Uso único",'Hoja 4 - Cálculo'!I26,IF(D125="Uso múltiple",AVERAGE('Hoja 4 - Cálculo'!$I$25:$I$384)+AVERAGE('Hoja 4 - Cálculo'!$J$25:$J$384)+AVERAGE('Hoja 4 - Cálculo'!$K$25:$K$384),IF(D125="Uso prioritario",'Hoja 4 - Cálculo'!I26+'Hoja 4 - Cálculo'!K26,'Hoja 4 - Cálculo'!I26+'Hoja 4 - Cálculo'!J26+'Hoja 4 - Cálculo'!K26)))</f>
        <v>16</v>
      </c>
      <c r="I125" s="15">
        <f t="shared" si="15"/>
        <v>16</v>
      </c>
      <c r="J125" s="15">
        <f t="shared" ref="J125:J156" si="29">N124</f>
        <v>0</v>
      </c>
      <c r="K125" s="15">
        <f>MIN(J125+G125,(J125+G125)*'Hoja 4 - Cálculo'!$B$15)</f>
        <v>0.2926125</v>
      </c>
      <c r="L125" s="15">
        <f t="shared" si="16"/>
        <v>14.3380125</v>
      </c>
      <c r="M125" s="15">
        <f t="shared" si="17"/>
        <v>14.3380125</v>
      </c>
      <c r="N125" s="15">
        <f t="shared" si="18"/>
        <v>0</v>
      </c>
      <c r="O125" s="15">
        <f t="shared" si="19"/>
        <v>0</v>
      </c>
      <c r="P125" s="15">
        <f t="shared" si="20"/>
        <v>1.6619875000000004</v>
      </c>
      <c r="Q125" s="14" t="str">
        <f>IF(M125&gt;=I125*'Hoja 4 - Cálculo'!$B$16,"Satisfactorio","Falla")</f>
        <v>Falla</v>
      </c>
      <c r="R125" s="14">
        <f t="shared" ref="R125:R156" si="30">IF(AND(Q124="Falla",Q125="Satisfactorio"),1,0)</f>
        <v>0</v>
      </c>
      <c r="S125" s="14">
        <f t="shared" ref="S125:S156" si="31">IF(AND(Q125="Falla",Q124&lt;&gt;"Falla"),1,0)</f>
        <v>0</v>
      </c>
    </row>
    <row r="126" spans="1:19">
      <c r="A126" s="14" t="str">
        <f t="shared" si="28"/>
        <v>SRY-1-2</v>
      </c>
      <c r="B126" s="15">
        <f>'Curvas SRY'!$B$8</f>
        <v>1</v>
      </c>
      <c r="C126" s="15">
        <f>'Curvas SRY'!$E$9</f>
        <v>1</v>
      </c>
      <c r="D126" s="14" t="str">
        <f>'Curvas SRY'!$B$14</f>
        <v>Uso variable</v>
      </c>
      <c r="E126" s="14">
        <f>3</f>
        <v>3</v>
      </c>
      <c r="F126" s="21">
        <f>'Hoja 4 - Cálculo'!A27</f>
        <v>29646</v>
      </c>
      <c r="G126" s="15">
        <f>'Hoja 4 - Cálculo'!H27</f>
        <v>21.114000000000001</v>
      </c>
      <c r="H126" s="15">
        <f>IF(D126="Uso único",'Hoja 4 - Cálculo'!I27,IF(D126="Uso múltiple",AVERAGE('Hoja 4 - Cálculo'!$I$25:$I$384)+AVERAGE('Hoja 4 - Cálculo'!$J$25:$J$384)+AVERAGE('Hoja 4 - Cálculo'!$K$25:$K$384),IF(D126="Uso prioritario",'Hoja 4 - Cálculo'!I27+'Hoja 4 - Cálculo'!K27,'Hoja 4 - Cálculo'!I27+'Hoja 4 - Cálculo'!J27+'Hoja 4 - Cálculo'!K27)))</f>
        <v>16</v>
      </c>
      <c r="I126" s="15">
        <f t="shared" si="15"/>
        <v>16</v>
      </c>
      <c r="J126" s="15">
        <f t="shared" si="29"/>
        <v>0</v>
      </c>
      <c r="K126" s="15">
        <f>MIN(J126+G126,(J126+G126)*'Hoja 4 - Cálculo'!$B$15)</f>
        <v>0.42228000000000004</v>
      </c>
      <c r="L126" s="15">
        <f t="shared" si="16"/>
        <v>20.69172</v>
      </c>
      <c r="M126" s="15">
        <f t="shared" si="17"/>
        <v>16</v>
      </c>
      <c r="N126" s="15">
        <f t="shared" si="18"/>
        <v>1</v>
      </c>
      <c r="O126" s="15">
        <f t="shared" si="19"/>
        <v>3.6917200000000001</v>
      </c>
      <c r="P126" s="15">
        <f t="shared" si="20"/>
        <v>0</v>
      </c>
      <c r="Q126" s="14" t="str">
        <f>IF(M126&gt;=I126*'Hoja 4 - Cálculo'!$B$16,"Satisfactorio","Falla")</f>
        <v>Satisfactorio</v>
      </c>
      <c r="R126" s="14">
        <f t="shared" si="30"/>
        <v>1</v>
      </c>
      <c r="S126" s="14">
        <f t="shared" si="31"/>
        <v>0</v>
      </c>
    </row>
    <row r="127" spans="1:19">
      <c r="A127" s="14" t="str">
        <f t="shared" si="28"/>
        <v>SRY-1-2</v>
      </c>
      <c r="B127" s="15">
        <f>'Curvas SRY'!$B$8</f>
        <v>1</v>
      </c>
      <c r="C127" s="15">
        <f>'Curvas SRY'!$E$9</f>
        <v>1</v>
      </c>
      <c r="D127" s="14" t="str">
        <f>'Curvas SRY'!$B$14</f>
        <v>Uso variable</v>
      </c>
      <c r="E127" s="14">
        <f>4</f>
        <v>4</v>
      </c>
      <c r="F127" s="21">
        <f>'Hoja 4 - Cálculo'!A28</f>
        <v>29677</v>
      </c>
      <c r="G127" s="15">
        <f>'Hoja 4 - Cálculo'!H28</f>
        <v>29.280374999999999</v>
      </c>
      <c r="H127" s="15">
        <f>IF(D127="Uso único",'Hoja 4 - Cálculo'!I28,IF(D127="Uso múltiple",AVERAGE('Hoja 4 - Cálculo'!$I$25:$I$384)+AVERAGE('Hoja 4 - Cálculo'!$J$25:$J$384)+AVERAGE('Hoja 4 - Cálculo'!$K$25:$K$384),IF(D127="Uso prioritario",'Hoja 4 - Cálculo'!I28+'Hoja 4 - Cálculo'!K28,'Hoja 4 - Cálculo'!I28+'Hoja 4 - Cálculo'!J28+'Hoja 4 - Cálculo'!K28)))</f>
        <v>11.5</v>
      </c>
      <c r="I127" s="15">
        <f t="shared" si="15"/>
        <v>11.5</v>
      </c>
      <c r="J127" s="15">
        <f t="shared" si="29"/>
        <v>1</v>
      </c>
      <c r="K127" s="15">
        <f>MIN(J127+G127,(J127+G127)*'Hoja 4 - Cálculo'!$B$15)</f>
        <v>0.60560749999999997</v>
      </c>
      <c r="L127" s="15">
        <f t="shared" si="16"/>
        <v>29.674767499999998</v>
      </c>
      <c r="M127" s="15">
        <f t="shared" si="17"/>
        <v>11.5</v>
      </c>
      <c r="N127" s="15">
        <f t="shared" si="18"/>
        <v>1</v>
      </c>
      <c r="O127" s="15">
        <f t="shared" si="19"/>
        <v>17.174767499999998</v>
      </c>
      <c r="P127" s="15">
        <f t="shared" si="20"/>
        <v>0</v>
      </c>
      <c r="Q127" s="14" t="str">
        <f>IF(M127&gt;=I127*'Hoja 4 - Cálculo'!$B$16,"Satisfactorio","Falla")</f>
        <v>Satisfactorio</v>
      </c>
      <c r="R127" s="14">
        <f t="shared" si="30"/>
        <v>0</v>
      </c>
      <c r="S127" s="14">
        <f t="shared" si="31"/>
        <v>0</v>
      </c>
    </row>
    <row r="128" spans="1:19">
      <c r="A128" s="14" t="str">
        <f t="shared" si="28"/>
        <v>SRY-1-2</v>
      </c>
      <c r="B128" s="15">
        <f>'Curvas SRY'!$B$8</f>
        <v>1</v>
      </c>
      <c r="C128" s="15">
        <f>'Curvas SRY'!$E$9</f>
        <v>1</v>
      </c>
      <c r="D128" s="14" t="str">
        <f>'Curvas SRY'!$B$14</f>
        <v>Uso variable</v>
      </c>
      <c r="E128" s="14">
        <f>5</f>
        <v>5</v>
      </c>
      <c r="F128" s="21">
        <f>'Hoja 4 - Cálculo'!A29</f>
        <v>29707</v>
      </c>
      <c r="G128" s="15">
        <f>'Hoja 4 - Cálculo'!H29</f>
        <v>26.048249999999999</v>
      </c>
      <c r="H128" s="15">
        <f>IF(D128="Uso único",'Hoja 4 - Cálculo'!I29,IF(D128="Uso múltiple",AVERAGE('Hoja 4 - Cálculo'!$I$25:$I$384)+AVERAGE('Hoja 4 - Cálculo'!$J$25:$J$384)+AVERAGE('Hoja 4 - Cálculo'!$K$25:$K$384),IF(D128="Uso prioritario",'Hoja 4 - Cálculo'!I29+'Hoja 4 - Cálculo'!K29,'Hoja 4 - Cálculo'!I29+'Hoja 4 - Cálculo'!J29+'Hoja 4 - Cálculo'!K29)))</f>
        <v>11.5</v>
      </c>
      <c r="I128" s="15">
        <f t="shared" si="15"/>
        <v>11.5</v>
      </c>
      <c r="J128" s="15">
        <f t="shared" si="29"/>
        <v>1</v>
      </c>
      <c r="K128" s="15">
        <f>MIN(J128+G128,(J128+G128)*'Hoja 4 - Cálculo'!$B$15)</f>
        <v>0.54096500000000003</v>
      </c>
      <c r="L128" s="15">
        <f t="shared" si="16"/>
        <v>26.507285</v>
      </c>
      <c r="M128" s="15">
        <f t="shared" si="17"/>
        <v>11.5</v>
      </c>
      <c r="N128" s="15">
        <f t="shared" si="18"/>
        <v>1</v>
      </c>
      <c r="O128" s="15">
        <f t="shared" si="19"/>
        <v>14.007285</v>
      </c>
      <c r="P128" s="15">
        <f t="shared" si="20"/>
        <v>0</v>
      </c>
      <c r="Q128" s="14" t="str">
        <f>IF(M128&gt;=I128*'Hoja 4 - Cálculo'!$B$16,"Satisfactorio","Falla")</f>
        <v>Satisfactorio</v>
      </c>
      <c r="R128" s="14">
        <f t="shared" si="30"/>
        <v>0</v>
      </c>
      <c r="S128" s="14">
        <f t="shared" si="31"/>
        <v>0</v>
      </c>
    </row>
    <row r="129" spans="1:19">
      <c r="A129" s="14" t="str">
        <f t="shared" si="28"/>
        <v>SRY-1-2</v>
      </c>
      <c r="B129" s="15">
        <f>'Curvas SRY'!$B$8</f>
        <v>1</v>
      </c>
      <c r="C129" s="15">
        <f>'Curvas SRY'!$E$9</f>
        <v>1</v>
      </c>
      <c r="D129" s="14" t="str">
        <f>'Curvas SRY'!$B$14</f>
        <v>Uso variable</v>
      </c>
      <c r="E129" s="14">
        <f>6</f>
        <v>6</v>
      </c>
      <c r="F129" s="21">
        <f>'Hoja 4 - Cálculo'!A30</f>
        <v>29738</v>
      </c>
      <c r="G129" s="15">
        <f>'Hoja 4 - Cálculo'!H30</f>
        <v>15.625125000000001</v>
      </c>
      <c r="H129" s="15">
        <f>IF(D129="Uso único",'Hoja 4 - Cálculo'!I30,IF(D129="Uso múltiple",AVERAGE('Hoja 4 - Cálculo'!$I$25:$I$384)+AVERAGE('Hoja 4 - Cálculo'!$J$25:$J$384)+AVERAGE('Hoja 4 - Cálculo'!$K$25:$K$384),IF(D129="Uso prioritario",'Hoja 4 - Cálculo'!I30+'Hoja 4 - Cálculo'!K30,'Hoja 4 - Cálculo'!I30+'Hoja 4 - Cálculo'!J30+'Hoja 4 - Cálculo'!K30)))</f>
        <v>11.5</v>
      </c>
      <c r="I129" s="15">
        <f t="shared" si="15"/>
        <v>11.5</v>
      </c>
      <c r="J129" s="15">
        <f t="shared" si="29"/>
        <v>1</v>
      </c>
      <c r="K129" s="15">
        <f>MIN(J129+G129,(J129+G129)*'Hoja 4 - Cálculo'!$B$15)</f>
        <v>0.33250250000000003</v>
      </c>
      <c r="L129" s="15">
        <f t="shared" si="16"/>
        <v>16.2926225</v>
      </c>
      <c r="M129" s="15">
        <f t="shared" si="17"/>
        <v>11.5</v>
      </c>
      <c r="N129" s="15">
        <f t="shared" si="18"/>
        <v>1</v>
      </c>
      <c r="O129" s="15">
        <f t="shared" si="19"/>
        <v>3.7926225000000002</v>
      </c>
      <c r="P129" s="15">
        <f t="shared" si="20"/>
        <v>0</v>
      </c>
      <c r="Q129" s="14" t="str">
        <f>IF(M129&gt;=I129*'Hoja 4 - Cálculo'!$B$16,"Satisfactorio","Falla")</f>
        <v>Satisfactorio</v>
      </c>
      <c r="R129" s="14">
        <f t="shared" si="30"/>
        <v>0</v>
      </c>
      <c r="S129" s="14">
        <f t="shared" si="31"/>
        <v>0</v>
      </c>
    </row>
    <row r="130" spans="1:19">
      <c r="A130" s="14" t="str">
        <f t="shared" si="28"/>
        <v>SRY-1-2</v>
      </c>
      <c r="B130" s="15">
        <f>'Curvas SRY'!$B$8</f>
        <v>1</v>
      </c>
      <c r="C130" s="15">
        <f>'Curvas SRY'!$E$9</f>
        <v>1</v>
      </c>
      <c r="D130" s="14" t="str">
        <f>'Curvas SRY'!$B$14</f>
        <v>Uso variable</v>
      </c>
      <c r="E130" s="14">
        <f>7</f>
        <v>7</v>
      </c>
      <c r="F130" s="21">
        <f>'Hoja 4 - Cálculo'!A31</f>
        <v>29768</v>
      </c>
      <c r="G130" s="15">
        <f>'Hoja 4 - Cálculo'!H31</f>
        <v>12.794625</v>
      </c>
      <c r="H130" s="15">
        <f>IF(D130="Uso único",'Hoja 4 - Cálculo'!I31,IF(D130="Uso múltiple",AVERAGE('Hoja 4 - Cálculo'!$I$25:$I$384)+AVERAGE('Hoja 4 - Cálculo'!$J$25:$J$384)+AVERAGE('Hoja 4 - Cálculo'!$K$25:$K$384),IF(D130="Uso prioritario",'Hoja 4 - Cálculo'!I31+'Hoja 4 - Cálculo'!K31,'Hoja 4 - Cálculo'!I31+'Hoja 4 - Cálculo'!J31+'Hoja 4 - Cálculo'!K31)))</f>
        <v>16</v>
      </c>
      <c r="I130" s="15">
        <f t="shared" si="15"/>
        <v>16</v>
      </c>
      <c r="J130" s="15">
        <f t="shared" si="29"/>
        <v>1</v>
      </c>
      <c r="K130" s="15">
        <f>MIN(J130+G130,(J130+G130)*'Hoja 4 - Cálculo'!$B$15)</f>
        <v>0.27589249999999998</v>
      </c>
      <c r="L130" s="15">
        <f t="shared" si="16"/>
        <v>13.5187325</v>
      </c>
      <c r="M130" s="15">
        <f t="shared" si="17"/>
        <v>13.5187325</v>
      </c>
      <c r="N130" s="15">
        <f t="shared" si="18"/>
        <v>0</v>
      </c>
      <c r="O130" s="15">
        <f t="shared" si="19"/>
        <v>0</v>
      </c>
      <c r="P130" s="15">
        <f t="shared" si="20"/>
        <v>2.4812674999999995</v>
      </c>
      <c r="Q130" s="14" t="str">
        <f>IF(M130&gt;=I130*'Hoja 4 - Cálculo'!$B$16,"Satisfactorio","Falla")</f>
        <v>Falla</v>
      </c>
      <c r="R130" s="14">
        <f t="shared" si="30"/>
        <v>0</v>
      </c>
      <c r="S130" s="14">
        <f t="shared" si="31"/>
        <v>1</v>
      </c>
    </row>
    <row r="131" spans="1:19">
      <c r="A131" s="14" t="str">
        <f t="shared" si="28"/>
        <v>SRY-1-2</v>
      </c>
      <c r="B131" s="15">
        <f>'Curvas SRY'!$B$8</f>
        <v>1</v>
      </c>
      <c r="C131" s="15">
        <f>'Curvas SRY'!$E$9</f>
        <v>1</v>
      </c>
      <c r="D131" s="14" t="str">
        <f>'Curvas SRY'!$B$14</f>
        <v>Uso variable</v>
      </c>
      <c r="E131" s="14">
        <f>8</f>
        <v>8</v>
      </c>
      <c r="F131" s="21">
        <f>'Hoja 4 - Cálculo'!A32</f>
        <v>29799</v>
      </c>
      <c r="G131" s="15">
        <f>'Hoja 4 - Cálculo'!H32</f>
        <v>13.712624999999999</v>
      </c>
      <c r="H131" s="15">
        <f>IF(D131="Uso único",'Hoja 4 - Cálculo'!I32,IF(D131="Uso múltiple",AVERAGE('Hoja 4 - Cálculo'!$I$25:$I$384)+AVERAGE('Hoja 4 - Cálculo'!$J$25:$J$384)+AVERAGE('Hoja 4 - Cálculo'!$K$25:$K$384),IF(D131="Uso prioritario",'Hoja 4 - Cálculo'!I32+'Hoja 4 - Cálculo'!K32,'Hoja 4 - Cálculo'!I32+'Hoja 4 - Cálculo'!J32+'Hoja 4 - Cálculo'!K32)))</f>
        <v>16</v>
      </c>
      <c r="I131" s="15">
        <f t="shared" si="15"/>
        <v>16</v>
      </c>
      <c r="J131" s="15">
        <f t="shared" si="29"/>
        <v>0</v>
      </c>
      <c r="K131" s="15">
        <f>MIN(J131+G131,(J131+G131)*'Hoja 4 - Cálculo'!$B$15)</f>
        <v>0.27425250000000001</v>
      </c>
      <c r="L131" s="15">
        <f t="shared" si="16"/>
        <v>13.4383725</v>
      </c>
      <c r="M131" s="15">
        <f t="shared" si="17"/>
        <v>13.4383725</v>
      </c>
      <c r="N131" s="15">
        <f t="shared" si="18"/>
        <v>0</v>
      </c>
      <c r="O131" s="15">
        <f t="shared" si="19"/>
        <v>0</v>
      </c>
      <c r="P131" s="15">
        <f t="shared" si="20"/>
        <v>2.5616275000000002</v>
      </c>
      <c r="Q131" s="14" t="str">
        <f>IF(M131&gt;=I131*'Hoja 4 - Cálculo'!$B$16,"Satisfactorio","Falla")</f>
        <v>Falla</v>
      </c>
      <c r="R131" s="14">
        <f t="shared" si="30"/>
        <v>0</v>
      </c>
      <c r="S131" s="14">
        <f t="shared" si="31"/>
        <v>0</v>
      </c>
    </row>
    <row r="132" spans="1:19">
      <c r="A132" s="14" t="str">
        <f t="shared" si="28"/>
        <v>SRY-1-2</v>
      </c>
      <c r="B132" s="15">
        <f>'Curvas SRY'!$B$8</f>
        <v>1</v>
      </c>
      <c r="C132" s="15">
        <f>'Curvas SRY'!$E$9</f>
        <v>1</v>
      </c>
      <c r="D132" s="14" t="str">
        <f>'Curvas SRY'!$B$14</f>
        <v>Uso variable</v>
      </c>
      <c r="E132" s="14">
        <f>9</f>
        <v>9</v>
      </c>
      <c r="F132" s="21">
        <f>'Hoja 4 - Cálculo'!A33</f>
        <v>29830</v>
      </c>
      <c r="G132" s="15">
        <f>'Hoja 4 - Cálculo'!H33</f>
        <v>22.070250000000001</v>
      </c>
      <c r="H132" s="15">
        <f>IF(D132="Uso único",'Hoja 4 - Cálculo'!I33,IF(D132="Uso múltiple",AVERAGE('Hoja 4 - Cálculo'!$I$25:$I$384)+AVERAGE('Hoja 4 - Cálculo'!$J$25:$J$384)+AVERAGE('Hoja 4 - Cálculo'!$K$25:$K$384),IF(D132="Uso prioritario",'Hoja 4 - Cálculo'!I33+'Hoja 4 - Cálculo'!K33,'Hoja 4 - Cálculo'!I33+'Hoja 4 - Cálculo'!J33+'Hoja 4 - Cálculo'!K33)))</f>
        <v>11.5</v>
      </c>
      <c r="I132" s="15">
        <f t="shared" ref="I132:I195" si="32">H132*C132</f>
        <v>11.5</v>
      </c>
      <c r="J132" s="15">
        <f t="shared" si="29"/>
        <v>0</v>
      </c>
      <c r="K132" s="15">
        <f>MIN(J132+G132,(J132+G132)*'Hoja 4 - Cálculo'!$B$15)</f>
        <v>0.44140500000000005</v>
      </c>
      <c r="L132" s="15">
        <f t="shared" ref="L132:L195" si="33">MAX(0,J132+G132-K132)</f>
        <v>21.628845000000002</v>
      </c>
      <c r="M132" s="15">
        <f t="shared" ref="M132:M195" si="34">MIN(I132,L132)</f>
        <v>11.5</v>
      </c>
      <c r="N132" s="15">
        <f t="shared" ref="N132:N195" si="35">MIN(B132,MAX(0,L132-M132))</f>
        <v>1</v>
      </c>
      <c r="O132" s="15">
        <f t="shared" ref="O132:O195" si="36">MAX(0,L132-M132-B132)</f>
        <v>9.1288450000000019</v>
      </c>
      <c r="P132" s="15">
        <f t="shared" ref="P132:P195" si="37">MAX(0,I132-M132)</f>
        <v>0</v>
      </c>
      <c r="Q132" s="14" t="str">
        <f>IF(M132&gt;=I132*'Hoja 4 - Cálculo'!$B$16,"Satisfactorio","Falla")</f>
        <v>Satisfactorio</v>
      </c>
      <c r="R132" s="14">
        <f t="shared" si="30"/>
        <v>1</v>
      </c>
      <c r="S132" s="14">
        <f t="shared" si="31"/>
        <v>0</v>
      </c>
    </row>
    <row r="133" spans="1:19">
      <c r="A133" s="14" t="str">
        <f t="shared" si="28"/>
        <v>SRY-1-2</v>
      </c>
      <c r="B133" s="15">
        <f>'Curvas SRY'!$B$8</f>
        <v>1</v>
      </c>
      <c r="C133" s="15">
        <f>'Curvas SRY'!$E$9</f>
        <v>1</v>
      </c>
      <c r="D133" s="14" t="str">
        <f>'Curvas SRY'!$B$14</f>
        <v>Uso variable</v>
      </c>
      <c r="E133" s="14">
        <f>10</f>
        <v>10</v>
      </c>
      <c r="F133" s="21">
        <f>'Hoja 4 - Cálculo'!A34</f>
        <v>29860</v>
      </c>
      <c r="G133" s="15">
        <f>'Hoja 4 - Cálculo'!H34</f>
        <v>29.777625</v>
      </c>
      <c r="H133" s="15">
        <f>IF(D133="Uso único",'Hoja 4 - Cálculo'!I34,IF(D133="Uso múltiple",AVERAGE('Hoja 4 - Cálculo'!$I$25:$I$384)+AVERAGE('Hoja 4 - Cálculo'!$J$25:$J$384)+AVERAGE('Hoja 4 - Cálculo'!$K$25:$K$384),IF(D133="Uso prioritario",'Hoja 4 - Cálculo'!I34+'Hoja 4 - Cálculo'!K34,'Hoja 4 - Cálculo'!I34+'Hoja 4 - Cálculo'!J34+'Hoja 4 - Cálculo'!K34)))</f>
        <v>11.5</v>
      </c>
      <c r="I133" s="15">
        <f t="shared" si="32"/>
        <v>11.5</v>
      </c>
      <c r="J133" s="15">
        <f t="shared" si="29"/>
        <v>1</v>
      </c>
      <c r="K133" s="15">
        <f>MIN(J133+G133,(J133+G133)*'Hoja 4 - Cálculo'!$B$15)</f>
        <v>0.61555250000000006</v>
      </c>
      <c r="L133" s="15">
        <f t="shared" si="33"/>
        <v>30.162072500000001</v>
      </c>
      <c r="M133" s="15">
        <f t="shared" si="34"/>
        <v>11.5</v>
      </c>
      <c r="N133" s="15">
        <f t="shared" si="35"/>
        <v>1</v>
      </c>
      <c r="O133" s="15">
        <f t="shared" si="36"/>
        <v>17.662072500000001</v>
      </c>
      <c r="P133" s="15">
        <f t="shared" si="37"/>
        <v>0</v>
      </c>
      <c r="Q133" s="14" t="str">
        <f>IF(M133&gt;=I133*'Hoja 4 - Cálculo'!$B$16,"Satisfactorio","Falla")</f>
        <v>Satisfactorio</v>
      </c>
      <c r="R133" s="14">
        <f t="shared" si="30"/>
        <v>0</v>
      </c>
      <c r="S133" s="14">
        <f t="shared" si="31"/>
        <v>0</v>
      </c>
    </row>
    <row r="134" spans="1:19">
      <c r="A134" s="14" t="str">
        <f t="shared" si="28"/>
        <v>SRY-1-2</v>
      </c>
      <c r="B134" s="15">
        <f>'Curvas SRY'!$B$8</f>
        <v>1</v>
      </c>
      <c r="C134" s="15">
        <f>'Curvas SRY'!$E$9</f>
        <v>1</v>
      </c>
      <c r="D134" s="14" t="str">
        <f>'Curvas SRY'!$B$14</f>
        <v>Uso variable</v>
      </c>
      <c r="E134" s="14">
        <f>11</f>
        <v>11</v>
      </c>
      <c r="F134" s="21">
        <f>'Hoja 4 - Cálculo'!A35</f>
        <v>29891</v>
      </c>
      <c r="G134" s="15">
        <f>'Hoja 4 - Cálculo'!H35</f>
        <v>25.51275</v>
      </c>
      <c r="H134" s="15">
        <f>IF(D134="Uso único",'Hoja 4 - Cálculo'!I35,IF(D134="Uso múltiple",AVERAGE('Hoja 4 - Cálculo'!$I$25:$I$384)+AVERAGE('Hoja 4 - Cálculo'!$J$25:$J$384)+AVERAGE('Hoja 4 - Cálculo'!$K$25:$K$384),IF(D134="Uso prioritario",'Hoja 4 - Cálculo'!I35+'Hoja 4 - Cálculo'!K35,'Hoja 4 - Cálculo'!I35+'Hoja 4 - Cálculo'!J35+'Hoja 4 - Cálculo'!K35)))</f>
        <v>11.5</v>
      </c>
      <c r="I134" s="15">
        <f t="shared" si="32"/>
        <v>11.5</v>
      </c>
      <c r="J134" s="15">
        <f t="shared" si="29"/>
        <v>1</v>
      </c>
      <c r="K134" s="15">
        <f>MIN(J134+G134,(J134+G134)*'Hoja 4 - Cálculo'!$B$15)</f>
        <v>0.53025500000000003</v>
      </c>
      <c r="L134" s="15">
        <f t="shared" si="33"/>
        <v>25.982495</v>
      </c>
      <c r="M134" s="15">
        <f t="shared" si="34"/>
        <v>11.5</v>
      </c>
      <c r="N134" s="15">
        <f t="shared" si="35"/>
        <v>1</v>
      </c>
      <c r="O134" s="15">
        <f t="shared" si="36"/>
        <v>13.482495</v>
      </c>
      <c r="P134" s="15">
        <f t="shared" si="37"/>
        <v>0</v>
      </c>
      <c r="Q134" s="14" t="str">
        <f>IF(M134&gt;=I134*'Hoja 4 - Cálculo'!$B$16,"Satisfactorio","Falla")</f>
        <v>Satisfactorio</v>
      </c>
      <c r="R134" s="14">
        <f t="shared" si="30"/>
        <v>0</v>
      </c>
      <c r="S134" s="14">
        <f t="shared" si="31"/>
        <v>0</v>
      </c>
    </row>
    <row r="135" spans="1:19">
      <c r="A135" s="14" t="str">
        <f t="shared" si="28"/>
        <v>SRY-1-2</v>
      </c>
      <c r="B135" s="15">
        <f>'Curvas SRY'!$B$8</f>
        <v>1</v>
      </c>
      <c r="C135" s="15">
        <f>'Curvas SRY'!$E$9</f>
        <v>1</v>
      </c>
      <c r="D135" s="14" t="str">
        <f>'Curvas SRY'!$B$14</f>
        <v>Uso variable</v>
      </c>
      <c r="E135" s="14">
        <f>12</f>
        <v>12</v>
      </c>
      <c r="F135" s="21">
        <f>'Hoja 4 - Cálculo'!A36</f>
        <v>29921</v>
      </c>
      <c r="G135" s="15">
        <f>'Hoja 4 - Cálculo'!H36</f>
        <v>15.3765</v>
      </c>
      <c r="H135" s="15">
        <f>IF(D135="Uso único",'Hoja 4 - Cálculo'!I36,IF(D135="Uso múltiple",AVERAGE('Hoja 4 - Cálculo'!$I$25:$I$384)+AVERAGE('Hoja 4 - Cálculo'!$J$25:$J$384)+AVERAGE('Hoja 4 - Cálculo'!$K$25:$K$384),IF(D135="Uso prioritario",'Hoja 4 - Cálculo'!I36+'Hoja 4 - Cálculo'!K36,'Hoja 4 - Cálculo'!I36+'Hoja 4 - Cálculo'!J36+'Hoja 4 - Cálculo'!K36)))</f>
        <v>16</v>
      </c>
      <c r="I135" s="15">
        <f t="shared" si="32"/>
        <v>16</v>
      </c>
      <c r="J135" s="15">
        <f t="shared" si="29"/>
        <v>1</v>
      </c>
      <c r="K135" s="15">
        <f>MIN(J135+G135,(J135+G135)*'Hoja 4 - Cálculo'!$B$15)</f>
        <v>0.32752999999999999</v>
      </c>
      <c r="L135" s="15">
        <f t="shared" si="33"/>
        <v>16.048970000000001</v>
      </c>
      <c r="M135" s="15">
        <f t="shared" si="34"/>
        <v>16</v>
      </c>
      <c r="N135" s="15">
        <f t="shared" si="35"/>
        <v>4.8970000000000624E-2</v>
      </c>
      <c r="O135" s="15">
        <f t="shared" si="36"/>
        <v>0</v>
      </c>
      <c r="P135" s="15">
        <f t="shared" si="37"/>
        <v>0</v>
      </c>
      <c r="Q135" s="14" t="str">
        <f>IF(M135&gt;=I135*'Hoja 4 - Cálculo'!$B$16,"Satisfactorio","Falla")</f>
        <v>Satisfactorio</v>
      </c>
      <c r="R135" s="14">
        <f t="shared" si="30"/>
        <v>0</v>
      </c>
      <c r="S135" s="14">
        <f t="shared" si="31"/>
        <v>0</v>
      </c>
    </row>
    <row r="136" spans="1:19">
      <c r="A136" s="14" t="str">
        <f t="shared" si="28"/>
        <v>SRY-1-2</v>
      </c>
      <c r="B136" s="15">
        <f>'Curvas SRY'!$B$8</f>
        <v>1</v>
      </c>
      <c r="C136" s="15">
        <f>'Curvas SRY'!$E$9</f>
        <v>1</v>
      </c>
      <c r="D136" s="14" t="str">
        <f>'Curvas SRY'!$B$14</f>
        <v>Uso variable</v>
      </c>
      <c r="E136" s="14">
        <f>13</f>
        <v>13</v>
      </c>
      <c r="F136" s="21">
        <f>'Hoja 4 - Cálculo'!A37</f>
        <v>29952</v>
      </c>
      <c r="G136" s="15">
        <f>'Hoja 4 - Cálculo'!H37</f>
        <v>13.808249999999999</v>
      </c>
      <c r="H136" s="15">
        <f>IF(D136="Uso único",'Hoja 4 - Cálculo'!I37,IF(D136="Uso múltiple",AVERAGE('Hoja 4 - Cálculo'!$I$25:$I$384)+AVERAGE('Hoja 4 - Cálculo'!$J$25:$J$384)+AVERAGE('Hoja 4 - Cálculo'!$K$25:$K$384),IF(D136="Uso prioritario",'Hoja 4 - Cálculo'!I37+'Hoja 4 - Cálculo'!K37,'Hoja 4 - Cálculo'!I37+'Hoja 4 - Cálculo'!J37+'Hoja 4 - Cálculo'!K37)))</f>
        <v>16</v>
      </c>
      <c r="I136" s="15">
        <f t="shared" si="32"/>
        <v>16</v>
      </c>
      <c r="J136" s="15">
        <f t="shared" si="29"/>
        <v>4.8970000000000624E-2</v>
      </c>
      <c r="K136" s="15">
        <f>MIN(J136+G136,(J136+G136)*'Hoja 4 - Cálculo'!$B$15)</f>
        <v>0.27714440000000001</v>
      </c>
      <c r="L136" s="15">
        <f t="shared" si="33"/>
        <v>13.580075600000001</v>
      </c>
      <c r="M136" s="15">
        <f t="shared" si="34"/>
        <v>13.580075600000001</v>
      </c>
      <c r="N136" s="15">
        <f t="shared" si="35"/>
        <v>0</v>
      </c>
      <c r="O136" s="15">
        <f t="shared" si="36"/>
        <v>0</v>
      </c>
      <c r="P136" s="15">
        <f t="shared" si="37"/>
        <v>2.4199243999999993</v>
      </c>
      <c r="Q136" s="14" t="str">
        <f>IF(M136&gt;=I136*'Hoja 4 - Cálculo'!$B$16,"Satisfactorio","Falla")</f>
        <v>Falla</v>
      </c>
      <c r="R136" s="14">
        <f t="shared" si="30"/>
        <v>0</v>
      </c>
      <c r="S136" s="14">
        <f t="shared" si="31"/>
        <v>1</v>
      </c>
    </row>
    <row r="137" spans="1:19">
      <c r="A137" s="14" t="str">
        <f t="shared" si="28"/>
        <v>SRY-1-2</v>
      </c>
      <c r="B137" s="15">
        <f>'Curvas SRY'!$B$8</f>
        <v>1</v>
      </c>
      <c r="C137" s="15">
        <f>'Curvas SRY'!$E$9</f>
        <v>1</v>
      </c>
      <c r="D137" s="14" t="str">
        <f>'Curvas SRY'!$B$14</f>
        <v>Uso variable</v>
      </c>
      <c r="E137" s="14">
        <f>14</f>
        <v>14</v>
      </c>
      <c r="F137" s="21">
        <f>'Hoja 4 - Cálculo'!A38</f>
        <v>29983</v>
      </c>
      <c r="G137" s="15">
        <f>'Hoja 4 - Cálculo'!H38</f>
        <v>15.472125</v>
      </c>
      <c r="H137" s="15">
        <f>IF(D137="Uso único",'Hoja 4 - Cálculo'!I38,IF(D137="Uso múltiple",AVERAGE('Hoja 4 - Cálculo'!$I$25:$I$384)+AVERAGE('Hoja 4 - Cálculo'!$J$25:$J$384)+AVERAGE('Hoja 4 - Cálculo'!$K$25:$K$384),IF(D137="Uso prioritario",'Hoja 4 - Cálculo'!I38+'Hoja 4 - Cálculo'!K38,'Hoja 4 - Cálculo'!I38+'Hoja 4 - Cálculo'!J38+'Hoja 4 - Cálculo'!K38)))</f>
        <v>16</v>
      </c>
      <c r="I137" s="15">
        <f t="shared" si="32"/>
        <v>16</v>
      </c>
      <c r="J137" s="15">
        <f t="shared" si="29"/>
        <v>0</v>
      </c>
      <c r="K137" s="15">
        <f>MIN(J137+G137,(J137+G137)*'Hoja 4 - Cálculo'!$B$15)</f>
        <v>0.30944250000000001</v>
      </c>
      <c r="L137" s="15">
        <f t="shared" si="33"/>
        <v>15.162682500000001</v>
      </c>
      <c r="M137" s="15">
        <f t="shared" si="34"/>
        <v>15.162682500000001</v>
      </c>
      <c r="N137" s="15">
        <f t="shared" si="35"/>
        <v>0</v>
      </c>
      <c r="O137" s="15">
        <f t="shared" si="36"/>
        <v>0</v>
      </c>
      <c r="P137" s="15">
        <f t="shared" si="37"/>
        <v>0.83731749999999927</v>
      </c>
      <c r="Q137" s="14" t="str">
        <f>IF(M137&gt;=I137*'Hoja 4 - Cálculo'!$B$16,"Satisfactorio","Falla")</f>
        <v>Falla</v>
      </c>
      <c r="R137" s="14">
        <f t="shared" si="30"/>
        <v>0</v>
      </c>
      <c r="S137" s="14">
        <f t="shared" si="31"/>
        <v>0</v>
      </c>
    </row>
    <row r="138" spans="1:19">
      <c r="A138" s="14" t="str">
        <f t="shared" si="28"/>
        <v>SRY-1-2</v>
      </c>
      <c r="B138" s="15">
        <f>'Curvas SRY'!$B$8</f>
        <v>1</v>
      </c>
      <c r="C138" s="15">
        <f>'Curvas SRY'!$E$9</f>
        <v>1</v>
      </c>
      <c r="D138" s="14" t="str">
        <f>'Curvas SRY'!$B$14</f>
        <v>Uso variable</v>
      </c>
      <c r="E138" s="14">
        <f>15</f>
        <v>15</v>
      </c>
      <c r="F138" s="21">
        <f>'Hoja 4 - Cálculo'!A39</f>
        <v>30011</v>
      </c>
      <c r="G138" s="15">
        <f>'Hoja 4 - Cálculo'!H39</f>
        <v>22.338000000000001</v>
      </c>
      <c r="H138" s="15">
        <f>IF(D138="Uso único",'Hoja 4 - Cálculo'!I39,IF(D138="Uso múltiple",AVERAGE('Hoja 4 - Cálculo'!$I$25:$I$384)+AVERAGE('Hoja 4 - Cálculo'!$J$25:$J$384)+AVERAGE('Hoja 4 - Cálculo'!$K$25:$K$384),IF(D138="Uso prioritario",'Hoja 4 - Cálculo'!I39+'Hoja 4 - Cálculo'!K39,'Hoja 4 - Cálculo'!I39+'Hoja 4 - Cálculo'!J39+'Hoja 4 - Cálculo'!K39)))</f>
        <v>16</v>
      </c>
      <c r="I138" s="15">
        <f t="shared" si="32"/>
        <v>16</v>
      </c>
      <c r="J138" s="15">
        <f t="shared" si="29"/>
        <v>0</v>
      </c>
      <c r="K138" s="15">
        <f>MIN(J138+G138,(J138+G138)*'Hoja 4 - Cálculo'!$B$15)</f>
        <v>0.44676000000000005</v>
      </c>
      <c r="L138" s="15">
        <f t="shared" si="33"/>
        <v>21.89124</v>
      </c>
      <c r="M138" s="15">
        <f t="shared" si="34"/>
        <v>16</v>
      </c>
      <c r="N138" s="15">
        <f t="shared" si="35"/>
        <v>1</v>
      </c>
      <c r="O138" s="15">
        <f t="shared" si="36"/>
        <v>4.8912399999999998</v>
      </c>
      <c r="P138" s="15">
        <f t="shared" si="37"/>
        <v>0</v>
      </c>
      <c r="Q138" s="14" t="str">
        <f>IF(M138&gt;=I138*'Hoja 4 - Cálculo'!$B$16,"Satisfactorio","Falla")</f>
        <v>Satisfactorio</v>
      </c>
      <c r="R138" s="14">
        <f t="shared" si="30"/>
        <v>1</v>
      </c>
      <c r="S138" s="14">
        <f t="shared" si="31"/>
        <v>0</v>
      </c>
    </row>
    <row r="139" spans="1:19">
      <c r="A139" s="14" t="str">
        <f t="shared" si="28"/>
        <v>SRY-1-2</v>
      </c>
      <c r="B139" s="15">
        <f>'Curvas SRY'!$B$8</f>
        <v>1</v>
      </c>
      <c r="C139" s="15">
        <f>'Curvas SRY'!$E$9</f>
        <v>1</v>
      </c>
      <c r="D139" s="14" t="str">
        <f>'Curvas SRY'!$B$14</f>
        <v>Uso variable</v>
      </c>
      <c r="E139" s="14">
        <f>16</f>
        <v>16</v>
      </c>
      <c r="F139" s="21">
        <f>'Hoja 4 - Cálculo'!A40</f>
        <v>30042</v>
      </c>
      <c r="G139" s="15">
        <f>'Hoja 4 - Cálculo'!H40</f>
        <v>31.670999999999999</v>
      </c>
      <c r="H139" s="15">
        <f>IF(D139="Uso único",'Hoja 4 - Cálculo'!I40,IF(D139="Uso múltiple",AVERAGE('Hoja 4 - Cálculo'!$I$25:$I$384)+AVERAGE('Hoja 4 - Cálculo'!$J$25:$J$384)+AVERAGE('Hoja 4 - Cálculo'!$K$25:$K$384),IF(D139="Uso prioritario",'Hoja 4 - Cálculo'!I40+'Hoja 4 - Cálculo'!K40,'Hoja 4 - Cálculo'!I40+'Hoja 4 - Cálculo'!J40+'Hoja 4 - Cálculo'!K40)))</f>
        <v>11.5</v>
      </c>
      <c r="I139" s="15">
        <f t="shared" si="32"/>
        <v>11.5</v>
      </c>
      <c r="J139" s="15">
        <f t="shared" si="29"/>
        <v>1</v>
      </c>
      <c r="K139" s="15">
        <f>MIN(J139+G139,(J139+G139)*'Hoja 4 - Cálculo'!$B$15)</f>
        <v>0.65342</v>
      </c>
      <c r="L139" s="15">
        <f t="shared" si="33"/>
        <v>32.017580000000002</v>
      </c>
      <c r="M139" s="15">
        <f t="shared" si="34"/>
        <v>11.5</v>
      </c>
      <c r="N139" s="15">
        <f t="shared" si="35"/>
        <v>1</v>
      </c>
      <c r="O139" s="15">
        <f t="shared" si="36"/>
        <v>19.517580000000002</v>
      </c>
      <c r="P139" s="15">
        <f t="shared" si="37"/>
        <v>0</v>
      </c>
      <c r="Q139" s="14" t="str">
        <f>IF(M139&gt;=I139*'Hoja 4 - Cálculo'!$B$16,"Satisfactorio","Falla")</f>
        <v>Satisfactorio</v>
      </c>
      <c r="R139" s="14">
        <f t="shared" si="30"/>
        <v>0</v>
      </c>
      <c r="S139" s="14">
        <f t="shared" si="31"/>
        <v>0</v>
      </c>
    </row>
    <row r="140" spans="1:19">
      <c r="A140" s="14" t="str">
        <f t="shared" si="28"/>
        <v>SRY-1-2</v>
      </c>
      <c r="B140" s="15">
        <f>'Curvas SRY'!$B$8</f>
        <v>1</v>
      </c>
      <c r="C140" s="15">
        <f>'Curvas SRY'!$E$9</f>
        <v>1</v>
      </c>
      <c r="D140" s="14" t="str">
        <f>'Curvas SRY'!$B$14</f>
        <v>Uso variable</v>
      </c>
      <c r="E140" s="14">
        <f>17</f>
        <v>17</v>
      </c>
      <c r="F140" s="21">
        <f>'Hoja 4 - Cálculo'!A41</f>
        <v>30072</v>
      </c>
      <c r="G140" s="15">
        <f>'Hoja 4 - Cálculo'!H41</f>
        <v>29.299499999999998</v>
      </c>
      <c r="H140" s="15">
        <f>IF(D140="Uso único",'Hoja 4 - Cálculo'!I41,IF(D140="Uso múltiple",AVERAGE('Hoja 4 - Cálculo'!$I$25:$I$384)+AVERAGE('Hoja 4 - Cálculo'!$J$25:$J$384)+AVERAGE('Hoja 4 - Cálculo'!$K$25:$K$384),IF(D140="Uso prioritario",'Hoja 4 - Cálculo'!I41+'Hoja 4 - Cálculo'!K41,'Hoja 4 - Cálculo'!I41+'Hoja 4 - Cálculo'!J41+'Hoja 4 - Cálculo'!K41)))</f>
        <v>11.5</v>
      </c>
      <c r="I140" s="15">
        <f t="shared" si="32"/>
        <v>11.5</v>
      </c>
      <c r="J140" s="15">
        <f t="shared" si="29"/>
        <v>1</v>
      </c>
      <c r="K140" s="15">
        <f>MIN(J140+G140,(J140+G140)*'Hoja 4 - Cálculo'!$B$15)</f>
        <v>0.60599000000000003</v>
      </c>
      <c r="L140" s="15">
        <f t="shared" si="33"/>
        <v>29.69351</v>
      </c>
      <c r="M140" s="15">
        <f t="shared" si="34"/>
        <v>11.5</v>
      </c>
      <c r="N140" s="15">
        <f t="shared" si="35"/>
        <v>1</v>
      </c>
      <c r="O140" s="15">
        <f t="shared" si="36"/>
        <v>17.19351</v>
      </c>
      <c r="P140" s="15">
        <f t="shared" si="37"/>
        <v>0</v>
      </c>
      <c r="Q140" s="14" t="str">
        <f>IF(M140&gt;=I140*'Hoja 4 - Cálculo'!$B$16,"Satisfactorio","Falla")</f>
        <v>Satisfactorio</v>
      </c>
      <c r="R140" s="14">
        <f t="shared" si="30"/>
        <v>0</v>
      </c>
      <c r="S140" s="14">
        <f t="shared" si="31"/>
        <v>0</v>
      </c>
    </row>
    <row r="141" spans="1:19">
      <c r="A141" s="14" t="str">
        <f t="shared" si="28"/>
        <v>SRY-1-2</v>
      </c>
      <c r="B141" s="15">
        <f>'Curvas SRY'!$B$8</f>
        <v>1</v>
      </c>
      <c r="C141" s="15">
        <f>'Curvas SRY'!$E$9</f>
        <v>1</v>
      </c>
      <c r="D141" s="14" t="str">
        <f>'Curvas SRY'!$B$14</f>
        <v>Uso variable</v>
      </c>
      <c r="E141" s="14">
        <f>18</f>
        <v>18</v>
      </c>
      <c r="F141" s="21">
        <f>'Hoja 4 - Cálculo'!A42</f>
        <v>30103</v>
      </c>
      <c r="G141" s="15">
        <f>'Hoja 4 - Cálculo'!H42</f>
        <v>18.321750000000002</v>
      </c>
      <c r="H141" s="15">
        <f>IF(D141="Uso único",'Hoja 4 - Cálculo'!I42,IF(D141="Uso múltiple",AVERAGE('Hoja 4 - Cálculo'!$I$25:$I$384)+AVERAGE('Hoja 4 - Cálculo'!$J$25:$J$384)+AVERAGE('Hoja 4 - Cálculo'!$K$25:$K$384),IF(D141="Uso prioritario",'Hoja 4 - Cálculo'!I42+'Hoja 4 - Cálculo'!K42,'Hoja 4 - Cálculo'!I42+'Hoja 4 - Cálculo'!J42+'Hoja 4 - Cálculo'!K42)))</f>
        <v>11.5</v>
      </c>
      <c r="I141" s="15">
        <f t="shared" si="32"/>
        <v>11.5</v>
      </c>
      <c r="J141" s="15">
        <f t="shared" si="29"/>
        <v>1</v>
      </c>
      <c r="K141" s="15">
        <f>MIN(J141+G141,(J141+G141)*'Hoja 4 - Cálculo'!$B$15)</f>
        <v>0.38643500000000003</v>
      </c>
      <c r="L141" s="15">
        <f t="shared" si="33"/>
        <v>18.935315000000003</v>
      </c>
      <c r="M141" s="15">
        <f t="shared" si="34"/>
        <v>11.5</v>
      </c>
      <c r="N141" s="15">
        <f t="shared" si="35"/>
        <v>1</v>
      </c>
      <c r="O141" s="15">
        <f t="shared" si="36"/>
        <v>6.4353150000000028</v>
      </c>
      <c r="P141" s="15">
        <f t="shared" si="37"/>
        <v>0</v>
      </c>
      <c r="Q141" s="14" t="str">
        <f>IF(M141&gt;=I141*'Hoja 4 - Cálculo'!$B$16,"Satisfactorio","Falla")</f>
        <v>Satisfactorio</v>
      </c>
      <c r="R141" s="14">
        <f t="shared" si="30"/>
        <v>0</v>
      </c>
      <c r="S141" s="14">
        <f t="shared" si="31"/>
        <v>0</v>
      </c>
    </row>
    <row r="142" spans="1:19">
      <c r="A142" s="14" t="str">
        <f t="shared" si="28"/>
        <v>SRY-1-2</v>
      </c>
      <c r="B142" s="15">
        <f>'Curvas SRY'!$B$8</f>
        <v>1</v>
      </c>
      <c r="C142" s="15">
        <f>'Curvas SRY'!$E$9</f>
        <v>1</v>
      </c>
      <c r="D142" s="14" t="str">
        <f>'Curvas SRY'!$B$14</f>
        <v>Uso variable</v>
      </c>
      <c r="E142" s="14">
        <f>19</f>
        <v>19</v>
      </c>
      <c r="F142" s="21">
        <f>'Hoja 4 - Cálculo'!A43</f>
        <v>30133</v>
      </c>
      <c r="G142" s="15">
        <f>'Hoja 4 - Cálculo'!H43</f>
        <v>15.3765</v>
      </c>
      <c r="H142" s="15">
        <f>IF(D142="Uso único",'Hoja 4 - Cálculo'!I43,IF(D142="Uso múltiple",AVERAGE('Hoja 4 - Cálculo'!$I$25:$I$384)+AVERAGE('Hoja 4 - Cálculo'!$J$25:$J$384)+AVERAGE('Hoja 4 - Cálculo'!$K$25:$K$384),IF(D142="Uso prioritario",'Hoja 4 - Cálculo'!I43+'Hoja 4 - Cálculo'!K43,'Hoja 4 - Cálculo'!I43+'Hoja 4 - Cálculo'!J43+'Hoja 4 - Cálculo'!K43)))</f>
        <v>16</v>
      </c>
      <c r="I142" s="15">
        <f t="shared" si="32"/>
        <v>16</v>
      </c>
      <c r="J142" s="15">
        <f t="shared" si="29"/>
        <v>1</v>
      </c>
      <c r="K142" s="15">
        <f>MIN(J142+G142,(J142+G142)*'Hoja 4 - Cálculo'!$B$15)</f>
        <v>0.32752999999999999</v>
      </c>
      <c r="L142" s="15">
        <f t="shared" si="33"/>
        <v>16.048970000000001</v>
      </c>
      <c r="M142" s="15">
        <f t="shared" si="34"/>
        <v>16</v>
      </c>
      <c r="N142" s="15">
        <f t="shared" si="35"/>
        <v>4.8970000000000624E-2</v>
      </c>
      <c r="O142" s="15">
        <f t="shared" si="36"/>
        <v>0</v>
      </c>
      <c r="P142" s="15">
        <f t="shared" si="37"/>
        <v>0</v>
      </c>
      <c r="Q142" s="14" t="str">
        <f>IF(M142&gt;=I142*'Hoja 4 - Cálculo'!$B$16,"Satisfactorio","Falla")</f>
        <v>Satisfactorio</v>
      </c>
      <c r="R142" s="14">
        <f t="shared" si="30"/>
        <v>0</v>
      </c>
      <c r="S142" s="14">
        <f t="shared" si="31"/>
        <v>0</v>
      </c>
    </row>
    <row r="143" spans="1:19">
      <c r="A143" s="14" t="str">
        <f t="shared" si="28"/>
        <v>SRY-1-2</v>
      </c>
      <c r="B143" s="15">
        <f>'Curvas SRY'!$B$8</f>
        <v>1</v>
      </c>
      <c r="C143" s="15">
        <f>'Curvas SRY'!$E$9</f>
        <v>1</v>
      </c>
      <c r="D143" s="14" t="str">
        <f>'Curvas SRY'!$B$14</f>
        <v>Uso variable</v>
      </c>
      <c r="E143" s="14">
        <f>20</f>
        <v>20</v>
      </c>
      <c r="F143" s="21">
        <f>'Hoja 4 - Cálculo'!A44</f>
        <v>30164</v>
      </c>
      <c r="G143" s="15">
        <f>'Hoja 4 - Cálculo'!H44</f>
        <v>16.466625000000001</v>
      </c>
      <c r="H143" s="15">
        <f>IF(D143="Uso único",'Hoja 4 - Cálculo'!I44,IF(D143="Uso múltiple",AVERAGE('Hoja 4 - Cálculo'!$I$25:$I$384)+AVERAGE('Hoja 4 - Cálculo'!$J$25:$J$384)+AVERAGE('Hoja 4 - Cálculo'!$K$25:$K$384),IF(D143="Uso prioritario",'Hoja 4 - Cálculo'!I44+'Hoja 4 - Cálculo'!K44,'Hoja 4 - Cálculo'!I44+'Hoja 4 - Cálculo'!J44+'Hoja 4 - Cálculo'!K44)))</f>
        <v>16</v>
      </c>
      <c r="I143" s="15">
        <f t="shared" si="32"/>
        <v>16</v>
      </c>
      <c r="J143" s="15">
        <f t="shared" si="29"/>
        <v>4.8970000000000624E-2</v>
      </c>
      <c r="K143" s="15">
        <f>MIN(J143+G143,(J143+G143)*'Hoja 4 - Cálculo'!$B$15)</f>
        <v>0.33031190000000005</v>
      </c>
      <c r="L143" s="15">
        <f t="shared" si="33"/>
        <v>16.185283099999999</v>
      </c>
      <c r="M143" s="15">
        <f t="shared" si="34"/>
        <v>16</v>
      </c>
      <c r="N143" s="15">
        <f t="shared" si="35"/>
        <v>0.18528309999999948</v>
      </c>
      <c r="O143" s="15">
        <f t="shared" si="36"/>
        <v>0</v>
      </c>
      <c r="P143" s="15">
        <f t="shared" si="37"/>
        <v>0</v>
      </c>
      <c r="Q143" s="14" t="str">
        <f>IF(M143&gt;=I143*'Hoja 4 - Cálculo'!$B$16,"Satisfactorio","Falla")</f>
        <v>Satisfactorio</v>
      </c>
      <c r="R143" s="14">
        <f t="shared" si="30"/>
        <v>0</v>
      </c>
      <c r="S143" s="14">
        <f t="shared" si="31"/>
        <v>0</v>
      </c>
    </row>
    <row r="144" spans="1:19">
      <c r="A144" s="14" t="str">
        <f t="shared" si="28"/>
        <v>SRY-1-2</v>
      </c>
      <c r="B144" s="15">
        <f>'Curvas SRY'!$B$8</f>
        <v>1</v>
      </c>
      <c r="C144" s="15">
        <f>'Curvas SRY'!$E$9</f>
        <v>1</v>
      </c>
      <c r="D144" s="14" t="str">
        <f>'Curvas SRY'!$B$14</f>
        <v>Uso variable</v>
      </c>
      <c r="E144" s="14">
        <f>21</f>
        <v>21</v>
      </c>
      <c r="F144" s="21">
        <f>'Hoja 4 - Cálculo'!A45</f>
        <v>30195</v>
      </c>
      <c r="G144" s="15">
        <f>'Hoja 4 - Cálculo'!H45</f>
        <v>25.837875</v>
      </c>
      <c r="H144" s="15">
        <f>IF(D144="Uso único",'Hoja 4 - Cálculo'!I45,IF(D144="Uso múltiple",AVERAGE('Hoja 4 - Cálculo'!$I$25:$I$384)+AVERAGE('Hoja 4 - Cálculo'!$J$25:$J$384)+AVERAGE('Hoja 4 - Cálculo'!$K$25:$K$384),IF(D144="Uso prioritario",'Hoja 4 - Cálculo'!I45+'Hoja 4 - Cálculo'!K45,'Hoja 4 - Cálculo'!I45+'Hoja 4 - Cálculo'!J45+'Hoja 4 - Cálculo'!K45)))</f>
        <v>11.5</v>
      </c>
      <c r="I144" s="15">
        <f t="shared" si="32"/>
        <v>11.5</v>
      </c>
      <c r="J144" s="15">
        <f t="shared" si="29"/>
        <v>0.18528309999999948</v>
      </c>
      <c r="K144" s="15">
        <f>MIN(J144+G144,(J144+G144)*'Hoja 4 - Cálculo'!$B$15)</f>
        <v>0.52046316199999998</v>
      </c>
      <c r="L144" s="15">
        <f t="shared" si="33"/>
        <v>25.502694938000001</v>
      </c>
      <c r="M144" s="15">
        <f t="shared" si="34"/>
        <v>11.5</v>
      </c>
      <c r="N144" s="15">
        <f t="shared" si="35"/>
        <v>1</v>
      </c>
      <c r="O144" s="15">
        <f t="shared" si="36"/>
        <v>13.002694938000001</v>
      </c>
      <c r="P144" s="15">
        <f t="shared" si="37"/>
        <v>0</v>
      </c>
      <c r="Q144" s="14" t="str">
        <f>IF(M144&gt;=I144*'Hoja 4 - Cálculo'!$B$16,"Satisfactorio","Falla")</f>
        <v>Satisfactorio</v>
      </c>
      <c r="R144" s="14">
        <f t="shared" si="30"/>
        <v>0</v>
      </c>
      <c r="S144" s="14">
        <f t="shared" si="31"/>
        <v>0</v>
      </c>
    </row>
    <row r="145" spans="1:19">
      <c r="A145" s="14" t="str">
        <f t="shared" si="28"/>
        <v>SRY-1-2</v>
      </c>
      <c r="B145" s="15">
        <f>'Curvas SRY'!$B$8</f>
        <v>1</v>
      </c>
      <c r="C145" s="15">
        <f>'Curvas SRY'!$E$9</f>
        <v>1</v>
      </c>
      <c r="D145" s="14" t="str">
        <f>'Curvas SRY'!$B$14</f>
        <v>Uso variable</v>
      </c>
      <c r="E145" s="14">
        <f>22</f>
        <v>22</v>
      </c>
      <c r="F145" s="21">
        <f>'Hoja 4 - Cálculo'!A46</f>
        <v>30225</v>
      </c>
      <c r="G145" s="15">
        <f>'Hoja 4 - Cálculo'!H46</f>
        <v>33.46875</v>
      </c>
      <c r="H145" s="15">
        <f>IF(D145="Uso único",'Hoja 4 - Cálculo'!I46,IF(D145="Uso múltiple",AVERAGE('Hoja 4 - Cálculo'!$I$25:$I$384)+AVERAGE('Hoja 4 - Cálculo'!$J$25:$J$384)+AVERAGE('Hoja 4 - Cálculo'!$K$25:$K$384),IF(D145="Uso prioritario",'Hoja 4 - Cálculo'!I46+'Hoja 4 - Cálculo'!K46,'Hoja 4 - Cálculo'!I46+'Hoja 4 - Cálculo'!J46+'Hoja 4 - Cálculo'!K46)))</f>
        <v>11.5</v>
      </c>
      <c r="I145" s="15">
        <f t="shared" si="32"/>
        <v>11.5</v>
      </c>
      <c r="J145" s="15">
        <f t="shared" si="29"/>
        <v>1</v>
      </c>
      <c r="K145" s="15">
        <f>MIN(J145+G145,(J145+G145)*'Hoja 4 - Cálculo'!$B$15)</f>
        <v>0.68937499999999996</v>
      </c>
      <c r="L145" s="15">
        <f t="shared" si="33"/>
        <v>33.779375000000002</v>
      </c>
      <c r="M145" s="15">
        <f t="shared" si="34"/>
        <v>11.5</v>
      </c>
      <c r="N145" s="15">
        <f t="shared" si="35"/>
        <v>1</v>
      </c>
      <c r="O145" s="15">
        <f t="shared" si="36"/>
        <v>21.279375000000002</v>
      </c>
      <c r="P145" s="15">
        <f t="shared" si="37"/>
        <v>0</v>
      </c>
      <c r="Q145" s="14" t="str">
        <f>IF(M145&gt;=I145*'Hoja 4 - Cálculo'!$B$16,"Satisfactorio","Falla")</f>
        <v>Satisfactorio</v>
      </c>
      <c r="R145" s="14">
        <f t="shared" si="30"/>
        <v>0</v>
      </c>
      <c r="S145" s="14">
        <f t="shared" si="31"/>
        <v>0</v>
      </c>
    </row>
    <row r="146" spans="1:19">
      <c r="A146" s="14" t="str">
        <f t="shared" si="28"/>
        <v>SRY-1-2</v>
      </c>
      <c r="B146" s="15">
        <f>'Curvas SRY'!$B$8</f>
        <v>1</v>
      </c>
      <c r="C146" s="15">
        <f>'Curvas SRY'!$E$9</f>
        <v>1</v>
      </c>
      <c r="D146" s="14" t="str">
        <f>'Curvas SRY'!$B$14</f>
        <v>Uso variable</v>
      </c>
      <c r="E146" s="14">
        <f>23</f>
        <v>23</v>
      </c>
      <c r="F146" s="21">
        <f>'Hoja 4 - Cálculo'!A47</f>
        <v>30256</v>
      </c>
      <c r="G146" s="15">
        <f>'Hoja 4 - Cálculo'!H47</f>
        <v>27.578250000000001</v>
      </c>
      <c r="H146" s="15">
        <f>IF(D146="Uso único",'Hoja 4 - Cálculo'!I47,IF(D146="Uso múltiple",AVERAGE('Hoja 4 - Cálculo'!$I$25:$I$384)+AVERAGE('Hoja 4 - Cálculo'!$J$25:$J$384)+AVERAGE('Hoja 4 - Cálculo'!$K$25:$K$384),IF(D146="Uso prioritario",'Hoja 4 - Cálculo'!I47+'Hoja 4 - Cálculo'!K47,'Hoja 4 - Cálculo'!I47+'Hoja 4 - Cálculo'!J47+'Hoja 4 - Cálculo'!K47)))</f>
        <v>11.5</v>
      </c>
      <c r="I146" s="15">
        <f t="shared" si="32"/>
        <v>11.5</v>
      </c>
      <c r="J146" s="15">
        <f t="shared" si="29"/>
        <v>1</v>
      </c>
      <c r="K146" s="15">
        <f>MIN(J146+G146,(J146+G146)*'Hoja 4 - Cálculo'!$B$15)</f>
        <v>0.57156499999999999</v>
      </c>
      <c r="L146" s="15">
        <f t="shared" si="33"/>
        <v>28.006685000000001</v>
      </c>
      <c r="M146" s="15">
        <f t="shared" si="34"/>
        <v>11.5</v>
      </c>
      <c r="N146" s="15">
        <f t="shared" si="35"/>
        <v>1</v>
      </c>
      <c r="O146" s="15">
        <f t="shared" si="36"/>
        <v>15.506685000000001</v>
      </c>
      <c r="P146" s="15">
        <f t="shared" si="37"/>
        <v>0</v>
      </c>
      <c r="Q146" s="14" t="str">
        <f>IF(M146&gt;=I146*'Hoja 4 - Cálculo'!$B$16,"Satisfactorio","Falla")</f>
        <v>Satisfactorio</v>
      </c>
      <c r="R146" s="14">
        <f t="shared" si="30"/>
        <v>0</v>
      </c>
      <c r="S146" s="14">
        <f t="shared" si="31"/>
        <v>0</v>
      </c>
    </row>
    <row r="147" spans="1:19">
      <c r="A147" s="14" t="str">
        <f t="shared" si="28"/>
        <v>SRY-1-2</v>
      </c>
      <c r="B147" s="15">
        <f>'Curvas SRY'!$B$8</f>
        <v>1</v>
      </c>
      <c r="C147" s="15">
        <f>'Curvas SRY'!$E$9</f>
        <v>1</v>
      </c>
      <c r="D147" s="14" t="str">
        <f>'Curvas SRY'!$B$14</f>
        <v>Uso variable</v>
      </c>
      <c r="E147" s="14">
        <f>24</f>
        <v>24</v>
      </c>
      <c r="F147" s="21">
        <f>'Hoja 4 - Cálculo'!A48</f>
        <v>30286</v>
      </c>
      <c r="G147" s="15">
        <f>'Hoja 4 - Cálculo'!H48</f>
        <v>16.256250000000001</v>
      </c>
      <c r="H147" s="15">
        <f>IF(D147="Uso único",'Hoja 4 - Cálculo'!I48,IF(D147="Uso múltiple",AVERAGE('Hoja 4 - Cálculo'!$I$25:$I$384)+AVERAGE('Hoja 4 - Cálculo'!$J$25:$J$384)+AVERAGE('Hoja 4 - Cálculo'!$K$25:$K$384),IF(D147="Uso prioritario",'Hoja 4 - Cálculo'!I48+'Hoja 4 - Cálculo'!K48,'Hoja 4 - Cálculo'!I48+'Hoja 4 - Cálculo'!J48+'Hoja 4 - Cálculo'!K48)))</f>
        <v>16</v>
      </c>
      <c r="I147" s="15">
        <f t="shared" si="32"/>
        <v>16</v>
      </c>
      <c r="J147" s="15">
        <f t="shared" si="29"/>
        <v>1</v>
      </c>
      <c r="K147" s="15">
        <f>MIN(J147+G147,(J147+G147)*'Hoja 4 - Cálculo'!$B$15)</f>
        <v>0.34512500000000002</v>
      </c>
      <c r="L147" s="15">
        <f t="shared" si="33"/>
        <v>16.911125000000002</v>
      </c>
      <c r="M147" s="15">
        <f t="shared" si="34"/>
        <v>16</v>
      </c>
      <c r="N147" s="15">
        <f t="shared" si="35"/>
        <v>0.91112500000000196</v>
      </c>
      <c r="O147" s="15">
        <f t="shared" si="36"/>
        <v>0</v>
      </c>
      <c r="P147" s="15">
        <f t="shared" si="37"/>
        <v>0</v>
      </c>
      <c r="Q147" s="14" t="str">
        <f>IF(M147&gt;=I147*'Hoja 4 - Cálculo'!$B$16,"Satisfactorio","Falla")</f>
        <v>Satisfactorio</v>
      </c>
      <c r="R147" s="14">
        <f t="shared" si="30"/>
        <v>0</v>
      </c>
      <c r="S147" s="14">
        <f t="shared" si="31"/>
        <v>0</v>
      </c>
    </row>
    <row r="148" spans="1:19">
      <c r="A148" s="14" t="str">
        <f t="shared" si="28"/>
        <v>SRY-1-2</v>
      </c>
      <c r="B148" s="15">
        <f>'Curvas SRY'!$B$8</f>
        <v>1</v>
      </c>
      <c r="C148" s="15">
        <f>'Curvas SRY'!$E$9</f>
        <v>1</v>
      </c>
      <c r="D148" s="14" t="str">
        <f>'Curvas SRY'!$B$14</f>
        <v>Uso variable</v>
      </c>
      <c r="E148" s="14">
        <f>25</f>
        <v>25</v>
      </c>
      <c r="F148" s="21">
        <f>'Hoja 4 - Cálculo'!A49</f>
        <v>30317</v>
      </c>
      <c r="G148" s="15">
        <f>'Hoja 4 - Cálculo'!H49</f>
        <v>12.775499999999999</v>
      </c>
      <c r="H148" s="15">
        <f>IF(D148="Uso único",'Hoja 4 - Cálculo'!I49,IF(D148="Uso múltiple",AVERAGE('Hoja 4 - Cálculo'!$I$25:$I$384)+AVERAGE('Hoja 4 - Cálculo'!$J$25:$J$384)+AVERAGE('Hoja 4 - Cálculo'!$K$25:$K$384),IF(D148="Uso prioritario",'Hoja 4 - Cálculo'!I49+'Hoja 4 - Cálculo'!K49,'Hoja 4 - Cálculo'!I49+'Hoja 4 - Cálculo'!J49+'Hoja 4 - Cálculo'!K49)))</f>
        <v>16</v>
      </c>
      <c r="I148" s="15">
        <f t="shared" si="32"/>
        <v>16</v>
      </c>
      <c r="J148" s="15">
        <f t="shared" si="29"/>
        <v>0.91112500000000196</v>
      </c>
      <c r="K148" s="15">
        <f>MIN(J148+G148,(J148+G148)*'Hoja 4 - Cálculo'!$B$15)</f>
        <v>0.27373250000000005</v>
      </c>
      <c r="L148" s="15">
        <f t="shared" si="33"/>
        <v>13.412892500000002</v>
      </c>
      <c r="M148" s="15">
        <f t="shared" si="34"/>
        <v>13.412892500000002</v>
      </c>
      <c r="N148" s="15">
        <f t="shared" si="35"/>
        <v>0</v>
      </c>
      <c r="O148" s="15">
        <f t="shared" si="36"/>
        <v>0</v>
      </c>
      <c r="P148" s="15">
        <f t="shared" si="37"/>
        <v>2.5871074999999983</v>
      </c>
      <c r="Q148" s="14" t="str">
        <f>IF(M148&gt;=I148*'Hoja 4 - Cálculo'!$B$16,"Satisfactorio","Falla")</f>
        <v>Falla</v>
      </c>
      <c r="R148" s="14">
        <f t="shared" si="30"/>
        <v>0</v>
      </c>
      <c r="S148" s="14">
        <f t="shared" si="31"/>
        <v>1</v>
      </c>
    </row>
    <row r="149" spans="1:19">
      <c r="A149" s="14" t="str">
        <f t="shared" si="28"/>
        <v>SRY-1-2</v>
      </c>
      <c r="B149" s="15">
        <f>'Curvas SRY'!$B$8</f>
        <v>1</v>
      </c>
      <c r="C149" s="15">
        <f>'Curvas SRY'!$E$9</f>
        <v>1</v>
      </c>
      <c r="D149" s="14" t="str">
        <f>'Curvas SRY'!$B$14</f>
        <v>Uso variable</v>
      </c>
      <c r="E149" s="14">
        <f>26</f>
        <v>26</v>
      </c>
      <c r="F149" s="21">
        <f>'Hoja 4 - Cálculo'!A50</f>
        <v>30348</v>
      </c>
      <c r="G149" s="15">
        <f>'Hoja 4 - Cálculo'!H50</f>
        <v>14.49675</v>
      </c>
      <c r="H149" s="15">
        <f>IF(D149="Uso único",'Hoja 4 - Cálculo'!I50,IF(D149="Uso múltiple",AVERAGE('Hoja 4 - Cálculo'!$I$25:$I$384)+AVERAGE('Hoja 4 - Cálculo'!$J$25:$J$384)+AVERAGE('Hoja 4 - Cálculo'!$K$25:$K$384),IF(D149="Uso prioritario",'Hoja 4 - Cálculo'!I50+'Hoja 4 - Cálculo'!K50,'Hoja 4 - Cálculo'!I50+'Hoja 4 - Cálculo'!J50+'Hoja 4 - Cálculo'!K50)))</f>
        <v>16</v>
      </c>
      <c r="I149" s="15">
        <f t="shared" si="32"/>
        <v>16</v>
      </c>
      <c r="J149" s="15">
        <f t="shared" si="29"/>
        <v>0</v>
      </c>
      <c r="K149" s="15">
        <f>MIN(J149+G149,(J149+G149)*'Hoja 4 - Cálculo'!$B$15)</f>
        <v>0.289935</v>
      </c>
      <c r="L149" s="15">
        <f t="shared" si="33"/>
        <v>14.206815000000001</v>
      </c>
      <c r="M149" s="15">
        <f t="shared" si="34"/>
        <v>14.206815000000001</v>
      </c>
      <c r="N149" s="15">
        <f t="shared" si="35"/>
        <v>0</v>
      </c>
      <c r="O149" s="15">
        <f t="shared" si="36"/>
        <v>0</v>
      </c>
      <c r="P149" s="15">
        <f t="shared" si="37"/>
        <v>1.7931849999999994</v>
      </c>
      <c r="Q149" s="14" t="str">
        <f>IF(M149&gt;=I149*'Hoja 4 - Cálculo'!$B$16,"Satisfactorio","Falla")</f>
        <v>Falla</v>
      </c>
      <c r="R149" s="14">
        <f t="shared" si="30"/>
        <v>0</v>
      </c>
      <c r="S149" s="14">
        <f t="shared" si="31"/>
        <v>0</v>
      </c>
    </row>
    <row r="150" spans="1:19">
      <c r="A150" s="14" t="str">
        <f t="shared" si="28"/>
        <v>SRY-1-2</v>
      </c>
      <c r="B150" s="15">
        <f>'Curvas SRY'!$B$8</f>
        <v>1</v>
      </c>
      <c r="C150" s="15">
        <f>'Curvas SRY'!$E$9</f>
        <v>1</v>
      </c>
      <c r="D150" s="14" t="str">
        <f>'Curvas SRY'!$B$14</f>
        <v>Uso variable</v>
      </c>
      <c r="E150" s="14">
        <f>27</f>
        <v>27</v>
      </c>
      <c r="F150" s="21">
        <f>'Hoja 4 - Cálculo'!A51</f>
        <v>30376</v>
      </c>
      <c r="G150" s="15">
        <f>'Hoja 4 - Cálculo'!H51</f>
        <v>21.936375000000002</v>
      </c>
      <c r="H150" s="15">
        <f>IF(D150="Uso único",'Hoja 4 - Cálculo'!I51,IF(D150="Uso múltiple",AVERAGE('Hoja 4 - Cálculo'!$I$25:$I$384)+AVERAGE('Hoja 4 - Cálculo'!$J$25:$J$384)+AVERAGE('Hoja 4 - Cálculo'!$K$25:$K$384),IF(D150="Uso prioritario",'Hoja 4 - Cálculo'!I51+'Hoja 4 - Cálculo'!K51,'Hoja 4 - Cálculo'!I51+'Hoja 4 - Cálculo'!J51+'Hoja 4 - Cálculo'!K51)))</f>
        <v>16</v>
      </c>
      <c r="I150" s="15">
        <f t="shared" si="32"/>
        <v>16</v>
      </c>
      <c r="J150" s="15">
        <f t="shared" si="29"/>
        <v>0</v>
      </c>
      <c r="K150" s="15">
        <f>MIN(J150+G150,(J150+G150)*'Hoja 4 - Cálculo'!$B$15)</f>
        <v>0.43872750000000005</v>
      </c>
      <c r="L150" s="15">
        <f t="shared" si="33"/>
        <v>21.497647500000003</v>
      </c>
      <c r="M150" s="15">
        <f t="shared" si="34"/>
        <v>16</v>
      </c>
      <c r="N150" s="15">
        <f t="shared" si="35"/>
        <v>1</v>
      </c>
      <c r="O150" s="15">
        <f t="shared" si="36"/>
        <v>4.4976475000000029</v>
      </c>
      <c r="P150" s="15">
        <f t="shared" si="37"/>
        <v>0</v>
      </c>
      <c r="Q150" s="14" t="str">
        <f>IF(M150&gt;=I150*'Hoja 4 - Cálculo'!$B$16,"Satisfactorio","Falla")</f>
        <v>Satisfactorio</v>
      </c>
      <c r="R150" s="14">
        <f t="shared" si="30"/>
        <v>1</v>
      </c>
      <c r="S150" s="14">
        <f t="shared" si="31"/>
        <v>0</v>
      </c>
    </row>
    <row r="151" spans="1:19">
      <c r="A151" s="14" t="str">
        <f t="shared" si="28"/>
        <v>SRY-1-2</v>
      </c>
      <c r="B151" s="15">
        <f>'Curvas SRY'!$B$8</f>
        <v>1</v>
      </c>
      <c r="C151" s="15">
        <f>'Curvas SRY'!$E$9</f>
        <v>1</v>
      </c>
      <c r="D151" s="14" t="str">
        <f>'Curvas SRY'!$B$14</f>
        <v>Uso variable</v>
      </c>
      <c r="E151" s="14">
        <f>28</f>
        <v>28</v>
      </c>
      <c r="F151" s="21">
        <f>'Hoja 4 - Cálculo'!A52</f>
        <v>30407</v>
      </c>
      <c r="G151" s="15">
        <f>'Hoja 4 - Cálculo'!H52</f>
        <v>32.263874999999999</v>
      </c>
      <c r="H151" s="15">
        <f>IF(D151="Uso único",'Hoja 4 - Cálculo'!I52,IF(D151="Uso múltiple",AVERAGE('Hoja 4 - Cálculo'!$I$25:$I$384)+AVERAGE('Hoja 4 - Cálculo'!$J$25:$J$384)+AVERAGE('Hoja 4 - Cálculo'!$K$25:$K$384),IF(D151="Uso prioritario",'Hoja 4 - Cálculo'!I52+'Hoja 4 - Cálculo'!K52,'Hoja 4 - Cálculo'!I52+'Hoja 4 - Cálculo'!J52+'Hoja 4 - Cálculo'!K52)))</f>
        <v>11.5</v>
      </c>
      <c r="I151" s="15">
        <f t="shared" si="32"/>
        <v>11.5</v>
      </c>
      <c r="J151" s="15">
        <f t="shared" si="29"/>
        <v>1</v>
      </c>
      <c r="K151" s="15">
        <f>MIN(J151+G151,(J151+G151)*'Hoja 4 - Cálculo'!$B$15)</f>
        <v>0.66527749999999997</v>
      </c>
      <c r="L151" s="15">
        <f t="shared" si="33"/>
        <v>32.598597499999997</v>
      </c>
      <c r="M151" s="15">
        <f t="shared" si="34"/>
        <v>11.5</v>
      </c>
      <c r="N151" s="15">
        <f t="shared" si="35"/>
        <v>1</v>
      </c>
      <c r="O151" s="15">
        <f t="shared" si="36"/>
        <v>20.098597499999997</v>
      </c>
      <c r="P151" s="15">
        <f t="shared" si="37"/>
        <v>0</v>
      </c>
      <c r="Q151" s="14" t="str">
        <f>IF(M151&gt;=I151*'Hoja 4 - Cálculo'!$B$16,"Satisfactorio","Falla")</f>
        <v>Satisfactorio</v>
      </c>
      <c r="R151" s="14">
        <f t="shared" si="30"/>
        <v>0</v>
      </c>
      <c r="S151" s="14">
        <f t="shared" si="31"/>
        <v>0</v>
      </c>
    </row>
    <row r="152" spans="1:19">
      <c r="A152" s="14" t="str">
        <f t="shared" si="28"/>
        <v>SRY-1-2</v>
      </c>
      <c r="B152" s="15">
        <f>'Curvas SRY'!$B$8</f>
        <v>1</v>
      </c>
      <c r="C152" s="15">
        <f>'Curvas SRY'!$E$9</f>
        <v>1</v>
      </c>
      <c r="D152" s="14" t="str">
        <f>'Curvas SRY'!$B$14</f>
        <v>Uso variable</v>
      </c>
      <c r="E152" s="14">
        <f>29</f>
        <v>29</v>
      </c>
      <c r="F152" s="21">
        <f>'Hoja 4 - Cálculo'!A53</f>
        <v>30437</v>
      </c>
      <c r="G152" s="15">
        <f>'Hoja 4 - Cálculo'!H53</f>
        <v>29.356874999999999</v>
      </c>
      <c r="H152" s="15">
        <f>IF(D152="Uso único",'Hoja 4 - Cálculo'!I53,IF(D152="Uso múltiple",AVERAGE('Hoja 4 - Cálculo'!$I$25:$I$384)+AVERAGE('Hoja 4 - Cálculo'!$J$25:$J$384)+AVERAGE('Hoja 4 - Cálculo'!$K$25:$K$384),IF(D152="Uso prioritario",'Hoja 4 - Cálculo'!I53+'Hoja 4 - Cálculo'!K53,'Hoja 4 - Cálculo'!I53+'Hoja 4 - Cálculo'!J53+'Hoja 4 - Cálculo'!K53)))</f>
        <v>11.5</v>
      </c>
      <c r="I152" s="15">
        <f t="shared" si="32"/>
        <v>11.5</v>
      </c>
      <c r="J152" s="15">
        <f t="shared" si="29"/>
        <v>1</v>
      </c>
      <c r="K152" s="15">
        <f>MIN(J152+G152,(J152+G152)*'Hoja 4 - Cálculo'!$B$15)</f>
        <v>0.6071375</v>
      </c>
      <c r="L152" s="15">
        <f t="shared" si="33"/>
        <v>29.749737499999998</v>
      </c>
      <c r="M152" s="15">
        <f t="shared" si="34"/>
        <v>11.5</v>
      </c>
      <c r="N152" s="15">
        <f t="shared" si="35"/>
        <v>1</v>
      </c>
      <c r="O152" s="15">
        <f t="shared" si="36"/>
        <v>17.249737499999998</v>
      </c>
      <c r="P152" s="15">
        <f t="shared" si="37"/>
        <v>0</v>
      </c>
      <c r="Q152" s="14" t="str">
        <f>IF(M152&gt;=I152*'Hoja 4 - Cálculo'!$B$16,"Satisfactorio","Falla")</f>
        <v>Satisfactorio</v>
      </c>
      <c r="R152" s="14">
        <f t="shared" si="30"/>
        <v>0</v>
      </c>
      <c r="S152" s="14">
        <f t="shared" si="31"/>
        <v>0</v>
      </c>
    </row>
    <row r="153" spans="1:19">
      <c r="A153" s="14" t="str">
        <f t="shared" si="28"/>
        <v>SRY-1-2</v>
      </c>
      <c r="B153" s="15">
        <f>'Curvas SRY'!$B$8</f>
        <v>1</v>
      </c>
      <c r="C153" s="15">
        <f>'Curvas SRY'!$E$9</f>
        <v>1</v>
      </c>
      <c r="D153" s="14" t="str">
        <f>'Curvas SRY'!$B$14</f>
        <v>Uso variable</v>
      </c>
      <c r="E153" s="14">
        <f>30</f>
        <v>30</v>
      </c>
      <c r="F153" s="21">
        <f>'Hoja 4 - Cálculo'!A54</f>
        <v>30468</v>
      </c>
      <c r="G153" s="15">
        <f>'Hoja 4 - Cálculo'!H54</f>
        <v>17.212499999999999</v>
      </c>
      <c r="H153" s="15">
        <f>IF(D153="Uso único",'Hoja 4 - Cálculo'!I54,IF(D153="Uso múltiple",AVERAGE('Hoja 4 - Cálculo'!$I$25:$I$384)+AVERAGE('Hoja 4 - Cálculo'!$J$25:$J$384)+AVERAGE('Hoja 4 - Cálculo'!$K$25:$K$384),IF(D153="Uso prioritario",'Hoja 4 - Cálculo'!I54+'Hoja 4 - Cálculo'!K54,'Hoja 4 - Cálculo'!I54+'Hoja 4 - Cálculo'!J54+'Hoja 4 - Cálculo'!K54)))</f>
        <v>11.5</v>
      </c>
      <c r="I153" s="15">
        <f t="shared" si="32"/>
        <v>11.5</v>
      </c>
      <c r="J153" s="15">
        <f t="shared" si="29"/>
        <v>1</v>
      </c>
      <c r="K153" s="15">
        <f>MIN(J153+G153,(J153+G153)*'Hoja 4 - Cálculo'!$B$15)</f>
        <v>0.36424999999999996</v>
      </c>
      <c r="L153" s="15">
        <f t="shared" si="33"/>
        <v>17.84825</v>
      </c>
      <c r="M153" s="15">
        <f t="shared" si="34"/>
        <v>11.5</v>
      </c>
      <c r="N153" s="15">
        <f t="shared" si="35"/>
        <v>1</v>
      </c>
      <c r="O153" s="15">
        <f t="shared" si="36"/>
        <v>5.3482500000000002</v>
      </c>
      <c r="P153" s="15">
        <f t="shared" si="37"/>
        <v>0</v>
      </c>
      <c r="Q153" s="14" t="str">
        <f>IF(M153&gt;=I153*'Hoja 4 - Cálculo'!$B$16,"Satisfactorio","Falla")</f>
        <v>Satisfactorio</v>
      </c>
      <c r="R153" s="14">
        <f t="shared" si="30"/>
        <v>0</v>
      </c>
      <c r="S153" s="14">
        <f t="shared" si="31"/>
        <v>0</v>
      </c>
    </row>
    <row r="154" spans="1:19">
      <c r="A154" s="14" t="str">
        <f t="shared" si="28"/>
        <v>SRY-1-2</v>
      </c>
      <c r="B154" s="15">
        <f>'Curvas SRY'!$B$8</f>
        <v>1</v>
      </c>
      <c r="C154" s="15">
        <f>'Curvas SRY'!$E$9</f>
        <v>1</v>
      </c>
      <c r="D154" s="14" t="str">
        <f>'Curvas SRY'!$B$14</f>
        <v>Uso variable</v>
      </c>
      <c r="E154" s="14">
        <f>31</f>
        <v>31</v>
      </c>
      <c r="F154" s="21">
        <f>'Hoja 4 - Cálculo'!A55</f>
        <v>30498</v>
      </c>
      <c r="G154" s="15">
        <f>'Hoja 4 - Cálculo'!H55</f>
        <v>13.597875</v>
      </c>
      <c r="H154" s="15">
        <f>IF(D154="Uso único",'Hoja 4 - Cálculo'!I55,IF(D154="Uso múltiple",AVERAGE('Hoja 4 - Cálculo'!$I$25:$I$384)+AVERAGE('Hoja 4 - Cálculo'!$J$25:$J$384)+AVERAGE('Hoja 4 - Cálculo'!$K$25:$K$384),IF(D154="Uso prioritario",'Hoja 4 - Cálculo'!I55+'Hoja 4 - Cálculo'!K55,'Hoja 4 - Cálculo'!I55+'Hoja 4 - Cálculo'!J55+'Hoja 4 - Cálculo'!K55)))</f>
        <v>16</v>
      </c>
      <c r="I154" s="15">
        <f t="shared" si="32"/>
        <v>16</v>
      </c>
      <c r="J154" s="15">
        <f t="shared" si="29"/>
        <v>1</v>
      </c>
      <c r="K154" s="15">
        <f>MIN(J154+G154,(J154+G154)*'Hoja 4 - Cálculo'!$B$15)</f>
        <v>0.29195750000000004</v>
      </c>
      <c r="L154" s="15">
        <f t="shared" si="33"/>
        <v>14.3059175</v>
      </c>
      <c r="M154" s="15">
        <f t="shared" si="34"/>
        <v>14.3059175</v>
      </c>
      <c r="N154" s="15">
        <f t="shared" si="35"/>
        <v>0</v>
      </c>
      <c r="O154" s="15">
        <f t="shared" si="36"/>
        <v>0</v>
      </c>
      <c r="P154" s="15">
        <f t="shared" si="37"/>
        <v>1.6940825000000004</v>
      </c>
      <c r="Q154" s="14" t="str">
        <f>IF(M154&gt;=I154*'Hoja 4 - Cálculo'!$B$16,"Satisfactorio","Falla")</f>
        <v>Falla</v>
      </c>
      <c r="R154" s="14">
        <f t="shared" si="30"/>
        <v>0</v>
      </c>
      <c r="S154" s="14">
        <f t="shared" si="31"/>
        <v>1</v>
      </c>
    </row>
    <row r="155" spans="1:19">
      <c r="A155" s="14" t="str">
        <f t="shared" si="28"/>
        <v>SRY-1-2</v>
      </c>
      <c r="B155" s="15">
        <f>'Curvas SRY'!$B$8</f>
        <v>1</v>
      </c>
      <c r="C155" s="15">
        <f>'Curvas SRY'!$E$9</f>
        <v>1</v>
      </c>
      <c r="D155" s="14" t="str">
        <f>'Curvas SRY'!$B$14</f>
        <v>Uso variable</v>
      </c>
      <c r="E155" s="14">
        <f>32</f>
        <v>32</v>
      </c>
      <c r="F155" s="21">
        <f>'Hoja 4 - Cálculo'!A56</f>
        <v>30529</v>
      </c>
      <c r="G155" s="15">
        <f>'Hoja 4 - Cálculo'!H56</f>
        <v>14.592375000000001</v>
      </c>
      <c r="H155" s="15">
        <f>IF(D155="Uso único",'Hoja 4 - Cálculo'!I56,IF(D155="Uso múltiple",AVERAGE('Hoja 4 - Cálculo'!$I$25:$I$384)+AVERAGE('Hoja 4 - Cálculo'!$J$25:$J$384)+AVERAGE('Hoja 4 - Cálculo'!$K$25:$K$384),IF(D155="Uso prioritario",'Hoja 4 - Cálculo'!I56+'Hoja 4 - Cálculo'!K56,'Hoja 4 - Cálculo'!I56+'Hoja 4 - Cálculo'!J56+'Hoja 4 - Cálculo'!K56)))</f>
        <v>16</v>
      </c>
      <c r="I155" s="15">
        <f t="shared" si="32"/>
        <v>16</v>
      </c>
      <c r="J155" s="15">
        <f t="shared" si="29"/>
        <v>0</v>
      </c>
      <c r="K155" s="15">
        <f>MIN(J155+G155,(J155+G155)*'Hoja 4 - Cálculo'!$B$15)</f>
        <v>0.29184750000000004</v>
      </c>
      <c r="L155" s="15">
        <f t="shared" si="33"/>
        <v>14.300527500000001</v>
      </c>
      <c r="M155" s="15">
        <f t="shared" si="34"/>
        <v>14.300527500000001</v>
      </c>
      <c r="N155" s="15">
        <f t="shared" si="35"/>
        <v>0</v>
      </c>
      <c r="O155" s="15">
        <f t="shared" si="36"/>
        <v>0</v>
      </c>
      <c r="P155" s="15">
        <f t="shared" si="37"/>
        <v>1.6994724999999988</v>
      </c>
      <c r="Q155" s="14" t="str">
        <f>IF(M155&gt;=I155*'Hoja 4 - Cálculo'!$B$16,"Satisfactorio","Falla")</f>
        <v>Falla</v>
      </c>
      <c r="R155" s="14">
        <f t="shared" si="30"/>
        <v>0</v>
      </c>
      <c r="S155" s="14">
        <f t="shared" si="31"/>
        <v>0</v>
      </c>
    </row>
    <row r="156" spans="1:19">
      <c r="A156" s="14" t="str">
        <f t="shared" ref="A156:A187" si="38">"SRY-1-2"</f>
        <v>SRY-1-2</v>
      </c>
      <c r="B156" s="15">
        <f>'Curvas SRY'!$B$8</f>
        <v>1</v>
      </c>
      <c r="C156" s="15">
        <f>'Curvas SRY'!$E$9</f>
        <v>1</v>
      </c>
      <c r="D156" s="14" t="str">
        <f>'Curvas SRY'!$B$14</f>
        <v>Uso variable</v>
      </c>
      <c r="E156" s="14">
        <f>33</f>
        <v>33</v>
      </c>
      <c r="F156" s="21">
        <f>'Hoja 4 - Cálculo'!A57</f>
        <v>30560</v>
      </c>
      <c r="G156" s="15">
        <f>'Hoja 4 - Cálculo'!H57</f>
        <v>24.307874999999999</v>
      </c>
      <c r="H156" s="15">
        <f>IF(D156="Uso único",'Hoja 4 - Cálculo'!I57,IF(D156="Uso múltiple",AVERAGE('Hoja 4 - Cálculo'!$I$25:$I$384)+AVERAGE('Hoja 4 - Cálculo'!$J$25:$J$384)+AVERAGE('Hoja 4 - Cálculo'!$K$25:$K$384),IF(D156="Uso prioritario",'Hoja 4 - Cálculo'!I57+'Hoja 4 - Cálculo'!K57,'Hoja 4 - Cálculo'!I57+'Hoja 4 - Cálculo'!J57+'Hoja 4 - Cálculo'!K57)))</f>
        <v>11.5</v>
      </c>
      <c r="I156" s="15">
        <f t="shared" si="32"/>
        <v>11.5</v>
      </c>
      <c r="J156" s="15">
        <f t="shared" si="29"/>
        <v>0</v>
      </c>
      <c r="K156" s="15">
        <f>MIN(J156+G156,(J156+G156)*'Hoja 4 - Cálculo'!$B$15)</f>
        <v>0.48615750000000002</v>
      </c>
      <c r="L156" s="15">
        <f t="shared" si="33"/>
        <v>23.821717499999998</v>
      </c>
      <c r="M156" s="15">
        <f t="shared" si="34"/>
        <v>11.5</v>
      </c>
      <c r="N156" s="15">
        <f t="shared" si="35"/>
        <v>1</v>
      </c>
      <c r="O156" s="15">
        <f t="shared" si="36"/>
        <v>11.321717499999998</v>
      </c>
      <c r="P156" s="15">
        <f t="shared" si="37"/>
        <v>0</v>
      </c>
      <c r="Q156" s="14" t="str">
        <f>IF(M156&gt;=I156*'Hoja 4 - Cálculo'!$B$16,"Satisfactorio","Falla")</f>
        <v>Satisfactorio</v>
      </c>
      <c r="R156" s="14">
        <f t="shared" si="30"/>
        <v>1</v>
      </c>
      <c r="S156" s="14">
        <f t="shared" si="31"/>
        <v>0</v>
      </c>
    </row>
    <row r="157" spans="1:19">
      <c r="A157" s="14" t="str">
        <f t="shared" si="38"/>
        <v>SRY-1-2</v>
      </c>
      <c r="B157" s="15">
        <f>'Curvas SRY'!$B$8</f>
        <v>1</v>
      </c>
      <c r="C157" s="15">
        <f>'Curvas SRY'!$E$9</f>
        <v>1</v>
      </c>
      <c r="D157" s="14" t="str">
        <f>'Curvas SRY'!$B$14</f>
        <v>Uso variable</v>
      </c>
      <c r="E157" s="14">
        <f>34</f>
        <v>34</v>
      </c>
      <c r="F157" s="21">
        <f>'Hoja 4 - Cálculo'!A58</f>
        <v>30590</v>
      </c>
      <c r="G157" s="15">
        <f>'Hoja 4 - Cálculo'!H58</f>
        <v>33.564374999999998</v>
      </c>
      <c r="H157" s="15">
        <f>IF(D157="Uso único",'Hoja 4 - Cálculo'!I58,IF(D157="Uso múltiple",AVERAGE('Hoja 4 - Cálculo'!$I$25:$I$384)+AVERAGE('Hoja 4 - Cálculo'!$J$25:$J$384)+AVERAGE('Hoja 4 - Cálculo'!$K$25:$K$384),IF(D157="Uso prioritario",'Hoja 4 - Cálculo'!I58+'Hoja 4 - Cálculo'!K58,'Hoja 4 - Cálculo'!I58+'Hoja 4 - Cálculo'!J58+'Hoja 4 - Cálculo'!K58)))</f>
        <v>11.5</v>
      </c>
      <c r="I157" s="15">
        <f t="shared" si="32"/>
        <v>11.5</v>
      </c>
      <c r="J157" s="15">
        <f t="shared" ref="J157:J188" si="39">N156</f>
        <v>1</v>
      </c>
      <c r="K157" s="15">
        <f>MIN(J157+G157,(J157+G157)*'Hoja 4 - Cálculo'!$B$15)</f>
        <v>0.69128749999999994</v>
      </c>
      <c r="L157" s="15">
        <f t="shared" si="33"/>
        <v>33.873087499999997</v>
      </c>
      <c r="M157" s="15">
        <f t="shared" si="34"/>
        <v>11.5</v>
      </c>
      <c r="N157" s="15">
        <f t="shared" si="35"/>
        <v>1</v>
      </c>
      <c r="O157" s="15">
        <f t="shared" si="36"/>
        <v>21.373087499999997</v>
      </c>
      <c r="P157" s="15">
        <f t="shared" si="37"/>
        <v>0</v>
      </c>
      <c r="Q157" s="14" t="str">
        <f>IF(M157&gt;=I157*'Hoja 4 - Cálculo'!$B$16,"Satisfactorio","Falla")</f>
        <v>Satisfactorio</v>
      </c>
      <c r="R157" s="14">
        <f t="shared" ref="R157:R188" si="40">IF(AND(Q156="Falla",Q157="Satisfactorio"),1,0)</f>
        <v>0</v>
      </c>
      <c r="S157" s="14">
        <f t="shared" ref="S157:S188" si="41">IF(AND(Q157="Falla",Q156&lt;&gt;"Falla"),1,0)</f>
        <v>0</v>
      </c>
    </row>
    <row r="158" spans="1:19">
      <c r="A158" s="14" t="str">
        <f t="shared" si="38"/>
        <v>SRY-1-2</v>
      </c>
      <c r="B158" s="15">
        <f>'Curvas SRY'!$B$8</f>
        <v>1</v>
      </c>
      <c r="C158" s="15">
        <f>'Curvas SRY'!$E$9</f>
        <v>1</v>
      </c>
      <c r="D158" s="14" t="str">
        <f>'Curvas SRY'!$B$14</f>
        <v>Uso variable</v>
      </c>
      <c r="E158" s="14">
        <f>35</f>
        <v>35</v>
      </c>
      <c r="F158" s="21">
        <f>'Hoja 4 - Cálculo'!A59</f>
        <v>30621</v>
      </c>
      <c r="G158" s="15">
        <f>'Hoja 4 - Cálculo'!H59</f>
        <v>28.075500000000002</v>
      </c>
      <c r="H158" s="15">
        <f>IF(D158="Uso único",'Hoja 4 - Cálculo'!I59,IF(D158="Uso múltiple",AVERAGE('Hoja 4 - Cálculo'!$I$25:$I$384)+AVERAGE('Hoja 4 - Cálculo'!$J$25:$J$384)+AVERAGE('Hoja 4 - Cálculo'!$K$25:$K$384),IF(D158="Uso prioritario",'Hoja 4 - Cálculo'!I59+'Hoja 4 - Cálculo'!K59,'Hoja 4 - Cálculo'!I59+'Hoja 4 - Cálculo'!J59+'Hoja 4 - Cálculo'!K59)))</f>
        <v>11.5</v>
      </c>
      <c r="I158" s="15">
        <f t="shared" si="32"/>
        <v>11.5</v>
      </c>
      <c r="J158" s="15">
        <f t="shared" si="39"/>
        <v>1</v>
      </c>
      <c r="K158" s="15">
        <f>MIN(J158+G158,(J158+G158)*'Hoja 4 - Cálculo'!$B$15)</f>
        <v>0.58151000000000008</v>
      </c>
      <c r="L158" s="15">
        <f t="shared" si="33"/>
        <v>28.49399</v>
      </c>
      <c r="M158" s="15">
        <f t="shared" si="34"/>
        <v>11.5</v>
      </c>
      <c r="N158" s="15">
        <f t="shared" si="35"/>
        <v>1</v>
      </c>
      <c r="O158" s="15">
        <f t="shared" si="36"/>
        <v>15.99399</v>
      </c>
      <c r="P158" s="15">
        <f t="shared" si="37"/>
        <v>0</v>
      </c>
      <c r="Q158" s="14" t="str">
        <f>IF(M158&gt;=I158*'Hoja 4 - Cálculo'!$B$16,"Satisfactorio","Falla")</f>
        <v>Satisfactorio</v>
      </c>
      <c r="R158" s="14">
        <f t="shared" si="40"/>
        <v>0</v>
      </c>
      <c r="S158" s="14">
        <f t="shared" si="41"/>
        <v>0</v>
      </c>
    </row>
    <row r="159" spans="1:19">
      <c r="A159" s="14" t="str">
        <f t="shared" si="38"/>
        <v>SRY-1-2</v>
      </c>
      <c r="B159" s="15">
        <f>'Curvas SRY'!$B$8</f>
        <v>1</v>
      </c>
      <c r="C159" s="15">
        <f>'Curvas SRY'!$E$9</f>
        <v>1</v>
      </c>
      <c r="D159" s="14" t="str">
        <f>'Curvas SRY'!$B$14</f>
        <v>Uso variable</v>
      </c>
      <c r="E159" s="14">
        <f>36</f>
        <v>36</v>
      </c>
      <c r="F159" s="21">
        <f>'Hoja 4 - Cálculo'!A60</f>
        <v>30651</v>
      </c>
      <c r="G159" s="15">
        <f>'Hoja 4 - Cálculo'!H60</f>
        <v>15.931125</v>
      </c>
      <c r="H159" s="15">
        <f>IF(D159="Uso único",'Hoja 4 - Cálculo'!I60,IF(D159="Uso múltiple",AVERAGE('Hoja 4 - Cálculo'!$I$25:$I$384)+AVERAGE('Hoja 4 - Cálculo'!$J$25:$J$384)+AVERAGE('Hoja 4 - Cálculo'!$K$25:$K$384),IF(D159="Uso prioritario",'Hoja 4 - Cálculo'!I60+'Hoja 4 - Cálculo'!K60,'Hoja 4 - Cálculo'!I60+'Hoja 4 - Cálculo'!J60+'Hoja 4 - Cálculo'!K60)))</f>
        <v>16</v>
      </c>
      <c r="I159" s="15">
        <f t="shared" si="32"/>
        <v>16</v>
      </c>
      <c r="J159" s="15">
        <f t="shared" si="39"/>
        <v>1</v>
      </c>
      <c r="K159" s="15">
        <f>MIN(J159+G159,(J159+G159)*'Hoja 4 - Cálculo'!$B$15)</f>
        <v>0.33862250000000005</v>
      </c>
      <c r="L159" s="15">
        <f t="shared" si="33"/>
        <v>16.592502500000002</v>
      </c>
      <c r="M159" s="15">
        <f t="shared" si="34"/>
        <v>16</v>
      </c>
      <c r="N159" s="15">
        <f t="shared" si="35"/>
        <v>0.59250250000000193</v>
      </c>
      <c r="O159" s="15">
        <f t="shared" si="36"/>
        <v>0</v>
      </c>
      <c r="P159" s="15">
        <f t="shared" si="37"/>
        <v>0</v>
      </c>
      <c r="Q159" s="14" t="str">
        <f>IF(M159&gt;=I159*'Hoja 4 - Cálculo'!$B$16,"Satisfactorio","Falla")</f>
        <v>Satisfactorio</v>
      </c>
      <c r="R159" s="14">
        <f t="shared" si="40"/>
        <v>0</v>
      </c>
      <c r="S159" s="14">
        <f t="shared" si="41"/>
        <v>0</v>
      </c>
    </row>
    <row r="160" spans="1:19">
      <c r="A160" s="14" t="str">
        <f t="shared" si="38"/>
        <v>SRY-1-2</v>
      </c>
      <c r="B160" s="15">
        <f>'Curvas SRY'!$B$8</f>
        <v>1</v>
      </c>
      <c r="C160" s="15">
        <f>'Curvas SRY'!$E$9</f>
        <v>1</v>
      </c>
      <c r="D160" s="14" t="str">
        <f>'Curvas SRY'!$B$14</f>
        <v>Uso variable</v>
      </c>
      <c r="E160" s="14">
        <f>37</f>
        <v>37</v>
      </c>
      <c r="F160" s="21">
        <f>'Hoja 4 - Cálculo'!A61</f>
        <v>30682</v>
      </c>
      <c r="G160" s="15">
        <f>'Hoja 4 - Cálculo'!H61</f>
        <v>10.920375</v>
      </c>
      <c r="H160" s="15">
        <f>IF(D160="Uso único",'Hoja 4 - Cálculo'!I61,IF(D160="Uso múltiple",AVERAGE('Hoja 4 - Cálculo'!$I$25:$I$384)+AVERAGE('Hoja 4 - Cálculo'!$J$25:$J$384)+AVERAGE('Hoja 4 - Cálculo'!$K$25:$K$384),IF(D160="Uso prioritario",'Hoja 4 - Cálculo'!I61+'Hoja 4 - Cálculo'!K61,'Hoja 4 - Cálculo'!I61+'Hoja 4 - Cálculo'!J61+'Hoja 4 - Cálculo'!K61)))</f>
        <v>16</v>
      </c>
      <c r="I160" s="15">
        <f t="shared" si="32"/>
        <v>16</v>
      </c>
      <c r="J160" s="15">
        <f t="shared" si="39"/>
        <v>0.59250250000000193</v>
      </c>
      <c r="K160" s="15">
        <f>MIN(J160+G160,(J160+G160)*'Hoja 4 - Cálculo'!$B$15)</f>
        <v>0.23025755000000003</v>
      </c>
      <c r="L160" s="15">
        <f t="shared" si="33"/>
        <v>11.282619950000003</v>
      </c>
      <c r="M160" s="15">
        <f t="shared" si="34"/>
        <v>11.282619950000003</v>
      </c>
      <c r="N160" s="15">
        <f t="shared" si="35"/>
        <v>0</v>
      </c>
      <c r="O160" s="15">
        <f t="shared" si="36"/>
        <v>0</v>
      </c>
      <c r="P160" s="15">
        <f t="shared" si="37"/>
        <v>4.7173800499999974</v>
      </c>
      <c r="Q160" s="14" t="str">
        <f>IF(M160&gt;=I160*'Hoja 4 - Cálculo'!$B$16,"Satisfactorio","Falla")</f>
        <v>Falla</v>
      </c>
      <c r="R160" s="14">
        <f t="shared" si="40"/>
        <v>0</v>
      </c>
      <c r="S160" s="14">
        <f t="shared" si="41"/>
        <v>1</v>
      </c>
    </row>
    <row r="161" spans="1:19">
      <c r="A161" s="14" t="str">
        <f t="shared" si="38"/>
        <v>SRY-1-2</v>
      </c>
      <c r="B161" s="15">
        <f>'Curvas SRY'!$B$8</f>
        <v>1</v>
      </c>
      <c r="C161" s="15">
        <f>'Curvas SRY'!$E$9</f>
        <v>1</v>
      </c>
      <c r="D161" s="14" t="str">
        <f>'Curvas SRY'!$B$14</f>
        <v>Uso variable</v>
      </c>
      <c r="E161" s="14">
        <f>38</f>
        <v>38</v>
      </c>
      <c r="F161" s="21">
        <f>'Hoja 4 - Cálculo'!A62</f>
        <v>30713</v>
      </c>
      <c r="G161" s="15">
        <f>'Hoja 4 - Cálculo'!H62</f>
        <v>13.04325</v>
      </c>
      <c r="H161" s="15">
        <f>IF(D161="Uso único",'Hoja 4 - Cálculo'!I62,IF(D161="Uso múltiple",AVERAGE('Hoja 4 - Cálculo'!$I$25:$I$384)+AVERAGE('Hoja 4 - Cálculo'!$J$25:$J$384)+AVERAGE('Hoja 4 - Cálculo'!$K$25:$K$384),IF(D161="Uso prioritario",'Hoja 4 - Cálculo'!I62+'Hoja 4 - Cálculo'!K62,'Hoja 4 - Cálculo'!I62+'Hoja 4 - Cálculo'!J62+'Hoja 4 - Cálculo'!K62)))</f>
        <v>16</v>
      </c>
      <c r="I161" s="15">
        <f t="shared" si="32"/>
        <v>16</v>
      </c>
      <c r="J161" s="15">
        <f t="shared" si="39"/>
        <v>0</v>
      </c>
      <c r="K161" s="15">
        <f>MIN(J161+G161,(J161+G161)*'Hoja 4 - Cálculo'!$B$15)</f>
        <v>0.26086500000000001</v>
      </c>
      <c r="L161" s="15">
        <f t="shared" si="33"/>
        <v>12.782385</v>
      </c>
      <c r="M161" s="15">
        <f t="shared" si="34"/>
        <v>12.782385</v>
      </c>
      <c r="N161" s="15">
        <f t="shared" si="35"/>
        <v>0</v>
      </c>
      <c r="O161" s="15">
        <f t="shared" si="36"/>
        <v>0</v>
      </c>
      <c r="P161" s="15">
        <f t="shared" si="37"/>
        <v>3.2176150000000003</v>
      </c>
      <c r="Q161" s="14" t="str">
        <f>IF(M161&gt;=I161*'Hoja 4 - Cálculo'!$B$16,"Satisfactorio","Falla")</f>
        <v>Falla</v>
      </c>
      <c r="R161" s="14">
        <f t="shared" si="40"/>
        <v>0</v>
      </c>
      <c r="S161" s="14">
        <f t="shared" si="41"/>
        <v>0</v>
      </c>
    </row>
    <row r="162" spans="1:19">
      <c r="A162" s="14" t="str">
        <f t="shared" si="38"/>
        <v>SRY-1-2</v>
      </c>
      <c r="B162" s="15">
        <f>'Curvas SRY'!$B$8</f>
        <v>1</v>
      </c>
      <c r="C162" s="15">
        <f>'Curvas SRY'!$E$9</f>
        <v>1</v>
      </c>
      <c r="D162" s="14" t="str">
        <f>'Curvas SRY'!$B$14</f>
        <v>Uso variable</v>
      </c>
      <c r="E162" s="14">
        <f>39</f>
        <v>39</v>
      </c>
      <c r="F162" s="21">
        <f>'Hoja 4 - Cálculo'!A63</f>
        <v>30742</v>
      </c>
      <c r="G162" s="15">
        <f>'Hoja 4 - Cálculo'!H63</f>
        <v>20.272500000000001</v>
      </c>
      <c r="H162" s="15">
        <f>IF(D162="Uso único",'Hoja 4 - Cálculo'!I63,IF(D162="Uso múltiple",AVERAGE('Hoja 4 - Cálculo'!$I$25:$I$384)+AVERAGE('Hoja 4 - Cálculo'!$J$25:$J$384)+AVERAGE('Hoja 4 - Cálculo'!$K$25:$K$384),IF(D162="Uso prioritario",'Hoja 4 - Cálculo'!I63+'Hoja 4 - Cálculo'!K63,'Hoja 4 - Cálculo'!I63+'Hoja 4 - Cálculo'!J63+'Hoja 4 - Cálculo'!K63)))</f>
        <v>16</v>
      </c>
      <c r="I162" s="15">
        <f t="shared" si="32"/>
        <v>16</v>
      </c>
      <c r="J162" s="15">
        <f t="shared" si="39"/>
        <v>0</v>
      </c>
      <c r="K162" s="15">
        <f>MIN(J162+G162,(J162+G162)*'Hoja 4 - Cálculo'!$B$15)</f>
        <v>0.40545000000000003</v>
      </c>
      <c r="L162" s="15">
        <f t="shared" si="33"/>
        <v>19.867050000000003</v>
      </c>
      <c r="M162" s="15">
        <f t="shared" si="34"/>
        <v>16</v>
      </c>
      <c r="N162" s="15">
        <f t="shared" si="35"/>
        <v>1</v>
      </c>
      <c r="O162" s="15">
        <f t="shared" si="36"/>
        <v>2.8670500000000025</v>
      </c>
      <c r="P162" s="15">
        <f t="shared" si="37"/>
        <v>0</v>
      </c>
      <c r="Q162" s="14" t="str">
        <f>IF(M162&gt;=I162*'Hoja 4 - Cálculo'!$B$16,"Satisfactorio","Falla")</f>
        <v>Satisfactorio</v>
      </c>
      <c r="R162" s="14">
        <f t="shared" si="40"/>
        <v>1</v>
      </c>
      <c r="S162" s="14">
        <f t="shared" si="41"/>
        <v>0</v>
      </c>
    </row>
    <row r="163" spans="1:19">
      <c r="A163" s="14" t="str">
        <f t="shared" si="38"/>
        <v>SRY-1-2</v>
      </c>
      <c r="B163" s="15">
        <f>'Curvas SRY'!$B$8</f>
        <v>1</v>
      </c>
      <c r="C163" s="15">
        <f>'Curvas SRY'!$E$9</f>
        <v>1</v>
      </c>
      <c r="D163" s="14" t="str">
        <f>'Curvas SRY'!$B$14</f>
        <v>Uso variable</v>
      </c>
      <c r="E163" s="14">
        <f>40</f>
        <v>40</v>
      </c>
      <c r="F163" s="21">
        <f>'Hoja 4 - Cálculo'!A64</f>
        <v>30773</v>
      </c>
      <c r="G163" s="15">
        <f>'Hoja 4 - Cálculo'!H64</f>
        <v>27.922499999999999</v>
      </c>
      <c r="H163" s="15">
        <f>IF(D163="Uso único",'Hoja 4 - Cálculo'!I64,IF(D163="Uso múltiple",AVERAGE('Hoja 4 - Cálculo'!$I$25:$I$384)+AVERAGE('Hoja 4 - Cálculo'!$J$25:$J$384)+AVERAGE('Hoja 4 - Cálculo'!$K$25:$K$384),IF(D163="Uso prioritario",'Hoja 4 - Cálculo'!I64+'Hoja 4 - Cálculo'!K64,'Hoja 4 - Cálculo'!I64+'Hoja 4 - Cálculo'!J64+'Hoja 4 - Cálculo'!K64)))</f>
        <v>11.5</v>
      </c>
      <c r="I163" s="15">
        <f t="shared" si="32"/>
        <v>11.5</v>
      </c>
      <c r="J163" s="15">
        <f t="shared" si="39"/>
        <v>1</v>
      </c>
      <c r="K163" s="15">
        <f>MIN(J163+G163,(J163+G163)*'Hoja 4 - Cálculo'!$B$15)</f>
        <v>0.57845000000000002</v>
      </c>
      <c r="L163" s="15">
        <f t="shared" si="33"/>
        <v>28.344049999999999</v>
      </c>
      <c r="M163" s="15">
        <f t="shared" si="34"/>
        <v>11.5</v>
      </c>
      <c r="N163" s="15">
        <f t="shared" si="35"/>
        <v>1</v>
      </c>
      <c r="O163" s="15">
        <f t="shared" si="36"/>
        <v>15.844049999999999</v>
      </c>
      <c r="P163" s="15">
        <f t="shared" si="37"/>
        <v>0</v>
      </c>
      <c r="Q163" s="14" t="str">
        <f>IF(M163&gt;=I163*'Hoja 4 - Cálculo'!$B$16,"Satisfactorio","Falla")</f>
        <v>Satisfactorio</v>
      </c>
      <c r="R163" s="14">
        <f t="shared" si="40"/>
        <v>0</v>
      </c>
      <c r="S163" s="14">
        <f t="shared" si="41"/>
        <v>0</v>
      </c>
    </row>
    <row r="164" spans="1:19">
      <c r="A164" s="14" t="str">
        <f t="shared" si="38"/>
        <v>SRY-1-2</v>
      </c>
      <c r="B164" s="15">
        <f>'Curvas SRY'!$B$8</f>
        <v>1</v>
      </c>
      <c r="C164" s="15">
        <f>'Curvas SRY'!$E$9</f>
        <v>1</v>
      </c>
      <c r="D164" s="14" t="str">
        <f>'Curvas SRY'!$B$14</f>
        <v>Uso variable</v>
      </c>
      <c r="E164" s="14">
        <f>41</f>
        <v>41</v>
      </c>
      <c r="F164" s="21">
        <f>'Hoja 4 - Cálculo'!A65</f>
        <v>30803</v>
      </c>
      <c r="G164" s="15">
        <f>'Hoja 4 - Cálculo'!H65</f>
        <v>23.657624999999999</v>
      </c>
      <c r="H164" s="15">
        <f>IF(D164="Uso único",'Hoja 4 - Cálculo'!I65,IF(D164="Uso múltiple",AVERAGE('Hoja 4 - Cálculo'!$I$25:$I$384)+AVERAGE('Hoja 4 - Cálculo'!$J$25:$J$384)+AVERAGE('Hoja 4 - Cálculo'!$K$25:$K$384),IF(D164="Uso prioritario",'Hoja 4 - Cálculo'!I65+'Hoja 4 - Cálculo'!K65,'Hoja 4 - Cálculo'!I65+'Hoja 4 - Cálculo'!J65+'Hoja 4 - Cálculo'!K65)))</f>
        <v>11.5</v>
      </c>
      <c r="I164" s="15">
        <f t="shared" si="32"/>
        <v>11.5</v>
      </c>
      <c r="J164" s="15">
        <f t="shared" si="39"/>
        <v>1</v>
      </c>
      <c r="K164" s="15">
        <f>MIN(J164+G164,(J164+G164)*'Hoja 4 - Cálculo'!$B$15)</f>
        <v>0.49315249999999999</v>
      </c>
      <c r="L164" s="15">
        <f t="shared" si="33"/>
        <v>24.164472499999999</v>
      </c>
      <c r="M164" s="15">
        <f t="shared" si="34"/>
        <v>11.5</v>
      </c>
      <c r="N164" s="15">
        <f t="shared" si="35"/>
        <v>1</v>
      </c>
      <c r="O164" s="15">
        <f t="shared" si="36"/>
        <v>11.664472499999999</v>
      </c>
      <c r="P164" s="15">
        <f t="shared" si="37"/>
        <v>0</v>
      </c>
      <c r="Q164" s="14" t="str">
        <f>IF(M164&gt;=I164*'Hoja 4 - Cálculo'!$B$16,"Satisfactorio","Falla")</f>
        <v>Satisfactorio</v>
      </c>
      <c r="R164" s="14">
        <f t="shared" si="40"/>
        <v>0</v>
      </c>
      <c r="S164" s="14">
        <f t="shared" si="41"/>
        <v>0</v>
      </c>
    </row>
    <row r="165" spans="1:19">
      <c r="A165" s="14" t="str">
        <f t="shared" si="38"/>
        <v>SRY-1-2</v>
      </c>
      <c r="B165" s="15">
        <f>'Curvas SRY'!$B$8</f>
        <v>1</v>
      </c>
      <c r="C165" s="15">
        <f>'Curvas SRY'!$E$9</f>
        <v>1</v>
      </c>
      <c r="D165" s="14" t="str">
        <f>'Curvas SRY'!$B$14</f>
        <v>Uso variable</v>
      </c>
      <c r="E165" s="14">
        <f>42</f>
        <v>42</v>
      </c>
      <c r="F165" s="21">
        <f>'Hoja 4 - Cálculo'!A66</f>
        <v>30834</v>
      </c>
      <c r="G165" s="15">
        <f>'Hoja 4 - Cálculo'!H66</f>
        <v>14.554125000000001</v>
      </c>
      <c r="H165" s="15">
        <f>IF(D165="Uso único",'Hoja 4 - Cálculo'!I66,IF(D165="Uso múltiple",AVERAGE('Hoja 4 - Cálculo'!$I$25:$I$384)+AVERAGE('Hoja 4 - Cálculo'!$J$25:$J$384)+AVERAGE('Hoja 4 - Cálculo'!$K$25:$K$384),IF(D165="Uso prioritario",'Hoja 4 - Cálculo'!I66+'Hoja 4 - Cálculo'!K66,'Hoja 4 - Cálculo'!I66+'Hoja 4 - Cálculo'!J66+'Hoja 4 - Cálculo'!K66)))</f>
        <v>11.5</v>
      </c>
      <c r="I165" s="15">
        <f t="shared" si="32"/>
        <v>11.5</v>
      </c>
      <c r="J165" s="15">
        <f t="shared" si="39"/>
        <v>1</v>
      </c>
      <c r="K165" s="15">
        <f>MIN(J165+G165,(J165+G165)*'Hoja 4 - Cálculo'!$B$15)</f>
        <v>0.31108250000000004</v>
      </c>
      <c r="L165" s="15">
        <f t="shared" si="33"/>
        <v>15.243042500000001</v>
      </c>
      <c r="M165" s="15">
        <f t="shared" si="34"/>
        <v>11.5</v>
      </c>
      <c r="N165" s="15">
        <f t="shared" si="35"/>
        <v>1</v>
      </c>
      <c r="O165" s="15">
        <f t="shared" si="36"/>
        <v>2.7430425000000014</v>
      </c>
      <c r="P165" s="15">
        <f t="shared" si="37"/>
        <v>0</v>
      </c>
      <c r="Q165" s="14" t="str">
        <f>IF(M165&gt;=I165*'Hoja 4 - Cálculo'!$B$16,"Satisfactorio","Falla")</f>
        <v>Satisfactorio</v>
      </c>
      <c r="R165" s="14">
        <f t="shared" si="40"/>
        <v>0</v>
      </c>
      <c r="S165" s="14">
        <f t="shared" si="41"/>
        <v>0</v>
      </c>
    </row>
    <row r="166" spans="1:19">
      <c r="A166" s="14" t="str">
        <f t="shared" si="38"/>
        <v>SRY-1-2</v>
      </c>
      <c r="B166" s="15">
        <f>'Curvas SRY'!$B$8</f>
        <v>1</v>
      </c>
      <c r="C166" s="15">
        <f>'Curvas SRY'!$E$9</f>
        <v>1</v>
      </c>
      <c r="D166" s="14" t="str">
        <f>'Curvas SRY'!$B$14</f>
        <v>Uso variable</v>
      </c>
      <c r="E166" s="14">
        <f>43</f>
        <v>43</v>
      </c>
      <c r="F166" s="21">
        <f>'Hoja 4 - Cálculo'!A67</f>
        <v>30864</v>
      </c>
      <c r="G166" s="15">
        <f>'Hoja 4 - Cálculo'!H67</f>
        <v>12.794625</v>
      </c>
      <c r="H166" s="15">
        <f>IF(D166="Uso único",'Hoja 4 - Cálculo'!I67,IF(D166="Uso múltiple",AVERAGE('Hoja 4 - Cálculo'!$I$25:$I$384)+AVERAGE('Hoja 4 - Cálculo'!$J$25:$J$384)+AVERAGE('Hoja 4 - Cálculo'!$K$25:$K$384),IF(D166="Uso prioritario",'Hoja 4 - Cálculo'!I67+'Hoja 4 - Cálculo'!K67,'Hoja 4 - Cálculo'!I67+'Hoja 4 - Cálculo'!J67+'Hoja 4 - Cálculo'!K67)))</f>
        <v>16</v>
      </c>
      <c r="I166" s="15">
        <f t="shared" si="32"/>
        <v>16</v>
      </c>
      <c r="J166" s="15">
        <f t="shared" si="39"/>
        <v>1</v>
      </c>
      <c r="K166" s="15">
        <f>MIN(J166+G166,(J166+G166)*'Hoja 4 - Cálculo'!$B$15)</f>
        <v>0.27589249999999998</v>
      </c>
      <c r="L166" s="15">
        <f t="shared" si="33"/>
        <v>13.5187325</v>
      </c>
      <c r="M166" s="15">
        <f t="shared" si="34"/>
        <v>13.5187325</v>
      </c>
      <c r="N166" s="15">
        <f t="shared" si="35"/>
        <v>0</v>
      </c>
      <c r="O166" s="15">
        <f t="shared" si="36"/>
        <v>0</v>
      </c>
      <c r="P166" s="15">
        <f t="shared" si="37"/>
        <v>2.4812674999999995</v>
      </c>
      <c r="Q166" s="14" t="str">
        <f>IF(M166&gt;=I166*'Hoja 4 - Cálculo'!$B$16,"Satisfactorio","Falla")</f>
        <v>Falla</v>
      </c>
      <c r="R166" s="14">
        <f t="shared" si="40"/>
        <v>0</v>
      </c>
      <c r="S166" s="14">
        <f t="shared" si="41"/>
        <v>1</v>
      </c>
    </row>
    <row r="167" spans="1:19">
      <c r="A167" s="14" t="str">
        <f t="shared" si="38"/>
        <v>SRY-1-2</v>
      </c>
      <c r="B167" s="15">
        <f>'Curvas SRY'!$B$8</f>
        <v>1</v>
      </c>
      <c r="C167" s="15">
        <f>'Curvas SRY'!$E$9</f>
        <v>1</v>
      </c>
      <c r="D167" s="14" t="str">
        <f>'Curvas SRY'!$B$14</f>
        <v>Uso variable</v>
      </c>
      <c r="E167" s="14">
        <f>44</f>
        <v>44</v>
      </c>
      <c r="F167" s="21">
        <f>'Hoja 4 - Cálculo'!A68</f>
        <v>30895</v>
      </c>
      <c r="G167" s="15">
        <f>'Hoja 4 - Cálculo'!H68</f>
        <v>13.6935</v>
      </c>
      <c r="H167" s="15">
        <f>IF(D167="Uso único",'Hoja 4 - Cálculo'!I68,IF(D167="Uso múltiple",AVERAGE('Hoja 4 - Cálculo'!$I$25:$I$384)+AVERAGE('Hoja 4 - Cálculo'!$J$25:$J$384)+AVERAGE('Hoja 4 - Cálculo'!$K$25:$K$384),IF(D167="Uso prioritario",'Hoja 4 - Cálculo'!I68+'Hoja 4 - Cálculo'!K68,'Hoja 4 - Cálculo'!I68+'Hoja 4 - Cálculo'!J68+'Hoja 4 - Cálculo'!K68)))</f>
        <v>16</v>
      </c>
      <c r="I167" s="15">
        <f t="shared" si="32"/>
        <v>16</v>
      </c>
      <c r="J167" s="15">
        <f t="shared" si="39"/>
        <v>0</v>
      </c>
      <c r="K167" s="15">
        <f>MIN(J167+G167,(J167+G167)*'Hoja 4 - Cálculo'!$B$15)</f>
        <v>0.27387</v>
      </c>
      <c r="L167" s="15">
        <f t="shared" si="33"/>
        <v>13.41963</v>
      </c>
      <c r="M167" s="15">
        <f t="shared" si="34"/>
        <v>13.41963</v>
      </c>
      <c r="N167" s="15">
        <f t="shared" si="35"/>
        <v>0</v>
      </c>
      <c r="O167" s="15">
        <f t="shared" si="36"/>
        <v>0</v>
      </c>
      <c r="P167" s="15">
        <f t="shared" si="37"/>
        <v>2.5803700000000003</v>
      </c>
      <c r="Q167" s="14" t="str">
        <f>IF(M167&gt;=I167*'Hoja 4 - Cálculo'!$B$16,"Satisfactorio","Falla")</f>
        <v>Falla</v>
      </c>
      <c r="R167" s="14">
        <f t="shared" si="40"/>
        <v>0</v>
      </c>
      <c r="S167" s="14">
        <f t="shared" si="41"/>
        <v>0</v>
      </c>
    </row>
    <row r="168" spans="1:19">
      <c r="A168" s="14" t="str">
        <f t="shared" si="38"/>
        <v>SRY-1-2</v>
      </c>
      <c r="B168" s="15">
        <f>'Curvas SRY'!$B$8</f>
        <v>1</v>
      </c>
      <c r="C168" s="15">
        <f>'Curvas SRY'!$E$9</f>
        <v>1</v>
      </c>
      <c r="D168" s="14" t="str">
        <f>'Curvas SRY'!$B$14</f>
        <v>Uso variable</v>
      </c>
      <c r="E168" s="14">
        <f>45</f>
        <v>45</v>
      </c>
      <c r="F168" s="21">
        <f>'Hoja 4 - Cálculo'!A69</f>
        <v>30926</v>
      </c>
      <c r="G168" s="15">
        <f>'Hoja 4 - Cálculo'!H69</f>
        <v>20.521125000000001</v>
      </c>
      <c r="H168" s="15">
        <f>IF(D168="Uso único",'Hoja 4 - Cálculo'!I69,IF(D168="Uso múltiple",AVERAGE('Hoja 4 - Cálculo'!$I$25:$I$384)+AVERAGE('Hoja 4 - Cálculo'!$J$25:$J$384)+AVERAGE('Hoja 4 - Cálculo'!$K$25:$K$384),IF(D168="Uso prioritario",'Hoja 4 - Cálculo'!I69+'Hoja 4 - Cálculo'!K69,'Hoja 4 - Cálculo'!I69+'Hoja 4 - Cálculo'!J69+'Hoja 4 - Cálculo'!K69)))</f>
        <v>11.5</v>
      </c>
      <c r="I168" s="15">
        <f t="shared" si="32"/>
        <v>11.5</v>
      </c>
      <c r="J168" s="15">
        <f t="shared" si="39"/>
        <v>0</v>
      </c>
      <c r="K168" s="15">
        <f>MIN(J168+G168,(J168+G168)*'Hoja 4 - Cálculo'!$B$15)</f>
        <v>0.41042250000000002</v>
      </c>
      <c r="L168" s="15">
        <f t="shared" si="33"/>
        <v>20.110702500000002</v>
      </c>
      <c r="M168" s="15">
        <f t="shared" si="34"/>
        <v>11.5</v>
      </c>
      <c r="N168" s="15">
        <f t="shared" si="35"/>
        <v>1</v>
      </c>
      <c r="O168" s="15">
        <f t="shared" si="36"/>
        <v>7.6107025000000021</v>
      </c>
      <c r="P168" s="15">
        <f t="shared" si="37"/>
        <v>0</v>
      </c>
      <c r="Q168" s="14" t="str">
        <f>IF(M168&gt;=I168*'Hoja 4 - Cálculo'!$B$16,"Satisfactorio","Falla")</f>
        <v>Satisfactorio</v>
      </c>
      <c r="R168" s="14">
        <f t="shared" si="40"/>
        <v>1</v>
      </c>
      <c r="S168" s="14">
        <f t="shared" si="41"/>
        <v>0</v>
      </c>
    </row>
    <row r="169" spans="1:19">
      <c r="A169" s="14" t="str">
        <f t="shared" si="38"/>
        <v>SRY-1-2</v>
      </c>
      <c r="B169" s="15">
        <f>'Curvas SRY'!$B$8</f>
        <v>1</v>
      </c>
      <c r="C169" s="15">
        <f>'Curvas SRY'!$E$9</f>
        <v>1</v>
      </c>
      <c r="D169" s="14" t="str">
        <f>'Curvas SRY'!$B$14</f>
        <v>Uso variable</v>
      </c>
      <c r="E169" s="14">
        <f>46</f>
        <v>46</v>
      </c>
      <c r="F169" s="21">
        <f>'Hoja 4 - Cálculo'!A70</f>
        <v>30956</v>
      </c>
      <c r="G169" s="15">
        <f>'Hoja 4 - Cálculo'!H70</f>
        <v>27.061875000000001</v>
      </c>
      <c r="H169" s="15">
        <f>IF(D169="Uso único",'Hoja 4 - Cálculo'!I70,IF(D169="Uso múltiple",AVERAGE('Hoja 4 - Cálculo'!$I$25:$I$384)+AVERAGE('Hoja 4 - Cálculo'!$J$25:$J$384)+AVERAGE('Hoja 4 - Cálculo'!$K$25:$K$384),IF(D169="Uso prioritario",'Hoja 4 - Cálculo'!I70+'Hoja 4 - Cálculo'!K70,'Hoja 4 - Cálculo'!I70+'Hoja 4 - Cálculo'!J70+'Hoja 4 - Cálculo'!K70)))</f>
        <v>11.5</v>
      </c>
      <c r="I169" s="15">
        <f t="shared" si="32"/>
        <v>11.5</v>
      </c>
      <c r="J169" s="15">
        <f t="shared" si="39"/>
        <v>1</v>
      </c>
      <c r="K169" s="15">
        <f>MIN(J169+G169,(J169+G169)*'Hoja 4 - Cálculo'!$B$15)</f>
        <v>0.56123750000000006</v>
      </c>
      <c r="L169" s="15">
        <f t="shared" si="33"/>
        <v>27.5006375</v>
      </c>
      <c r="M169" s="15">
        <f t="shared" si="34"/>
        <v>11.5</v>
      </c>
      <c r="N169" s="15">
        <f t="shared" si="35"/>
        <v>1</v>
      </c>
      <c r="O169" s="15">
        <f t="shared" si="36"/>
        <v>15.0006375</v>
      </c>
      <c r="P169" s="15">
        <f t="shared" si="37"/>
        <v>0</v>
      </c>
      <c r="Q169" s="14" t="str">
        <f>IF(M169&gt;=I169*'Hoja 4 - Cálculo'!$B$16,"Satisfactorio","Falla")</f>
        <v>Satisfactorio</v>
      </c>
      <c r="R169" s="14">
        <f t="shared" si="40"/>
        <v>0</v>
      </c>
      <c r="S169" s="14">
        <f t="shared" si="41"/>
        <v>0</v>
      </c>
    </row>
    <row r="170" spans="1:19">
      <c r="A170" s="14" t="str">
        <f t="shared" si="38"/>
        <v>SRY-1-2</v>
      </c>
      <c r="B170" s="15">
        <f>'Curvas SRY'!$B$8</f>
        <v>1</v>
      </c>
      <c r="C170" s="15">
        <f>'Curvas SRY'!$E$9</f>
        <v>1</v>
      </c>
      <c r="D170" s="14" t="str">
        <f>'Curvas SRY'!$B$14</f>
        <v>Uso variable</v>
      </c>
      <c r="E170" s="14">
        <f>47</f>
        <v>47</v>
      </c>
      <c r="F170" s="21">
        <f>'Hoja 4 - Cálculo'!A71</f>
        <v>30987</v>
      </c>
      <c r="G170" s="15">
        <f>'Hoja 4 - Cálculo'!H71</f>
        <v>24.346125000000001</v>
      </c>
      <c r="H170" s="15">
        <f>IF(D170="Uso único",'Hoja 4 - Cálculo'!I71,IF(D170="Uso múltiple",AVERAGE('Hoja 4 - Cálculo'!$I$25:$I$384)+AVERAGE('Hoja 4 - Cálculo'!$J$25:$J$384)+AVERAGE('Hoja 4 - Cálculo'!$K$25:$K$384),IF(D170="Uso prioritario",'Hoja 4 - Cálculo'!I71+'Hoja 4 - Cálculo'!K71,'Hoja 4 - Cálculo'!I71+'Hoja 4 - Cálculo'!J71+'Hoja 4 - Cálculo'!K71)))</f>
        <v>11.5</v>
      </c>
      <c r="I170" s="15">
        <f t="shared" si="32"/>
        <v>11.5</v>
      </c>
      <c r="J170" s="15">
        <f t="shared" si="39"/>
        <v>1</v>
      </c>
      <c r="K170" s="15">
        <f>MIN(J170+G170,(J170+G170)*'Hoja 4 - Cálculo'!$B$15)</f>
        <v>0.50692250000000005</v>
      </c>
      <c r="L170" s="15">
        <f t="shared" si="33"/>
        <v>24.839202499999999</v>
      </c>
      <c r="M170" s="15">
        <f t="shared" si="34"/>
        <v>11.5</v>
      </c>
      <c r="N170" s="15">
        <f t="shared" si="35"/>
        <v>1</v>
      </c>
      <c r="O170" s="15">
        <f t="shared" si="36"/>
        <v>12.339202499999999</v>
      </c>
      <c r="P170" s="15">
        <f t="shared" si="37"/>
        <v>0</v>
      </c>
      <c r="Q170" s="14" t="str">
        <f>IF(M170&gt;=I170*'Hoja 4 - Cálculo'!$B$16,"Satisfactorio","Falla")</f>
        <v>Satisfactorio</v>
      </c>
      <c r="R170" s="14">
        <f t="shared" si="40"/>
        <v>0</v>
      </c>
      <c r="S170" s="14">
        <f t="shared" si="41"/>
        <v>0</v>
      </c>
    </row>
    <row r="171" spans="1:19">
      <c r="A171" s="14" t="str">
        <f t="shared" si="38"/>
        <v>SRY-1-2</v>
      </c>
      <c r="B171" s="15">
        <f>'Curvas SRY'!$B$8</f>
        <v>1</v>
      </c>
      <c r="C171" s="15">
        <f>'Curvas SRY'!$E$9</f>
        <v>1</v>
      </c>
      <c r="D171" s="14" t="str">
        <f>'Curvas SRY'!$B$14</f>
        <v>Uso variable</v>
      </c>
      <c r="E171" s="14">
        <f>48</f>
        <v>48</v>
      </c>
      <c r="F171" s="21">
        <f>'Hoja 4 - Cálculo'!A72</f>
        <v>31017</v>
      </c>
      <c r="G171" s="15">
        <f>'Hoja 4 - Cálculo'!H72</f>
        <v>14.745374999999999</v>
      </c>
      <c r="H171" s="15">
        <f>IF(D171="Uso único",'Hoja 4 - Cálculo'!I72,IF(D171="Uso múltiple",AVERAGE('Hoja 4 - Cálculo'!$I$25:$I$384)+AVERAGE('Hoja 4 - Cálculo'!$J$25:$J$384)+AVERAGE('Hoja 4 - Cálculo'!$K$25:$K$384),IF(D171="Uso prioritario",'Hoja 4 - Cálculo'!I72+'Hoja 4 - Cálculo'!K72,'Hoja 4 - Cálculo'!I72+'Hoja 4 - Cálculo'!J72+'Hoja 4 - Cálculo'!K72)))</f>
        <v>16</v>
      </c>
      <c r="I171" s="15">
        <f t="shared" si="32"/>
        <v>16</v>
      </c>
      <c r="J171" s="15">
        <f t="shared" si="39"/>
        <v>1</v>
      </c>
      <c r="K171" s="15">
        <f>MIN(J171+G171,(J171+G171)*'Hoja 4 - Cálculo'!$B$15)</f>
        <v>0.31490750000000001</v>
      </c>
      <c r="L171" s="15">
        <f t="shared" si="33"/>
        <v>15.430467499999999</v>
      </c>
      <c r="M171" s="15">
        <f t="shared" si="34"/>
        <v>15.430467499999999</v>
      </c>
      <c r="N171" s="15">
        <f t="shared" si="35"/>
        <v>0</v>
      </c>
      <c r="O171" s="15">
        <f t="shared" si="36"/>
        <v>0</v>
      </c>
      <c r="P171" s="15">
        <f t="shared" si="37"/>
        <v>0.56953250000000111</v>
      </c>
      <c r="Q171" s="14" t="str">
        <f>IF(M171&gt;=I171*'Hoja 4 - Cálculo'!$B$16,"Satisfactorio","Falla")</f>
        <v>Falla</v>
      </c>
      <c r="R171" s="14">
        <f t="shared" si="40"/>
        <v>0</v>
      </c>
      <c r="S171" s="14">
        <f t="shared" si="41"/>
        <v>1</v>
      </c>
    </row>
    <row r="172" spans="1:19">
      <c r="A172" s="14" t="str">
        <f t="shared" si="38"/>
        <v>SRY-1-2</v>
      </c>
      <c r="B172" s="15">
        <f>'Curvas SRY'!$B$8</f>
        <v>1</v>
      </c>
      <c r="C172" s="15">
        <f>'Curvas SRY'!$E$9</f>
        <v>1</v>
      </c>
      <c r="D172" s="14" t="str">
        <f>'Curvas SRY'!$B$14</f>
        <v>Uso variable</v>
      </c>
      <c r="E172" s="14">
        <f>49</f>
        <v>49</v>
      </c>
      <c r="F172" s="21">
        <f>'Hoja 4 - Cálculo'!A73</f>
        <v>31048</v>
      </c>
      <c r="G172" s="15">
        <f>'Hoja 4 - Cálculo'!H73</f>
        <v>10.767374999999999</v>
      </c>
      <c r="H172" s="15">
        <f>IF(D172="Uso único",'Hoja 4 - Cálculo'!I73,IF(D172="Uso múltiple",AVERAGE('Hoja 4 - Cálculo'!$I$25:$I$384)+AVERAGE('Hoja 4 - Cálculo'!$J$25:$J$384)+AVERAGE('Hoja 4 - Cálculo'!$K$25:$K$384),IF(D172="Uso prioritario",'Hoja 4 - Cálculo'!I73+'Hoja 4 - Cálculo'!K73,'Hoja 4 - Cálculo'!I73+'Hoja 4 - Cálculo'!J73+'Hoja 4 - Cálculo'!K73)))</f>
        <v>16</v>
      </c>
      <c r="I172" s="15">
        <f t="shared" si="32"/>
        <v>16</v>
      </c>
      <c r="J172" s="15">
        <f t="shared" si="39"/>
        <v>0</v>
      </c>
      <c r="K172" s="15">
        <f>MIN(J172+G172,(J172+G172)*'Hoja 4 - Cálculo'!$B$15)</f>
        <v>0.2153475</v>
      </c>
      <c r="L172" s="15">
        <f t="shared" si="33"/>
        <v>10.552027499999999</v>
      </c>
      <c r="M172" s="15">
        <f t="shared" si="34"/>
        <v>10.552027499999999</v>
      </c>
      <c r="N172" s="15">
        <f t="shared" si="35"/>
        <v>0</v>
      </c>
      <c r="O172" s="15">
        <f t="shared" si="36"/>
        <v>0</v>
      </c>
      <c r="P172" s="15">
        <f t="shared" si="37"/>
        <v>5.4479725000000006</v>
      </c>
      <c r="Q172" s="14" t="str">
        <f>IF(M172&gt;=I172*'Hoja 4 - Cálculo'!$B$16,"Satisfactorio","Falla")</f>
        <v>Falla</v>
      </c>
      <c r="R172" s="14">
        <f t="shared" si="40"/>
        <v>0</v>
      </c>
      <c r="S172" s="14">
        <f t="shared" si="41"/>
        <v>0</v>
      </c>
    </row>
    <row r="173" spans="1:19">
      <c r="A173" s="14" t="str">
        <f t="shared" si="38"/>
        <v>SRY-1-2</v>
      </c>
      <c r="B173" s="15">
        <f>'Curvas SRY'!$B$8</f>
        <v>1</v>
      </c>
      <c r="C173" s="15">
        <f>'Curvas SRY'!$E$9</f>
        <v>1</v>
      </c>
      <c r="D173" s="14" t="str">
        <f>'Curvas SRY'!$B$14</f>
        <v>Uso variable</v>
      </c>
      <c r="E173" s="14">
        <f>50</f>
        <v>50</v>
      </c>
      <c r="F173" s="21">
        <f>'Hoja 4 - Cálculo'!A74</f>
        <v>31079</v>
      </c>
      <c r="G173" s="15">
        <f>'Hoja 4 - Cálculo'!H74</f>
        <v>13.464</v>
      </c>
      <c r="H173" s="15">
        <f>IF(D173="Uso único",'Hoja 4 - Cálculo'!I74,IF(D173="Uso múltiple",AVERAGE('Hoja 4 - Cálculo'!$I$25:$I$384)+AVERAGE('Hoja 4 - Cálculo'!$J$25:$J$384)+AVERAGE('Hoja 4 - Cálculo'!$K$25:$K$384),IF(D173="Uso prioritario",'Hoja 4 - Cálculo'!I74+'Hoja 4 - Cálculo'!K74,'Hoja 4 - Cálculo'!I74+'Hoja 4 - Cálculo'!J74+'Hoja 4 - Cálculo'!K74)))</f>
        <v>16</v>
      </c>
      <c r="I173" s="15">
        <f t="shared" si="32"/>
        <v>16</v>
      </c>
      <c r="J173" s="15">
        <f t="shared" si="39"/>
        <v>0</v>
      </c>
      <c r="K173" s="15">
        <f>MIN(J173+G173,(J173+G173)*'Hoja 4 - Cálculo'!$B$15)</f>
        <v>0.26928000000000002</v>
      </c>
      <c r="L173" s="15">
        <f t="shared" si="33"/>
        <v>13.19472</v>
      </c>
      <c r="M173" s="15">
        <f t="shared" si="34"/>
        <v>13.19472</v>
      </c>
      <c r="N173" s="15">
        <f t="shared" si="35"/>
        <v>0</v>
      </c>
      <c r="O173" s="15">
        <f t="shared" si="36"/>
        <v>0</v>
      </c>
      <c r="P173" s="15">
        <f t="shared" si="37"/>
        <v>2.8052799999999998</v>
      </c>
      <c r="Q173" s="14" t="str">
        <f>IF(M173&gt;=I173*'Hoja 4 - Cálculo'!$B$16,"Satisfactorio","Falla")</f>
        <v>Falla</v>
      </c>
      <c r="R173" s="14">
        <f t="shared" si="40"/>
        <v>0</v>
      </c>
      <c r="S173" s="14">
        <f t="shared" si="41"/>
        <v>0</v>
      </c>
    </row>
    <row r="174" spans="1:19">
      <c r="A174" s="14" t="str">
        <f t="shared" si="38"/>
        <v>SRY-1-2</v>
      </c>
      <c r="B174" s="15">
        <f>'Curvas SRY'!$B$8</f>
        <v>1</v>
      </c>
      <c r="C174" s="15">
        <f>'Curvas SRY'!$E$9</f>
        <v>1</v>
      </c>
      <c r="D174" s="14" t="str">
        <f>'Curvas SRY'!$B$14</f>
        <v>Uso variable</v>
      </c>
      <c r="E174" s="14">
        <f>51</f>
        <v>51</v>
      </c>
      <c r="F174" s="21">
        <f>'Hoja 4 - Cálculo'!A75</f>
        <v>31107</v>
      </c>
      <c r="G174" s="15">
        <f>'Hoja 4 - Cálculo'!H75</f>
        <v>19.450125</v>
      </c>
      <c r="H174" s="15">
        <f>IF(D174="Uso único",'Hoja 4 - Cálculo'!I75,IF(D174="Uso múltiple",AVERAGE('Hoja 4 - Cálculo'!$I$25:$I$384)+AVERAGE('Hoja 4 - Cálculo'!$J$25:$J$384)+AVERAGE('Hoja 4 - Cálculo'!$K$25:$K$384),IF(D174="Uso prioritario",'Hoja 4 - Cálculo'!I75+'Hoja 4 - Cálculo'!K75,'Hoja 4 - Cálculo'!I75+'Hoja 4 - Cálculo'!J75+'Hoja 4 - Cálculo'!K75)))</f>
        <v>16</v>
      </c>
      <c r="I174" s="15">
        <f t="shared" si="32"/>
        <v>16</v>
      </c>
      <c r="J174" s="15">
        <f t="shared" si="39"/>
        <v>0</v>
      </c>
      <c r="K174" s="15">
        <f>MIN(J174+G174,(J174+G174)*'Hoja 4 - Cálculo'!$B$15)</f>
        <v>0.38900250000000003</v>
      </c>
      <c r="L174" s="15">
        <f t="shared" si="33"/>
        <v>19.0611225</v>
      </c>
      <c r="M174" s="15">
        <f t="shared" si="34"/>
        <v>16</v>
      </c>
      <c r="N174" s="15">
        <f t="shared" si="35"/>
        <v>1</v>
      </c>
      <c r="O174" s="15">
        <f t="shared" si="36"/>
        <v>2.0611224999999997</v>
      </c>
      <c r="P174" s="15">
        <f t="shared" si="37"/>
        <v>0</v>
      </c>
      <c r="Q174" s="14" t="str">
        <f>IF(M174&gt;=I174*'Hoja 4 - Cálculo'!$B$16,"Satisfactorio","Falla")</f>
        <v>Satisfactorio</v>
      </c>
      <c r="R174" s="14">
        <f t="shared" si="40"/>
        <v>1</v>
      </c>
      <c r="S174" s="14">
        <f t="shared" si="41"/>
        <v>0</v>
      </c>
    </row>
    <row r="175" spans="1:19">
      <c r="A175" s="14" t="str">
        <f t="shared" si="38"/>
        <v>SRY-1-2</v>
      </c>
      <c r="B175" s="15">
        <f>'Curvas SRY'!$B$8</f>
        <v>1</v>
      </c>
      <c r="C175" s="15">
        <f>'Curvas SRY'!$E$9</f>
        <v>1</v>
      </c>
      <c r="D175" s="14" t="str">
        <f>'Curvas SRY'!$B$14</f>
        <v>Uso variable</v>
      </c>
      <c r="E175" s="14">
        <f>52</f>
        <v>52</v>
      </c>
      <c r="F175" s="21">
        <f>'Hoja 4 - Cálculo'!A76</f>
        <v>31138</v>
      </c>
      <c r="G175" s="15">
        <f>'Hoja 4 - Cálculo'!H76</f>
        <v>25.51275</v>
      </c>
      <c r="H175" s="15">
        <f>IF(D175="Uso único",'Hoja 4 - Cálculo'!I76,IF(D175="Uso múltiple",AVERAGE('Hoja 4 - Cálculo'!$I$25:$I$384)+AVERAGE('Hoja 4 - Cálculo'!$J$25:$J$384)+AVERAGE('Hoja 4 - Cálculo'!$K$25:$K$384),IF(D175="Uso prioritario",'Hoja 4 - Cálculo'!I76+'Hoja 4 - Cálculo'!K76,'Hoja 4 - Cálculo'!I76+'Hoja 4 - Cálculo'!J76+'Hoja 4 - Cálculo'!K76)))</f>
        <v>11.5</v>
      </c>
      <c r="I175" s="15">
        <f t="shared" si="32"/>
        <v>11.5</v>
      </c>
      <c r="J175" s="15">
        <f t="shared" si="39"/>
        <v>1</v>
      </c>
      <c r="K175" s="15">
        <f>MIN(J175+G175,(J175+G175)*'Hoja 4 - Cálculo'!$B$15)</f>
        <v>0.53025500000000003</v>
      </c>
      <c r="L175" s="15">
        <f t="shared" si="33"/>
        <v>25.982495</v>
      </c>
      <c r="M175" s="15">
        <f t="shared" si="34"/>
        <v>11.5</v>
      </c>
      <c r="N175" s="15">
        <f t="shared" si="35"/>
        <v>1</v>
      </c>
      <c r="O175" s="15">
        <f t="shared" si="36"/>
        <v>13.482495</v>
      </c>
      <c r="P175" s="15">
        <f t="shared" si="37"/>
        <v>0</v>
      </c>
      <c r="Q175" s="14" t="str">
        <f>IF(M175&gt;=I175*'Hoja 4 - Cálculo'!$B$16,"Satisfactorio","Falla")</f>
        <v>Satisfactorio</v>
      </c>
      <c r="R175" s="14">
        <f t="shared" si="40"/>
        <v>0</v>
      </c>
      <c r="S175" s="14">
        <f t="shared" si="41"/>
        <v>0</v>
      </c>
    </row>
    <row r="176" spans="1:19">
      <c r="A176" s="14" t="str">
        <f t="shared" si="38"/>
        <v>SRY-1-2</v>
      </c>
      <c r="B176" s="15">
        <f>'Curvas SRY'!$B$8</f>
        <v>1</v>
      </c>
      <c r="C176" s="15">
        <f>'Curvas SRY'!$E$9</f>
        <v>1</v>
      </c>
      <c r="D176" s="14" t="str">
        <f>'Curvas SRY'!$B$14</f>
        <v>Uso variable</v>
      </c>
      <c r="E176" s="14">
        <f>53</f>
        <v>53</v>
      </c>
      <c r="F176" s="21">
        <f>'Hoja 4 - Cálculo'!A77</f>
        <v>31168</v>
      </c>
      <c r="G176" s="15">
        <f>'Hoja 4 - Cálculo'!H77</f>
        <v>24.36525</v>
      </c>
      <c r="H176" s="15">
        <f>IF(D176="Uso único",'Hoja 4 - Cálculo'!I77,IF(D176="Uso múltiple",AVERAGE('Hoja 4 - Cálculo'!$I$25:$I$384)+AVERAGE('Hoja 4 - Cálculo'!$J$25:$J$384)+AVERAGE('Hoja 4 - Cálculo'!$K$25:$K$384),IF(D176="Uso prioritario",'Hoja 4 - Cálculo'!I77+'Hoja 4 - Cálculo'!K77,'Hoja 4 - Cálculo'!I77+'Hoja 4 - Cálculo'!J77+'Hoja 4 - Cálculo'!K77)))</f>
        <v>11.5</v>
      </c>
      <c r="I176" s="15">
        <f t="shared" si="32"/>
        <v>11.5</v>
      </c>
      <c r="J176" s="15">
        <f t="shared" si="39"/>
        <v>1</v>
      </c>
      <c r="K176" s="15">
        <f>MIN(J176+G176,(J176+G176)*'Hoja 4 - Cálculo'!$B$15)</f>
        <v>0.50730500000000001</v>
      </c>
      <c r="L176" s="15">
        <f t="shared" si="33"/>
        <v>24.857945000000001</v>
      </c>
      <c r="M176" s="15">
        <f t="shared" si="34"/>
        <v>11.5</v>
      </c>
      <c r="N176" s="15">
        <f t="shared" si="35"/>
        <v>1</v>
      </c>
      <c r="O176" s="15">
        <f t="shared" si="36"/>
        <v>12.357945000000001</v>
      </c>
      <c r="P176" s="15">
        <f t="shared" si="37"/>
        <v>0</v>
      </c>
      <c r="Q176" s="14" t="str">
        <f>IF(M176&gt;=I176*'Hoja 4 - Cálculo'!$B$16,"Satisfactorio","Falla")</f>
        <v>Satisfactorio</v>
      </c>
      <c r="R176" s="14">
        <f t="shared" si="40"/>
        <v>0</v>
      </c>
      <c r="S176" s="14">
        <f t="shared" si="41"/>
        <v>0</v>
      </c>
    </row>
    <row r="177" spans="1:19">
      <c r="A177" s="14" t="str">
        <f t="shared" si="38"/>
        <v>SRY-1-2</v>
      </c>
      <c r="B177" s="15">
        <f>'Curvas SRY'!$B$8</f>
        <v>1</v>
      </c>
      <c r="C177" s="15">
        <f>'Curvas SRY'!$E$9</f>
        <v>1</v>
      </c>
      <c r="D177" s="14" t="str">
        <f>'Curvas SRY'!$B$14</f>
        <v>Uso variable</v>
      </c>
      <c r="E177" s="14">
        <f>54</f>
        <v>54</v>
      </c>
      <c r="F177" s="21">
        <f>'Hoja 4 - Cálculo'!A78</f>
        <v>31199</v>
      </c>
      <c r="G177" s="15">
        <f>'Hoja 4 - Cálculo'!H78</f>
        <v>15.395625000000001</v>
      </c>
      <c r="H177" s="15">
        <f>IF(D177="Uso único",'Hoja 4 - Cálculo'!I78,IF(D177="Uso múltiple",AVERAGE('Hoja 4 - Cálculo'!$I$25:$I$384)+AVERAGE('Hoja 4 - Cálculo'!$J$25:$J$384)+AVERAGE('Hoja 4 - Cálculo'!$K$25:$K$384),IF(D177="Uso prioritario",'Hoja 4 - Cálculo'!I78+'Hoja 4 - Cálculo'!K78,'Hoja 4 - Cálculo'!I78+'Hoja 4 - Cálculo'!J78+'Hoja 4 - Cálculo'!K78)))</f>
        <v>11.5</v>
      </c>
      <c r="I177" s="15">
        <f t="shared" si="32"/>
        <v>11.5</v>
      </c>
      <c r="J177" s="15">
        <f t="shared" si="39"/>
        <v>1</v>
      </c>
      <c r="K177" s="15">
        <f>MIN(J177+G177,(J177+G177)*'Hoja 4 - Cálculo'!$B$15)</f>
        <v>0.32791250000000005</v>
      </c>
      <c r="L177" s="15">
        <f t="shared" si="33"/>
        <v>16.067712500000003</v>
      </c>
      <c r="M177" s="15">
        <f t="shared" si="34"/>
        <v>11.5</v>
      </c>
      <c r="N177" s="15">
        <f t="shared" si="35"/>
        <v>1</v>
      </c>
      <c r="O177" s="15">
        <f t="shared" si="36"/>
        <v>3.5677125000000025</v>
      </c>
      <c r="P177" s="15">
        <f t="shared" si="37"/>
        <v>0</v>
      </c>
      <c r="Q177" s="14" t="str">
        <f>IF(M177&gt;=I177*'Hoja 4 - Cálculo'!$B$16,"Satisfactorio","Falla")</f>
        <v>Satisfactorio</v>
      </c>
      <c r="R177" s="14">
        <f t="shared" si="40"/>
        <v>0</v>
      </c>
      <c r="S177" s="14">
        <f t="shared" si="41"/>
        <v>0</v>
      </c>
    </row>
    <row r="178" spans="1:19">
      <c r="A178" s="14" t="str">
        <f t="shared" si="38"/>
        <v>SRY-1-2</v>
      </c>
      <c r="B178" s="15">
        <f>'Curvas SRY'!$B$8</f>
        <v>1</v>
      </c>
      <c r="C178" s="15">
        <f>'Curvas SRY'!$E$9</f>
        <v>1</v>
      </c>
      <c r="D178" s="14" t="str">
        <f>'Curvas SRY'!$B$14</f>
        <v>Uso variable</v>
      </c>
      <c r="E178" s="14">
        <f>55</f>
        <v>55</v>
      </c>
      <c r="F178" s="21">
        <f>'Hoja 4 - Cálculo'!A79</f>
        <v>31229</v>
      </c>
      <c r="G178" s="15">
        <f>'Hoja 4 - Cálculo'!H79</f>
        <v>11.742749999999999</v>
      </c>
      <c r="H178" s="15">
        <f>IF(D178="Uso único",'Hoja 4 - Cálculo'!I79,IF(D178="Uso múltiple",AVERAGE('Hoja 4 - Cálculo'!$I$25:$I$384)+AVERAGE('Hoja 4 - Cálculo'!$J$25:$J$384)+AVERAGE('Hoja 4 - Cálculo'!$K$25:$K$384),IF(D178="Uso prioritario",'Hoja 4 - Cálculo'!I79+'Hoja 4 - Cálculo'!K79,'Hoja 4 - Cálculo'!I79+'Hoja 4 - Cálculo'!J79+'Hoja 4 - Cálculo'!K79)))</f>
        <v>16</v>
      </c>
      <c r="I178" s="15">
        <f t="shared" si="32"/>
        <v>16</v>
      </c>
      <c r="J178" s="15">
        <f t="shared" si="39"/>
        <v>1</v>
      </c>
      <c r="K178" s="15">
        <f>MIN(J178+G178,(J178+G178)*'Hoja 4 - Cálculo'!$B$15)</f>
        <v>0.254855</v>
      </c>
      <c r="L178" s="15">
        <f t="shared" si="33"/>
        <v>12.487895</v>
      </c>
      <c r="M178" s="15">
        <f t="shared" si="34"/>
        <v>12.487895</v>
      </c>
      <c r="N178" s="15">
        <f t="shared" si="35"/>
        <v>0</v>
      </c>
      <c r="O178" s="15">
        <f t="shared" si="36"/>
        <v>0</v>
      </c>
      <c r="P178" s="15">
        <f t="shared" si="37"/>
        <v>3.512105</v>
      </c>
      <c r="Q178" s="14" t="str">
        <f>IF(M178&gt;=I178*'Hoja 4 - Cálculo'!$B$16,"Satisfactorio","Falla")</f>
        <v>Falla</v>
      </c>
      <c r="R178" s="14">
        <f t="shared" si="40"/>
        <v>0</v>
      </c>
      <c r="S178" s="14">
        <f t="shared" si="41"/>
        <v>1</v>
      </c>
    </row>
    <row r="179" spans="1:19">
      <c r="A179" s="14" t="str">
        <f t="shared" si="38"/>
        <v>SRY-1-2</v>
      </c>
      <c r="B179" s="15">
        <f>'Curvas SRY'!$B$8</f>
        <v>1</v>
      </c>
      <c r="C179" s="15">
        <f>'Curvas SRY'!$E$9</f>
        <v>1</v>
      </c>
      <c r="D179" s="14" t="str">
        <f>'Curvas SRY'!$B$14</f>
        <v>Uso variable</v>
      </c>
      <c r="E179" s="14">
        <f>56</f>
        <v>56</v>
      </c>
      <c r="F179" s="21">
        <f>'Hoja 4 - Cálculo'!A80</f>
        <v>31260</v>
      </c>
      <c r="G179" s="15">
        <f>'Hoja 4 - Cálculo'!H80</f>
        <v>12.603375</v>
      </c>
      <c r="H179" s="15">
        <f>IF(D179="Uso único",'Hoja 4 - Cálculo'!I80,IF(D179="Uso múltiple",AVERAGE('Hoja 4 - Cálculo'!$I$25:$I$384)+AVERAGE('Hoja 4 - Cálculo'!$J$25:$J$384)+AVERAGE('Hoja 4 - Cálculo'!$K$25:$K$384),IF(D179="Uso prioritario",'Hoja 4 - Cálculo'!I80+'Hoja 4 - Cálculo'!K80,'Hoja 4 - Cálculo'!I80+'Hoja 4 - Cálculo'!J80+'Hoja 4 - Cálculo'!K80)))</f>
        <v>16</v>
      </c>
      <c r="I179" s="15">
        <f t="shared" si="32"/>
        <v>16</v>
      </c>
      <c r="J179" s="15">
        <f t="shared" si="39"/>
        <v>0</v>
      </c>
      <c r="K179" s="15">
        <f>MIN(J179+G179,(J179+G179)*'Hoja 4 - Cálculo'!$B$15)</f>
        <v>0.2520675</v>
      </c>
      <c r="L179" s="15">
        <f t="shared" si="33"/>
        <v>12.351307499999999</v>
      </c>
      <c r="M179" s="15">
        <f t="shared" si="34"/>
        <v>12.351307499999999</v>
      </c>
      <c r="N179" s="15">
        <f t="shared" si="35"/>
        <v>0</v>
      </c>
      <c r="O179" s="15">
        <f t="shared" si="36"/>
        <v>0</v>
      </c>
      <c r="P179" s="15">
        <f t="shared" si="37"/>
        <v>3.648692500000001</v>
      </c>
      <c r="Q179" s="14" t="str">
        <f>IF(M179&gt;=I179*'Hoja 4 - Cálculo'!$B$16,"Satisfactorio","Falla")</f>
        <v>Falla</v>
      </c>
      <c r="R179" s="14">
        <f t="shared" si="40"/>
        <v>0</v>
      </c>
      <c r="S179" s="14">
        <f t="shared" si="41"/>
        <v>0</v>
      </c>
    </row>
    <row r="180" spans="1:19">
      <c r="A180" s="14" t="str">
        <f t="shared" si="38"/>
        <v>SRY-1-2</v>
      </c>
      <c r="B180" s="15">
        <f>'Curvas SRY'!$B$8</f>
        <v>1</v>
      </c>
      <c r="C180" s="15">
        <f>'Curvas SRY'!$E$9</f>
        <v>1</v>
      </c>
      <c r="D180" s="14" t="str">
        <f>'Curvas SRY'!$B$14</f>
        <v>Uso variable</v>
      </c>
      <c r="E180" s="14">
        <f>57</f>
        <v>57</v>
      </c>
      <c r="F180" s="21">
        <f>'Hoja 4 - Cálculo'!A81</f>
        <v>31291</v>
      </c>
      <c r="G180" s="15">
        <f>'Hoja 4 - Cálculo'!H81</f>
        <v>21.745125000000002</v>
      </c>
      <c r="H180" s="15">
        <f>IF(D180="Uso único",'Hoja 4 - Cálculo'!I81,IF(D180="Uso múltiple",AVERAGE('Hoja 4 - Cálculo'!$I$25:$I$384)+AVERAGE('Hoja 4 - Cálculo'!$J$25:$J$384)+AVERAGE('Hoja 4 - Cálculo'!$K$25:$K$384),IF(D180="Uso prioritario",'Hoja 4 - Cálculo'!I81+'Hoja 4 - Cálculo'!K81,'Hoja 4 - Cálculo'!I81+'Hoja 4 - Cálculo'!J81+'Hoja 4 - Cálculo'!K81)))</f>
        <v>11.5</v>
      </c>
      <c r="I180" s="15">
        <f t="shared" si="32"/>
        <v>11.5</v>
      </c>
      <c r="J180" s="15">
        <f t="shared" si="39"/>
        <v>0</v>
      </c>
      <c r="K180" s="15">
        <f>MIN(J180+G180,(J180+G180)*'Hoja 4 - Cálculo'!$B$15)</f>
        <v>0.43490250000000003</v>
      </c>
      <c r="L180" s="15">
        <f t="shared" si="33"/>
        <v>21.310222500000002</v>
      </c>
      <c r="M180" s="15">
        <f t="shared" si="34"/>
        <v>11.5</v>
      </c>
      <c r="N180" s="15">
        <f t="shared" si="35"/>
        <v>1</v>
      </c>
      <c r="O180" s="15">
        <f t="shared" si="36"/>
        <v>8.8102225000000018</v>
      </c>
      <c r="P180" s="15">
        <f t="shared" si="37"/>
        <v>0</v>
      </c>
      <c r="Q180" s="14" t="str">
        <f>IF(M180&gt;=I180*'Hoja 4 - Cálculo'!$B$16,"Satisfactorio","Falla")</f>
        <v>Satisfactorio</v>
      </c>
      <c r="R180" s="14">
        <f t="shared" si="40"/>
        <v>1</v>
      </c>
      <c r="S180" s="14">
        <f t="shared" si="41"/>
        <v>0</v>
      </c>
    </row>
    <row r="181" spans="1:19">
      <c r="A181" s="14" t="str">
        <f t="shared" si="38"/>
        <v>SRY-1-2</v>
      </c>
      <c r="B181" s="15">
        <f>'Curvas SRY'!$B$8</f>
        <v>1</v>
      </c>
      <c r="C181" s="15">
        <f>'Curvas SRY'!$E$9</f>
        <v>1</v>
      </c>
      <c r="D181" s="14" t="str">
        <f>'Curvas SRY'!$B$14</f>
        <v>Uso variable</v>
      </c>
      <c r="E181" s="14">
        <f>58</f>
        <v>58</v>
      </c>
      <c r="F181" s="21">
        <f>'Hoja 4 - Cálculo'!A82</f>
        <v>31321</v>
      </c>
      <c r="G181" s="15">
        <f>'Hoja 4 - Cálculo'!H82</f>
        <v>27.788625</v>
      </c>
      <c r="H181" s="15">
        <f>IF(D181="Uso único",'Hoja 4 - Cálculo'!I82,IF(D181="Uso múltiple",AVERAGE('Hoja 4 - Cálculo'!$I$25:$I$384)+AVERAGE('Hoja 4 - Cálculo'!$J$25:$J$384)+AVERAGE('Hoja 4 - Cálculo'!$K$25:$K$384),IF(D181="Uso prioritario",'Hoja 4 - Cálculo'!I82+'Hoja 4 - Cálculo'!K82,'Hoja 4 - Cálculo'!I82+'Hoja 4 - Cálculo'!J82+'Hoja 4 - Cálculo'!K82)))</f>
        <v>11.5</v>
      </c>
      <c r="I181" s="15">
        <f t="shared" si="32"/>
        <v>11.5</v>
      </c>
      <c r="J181" s="15">
        <f t="shared" si="39"/>
        <v>1</v>
      </c>
      <c r="K181" s="15">
        <f>MIN(J181+G181,(J181+G181)*'Hoja 4 - Cálculo'!$B$15)</f>
        <v>0.57577250000000002</v>
      </c>
      <c r="L181" s="15">
        <f t="shared" si="33"/>
        <v>28.2128525</v>
      </c>
      <c r="M181" s="15">
        <f t="shared" si="34"/>
        <v>11.5</v>
      </c>
      <c r="N181" s="15">
        <f t="shared" si="35"/>
        <v>1</v>
      </c>
      <c r="O181" s="15">
        <f t="shared" si="36"/>
        <v>15.7128525</v>
      </c>
      <c r="P181" s="15">
        <f t="shared" si="37"/>
        <v>0</v>
      </c>
      <c r="Q181" s="14" t="str">
        <f>IF(M181&gt;=I181*'Hoja 4 - Cálculo'!$B$16,"Satisfactorio","Falla")</f>
        <v>Satisfactorio</v>
      </c>
      <c r="R181" s="14">
        <f t="shared" si="40"/>
        <v>0</v>
      </c>
      <c r="S181" s="14">
        <f t="shared" si="41"/>
        <v>0</v>
      </c>
    </row>
    <row r="182" spans="1:19">
      <c r="A182" s="14" t="str">
        <f t="shared" si="38"/>
        <v>SRY-1-2</v>
      </c>
      <c r="B182" s="15">
        <f>'Curvas SRY'!$B$8</f>
        <v>1</v>
      </c>
      <c r="C182" s="15">
        <f>'Curvas SRY'!$E$9</f>
        <v>1</v>
      </c>
      <c r="D182" s="14" t="str">
        <f>'Curvas SRY'!$B$14</f>
        <v>Uso variable</v>
      </c>
      <c r="E182" s="14">
        <f>59</f>
        <v>59</v>
      </c>
      <c r="F182" s="21">
        <f>'Hoja 4 - Cálculo'!A83</f>
        <v>31352</v>
      </c>
      <c r="G182" s="15">
        <f>'Hoja 4 - Cálculo'!H83</f>
        <v>22.22325</v>
      </c>
      <c r="H182" s="15">
        <f>IF(D182="Uso único",'Hoja 4 - Cálculo'!I83,IF(D182="Uso múltiple",AVERAGE('Hoja 4 - Cálculo'!$I$25:$I$384)+AVERAGE('Hoja 4 - Cálculo'!$J$25:$J$384)+AVERAGE('Hoja 4 - Cálculo'!$K$25:$K$384),IF(D182="Uso prioritario",'Hoja 4 - Cálculo'!I83+'Hoja 4 - Cálculo'!K83,'Hoja 4 - Cálculo'!I83+'Hoja 4 - Cálculo'!J83+'Hoja 4 - Cálculo'!K83)))</f>
        <v>11.5</v>
      </c>
      <c r="I182" s="15">
        <f t="shared" si="32"/>
        <v>11.5</v>
      </c>
      <c r="J182" s="15">
        <f t="shared" si="39"/>
        <v>1</v>
      </c>
      <c r="K182" s="15">
        <f>MIN(J182+G182,(J182+G182)*'Hoja 4 - Cálculo'!$B$15)</f>
        <v>0.46446500000000002</v>
      </c>
      <c r="L182" s="15">
        <f t="shared" si="33"/>
        <v>22.758785</v>
      </c>
      <c r="M182" s="15">
        <f t="shared" si="34"/>
        <v>11.5</v>
      </c>
      <c r="N182" s="15">
        <f t="shared" si="35"/>
        <v>1</v>
      </c>
      <c r="O182" s="15">
        <f t="shared" si="36"/>
        <v>10.258785</v>
      </c>
      <c r="P182" s="15">
        <f t="shared" si="37"/>
        <v>0</v>
      </c>
      <c r="Q182" s="14" t="str">
        <f>IF(M182&gt;=I182*'Hoja 4 - Cálculo'!$B$16,"Satisfactorio","Falla")</f>
        <v>Satisfactorio</v>
      </c>
      <c r="R182" s="14">
        <f t="shared" si="40"/>
        <v>0</v>
      </c>
      <c r="S182" s="14">
        <f t="shared" si="41"/>
        <v>0</v>
      </c>
    </row>
    <row r="183" spans="1:19">
      <c r="A183" s="14" t="str">
        <f t="shared" si="38"/>
        <v>SRY-1-2</v>
      </c>
      <c r="B183" s="15">
        <f>'Curvas SRY'!$B$8</f>
        <v>1</v>
      </c>
      <c r="C183" s="15">
        <f>'Curvas SRY'!$E$9</f>
        <v>1</v>
      </c>
      <c r="D183" s="14" t="str">
        <f>'Curvas SRY'!$B$14</f>
        <v>Uso variable</v>
      </c>
      <c r="E183" s="14">
        <f>60</f>
        <v>60</v>
      </c>
      <c r="F183" s="21">
        <f>'Hoja 4 - Cálculo'!A84</f>
        <v>31382</v>
      </c>
      <c r="G183" s="15">
        <f>'Hoja 4 - Cálculo'!H84</f>
        <v>14.171625000000001</v>
      </c>
      <c r="H183" s="15">
        <f>IF(D183="Uso único",'Hoja 4 - Cálculo'!I84,IF(D183="Uso múltiple",AVERAGE('Hoja 4 - Cálculo'!$I$25:$I$384)+AVERAGE('Hoja 4 - Cálculo'!$J$25:$J$384)+AVERAGE('Hoja 4 - Cálculo'!$K$25:$K$384),IF(D183="Uso prioritario",'Hoja 4 - Cálculo'!I84+'Hoja 4 - Cálculo'!K84,'Hoja 4 - Cálculo'!I84+'Hoja 4 - Cálculo'!J84+'Hoja 4 - Cálculo'!K84)))</f>
        <v>16</v>
      </c>
      <c r="I183" s="15">
        <f t="shared" si="32"/>
        <v>16</v>
      </c>
      <c r="J183" s="15">
        <f t="shared" si="39"/>
        <v>1</v>
      </c>
      <c r="K183" s="15">
        <f>MIN(J183+G183,(J183+G183)*'Hoja 4 - Cálculo'!$B$15)</f>
        <v>0.30343249999999999</v>
      </c>
      <c r="L183" s="15">
        <f t="shared" si="33"/>
        <v>14.868192500000001</v>
      </c>
      <c r="M183" s="15">
        <f t="shared" si="34"/>
        <v>14.868192500000001</v>
      </c>
      <c r="N183" s="15">
        <f t="shared" si="35"/>
        <v>0</v>
      </c>
      <c r="O183" s="15">
        <f t="shared" si="36"/>
        <v>0</v>
      </c>
      <c r="P183" s="15">
        <f t="shared" si="37"/>
        <v>1.131807499999999</v>
      </c>
      <c r="Q183" s="14" t="str">
        <f>IF(M183&gt;=I183*'Hoja 4 - Cálculo'!$B$16,"Satisfactorio","Falla")</f>
        <v>Falla</v>
      </c>
      <c r="R183" s="14">
        <f t="shared" si="40"/>
        <v>0</v>
      </c>
      <c r="S183" s="14">
        <f t="shared" si="41"/>
        <v>1</v>
      </c>
    </row>
    <row r="184" spans="1:19">
      <c r="A184" s="14" t="str">
        <f t="shared" si="38"/>
        <v>SRY-1-2</v>
      </c>
      <c r="B184" s="15">
        <f>'Curvas SRY'!$B$8</f>
        <v>1</v>
      </c>
      <c r="C184" s="15">
        <f>'Curvas SRY'!$E$9</f>
        <v>1</v>
      </c>
      <c r="D184" s="14" t="str">
        <f>'Curvas SRY'!$B$14</f>
        <v>Uso variable</v>
      </c>
      <c r="E184" s="14">
        <f>61</f>
        <v>61</v>
      </c>
      <c r="F184" s="21">
        <f>'Hoja 4 - Cálculo'!A85</f>
        <v>31413</v>
      </c>
      <c r="G184" s="15">
        <f>'Hoja 4 - Cálculo'!H85</f>
        <v>12.641624999999999</v>
      </c>
      <c r="H184" s="15">
        <f>IF(D184="Uso único",'Hoja 4 - Cálculo'!I85,IF(D184="Uso múltiple",AVERAGE('Hoja 4 - Cálculo'!$I$25:$I$384)+AVERAGE('Hoja 4 - Cálculo'!$J$25:$J$384)+AVERAGE('Hoja 4 - Cálculo'!$K$25:$K$384),IF(D184="Uso prioritario",'Hoja 4 - Cálculo'!I85+'Hoja 4 - Cálculo'!K85,'Hoja 4 - Cálculo'!I85+'Hoja 4 - Cálculo'!J85+'Hoja 4 - Cálculo'!K85)))</f>
        <v>16</v>
      </c>
      <c r="I184" s="15">
        <f t="shared" si="32"/>
        <v>16</v>
      </c>
      <c r="J184" s="15">
        <f t="shared" si="39"/>
        <v>0</v>
      </c>
      <c r="K184" s="15">
        <f>MIN(J184+G184,(J184+G184)*'Hoja 4 - Cálculo'!$B$15)</f>
        <v>0.25283250000000002</v>
      </c>
      <c r="L184" s="15">
        <f t="shared" si="33"/>
        <v>12.388792499999999</v>
      </c>
      <c r="M184" s="15">
        <f t="shared" si="34"/>
        <v>12.388792499999999</v>
      </c>
      <c r="N184" s="15">
        <f t="shared" si="35"/>
        <v>0</v>
      </c>
      <c r="O184" s="15">
        <f t="shared" si="36"/>
        <v>0</v>
      </c>
      <c r="P184" s="15">
        <f t="shared" si="37"/>
        <v>3.6112075000000008</v>
      </c>
      <c r="Q184" s="14" t="str">
        <f>IF(M184&gt;=I184*'Hoja 4 - Cálculo'!$B$16,"Satisfactorio","Falla")</f>
        <v>Falla</v>
      </c>
      <c r="R184" s="14">
        <f t="shared" si="40"/>
        <v>0</v>
      </c>
      <c r="S184" s="14">
        <f t="shared" si="41"/>
        <v>0</v>
      </c>
    </row>
    <row r="185" spans="1:19">
      <c r="A185" s="14" t="str">
        <f t="shared" si="38"/>
        <v>SRY-1-2</v>
      </c>
      <c r="B185" s="15">
        <f>'Curvas SRY'!$B$8</f>
        <v>1</v>
      </c>
      <c r="C185" s="15">
        <f>'Curvas SRY'!$E$9</f>
        <v>1</v>
      </c>
      <c r="D185" s="14" t="str">
        <f>'Curvas SRY'!$B$14</f>
        <v>Uso variable</v>
      </c>
      <c r="E185" s="14">
        <f>62</f>
        <v>62</v>
      </c>
      <c r="F185" s="21">
        <f>'Hoja 4 - Cálculo'!A86</f>
        <v>31444</v>
      </c>
      <c r="G185" s="15">
        <f>'Hoja 4 - Cálculo'!H86</f>
        <v>15.357374999999999</v>
      </c>
      <c r="H185" s="15">
        <f>IF(D185="Uso único",'Hoja 4 - Cálculo'!I86,IF(D185="Uso múltiple",AVERAGE('Hoja 4 - Cálculo'!$I$25:$I$384)+AVERAGE('Hoja 4 - Cálculo'!$J$25:$J$384)+AVERAGE('Hoja 4 - Cálculo'!$K$25:$K$384),IF(D185="Uso prioritario",'Hoja 4 - Cálculo'!I86+'Hoja 4 - Cálculo'!K86,'Hoja 4 - Cálculo'!I86+'Hoja 4 - Cálculo'!J86+'Hoja 4 - Cálculo'!K86)))</f>
        <v>16</v>
      </c>
      <c r="I185" s="15">
        <f t="shared" si="32"/>
        <v>16</v>
      </c>
      <c r="J185" s="15">
        <f t="shared" si="39"/>
        <v>0</v>
      </c>
      <c r="K185" s="15">
        <f>MIN(J185+G185,(J185+G185)*'Hoja 4 - Cálculo'!$B$15)</f>
        <v>0.30714750000000002</v>
      </c>
      <c r="L185" s="15">
        <f t="shared" si="33"/>
        <v>15.0502275</v>
      </c>
      <c r="M185" s="15">
        <f t="shared" si="34"/>
        <v>15.0502275</v>
      </c>
      <c r="N185" s="15">
        <f t="shared" si="35"/>
        <v>0</v>
      </c>
      <c r="O185" s="15">
        <f t="shared" si="36"/>
        <v>0</v>
      </c>
      <c r="P185" s="15">
        <f t="shared" si="37"/>
        <v>0.94977249999999991</v>
      </c>
      <c r="Q185" s="14" t="str">
        <f>IF(M185&gt;=I185*'Hoja 4 - Cálculo'!$B$16,"Satisfactorio","Falla")</f>
        <v>Falla</v>
      </c>
      <c r="R185" s="14">
        <f t="shared" si="40"/>
        <v>0</v>
      </c>
      <c r="S185" s="14">
        <f t="shared" si="41"/>
        <v>0</v>
      </c>
    </row>
    <row r="186" spans="1:19">
      <c r="A186" s="14" t="str">
        <f t="shared" si="38"/>
        <v>SRY-1-2</v>
      </c>
      <c r="B186" s="15">
        <f>'Curvas SRY'!$B$8</f>
        <v>1</v>
      </c>
      <c r="C186" s="15">
        <f>'Curvas SRY'!$E$9</f>
        <v>1</v>
      </c>
      <c r="D186" s="14" t="str">
        <f>'Curvas SRY'!$B$14</f>
        <v>Uso variable</v>
      </c>
      <c r="E186" s="14">
        <f>63</f>
        <v>63</v>
      </c>
      <c r="F186" s="21">
        <f>'Hoja 4 - Cálculo'!A87</f>
        <v>31472</v>
      </c>
      <c r="G186" s="15">
        <f>'Hoja 4 - Cálculo'!H87</f>
        <v>20.846250000000001</v>
      </c>
      <c r="H186" s="15">
        <f>IF(D186="Uso único",'Hoja 4 - Cálculo'!I87,IF(D186="Uso múltiple",AVERAGE('Hoja 4 - Cálculo'!$I$25:$I$384)+AVERAGE('Hoja 4 - Cálculo'!$J$25:$J$384)+AVERAGE('Hoja 4 - Cálculo'!$K$25:$K$384),IF(D186="Uso prioritario",'Hoja 4 - Cálculo'!I87+'Hoja 4 - Cálculo'!K87,'Hoja 4 - Cálculo'!I87+'Hoja 4 - Cálculo'!J87+'Hoja 4 - Cálculo'!K87)))</f>
        <v>16</v>
      </c>
      <c r="I186" s="15">
        <f t="shared" si="32"/>
        <v>16</v>
      </c>
      <c r="J186" s="15">
        <f t="shared" si="39"/>
        <v>0</v>
      </c>
      <c r="K186" s="15">
        <f>MIN(J186+G186,(J186+G186)*'Hoja 4 - Cálculo'!$B$15)</f>
        <v>0.41692500000000005</v>
      </c>
      <c r="L186" s="15">
        <f t="shared" si="33"/>
        <v>20.429325000000002</v>
      </c>
      <c r="M186" s="15">
        <f t="shared" si="34"/>
        <v>16</v>
      </c>
      <c r="N186" s="15">
        <f t="shared" si="35"/>
        <v>1</v>
      </c>
      <c r="O186" s="15">
        <f t="shared" si="36"/>
        <v>3.4293250000000022</v>
      </c>
      <c r="P186" s="15">
        <f t="shared" si="37"/>
        <v>0</v>
      </c>
      <c r="Q186" s="14" t="str">
        <f>IF(M186&gt;=I186*'Hoja 4 - Cálculo'!$B$16,"Satisfactorio","Falla")</f>
        <v>Satisfactorio</v>
      </c>
      <c r="R186" s="14">
        <f t="shared" si="40"/>
        <v>1</v>
      </c>
      <c r="S186" s="14">
        <f t="shared" si="41"/>
        <v>0</v>
      </c>
    </row>
    <row r="187" spans="1:19">
      <c r="A187" s="14" t="str">
        <f t="shared" si="38"/>
        <v>SRY-1-2</v>
      </c>
      <c r="B187" s="15">
        <f>'Curvas SRY'!$B$8</f>
        <v>1</v>
      </c>
      <c r="C187" s="15">
        <f>'Curvas SRY'!$E$9</f>
        <v>1</v>
      </c>
      <c r="D187" s="14" t="str">
        <f>'Curvas SRY'!$B$14</f>
        <v>Uso variable</v>
      </c>
      <c r="E187" s="14">
        <f>64</f>
        <v>64</v>
      </c>
      <c r="F187" s="21">
        <f>'Hoja 4 - Cálculo'!A88</f>
        <v>31503</v>
      </c>
      <c r="G187" s="15">
        <f>'Hoja 4 - Cálculo'!H88</f>
        <v>30.638249999999999</v>
      </c>
      <c r="H187" s="15">
        <f>IF(D187="Uso único",'Hoja 4 - Cálculo'!I88,IF(D187="Uso múltiple",AVERAGE('Hoja 4 - Cálculo'!$I$25:$I$384)+AVERAGE('Hoja 4 - Cálculo'!$J$25:$J$384)+AVERAGE('Hoja 4 - Cálculo'!$K$25:$K$384),IF(D187="Uso prioritario",'Hoja 4 - Cálculo'!I88+'Hoja 4 - Cálculo'!K88,'Hoja 4 - Cálculo'!I88+'Hoja 4 - Cálculo'!J88+'Hoja 4 - Cálculo'!K88)))</f>
        <v>11.5</v>
      </c>
      <c r="I187" s="15">
        <f t="shared" si="32"/>
        <v>11.5</v>
      </c>
      <c r="J187" s="15">
        <f t="shared" si="39"/>
        <v>1</v>
      </c>
      <c r="K187" s="15">
        <f>MIN(J187+G187,(J187+G187)*'Hoja 4 - Cálculo'!$B$15)</f>
        <v>0.63276500000000002</v>
      </c>
      <c r="L187" s="15">
        <f t="shared" si="33"/>
        <v>31.005485</v>
      </c>
      <c r="M187" s="15">
        <f t="shared" si="34"/>
        <v>11.5</v>
      </c>
      <c r="N187" s="15">
        <f t="shared" si="35"/>
        <v>1</v>
      </c>
      <c r="O187" s="15">
        <f t="shared" si="36"/>
        <v>18.505485</v>
      </c>
      <c r="P187" s="15">
        <f t="shared" si="37"/>
        <v>0</v>
      </c>
      <c r="Q187" s="14" t="str">
        <f>IF(M187&gt;=I187*'Hoja 4 - Cálculo'!$B$16,"Satisfactorio","Falla")</f>
        <v>Satisfactorio</v>
      </c>
      <c r="R187" s="14">
        <f t="shared" si="40"/>
        <v>0</v>
      </c>
      <c r="S187" s="14">
        <f t="shared" si="41"/>
        <v>0</v>
      </c>
    </row>
    <row r="188" spans="1:19">
      <c r="A188" s="14" t="str">
        <f t="shared" ref="A188:A219" si="42">"SRY-1-2"</f>
        <v>SRY-1-2</v>
      </c>
      <c r="B188" s="15">
        <f>'Curvas SRY'!$B$8</f>
        <v>1</v>
      </c>
      <c r="C188" s="15">
        <f>'Curvas SRY'!$E$9</f>
        <v>1</v>
      </c>
      <c r="D188" s="14" t="str">
        <f>'Curvas SRY'!$B$14</f>
        <v>Uso variable</v>
      </c>
      <c r="E188" s="14">
        <f>65</f>
        <v>65</v>
      </c>
      <c r="F188" s="21">
        <f>'Hoja 4 - Cálculo'!A89</f>
        <v>31533</v>
      </c>
      <c r="G188" s="15">
        <f>'Hoja 4 - Cálculo'!H89</f>
        <v>28.438874999999999</v>
      </c>
      <c r="H188" s="15">
        <f>IF(D188="Uso único",'Hoja 4 - Cálculo'!I89,IF(D188="Uso múltiple",AVERAGE('Hoja 4 - Cálculo'!$I$25:$I$384)+AVERAGE('Hoja 4 - Cálculo'!$J$25:$J$384)+AVERAGE('Hoja 4 - Cálculo'!$K$25:$K$384),IF(D188="Uso prioritario",'Hoja 4 - Cálculo'!I89+'Hoja 4 - Cálculo'!K89,'Hoja 4 - Cálculo'!I89+'Hoja 4 - Cálculo'!J89+'Hoja 4 - Cálculo'!K89)))</f>
        <v>11.5</v>
      </c>
      <c r="I188" s="15">
        <f t="shared" si="32"/>
        <v>11.5</v>
      </c>
      <c r="J188" s="15">
        <f t="shared" si="39"/>
        <v>1</v>
      </c>
      <c r="K188" s="15">
        <f>MIN(J188+G188,(J188+G188)*'Hoja 4 - Cálculo'!$B$15)</f>
        <v>0.58877749999999995</v>
      </c>
      <c r="L188" s="15">
        <f t="shared" si="33"/>
        <v>28.8500975</v>
      </c>
      <c r="M188" s="15">
        <f t="shared" si="34"/>
        <v>11.5</v>
      </c>
      <c r="N188" s="15">
        <f t="shared" si="35"/>
        <v>1</v>
      </c>
      <c r="O188" s="15">
        <f t="shared" si="36"/>
        <v>16.3500975</v>
      </c>
      <c r="P188" s="15">
        <f t="shared" si="37"/>
        <v>0</v>
      </c>
      <c r="Q188" s="14" t="str">
        <f>IF(M188&gt;=I188*'Hoja 4 - Cálculo'!$B$16,"Satisfactorio","Falla")</f>
        <v>Satisfactorio</v>
      </c>
      <c r="R188" s="14">
        <f t="shared" si="40"/>
        <v>0</v>
      </c>
      <c r="S188" s="14">
        <f t="shared" si="41"/>
        <v>0</v>
      </c>
    </row>
    <row r="189" spans="1:19">
      <c r="A189" s="14" t="str">
        <f t="shared" si="42"/>
        <v>SRY-1-2</v>
      </c>
      <c r="B189" s="15">
        <f>'Curvas SRY'!$B$8</f>
        <v>1</v>
      </c>
      <c r="C189" s="15">
        <f>'Curvas SRY'!$E$9</f>
        <v>1</v>
      </c>
      <c r="D189" s="14" t="str">
        <f>'Curvas SRY'!$B$14</f>
        <v>Uso variable</v>
      </c>
      <c r="E189" s="14">
        <f>66</f>
        <v>66</v>
      </c>
      <c r="F189" s="21">
        <f>'Hoja 4 - Cálculo'!A90</f>
        <v>31564</v>
      </c>
      <c r="G189" s="15">
        <f>'Hoja 4 - Cálculo'!H90</f>
        <v>16.007625000000001</v>
      </c>
      <c r="H189" s="15">
        <f>IF(D189="Uso único",'Hoja 4 - Cálculo'!I90,IF(D189="Uso múltiple",AVERAGE('Hoja 4 - Cálculo'!$I$25:$I$384)+AVERAGE('Hoja 4 - Cálculo'!$J$25:$J$384)+AVERAGE('Hoja 4 - Cálculo'!$K$25:$K$384),IF(D189="Uso prioritario",'Hoja 4 - Cálculo'!I90+'Hoja 4 - Cálculo'!K90,'Hoja 4 - Cálculo'!I90+'Hoja 4 - Cálculo'!J90+'Hoja 4 - Cálculo'!K90)))</f>
        <v>11.5</v>
      </c>
      <c r="I189" s="15">
        <f t="shared" si="32"/>
        <v>11.5</v>
      </c>
      <c r="J189" s="15">
        <f t="shared" ref="J189:J220" si="43">N188</f>
        <v>1</v>
      </c>
      <c r="K189" s="15">
        <f>MIN(J189+G189,(J189+G189)*'Hoja 4 - Cálculo'!$B$15)</f>
        <v>0.34015250000000002</v>
      </c>
      <c r="L189" s="15">
        <f t="shared" si="33"/>
        <v>16.667472500000002</v>
      </c>
      <c r="M189" s="15">
        <f t="shared" si="34"/>
        <v>11.5</v>
      </c>
      <c r="N189" s="15">
        <f t="shared" si="35"/>
        <v>1</v>
      </c>
      <c r="O189" s="15">
        <f t="shared" si="36"/>
        <v>4.1674725000000024</v>
      </c>
      <c r="P189" s="15">
        <f t="shared" si="37"/>
        <v>0</v>
      </c>
      <c r="Q189" s="14" t="str">
        <f>IF(M189&gt;=I189*'Hoja 4 - Cálculo'!$B$16,"Satisfactorio","Falla")</f>
        <v>Satisfactorio</v>
      </c>
      <c r="R189" s="14">
        <f t="shared" ref="R189:R220" si="44">IF(AND(Q188="Falla",Q189="Satisfactorio"),1,0)</f>
        <v>0</v>
      </c>
      <c r="S189" s="14">
        <f t="shared" ref="S189:S220" si="45">IF(AND(Q189="Falla",Q188&lt;&gt;"Falla"),1,0)</f>
        <v>0</v>
      </c>
    </row>
    <row r="190" spans="1:19">
      <c r="A190" s="14" t="str">
        <f t="shared" si="42"/>
        <v>SRY-1-2</v>
      </c>
      <c r="B190" s="15">
        <f>'Curvas SRY'!$B$8</f>
        <v>1</v>
      </c>
      <c r="C190" s="15">
        <f>'Curvas SRY'!$E$9</f>
        <v>1</v>
      </c>
      <c r="D190" s="14" t="str">
        <f>'Curvas SRY'!$B$14</f>
        <v>Uso variable</v>
      </c>
      <c r="E190" s="14">
        <f>67</f>
        <v>67</v>
      </c>
      <c r="F190" s="21">
        <f>'Hoja 4 - Cálculo'!A91</f>
        <v>31594</v>
      </c>
      <c r="G190" s="15">
        <f>'Hoja 4 - Cálculo'!H91</f>
        <v>14.056875</v>
      </c>
      <c r="H190" s="15">
        <f>IF(D190="Uso único",'Hoja 4 - Cálculo'!I91,IF(D190="Uso múltiple",AVERAGE('Hoja 4 - Cálculo'!$I$25:$I$384)+AVERAGE('Hoja 4 - Cálculo'!$J$25:$J$384)+AVERAGE('Hoja 4 - Cálculo'!$K$25:$K$384),IF(D190="Uso prioritario",'Hoja 4 - Cálculo'!I91+'Hoja 4 - Cálculo'!K91,'Hoja 4 - Cálculo'!I91+'Hoja 4 - Cálculo'!J91+'Hoja 4 - Cálculo'!K91)))</f>
        <v>16</v>
      </c>
      <c r="I190" s="15">
        <f t="shared" si="32"/>
        <v>16</v>
      </c>
      <c r="J190" s="15">
        <f t="shared" si="43"/>
        <v>1</v>
      </c>
      <c r="K190" s="15">
        <f>MIN(J190+G190,(J190+G190)*'Hoja 4 - Cálculo'!$B$15)</f>
        <v>0.3011375</v>
      </c>
      <c r="L190" s="15">
        <f t="shared" si="33"/>
        <v>14.7557375</v>
      </c>
      <c r="M190" s="15">
        <f t="shared" si="34"/>
        <v>14.7557375</v>
      </c>
      <c r="N190" s="15">
        <f t="shared" si="35"/>
        <v>0</v>
      </c>
      <c r="O190" s="15">
        <f t="shared" si="36"/>
        <v>0</v>
      </c>
      <c r="P190" s="15">
        <f t="shared" si="37"/>
        <v>1.2442624999999996</v>
      </c>
      <c r="Q190" s="14" t="str">
        <f>IF(M190&gt;=I190*'Hoja 4 - Cálculo'!$B$16,"Satisfactorio","Falla")</f>
        <v>Falla</v>
      </c>
      <c r="R190" s="14">
        <f t="shared" si="44"/>
        <v>0</v>
      </c>
      <c r="S190" s="14">
        <f t="shared" si="45"/>
        <v>1</v>
      </c>
    </row>
    <row r="191" spans="1:19">
      <c r="A191" s="14" t="str">
        <f t="shared" si="42"/>
        <v>SRY-1-2</v>
      </c>
      <c r="B191" s="15">
        <f>'Curvas SRY'!$B$8</f>
        <v>1</v>
      </c>
      <c r="C191" s="15">
        <f>'Curvas SRY'!$E$9</f>
        <v>1</v>
      </c>
      <c r="D191" s="14" t="str">
        <f>'Curvas SRY'!$B$14</f>
        <v>Uso variable</v>
      </c>
      <c r="E191" s="14">
        <f>68</f>
        <v>68</v>
      </c>
      <c r="F191" s="21">
        <f>'Hoja 4 - Cálculo'!A92</f>
        <v>31625</v>
      </c>
      <c r="G191" s="15">
        <f>'Hoja 4 - Cálculo'!H92</f>
        <v>15.032249999999999</v>
      </c>
      <c r="H191" s="15">
        <f>IF(D191="Uso único",'Hoja 4 - Cálculo'!I92,IF(D191="Uso múltiple",AVERAGE('Hoja 4 - Cálculo'!$I$25:$I$384)+AVERAGE('Hoja 4 - Cálculo'!$J$25:$J$384)+AVERAGE('Hoja 4 - Cálculo'!$K$25:$K$384),IF(D191="Uso prioritario",'Hoja 4 - Cálculo'!I92+'Hoja 4 - Cálculo'!K92,'Hoja 4 - Cálculo'!I92+'Hoja 4 - Cálculo'!J92+'Hoja 4 - Cálculo'!K92)))</f>
        <v>16</v>
      </c>
      <c r="I191" s="15">
        <f t="shared" si="32"/>
        <v>16</v>
      </c>
      <c r="J191" s="15">
        <f t="shared" si="43"/>
        <v>0</v>
      </c>
      <c r="K191" s="15">
        <f>MIN(J191+G191,(J191+G191)*'Hoja 4 - Cálculo'!$B$15)</f>
        <v>0.300645</v>
      </c>
      <c r="L191" s="15">
        <f t="shared" si="33"/>
        <v>14.731605</v>
      </c>
      <c r="M191" s="15">
        <f t="shared" si="34"/>
        <v>14.731605</v>
      </c>
      <c r="N191" s="15">
        <f t="shared" si="35"/>
        <v>0</v>
      </c>
      <c r="O191" s="15">
        <f t="shared" si="36"/>
        <v>0</v>
      </c>
      <c r="P191" s="15">
        <f t="shared" si="37"/>
        <v>1.2683949999999999</v>
      </c>
      <c r="Q191" s="14" t="str">
        <f>IF(M191&gt;=I191*'Hoja 4 - Cálculo'!$B$16,"Satisfactorio","Falla")</f>
        <v>Falla</v>
      </c>
      <c r="R191" s="14">
        <f t="shared" si="44"/>
        <v>0</v>
      </c>
      <c r="S191" s="14">
        <f t="shared" si="45"/>
        <v>0</v>
      </c>
    </row>
    <row r="192" spans="1:19">
      <c r="A192" s="14" t="str">
        <f t="shared" si="42"/>
        <v>SRY-1-2</v>
      </c>
      <c r="B192" s="15">
        <f>'Curvas SRY'!$B$8</f>
        <v>1</v>
      </c>
      <c r="C192" s="15">
        <f>'Curvas SRY'!$E$9</f>
        <v>1</v>
      </c>
      <c r="D192" s="14" t="str">
        <f>'Curvas SRY'!$B$14</f>
        <v>Uso variable</v>
      </c>
      <c r="E192" s="14">
        <f>69</f>
        <v>69</v>
      </c>
      <c r="F192" s="21">
        <f>'Hoja 4 - Cálculo'!A93</f>
        <v>31656</v>
      </c>
      <c r="G192" s="15">
        <f>'Hoja 4 - Cálculo'!H93</f>
        <v>22.60575</v>
      </c>
      <c r="H192" s="15">
        <f>IF(D192="Uso único",'Hoja 4 - Cálculo'!I93,IF(D192="Uso múltiple",AVERAGE('Hoja 4 - Cálculo'!$I$25:$I$384)+AVERAGE('Hoja 4 - Cálculo'!$J$25:$J$384)+AVERAGE('Hoja 4 - Cálculo'!$K$25:$K$384),IF(D192="Uso prioritario",'Hoja 4 - Cálculo'!I93+'Hoja 4 - Cálculo'!K93,'Hoja 4 - Cálculo'!I93+'Hoja 4 - Cálculo'!J93+'Hoja 4 - Cálculo'!K93)))</f>
        <v>11.5</v>
      </c>
      <c r="I192" s="15">
        <f t="shared" si="32"/>
        <v>11.5</v>
      </c>
      <c r="J192" s="15">
        <f t="shared" si="43"/>
        <v>0</v>
      </c>
      <c r="K192" s="15">
        <f>MIN(J192+G192,(J192+G192)*'Hoja 4 - Cálculo'!$B$15)</f>
        <v>0.45211500000000004</v>
      </c>
      <c r="L192" s="15">
        <f t="shared" si="33"/>
        <v>22.153635000000001</v>
      </c>
      <c r="M192" s="15">
        <f t="shared" si="34"/>
        <v>11.5</v>
      </c>
      <c r="N192" s="15">
        <f t="shared" si="35"/>
        <v>1</v>
      </c>
      <c r="O192" s="15">
        <f t="shared" si="36"/>
        <v>9.6536350000000013</v>
      </c>
      <c r="P192" s="15">
        <f t="shared" si="37"/>
        <v>0</v>
      </c>
      <c r="Q192" s="14" t="str">
        <f>IF(M192&gt;=I192*'Hoja 4 - Cálculo'!$B$16,"Satisfactorio","Falla")</f>
        <v>Satisfactorio</v>
      </c>
      <c r="R192" s="14">
        <f t="shared" si="44"/>
        <v>1</v>
      </c>
      <c r="S192" s="14">
        <f t="shared" si="45"/>
        <v>0</v>
      </c>
    </row>
    <row r="193" spans="1:19">
      <c r="A193" s="14" t="str">
        <f t="shared" si="42"/>
        <v>SRY-1-2</v>
      </c>
      <c r="B193" s="15">
        <f>'Curvas SRY'!$B$8</f>
        <v>1</v>
      </c>
      <c r="C193" s="15">
        <f>'Curvas SRY'!$E$9</f>
        <v>1</v>
      </c>
      <c r="D193" s="14" t="str">
        <f>'Curvas SRY'!$B$14</f>
        <v>Uso variable</v>
      </c>
      <c r="E193" s="14">
        <f>70</f>
        <v>70</v>
      </c>
      <c r="F193" s="21">
        <f>'Hoja 4 - Cálculo'!A94</f>
        <v>31686</v>
      </c>
      <c r="G193" s="15">
        <f>'Hoja 4 - Cálculo'!H94</f>
        <v>32.531624999999998</v>
      </c>
      <c r="H193" s="15">
        <f>IF(D193="Uso único",'Hoja 4 - Cálculo'!I94,IF(D193="Uso múltiple",AVERAGE('Hoja 4 - Cálculo'!$I$25:$I$384)+AVERAGE('Hoja 4 - Cálculo'!$J$25:$J$384)+AVERAGE('Hoja 4 - Cálculo'!$K$25:$K$384),IF(D193="Uso prioritario",'Hoja 4 - Cálculo'!I94+'Hoja 4 - Cálculo'!K94,'Hoja 4 - Cálculo'!I94+'Hoja 4 - Cálculo'!J94+'Hoja 4 - Cálculo'!K94)))</f>
        <v>11.5</v>
      </c>
      <c r="I193" s="15">
        <f t="shared" si="32"/>
        <v>11.5</v>
      </c>
      <c r="J193" s="15">
        <f t="shared" si="43"/>
        <v>1</v>
      </c>
      <c r="K193" s="15">
        <f>MIN(J193+G193,(J193+G193)*'Hoja 4 - Cálculo'!$B$15)</f>
        <v>0.67063249999999996</v>
      </c>
      <c r="L193" s="15">
        <f t="shared" si="33"/>
        <v>32.860992499999995</v>
      </c>
      <c r="M193" s="15">
        <f t="shared" si="34"/>
        <v>11.5</v>
      </c>
      <c r="N193" s="15">
        <f t="shared" si="35"/>
        <v>1</v>
      </c>
      <c r="O193" s="15">
        <f t="shared" si="36"/>
        <v>20.360992499999995</v>
      </c>
      <c r="P193" s="15">
        <f t="shared" si="37"/>
        <v>0</v>
      </c>
      <c r="Q193" s="14" t="str">
        <f>IF(M193&gt;=I193*'Hoja 4 - Cálculo'!$B$16,"Satisfactorio","Falla")</f>
        <v>Satisfactorio</v>
      </c>
      <c r="R193" s="14">
        <f t="shared" si="44"/>
        <v>0</v>
      </c>
      <c r="S193" s="14">
        <f t="shared" si="45"/>
        <v>0</v>
      </c>
    </row>
    <row r="194" spans="1:19">
      <c r="A194" s="14" t="str">
        <f t="shared" si="42"/>
        <v>SRY-1-2</v>
      </c>
      <c r="B194" s="15">
        <f>'Curvas SRY'!$B$8</f>
        <v>1</v>
      </c>
      <c r="C194" s="15">
        <f>'Curvas SRY'!$E$9</f>
        <v>1</v>
      </c>
      <c r="D194" s="14" t="str">
        <f>'Curvas SRY'!$B$14</f>
        <v>Uso variable</v>
      </c>
      <c r="E194" s="14">
        <f>71</f>
        <v>71</v>
      </c>
      <c r="F194" s="21">
        <f>'Hoja 4 - Cálculo'!A95</f>
        <v>31717</v>
      </c>
      <c r="G194" s="15">
        <f>'Hoja 4 - Cálculo'!H95</f>
        <v>26.641124999999999</v>
      </c>
      <c r="H194" s="15">
        <f>IF(D194="Uso único",'Hoja 4 - Cálculo'!I95,IF(D194="Uso múltiple",AVERAGE('Hoja 4 - Cálculo'!$I$25:$I$384)+AVERAGE('Hoja 4 - Cálculo'!$J$25:$J$384)+AVERAGE('Hoja 4 - Cálculo'!$K$25:$K$384),IF(D194="Uso prioritario",'Hoja 4 - Cálculo'!I95+'Hoja 4 - Cálculo'!K95,'Hoja 4 - Cálculo'!I95+'Hoja 4 - Cálculo'!J95+'Hoja 4 - Cálculo'!K95)))</f>
        <v>11.5</v>
      </c>
      <c r="I194" s="15">
        <f t="shared" si="32"/>
        <v>11.5</v>
      </c>
      <c r="J194" s="15">
        <f t="shared" si="43"/>
        <v>1</v>
      </c>
      <c r="K194" s="15">
        <f>MIN(J194+G194,(J194+G194)*'Hoja 4 - Cálculo'!$B$15)</f>
        <v>0.55282249999999999</v>
      </c>
      <c r="L194" s="15">
        <f t="shared" si="33"/>
        <v>27.088302499999998</v>
      </c>
      <c r="M194" s="15">
        <f t="shared" si="34"/>
        <v>11.5</v>
      </c>
      <c r="N194" s="15">
        <f t="shared" si="35"/>
        <v>1</v>
      </c>
      <c r="O194" s="15">
        <f t="shared" si="36"/>
        <v>14.588302499999998</v>
      </c>
      <c r="P194" s="15">
        <f t="shared" si="37"/>
        <v>0</v>
      </c>
      <c r="Q194" s="14" t="str">
        <f>IF(M194&gt;=I194*'Hoja 4 - Cálculo'!$B$16,"Satisfactorio","Falla")</f>
        <v>Satisfactorio</v>
      </c>
      <c r="R194" s="14">
        <f t="shared" si="44"/>
        <v>0</v>
      </c>
      <c r="S194" s="14">
        <f t="shared" si="45"/>
        <v>0</v>
      </c>
    </row>
    <row r="195" spans="1:19">
      <c r="A195" s="14" t="str">
        <f t="shared" si="42"/>
        <v>SRY-1-2</v>
      </c>
      <c r="B195" s="15">
        <f>'Curvas SRY'!$B$8</f>
        <v>1</v>
      </c>
      <c r="C195" s="15">
        <f>'Curvas SRY'!$E$9</f>
        <v>1</v>
      </c>
      <c r="D195" s="14" t="str">
        <f>'Curvas SRY'!$B$14</f>
        <v>Uso variable</v>
      </c>
      <c r="E195" s="14">
        <f>72</f>
        <v>72</v>
      </c>
      <c r="F195" s="21">
        <f>'Hoja 4 - Cálculo'!A96</f>
        <v>31747</v>
      </c>
      <c r="G195" s="15">
        <f>'Hoja 4 - Cálculo'!H96</f>
        <v>15.166124999999999</v>
      </c>
      <c r="H195" s="15">
        <f>IF(D195="Uso único",'Hoja 4 - Cálculo'!I96,IF(D195="Uso múltiple",AVERAGE('Hoja 4 - Cálculo'!$I$25:$I$384)+AVERAGE('Hoja 4 - Cálculo'!$J$25:$J$384)+AVERAGE('Hoja 4 - Cálculo'!$K$25:$K$384),IF(D195="Uso prioritario",'Hoja 4 - Cálculo'!I96+'Hoja 4 - Cálculo'!K96,'Hoja 4 - Cálculo'!I96+'Hoja 4 - Cálculo'!J96+'Hoja 4 - Cálculo'!K96)))</f>
        <v>16</v>
      </c>
      <c r="I195" s="15">
        <f t="shared" si="32"/>
        <v>16</v>
      </c>
      <c r="J195" s="15">
        <f t="shared" si="43"/>
        <v>1</v>
      </c>
      <c r="K195" s="15">
        <f>MIN(J195+G195,(J195+G195)*'Hoja 4 - Cálculo'!$B$15)</f>
        <v>0.32332250000000001</v>
      </c>
      <c r="L195" s="15">
        <f t="shared" si="33"/>
        <v>15.842802500000001</v>
      </c>
      <c r="M195" s="15">
        <f t="shared" si="34"/>
        <v>15.842802500000001</v>
      </c>
      <c r="N195" s="15">
        <f t="shared" si="35"/>
        <v>0</v>
      </c>
      <c r="O195" s="15">
        <f t="shared" si="36"/>
        <v>0</v>
      </c>
      <c r="P195" s="15">
        <f t="shared" si="37"/>
        <v>0.15719749999999877</v>
      </c>
      <c r="Q195" s="14" t="str">
        <f>IF(M195&gt;=I195*'Hoja 4 - Cálculo'!$B$16,"Satisfactorio","Falla")</f>
        <v>Falla</v>
      </c>
      <c r="R195" s="14">
        <f t="shared" si="44"/>
        <v>0</v>
      </c>
      <c r="S195" s="14">
        <f t="shared" si="45"/>
        <v>1</v>
      </c>
    </row>
    <row r="196" spans="1:19">
      <c r="A196" s="14" t="str">
        <f t="shared" si="42"/>
        <v>SRY-1-2</v>
      </c>
      <c r="B196" s="15">
        <f>'Curvas SRY'!$B$8</f>
        <v>1</v>
      </c>
      <c r="C196" s="15">
        <f>'Curvas SRY'!$E$9</f>
        <v>1</v>
      </c>
      <c r="D196" s="14" t="str">
        <f>'Curvas SRY'!$B$14</f>
        <v>Uso variable</v>
      </c>
      <c r="E196" s="14">
        <f>73</f>
        <v>73</v>
      </c>
      <c r="F196" s="21">
        <f>'Hoja 4 - Cálculo'!A97</f>
        <v>31778</v>
      </c>
      <c r="G196" s="15">
        <f>'Hoja 4 - Cálculo'!H97</f>
        <v>14.056875</v>
      </c>
      <c r="H196" s="15">
        <f>IF(D196="Uso único",'Hoja 4 - Cálculo'!I97,IF(D196="Uso múltiple",AVERAGE('Hoja 4 - Cálculo'!$I$25:$I$384)+AVERAGE('Hoja 4 - Cálculo'!$J$25:$J$384)+AVERAGE('Hoja 4 - Cálculo'!$K$25:$K$384),IF(D196="Uso prioritario",'Hoja 4 - Cálculo'!I97+'Hoja 4 - Cálculo'!K97,'Hoja 4 - Cálculo'!I97+'Hoja 4 - Cálculo'!J97+'Hoja 4 - Cálculo'!K97)))</f>
        <v>16</v>
      </c>
      <c r="I196" s="15">
        <f t="shared" ref="I196:I259" si="46">H196*C196</f>
        <v>16</v>
      </c>
      <c r="J196" s="15">
        <f t="shared" si="43"/>
        <v>0</v>
      </c>
      <c r="K196" s="15">
        <f>MIN(J196+G196,(J196+G196)*'Hoja 4 - Cálculo'!$B$15)</f>
        <v>0.28113749999999998</v>
      </c>
      <c r="L196" s="15">
        <f t="shared" ref="L196:L259" si="47">MAX(0,J196+G196-K196)</f>
        <v>13.7757375</v>
      </c>
      <c r="M196" s="15">
        <f t="shared" ref="M196:M259" si="48">MIN(I196,L196)</f>
        <v>13.7757375</v>
      </c>
      <c r="N196" s="15">
        <f t="shared" ref="N196:N259" si="49">MIN(B196,MAX(0,L196-M196))</f>
        <v>0</v>
      </c>
      <c r="O196" s="15">
        <f t="shared" ref="O196:O259" si="50">MAX(0,L196-M196-B196)</f>
        <v>0</v>
      </c>
      <c r="P196" s="15">
        <f t="shared" ref="P196:P259" si="51">MAX(0,I196-M196)</f>
        <v>2.2242625</v>
      </c>
      <c r="Q196" s="14" t="str">
        <f>IF(M196&gt;=I196*'Hoja 4 - Cálculo'!$B$16,"Satisfactorio","Falla")</f>
        <v>Falla</v>
      </c>
      <c r="R196" s="14">
        <f t="shared" si="44"/>
        <v>0</v>
      </c>
      <c r="S196" s="14">
        <f t="shared" si="45"/>
        <v>0</v>
      </c>
    </row>
    <row r="197" spans="1:19">
      <c r="A197" s="14" t="str">
        <f t="shared" si="42"/>
        <v>SRY-1-2</v>
      </c>
      <c r="B197" s="15">
        <f>'Curvas SRY'!$B$8</f>
        <v>1</v>
      </c>
      <c r="C197" s="15">
        <f>'Curvas SRY'!$E$9</f>
        <v>1</v>
      </c>
      <c r="D197" s="14" t="str">
        <f>'Curvas SRY'!$B$14</f>
        <v>Uso variable</v>
      </c>
      <c r="E197" s="14">
        <f>74</f>
        <v>74</v>
      </c>
      <c r="F197" s="21">
        <f>'Hoja 4 - Cálculo'!A98</f>
        <v>31809</v>
      </c>
      <c r="G197" s="15">
        <f>'Hoja 4 - Cálculo'!H98</f>
        <v>15.969374999999999</v>
      </c>
      <c r="H197" s="15">
        <f>IF(D197="Uso único",'Hoja 4 - Cálculo'!I98,IF(D197="Uso múltiple",AVERAGE('Hoja 4 - Cálculo'!$I$25:$I$384)+AVERAGE('Hoja 4 - Cálculo'!$J$25:$J$384)+AVERAGE('Hoja 4 - Cálculo'!$K$25:$K$384),IF(D197="Uso prioritario",'Hoja 4 - Cálculo'!I98+'Hoja 4 - Cálculo'!K98,'Hoja 4 - Cálculo'!I98+'Hoja 4 - Cálculo'!J98+'Hoja 4 - Cálculo'!K98)))</f>
        <v>16</v>
      </c>
      <c r="I197" s="15">
        <f t="shared" si="46"/>
        <v>16</v>
      </c>
      <c r="J197" s="15">
        <f t="shared" si="43"/>
        <v>0</v>
      </c>
      <c r="K197" s="15">
        <f>MIN(J197+G197,(J197+G197)*'Hoja 4 - Cálculo'!$B$15)</f>
        <v>0.31938749999999999</v>
      </c>
      <c r="L197" s="15">
        <f t="shared" si="47"/>
        <v>15.6499875</v>
      </c>
      <c r="M197" s="15">
        <f t="shared" si="48"/>
        <v>15.6499875</v>
      </c>
      <c r="N197" s="15">
        <f t="shared" si="49"/>
        <v>0</v>
      </c>
      <c r="O197" s="15">
        <f t="shared" si="50"/>
        <v>0</v>
      </c>
      <c r="P197" s="15">
        <f t="shared" si="51"/>
        <v>0.35001250000000006</v>
      </c>
      <c r="Q197" s="14" t="str">
        <f>IF(M197&gt;=I197*'Hoja 4 - Cálculo'!$B$16,"Satisfactorio","Falla")</f>
        <v>Falla</v>
      </c>
      <c r="R197" s="14">
        <f t="shared" si="44"/>
        <v>0</v>
      </c>
      <c r="S197" s="14">
        <f t="shared" si="45"/>
        <v>0</v>
      </c>
    </row>
    <row r="198" spans="1:19">
      <c r="A198" s="14" t="str">
        <f t="shared" si="42"/>
        <v>SRY-1-2</v>
      </c>
      <c r="B198" s="15">
        <f>'Curvas SRY'!$B$8</f>
        <v>1</v>
      </c>
      <c r="C198" s="15">
        <f>'Curvas SRY'!$E$9</f>
        <v>1</v>
      </c>
      <c r="D198" s="14" t="str">
        <f>'Curvas SRY'!$B$14</f>
        <v>Uso variable</v>
      </c>
      <c r="E198" s="14">
        <f>75</f>
        <v>75</v>
      </c>
      <c r="F198" s="21">
        <f>'Hoja 4 - Cálculo'!A99</f>
        <v>31837</v>
      </c>
      <c r="G198" s="15">
        <f>'Hoja 4 - Cálculo'!H99</f>
        <v>22.797000000000001</v>
      </c>
      <c r="H198" s="15">
        <f>IF(D198="Uso único",'Hoja 4 - Cálculo'!I99,IF(D198="Uso múltiple",AVERAGE('Hoja 4 - Cálculo'!$I$25:$I$384)+AVERAGE('Hoja 4 - Cálculo'!$J$25:$J$384)+AVERAGE('Hoja 4 - Cálculo'!$K$25:$K$384),IF(D198="Uso prioritario",'Hoja 4 - Cálculo'!I99+'Hoja 4 - Cálculo'!K99,'Hoja 4 - Cálculo'!I99+'Hoja 4 - Cálculo'!J99+'Hoja 4 - Cálculo'!K99)))</f>
        <v>16</v>
      </c>
      <c r="I198" s="15">
        <f t="shared" si="46"/>
        <v>16</v>
      </c>
      <c r="J198" s="15">
        <f t="shared" si="43"/>
        <v>0</v>
      </c>
      <c r="K198" s="15">
        <f>MIN(J198+G198,(J198+G198)*'Hoja 4 - Cálculo'!$B$15)</f>
        <v>0.45594000000000001</v>
      </c>
      <c r="L198" s="15">
        <f t="shared" si="47"/>
        <v>22.341059999999999</v>
      </c>
      <c r="M198" s="15">
        <f t="shared" si="48"/>
        <v>16</v>
      </c>
      <c r="N198" s="15">
        <f t="shared" si="49"/>
        <v>1</v>
      </c>
      <c r="O198" s="15">
        <f t="shared" si="50"/>
        <v>5.3410599999999988</v>
      </c>
      <c r="P198" s="15">
        <f t="shared" si="51"/>
        <v>0</v>
      </c>
      <c r="Q198" s="14" t="str">
        <f>IF(M198&gt;=I198*'Hoja 4 - Cálculo'!$B$16,"Satisfactorio","Falla")</f>
        <v>Satisfactorio</v>
      </c>
      <c r="R198" s="14">
        <f t="shared" si="44"/>
        <v>1</v>
      </c>
      <c r="S198" s="14">
        <f t="shared" si="45"/>
        <v>0</v>
      </c>
    </row>
    <row r="199" spans="1:19">
      <c r="A199" s="14" t="str">
        <f t="shared" si="42"/>
        <v>SRY-1-2</v>
      </c>
      <c r="B199" s="15">
        <f>'Curvas SRY'!$B$8</f>
        <v>1</v>
      </c>
      <c r="C199" s="15">
        <f>'Curvas SRY'!$E$9</f>
        <v>1</v>
      </c>
      <c r="D199" s="14" t="str">
        <f>'Curvas SRY'!$B$14</f>
        <v>Uso variable</v>
      </c>
      <c r="E199" s="14">
        <f>76</f>
        <v>76</v>
      </c>
      <c r="F199" s="21">
        <f>'Hoja 4 - Cálculo'!A100</f>
        <v>31868</v>
      </c>
      <c r="G199" s="15">
        <f>'Hoja 4 - Cálculo'!H100</f>
        <v>34.138125000000002</v>
      </c>
      <c r="H199" s="15">
        <f>IF(D199="Uso único",'Hoja 4 - Cálculo'!I100,IF(D199="Uso múltiple",AVERAGE('Hoja 4 - Cálculo'!$I$25:$I$384)+AVERAGE('Hoja 4 - Cálculo'!$J$25:$J$384)+AVERAGE('Hoja 4 - Cálculo'!$K$25:$K$384),IF(D199="Uso prioritario",'Hoja 4 - Cálculo'!I100+'Hoja 4 - Cálculo'!K100,'Hoja 4 - Cálculo'!I100+'Hoja 4 - Cálculo'!J100+'Hoja 4 - Cálculo'!K100)))</f>
        <v>11.5</v>
      </c>
      <c r="I199" s="15">
        <f t="shared" si="46"/>
        <v>11.5</v>
      </c>
      <c r="J199" s="15">
        <f t="shared" si="43"/>
        <v>1</v>
      </c>
      <c r="K199" s="15">
        <f>MIN(J199+G199,(J199+G199)*'Hoja 4 - Cálculo'!$B$15)</f>
        <v>0.70276250000000007</v>
      </c>
      <c r="L199" s="15">
        <f t="shared" si="47"/>
        <v>34.435362500000004</v>
      </c>
      <c r="M199" s="15">
        <f t="shared" si="48"/>
        <v>11.5</v>
      </c>
      <c r="N199" s="15">
        <f t="shared" si="49"/>
        <v>1</v>
      </c>
      <c r="O199" s="15">
        <f t="shared" si="50"/>
        <v>21.935362500000004</v>
      </c>
      <c r="P199" s="15">
        <f t="shared" si="51"/>
        <v>0</v>
      </c>
      <c r="Q199" s="14" t="str">
        <f>IF(M199&gt;=I199*'Hoja 4 - Cálculo'!$B$16,"Satisfactorio","Falla")</f>
        <v>Satisfactorio</v>
      </c>
      <c r="R199" s="14">
        <f t="shared" si="44"/>
        <v>0</v>
      </c>
      <c r="S199" s="14">
        <f t="shared" si="45"/>
        <v>0</v>
      </c>
    </row>
    <row r="200" spans="1:19">
      <c r="A200" s="14" t="str">
        <f t="shared" si="42"/>
        <v>SRY-1-2</v>
      </c>
      <c r="B200" s="15">
        <f>'Curvas SRY'!$B$8</f>
        <v>1</v>
      </c>
      <c r="C200" s="15">
        <f>'Curvas SRY'!$E$9</f>
        <v>1</v>
      </c>
      <c r="D200" s="14" t="str">
        <f>'Curvas SRY'!$B$14</f>
        <v>Uso variable</v>
      </c>
      <c r="E200" s="14">
        <f>77</f>
        <v>77</v>
      </c>
      <c r="F200" s="21">
        <f>'Hoja 4 - Cálculo'!A101</f>
        <v>31898</v>
      </c>
      <c r="G200" s="15">
        <f>'Hoja 4 - Cálculo'!H101</f>
        <v>28.534500000000001</v>
      </c>
      <c r="H200" s="15">
        <f>IF(D200="Uso único",'Hoja 4 - Cálculo'!I101,IF(D200="Uso múltiple",AVERAGE('Hoja 4 - Cálculo'!$I$25:$I$384)+AVERAGE('Hoja 4 - Cálculo'!$J$25:$J$384)+AVERAGE('Hoja 4 - Cálculo'!$K$25:$K$384),IF(D200="Uso prioritario",'Hoja 4 - Cálculo'!I101+'Hoja 4 - Cálculo'!K101,'Hoja 4 - Cálculo'!I101+'Hoja 4 - Cálculo'!J101+'Hoja 4 - Cálculo'!K101)))</f>
        <v>11.5</v>
      </c>
      <c r="I200" s="15">
        <f t="shared" si="46"/>
        <v>11.5</v>
      </c>
      <c r="J200" s="15">
        <f t="shared" si="43"/>
        <v>1</v>
      </c>
      <c r="K200" s="15">
        <f>MIN(J200+G200,(J200+G200)*'Hoja 4 - Cálculo'!$B$15)</f>
        <v>0.59069000000000005</v>
      </c>
      <c r="L200" s="15">
        <f t="shared" si="47"/>
        <v>28.943810000000003</v>
      </c>
      <c r="M200" s="15">
        <f t="shared" si="48"/>
        <v>11.5</v>
      </c>
      <c r="N200" s="15">
        <f t="shared" si="49"/>
        <v>1</v>
      </c>
      <c r="O200" s="15">
        <f t="shared" si="50"/>
        <v>16.443810000000003</v>
      </c>
      <c r="P200" s="15">
        <f t="shared" si="51"/>
        <v>0</v>
      </c>
      <c r="Q200" s="14" t="str">
        <f>IF(M200&gt;=I200*'Hoja 4 - Cálculo'!$B$16,"Satisfactorio","Falla")</f>
        <v>Satisfactorio</v>
      </c>
      <c r="R200" s="14">
        <f t="shared" si="44"/>
        <v>0</v>
      </c>
      <c r="S200" s="14">
        <f t="shared" si="45"/>
        <v>0</v>
      </c>
    </row>
    <row r="201" spans="1:19">
      <c r="A201" s="14" t="str">
        <f t="shared" si="42"/>
        <v>SRY-1-2</v>
      </c>
      <c r="B201" s="15">
        <f>'Curvas SRY'!$B$8</f>
        <v>1</v>
      </c>
      <c r="C201" s="15">
        <f>'Curvas SRY'!$E$9</f>
        <v>1</v>
      </c>
      <c r="D201" s="14" t="str">
        <f>'Curvas SRY'!$B$14</f>
        <v>Uso variable</v>
      </c>
      <c r="E201" s="14">
        <f>78</f>
        <v>78</v>
      </c>
      <c r="F201" s="21">
        <f>'Hoja 4 - Cálculo'!A102</f>
        <v>31929</v>
      </c>
      <c r="G201" s="15">
        <f>'Hoja 4 - Cálculo'!H102</f>
        <v>18.589500000000001</v>
      </c>
      <c r="H201" s="15">
        <f>IF(D201="Uso único",'Hoja 4 - Cálculo'!I102,IF(D201="Uso múltiple",AVERAGE('Hoja 4 - Cálculo'!$I$25:$I$384)+AVERAGE('Hoja 4 - Cálculo'!$J$25:$J$384)+AVERAGE('Hoja 4 - Cálculo'!$K$25:$K$384),IF(D201="Uso prioritario",'Hoja 4 - Cálculo'!I102+'Hoja 4 - Cálculo'!K102,'Hoja 4 - Cálculo'!I102+'Hoja 4 - Cálculo'!J102+'Hoja 4 - Cálculo'!K102)))</f>
        <v>11.5</v>
      </c>
      <c r="I201" s="15">
        <f t="shared" si="46"/>
        <v>11.5</v>
      </c>
      <c r="J201" s="15">
        <f t="shared" si="43"/>
        <v>1</v>
      </c>
      <c r="K201" s="15">
        <f>MIN(J201+G201,(J201+G201)*'Hoja 4 - Cálculo'!$B$15)</f>
        <v>0.39179000000000003</v>
      </c>
      <c r="L201" s="15">
        <f t="shared" si="47"/>
        <v>19.197710000000001</v>
      </c>
      <c r="M201" s="15">
        <f t="shared" si="48"/>
        <v>11.5</v>
      </c>
      <c r="N201" s="15">
        <f t="shared" si="49"/>
        <v>1</v>
      </c>
      <c r="O201" s="15">
        <f t="shared" si="50"/>
        <v>6.6977100000000007</v>
      </c>
      <c r="P201" s="15">
        <f t="shared" si="51"/>
        <v>0</v>
      </c>
      <c r="Q201" s="14" t="str">
        <f>IF(M201&gt;=I201*'Hoja 4 - Cálculo'!$B$16,"Satisfactorio","Falla")</f>
        <v>Satisfactorio</v>
      </c>
      <c r="R201" s="14">
        <f t="shared" si="44"/>
        <v>0</v>
      </c>
      <c r="S201" s="14">
        <f t="shared" si="45"/>
        <v>0</v>
      </c>
    </row>
    <row r="202" spans="1:19">
      <c r="A202" s="14" t="str">
        <f t="shared" si="42"/>
        <v>SRY-1-2</v>
      </c>
      <c r="B202" s="15">
        <f>'Curvas SRY'!$B$8</f>
        <v>1</v>
      </c>
      <c r="C202" s="15">
        <f>'Curvas SRY'!$E$9</f>
        <v>1</v>
      </c>
      <c r="D202" s="14" t="str">
        <f>'Curvas SRY'!$B$14</f>
        <v>Uso variable</v>
      </c>
      <c r="E202" s="14">
        <f>79</f>
        <v>79</v>
      </c>
      <c r="F202" s="21">
        <f>'Hoja 4 - Cálculo'!A103</f>
        <v>31959</v>
      </c>
      <c r="G202" s="15">
        <f>'Hoja 4 - Cálculo'!H103</f>
        <v>14.688000000000001</v>
      </c>
      <c r="H202" s="15">
        <f>IF(D202="Uso único",'Hoja 4 - Cálculo'!I103,IF(D202="Uso múltiple",AVERAGE('Hoja 4 - Cálculo'!$I$25:$I$384)+AVERAGE('Hoja 4 - Cálculo'!$J$25:$J$384)+AVERAGE('Hoja 4 - Cálculo'!$K$25:$K$384),IF(D202="Uso prioritario",'Hoja 4 - Cálculo'!I103+'Hoja 4 - Cálculo'!K103,'Hoja 4 - Cálculo'!I103+'Hoja 4 - Cálculo'!J103+'Hoja 4 - Cálculo'!K103)))</f>
        <v>16</v>
      </c>
      <c r="I202" s="15">
        <f t="shared" si="46"/>
        <v>16</v>
      </c>
      <c r="J202" s="15">
        <f t="shared" si="43"/>
        <v>1</v>
      </c>
      <c r="K202" s="15">
        <f>MIN(J202+G202,(J202+G202)*'Hoja 4 - Cálculo'!$B$15)</f>
        <v>0.31376000000000004</v>
      </c>
      <c r="L202" s="15">
        <f t="shared" si="47"/>
        <v>15.37424</v>
      </c>
      <c r="M202" s="15">
        <f t="shared" si="48"/>
        <v>15.37424</v>
      </c>
      <c r="N202" s="15">
        <f t="shared" si="49"/>
        <v>0</v>
      </c>
      <c r="O202" s="15">
        <f t="shared" si="50"/>
        <v>0</v>
      </c>
      <c r="P202" s="15">
        <f t="shared" si="51"/>
        <v>0.62575999999999965</v>
      </c>
      <c r="Q202" s="14" t="str">
        <f>IF(M202&gt;=I202*'Hoja 4 - Cálculo'!$B$16,"Satisfactorio","Falla")</f>
        <v>Falla</v>
      </c>
      <c r="R202" s="14">
        <f t="shared" si="44"/>
        <v>0</v>
      </c>
      <c r="S202" s="14">
        <f t="shared" si="45"/>
        <v>1</v>
      </c>
    </row>
    <row r="203" spans="1:19">
      <c r="A203" s="14" t="str">
        <f t="shared" si="42"/>
        <v>SRY-1-2</v>
      </c>
      <c r="B203" s="15">
        <f>'Curvas SRY'!$B$8</f>
        <v>1</v>
      </c>
      <c r="C203" s="15">
        <f>'Curvas SRY'!$E$9</f>
        <v>1</v>
      </c>
      <c r="D203" s="14" t="str">
        <f>'Curvas SRY'!$B$14</f>
        <v>Uso variable</v>
      </c>
      <c r="E203" s="14">
        <f>80</f>
        <v>80</v>
      </c>
      <c r="F203" s="21">
        <f>'Hoja 4 - Cálculo'!A104</f>
        <v>31990</v>
      </c>
      <c r="G203" s="15">
        <f>'Hoja 4 - Cálculo'!H104</f>
        <v>15.759</v>
      </c>
      <c r="H203" s="15">
        <f>IF(D203="Uso único",'Hoja 4 - Cálculo'!I104,IF(D203="Uso múltiple",AVERAGE('Hoja 4 - Cálculo'!$I$25:$I$384)+AVERAGE('Hoja 4 - Cálculo'!$J$25:$J$384)+AVERAGE('Hoja 4 - Cálculo'!$K$25:$K$384),IF(D203="Uso prioritario",'Hoja 4 - Cálculo'!I104+'Hoja 4 - Cálculo'!K104,'Hoja 4 - Cálculo'!I104+'Hoja 4 - Cálculo'!J104+'Hoja 4 - Cálculo'!K104)))</f>
        <v>16</v>
      </c>
      <c r="I203" s="15">
        <f t="shared" si="46"/>
        <v>16</v>
      </c>
      <c r="J203" s="15">
        <f t="shared" si="43"/>
        <v>0</v>
      </c>
      <c r="K203" s="15">
        <f>MIN(J203+G203,(J203+G203)*'Hoja 4 - Cálculo'!$B$15)</f>
        <v>0.31518000000000002</v>
      </c>
      <c r="L203" s="15">
        <f t="shared" si="47"/>
        <v>15.443820000000001</v>
      </c>
      <c r="M203" s="15">
        <f t="shared" si="48"/>
        <v>15.443820000000001</v>
      </c>
      <c r="N203" s="15">
        <f t="shared" si="49"/>
        <v>0</v>
      </c>
      <c r="O203" s="15">
        <f t="shared" si="50"/>
        <v>0</v>
      </c>
      <c r="P203" s="15">
        <f t="shared" si="51"/>
        <v>0.55617999999999945</v>
      </c>
      <c r="Q203" s="14" t="str">
        <f>IF(M203&gt;=I203*'Hoja 4 - Cálculo'!$B$16,"Satisfactorio","Falla")</f>
        <v>Falla</v>
      </c>
      <c r="R203" s="14">
        <f t="shared" si="44"/>
        <v>0</v>
      </c>
      <c r="S203" s="14">
        <f t="shared" si="45"/>
        <v>0</v>
      </c>
    </row>
    <row r="204" spans="1:19">
      <c r="A204" s="14" t="str">
        <f t="shared" si="42"/>
        <v>SRY-1-2</v>
      </c>
      <c r="B204" s="15">
        <f>'Curvas SRY'!$B$8</f>
        <v>1</v>
      </c>
      <c r="C204" s="15">
        <f>'Curvas SRY'!$E$9</f>
        <v>1</v>
      </c>
      <c r="D204" s="14" t="str">
        <f>'Curvas SRY'!$B$14</f>
        <v>Uso variable</v>
      </c>
      <c r="E204" s="14">
        <f>81</f>
        <v>81</v>
      </c>
      <c r="F204" s="21">
        <f>'Hoja 4 - Cálculo'!A105</f>
        <v>32021</v>
      </c>
      <c r="G204" s="15">
        <f>'Hoja 4 - Cálculo'!H105</f>
        <v>26.220375000000001</v>
      </c>
      <c r="H204" s="15">
        <f>IF(D204="Uso único",'Hoja 4 - Cálculo'!I105,IF(D204="Uso múltiple",AVERAGE('Hoja 4 - Cálculo'!$I$25:$I$384)+AVERAGE('Hoja 4 - Cálculo'!$J$25:$J$384)+AVERAGE('Hoja 4 - Cálculo'!$K$25:$K$384),IF(D204="Uso prioritario",'Hoja 4 - Cálculo'!I105+'Hoja 4 - Cálculo'!K105,'Hoja 4 - Cálculo'!I105+'Hoja 4 - Cálculo'!J105+'Hoja 4 - Cálculo'!K105)))</f>
        <v>11.5</v>
      </c>
      <c r="I204" s="15">
        <f t="shared" si="46"/>
        <v>11.5</v>
      </c>
      <c r="J204" s="15">
        <f t="shared" si="43"/>
        <v>0</v>
      </c>
      <c r="K204" s="15">
        <f>MIN(J204+G204,(J204+G204)*'Hoja 4 - Cálculo'!$B$15)</f>
        <v>0.52440750000000003</v>
      </c>
      <c r="L204" s="15">
        <f t="shared" si="47"/>
        <v>25.695967500000002</v>
      </c>
      <c r="M204" s="15">
        <f t="shared" si="48"/>
        <v>11.5</v>
      </c>
      <c r="N204" s="15">
        <f t="shared" si="49"/>
        <v>1</v>
      </c>
      <c r="O204" s="15">
        <f t="shared" si="50"/>
        <v>13.195967500000002</v>
      </c>
      <c r="P204" s="15">
        <f t="shared" si="51"/>
        <v>0</v>
      </c>
      <c r="Q204" s="14" t="str">
        <f>IF(M204&gt;=I204*'Hoja 4 - Cálculo'!$B$16,"Satisfactorio","Falla")</f>
        <v>Satisfactorio</v>
      </c>
      <c r="R204" s="14">
        <f t="shared" si="44"/>
        <v>1</v>
      </c>
      <c r="S204" s="14">
        <f t="shared" si="45"/>
        <v>0</v>
      </c>
    </row>
    <row r="205" spans="1:19">
      <c r="A205" s="14" t="str">
        <f t="shared" si="42"/>
        <v>SRY-1-2</v>
      </c>
      <c r="B205" s="15">
        <f>'Curvas SRY'!$B$8</f>
        <v>1</v>
      </c>
      <c r="C205" s="15">
        <f>'Curvas SRY'!$E$9</f>
        <v>1</v>
      </c>
      <c r="D205" s="14" t="str">
        <f>'Curvas SRY'!$B$14</f>
        <v>Uso variable</v>
      </c>
      <c r="E205" s="14">
        <f>82</f>
        <v>82</v>
      </c>
      <c r="F205" s="21">
        <f>'Hoja 4 - Cálculo'!A106</f>
        <v>32051</v>
      </c>
      <c r="G205" s="15">
        <f>'Hoja 4 - Cálculo'!H106</f>
        <v>32.627249999999997</v>
      </c>
      <c r="H205" s="15">
        <f>IF(D205="Uso único",'Hoja 4 - Cálculo'!I106,IF(D205="Uso múltiple",AVERAGE('Hoja 4 - Cálculo'!$I$25:$I$384)+AVERAGE('Hoja 4 - Cálculo'!$J$25:$J$384)+AVERAGE('Hoja 4 - Cálculo'!$K$25:$K$384),IF(D205="Uso prioritario",'Hoja 4 - Cálculo'!I106+'Hoja 4 - Cálculo'!K106,'Hoja 4 - Cálculo'!I106+'Hoja 4 - Cálculo'!J106+'Hoja 4 - Cálculo'!K106)))</f>
        <v>11.5</v>
      </c>
      <c r="I205" s="15">
        <f t="shared" si="46"/>
        <v>11.5</v>
      </c>
      <c r="J205" s="15">
        <f t="shared" si="43"/>
        <v>1</v>
      </c>
      <c r="K205" s="15">
        <f>MIN(J205+G205,(J205+G205)*'Hoja 4 - Cálculo'!$B$15)</f>
        <v>0.67254499999999995</v>
      </c>
      <c r="L205" s="15">
        <f t="shared" si="47"/>
        <v>32.954704999999997</v>
      </c>
      <c r="M205" s="15">
        <f t="shared" si="48"/>
        <v>11.5</v>
      </c>
      <c r="N205" s="15">
        <f t="shared" si="49"/>
        <v>1</v>
      </c>
      <c r="O205" s="15">
        <f t="shared" si="50"/>
        <v>20.454704999999997</v>
      </c>
      <c r="P205" s="15">
        <f t="shared" si="51"/>
        <v>0</v>
      </c>
      <c r="Q205" s="14" t="str">
        <f>IF(M205&gt;=I205*'Hoja 4 - Cálculo'!$B$16,"Satisfactorio","Falla")</f>
        <v>Satisfactorio</v>
      </c>
      <c r="R205" s="14">
        <f t="shared" si="44"/>
        <v>0</v>
      </c>
      <c r="S205" s="14">
        <f t="shared" si="45"/>
        <v>0</v>
      </c>
    </row>
    <row r="206" spans="1:19">
      <c r="A206" s="14" t="str">
        <f t="shared" si="42"/>
        <v>SRY-1-2</v>
      </c>
      <c r="B206" s="15">
        <f>'Curvas SRY'!$B$8</f>
        <v>1</v>
      </c>
      <c r="C206" s="15">
        <f>'Curvas SRY'!$E$9</f>
        <v>1</v>
      </c>
      <c r="D206" s="14" t="str">
        <f>'Curvas SRY'!$B$14</f>
        <v>Uso variable</v>
      </c>
      <c r="E206" s="14">
        <f>83</f>
        <v>83</v>
      </c>
      <c r="F206" s="21">
        <f>'Hoja 4 - Cálculo'!A107</f>
        <v>32082</v>
      </c>
      <c r="G206" s="15">
        <f>'Hoja 4 - Cálculo'!H107</f>
        <v>29.758500000000002</v>
      </c>
      <c r="H206" s="15">
        <f>IF(D206="Uso único",'Hoja 4 - Cálculo'!I107,IF(D206="Uso múltiple",AVERAGE('Hoja 4 - Cálculo'!$I$25:$I$384)+AVERAGE('Hoja 4 - Cálculo'!$J$25:$J$384)+AVERAGE('Hoja 4 - Cálculo'!$K$25:$K$384),IF(D206="Uso prioritario",'Hoja 4 - Cálculo'!I107+'Hoja 4 - Cálculo'!K107,'Hoja 4 - Cálculo'!I107+'Hoja 4 - Cálculo'!J107+'Hoja 4 - Cálculo'!K107)))</f>
        <v>11.5</v>
      </c>
      <c r="I206" s="15">
        <f t="shared" si="46"/>
        <v>11.5</v>
      </c>
      <c r="J206" s="15">
        <f t="shared" si="43"/>
        <v>1</v>
      </c>
      <c r="K206" s="15">
        <f>MIN(J206+G206,(J206+G206)*'Hoja 4 - Cálculo'!$B$15)</f>
        <v>0.61516999999999999</v>
      </c>
      <c r="L206" s="15">
        <f t="shared" si="47"/>
        <v>30.143330000000002</v>
      </c>
      <c r="M206" s="15">
        <f t="shared" si="48"/>
        <v>11.5</v>
      </c>
      <c r="N206" s="15">
        <f t="shared" si="49"/>
        <v>1</v>
      </c>
      <c r="O206" s="15">
        <f t="shared" si="50"/>
        <v>17.643330000000002</v>
      </c>
      <c r="P206" s="15">
        <f t="shared" si="51"/>
        <v>0</v>
      </c>
      <c r="Q206" s="14" t="str">
        <f>IF(M206&gt;=I206*'Hoja 4 - Cálculo'!$B$16,"Satisfactorio","Falla")</f>
        <v>Satisfactorio</v>
      </c>
      <c r="R206" s="14">
        <f t="shared" si="44"/>
        <v>0</v>
      </c>
      <c r="S206" s="14">
        <f t="shared" si="45"/>
        <v>0</v>
      </c>
    </row>
    <row r="207" spans="1:19">
      <c r="A207" s="14" t="str">
        <f t="shared" si="42"/>
        <v>SRY-1-2</v>
      </c>
      <c r="B207" s="15">
        <f>'Curvas SRY'!$B$8</f>
        <v>1</v>
      </c>
      <c r="C207" s="15">
        <f>'Curvas SRY'!$E$9</f>
        <v>1</v>
      </c>
      <c r="D207" s="14" t="str">
        <f>'Curvas SRY'!$B$14</f>
        <v>Uso variable</v>
      </c>
      <c r="E207" s="14">
        <f>84</f>
        <v>84</v>
      </c>
      <c r="F207" s="21">
        <f>'Hoja 4 - Cálculo'!A108</f>
        <v>32112</v>
      </c>
      <c r="G207" s="15">
        <f>'Hoja 4 - Cálculo'!H108</f>
        <v>16.543125</v>
      </c>
      <c r="H207" s="15">
        <f>IF(D207="Uso único",'Hoja 4 - Cálculo'!I108,IF(D207="Uso múltiple",AVERAGE('Hoja 4 - Cálculo'!$I$25:$I$384)+AVERAGE('Hoja 4 - Cálculo'!$J$25:$J$384)+AVERAGE('Hoja 4 - Cálculo'!$K$25:$K$384),IF(D207="Uso prioritario",'Hoja 4 - Cálculo'!I108+'Hoja 4 - Cálculo'!K108,'Hoja 4 - Cálculo'!I108+'Hoja 4 - Cálculo'!J108+'Hoja 4 - Cálculo'!K108)))</f>
        <v>16</v>
      </c>
      <c r="I207" s="15">
        <f t="shared" si="46"/>
        <v>16</v>
      </c>
      <c r="J207" s="15">
        <f t="shared" si="43"/>
        <v>1</v>
      </c>
      <c r="K207" s="15">
        <f>MIN(J207+G207,(J207+G207)*'Hoja 4 - Cálculo'!$B$15)</f>
        <v>0.35086250000000002</v>
      </c>
      <c r="L207" s="15">
        <f t="shared" si="47"/>
        <v>17.192262499999998</v>
      </c>
      <c r="M207" s="15">
        <f t="shared" si="48"/>
        <v>16</v>
      </c>
      <c r="N207" s="15">
        <f t="shared" si="49"/>
        <v>1</v>
      </c>
      <c r="O207" s="15">
        <f t="shared" si="50"/>
        <v>0.19226249999999823</v>
      </c>
      <c r="P207" s="15">
        <f t="shared" si="51"/>
        <v>0</v>
      </c>
      <c r="Q207" s="14" t="str">
        <f>IF(M207&gt;=I207*'Hoja 4 - Cálculo'!$B$16,"Satisfactorio","Falla")</f>
        <v>Satisfactorio</v>
      </c>
      <c r="R207" s="14">
        <f t="shared" si="44"/>
        <v>0</v>
      </c>
      <c r="S207" s="14">
        <f t="shared" si="45"/>
        <v>0</v>
      </c>
    </row>
    <row r="208" spans="1:19">
      <c r="A208" s="14" t="str">
        <f t="shared" si="42"/>
        <v>SRY-1-2</v>
      </c>
      <c r="B208" s="15">
        <f>'Curvas SRY'!$B$8</f>
        <v>1</v>
      </c>
      <c r="C208" s="15">
        <f>'Curvas SRY'!$E$9</f>
        <v>1</v>
      </c>
      <c r="D208" s="14" t="str">
        <f>'Curvas SRY'!$B$14</f>
        <v>Uso variable</v>
      </c>
      <c r="E208" s="14">
        <f>85</f>
        <v>85</v>
      </c>
      <c r="F208" s="21">
        <f>'Hoja 4 - Cálculo'!A109</f>
        <v>32143</v>
      </c>
      <c r="G208" s="15">
        <f>'Hoja 4 - Cálculo'!H109</f>
        <v>13.291874999999999</v>
      </c>
      <c r="H208" s="15">
        <f>IF(D208="Uso único",'Hoja 4 - Cálculo'!I109,IF(D208="Uso múltiple",AVERAGE('Hoja 4 - Cálculo'!$I$25:$I$384)+AVERAGE('Hoja 4 - Cálculo'!$J$25:$J$384)+AVERAGE('Hoja 4 - Cálculo'!$K$25:$K$384),IF(D208="Uso prioritario",'Hoja 4 - Cálculo'!I109+'Hoja 4 - Cálculo'!K109,'Hoja 4 - Cálculo'!I109+'Hoja 4 - Cálculo'!J109+'Hoja 4 - Cálculo'!K109)))</f>
        <v>16</v>
      </c>
      <c r="I208" s="15">
        <f t="shared" si="46"/>
        <v>16</v>
      </c>
      <c r="J208" s="15">
        <f t="shared" si="43"/>
        <v>1</v>
      </c>
      <c r="K208" s="15">
        <f>MIN(J208+G208,(J208+G208)*'Hoja 4 - Cálculo'!$B$15)</f>
        <v>0.28583749999999997</v>
      </c>
      <c r="L208" s="15">
        <f t="shared" si="47"/>
        <v>14.0060375</v>
      </c>
      <c r="M208" s="15">
        <f t="shared" si="48"/>
        <v>14.0060375</v>
      </c>
      <c r="N208" s="15">
        <f t="shared" si="49"/>
        <v>0</v>
      </c>
      <c r="O208" s="15">
        <f t="shared" si="50"/>
        <v>0</v>
      </c>
      <c r="P208" s="15">
        <f t="shared" si="51"/>
        <v>1.9939625000000003</v>
      </c>
      <c r="Q208" s="14" t="str">
        <f>IF(M208&gt;=I208*'Hoja 4 - Cálculo'!$B$16,"Satisfactorio","Falla")</f>
        <v>Falla</v>
      </c>
      <c r="R208" s="14">
        <f t="shared" si="44"/>
        <v>0</v>
      </c>
      <c r="S208" s="14">
        <f t="shared" si="45"/>
        <v>1</v>
      </c>
    </row>
    <row r="209" spans="1:19">
      <c r="A209" s="14" t="str">
        <f t="shared" si="42"/>
        <v>SRY-1-2</v>
      </c>
      <c r="B209" s="15">
        <f>'Curvas SRY'!$B$8</f>
        <v>1</v>
      </c>
      <c r="C209" s="15">
        <f>'Curvas SRY'!$E$9</f>
        <v>1</v>
      </c>
      <c r="D209" s="14" t="str">
        <f>'Curvas SRY'!$B$14</f>
        <v>Uso variable</v>
      </c>
      <c r="E209" s="14">
        <f>86</f>
        <v>86</v>
      </c>
      <c r="F209" s="21">
        <f>'Hoja 4 - Cálculo'!A110</f>
        <v>32174</v>
      </c>
      <c r="G209" s="15">
        <f>'Hoja 4 - Cálculo'!H110</f>
        <v>14.19075</v>
      </c>
      <c r="H209" s="15">
        <f>IF(D209="Uso único",'Hoja 4 - Cálculo'!I110,IF(D209="Uso múltiple",AVERAGE('Hoja 4 - Cálculo'!$I$25:$I$384)+AVERAGE('Hoja 4 - Cálculo'!$J$25:$J$384)+AVERAGE('Hoja 4 - Cálculo'!$K$25:$K$384),IF(D209="Uso prioritario",'Hoja 4 - Cálculo'!I110+'Hoja 4 - Cálculo'!K110,'Hoja 4 - Cálculo'!I110+'Hoja 4 - Cálculo'!J110+'Hoja 4 - Cálculo'!K110)))</f>
        <v>16</v>
      </c>
      <c r="I209" s="15">
        <f t="shared" si="46"/>
        <v>16</v>
      </c>
      <c r="J209" s="15">
        <f t="shared" si="43"/>
        <v>0</v>
      </c>
      <c r="K209" s="15">
        <f>MIN(J209+G209,(J209+G209)*'Hoja 4 - Cálculo'!$B$15)</f>
        <v>0.28381499999999998</v>
      </c>
      <c r="L209" s="15">
        <f t="shared" si="47"/>
        <v>13.906934999999999</v>
      </c>
      <c r="M209" s="15">
        <f t="shared" si="48"/>
        <v>13.906934999999999</v>
      </c>
      <c r="N209" s="15">
        <f t="shared" si="49"/>
        <v>0</v>
      </c>
      <c r="O209" s="15">
        <f t="shared" si="50"/>
        <v>0</v>
      </c>
      <c r="P209" s="15">
        <f t="shared" si="51"/>
        <v>2.0930650000000011</v>
      </c>
      <c r="Q209" s="14" t="str">
        <f>IF(M209&gt;=I209*'Hoja 4 - Cálculo'!$B$16,"Satisfactorio","Falla")</f>
        <v>Falla</v>
      </c>
      <c r="R209" s="14">
        <f t="shared" si="44"/>
        <v>0</v>
      </c>
      <c r="S209" s="14">
        <f t="shared" si="45"/>
        <v>0</v>
      </c>
    </row>
    <row r="210" spans="1:19">
      <c r="A210" s="14" t="str">
        <f t="shared" si="42"/>
        <v>SRY-1-2</v>
      </c>
      <c r="B210" s="15">
        <f>'Curvas SRY'!$B$8</f>
        <v>1</v>
      </c>
      <c r="C210" s="15">
        <f>'Curvas SRY'!$E$9</f>
        <v>1</v>
      </c>
      <c r="D210" s="14" t="str">
        <f>'Curvas SRY'!$B$14</f>
        <v>Uso variable</v>
      </c>
      <c r="E210" s="14">
        <f>87</f>
        <v>87</v>
      </c>
      <c r="F210" s="21">
        <f>'Hoja 4 - Cálculo'!A111</f>
        <v>32203</v>
      </c>
      <c r="G210" s="15">
        <f>'Hoja 4 - Cálculo'!H111</f>
        <v>22.338000000000001</v>
      </c>
      <c r="H210" s="15">
        <f>IF(D210="Uso único",'Hoja 4 - Cálculo'!I111,IF(D210="Uso múltiple",AVERAGE('Hoja 4 - Cálculo'!$I$25:$I$384)+AVERAGE('Hoja 4 - Cálculo'!$J$25:$J$384)+AVERAGE('Hoja 4 - Cálculo'!$K$25:$K$384),IF(D210="Uso prioritario",'Hoja 4 - Cálculo'!I111+'Hoja 4 - Cálculo'!K111,'Hoja 4 - Cálculo'!I111+'Hoja 4 - Cálculo'!J111+'Hoja 4 - Cálculo'!K111)))</f>
        <v>16</v>
      </c>
      <c r="I210" s="15">
        <f t="shared" si="46"/>
        <v>16</v>
      </c>
      <c r="J210" s="15">
        <f t="shared" si="43"/>
        <v>0</v>
      </c>
      <c r="K210" s="15">
        <f>MIN(J210+G210,(J210+G210)*'Hoja 4 - Cálculo'!$B$15)</f>
        <v>0.44676000000000005</v>
      </c>
      <c r="L210" s="15">
        <f t="shared" si="47"/>
        <v>21.89124</v>
      </c>
      <c r="M210" s="15">
        <f t="shared" si="48"/>
        <v>16</v>
      </c>
      <c r="N210" s="15">
        <f t="shared" si="49"/>
        <v>1</v>
      </c>
      <c r="O210" s="15">
        <f t="shared" si="50"/>
        <v>4.8912399999999998</v>
      </c>
      <c r="P210" s="15">
        <f t="shared" si="51"/>
        <v>0</v>
      </c>
      <c r="Q210" s="14" t="str">
        <f>IF(M210&gt;=I210*'Hoja 4 - Cálculo'!$B$16,"Satisfactorio","Falla")</f>
        <v>Satisfactorio</v>
      </c>
      <c r="R210" s="14">
        <f t="shared" si="44"/>
        <v>1</v>
      </c>
      <c r="S210" s="14">
        <f t="shared" si="45"/>
        <v>0</v>
      </c>
    </row>
    <row r="211" spans="1:19">
      <c r="A211" s="14" t="str">
        <f t="shared" si="42"/>
        <v>SRY-1-2</v>
      </c>
      <c r="B211" s="15">
        <f>'Curvas SRY'!$B$8</f>
        <v>1</v>
      </c>
      <c r="C211" s="15">
        <f>'Curvas SRY'!$E$9</f>
        <v>1</v>
      </c>
      <c r="D211" s="14" t="str">
        <f>'Curvas SRY'!$B$14</f>
        <v>Uso variable</v>
      </c>
      <c r="E211" s="14">
        <f>88</f>
        <v>88</v>
      </c>
      <c r="F211" s="21">
        <f>'Hoja 4 - Cálculo'!A112</f>
        <v>32234</v>
      </c>
      <c r="G211" s="15">
        <f>'Hoja 4 - Cálculo'!H112</f>
        <v>29.643750000000001</v>
      </c>
      <c r="H211" s="15">
        <f>IF(D211="Uso único",'Hoja 4 - Cálculo'!I112,IF(D211="Uso múltiple",AVERAGE('Hoja 4 - Cálculo'!$I$25:$I$384)+AVERAGE('Hoja 4 - Cálculo'!$J$25:$J$384)+AVERAGE('Hoja 4 - Cálculo'!$K$25:$K$384),IF(D211="Uso prioritario",'Hoja 4 - Cálculo'!I112+'Hoja 4 - Cálculo'!K112,'Hoja 4 - Cálculo'!I112+'Hoja 4 - Cálculo'!J112+'Hoja 4 - Cálculo'!K112)))</f>
        <v>11.5</v>
      </c>
      <c r="I211" s="15">
        <f t="shared" si="46"/>
        <v>11.5</v>
      </c>
      <c r="J211" s="15">
        <f t="shared" si="43"/>
        <v>1</v>
      </c>
      <c r="K211" s="15">
        <f>MIN(J211+G211,(J211+G211)*'Hoja 4 - Cálculo'!$B$15)</f>
        <v>0.61287500000000006</v>
      </c>
      <c r="L211" s="15">
        <f t="shared" si="47"/>
        <v>30.030875000000002</v>
      </c>
      <c r="M211" s="15">
        <f t="shared" si="48"/>
        <v>11.5</v>
      </c>
      <c r="N211" s="15">
        <f t="shared" si="49"/>
        <v>1</v>
      </c>
      <c r="O211" s="15">
        <f t="shared" si="50"/>
        <v>17.530875000000002</v>
      </c>
      <c r="P211" s="15">
        <f t="shared" si="51"/>
        <v>0</v>
      </c>
      <c r="Q211" s="14" t="str">
        <f>IF(M211&gt;=I211*'Hoja 4 - Cálculo'!$B$16,"Satisfactorio","Falla")</f>
        <v>Satisfactorio</v>
      </c>
      <c r="R211" s="14">
        <f t="shared" si="44"/>
        <v>0</v>
      </c>
      <c r="S211" s="14">
        <f t="shared" si="45"/>
        <v>0</v>
      </c>
    </row>
    <row r="212" spans="1:19">
      <c r="A212" s="14" t="str">
        <f t="shared" si="42"/>
        <v>SRY-1-2</v>
      </c>
      <c r="B212" s="15">
        <f>'Curvas SRY'!$B$8</f>
        <v>1</v>
      </c>
      <c r="C212" s="15">
        <f>'Curvas SRY'!$E$9</f>
        <v>1</v>
      </c>
      <c r="D212" s="14" t="str">
        <f>'Curvas SRY'!$B$14</f>
        <v>Uso variable</v>
      </c>
      <c r="E212" s="14">
        <f>89</f>
        <v>89</v>
      </c>
      <c r="F212" s="21">
        <f>'Hoja 4 - Cálculo'!A113</f>
        <v>32264</v>
      </c>
      <c r="G212" s="15">
        <f>'Hoja 4 - Cálculo'!H113</f>
        <v>28.075500000000002</v>
      </c>
      <c r="H212" s="15">
        <f>IF(D212="Uso único",'Hoja 4 - Cálculo'!I113,IF(D212="Uso múltiple",AVERAGE('Hoja 4 - Cálculo'!$I$25:$I$384)+AVERAGE('Hoja 4 - Cálculo'!$J$25:$J$384)+AVERAGE('Hoja 4 - Cálculo'!$K$25:$K$384),IF(D212="Uso prioritario",'Hoja 4 - Cálculo'!I113+'Hoja 4 - Cálculo'!K113,'Hoja 4 - Cálculo'!I113+'Hoja 4 - Cálculo'!J113+'Hoja 4 - Cálculo'!K113)))</f>
        <v>11.5</v>
      </c>
      <c r="I212" s="15">
        <f t="shared" si="46"/>
        <v>11.5</v>
      </c>
      <c r="J212" s="15">
        <f t="shared" si="43"/>
        <v>1</v>
      </c>
      <c r="K212" s="15">
        <f>MIN(J212+G212,(J212+G212)*'Hoja 4 - Cálculo'!$B$15)</f>
        <v>0.58151000000000008</v>
      </c>
      <c r="L212" s="15">
        <f t="shared" si="47"/>
        <v>28.49399</v>
      </c>
      <c r="M212" s="15">
        <f t="shared" si="48"/>
        <v>11.5</v>
      </c>
      <c r="N212" s="15">
        <f t="shared" si="49"/>
        <v>1</v>
      </c>
      <c r="O212" s="15">
        <f t="shared" si="50"/>
        <v>15.99399</v>
      </c>
      <c r="P212" s="15">
        <f t="shared" si="51"/>
        <v>0</v>
      </c>
      <c r="Q212" s="14" t="str">
        <f>IF(M212&gt;=I212*'Hoja 4 - Cálculo'!$B$16,"Satisfactorio","Falla")</f>
        <v>Satisfactorio</v>
      </c>
      <c r="R212" s="14">
        <f t="shared" si="44"/>
        <v>0</v>
      </c>
      <c r="S212" s="14">
        <f t="shared" si="45"/>
        <v>0</v>
      </c>
    </row>
    <row r="213" spans="1:19">
      <c r="A213" s="14" t="str">
        <f t="shared" si="42"/>
        <v>SRY-1-2</v>
      </c>
      <c r="B213" s="15">
        <f>'Curvas SRY'!$B$8</f>
        <v>1</v>
      </c>
      <c r="C213" s="15">
        <f>'Curvas SRY'!$E$9</f>
        <v>1</v>
      </c>
      <c r="D213" s="14" t="str">
        <f>'Curvas SRY'!$B$14</f>
        <v>Uso variable</v>
      </c>
      <c r="E213" s="14">
        <f>90</f>
        <v>90</v>
      </c>
      <c r="F213" s="21">
        <f>'Hoja 4 - Cálculo'!A114</f>
        <v>32295</v>
      </c>
      <c r="G213" s="15">
        <f>'Hoja 4 - Cálculo'!H114</f>
        <v>16.485749999999999</v>
      </c>
      <c r="H213" s="15">
        <f>IF(D213="Uso único",'Hoja 4 - Cálculo'!I114,IF(D213="Uso múltiple",AVERAGE('Hoja 4 - Cálculo'!$I$25:$I$384)+AVERAGE('Hoja 4 - Cálculo'!$J$25:$J$384)+AVERAGE('Hoja 4 - Cálculo'!$K$25:$K$384),IF(D213="Uso prioritario",'Hoja 4 - Cálculo'!I114+'Hoja 4 - Cálculo'!K114,'Hoja 4 - Cálculo'!I114+'Hoja 4 - Cálculo'!J114+'Hoja 4 - Cálculo'!K114)))</f>
        <v>11.5</v>
      </c>
      <c r="I213" s="15">
        <f t="shared" si="46"/>
        <v>11.5</v>
      </c>
      <c r="J213" s="15">
        <f t="shared" si="43"/>
        <v>1</v>
      </c>
      <c r="K213" s="15">
        <f>MIN(J213+G213,(J213+G213)*'Hoja 4 - Cálculo'!$B$15)</f>
        <v>0.349715</v>
      </c>
      <c r="L213" s="15">
        <f t="shared" si="47"/>
        <v>17.136035</v>
      </c>
      <c r="M213" s="15">
        <f t="shared" si="48"/>
        <v>11.5</v>
      </c>
      <c r="N213" s="15">
        <f t="shared" si="49"/>
        <v>1</v>
      </c>
      <c r="O213" s="15">
        <f t="shared" si="50"/>
        <v>4.6360349999999997</v>
      </c>
      <c r="P213" s="15">
        <f t="shared" si="51"/>
        <v>0</v>
      </c>
      <c r="Q213" s="14" t="str">
        <f>IF(M213&gt;=I213*'Hoja 4 - Cálculo'!$B$16,"Satisfactorio","Falla")</f>
        <v>Satisfactorio</v>
      </c>
      <c r="R213" s="14">
        <f t="shared" si="44"/>
        <v>0</v>
      </c>
      <c r="S213" s="14">
        <f t="shared" si="45"/>
        <v>0</v>
      </c>
    </row>
    <row r="214" spans="1:19">
      <c r="A214" s="14" t="str">
        <f t="shared" si="42"/>
        <v>SRY-1-2</v>
      </c>
      <c r="B214" s="15">
        <f>'Curvas SRY'!$B$8</f>
        <v>1</v>
      </c>
      <c r="C214" s="15">
        <f>'Curvas SRY'!$E$9</f>
        <v>1</v>
      </c>
      <c r="D214" s="14" t="str">
        <f>'Curvas SRY'!$B$14</f>
        <v>Uso variable</v>
      </c>
      <c r="E214" s="14">
        <f>91</f>
        <v>91</v>
      </c>
      <c r="F214" s="21">
        <f>'Hoja 4 - Cálculo'!A115</f>
        <v>32325</v>
      </c>
      <c r="G214" s="15">
        <f>'Hoja 4 - Cálculo'!H115</f>
        <v>13.827375</v>
      </c>
      <c r="H214" s="15">
        <f>IF(D214="Uso único",'Hoja 4 - Cálculo'!I115,IF(D214="Uso múltiple",AVERAGE('Hoja 4 - Cálculo'!$I$25:$I$384)+AVERAGE('Hoja 4 - Cálculo'!$J$25:$J$384)+AVERAGE('Hoja 4 - Cálculo'!$K$25:$K$384),IF(D214="Uso prioritario",'Hoja 4 - Cálculo'!I115+'Hoja 4 - Cálculo'!K115,'Hoja 4 - Cálculo'!I115+'Hoja 4 - Cálculo'!J115+'Hoja 4 - Cálculo'!K115)))</f>
        <v>16</v>
      </c>
      <c r="I214" s="15">
        <f t="shared" si="46"/>
        <v>16</v>
      </c>
      <c r="J214" s="15">
        <f t="shared" si="43"/>
        <v>1</v>
      </c>
      <c r="K214" s="15">
        <f>MIN(J214+G214,(J214+G214)*'Hoja 4 - Cálculo'!$B$15)</f>
        <v>0.29654750000000002</v>
      </c>
      <c r="L214" s="15">
        <f t="shared" si="47"/>
        <v>14.530827499999999</v>
      </c>
      <c r="M214" s="15">
        <f t="shared" si="48"/>
        <v>14.530827499999999</v>
      </c>
      <c r="N214" s="15">
        <f t="shared" si="49"/>
        <v>0</v>
      </c>
      <c r="O214" s="15">
        <f t="shared" si="50"/>
        <v>0</v>
      </c>
      <c r="P214" s="15">
        <f t="shared" si="51"/>
        <v>1.4691725000000009</v>
      </c>
      <c r="Q214" s="14" t="str">
        <f>IF(M214&gt;=I214*'Hoja 4 - Cálculo'!$B$16,"Satisfactorio","Falla")</f>
        <v>Falla</v>
      </c>
      <c r="R214" s="14">
        <f t="shared" si="44"/>
        <v>0</v>
      </c>
      <c r="S214" s="14">
        <f t="shared" si="45"/>
        <v>1</v>
      </c>
    </row>
    <row r="215" spans="1:19">
      <c r="A215" s="14" t="str">
        <f t="shared" si="42"/>
        <v>SRY-1-2</v>
      </c>
      <c r="B215" s="15">
        <f>'Curvas SRY'!$B$8</f>
        <v>1</v>
      </c>
      <c r="C215" s="15">
        <f>'Curvas SRY'!$E$9</f>
        <v>1</v>
      </c>
      <c r="D215" s="14" t="str">
        <f>'Curvas SRY'!$B$14</f>
        <v>Uso variable</v>
      </c>
      <c r="E215" s="14">
        <f>92</f>
        <v>92</v>
      </c>
      <c r="F215" s="21">
        <f>'Hoja 4 - Cálculo'!A116</f>
        <v>32356</v>
      </c>
      <c r="G215" s="15">
        <f>'Hoja 4 - Cálculo'!H116</f>
        <v>14.783625000000001</v>
      </c>
      <c r="H215" s="15">
        <f>IF(D215="Uso único",'Hoja 4 - Cálculo'!I116,IF(D215="Uso múltiple",AVERAGE('Hoja 4 - Cálculo'!$I$25:$I$384)+AVERAGE('Hoja 4 - Cálculo'!$J$25:$J$384)+AVERAGE('Hoja 4 - Cálculo'!$K$25:$K$384),IF(D215="Uso prioritario",'Hoja 4 - Cálculo'!I116+'Hoja 4 - Cálculo'!K116,'Hoja 4 - Cálculo'!I116+'Hoja 4 - Cálculo'!J116+'Hoja 4 - Cálculo'!K116)))</f>
        <v>16</v>
      </c>
      <c r="I215" s="15">
        <f t="shared" si="46"/>
        <v>16</v>
      </c>
      <c r="J215" s="15">
        <f t="shared" si="43"/>
        <v>0</v>
      </c>
      <c r="K215" s="15">
        <f>MIN(J215+G215,(J215+G215)*'Hoja 4 - Cálculo'!$B$15)</f>
        <v>0.2956725</v>
      </c>
      <c r="L215" s="15">
        <f t="shared" si="47"/>
        <v>14.4879525</v>
      </c>
      <c r="M215" s="15">
        <f t="shared" si="48"/>
        <v>14.4879525</v>
      </c>
      <c r="N215" s="15">
        <f t="shared" si="49"/>
        <v>0</v>
      </c>
      <c r="O215" s="15">
        <f t="shared" si="50"/>
        <v>0</v>
      </c>
      <c r="P215" s="15">
        <f t="shared" si="51"/>
        <v>1.5120474999999995</v>
      </c>
      <c r="Q215" s="14" t="str">
        <f>IF(M215&gt;=I215*'Hoja 4 - Cálculo'!$B$16,"Satisfactorio","Falla")</f>
        <v>Falla</v>
      </c>
      <c r="R215" s="14">
        <f t="shared" si="44"/>
        <v>0</v>
      </c>
      <c r="S215" s="14">
        <f t="shared" si="45"/>
        <v>0</v>
      </c>
    </row>
    <row r="216" spans="1:19">
      <c r="A216" s="14" t="str">
        <f t="shared" si="42"/>
        <v>SRY-1-2</v>
      </c>
      <c r="B216" s="15">
        <f>'Curvas SRY'!$B$8</f>
        <v>1</v>
      </c>
      <c r="C216" s="15">
        <f>'Curvas SRY'!$E$9</f>
        <v>1</v>
      </c>
      <c r="D216" s="14" t="str">
        <f>'Curvas SRY'!$B$14</f>
        <v>Uso variable</v>
      </c>
      <c r="E216" s="14">
        <f>93</f>
        <v>93</v>
      </c>
      <c r="F216" s="21">
        <f>'Hoja 4 - Cálculo'!A117</f>
        <v>32387</v>
      </c>
      <c r="G216" s="15">
        <f>'Hoja 4 - Cálculo'!H117</f>
        <v>23.3325</v>
      </c>
      <c r="H216" s="15">
        <f>IF(D216="Uso único",'Hoja 4 - Cálculo'!I117,IF(D216="Uso múltiple",AVERAGE('Hoja 4 - Cálculo'!$I$25:$I$384)+AVERAGE('Hoja 4 - Cálculo'!$J$25:$J$384)+AVERAGE('Hoja 4 - Cálculo'!$K$25:$K$384),IF(D216="Uso prioritario",'Hoja 4 - Cálculo'!I117+'Hoja 4 - Cálculo'!K117,'Hoja 4 - Cálculo'!I117+'Hoja 4 - Cálculo'!J117+'Hoja 4 - Cálculo'!K117)))</f>
        <v>11.5</v>
      </c>
      <c r="I216" s="15">
        <f t="shared" si="46"/>
        <v>11.5</v>
      </c>
      <c r="J216" s="15">
        <f t="shared" si="43"/>
        <v>0</v>
      </c>
      <c r="K216" s="15">
        <f>MIN(J216+G216,(J216+G216)*'Hoja 4 - Cálculo'!$B$15)</f>
        <v>0.46665000000000001</v>
      </c>
      <c r="L216" s="15">
        <f t="shared" si="47"/>
        <v>22.865849999999998</v>
      </c>
      <c r="M216" s="15">
        <f t="shared" si="48"/>
        <v>11.5</v>
      </c>
      <c r="N216" s="15">
        <f t="shared" si="49"/>
        <v>1</v>
      </c>
      <c r="O216" s="15">
        <f t="shared" si="50"/>
        <v>10.365849999999998</v>
      </c>
      <c r="P216" s="15">
        <f t="shared" si="51"/>
        <v>0</v>
      </c>
      <c r="Q216" s="14" t="str">
        <f>IF(M216&gt;=I216*'Hoja 4 - Cálculo'!$B$16,"Satisfactorio","Falla")</f>
        <v>Satisfactorio</v>
      </c>
      <c r="R216" s="14">
        <f t="shared" si="44"/>
        <v>1</v>
      </c>
      <c r="S216" s="14">
        <f t="shared" si="45"/>
        <v>0</v>
      </c>
    </row>
    <row r="217" spans="1:19">
      <c r="A217" s="14" t="str">
        <f t="shared" si="42"/>
        <v>SRY-1-2</v>
      </c>
      <c r="B217" s="15">
        <f>'Curvas SRY'!$B$8</f>
        <v>1</v>
      </c>
      <c r="C217" s="15">
        <f>'Curvas SRY'!$E$9</f>
        <v>1</v>
      </c>
      <c r="D217" s="14" t="str">
        <f>'Curvas SRY'!$B$14</f>
        <v>Uso variable</v>
      </c>
      <c r="E217" s="14">
        <f>94</f>
        <v>94</v>
      </c>
      <c r="F217" s="21">
        <f>'Hoja 4 - Cálculo'!A118</f>
        <v>32417</v>
      </c>
      <c r="G217" s="15">
        <f>'Hoja 4 - Cálculo'!H118</f>
        <v>32.015250000000002</v>
      </c>
      <c r="H217" s="15">
        <f>IF(D217="Uso único",'Hoja 4 - Cálculo'!I118,IF(D217="Uso múltiple",AVERAGE('Hoja 4 - Cálculo'!$I$25:$I$384)+AVERAGE('Hoja 4 - Cálculo'!$J$25:$J$384)+AVERAGE('Hoja 4 - Cálculo'!$K$25:$K$384),IF(D217="Uso prioritario",'Hoja 4 - Cálculo'!I118+'Hoja 4 - Cálculo'!K118,'Hoja 4 - Cálculo'!I118+'Hoja 4 - Cálculo'!J118+'Hoja 4 - Cálculo'!K118)))</f>
        <v>11.5</v>
      </c>
      <c r="I217" s="15">
        <f t="shared" si="46"/>
        <v>11.5</v>
      </c>
      <c r="J217" s="15">
        <f t="shared" si="43"/>
        <v>1</v>
      </c>
      <c r="K217" s="15">
        <f>MIN(J217+G217,(J217+G217)*'Hoja 4 - Cálculo'!$B$15)</f>
        <v>0.66030500000000003</v>
      </c>
      <c r="L217" s="15">
        <f t="shared" si="47"/>
        <v>32.354945000000001</v>
      </c>
      <c r="M217" s="15">
        <f t="shared" si="48"/>
        <v>11.5</v>
      </c>
      <c r="N217" s="15">
        <f t="shared" si="49"/>
        <v>1</v>
      </c>
      <c r="O217" s="15">
        <f t="shared" si="50"/>
        <v>19.854945000000001</v>
      </c>
      <c r="P217" s="15">
        <f t="shared" si="51"/>
        <v>0</v>
      </c>
      <c r="Q217" s="14" t="str">
        <f>IF(M217&gt;=I217*'Hoja 4 - Cálculo'!$B$16,"Satisfactorio","Falla")</f>
        <v>Satisfactorio</v>
      </c>
      <c r="R217" s="14">
        <f t="shared" si="44"/>
        <v>0</v>
      </c>
      <c r="S217" s="14">
        <f t="shared" si="45"/>
        <v>0</v>
      </c>
    </row>
    <row r="218" spans="1:19">
      <c r="A218" s="14" t="str">
        <f t="shared" si="42"/>
        <v>SRY-1-2</v>
      </c>
      <c r="B218" s="15">
        <f>'Curvas SRY'!$B$8</f>
        <v>1</v>
      </c>
      <c r="C218" s="15">
        <f>'Curvas SRY'!$E$9</f>
        <v>1</v>
      </c>
      <c r="D218" s="14" t="str">
        <f>'Curvas SRY'!$B$14</f>
        <v>Uso variable</v>
      </c>
      <c r="E218" s="14">
        <f>95</f>
        <v>95</v>
      </c>
      <c r="F218" s="21">
        <f>'Hoja 4 - Cálculo'!A119</f>
        <v>32448</v>
      </c>
      <c r="G218" s="15">
        <f>'Hoja 4 - Cálculo'!H119</f>
        <v>25.876124999999998</v>
      </c>
      <c r="H218" s="15">
        <f>IF(D218="Uso único",'Hoja 4 - Cálculo'!I119,IF(D218="Uso múltiple",AVERAGE('Hoja 4 - Cálculo'!$I$25:$I$384)+AVERAGE('Hoja 4 - Cálculo'!$J$25:$J$384)+AVERAGE('Hoja 4 - Cálculo'!$K$25:$K$384),IF(D218="Uso prioritario",'Hoja 4 - Cálculo'!I119+'Hoja 4 - Cálculo'!K119,'Hoja 4 - Cálculo'!I119+'Hoja 4 - Cálculo'!J119+'Hoja 4 - Cálculo'!K119)))</f>
        <v>11.5</v>
      </c>
      <c r="I218" s="15">
        <f t="shared" si="46"/>
        <v>11.5</v>
      </c>
      <c r="J218" s="15">
        <f t="shared" si="43"/>
        <v>1</v>
      </c>
      <c r="K218" s="15">
        <f>MIN(J218+G218,(J218+G218)*'Hoja 4 - Cálculo'!$B$15)</f>
        <v>0.53752250000000001</v>
      </c>
      <c r="L218" s="15">
        <f t="shared" si="47"/>
        <v>26.338602499999997</v>
      </c>
      <c r="M218" s="15">
        <f t="shared" si="48"/>
        <v>11.5</v>
      </c>
      <c r="N218" s="15">
        <f t="shared" si="49"/>
        <v>1</v>
      </c>
      <c r="O218" s="15">
        <f t="shared" si="50"/>
        <v>13.838602499999997</v>
      </c>
      <c r="P218" s="15">
        <f t="shared" si="51"/>
        <v>0</v>
      </c>
      <c r="Q218" s="14" t="str">
        <f>IF(M218&gt;=I218*'Hoja 4 - Cálculo'!$B$16,"Satisfactorio","Falla")</f>
        <v>Satisfactorio</v>
      </c>
      <c r="R218" s="14">
        <f t="shared" si="44"/>
        <v>0</v>
      </c>
      <c r="S218" s="14">
        <f t="shared" si="45"/>
        <v>0</v>
      </c>
    </row>
    <row r="219" spans="1:19">
      <c r="A219" s="14" t="str">
        <f t="shared" si="42"/>
        <v>SRY-1-2</v>
      </c>
      <c r="B219" s="15">
        <f>'Curvas SRY'!$B$8</f>
        <v>1</v>
      </c>
      <c r="C219" s="15">
        <f>'Curvas SRY'!$E$9</f>
        <v>1</v>
      </c>
      <c r="D219" s="14" t="str">
        <f>'Curvas SRY'!$B$14</f>
        <v>Uso variable</v>
      </c>
      <c r="E219" s="14">
        <f>96</f>
        <v>96</v>
      </c>
      <c r="F219" s="21">
        <f>'Hoja 4 - Cálculo'!A120</f>
        <v>32478</v>
      </c>
      <c r="G219" s="15">
        <f>'Hoja 4 - Cálculo'!H120</f>
        <v>16.218</v>
      </c>
      <c r="H219" s="15">
        <f>IF(D219="Uso único",'Hoja 4 - Cálculo'!I120,IF(D219="Uso múltiple",AVERAGE('Hoja 4 - Cálculo'!$I$25:$I$384)+AVERAGE('Hoja 4 - Cálculo'!$J$25:$J$384)+AVERAGE('Hoja 4 - Cálculo'!$K$25:$K$384),IF(D219="Uso prioritario",'Hoja 4 - Cálculo'!I120+'Hoja 4 - Cálculo'!K120,'Hoja 4 - Cálculo'!I120+'Hoja 4 - Cálculo'!J120+'Hoja 4 - Cálculo'!K120)))</f>
        <v>16</v>
      </c>
      <c r="I219" s="15">
        <f t="shared" si="46"/>
        <v>16</v>
      </c>
      <c r="J219" s="15">
        <f t="shared" si="43"/>
        <v>1</v>
      </c>
      <c r="K219" s="15">
        <f>MIN(J219+G219,(J219+G219)*'Hoja 4 - Cálculo'!$B$15)</f>
        <v>0.34436</v>
      </c>
      <c r="L219" s="15">
        <f t="shared" si="47"/>
        <v>16.873640000000002</v>
      </c>
      <c r="M219" s="15">
        <f t="shared" si="48"/>
        <v>16</v>
      </c>
      <c r="N219" s="15">
        <f t="shared" si="49"/>
        <v>0.87364000000000175</v>
      </c>
      <c r="O219" s="15">
        <f t="shared" si="50"/>
        <v>0</v>
      </c>
      <c r="P219" s="15">
        <f t="shared" si="51"/>
        <v>0</v>
      </c>
      <c r="Q219" s="14" t="str">
        <f>IF(M219&gt;=I219*'Hoja 4 - Cálculo'!$B$16,"Satisfactorio","Falla")</f>
        <v>Satisfactorio</v>
      </c>
      <c r="R219" s="14">
        <f t="shared" si="44"/>
        <v>0</v>
      </c>
      <c r="S219" s="14">
        <f t="shared" si="45"/>
        <v>0</v>
      </c>
    </row>
    <row r="220" spans="1:19">
      <c r="A220" s="14" t="str">
        <f t="shared" ref="A220:A243" si="52">"SRY-1-2"</f>
        <v>SRY-1-2</v>
      </c>
      <c r="B220" s="15">
        <f>'Curvas SRY'!$B$8</f>
        <v>1</v>
      </c>
      <c r="C220" s="15">
        <f>'Curvas SRY'!$E$9</f>
        <v>1</v>
      </c>
      <c r="D220" s="14" t="str">
        <f>'Curvas SRY'!$B$14</f>
        <v>Uso variable</v>
      </c>
      <c r="E220" s="14">
        <f>97</f>
        <v>97</v>
      </c>
      <c r="F220" s="21">
        <f>'Hoja 4 - Cálculo'!A121</f>
        <v>32509</v>
      </c>
      <c r="G220" s="15">
        <f>'Hoja 4 - Cálculo'!H121</f>
        <v>11.761875</v>
      </c>
      <c r="H220" s="15">
        <f>IF(D220="Uso único",'Hoja 4 - Cálculo'!I121,IF(D220="Uso múltiple",AVERAGE('Hoja 4 - Cálculo'!$I$25:$I$384)+AVERAGE('Hoja 4 - Cálculo'!$J$25:$J$384)+AVERAGE('Hoja 4 - Cálculo'!$K$25:$K$384),IF(D220="Uso prioritario",'Hoja 4 - Cálculo'!I121+'Hoja 4 - Cálculo'!K121,'Hoja 4 - Cálculo'!I121+'Hoja 4 - Cálculo'!J121+'Hoja 4 - Cálculo'!K121)))</f>
        <v>16</v>
      </c>
      <c r="I220" s="15">
        <f t="shared" si="46"/>
        <v>16</v>
      </c>
      <c r="J220" s="15">
        <f t="shared" si="43"/>
        <v>0.87364000000000175</v>
      </c>
      <c r="K220" s="15">
        <f>MIN(J220+G220,(J220+G220)*'Hoja 4 - Cálculo'!$B$15)</f>
        <v>0.25271030000000005</v>
      </c>
      <c r="L220" s="15">
        <f t="shared" si="47"/>
        <v>12.382804700000001</v>
      </c>
      <c r="M220" s="15">
        <f t="shared" si="48"/>
        <v>12.382804700000001</v>
      </c>
      <c r="N220" s="15">
        <f t="shared" si="49"/>
        <v>0</v>
      </c>
      <c r="O220" s="15">
        <f t="shared" si="50"/>
        <v>0</v>
      </c>
      <c r="P220" s="15">
        <f t="shared" si="51"/>
        <v>3.6171952999999988</v>
      </c>
      <c r="Q220" s="14" t="str">
        <f>IF(M220&gt;=I220*'Hoja 4 - Cálculo'!$B$16,"Satisfactorio","Falla")</f>
        <v>Falla</v>
      </c>
      <c r="R220" s="14">
        <f t="shared" si="44"/>
        <v>0</v>
      </c>
      <c r="S220" s="14">
        <f t="shared" si="45"/>
        <v>1</v>
      </c>
    </row>
    <row r="221" spans="1:19">
      <c r="A221" s="14" t="str">
        <f t="shared" si="52"/>
        <v>SRY-1-2</v>
      </c>
      <c r="B221" s="15">
        <f>'Curvas SRY'!$B$8</f>
        <v>1</v>
      </c>
      <c r="C221" s="15">
        <f>'Curvas SRY'!$E$9</f>
        <v>1</v>
      </c>
      <c r="D221" s="14" t="str">
        <f>'Curvas SRY'!$B$14</f>
        <v>Uso variable</v>
      </c>
      <c r="E221" s="14">
        <f>98</f>
        <v>98</v>
      </c>
      <c r="F221" s="21">
        <f>'Hoja 4 - Cálculo'!A122</f>
        <v>32540</v>
      </c>
      <c r="G221" s="15">
        <f>'Hoja 4 - Cálculo'!H122</f>
        <v>12.43125</v>
      </c>
      <c r="H221" s="15">
        <f>IF(D221="Uso único",'Hoja 4 - Cálculo'!I122,IF(D221="Uso múltiple",AVERAGE('Hoja 4 - Cálculo'!$I$25:$I$384)+AVERAGE('Hoja 4 - Cálculo'!$J$25:$J$384)+AVERAGE('Hoja 4 - Cálculo'!$K$25:$K$384),IF(D221="Uso prioritario",'Hoja 4 - Cálculo'!I122+'Hoja 4 - Cálculo'!K122,'Hoja 4 - Cálculo'!I122+'Hoja 4 - Cálculo'!J122+'Hoja 4 - Cálculo'!K122)))</f>
        <v>16</v>
      </c>
      <c r="I221" s="15">
        <f t="shared" si="46"/>
        <v>16</v>
      </c>
      <c r="J221" s="15">
        <f t="shared" ref="J221:J243" si="53">N220</f>
        <v>0</v>
      </c>
      <c r="K221" s="15">
        <f>MIN(J221+G221,(J221+G221)*'Hoja 4 - Cálculo'!$B$15)</f>
        <v>0.24862500000000001</v>
      </c>
      <c r="L221" s="15">
        <f t="shared" si="47"/>
        <v>12.182625</v>
      </c>
      <c r="M221" s="15">
        <f t="shared" si="48"/>
        <v>12.182625</v>
      </c>
      <c r="N221" s="15">
        <f t="shared" si="49"/>
        <v>0</v>
      </c>
      <c r="O221" s="15">
        <f t="shared" si="50"/>
        <v>0</v>
      </c>
      <c r="P221" s="15">
        <f t="shared" si="51"/>
        <v>3.8173750000000002</v>
      </c>
      <c r="Q221" s="14" t="str">
        <f>IF(M221&gt;=I221*'Hoja 4 - Cálculo'!$B$16,"Satisfactorio","Falla")</f>
        <v>Falla</v>
      </c>
      <c r="R221" s="14">
        <f t="shared" ref="R221:R252" si="54">IF(AND(Q220="Falla",Q221="Satisfactorio"),1,0)</f>
        <v>0</v>
      </c>
      <c r="S221" s="14">
        <f t="shared" ref="S221:S243" si="55">IF(AND(Q221="Falla",Q220&lt;&gt;"Falla"),1,0)</f>
        <v>0</v>
      </c>
    </row>
    <row r="222" spans="1:19">
      <c r="A222" s="14" t="str">
        <f t="shared" si="52"/>
        <v>SRY-1-2</v>
      </c>
      <c r="B222" s="15">
        <f>'Curvas SRY'!$B$8</f>
        <v>1</v>
      </c>
      <c r="C222" s="15">
        <f>'Curvas SRY'!$E$9</f>
        <v>1</v>
      </c>
      <c r="D222" s="14" t="str">
        <f>'Curvas SRY'!$B$14</f>
        <v>Uso variable</v>
      </c>
      <c r="E222" s="14">
        <f>99</f>
        <v>99</v>
      </c>
      <c r="F222" s="21">
        <f>'Hoja 4 - Cálculo'!A123</f>
        <v>32568</v>
      </c>
      <c r="G222" s="15">
        <f>'Hoja 4 - Cálculo'!H123</f>
        <v>19.717874999999999</v>
      </c>
      <c r="H222" s="15">
        <f>IF(D222="Uso único",'Hoja 4 - Cálculo'!I123,IF(D222="Uso múltiple",AVERAGE('Hoja 4 - Cálculo'!$I$25:$I$384)+AVERAGE('Hoja 4 - Cálculo'!$J$25:$J$384)+AVERAGE('Hoja 4 - Cálculo'!$K$25:$K$384),IF(D222="Uso prioritario",'Hoja 4 - Cálculo'!I123+'Hoja 4 - Cálculo'!K123,'Hoja 4 - Cálculo'!I123+'Hoja 4 - Cálculo'!J123+'Hoja 4 - Cálculo'!K123)))</f>
        <v>16</v>
      </c>
      <c r="I222" s="15">
        <f t="shared" si="46"/>
        <v>16</v>
      </c>
      <c r="J222" s="15">
        <f t="shared" si="53"/>
        <v>0</v>
      </c>
      <c r="K222" s="15">
        <f>MIN(J222+G222,(J222+G222)*'Hoja 4 - Cálculo'!$B$15)</f>
        <v>0.39435749999999997</v>
      </c>
      <c r="L222" s="15">
        <f t="shared" si="47"/>
        <v>19.323517499999998</v>
      </c>
      <c r="M222" s="15">
        <f t="shared" si="48"/>
        <v>16</v>
      </c>
      <c r="N222" s="15">
        <f t="shared" si="49"/>
        <v>1</v>
      </c>
      <c r="O222" s="15">
        <f t="shared" si="50"/>
        <v>2.3235174999999977</v>
      </c>
      <c r="P222" s="15">
        <f t="shared" si="51"/>
        <v>0</v>
      </c>
      <c r="Q222" s="14" t="str">
        <f>IF(M222&gt;=I222*'Hoja 4 - Cálculo'!$B$16,"Satisfactorio","Falla")</f>
        <v>Satisfactorio</v>
      </c>
      <c r="R222" s="14">
        <f t="shared" si="54"/>
        <v>1</v>
      </c>
      <c r="S222" s="14">
        <f t="shared" si="55"/>
        <v>0</v>
      </c>
    </row>
    <row r="223" spans="1:19">
      <c r="A223" s="14" t="str">
        <f t="shared" si="52"/>
        <v>SRY-1-2</v>
      </c>
      <c r="B223" s="15">
        <f>'Curvas SRY'!$B$8</f>
        <v>1</v>
      </c>
      <c r="C223" s="15">
        <f>'Curvas SRY'!$E$9</f>
        <v>1</v>
      </c>
      <c r="D223" s="14" t="str">
        <f>'Curvas SRY'!$B$14</f>
        <v>Uso variable</v>
      </c>
      <c r="E223" s="14">
        <f>100</f>
        <v>100</v>
      </c>
      <c r="F223" s="21">
        <f>'Hoja 4 - Cálculo'!A124</f>
        <v>32599</v>
      </c>
      <c r="G223" s="15">
        <f>'Hoja 4 - Cálculo'!H124</f>
        <v>26.029125000000001</v>
      </c>
      <c r="H223" s="15">
        <f>IF(D223="Uso único",'Hoja 4 - Cálculo'!I124,IF(D223="Uso múltiple",AVERAGE('Hoja 4 - Cálculo'!$I$25:$I$384)+AVERAGE('Hoja 4 - Cálculo'!$J$25:$J$384)+AVERAGE('Hoja 4 - Cálculo'!$K$25:$K$384),IF(D223="Uso prioritario",'Hoja 4 - Cálculo'!I124+'Hoja 4 - Cálculo'!K124,'Hoja 4 - Cálculo'!I124+'Hoja 4 - Cálculo'!J124+'Hoja 4 - Cálculo'!K124)))</f>
        <v>11.5</v>
      </c>
      <c r="I223" s="15">
        <f t="shared" si="46"/>
        <v>11.5</v>
      </c>
      <c r="J223" s="15">
        <f t="shared" si="53"/>
        <v>1</v>
      </c>
      <c r="K223" s="15">
        <f>MIN(J223+G223,(J223+G223)*'Hoja 4 - Cálculo'!$B$15)</f>
        <v>0.54058250000000008</v>
      </c>
      <c r="L223" s="15">
        <f t="shared" si="47"/>
        <v>26.488542500000001</v>
      </c>
      <c r="M223" s="15">
        <f t="shared" si="48"/>
        <v>11.5</v>
      </c>
      <c r="N223" s="15">
        <f t="shared" si="49"/>
        <v>1</v>
      </c>
      <c r="O223" s="15">
        <f t="shared" si="50"/>
        <v>13.988542500000001</v>
      </c>
      <c r="P223" s="15">
        <f t="shared" si="51"/>
        <v>0</v>
      </c>
      <c r="Q223" s="14" t="str">
        <f>IF(M223&gt;=I223*'Hoja 4 - Cálculo'!$B$16,"Satisfactorio","Falla")</f>
        <v>Satisfactorio</v>
      </c>
      <c r="R223" s="14">
        <f t="shared" si="54"/>
        <v>0</v>
      </c>
      <c r="S223" s="14">
        <f t="shared" si="55"/>
        <v>0</v>
      </c>
    </row>
    <row r="224" spans="1:19">
      <c r="A224" s="14" t="str">
        <f t="shared" si="52"/>
        <v>SRY-1-2</v>
      </c>
      <c r="B224" s="15">
        <f>'Curvas SRY'!$B$8</f>
        <v>1</v>
      </c>
      <c r="C224" s="15">
        <f>'Curvas SRY'!$E$9</f>
        <v>1</v>
      </c>
      <c r="D224" s="14" t="str">
        <f>'Curvas SRY'!$B$14</f>
        <v>Uso variable</v>
      </c>
      <c r="E224" s="14">
        <f>101</f>
        <v>101</v>
      </c>
      <c r="F224" s="21">
        <f>'Hoja 4 - Cálculo'!A125</f>
        <v>32629</v>
      </c>
      <c r="G224" s="15">
        <f>'Hoja 4 - Cálculo'!H125</f>
        <v>24.728625000000005</v>
      </c>
      <c r="H224" s="15">
        <f>IF(D224="Uso único",'Hoja 4 - Cálculo'!I125,IF(D224="Uso múltiple",AVERAGE('Hoja 4 - Cálculo'!$I$25:$I$384)+AVERAGE('Hoja 4 - Cálculo'!$J$25:$J$384)+AVERAGE('Hoja 4 - Cálculo'!$K$25:$K$384),IF(D224="Uso prioritario",'Hoja 4 - Cálculo'!I125+'Hoja 4 - Cálculo'!K125,'Hoja 4 - Cálculo'!I125+'Hoja 4 - Cálculo'!J125+'Hoja 4 - Cálculo'!K125)))</f>
        <v>11.5</v>
      </c>
      <c r="I224" s="15">
        <f t="shared" si="46"/>
        <v>11.5</v>
      </c>
      <c r="J224" s="15">
        <f t="shared" si="53"/>
        <v>1</v>
      </c>
      <c r="K224" s="15">
        <f>MIN(J224+G224,(J224+G224)*'Hoja 4 - Cálculo'!$B$15)</f>
        <v>0.5145725000000001</v>
      </c>
      <c r="L224" s="15">
        <f t="shared" si="47"/>
        <v>25.214052500000005</v>
      </c>
      <c r="M224" s="15">
        <f t="shared" si="48"/>
        <v>11.5</v>
      </c>
      <c r="N224" s="15">
        <f t="shared" si="49"/>
        <v>1</v>
      </c>
      <c r="O224" s="15">
        <f t="shared" si="50"/>
        <v>12.714052500000005</v>
      </c>
      <c r="P224" s="15">
        <f t="shared" si="51"/>
        <v>0</v>
      </c>
      <c r="Q224" s="14" t="str">
        <f>IF(M224&gt;=I224*'Hoja 4 - Cálculo'!$B$16,"Satisfactorio","Falla")</f>
        <v>Satisfactorio</v>
      </c>
      <c r="R224" s="14">
        <f t="shared" si="54"/>
        <v>0</v>
      </c>
      <c r="S224" s="14">
        <f t="shared" si="55"/>
        <v>0</v>
      </c>
    </row>
    <row r="225" spans="1:19">
      <c r="A225" s="14" t="str">
        <f t="shared" si="52"/>
        <v>SRY-1-2</v>
      </c>
      <c r="B225" s="15">
        <f>'Curvas SRY'!$B$8</f>
        <v>1</v>
      </c>
      <c r="C225" s="15">
        <f>'Curvas SRY'!$E$9</f>
        <v>1</v>
      </c>
      <c r="D225" s="14" t="str">
        <f>'Curvas SRY'!$B$14</f>
        <v>Uso variable</v>
      </c>
      <c r="E225" s="14">
        <f>102</f>
        <v>102</v>
      </c>
      <c r="F225" s="21">
        <f>'Hoja 4 - Cálculo'!A126</f>
        <v>32660</v>
      </c>
      <c r="G225" s="15">
        <f>'Hoja 4 - Cálculo'!H126</f>
        <v>14.515874999999999</v>
      </c>
      <c r="H225" s="15">
        <f>IF(D225="Uso único",'Hoja 4 - Cálculo'!I126,IF(D225="Uso múltiple",AVERAGE('Hoja 4 - Cálculo'!$I$25:$I$384)+AVERAGE('Hoja 4 - Cálculo'!$J$25:$J$384)+AVERAGE('Hoja 4 - Cálculo'!$K$25:$K$384),IF(D225="Uso prioritario",'Hoja 4 - Cálculo'!I126+'Hoja 4 - Cálculo'!K126,'Hoja 4 - Cálculo'!I126+'Hoja 4 - Cálculo'!J126+'Hoja 4 - Cálculo'!K126)))</f>
        <v>11.5</v>
      </c>
      <c r="I225" s="15">
        <f t="shared" si="46"/>
        <v>11.5</v>
      </c>
      <c r="J225" s="15">
        <f t="shared" si="53"/>
        <v>1</v>
      </c>
      <c r="K225" s="15">
        <f>MIN(J225+G225,(J225+G225)*'Hoja 4 - Cálculo'!$B$15)</f>
        <v>0.31031749999999997</v>
      </c>
      <c r="L225" s="15">
        <f t="shared" si="47"/>
        <v>15.205557499999999</v>
      </c>
      <c r="M225" s="15">
        <f t="shared" si="48"/>
        <v>11.5</v>
      </c>
      <c r="N225" s="15">
        <f t="shared" si="49"/>
        <v>1</v>
      </c>
      <c r="O225" s="15">
        <f t="shared" si="50"/>
        <v>2.7055574999999994</v>
      </c>
      <c r="P225" s="15">
        <f t="shared" si="51"/>
        <v>0</v>
      </c>
      <c r="Q225" s="14" t="str">
        <f>IF(M225&gt;=I225*'Hoja 4 - Cálculo'!$B$16,"Satisfactorio","Falla")</f>
        <v>Satisfactorio</v>
      </c>
      <c r="R225" s="14">
        <f t="shared" si="54"/>
        <v>0</v>
      </c>
      <c r="S225" s="14">
        <f t="shared" si="55"/>
        <v>0</v>
      </c>
    </row>
    <row r="226" spans="1:19">
      <c r="A226" s="14" t="str">
        <f t="shared" si="52"/>
        <v>SRY-1-2</v>
      </c>
      <c r="B226" s="15">
        <f>'Curvas SRY'!$B$8</f>
        <v>1</v>
      </c>
      <c r="C226" s="15">
        <f>'Curvas SRY'!$E$9</f>
        <v>1</v>
      </c>
      <c r="D226" s="14" t="str">
        <f>'Curvas SRY'!$B$14</f>
        <v>Uso variable</v>
      </c>
      <c r="E226" s="14">
        <f>103</f>
        <v>103</v>
      </c>
      <c r="F226" s="21">
        <f>'Hoja 4 - Cálculo'!A127</f>
        <v>32690</v>
      </c>
      <c r="G226" s="15">
        <f>'Hoja 4 - Cálculo'!H127</f>
        <v>12.144375</v>
      </c>
      <c r="H226" s="15">
        <f>IF(D226="Uso único",'Hoja 4 - Cálculo'!I127,IF(D226="Uso múltiple",AVERAGE('Hoja 4 - Cálculo'!$I$25:$I$384)+AVERAGE('Hoja 4 - Cálculo'!$J$25:$J$384)+AVERAGE('Hoja 4 - Cálculo'!$K$25:$K$384),IF(D226="Uso prioritario",'Hoja 4 - Cálculo'!I127+'Hoja 4 - Cálculo'!K127,'Hoja 4 - Cálculo'!I127+'Hoja 4 - Cálculo'!J127+'Hoja 4 - Cálculo'!K127)))</f>
        <v>16</v>
      </c>
      <c r="I226" s="15">
        <f t="shared" si="46"/>
        <v>16</v>
      </c>
      <c r="J226" s="15">
        <f t="shared" si="53"/>
        <v>1</v>
      </c>
      <c r="K226" s="15">
        <f>MIN(J226+G226,(J226+G226)*'Hoja 4 - Cálculo'!$B$15)</f>
        <v>0.2628875</v>
      </c>
      <c r="L226" s="15">
        <f t="shared" si="47"/>
        <v>12.8814875</v>
      </c>
      <c r="M226" s="15">
        <f t="shared" si="48"/>
        <v>12.8814875</v>
      </c>
      <c r="N226" s="15">
        <f t="shared" si="49"/>
        <v>0</v>
      </c>
      <c r="O226" s="15">
        <f t="shared" si="50"/>
        <v>0</v>
      </c>
      <c r="P226" s="15">
        <f t="shared" si="51"/>
        <v>3.1185124999999996</v>
      </c>
      <c r="Q226" s="14" t="str">
        <f>IF(M226&gt;=I226*'Hoja 4 - Cálculo'!$B$16,"Satisfactorio","Falla")</f>
        <v>Falla</v>
      </c>
      <c r="R226" s="14">
        <f t="shared" si="54"/>
        <v>0</v>
      </c>
      <c r="S226" s="14">
        <f t="shared" si="55"/>
        <v>1</v>
      </c>
    </row>
    <row r="227" spans="1:19">
      <c r="A227" s="14" t="str">
        <f t="shared" si="52"/>
        <v>SRY-1-2</v>
      </c>
      <c r="B227" s="15">
        <f>'Curvas SRY'!$B$8</f>
        <v>1</v>
      </c>
      <c r="C227" s="15">
        <f>'Curvas SRY'!$E$9</f>
        <v>1</v>
      </c>
      <c r="D227" s="14" t="str">
        <f>'Curvas SRY'!$B$14</f>
        <v>Uso variable</v>
      </c>
      <c r="E227" s="14">
        <f>104</f>
        <v>104</v>
      </c>
      <c r="F227" s="21">
        <f>'Hoja 4 - Cálculo'!A128</f>
        <v>32721</v>
      </c>
      <c r="G227" s="15">
        <f>'Hoja 4 - Cálculo'!H128</f>
        <v>13.04325</v>
      </c>
      <c r="H227" s="15">
        <f>IF(D227="Uso único",'Hoja 4 - Cálculo'!I128,IF(D227="Uso múltiple",AVERAGE('Hoja 4 - Cálculo'!$I$25:$I$384)+AVERAGE('Hoja 4 - Cálculo'!$J$25:$J$384)+AVERAGE('Hoja 4 - Cálculo'!$K$25:$K$384),IF(D227="Uso prioritario",'Hoja 4 - Cálculo'!I128+'Hoja 4 - Cálculo'!K128,'Hoja 4 - Cálculo'!I128+'Hoja 4 - Cálculo'!J128+'Hoja 4 - Cálculo'!K128)))</f>
        <v>16</v>
      </c>
      <c r="I227" s="15">
        <f t="shared" si="46"/>
        <v>16</v>
      </c>
      <c r="J227" s="15">
        <f t="shared" si="53"/>
        <v>0</v>
      </c>
      <c r="K227" s="15">
        <f>MIN(J227+G227,(J227+G227)*'Hoja 4 - Cálculo'!$B$15)</f>
        <v>0.26086500000000001</v>
      </c>
      <c r="L227" s="15">
        <f t="shared" si="47"/>
        <v>12.782385</v>
      </c>
      <c r="M227" s="15">
        <f t="shared" si="48"/>
        <v>12.782385</v>
      </c>
      <c r="N227" s="15">
        <f t="shared" si="49"/>
        <v>0</v>
      </c>
      <c r="O227" s="15">
        <f t="shared" si="50"/>
        <v>0</v>
      </c>
      <c r="P227" s="15">
        <f t="shared" si="51"/>
        <v>3.2176150000000003</v>
      </c>
      <c r="Q227" s="14" t="str">
        <f>IF(M227&gt;=I227*'Hoja 4 - Cálculo'!$B$16,"Satisfactorio","Falla")</f>
        <v>Falla</v>
      </c>
      <c r="R227" s="14">
        <f t="shared" si="54"/>
        <v>0</v>
      </c>
      <c r="S227" s="14">
        <f t="shared" si="55"/>
        <v>0</v>
      </c>
    </row>
    <row r="228" spans="1:19">
      <c r="A228" s="14" t="str">
        <f t="shared" si="52"/>
        <v>SRY-1-2</v>
      </c>
      <c r="B228" s="15">
        <f>'Curvas SRY'!$B$8</f>
        <v>1</v>
      </c>
      <c r="C228" s="15">
        <f>'Curvas SRY'!$E$9</f>
        <v>1</v>
      </c>
      <c r="D228" s="14" t="str">
        <f>'Curvas SRY'!$B$14</f>
        <v>Uso variable</v>
      </c>
      <c r="E228" s="14">
        <f>105</f>
        <v>105</v>
      </c>
      <c r="F228" s="21">
        <f>'Hoja 4 - Cálculo'!A129</f>
        <v>32752</v>
      </c>
      <c r="G228" s="15">
        <f>'Hoja 4 - Cálculo'!H129</f>
        <v>20.444624999999998</v>
      </c>
      <c r="H228" s="15">
        <f>IF(D228="Uso único",'Hoja 4 - Cálculo'!I129,IF(D228="Uso múltiple",AVERAGE('Hoja 4 - Cálculo'!$I$25:$I$384)+AVERAGE('Hoja 4 - Cálculo'!$J$25:$J$384)+AVERAGE('Hoja 4 - Cálculo'!$K$25:$K$384),IF(D228="Uso prioritario",'Hoja 4 - Cálculo'!I129+'Hoja 4 - Cálculo'!K129,'Hoja 4 - Cálculo'!I129+'Hoja 4 - Cálculo'!J129+'Hoja 4 - Cálculo'!K129)))</f>
        <v>11.5</v>
      </c>
      <c r="I228" s="15">
        <f t="shared" si="46"/>
        <v>11.5</v>
      </c>
      <c r="J228" s="15">
        <f t="shared" si="53"/>
        <v>0</v>
      </c>
      <c r="K228" s="15">
        <f>MIN(J228+G228,(J228+G228)*'Hoja 4 - Cálculo'!$B$15)</f>
        <v>0.40889249999999999</v>
      </c>
      <c r="L228" s="15">
        <f t="shared" si="47"/>
        <v>20.035732499999998</v>
      </c>
      <c r="M228" s="15">
        <f t="shared" si="48"/>
        <v>11.5</v>
      </c>
      <c r="N228" s="15">
        <f t="shared" si="49"/>
        <v>1</v>
      </c>
      <c r="O228" s="15">
        <f t="shared" si="50"/>
        <v>7.5357324999999982</v>
      </c>
      <c r="P228" s="15">
        <f t="shared" si="51"/>
        <v>0</v>
      </c>
      <c r="Q228" s="14" t="str">
        <f>IF(M228&gt;=I228*'Hoja 4 - Cálculo'!$B$16,"Satisfactorio","Falla")</f>
        <v>Satisfactorio</v>
      </c>
      <c r="R228" s="14">
        <f t="shared" si="54"/>
        <v>1</v>
      </c>
      <c r="S228" s="14">
        <f t="shared" si="55"/>
        <v>0</v>
      </c>
    </row>
    <row r="229" spans="1:19">
      <c r="A229" s="14" t="str">
        <f t="shared" si="52"/>
        <v>SRY-1-2</v>
      </c>
      <c r="B229" s="15">
        <f>'Curvas SRY'!$B$8</f>
        <v>1</v>
      </c>
      <c r="C229" s="15">
        <f>'Curvas SRY'!$E$9</f>
        <v>1</v>
      </c>
      <c r="D229" s="14" t="str">
        <f>'Curvas SRY'!$B$14</f>
        <v>Uso variable</v>
      </c>
      <c r="E229" s="14">
        <f>106</f>
        <v>106</v>
      </c>
      <c r="F229" s="21">
        <f>'Hoja 4 - Cálculo'!A130</f>
        <v>32782</v>
      </c>
      <c r="G229" s="15">
        <f>'Hoja 4 - Cálculo'!H130</f>
        <v>28.343250000000001</v>
      </c>
      <c r="H229" s="15">
        <f>IF(D229="Uso único",'Hoja 4 - Cálculo'!I130,IF(D229="Uso múltiple",AVERAGE('Hoja 4 - Cálculo'!$I$25:$I$384)+AVERAGE('Hoja 4 - Cálculo'!$J$25:$J$384)+AVERAGE('Hoja 4 - Cálculo'!$K$25:$K$384),IF(D229="Uso prioritario",'Hoja 4 - Cálculo'!I130+'Hoja 4 - Cálculo'!K130,'Hoja 4 - Cálculo'!I130+'Hoja 4 - Cálculo'!J130+'Hoja 4 - Cálculo'!K130)))</f>
        <v>11.5</v>
      </c>
      <c r="I229" s="15">
        <f t="shared" si="46"/>
        <v>11.5</v>
      </c>
      <c r="J229" s="15">
        <f t="shared" si="53"/>
        <v>1</v>
      </c>
      <c r="K229" s="15">
        <f>MIN(J229+G229,(J229+G229)*'Hoja 4 - Cálculo'!$B$15)</f>
        <v>0.58686500000000008</v>
      </c>
      <c r="L229" s="15">
        <f t="shared" si="47"/>
        <v>28.756385000000002</v>
      </c>
      <c r="M229" s="15">
        <f t="shared" si="48"/>
        <v>11.5</v>
      </c>
      <c r="N229" s="15">
        <f t="shared" si="49"/>
        <v>1</v>
      </c>
      <c r="O229" s="15">
        <f t="shared" si="50"/>
        <v>16.256385000000002</v>
      </c>
      <c r="P229" s="15">
        <f t="shared" si="51"/>
        <v>0</v>
      </c>
      <c r="Q229" s="14" t="str">
        <f>IF(M229&gt;=I229*'Hoja 4 - Cálculo'!$B$16,"Satisfactorio","Falla")</f>
        <v>Satisfactorio</v>
      </c>
      <c r="R229" s="14">
        <f t="shared" si="54"/>
        <v>0</v>
      </c>
      <c r="S229" s="14">
        <f t="shared" si="55"/>
        <v>0</v>
      </c>
    </row>
    <row r="230" spans="1:19">
      <c r="A230" s="14" t="str">
        <f t="shared" si="52"/>
        <v>SRY-1-2</v>
      </c>
      <c r="B230" s="15">
        <f>'Curvas SRY'!$B$8</f>
        <v>1</v>
      </c>
      <c r="C230" s="15">
        <f>'Curvas SRY'!$E$9</f>
        <v>1</v>
      </c>
      <c r="D230" s="14" t="str">
        <f>'Curvas SRY'!$B$14</f>
        <v>Uso variable</v>
      </c>
      <c r="E230" s="14">
        <f>107</f>
        <v>107</v>
      </c>
      <c r="F230" s="21">
        <f>'Hoja 4 - Cálculo'!A131</f>
        <v>32813</v>
      </c>
      <c r="G230" s="15">
        <f>'Hoja 4 - Cálculo'!H131</f>
        <v>22.60575</v>
      </c>
      <c r="H230" s="15">
        <f>IF(D230="Uso único",'Hoja 4 - Cálculo'!I131,IF(D230="Uso múltiple",AVERAGE('Hoja 4 - Cálculo'!$I$25:$I$384)+AVERAGE('Hoja 4 - Cálculo'!$J$25:$J$384)+AVERAGE('Hoja 4 - Cálculo'!$K$25:$K$384),IF(D230="Uso prioritario",'Hoja 4 - Cálculo'!I131+'Hoja 4 - Cálculo'!K131,'Hoja 4 - Cálculo'!I131+'Hoja 4 - Cálculo'!J131+'Hoja 4 - Cálculo'!K131)))</f>
        <v>11.5</v>
      </c>
      <c r="I230" s="15">
        <f t="shared" si="46"/>
        <v>11.5</v>
      </c>
      <c r="J230" s="15">
        <f t="shared" si="53"/>
        <v>1</v>
      </c>
      <c r="K230" s="15">
        <f>MIN(J230+G230,(J230+G230)*'Hoja 4 - Cálculo'!$B$15)</f>
        <v>0.47211500000000001</v>
      </c>
      <c r="L230" s="15">
        <f t="shared" si="47"/>
        <v>23.133635000000002</v>
      </c>
      <c r="M230" s="15">
        <f t="shared" si="48"/>
        <v>11.5</v>
      </c>
      <c r="N230" s="15">
        <f t="shared" si="49"/>
        <v>1</v>
      </c>
      <c r="O230" s="15">
        <f t="shared" si="50"/>
        <v>10.633635000000002</v>
      </c>
      <c r="P230" s="15">
        <f t="shared" si="51"/>
        <v>0</v>
      </c>
      <c r="Q230" s="14" t="str">
        <f>IF(M230&gt;=I230*'Hoja 4 - Cálculo'!$B$16,"Satisfactorio","Falla")</f>
        <v>Satisfactorio</v>
      </c>
      <c r="R230" s="14">
        <f t="shared" si="54"/>
        <v>0</v>
      </c>
      <c r="S230" s="14">
        <f t="shared" si="55"/>
        <v>0</v>
      </c>
    </row>
    <row r="231" spans="1:19">
      <c r="A231" s="14" t="str">
        <f t="shared" si="52"/>
        <v>SRY-1-2</v>
      </c>
      <c r="B231" s="15">
        <f>'Curvas SRY'!$B$8</f>
        <v>1</v>
      </c>
      <c r="C231" s="15">
        <f>'Curvas SRY'!$E$9</f>
        <v>1</v>
      </c>
      <c r="D231" s="14" t="str">
        <f>'Curvas SRY'!$B$14</f>
        <v>Uso variable</v>
      </c>
      <c r="E231" s="14">
        <f>108</f>
        <v>108</v>
      </c>
      <c r="F231" s="21">
        <f>'Hoja 4 - Cálculo'!A132</f>
        <v>32843</v>
      </c>
      <c r="G231" s="15">
        <f>'Hoja 4 - Cálculo'!H132</f>
        <v>14.362875000000001</v>
      </c>
      <c r="H231" s="15">
        <f>IF(D231="Uso único",'Hoja 4 - Cálculo'!I132,IF(D231="Uso múltiple",AVERAGE('Hoja 4 - Cálculo'!$I$25:$I$384)+AVERAGE('Hoja 4 - Cálculo'!$J$25:$J$384)+AVERAGE('Hoja 4 - Cálculo'!$K$25:$K$384),IF(D231="Uso prioritario",'Hoja 4 - Cálculo'!I132+'Hoja 4 - Cálculo'!K132,'Hoja 4 - Cálculo'!I132+'Hoja 4 - Cálculo'!J132+'Hoja 4 - Cálculo'!K132)))</f>
        <v>16</v>
      </c>
      <c r="I231" s="15">
        <f t="shared" si="46"/>
        <v>16</v>
      </c>
      <c r="J231" s="15">
        <f t="shared" si="53"/>
        <v>1</v>
      </c>
      <c r="K231" s="15">
        <f>MIN(J231+G231,(J231+G231)*'Hoja 4 - Cálculo'!$B$15)</f>
        <v>0.30725750000000002</v>
      </c>
      <c r="L231" s="15">
        <f t="shared" si="47"/>
        <v>15.0556175</v>
      </c>
      <c r="M231" s="15">
        <f t="shared" si="48"/>
        <v>15.0556175</v>
      </c>
      <c r="N231" s="15">
        <f t="shared" si="49"/>
        <v>0</v>
      </c>
      <c r="O231" s="15">
        <f t="shared" si="50"/>
        <v>0</v>
      </c>
      <c r="P231" s="15">
        <f t="shared" si="51"/>
        <v>0.94438249999999968</v>
      </c>
      <c r="Q231" s="14" t="str">
        <f>IF(M231&gt;=I231*'Hoja 4 - Cálculo'!$B$16,"Satisfactorio","Falla")</f>
        <v>Falla</v>
      </c>
      <c r="R231" s="14">
        <f t="shared" si="54"/>
        <v>0</v>
      </c>
      <c r="S231" s="14">
        <f t="shared" si="55"/>
        <v>1</v>
      </c>
    </row>
    <row r="232" spans="1:19">
      <c r="A232" s="14" t="str">
        <f t="shared" si="52"/>
        <v>SRY-1-2</v>
      </c>
      <c r="B232" s="15">
        <f>'Curvas SRY'!$B$8</f>
        <v>1</v>
      </c>
      <c r="C232" s="15">
        <f>'Curvas SRY'!$E$9</f>
        <v>1</v>
      </c>
      <c r="D232" s="14" t="str">
        <f>'Curvas SRY'!$B$14</f>
        <v>Uso variable</v>
      </c>
      <c r="E232" s="14">
        <f>109</f>
        <v>109</v>
      </c>
      <c r="F232" s="21">
        <f>'Hoja 4 - Cálculo'!A133</f>
        <v>32874</v>
      </c>
      <c r="G232" s="15">
        <f>'Hoja 4 - Cálculo'!H133</f>
        <v>11.723625</v>
      </c>
      <c r="H232" s="15">
        <f>IF(D232="Uso único",'Hoja 4 - Cálculo'!I133,IF(D232="Uso múltiple",AVERAGE('Hoja 4 - Cálculo'!$I$25:$I$384)+AVERAGE('Hoja 4 - Cálculo'!$J$25:$J$384)+AVERAGE('Hoja 4 - Cálculo'!$K$25:$K$384),IF(D232="Uso prioritario",'Hoja 4 - Cálculo'!I133+'Hoja 4 - Cálculo'!K133,'Hoja 4 - Cálculo'!I133+'Hoja 4 - Cálculo'!J133+'Hoja 4 - Cálculo'!K133)))</f>
        <v>16</v>
      </c>
      <c r="I232" s="15">
        <f t="shared" si="46"/>
        <v>16</v>
      </c>
      <c r="J232" s="15">
        <f t="shared" si="53"/>
        <v>0</v>
      </c>
      <c r="K232" s="15">
        <f>MIN(J232+G232,(J232+G232)*'Hoja 4 - Cálculo'!$B$15)</f>
        <v>0.2344725</v>
      </c>
      <c r="L232" s="15">
        <f t="shared" si="47"/>
        <v>11.489152499999999</v>
      </c>
      <c r="M232" s="15">
        <f t="shared" si="48"/>
        <v>11.489152499999999</v>
      </c>
      <c r="N232" s="15">
        <f t="shared" si="49"/>
        <v>0</v>
      </c>
      <c r="O232" s="15">
        <f t="shared" si="50"/>
        <v>0</v>
      </c>
      <c r="P232" s="15">
        <f t="shared" si="51"/>
        <v>4.5108475000000006</v>
      </c>
      <c r="Q232" s="14" t="str">
        <f>IF(M232&gt;=I232*'Hoja 4 - Cálculo'!$B$16,"Satisfactorio","Falla")</f>
        <v>Falla</v>
      </c>
      <c r="R232" s="14">
        <f t="shared" si="54"/>
        <v>0</v>
      </c>
      <c r="S232" s="14">
        <f t="shared" si="55"/>
        <v>0</v>
      </c>
    </row>
    <row r="233" spans="1:19">
      <c r="A233" s="14" t="str">
        <f t="shared" si="52"/>
        <v>SRY-1-2</v>
      </c>
      <c r="B233" s="15">
        <f>'Curvas SRY'!$B$8</f>
        <v>1</v>
      </c>
      <c r="C233" s="15">
        <f>'Curvas SRY'!$E$9</f>
        <v>1</v>
      </c>
      <c r="D233" s="14" t="str">
        <f>'Curvas SRY'!$B$14</f>
        <v>Uso variable</v>
      </c>
      <c r="E233" s="14">
        <f>110</f>
        <v>110</v>
      </c>
      <c r="F233" s="21">
        <f>'Hoja 4 - Cálculo'!A134</f>
        <v>32905</v>
      </c>
      <c r="G233" s="15">
        <f>'Hoja 4 - Cálculo'!H134</f>
        <v>13.311</v>
      </c>
      <c r="H233" s="15">
        <f>IF(D233="Uso único",'Hoja 4 - Cálculo'!I134,IF(D233="Uso múltiple",AVERAGE('Hoja 4 - Cálculo'!$I$25:$I$384)+AVERAGE('Hoja 4 - Cálculo'!$J$25:$J$384)+AVERAGE('Hoja 4 - Cálculo'!$K$25:$K$384),IF(D233="Uso prioritario",'Hoja 4 - Cálculo'!I134+'Hoja 4 - Cálculo'!K134,'Hoja 4 - Cálculo'!I134+'Hoja 4 - Cálculo'!J134+'Hoja 4 - Cálculo'!K134)))</f>
        <v>16</v>
      </c>
      <c r="I233" s="15">
        <f t="shared" si="46"/>
        <v>16</v>
      </c>
      <c r="J233" s="15">
        <f t="shared" si="53"/>
        <v>0</v>
      </c>
      <c r="K233" s="15">
        <f>MIN(J233+G233,(J233+G233)*'Hoja 4 - Cálculo'!$B$15)</f>
        <v>0.26622000000000001</v>
      </c>
      <c r="L233" s="15">
        <f t="shared" si="47"/>
        <v>13.044779999999999</v>
      </c>
      <c r="M233" s="15">
        <f t="shared" si="48"/>
        <v>13.044779999999999</v>
      </c>
      <c r="N233" s="15">
        <f t="shared" si="49"/>
        <v>0</v>
      </c>
      <c r="O233" s="15">
        <f t="shared" si="50"/>
        <v>0</v>
      </c>
      <c r="P233" s="15">
        <f t="shared" si="51"/>
        <v>2.9552200000000006</v>
      </c>
      <c r="Q233" s="14" t="str">
        <f>IF(M233&gt;=I233*'Hoja 4 - Cálculo'!$B$16,"Satisfactorio","Falla")</f>
        <v>Falla</v>
      </c>
      <c r="R233" s="14">
        <f t="shared" si="54"/>
        <v>0</v>
      </c>
      <c r="S233" s="14">
        <f t="shared" si="55"/>
        <v>0</v>
      </c>
    </row>
    <row r="234" spans="1:19">
      <c r="A234" s="14" t="str">
        <f t="shared" si="52"/>
        <v>SRY-1-2</v>
      </c>
      <c r="B234" s="15">
        <f>'Curvas SRY'!$B$8</f>
        <v>1</v>
      </c>
      <c r="C234" s="15">
        <f>'Curvas SRY'!$E$9</f>
        <v>1</v>
      </c>
      <c r="D234" s="14" t="str">
        <f>'Curvas SRY'!$B$14</f>
        <v>Uso variable</v>
      </c>
      <c r="E234" s="14">
        <f>111</f>
        <v>111</v>
      </c>
      <c r="F234" s="21">
        <f>'Hoja 4 - Cálculo'!A135</f>
        <v>32933</v>
      </c>
      <c r="G234" s="15">
        <f>'Hoja 4 - Cálculo'!H135</f>
        <v>18.838125000000002</v>
      </c>
      <c r="H234" s="15">
        <f>IF(D234="Uso único",'Hoja 4 - Cálculo'!I135,IF(D234="Uso múltiple",AVERAGE('Hoja 4 - Cálculo'!$I$25:$I$384)+AVERAGE('Hoja 4 - Cálculo'!$J$25:$J$384)+AVERAGE('Hoja 4 - Cálculo'!$K$25:$K$384),IF(D234="Uso prioritario",'Hoja 4 - Cálculo'!I135+'Hoja 4 - Cálculo'!K135,'Hoja 4 - Cálculo'!I135+'Hoja 4 - Cálculo'!J135+'Hoja 4 - Cálculo'!K135)))</f>
        <v>16</v>
      </c>
      <c r="I234" s="15">
        <f t="shared" si="46"/>
        <v>16</v>
      </c>
      <c r="J234" s="15">
        <f t="shared" si="53"/>
        <v>0</v>
      </c>
      <c r="K234" s="15">
        <f>MIN(J234+G234,(J234+G234)*'Hoja 4 - Cálculo'!$B$15)</f>
        <v>0.37676250000000006</v>
      </c>
      <c r="L234" s="15">
        <f t="shared" si="47"/>
        <v>18.4613625</v>
      </c>
      <c r="M234" s="15">
        <f t="shared" si="48"/>
        <v>16</v>
      </c>
      <c r="N234" s="15">
        <f t="shared" si="49"/>
        <v>1</v>
      </c>
      <c r="O234" s="15">
        <f t="shared" si="50"/>
        <v>1.4613624999999999</v>
      </c>
      <c r="P234" s="15">
        <f t="shared" si="51"/>
        <v>0</v>
      </c>
      <c r="Q234" s="14" t="str">
        <f>IF(M234&gt;=I234*'Hoja 4 - Cálculo'!$B$16,"Satisfactorio","Falla")</f>
        <v>Satisfactorio</v>
      </c>
      <c r="R234" s="14">
        <f t="shared" si="54"/>
        <v>1</v>
      </c>
      <c r="S234" s="14">
        <f t="shared" si="55"/>
        <v>0</v>
      </c>
    </row>
    <row r="235" spans="1:19">
      <c r="A235" s="14" t="str">
        <f t="shared" si="52"/>
        <v>SRY-1-2</v>
      </c>
      <c r="B235" s="15">
        <f>'Curvas SRY'!$B$8</f>
        <v>1</v>
      </c>
      <c r="C235" s="15">
        <f>'Curvas SRY'!$E$9</f>
        <v>1</v>
      </c>
      <c r="D235" s="14" t="str">
        <f>'Curvas SRY'!$B$14</f>
        <v>Uso variable</v>
      </c>
      <c r="E235" s="14">
        <f>112</f>
        <v>112</v>
      </c>
      <c r="F235" s="21">
        <f>'Hoja 4 - Cálculo'!A136</f>
        <v>32964</v>
      </c>
      <c r="G235" s="15">
        <f>'Hoja 4 - Cálculo'!H136</f>
        <v>28.611000000000001</v>
      </c>
      <c r="H235" s="15">
        <f>IF(D235="Uso único",'Hoja 4 - Cálculo'!I136,IF(D235="Uso múltiple",AVERAGE('Hoja 4 - Cálculo'!$I$25:$I$384)+AVERAGE('Hoja 4 - Cálculo'!$J$25:$J$384)+AVERAGE('Hoja 4 - Cálculo'!$K$25:$K$384),IF(D235="Uso prioritario",'Hoja 4 - Cálculo'!I136+'Hoja 4 - Cálculo'!K136,'Hoja 4 - Cálculo'!I136+'Hoja 4 - Cálculo'!J136+'Hoja 4 - Cálculo'!K136)))</f>
        <v>11.5</v>
      </c>
      <c r="I235" s="15">
        <f t="shared" si="46"/>
        <v>11.5</v>
      </c>
      <c r="J235" s="15">
        <f t="shared" si="53"/>
        <v>1</v>
      </c>
      <c r="K235" s="15">
        <f>MIN(J235+G235,(J235+G235)*'Hoja 4 - Cálculo'!$B$15)</f>
        <v>0.59222000000000008</v>
      </c>
      <c r="L235" s="15">
        <f t="shared" si="47"/>
        <v>29.01878</v>
      </c>
      <c r="M235" s="15">
        <f t="shared" si="48"/>
        <v>11.5</v>
      </c>
      <c r="N235" s="15">
        <f t="shared" si="49"/>
        <v>1</v>
      </c>
      <c r="O235" s="15">
        <f t="shared" si="50"/>
        <v>16.51878</v>
      </c>
      <c r="P235" s="15">
        <f t="shared" si="51"/>
        <v>0</v>
      </c>
      <c r="Q235" s="14" t="str">
        <f>IF(M235&gt;=I235*'Hoja 4 - Cálculo'!$B$16,"Satisfactorio","Falla")</f>
        <v>Satisfactorio</v>
      </c>
      <c r="R235" s="14">
        <f t="shared" si="54"/>
        <v>0</v>
      </c>
      <c r="S235" s="14">
        <f t="shared" si="55"/>
        <v>0</v>
      </c>
    </row>
    <row r="236" spans="1:19">
      <c r="A236" s="14" t="str">
        <f t="shared" si="52"/>
        <v>SRY-1-2</v>
      </c>
      <c r="B236" s="15">
        <f>'Curvas SRY'!$B$8</f>
        <v>1</v>
      </c>
      <c r="C236" s="15">
        <f>'Curvas SRY'!$E$9</f>
        <v>1</v>
      </c>
      <c r="D236" s="14" t="str">
        <f>'Curvas SRY'!$B$14</f>
        <v>Uso variable</v>
      </c>
      <c r="E236" s="14">
        <f>113</f>
        <v>113</v>
      </c>
      <c r="F236" s="21">
        <f>'Hoja 4 - Cálculo'!A137</f>
        <v>32994</v>
      </c>
      <c r="G236" s="15">
        <f>'Hoja 4 - Cálculo'!H137</f>
        <v>23.52375</v>
      </c>
      <c r="H236" s="15">
        <f>IF(D236="Uso único",'Hoja 4 - Cálculo'!I137,IF(D236="Uso múltiple",AVERAGE('Hoja 4 - Cálculo'!$I$25:$I$384)+AVERAGE('Hoja 4 - Cálculo'!$J$25:$J$384)+AVERAGE('Hoja 4 - Cálculo'!$K$25:$K$384),IF(D236="Uso prioritario",'Hoja 4 - Cálculo'!I137+'Hoja 4 - Cálculo'!K137,'Hoja 4 - Cálculo'!I137+'Hoja 4 - Cálculo'!J137+'Hoja 4 - Cálculo'!K137)))</f>
        <v>11.5</v>
      </c>
      <c r="I236" s="15">
        <f t="shared" si="46"/>
        <v>11.5</v>
      </c>
      <c r="J236" s="15">
        <f t="shared" si="53"/>
        <v>1</v>
      </c>
      <c r="K236" s="15">
        <f>MIN(J236+G236,(J236+G236)*'Hoja 4 - Cálculo'!$B$15)</f>
        <v>0.49047499999999999</v>
      </c>
      <c r="L236" s="15">
        <f t="shared" si="47"/>
        <v>24.033275</v>
      </c>
      <c r="M236" s="15">
        <f t="shared" si="48"/>
        <v>11.5</v>
      </c>
      <c r="N236" s="15">
        <f t="shared" si="49"/>
        <v>1</v>
      </c>
      <c r="O236" s="15">
        <f t="shared" si="50"/>
        <v>11.533275</v>
      </c>
      <c r="P236" s="15">
        <f t="shared" si="51"/>
        <v>0</v>
      </c>
      <c r="Q236" s="14" t="str">
        <f>IF(M236&gt;=I236*'Hoja 4 - Cálculo'!$B$16,"Satisfactorio","Falla")</f>
        <v>Satisfactorio</v>
      </c>
      <c r="R236" s="14">
        <f t="shared" si="54"/>
        <v>0</v>
      </c>
      <c r="S236" s="14">
        <f t="shared" si="55"/>
        <v>0</v>
      </c>
    </row>
    <row r="237" spans="1:19">
      <c r="A237" s="14" t="str">
        <f t="shared" si="52"/>
        <v>SRY-1-2</v>
      </c>
      <c r="B237" s="15">
        <f>'Curvas SRY'!$B$8</f>
        <v>1</v>
      </c>
      <c r="C237" s="15">
        <f>'Curvas SRY'!$E$9</f>
        <v>1</v>
      </c>
      <c r="D237" s="14" t="str">
        <f>'Curvas SRY'!$B$14</f>
        <v>Uso variable</v>
      </c>
      <c r="E237" s="14">
        <f>114</f>
        <v>114</v>
      </c>
      <c r="F237" s="21">
        <f>'Hoja 4 - Cálculo'!A138</f>
        <v>33025</v>
      </c>
      <c r="G237" s="15">
        <f>'Hoja 4 - Cálculo'!H138</f>
        <v>15.529500000000001</v>
      </c>
      <c r="H237" s="15">
        <f>IF(D237="Uso único",'Hoja 4 - Cálculo'!I138,IF(D237="Uso múltiple",AVERAGE('Hoja 4 - Cálculo'!$I$25:$I$384)+AVERAGE('Hoja 4 - Cálculo'!$J$25:$J$384)+AVERAGE('Hoja 4 - Cálculo'!$K$25:$K$384),IF(D237="Uso prioritario",'Hoja 4 - Cálculo'!I138+'Hoja 4 - Cálculo'!K138,'Hoja 4 - Cálculo'!I138+'Hoja 4 - Cálculo'!J138+'Hoja 4 - Cálculo'!K138)))</f>
        <v>11.5</v>
      </c>
      <c r="I237" s="15">
        <f t="shared" si="46"/>
        <v>11.5</v>
      </c>
      <c r="J237" s="15">
        <f t="shared" si="53"/>
        <v>1</v>
      </c>
      <c r="K237" s="15">
        <f>MIN(J237+G237,(J237+G237)*'Hoja 4 - Cálculo'!$B$15)</f>
        <v>0.33058999999999999</v>
      </c>
      <c r="L237" s="15">
        <f t="shared" si="47"/>
        <v>16.198909999999998</v>
      </c>
      <c r="M237" s="15">
        <f t="shared" si="48"/>
        <v>11.5</v>
      </c>
      <c r="N237" s="15">
        <f t="shared" si="49"/>
        <v>1</v>
      </c>
      <c r="O237" s="15">
        <f t="shared" si="50"/>
        <v>3.6989099999999979</v>
      </c>
      <c r="P237" s="15">
        <f t="shared" si="51"/>
        <v>0</v>
      </c>
      <c r="Q237" s="14" t="str">
        <f>IF(M237&gt;=I237*'Hoja 4 - Cálculo'!$B$16,"Satisfactorio","Falla")</f>
        <v>Satisfactorio</v>
      </c>
      <c r="R237" s="14">
        <f t="shared" si="54"/>
        <v>0</v>
      </c>
      <c r="S237" s="14">
        <f t="shared" si="55"/>
        <v>0</v>
      </c>
    </row>
    <row r="238" spans="1:19">
      <c r="A238" s="14" t="str">
        <f t="shared" si="52"/>
        <v>SRY-1-2</v>
      </c>
      <c r="B238" s="15">
        <f>'Curvas SRY'!$B$8</f>
        <v>1</v>
      </c>
      <c r="C238" s="15">
        <f>'Curvas SRY'!$E$9</f>
        <v>1</v>
      </c>
      <c r="D238" s="14" t="str">
        <f>'Curvas SRY'!$B$14</f>
        <v>Uso variable</v>
      </c>
      <c r="E238" s="14">
        <f>115</f>
        <v>115</v>
      </c>
      <c r="F238" s="21">
        <f>'Hoja 4 - Cálculo'!A139</f>
        <v>33055</v>
      </c>
      <c r="G238" s="15">
        <f>'Hoja 4 - Cálculo'!H139</f>
        <v>12.201750000000001</v>
      </c>
      <c r="H238" s="15">
        <f>IF(D238="Uso único",'Hoja 4 - Cálculo'!I139,IF(D238="Uso múltiple",AVERAGE('Hoja 4 - Cálculo'!$I$25:$I$384)+AVERAGE('Hoja 4 - Cálculo'!$J$25:$J$384)+AVERAGE('Hoja 4 - Cálculo'!$K$25:$K$384),IF(D238="Uso prioritario",'Hoja 4 - Cálculo'!I139+'Hoja 4 - Cálculo'!K139,'Hoja 4 - Cálculo'!I139+'Hoja 4 - Cálculo'!J139+'Hoja 4 - Cálculo'!K139)))</f>
        <v>16</v>
      </c>
      <c r="I238" s="15">
        <f t="shared" si="46"/>
        <v>16</v>
      </c>
      <c r="J238" s="15">
        <f t="shared" si="53"/>
        <v>1</v>
      </c>
      <c r="K238" s="15">
        <f>MIN(J238+G238,(J238+G238)*'Hoja 4 - Cálculo'!$B$15)</f>
        <v>0.26403500000000002</v>
      </c>
      <c r="L238" s="15">
        <f t="shared" si="47"/>
        <v>12.937715000000001</v>
      </c>
      <c r="M238" s="15">
        <f t="shared" si="48"/>
        <v>12.937715000000001</v>
      </c>
      <c r="N238" s="15">
        <f t="shared" si="49"/>
        <v>0</v>
      </c>
      <c r="O238" s="15">
        <f t="shared" si="50"/>
        <v>0</v>
      </c>
      <c r="P238" s="15">
        <f t="shared" si="51"/>
        <v>3.0622849999999993</v>
      </c>
      <c r="Q238" s="14" t="str">
        <f>IF(M238&gt;=I238*'Hoja 4 - Cálculo'!$B$16,"Satisfactorio","Falla")</f>
        <v>Falla</v>
      </c>
      <c r="R238" s="14">
        <f t="shared" si="54"/>
        <v>0</v>
      </c>
      <c r="S238" s="14">
        <f t="shared" si="55"/>
        <v>1</v>
      </c>
    </row>
    <row r="239" spans="1:19">
      <c r="A239" s="14" t="str">
        <f t="shared" si="52"/>
        <v>SRY-1-2</v>
      </c>
      <c r="B239" s="15">
        <f>'Curvas SRY'!$B$8</f>
        <v>1</v>
      </c>
      <c r="C239" s="15">
        <f>'Curvas SRY'!$E$9</f>
        <v>1</v>
      </c>
      <c r="D239" s="14" t="str">
        <f>'Curvas SRY'!$B$14</f>
        <v>Uso variable</v>
      </c>
      <c r="E239" s="14">
        <f>116</f>
        <v>116</v>
      </c>
      <c r="F239" s="21">
        <f>'Hoja 4 - Cálculo'!A140</f>
        <v>33086</v>
      </c>
      <c r="G239" s="15">
        <f>'Hoja 4 - Cálculo'!H140</f>
        <v>13.04325</v>
      </c>
      <c r="H239" s="15">
        <f>IF(D239="Uso único",'Hoja 4 - Cálculo'!I140,IF(D239="Uso múltiple",AVERAGE('Hoja 4 - Cálculo'!$I$25:$I$384)+AVERAGE('Hoja 4 - Cálculo'!$J$25:$J$384)+AVERAGE('Hoja 4 - Cálculo'!$K$25:$K$384),IF(D239="Uso prioritario",'Hoja 4 - Cálculo'!I140+'Hoja 4 - Cálculo'!K140,'Hoja 4 - Cálculo'!I140+'Hoja 4 - Cálculo'!J140+'Hoja 4 - Cálculo'!K140)))</f>
        <v>16</v>
      </c>
      <c r="I239" s="15">
        <f t="shared" si="46"/>
        <v>16</v>
      </c>
      <c r="J239" s="15">
        <f t="shared" si="53"/>
        <v>0</v>
      </c>
      <c r="K239" s="15">
        <f>MIN(J239+G239,(J239+G239)*'Hoja 4 - Cálculo'!$B$15)</f>
        <v>0.26086500000000001</v>
      </c>
      <c r="L239" s="15">
        <f t="shared" si="47"/>
        <v>12.782385</v>
      </c>
      <c r="M239" s="15">
        <f t="shared" si="48"/>
        <v>12.782385</v>
      </c>
      <c r="N239" s="15">
        <f t="shared" si="49"/>
        <v>0</v>
      </c>
      <c r="O239" s="15">
        <f t="shared" si="50"/>
        <v>0</v>
      </c>
      <c r="P239" s="15">
        <f t="shared" si="51"/>
        <v>3.2176150000000003</v>
      </c>
      <c r="Q239" s="14" t="str">
        <f>IF(M239&gt;=I239*'Hoja 4 - Cálculo'!$B$16,"Satisfactorio","Falla")</f>
        <v>Falla</v>
      </c>
      <c r="R239" s="14">
        <f t="shared" si="54"/>
        <v>0</v>
      </c>
      <c r="S239" s="14">
        <f t="shared" si="55"/>
        <v>0</v>
      </c>
    </row>
    <row r="240" spans="1:19">
      <c r="A240" s="14" t="str">
        <f t="shared" si="52"/>
        <v>SRY-1-2</v>
      </c>
      <c r="B240" s="15">
        <f>'Curvas SRY'!$B$8</f>
        <v>1</v>
      </c>
      <c r="C240" s="15">
        <f>'Curvas SRY'!$E$9</f>
        <v>1</v>
      </c>
      <c r="D240" s="14" t="str">
        <f>'Curvas SRY'!$B$14</f>
        <v>Uso variable</v>
      </c>
      <c r="E240" s="14">
        <f>117</f>
        <v>117</v>
      </c>
      <c r="F240" s="21">
        <f>'Hoja 4 - Cálculo'!A141</f>
        <v>33117</v>
      </c>
      <c r="G240" s="15">
        <f>'Hoja 4 - Cálculo'!H141</f>
        <v>21.974625</v>
      </c>
      <c r="H240" s="15">
        <f>IF(D240="Uso único",'Hoja 4 - Cálculo'!I141,IF(D240="Uso múltiple",AVERAGE('Hoja 4 - Cálculo'!$I$25:$I$384)+AVERAGE('Hoja 4 - Cálculo'!$J$25:$J$384)+AVERAGE('Hoja 4 - Cálculo'!$K$25:$K$384),IF(D240="Uso prioritario",'Hoja 4 - Cálculo'!I141+'Hoja 4 - Cálculo'!K141,'Hoja 4 - Cálculo'!I141+'Hoja 4 - Cálculo'!J141+'Hoja 4 - Cálculo'!K141)))</f>
        <v>11.5</v>
      </c>
      <c r="I240" s="15">
        <f t="shared" si="46"/>
        <v>11.5</v>
      </c>
      <c r="J240" s="15">
        <f t="shared" si="53"/>
        <v>0</v>
      </c>
      <c r="K240" s="15">
        <f>MIN(J240+G240,(J240+G240)*'Hoja 4 - Cálculo'!$B$15)</f>
        <v>0.43949250000000001</v>
      </c>
      <c r="L240" s="15">
        <f t="shared" si="47"/>
        <v>21.5351325</v>
      </c>
      <c r="M240" s="15">
        <f t="shared" si="48"/>
        <v>11.5</v>
      </c>
      <c r="N240" s="15">
        <f t="shared" si="49"/>
        <v>1</v>
      </c>
      <c r="O240" s="15">
        <f t="shared" si="50"/>
        <v>9.0351324999999996</v>
      </c>
      <c r="P240" s="15">
        <f t="shared" si="51"/>
        <v>0</v>
      </c>
      <c r="Q240" s="14" t="str">
        <f>IF(M240&gt;=I240*'Hoja 4 - Cálculo'!$B$16,"Satisfactorio","Falla")</f>
        <v>Satisfactorio</v>
      </c>
      <c r="R240" s="14">
        <f t="shared" si="54"/>
        <v>1</v>
      </c>
      <c r="S240" s="14">
        <f t="shared" si="55"/>
        <v>0</v>
      </c>
    </row>
    <row r="241" spans="1:19">
      <c r="A241" s="14" t="str">
        <f t="shared" si="52"/>
        <v>SRY-1-2</v>
      </c>
      <c r="B241" s="15">
        <f>'Curvas SRY'!$B$8</f>
        <v>1</v>
      </c>
      <c r="C241" s="15">
        <f>'Curvas SRY'!$E$9</f>
        <v>1</v>
      </c>
      <c r="D241" s="14" t="str">
        <f>'Curvas SRY'!$B$14</f>
        <v>Uso variable</v>
      </c>
      <c r="E241" s="14">
        <f>118</f>
        <v>118</v>
      </c>
      <c r="F241" s="21">
        <f>'Hoja 4 - Cálculo'!A142</f>
        <v>33147</v>
      </c>
      <c r="G241" s="15">
        <f>'Hoja 4 - Cálculo'!H142</f>
        <v>26.870625</v>
      </c>
      <c r="H241" s="15">
        <f>IF(D241="Uso único",'Hoja 4 - Cálculo'!I142,IF(D241="Uso múltiple",AVERAGE('Hoja 4 - Cálculo'!$I$25:$I$384)+AVERAGE('Hoja 4 - Cálculo'!$J$25:$J$384)+AVERAGE('Hoja 4 - Cálculo'!$K$25:$K$384),IF(D241="Uso prioritario",'Hoja 4 - Cálculo'!I142+'Hoja 4 - Cálculo'!K142,'Hoja 4 - Cálculo'!I142+'Hoja 4 - Cálculo'!J142+'Hoja 4 - Cálculo'!K142)))</f>
        <v>11.5</v>
      </c>
      <c r="I241" s="15">
        <f t="shared" si="46"/>
        <v>11.5</v>
      </c>
      <c r="J241" s="15">
        <f t="shared" si="53"/>
        <v>1</v>
      </c>
      <c r="K241" s="15">
        <f>MIN(J241+G241,(J241+G241)*'Hoja 4 - Cálculo'!$B$15)</f>
        <v>0.55741249999999998</v>
      </c>
      <c r="L241" s="15">
        <f t="shared" si="47"/>
        <v>27.313212499999999</v>
      </c>
      <c r="M241" s="15">
        <f t="shared" si="48"/>
        <v>11.5</v>
      </c>
      <c r="N241" s="15">
        <f t="shared" si="49"/>
        <v>1</v>
      </c>
      <c r="O241" s="15">
        <f t="shared" si="50"/>
        <v>14.813212499999999</v>
      </c>
      <c r="P241" s="15">
        <f t="shared" si="51"/>
        <v>0</v>
      </c>
      <c r="Q241" s="14" t="str">
        <f>IF(M241&gt;=I241*'Hoja 4 - Cálculo'!$B$16,"Satisfactorio","Falla")</f>
        <v>Satisfactorio</v>
      </c>
      <c r="R241" s="14">
        <f t="shared" si="54"/>
        <v>0</v>
      </c>
      <c r="S241" s="14">
        <f t="shared" si="55"/>
        <v>0</v>
      </c>
    </row>
    <row r="242" spans="1:19">
      <c r="A242" s="14" t="str">
        <f t="shared" si="52"/>
        <v>SRY-1-2</v>
      </c>
      <c r="B242" s="15">
        <f>'Curvas SRY'!$B$8</f>
        <v>1</v>
      </c>
      <c r="C242" s="15">
        <f>'Curvas SRY'!$E$9</f>
        <v>1</v>
      </c>
      <c r="D242" s="14" t="str">
        <f>'Curvas SRY'!$B$14</f>
        <v>Uso variable</v>
      </c>
      <c r="E242" s="14">
        <f>119</f>
        <v>119</v>
      </c>
      <c r="F242" s="21">
        <f>'Hoja 4 - Cálculo'!A143</f>
        <v>33178</v>
      </c>
      <c r="G242" s="15">
        <f>'Hoja 4 - Cálculo'!H143</f>
        <v>24.881625</v>
      </c>
      <c r="H242" s="15">
        <f>IF(D242="Uso único",'Hoja 4 - Cálculo'!I143,IF(D242="Uso múltiple",AVERAGE('Hoja 4 - Cálculo'!$I$25:$I$384)+AVERAGE('Hoja 4 - Cálculo'!$J$25:$J$384)+AVERAGE('Hoja 4 - Cálculo'!$K$25:$K$384),IF(D242="Uso prioritario",'Hoja 4 - Cálculo'!I143+'Hoja 4 - Cálculo'!K143,'Hoja 4 - Cálculo'!I143+'Hoja 4 - Cálculo'!J143+'Hoja 4 - Cálculo'!K143)))</f>
        <v>11.5</v>
      </c>
      <c r="I242" s="15">
        <f t="shared" si="46"/>
        <v>11.5</v>
      </c>
      <c r="J242" s="15">
        <f t="shared" si="53"/>
        <v>1</v>
      </c>
      <c r="K242" s="15">
        <f>MIN(J242+G242,(J242+G242)*'Hoja 4 - Cálculo'!$B$15)</f>
        <v>0.51763250000000005</v>
      </c>
      <c r="L242" s="15">
        <f t="shared" si="47"/>
        <v>25.363992499999998</v>
      </c>
      <c r="M242" s="15">
        <f t="shared" si="48"/>
        <v>11.5</v>
      </c>
      <c r="N242" s="15">
        <f t="shared" si="49"/>
        <v>1</v>
      </c>
      <c r="O242" s="15">
        <f t="shared" si="50"/>
        <v>12.863992499999998</v>
      </c>
      <c r="P242" s="15">
        <f t="shared" si="51"/>
        <v>0</v>
      </c>
      <c r="Q242" s="14" t="str">
        <f>IF(M242&gt;=I242*'Hoja 4 - Cálculo'!$B$16,"Satisfactorio","Falla")</f>
        <v>Satisfactorio</v>
      </c>
      <c r="R242" s="14">
        <f t="shared" si="54"/>
        <v>0</v>
      </c>
      <c r="S242" s="14">
        <f t="shared" si="55"/>
        <v>0</v>
      </c>
    </row>
    <row r="243" spans="1:19">
      <c r="A243" s="14" t="str">
        <f t="shared" si="52"/>
        <v>SRY-1-2</v>
      </c>
      <c r="B243" s="15">
        <f>'Curvas SRY'!$B$8</f>
        <v>1</v>
      </c>
      <c r="C243" s="15">
        <f>'Curvas SRY'!$E$9</f>
        <v>1</v>
      </c>
      <c r="D243" s="14" t="str">
        <f>'Curvas SRY'!$B$14</f>
        <v>Uso variable</v>
      </c>
      <c r="E243" s="14">
        <f>120</f>
        <v>120</v>
      </c>
      <c r="F243" s="21">
        <f>'Hoja 4 - Cálculo'!A144</f>
        <v>33208</v>
      </c>
      <c r="G243" s="15">
        <f>'Hoja 4 - Cálculo'!H144</f>
        <v>13.73175</v>
      </c>
      <c r="H243" s="15">
        <f>IF(D243="Uso único",'Hoja 4 - Cálculo'!I144,IF(D243="Uso múltiple",AVERAGE('Hoja 4 - Cálculo'!$I$25:$I$384)+AVERAGE('Hoja 4 - Cálculo'!$J$25:$J$384)+AVERAGE('Hoja 4 - Cálculo'!$K$25:$K$384),IF(D243="Uso prioritario",'Hoja 4 - Cálculo'!I144+'Hoja 4 - Cálculo'!K144,'Hoja 4 - Cálculo'!I144+'Hoja 4 - Cálculo'!J144+'Hoja 4 - Cálculo'!K144)))</f>
        <v>16</v>
      </c>
      <c r="I243" s="15">
        <f t="shared" si="46"/>
        <v>16</v>
      </c>
      <c r="J243" s="15">
        <f t="shared" si="53"/>
        <v>1</v>
      </c>
      <c r="K243" s="15">
        <f>MIN(J243+G243,(J243+G243)*'Hoja 4 - Cálculo'!$B$15)</f>
        <v>0.29463499999999998</v>
      </c>
      <c r="L243" s="15">
        <f t="shared" si="47"/>
        <v>14.437115</v>
      </c>
      <c r="M243" s="15">
        <f t="shared" si="48"/>
        <v>14.437115</v>
      </c>
      <c r="N243" s="15">
        <f t="shared" si="49"/>
        <v>0</v>
      </c>
      <c r="O243" s="15">
        <f t="shared" si="50"/>
        <v>0</v>
      </c>
      <c r="P243" s="15">
        <f t="shared" si="51"/>
        <v>1.5628849999999996</v>
      </c>
      <c r="Q243" s="14" t="str">
        <f>IF(M243&gt;=I243*'Hoja 4 - Cálculo'!$B$16,"Satisfactorio","Falla")</f>
        <v>Falla</v>
      </c>
      <c r="R243" s="14">
        <f t="shared" si="54"/>
        <v>0</v>
      </c>
      <c r="S243" s="14">
        <f t="shared" si="55"/>
        <v>1</v>
      </c>
    </row>
    <row r="244" spans="1:19">
      <c r="A244" s="14" t="str">
        <f t="shared" ref="A244:A275" si="56">"SRY-1-3"</f>
        <v>SRY-1-3</v>
      </c>
      <c r="B244" s="15">
        <f>'Curvas SRY'!$B$8</f>
        <v>1</v>
      </c>
      <c r="C244" s="15">
        <f>'Curvas SRY'!$E$10</f>
        <v>1.25</v>
      </c>
      <c r="D244" s="14" t="str">
        <f>'Curvas SRY'!$B$14</f>
        <v>Uso variable</v>
      </c>
      <c r="E244" s="14">
        <f>1</f>
        <v>1</v>
      </c>
      <c r="F244" s="21">
        <f>'Hoja 4 - Cálculo'!A25</f>
        <v>29587</v>
      </c>
      <c r="G244" s="15">
        <f>'Hoja 4 - Cálculo'!H25</f>
        <v>12.852</v>
      </c>
      <c r="H244" s="15">
        <f>IF(D244="Uso único",'Hoja 4 - Cálculo'!I25,IF(D244="Uso múltiple",AVERAGE('Hoja 4 - Cálculo'!$I$25:$I$384)+AVERAGE('Hoja 4 - Cálculo'!$J$25:$J$384)+AVERAGE('Hoja 4 - Cálculo'!$K$25:$K$384),IF(D244="Uso prioritario",'Hoja 4 - Cálculo'!I25+'Hoja 4 - Cálculo'!K25,'Hoja 4 - Cálculo'!I25+'Hoja 4 - Cálculo'!J25+'Hoja 4 - Cálculo'!K25)))</f>
        <v>16</v>
      </c>
      <c r="I244" s="15">
        <f t="shared" si="46"/>
        <v>20</v>
      </c>
      <c r="J244" s="15">
        <f>0</f>
        <v>0</v>
      </c>
      <c r="K244" s="15">
        <f>MIN(J244+G244,(J244+G244)*'Hoja 4 - Cálculo'!$B$15)</f>
        <v>0.25703999999999999</v>
      </c>
      <c r="L244" s="15">
        <f t="shared" si="47"/>
        <v>12.59496</v>
      </c>
      <c r="M244" s="15">
        <f t="shared" si="48"/>
        <v>12.59496</v>
      </c>
      <c r="N244" s="15">
        <f t="shared" si="49"/>
        <v>0</v>
      </c>
      <c r="O244" s="15">
        <f t="shared" si="50"/>
        <v>0</v>
      </c>
      <c r="P244" s="15">
        <f t="shared" si="51"/>
        <v>7.4050399999999996</v>
      </c>
      <c r="Q244" s="14" t="str">
        <f>IF(M244&gt;=I244*'Hoja 4 - Cálculo'!$B$16,"Satisfactorio","Falla")</f>
        <v>Falla</v>
      </c>
      <c r="R244" s="14">
        <f>0</f>
        <v>0</v>
      </c>
      <c r="S244" s="14">
        <f>IF(Q244="Falla",1,0)</f>
        <v>1</v>
      </c>
    </row>
    <row r="245" spans="1:19">
      <c r="A245" s="14" t="str">
        <f t="shared" si="56"/>
        <v>SRY-1-3</v>
      </c>
      <c r="B245" s="15">
        <f>'Curvas SRY'!$B$8</f>
        <v>1</v>
      </c>
      <c r="C245" s="15">
        <f>'Curvas SRY'!$E$10</f>
        <v>1.25</v>
      </c>
      <c r="D245" s="14" t="str">
        <f>'Curvas SRY'!$B$14</f>
        <v>Uso variable</v>
      </c>
      <c r="E245" s="14">
        <f>2</f>
        <v>2</v>
      </c>
      <c r="F245" s="21">
        <f>'Hoja 4 - Cálculo'!A26</f>
        <v>29618</v>
      </c>
      <c r="G245" s="15">
        <f>'Hoja 4 - Cálculo'!H26</f>
        <v>14.630625</v>
      </c>
      <c r="H245" s="15">
        <f>IF(D245="Uso único",'Hoja 4 - Cálculo'!I26,IF(D245="Uso múltiple",AVERAGE('Hoja 4 - Cálculo'!$I$25:$I$384)+AVERAGE('Hoja 4 - Cálculo'!$J$25:$J$384)+AVERAGE('Hoja 4 - Cálculo'!$K$25:$K$384),IF(D245="Uso prioritario",'Hoja 4 - Cálculo'!I26+'Hoja 4 - Cálculo'!K26,'Hoja 4 - Cálculo'!I26+'Hoja 4 - Cálculo'!J26+'Hoja 4 - Cálculo'!K26)))</f>
        <v>16</v>
      </c>
      <c r="I245" s="15">
        <f t="shared" si="46"/>
        <v>20</v>
      </c>
      <c r="J245" s="15">
        <f t="shared" ref="J245:J276" si="57">N244</f>
        <v>0</v>
      </c>
      <c r="K245" s="15">
        <f>MIN(J245+G245,(J245+G245)*'Hoja 4 - Cálculo'!$B$15)</f>
        <v>0.2926125</v>
      </c>
      <c r="L245" s="15">
        <f t="shared" si="47"/>
        <v>14.3380125</v>
      </c>
      <c r="M245" s="15">
        <f t="shared" si="48"/>
        <v>14.3380125</v>
      </c>
      <c r="N245" s="15">
        <f t="shared" si="49"/>
        <v>0</v>
      </c>
      <c r="O245" s="15">
        <f t="shared" si="50"/>
        <v>0</v>
      </c>
      <c r="P245" s="15">
        <f t="shared" si="51"/>
        <v>5.6619875000000004</v>
      </c>
      <c r="Q245" s="14" t="str">
        <f>IF(M245&gt;=I245*'Hoja 4 - Cálculo'!$B$16,"Satisfactorio","Falla")</f>
        <v>Falla</v>
      </c>
      <c r="R245" s="14">
        <f t="shared" ref="R245:R276" si="58">IF(AND(Q244="Falla",Q245="Satisfactorio"),1,0)</f>
        <v>0</v>
      </c>
      <c r="S245" s="14">
        <f t="shared" ref="S245:S276" si="59">IF(AND(Q245="Falla",Q244&lt;&gt;"Falla"),1,0)</f>
        <v>0</v>
      </c>
    </row>
    <row r="246" spans="1:19">
      <c r="A246" s="14" t="str">
        <f t="shared" si="56"/>
        <v>SRY-1-3</v>
      </c>
      <c r="B246" s="15">
        <f>'Curvas SRY'!$B$8</f>
        <v>1</v>
      </c>
      <c r="C246" s="15">
        <f>'Curvas SRY'!$E$10</f>
        <v>1.25</v>
      </c>
      <c r="D246" s="14" t="str">
        <f>'Curvas SRY'!$B$14</f>
        <v>Uso variable</v>
      </c>
      <c r="E246" s="14">
        <f>3</f>
        <v>3</v>
      </c>
      <c r="F246" s="21">
        <f>'Hoja 4 - Cálculo'!A27</f>
        <v>29646</v>
      </c>
      <c r="G246" s="15">
        <f>'Hoja 4 - Cálculo'!H27</f>
        <v>21.114000000000001</v>
      </c>
      <c r="H246" s="15">
        <f>IF(D246="Uso único",'Hoja 4 - Cálculo'!I27,IF(D246="Uso múltiple",AVERAGE('Hoja 4 - Cálculo'!$I$25:$I$384)+AVERAGE('Hoja 4 - Cálculo'!$J$25:$J$384)+AVERAGE('Hoja 4 - Cálculo'!$K$25:$K$384),IF(D246="Uso prioritario",'Hoja 4 - Cálculo'!I27+'Hoja 4 - Cálculo'!K27,'Hoja 4 - Cálculo'!I27+'Hoja 4 - Cálculo'!J27+'Hoja 4 - Cálculo'!K27)))</f>
        <v>16</v>
      </c>
      <c r="I246" s="15">
        <f t="shared" si="46"/>
        <v>20</v>
      </c>
      <c r="J246" s="15">
        <f t="shared" si="57"/>
        <v>0</v>
      </c>
      <c r="K246" s="15">
        <f>MIN(J246+G246,(J246+G246)*'Hoja 4 - Cálculo'!$B$15)</f>
        <v>0.42228000000000004</v>
      </c>
      <c r="L246" s="15">
        <f t="shared" si="47"/>
        <v>20.69172</v>
      </c>
      <c r="M246" s="15">
        <f t="shared" si="48"/>
        <v>20</v>
      </c>
      <c r="N246" s="15">
        <f t="shared" si="49"/>
        <v>0.69172000000000011</v>
      </c>
      <c r="O246" s="15">
        <f t="shared" si="50"/>
        <v>0</v>
      </c>
      <c r="P246" s="15">
        <f t="shared" si="51"/>
        <v>0</v>
      </c>
      <c r="Q246" s="14" t="str">
        <f>IF(M246&gt;=I246*'Hoja 4 - Cálculo'!$B$16,"Satisfactorio","Falla")</f>
        <v>Satisfactorio</v>
      </c>
      <c r="R246" s="14">
        <f t="shared" si="58"/>
        <v>1</v>
      </c>
      <c r="S246" s="14">
        <f t="shared" si="59"/>
        <v>0</v>
      </c>
    </row>
    <row r="247" spans="1:19">
      <c r="A247" s="14" t="str">
        <f t="shared" si="56"/>
        <v>SRY-1-3</v>
      </c>
      <c r="B247" s="15">
        <f>'Curvas SRY'!$B$8</f>
        <v>1</v>
      </c>
      <c r="C247" s="15">
        <f>'Curvas SRY'!$E$10</f>
        <v>1.25</v>
      </c>
      <c r="D247" s="14" t="str">
        <f>'Curvas SRY'!$B$14</f>
        <v>Uso variable</v>
      </c>
      <c r="E247" s="14">
        <f>4</f>
        <v>4</v>
      </c>
      <c r="F247" s="21">
        <f>'Hoja 4 - Cálculo'!A28</f>
        <v>29677</v>
      </c>
      <c r="G247" s="15">
        <f>'Hoja 4 - Cálculo'!H28</f>
        <v>29.280374999999999</v>
      </c>
      <c r="H247" s="15">
        <f>IF(D247="Uso único",'Hoja 4 - Cálculo'!I28,IF(D247="Uso múltiple",AVERAGE('Hoja 4 - Cálculo'!$I$25:$I$384)+AVERAGE('Hoja 4 - Cálculo'!$J$25:$J$384)+AVERAGE('Hoja 4 - Cálculo'!$K$25:$K$384),IF(D247="Uso prioritario",'Hoja 4 - Cálculo'!I28+'Hoja 4 - Cálculo'!K28,'Hoja 4 - Cálculo'!I28+'Hoja 4 - Cálculo'!J28+'Hoja 4 - Cálculo'!K28)))</f>
        <v>11.5</v>
      </c>
      <c r="I247" s="15">
        <f t="shared" si="46"/>
        <v>14.375</v>
      </c>
      <c r="J247" s="15">
        <f t="shared" si="57"/>
        <v>0.69172000000000011</v>
      </c>
      <c r="K247" s="15">
        <f>MIN(J247+G247,(J247+G247)*'Hoja 4 - Cálculo'!$B$15)</f>
        <v>0.59944189999999997</v>
      </c>
      <c r="L247" s="15">
        <f t="shared" si="47"/>
        <v>29.372653100000001</v>
      </c>
      <c r="M247" s="15">
        <f t="shared" si="48"/>
        <v>14.375</v>
      </c>
      <c r="N247" s="15">
        <f t="shared" si="49"/>
        <v>1</v>
      </c>
      <c r="O247" s="15">
        <f t="shared" si="50"/>
        <v>13.997653100000001</v>
      </c>
      <c r="P247" s="15">
        <f t="shared" si="51"/>
        <v>0</v>
      </c>
      <c r="Q247" s="14" t="str">
        <f>IF(M247&gt;=I247*'Hoja 4 - Cálculo'!$B$16,"Satisfactorio","Falla")</f>
        <v>Satisfactorio</v>
      </c>
      <c r="R247" s="14">
        <f t="shared" si="58"/>
        <v>0</v>
      </c>
      <c r="S247" s="14">
        <f t="shared" si="59"/>
        <v>0</v>
      </c>
    </row>
    <row r="248" spans="1:19">
      <c r="A248" s="14" t="str">
        <f t="shared" si="56"/>
        <v>SRY-1-3</v>
      </c>
      <c r="B248" s="15">
        <f>'Curvas SRY'!$B$8</f>
        <v>1</v>
      </c>
      <c r="C248" s="15">
        <f>'Curvas SRY'!$E$10</f>
        <v>1.25</v>
      </c>
      <c r="D248" s="14" t="str">
        <f>'Curvas SRY'!$B$14</f>
        <v>Uso variable</v>
      </c>
      <c r="E248" s="14">
        <f>5</f>
        <v>5</v>
      </c>
      <c r="F248" s="21">
        <f>'Hoja 4 - Cálculo'!A29</f>
        <v>29707</v>
      </c>
      <c r="G248" s="15">
        <f>'Hoja 4 - Cálculo'!H29</f>
        <v>26.048249999999999</v>
      </c>
      <c r="H248" s="15">
        <f>IF(D248="Uso único",'Hoja 4 - Cálculo'!I29,IF(D248="Uso múltiple",AVERAGE('Hoja 4 - Cálculo'!$I$25:$I$384)+AVERAGE('Hoja 4 - Cálculo'!$J$25:$J$384)+AVERAGE('Hoja 4 - Cálculo'!$K$25:$K$384),IF(D248="Uso prioritario",'Hoja 4 - Cálculo'!I29+'Hoja 4 - Cálculo'!K29,'Hoja 4 - Cálculo'!I29+'Hoja 4 - Cálculo'!J29+'Hoja 4 - Cálculo'!K29)))</f>
        <v>11.5</v>
      </c>
      <c r="I248" s="15">
        <f t="shared" si="46"/>
        <v>14.375</v>
      </c>
      <c r="J248" s="15">
        <f t="shared" si="57"/>
        <v>1</v>
      </c>
      <c r="K248" s="15">
        <f>MIN(J248+G248,(J248+G248)*'Hoja 4 - Cálculo'!$B$15)</f>
        <v>0.54096500000000003</v>
      </c>
      <c r="L248" s="15">
        <f t="shared" si="47"/>
        <v>26.507285</v>
      </c>
      <c r="M248" s="15">
        <f t="shared" si="48"/>
        <v>14.375</v>
      </c>
      <c r="N248" s="15">
        <f t="shared" si="49"/>
        <v>1</v>
      </c>
      <c r="O248" s="15">
        <f t="shared" si="50"/>
        <v>11.132285</v>
      </c>
      <c r="P248" s="15">
        <f t="shared" si="51"/>
        <v>0</v>
      </c>
      <c r="Q248" s="14" t="str">
        <f>IF(M248&gt;=I248*'Hoja 4 - Cálculo'!$B$16,"Satisfactorio","Falla")</f>
        <v>Satisfactorio</v>
      </c>
      <c r="R248" s="14">
        <f t="shared" si="58"/>
        <v>0</v>
      </c>
      <c r="S248" s="14">
        <f t="shared" si="59"/>
        <v>0</v>
      </c>
    </row>
    <row r="249" spans="1:19">
      <c r="A249" s="14" t="str">
        <f t="shared" si="56"/>
        <v>SRY-1-3</v>
      </c>
      <c r="B249" s="15">
        <f>'Curvas SRY'!$B$8</f>
        <v>1</v>
      </c>
      <c r="C249" s="15">
        <f>'Curvas SRY'!$E$10</f>
        <v>1.25</v>
      </c>
      <c r="D249" s="14" t="str">
        <f>'Curvas SRY'!$B$14</f>
        <v>Uso variable</v>
      </c>
      <c r="E249" s="14">
        <f>6</f>
        <v>6</v>
      </c>
      <c r="F249" s="21">
        <f>'Hoja 4 - Cálculo'!A30</f>
        <v>29738</v>
      </c>
      <c r="G249" s="15">
        <f>'Hoja 4 - Cálculo'!H30</f>
        <v>15.625125000000001</v>
      </c>
      <c r="H249" s="15">
        <f>IF(D249="Uso único",'Hoja 4 - Cálculo'!I30,IF(D249="Uso múltiple",AVERAGE('Hoja 4 - Cálculo'!$I$25:$I$384)+AVERAGE('Hoja 4 - Cálculo'!$J$25:$J$384)+AVERAGE('Hoja 4 - Cálculo'!$K$25:$K$384),IF(D249="Uso prioritario",'Hoja 4 - Cálculo'!I30+'Hoja 4 - Cálculo'!K30,'Hoja 4 - Cálculo'!I30+'Hoja 4 - Cálculo'!J30+'Hoja 4 - Cálculo'!K30)))</f>
        <v>11.5</v>
      </c>
      <c r="I249" s="15">
        <f t="shared" si="46"/>
        <v>14.375</v>
      </c>
      <c r="J249" s="15">
        <f t="shared" si="57"/>
        <v>1</v>
      </c>
      <c r="K249" s="15">
        <f>MIN(J249+G249,(J249+G249)*'Hoja 4 - Cálculo'!$B$15)</f>
        <v>0.33250250000000003</v>
      </c>
      <c r="L249" s="15">
        <f t="shared" si="47"/>
        <v>16.2926225</v>
      </c>
      <c r="M249" s="15">
        <f t="shared" si="48"/>
        <v>14.375</v>
      </c>
      <c r="N249" s="15">
        <f t="shared" si="49"/>
        <v>1</v>
      </c>
      <c r="O249" s="15">
        <f t="shared" si="50"/>
        <v>0.91762250000000023</v>
      </c>
      <c r="P249" s="15">
        <f t="shared" si="51"/>
        <v>0</v>
      </c>
      <c r="Q249" s="14" t="str">
        <f>IF(M249&gt;=I249*'Hoja 4 - Cálculo'!$B$16,"Satisfactorio","Falla")</f>
        <v>Satisfactorio</v>
      </c>
      <c r="R249" s="14">
        <f t="shared" si="58"/>
        <v>0</v>
      </c>
      <c r="S249" s="14">
        <f t="shared" si="59"/>
        <v>0</v>
      </c>
    </row>
    <row r="250" spans="1:19">
      <c r="A250" s="14" t="str">
        <f t="shared" si="56"/>
        <v>SRY-1-3</v>
      </c>
      <c r="B250" s="15">
        <f>'Curvas SRY'!$B$8</f>
        <v>1</v>
      </c>
      <c r="C250" s="15">
        <f>'Curvas SRY'!$E$10</f>
        <v>1.25</v>
      </c>
      <c r="D250" s="14" t="str">
        <f>'Curvas SRY'!$B$14</f>
        <v>Uso variable</v>
      </c>
      <c r="E250" s="14">
        <f>7</f>
        <v>7</v>
      </c>
      <c r="F250" s="21">
        <f>'Hoja 4 - Cálculo'!A31</f>
        <v>29768</v>
      </c>
      <c r="G250" s="15">
        <f>'Hoja 4 - Cálculo'!H31</f>
        <v>12.794625</v>
      </c>
      <c r="H250" s="15">
        <f>IF(D250="Uso único",'Hoja 4 - Cálculo'!I31,IF(D250="Uso múltiple",AVERAGE('Hoja 4 - Cálculo'!$I$25:$I$384)+AVERAGE('Hoja 4 - Cálculo'!$J$25:$J$384)+AVERAGE('Hoja 4 - Cálculo'!$K$25:$K$384),IF(D250="Uso prioritario",'Hoja 4 - Cálculo'!I31+'Hoja 4 - Cálculo'!K31,'Hoja 4 - Cálculo'!I31+'Hoja 4 - Cálculo'!J31+'Hoja 4 - Cálculo'!K31)))</f>
        <v>16</v>
      </c>
      <c r="I250" s="15">
        <f t="shared" si="46"/>
        <v>20</v>
      </c>
      <c r="J250" s="15">
        <f t="shared" si="57"/>
        <v>1</v>
      </c>
      <c r="K250" s="15">
        <f>MIN(J250+G250,(J250+G250)*'Hoja 4 - Cálculo'!$B$15)</f>
        <v>0.27589249999999998</v>
      </c>
      <c r="L250" s="15">
        <f t="shared" si="47"/>
        <v>13.5187325</v>
      </c>
      <c r="M250" s="15">
        <f t="shared" si="48"/>
        <v>13.5187325</v>
      </c>
      <c r="N250" s="15">
        <f t="shared" si="49"/>
        <v>0</v>
      </c>
      <c r="O250" s="15">
        <f t="shared" si="50"/>
        <v>0</v>
      </c>
      <c r="P250" s="15">
        <f t="shared" si="51"/>
        <v>6.4812674999999995</v>
      </c>
      <c r="Q250" s="14" t="str">
        <f>IF(M250&gt;=I250*'Hoja 4 - Cálculo'!$B$16,"Satisfactorio","Falla")</f>
        <v>Falla</v>
      </c>
      <c r="R250" s="14">
        <f t="shared" si="58"/>
        <v>0</v>
      </c>
      <c r="S250" s="14">
        <f t="shared" si="59"/>
        <v>1</v>
      </c>
    </row>
    <row r="251" spans="1:19">
      <c r="A251" s="14" t="str">
        <f t="shared" si="56"/>
        <v>SRY-1-3</v>
      </c>
      <c r="B251" s="15">
        <f>'Curvas SRY'!$B$8</f>
        <v>1</v>
      </c>
      <c r="C251" s="15">
        <f>'Curvas SRY'!$E$10</f>
        <v>1.25</v>
      </c>
      <c r="D251" s="14" t="str">
        <f>'Curvas SRY'!$B$14</f>
        <v>Uso variable</v>
      </c>
      <c r="E251" s="14">
        <f>8</f>
        <v>8</v>
      </c>
      <c r="F251" s="21">
        <f>'Hoja 4 - Cálculo'!A32</f>
        <v>29799</v>
      </c>
      <c r="G251" s="15">
        <f>'Hoja 4 - Cálculo'!H32</f>
        <v>13.712624999999999</v>
      </c>
      <c r="H251" s="15">
        <f>IF(D251="Uso único",'Hoja 4 - Cálculo'!I32,IF(D251="Uso múltiple",AVERAGE('Hoja 4 - Cálculo'!$I$25:$I$384)+AVERAGE('Hoja 4 - Cálculo'!$J$25:$J$384)+AVERAGE('Hoja 4 - Cálculo'!$K$25:$K$384),IF(D251="Uso prioritario",'Hoja 4 - Cálculo'!I32+'Hoja 4 - Cálculo'!K32,'Hoja 4 - Cálculo'!I32+'Hoja 4 - Cálculo'!J32+'Hoja 4 - Cálculo'!K32)))</f>
        <v>16</v>
      </c>
      <c r="I251" s="15">
        <f t="shared" si="46"/>
        <v>20</v>
      </c>
      <c r="J251" s="15">
        <f t="shared" si="57"/>
        <v>0</v>
      </c>
      <c r="K251" s="15">
        <f>MIN(J251+G251,(J251+G251)*'Hoja 4 - Cálculo'!$B$15)</f>
        <v>0.27425250000000001</v>
      </c>
      <c r="L251" s="15">
        <f t="shared" si="47"/>
        <v>13.4383725</v>
      </c>
      <c r="M251" s="15">
        <f t="shared" si="48"/>
        <v>13.4383725</v>
      </c>
      <c r="N251" s="15">
        <f t="shared" si="49"/>
        <v>0</v>
      </c>
      <c r="O251" s="15">
        <f t="shared" si="50"/>
        <v>0</v>
      </c>
      <c r="P251" s="15">
        <f t="shared" si="51"/>
        <v>6.5616275000000002</v>
      </c>
      <c r="Q251" s="14" t="str">
        <f>IF(M251&gt;=I251*'Hoja 4 - Cálculo'!$B$16,"Satisfactorio","Falla")</f>
        <v>Falla</v>
      </c>
      <c r="R251" s="14">
        <f t="shared" si="58"/>
        <v>0</v>
      </c>
      <c r="S251" s="14">
        <f t="shared" si="59"/>
        <v>0</v>
      </c>
    </row>
    <row r="252" spans="1:19">
      <c r="A252" s="14" t="str">
        <f t="shared" si="56"/>
        <v>SRY-1-3</v>
      </c>
      <c r="B252" s="15">
        <f>'Curvas SRY'!$B$8</f>
        <v>1</v>
      </c>
      <c r="C252" s="15">
        <f>'Curvas SRY'!$E$10</f>
        <v>1.25</v>
      </c>
      <c r="D252" s="14" t="str">
        <f>'Curvas SRY'!$B$14</f>
        <v>Uso variable</v>
      </c>
      <c r="E252" s="14">
        <f>9</f>
        <v>9</v>
      </c>
      <c r="F252" s="21">
        <f>'Hoja 4 - Cálculo'!A33</f>
        <v>29830</v>
      </c>
      <c r="G252" s="15">
        <f>'Hoja 4 - Cálculo'!H33</f>
        <v>22.070250000000001</v>
      </c>
      <c r="H252" s="15">
        <f>IF(D252="Uso único",'Hoja 4 - Cálculo'!I33,IF(D252="Uso múltiple",AVERAGE('Hoja 4 - Cálculo'!$I$25:$I$384)+AVERAGE('Hoja 4 - Cálculo'!$J$25:$J$384)+AVERAGE('Hoja 4 - Cálculo'!$K$25:$K$384),IF(D252="Uso prioritario",'Hoja 4 - Cálculo'!I33+'Hoja 4 - Cálculo'!K33,'Hoja 4 - Cálculo'!I33+'Hoja 4 - Cálculo'!J33+'Hoja 4 - Cálculo'!K33)))</f>
        <v>11.5</v>
      </c>
      <c r="I252" s="15">
        <f t="shared" si="46"/>
        <v>14.375</v>
      </c>
      <c r="J252" s="15">
        <f t="shared" si="57"/>
        <v>0</v>
      </c>
      <c r="K252" s="15">
        <f>MIN(J252+G252,(J252+G252)*'Hoja 4 - Cálculo'!$B$15)</f>
        <v>0.44140500000000005</v>
      </c>
      <c r="L252" s="15">
        <f t="shared" si="47"/>
        <v>21.628845000000002</v>
      </c>
      <c r="M252" s="15">
        <f t="shared" si="48"/>
        <v>14.375</v>
      </c>
      <c r="N252" s="15">
        <f t="shared" si="49"/>
        <v>1</v>
      </c>
      <c r="O252" s="15">
        <f t="shared" si="50"/>
        <v>6.2538450000000019</v>
      </c>
      <c r="P252" s="15">
        <f t="shared" si="51"/>
        <v>0</v>
      </c>
      <c r="Q252" s="14" t="str">
        <f>IF(M252&gt;=I252*'Hoja 4 - Cálculo'!$B$16,"Satisfactorio","Falla")</f>
        <v>Satisfactorio</v>
      </c>
      <c r="R252" s="14">
        <f t="shared" si="58"/>
        <v>1</v>
      </c>
      <c r="S252" s="14">
        <f t="shared" si="59"/>
        <v>0</v>
      </c>
    </row>
    <row r="253" spans="1:19">
      <c r="A253" s="14" t="str">
        <f t="shared" si="56"/>
        <v>SRY-1-3</v>
      </c>
      <c r="B253" s="15">
        <f>'Curvas SRY'!$B$8</f>
        <v>1</v>
      </c>
      <c r="C253" s="15">
        <f>'Curvas SRY'!$E$10</f>
        <v>1.25</v>
      </c>
      <c r="D253" s="14" t="str">
        <f>'Curvas SRY'!$B$14</f>
        <v>Uso variable</v>
      </c>
      <c r="E253" s="14">
        <f>10</f>
        <v>10</v>
      </c>
      <c r="F253" s="21">
        <f>'Hoja 4 - Cálculo'!A34</f>
        <v>29860</v>
      </c>
      <c r="G253" s="15">
        <f>'Hoja 4 - Cálculo'!H34</f>
        <v>29.777625</v>
      </c>
      <c r="H253" s="15">
        <f>IF(D253="Uso único",'Hoja 4 - Cálculo'!I34,IF(D253="Uso múltiple",AVERAGE('Hoja 4 - Cálculo'!$I$25:$I$384)+AVERAGE('Hoja 4 - Cálculo'!$J$25:$J$384)+AVERAGE('Hoja 4 - Cálculo'!$K$25:$K$384),IF(D253="Uso prioritario",'Hoja 4 - Cálculo'!I34+'Hoja 4 - Cálculo'!K34,'Hoja 4 - Cálculo'!I34+'Hoja 4 - Cálculo'!J34+'Hoja 4 - Cálculo'!K34)))</f>
        <v>11.5</v>
      </c>
      <c r="I253" s="15">
        <f t="shared" si="46"/>
        <v>14.375</v>
      </c>
      <c r="J253" s="15">
        <f t="shared" si="57"/>
        <v>1</v>
      </c>
      <c r="K253" s="15">
        <f>MIN(J253+G253,(J253+G253)*'Hoja 4 - Cálculo'!$B$15)</f>
        <v>0.61555250000000006</v>
      </c>
      <c r="L253" s="15">
        <f t="shared" si="47"/>
        <v>30.162072500000001</v>
      </c>
      <c r="M253" s="15">
        <f t="shared" si="48"/>
        <v>14.375</v>
      </c>
      <c r="N253" s="15">
        <f t="shared" si="49"/>
        <v>1</v>
      </c>
      <c r="O253" s="15">
        <f t="shared" si="50"/>
        <v>14.787072500000001</v>
      </c>
      <c r="P253" s="15">
        <f t="shared" si="51"/>
        <v>0</v>
      </c>
      <c r="Q253" s="14" t="str">
        <f>IF(M253&gt;=I253*'Hoja 4 - Cálculo'!$B$16,"Satisfactorio","Falla")</f>
        <v>Satisfactorio</v>
      </c>
      <c r="R253" s="14">
        <f t="shared" si="58"/>
        <v>0</v>
      </c>
      <c r="S253" s="14">
        <f t="shared" si="59"/>
        <v>0</v>
      </c>
    </row>
    <row r="254" spans="1:19">
      <c r="A254" s="14" t="str">
        <f t="shared" si="56"/>
        <v>SRY-1-3</v>
      </c>
      <c r="B254" s="15">
        <f>'Curvas SRY'!$B$8</f>
        <v>1</v>
      </c>
      <c r="C254" s="15">
        <f>'Curvas SRY'!$E$10</f>
        <v>1.25</v>
      </c>
      <c r="D254" s="14" t="str">
        <f>'Curvas SRY'!$B$14</f>
        <v>Uso variable</v>
      </c>
      <c r="E254" s="14">
        <f>11</f>
        <v>11</v>
      </c>
      <c r="F254" s="21">
        <f>'Hoja 4 - Cálculo'!A35</f>
        <v>29891</v>
      </c>
      <c r="G254" s="15">
        <f>'Hoja 4 - Cálculo'!H35</f>
        <v>25.51275</v>
      </c>
      <c r="H254" s="15">
        <f>IF(D254="Uso único",'Hoja 4 - Cálculo'!I35,IF(D254="Uso múltiple",AVERAGE('Hoja 4 - Cálculo'!$I$25:$I$384)+AVERAGE('Hoja 4 - Cálculo'!$J$25:$J$384)+AVERAGE('Hoja 4 - Cálculo'!$K$25:$K$384),IF(D254="Uso prioritario",'Hoja 4 - Cálculo'!I35+'Hoja 4 - Cálculo'!K35,'Hoja 4 - Cálculo'!I35+'Hoja 4 - Cálculo'!J35+'Hoja 4 - Cálculo'!K35)))</f>
        <v>11.5</v>
      </c>
      <c r="I254" s="15">
        <f t="shared" si="46"/>
        <v>14.375</v>
      </c>
      <c r="J254" s="15">
        <f t="shared" si="57"/>
        <v>1</v>
      </c>
      <c r="K254" s="15">
        <f>MIN(J254+G254,(J254+G254)*'Hoja 4 - Cálculo'!$B$15)</f>
        <v>0.53025500000000003</v>
      </c>
      <c r="L254" s="15">
        <f t="shared" si="47"/>
        <v>25.982495</v>
      </c>
      <c r="M254" s="15">
        <f t="shared" si="48"/>
        <v>14.375</v>
      </c>
      <c r="N254" s="15">
        <f t="shared" si="49"/>
        <v>1</v>
      </c>
      <c r="O254" s="15">
        <f t="shared" si="50"/>
        <v>10.607495</v>
      </c>
      <c r="P254" s="15">
        <f t="shared" si="51"/>
        <v>0</v>
      </c>
      <c r="Q254" s="14" t="str">
        <f>IF(M254&gt;=I254*'Hoja 4 - Cálculo'!$B$16,"Satisfactorio","Falla")</f>
        <v>Satisfactorio</v>
      </c>
      <c r="R254" s="14">
        <f t="shared" si="58"/>
        <v>0</v>
      </c>
      <c r="S254" s="14">
        <f t="shared" si="59"/>
        <v>0</v>
      </c>
    </row>
    <row r="255" spans="1:19">
      <c r="A255" s="14" t="str">
        <f t="shared" si="56"/>
        <v>SRY-1-3</v>
      </c>
      <c r="B255" s="15">
        <f>'Curvas SRY'!$B$8</f>
        <v>1</v>
      </c>
      <c r="C255" s="15">
        <f>'Curvas SRY'!$E$10</f>
        <v>1.25</v>
      </c>
      <c r="D255" s="14" t="str">
        <f>'Curvas SRY'!$B$14</f>
        <v>Uso variable</v>
      </c>
      <c r="E255" s="14">
        <f>12</f>
        <v>12</v>
      </c>
      <c r="F255" s="21">
        <f>'Hoja 4 - Cálculo'!A36</f>
        <v>29921</v>
      </c>
      <c r="G255" s="15">
        <f>'Hoja 4 - Cálculo'!H36</f>
        <v>15.3765</v>
      </c>
      <c r="H255" s="15">
        <f>IF(D255="Uso único",'Hoja 4 - Cálculo'!I36,IF(D255="Uso múltiple",AVERAGE('Hoja 4 - Cálculo'!$I$25:$I$384)+AVERAGE('Hoja 4 - Cálculo'!$J$25:$J$384)+AVERAGE('Hoja 4 - Cálculo'!$K$25:$K$384),IF(D255="Uso prioritario",'Hoja 4 - Cálculo'!I36+'Hoja 4 - Cálculo'!K36,'Hoja 4 - Cálculo'!I36+'Hoja 4 - Cálculo'!J36+'Hoja 4 - Cálculo'!K36)))</f>
        <v>16</v>
      </c>
      <c r="I255" s="15">
        <f t="shared" si="46"/>
        <v>20</v>
      </c>
      <c r="J255" s="15">
        <f t="shared" si="57"/>
        <v>1</v>
      </c>
      <c r="K255" s="15">
        <f>MIN(J255+G255,(J255+G255)*'Hoja 4 - Cálculo'!$B$15)</f>
        <v>0.32752999999999999</v>
      </c>
      <c r="L255" s="15">
        <f t="shared" si="47"/>
        <v>16.048970000000001</v>
      </c>
      <c r="M255" s="15">
        <f t="shared" si="48"/>
        <v>16.048970000000001</v>
      </c>
      <c r="N255" s="15">
        <f t="shared" si="49"/>
        <v>0</v>
      </c>
      <c r="O255" s="15">
        <f t="shared" si="50"/>
        <v>0</v>
      </c>
      <c r="P255" s="15">
        <f t="shared" si="51"/>
        <v>3.9510299999999994</v>
      </c>
      <c r="Q255" s="14" t="str">
        <f>IF(M255&gt;=I255*'Hoja 4 - Cálculo'!$B$16,"Satisfactorio","Falla")</f>
        <v>Falla</v>
      </c>
      <c r="R255" s="14">
        <f t="shared" si="58"/>
        <v>0</v>
      </c>
      <c r="S255" s="14">
        <f t="shared" si="59"/>
        <v>1</v>
      </c>
    </row>
    <row r="256" spans="1:19">
      <c r="A256" s="14" t="str">
        <f t="shared" si="56"/>
        <v>SRY-1-3</v>
      </c>
      <c r="B256" s="15">
        <f>'Curvas SRY'!$B$8</f>
        <v>1</v>
      </c>
      <c r="C256" s="15">
        <f>'Curvas SRY'!$E$10</f>
        <v>1.25</v>
      </c>
      <c r="D256" s="14" t="str">
        <f>'Curvas SRY'!$B$14</f>
        <v>Uso variable</v>
      </c>
      <c r="E256" s="14">
        <f>13</f>
        <v>13</v>
      </c>
      <c r="F256" s="21">
        <f>'Hoja 4 - Cálculo'!A37</f>
        <v>29952</v>
      </c>
      <c r="G256" s="15">
        <f>'Hoja 4 - Cálculo'!H37</f>
        <v>13.808249999999999</v>
      </c>
      <c r="H256" s="15">
        <f>IF(D256="Uso único",'Hoja 4 - Cálculo'!I37,IF(D256="Uso múltiple",AVERAGE('Hoja 4 - Cálculo'!$I$25:$I$384)+AVERAGE('Hoja 4 - Cálculo'!$J$25:$J$384)+AVERAGE('Hoja 4 - Cálculo'!$K$25:$K$384),IF(D256="Uso prioritario",'Hoja 4 - Cálculo'!I37+'Hoja 4 - Cálculo'!K37,'Hoja 4 - Cálculo'!I37+'Hoja 4 - Cálculo'!J37+'Hoja 4 - Cálculo'!K37)))</f>
        <v>16</v>
      </c>
      <c r="I256" s="15">
        <f t="shared" si="46"/>
        <v>20</v>
      </c>
      <c r="J256" s="15">
        <f t="shared" si="57"/>
        <v>0</v>
      </c>
      <c r="K256" s="15">
        <f>MIN(J256+G256,(J256+G256)*'Hoja 4 - Cálculo'!$B$15)</f>
        <v>0.27616499999999999</v>
      </c>
      <c r="L256" s="15">
        <f t="shared" si="47"/>
        <v>13.532084999999999</v>
      </c>
      <c r="M256" s="15">
        <f t="shared" si="48"/>
        <v>13.532084999999999</v>
      </c>
      <c r="N256" s="15">
        <f t="shared" si="49"/>
        <v>0</v>
      </c>
      <c r="O256" s="15">
        <f t="shared" si="50"/>
        <v>0</v>
      </c>
      <c r="P256" s="15">
        <f t="shared" si="51"/>
        <v>6.4679150000000014</v>
      </c>
      <c r="Q256" s="14" t="str">
        <f>IF(M256&gt;=I256*'Hoja 4 - Cálculo'!$B$16,"Satisfactorio","Falla")</f>
        <v>Falla</v>
      </c>
      <c r="R256" s="14">
        <f t="shared" si="58"/>
        <v>0</v>
      </c>
      <c r="S256" s="14">
        <f t="shared" si="59"/>
        <v>0</v>
      </c>
    </row>
    <row r="257" spans="1:19">
      <c r="A257" s="14" t="str">
        <f t="shared" si="56"/>
        <v>SRY-1-3</v>
      </c>
      <c r="B257" s="15">
        <f>'Curvas SRY'!$B$8</f>
        <v>1</v>
      </c>
      <c r="C257" s="15">
        <f>'Curvas SRY'!$E$10</f>
        <v>1.25</v>
      </c>
      <c r="D257" s="14" t="str">
        <f>'Curvas SRY'!$B$14</f>
        <v>Uso variable</v>
      </c>
      <c r="E257" s="14">
        <f>14</f>
        <v>14</v>
      </c>
      <c r="F257" s="21">
        <f>'Hoja 4 - Cálculo'!A38</f>
        <v>29983</v>
      </c>
      <c r="G257" s="15">
        <f>'Hoja 4 - Cálculo'!H38</f>
        <v>15.472125</v>
      </c>
      <c r="H257" s="15">
        <f>IF(D257="Uso único",'Hoja 4 - Cálculo'!I38,IF(D257="Uso múltiple",AVERAGE('Hoja 4 - Cálculo'!$I$25:$I$384)+AVERAGE('Hoja 4 - Cálculo'!$J$25:$J$384)+AVERAGE('Hoja 4 - Cálculo'!$K$25:$K$384),IF(D257="Uso prioritario",'Hoja 4 - Cálculo'!I38+'Hoja 4 - Cálculo'!K38,'Hoja 4 - Cálculo'!I38+'Hoja 4 - Cálculo'!J38+'Hoja 4 - Cálculo'!K38)))</f>
        <v>16</v>
      </c>
      <c r="I257" s="15">
        <f t="shared" si="46"/>
        <v>20</v>
      </c>
      <c r="J257" s="15">
        <f t="shared" si="57"/>
        <v>0</v>
      </c>
      <c r="K257" s="15">
        <f>MIN(J257+G257,(J257+G257)*'Hoja 4 - Cálculo'!$B$15)</f>
        <v>0.30944250000000001</v>
      </c>
      <c r="L257" s="15">
        <f t="shared" si="47"/>
        <v>15.162682500000001</v>
      </c>
      <c r="M257" s="15">
        <f t="shared" si="48"/>
        <v>15.162682500000001</v>
      </c>
      <c r="N257" s="15">
        <f t="shared" si="49"/>
        <v>0</v>
      </c>
      <c r="O257" s="15">
        <f t="shared" si="50"/>
        <v>0</v>
      </c>
      <c r="P257" s="15">
        <f t="shared" si="51"/>
        <v>4.8373174999999993</v>
      </c>
      <c r="Q257" s="14" t="str">
        <f>IF(M257&gt;=I257*'Hoja 4 - Cálculo'!$B$16,"Satisfactorio","Falla")</f>
        <v>Falla</v>
      </c>
      <c r="R257" s="14">
        <f t="shared" si="58"/>
        <v>0</v>
      </c>
      <c r="S257" s="14">
        <f t="shared" si="59"/>
        <v>0</v>
      </c>
    </row>
    <row r="258" spans="1:19">
      <c r="A258" s="14" t="str">
        <f t="shared" si="56"/>
        <v>SRY-1-3</v>
      </c>
      <c r="B258" s="15">
        <f>'Curvas SRY'!$B$8</f>
        <v>1</v>
      </c>
      <c r="C258" s="15">
        <f>'Curvas SRY'!$E$10</f>
        <v>1.25</v>
      </c>
      <c r="D258" s="14" t="str">
        <f>'Curvas SRY'!$B$14</f>
        <v>Uso variable</v>
      </c>
      <c r="E258" s="14">
        <f>15</f>
        <v>15</v>
      </c>
      <c r="F258" s="21">
        <f>'Hoja 4 - Cálculo'!A39</f>
        <v>30011</v>
      </c>
      <c r="G258" s="15">
        <f>'Hoja 4 - Cálculo'!H39</f>
        <v>22.338000000000001</v>
      </c>
      <c r="H258" s="15">
        <f>IF(D258="Uso único",'Hoja 4 - Cálculo'!I39,IF(D258="Uso múltiple",AVERAGE('Hoja 4 - Cálculo'!$I$25:$I$384)+AVERAGE('Hoja 4 - Cálculo'!$J$25:$J$384)+AVERAGE('Hoja 4 - Cálculo'!$K$25:$K$384),IF(D258="Uso prioritario",'Hoja 4 - Cálculo'!I39+'Hoja 4 - Cálculo'!K39,'Hoja 4 - Cálculo'!I39+'Hoja 4 - Cálculo'!J39+'Hoja 4 - Cálculo'!K39)))</f>
        <v>16</v>
      </c>
      <c r="I258" s="15">
        <f t="shared" si="46"/>
        <v>20</v>
      </c>
      <c r="J258" s="15">
        <f t="shared" si="57"/>
        <v>0</v>
      </c>
      <c r="K258" s="15">
        <f>MIN(J258+G258,(J258+G258)*'Hoja 4 - Cálculo'!$B$15)</f>
        <v>0.44676000000000005</v>
      </c>
      <c r="L258" s="15">
        <f t="shared" si="47"/>
        <v>21.89124</v>
      </c>
      <c r="M258" s="15">
        <f t="shared" si="48"/>
        <v>20</v>
      </c>
      <c r="N258" s="15">
        <f t="shared" si="49"/>
        <v>1</v>
      </c>
      <c r="O258" s="15">
        <f t="shared" si="50"/>
        <v>0.89123999999999981</v>
      </c>
      <c r="P258" s="15">
        <f t="shared" si="51"/>
        <v>0</v>
      </c>
      <c r="Q258" s="14" t="str">
        <f>IF(M258&gt;=I258*'Hoja 4 - Cálculo'!$B$16,"Satisfactorio","Falla")</f>
        <v>Satisfactorio</v>
      </c>
      <c r="R258" s="14">
        <f t="shared" si="58"/>
        <v>1</v>
      </c>
      <c r="S258" s="14">
        <f t="shared" si="59"/>
        <v>0</v>
      </c>
    </row>
    <row r="259" spans="1:19">
      <c r="A259" s="14" t="str">
        <f t="shared" si="56"/>
        <v>SRY-1-3</v>
      </c>
      <c r="B259" s="15">
        <f>'Curvas SRY'!$B$8</f>
        <v>1</v>
      </c>
      <c r="C259" s="15">
        <f>'Curvas SRY'!$E$10</f>
        <v>1.25</v>
      </c>
      <c r="D259" s="14" t="str">
        <f>'Curvas SRY'!$B$14</f>
        <v>Uso variable</v>
      </c>
      <c r="E259" s="14">
        <f>16</f>
        <v>16</v>
      </c>
      <c r="F259" s="21">
        <f>'Hoja 4 - Cálculo'!A40</f>
        <v>30042</v>
      </c>
      <c r="G259" s="15">
        <f>'Hoja 4 - Cálculo'!H40</f>
        <v>31.670999999999999</v>
      </c>
      <c r="H259" s="15">
        <f>IF(D259="Uso único",'Hoja 4 - Cálculo'!I40,IF(D259="Uso múltiple",AVERAGE('Hoja 4 - Cálculo'!$I$25:$I$384)+AVERAGE('Hoja 4 - Cálculo'!$J$25:$J$384)+AVERAGE('Hoja 4 - Cálculo'!$K$25:$K$384),IF(D259="Uso prioritario",'Hoja 4 - Cálculo'!I40+'Hoja 4 - Cálculo'!K40,'Hoja 4 - Cálculo'!I40+'Hoja 4 - Cálculo'!J40+'Hoja 4 - Cálculo'!K40)))</f>
        <v>11.5</v>
      </c>
      <c r="I259" s="15">
        <f t="shared" si="46"/>
        <v>14.375</v>
      </c>
      <c r="J259" s="15">
        <f t="shared" si="57"/>
        <v>1</v>
      </c>
      <c r="K259" s="15">
        <f>MIN(J259+G259,(J259+G259)*'Hoja 4 - Cálculo'!$B$15)</f>
        <v>0.65342</v>
      </c>
      <c r="L259" s="15">
        <f t="shared" si="47"/>
        <v>32.017580000000002</v>
      </c>
      <c r="M259" s="15">
        <f t="shared" si="48"/>
        <v>14.375</v>
      </c>
      <c r="N259" s="15">
        <f t="shared" si="49"/>
        <v>1</v>
      </c>
      <c r="O259" s="15">
        <f t="shared" si="50"/>
        <v>16.642580000000002</v>
      </c>
      <c r="P259" s="15">
        <f t="shared" si="51"/>
        <v>0</v>
      </c>
      <c r="Q259" s="14" t="str">
        <f>IF(M259&gt;=I259*'Hoja 4 - Cálculo'!$B$16,"Satisfactorio","Falla")</f>
        <v>Satisfactorio</v>
      </c>
      <c r="R259" s="14">
        <f t="shared" si="58"/>
        <v>0</v>
      </c>
      <c r="S259" s="14">
        <f t="shared" si="59"/>
        <v>0</v>
      </c>
    </row>
    <row r="260" spans="1:19">
      <c r="A260" s="14" t="str">
        <f t="shared" si="56"/>
        <v>SRY-1-3</v>
      </c>
      <c r="B260" s="15">
        <f>'Curvas SRY'!$B$8</f>
        <v>1</v>
      </c>
      <c r="C260" s="15">
        <f>'Curvas SRY'!$E$10</f>
        <v>1.25</v>
      </c>
      <c r="D260" s="14" t="str">
        <f>'Curvas SRY'!$B$14</f>
        <v>Uso variable</v>
      </c>
      <c r="E260" s="14">
        <f>17</f>
        <v>17</v>
      </c>
      <c r="F260" s="21">
        <f>'Hoja 4 - Cálculo'!A41</f>
        <v>30072</v>
      </c>
      <c r="G260" s="15">
        <f>'Hoja 4 - Cálculo'!H41</f>
        <v>29.299499999999998</v>
      </c>
      <c r="H260" s="15">
        <f>IF(D260="Uso único",'Hoja 4 - Cálculo'!I41,IF(D260="Uso múltiple",AVERAGE('Hoja 4 - Cálculo'!$I$25:$I$384)+AVERAGE('Hoja 4 - Cálculo'!$J$25:$J$384)+AVERAGE('Hoja 4 - Cálculo'!$K$25:$K$384),IF(D260="Uso prioritario",'Hoja 4 - Cálculo'!I41+'Hoja 4 - Cálculo'!K41,'Hoja 4 - Cálculo'!I41+'Hoja 4 - Cálculo'!J41+'Hoja 4 - Cálculo'!K41)))</f>
        <v>11.5</v>
      </c>
      <c r="I260" s="15">
        <f t="shared" ref="I260:I323" si="60">H260*C260</f>
        <v>14.375</v>
      </c>
      <c r="J260" s="15">
        <f t="shared" si="57"/>
        <v>1</v>
      </c>
      <c r="K260" s="15">
        <f>MIN(J260+G260,(J260+G260)*'Hoja 4 - Cálculo'!$B$15)</f>
        <v>0.60599000000000003</v>
      </c>
      <c r="L260" s="15">
        <f t="shared" ref="L260:L323" si="61">MAX(0,J260+G260-K260)</f>
        <v>29.69351</v>
      </c>
      <c r="M260" s="15">
        <f t="shared" ref="M260:M323" si="62">MIN(I260,L260)</f>
        <v>14.375</v>
      </c>
      <c r="N260" s="15">
        <f t="shared" ref="N260:N323" si="63">MIN(B260,MAX(0,L260-M260))</f>
        <v>1</v>
      </c>
      <c r="O260" s="15">
        <f t="shared" ref="O260:O323" si="64">MAX(0,L260-M260-B260)</f>
        <v>14.31851</v>
      </c>
      <c r="P260" s="15">
        <f t="shared" ref="P260:P323" si="65">MAX(0,I260-M260)</f>
        <v>0</v>
      </c>
      <c r="Q260" s="14" t="str">
        <f>IF(M260&gt;=I260*'Hoja 4 - Cálculo'!$B$16,"Satisfactorio","Falla")</f>
        <v>Satisfactorio</v>
      </c>
      <c r="R260" s="14">
        <f t="shared" si="58"/>
        <v>0</v>
      </c>
      <c r="S260" s="14">
        <f t="shared" si="59"/>
        <v>0</v>
      </c>
    </row>
    <row r="261" spans="1:19">
      <c r="A261" s="14" t="str">
        <f t="shared" si="56"/>
        <v>SRY-1-3</v>
      </c>
      <c r="B261" s="15">
        <f>'Curvas SRY'!$B$8</f>
        <v>1</v>
      </c>
      <c r="C261" s="15">
        <f>'Curvas SRY'!$E$10</f>
        <v>1.25</v>
      </c>
      <c r="D261" s="14" t="str">
        <f>'Curvas SRY'!$B$14</f>
        <v>Uso variable</v>
      </c>
      <c r="E261" s="14">
        <f>18</f>
        <v>18</v>
      </c>
      <c r="F261" s="21">
        <f>'Hoja 4 - Cálculo'!A42</f>
        <v>30103</v>
      </c>
      <c r="G261" s="15">
        <f>'Hoja 4 - Cálculo'!H42</f>
        <v>18.321750000000002</v>
      </c>
      <c r="H261" s="15">
        <f>IF(D261="Uso único",'Hoja 4 - Cálculo'!I42,IF(D261="Uso múltiple",AVERAGE('Hoja 4 - Cálculo'!$I$25:$I$384)+AVERAGE('Hoja 4 - Cálculo'!$J$25:$J$384)+AVERAGE('Hoja 4 - Cálculo'!$K$25:$K$384),IF(D261="Uso prioritario",'Hoja 4 - Cálculo'!I42+'Hoja 4 - Cálculo'!K42,'Hoja 4 - Cálculo'!I42+'Hoja 4 - Cálculo'!J42+'Hoja 4 - Cálculo'!K42)))</f>
        <v>11.5</v>
      </c>
      <c r="I261" s="15">
        <f t="shared" si="60"/>
        <v>14.375</v>
      </c>
      <c r="J261" s="15">
        <f t="shared" si="57"/>
        <v>1</v>
      </c>
      <c r="K261" s="15">
        <f>MIN(J261+G261,(J261+G261)*'Hoja 4 - Cálculo'!$B$15)</f>
        <v>0.38643500000000003</v>
      </c>
      <c r="L261" s="15">
        <f t="shared" si="61"/>
        <v>18.935315000000003</v>
      </c>
      <c r="M261" s="15">
        <f t="shared" si="62"/>
        <v>14.375</v>
      </c>
      <c r="N261" s="15">
        <f t="shared" si="63"/>
        <v>1</v>
      </c>
      <c r="O261" s="15">
        <f t="shared" si="64"/>
        <v>3.5603150000000028</v>
      </c>
      <c r="P261" s="15">
        <f t="shared" si="65"/>
        <v>0</v>
      </c>
      <c r="Q261" s="14" t="str">
        <f>IF(M261&gt;=I261*'Hoja 4 - Cálculo'!$B$16,"Satisfactorio","Falla")</f>
        <v>Satisfactorio</v>
      </c>
      <c r="R261" s="14">
        <f t="shared" si="58"/>
        <v>0</v>
      </c>
      <c r="S261" s="14">
        <f t="shared" si="59"/>
        <v>0</v>
      </c>
    </row>
    <row r="262" spans="1:19">
      <c r="A262" s="14" t="str">
        <f t="shared" si="56"/>
        <v>SRY-1-3</v>
      </c>
      <c r="B262" s="15">
        <f>'Curvas SRY'!$B$8</f>
        <v>1</v>
      </c>
      <c r="C262" s="15">
        <f>'Curvas SRY'!$E$10</f>
        <v>1.25</v>
      </c>
      <c r="D262" s="14" t="str">
        <f>'Curvas SRY'!$B$14</f>
        <v>Uso variable</v>
      </c>
      <c r="E262" s="14">
        <f>19</f>
        <v>19</v>
      </c>
      <c r="F262" s="21">
        <f>'Hoja 4 - Cálculo'!A43</f>
        <v>30133</v>
      </c>
      <c r="G262" s="15">
        <f>'Hoja 4 - Cálculo'!H43</f>
        <v>15.3765</v>
      </c>
      <c r="H262" s="15">
        <f>IF(D262="Uso único",'Hoja 4 - Cálculo'!I43,IF(D262="Uso múltiple",AVERAGE('Hoja 4 - Cálculo'!$I$25:$I$384)+AVERAGE('Hoja 4 - Cálculo'!$J$25:$J$384)+AVERAGE('Hoja 4 - Cálculo'!$K$25:$K$384),IF(D262="Uso prioritario",'Hoja 4 - Cálculo'!I43+'Hoja 4 - Cálculo'!K43,'Hoja 4 - Cálculo'!I43+'Hoja 4 - Cálculo'!J43+'Hoja 4 - Cálculo'!K43)))</f>
        <v>16</v>
      </c>
      <c r="I262" s="15">
        <f t="shared" si="60"/>
        <v>20</v>
      </c>
      <c r="J262" s="15">
        <f t="shared" si="57"/>
        <v>1</v>
      </c>
      <c r="K262" s="15">
        <f>MIN(J262+G262,(J262+G262)*'Hoja 4 - Cálculo'!$B$15)</f>
        <v>0.32752999999999999</v>
      </c>
      <c r="L262" s="15">
        <f t="shared" si="61"/>
        <v>16.048970000000001</v>
      </c>
      <c r="M262" s="15">
        <f t="shared" si="62"/>
        <v>16.048970000000001</v>
      </c>
      <c r="N262" s="15">
        <f t="shared" si="63"/>
        <v>0</v>
      </c>
      <c r="O262" s="15">
        <f t="shared" si="64"/>
        <v>0</v>
      </c>
      <c r="P262" s="15">
        <f t="shared" si="65"/>
        <v>3.9510299999999994</v>
      </c>
      <c r="Q262" s="14" t="str">
        <f>IF(M262&gt;=I262*'Hoja 4 - Cálculo'!$B$16,"Satisfactorio","Falla")</f>
        <v>Falla</v>
      </c>
      <c r="R262" s="14">
        <f t="shared" si="58"/>
        <v>0</v>
      </c>
      <c r="S262" s="14">
        <f t="shared" si="59"/>
        <v>1</v>
      </c>
    </row>
    <row r="263" spans="1:19">
      <c r="A263" s="14" t="str">
        <f t="shared" si="56"/>
        <v>SRY-1-3</v>
      </c>
      <c r="B263" s="15">
        <f>'Curvas SRY'!$B$8</f>
        <v>1</v>
      </c>
      <c r="C263" s="15">
        <f>'Curvas SRY'!$E$10</f>
        <v>1.25</v>
      </c>
      <c r="D263" s="14" t="str">
        <f>'Curvas SRY'!$B$14</f>
        <v>Uso variable</v>
      </c>
      <c r="E263" s="14">
        <f>20</f>
        <v>20</v>
      </c>
      <c r="F263" s="21">
        <f>'Hoja 4 - Cálculo'!A44</f>
        <v>30164</v>
      </c>
      <c r="G263" s="15">
        <f>'Hoja 4 - Cálculo'!H44</f>
        <v>16.466625000000001</v>
      </c>
      <c r="H263" s="15">
        <f>IF(D263="Uso único",'Hoja 4 - Cálculo'!I44,IF(D263="Uso múltiple",AVERAGE('Hoja 4 - Cálculo'!$I$25:$I$384)+AVERAGE('Hoja 4 - Cálculo'!$J$25:$J$384)+AVERAGE('Hoja 4 - Cálculo'!$K$25:$K$384),IF(D263="Uso prioritario",'Hoja 4 - Cálculo'!I44+'Hoja 4 - Cálculo'!K44,'Hoja 4 - Cálculo'!I44+'Hoja 4 - Cálculo'!J44+'Hoja 4 - Cálculo'!K44)))</f>
        <v>16</v>
      </c>
      <c r="I263" s="15">
        <f t="shared" si="60"/>
        <v>20</v>
      </c>
      <c r="J263" s="15">
        <f t="shared" si="57"/>
        <v>0</v>
      </c>
      <c r="K263" s="15">
        <f>MIN(J263+G263,(J263+G263)*'Hoja 4 - Cálculo'!$B$15)</f>
        <v>0.32933250000000003</v>
      </c>
      <c r="L263" s="15">
        <f t="shared" si="61"/>
        <v>16.137292500000001</v>
      </c>
      <c r="M263" s="15">
        <f t="shared" si="62"/>
        <v>16.137292500000001</v>
      </c>
      <c r="N263" s="15">
        <f t="shared" si="63"/>
        <v>0</v>
      </c>
      <c r="O263" s="15">
        <f t="shared" si="64"/>
        <v>0</v>
      </c>
      <c r="P263" s="15">
        <f t="shared" si="65"/>
        <v>3.8627074999999991</v>
      </c>
      <c r="Q263" s="14" t="str">
        <f>IF(M263&gt;=I263*'Hoja 4 - Cálculo'!$B$16,"Satisfactorio","Falla")</f>
        <v>Falla</v>
      </c>
      <c r="R263" s="14">
        <f t="shared" si="58"/>
        <v>0</v>
      </c>
      <c r="S263" s="14">
        <f t="shared" si="59"/>
        <v>0</v>
      </c>
    </row>
    <row r="264" spans="1:19">
      <c r="A264" s="14" t="str">
        <f t="shared" si="56"/>
        <v>SRY-1-3</v>
      </c>
      <c r="B264" s="15">
        <f>'Curvas SRY'!$B$8</f>
        <v>1</v>
      </c>
      <c r="C264" s="15">
        <f>'Curvas SRY'!$E$10</f>
        <v>1.25</v>
      </c>
      <c r="D264" s="14" t="str">
        <f>'Curvas SRY'!$B$14</f>
        <v>Uso variable</v>
      </c>
      <c r="E264" s="14">
        <f>21</f>
        <v>21</v>
      </c>
      <c r="F264" s="21">
        <f>'Hoja 4 - Cálculo'!A45</f>
        <v>30195</v>
      </c>
      <c r="G264" s="15">
        <f>'Hoja 4 - Cálculo'!H45</f>
        <v>25.837875</v>
      </c>
      <c r="H264" s="15">
        <f>IF(D264="Uso único",'Hoja 4 - Cálculo'!I45,IF(D264="Uso múltiple",AVERAGE('Hoja 4 - Cálculo'!$I$25:$I$384)+AVERAGE('Hoja 4 - Cálculo'!$J$25:$J$384)+AVERAGE('Hoja 4 - Cálculo'!$K$25:$K$384),IF(D264="Uso prioritario",'Hoja 4 - Cálculo'!I45+'Hoja 4 - Cálculo'!K45,'Hoja 4 - Cálculo'!I45+'Hoja 4 - Cálculo'!J45+'Hoja 4 - Cálculo'!K45)))</f>
        <v>11.5</v>
      </c>
      <c r="I264" s="15">
        <f t="shared" si="60"/>
        <v>14.375</v>
      </c>
      <c r="J264" s="15">
        <f t="shared" si="57"/>
        <v>0</v>
      </c>
      <c r="K264" s="15">
        <f>MIN(J264+G264,(J264+G264)*'Hoja 4 - Cálculo'!$B$15)</f>
        <v>0.51675749999999998</v>
      </c>
      <c r="L264" s="15">
        <f t="shared" si="61"/>
        <v>25.3211175</v>
      </c>
      <c r="M264" s="15">
        <f t="shared" si="62"/>
        <v>14.375</v>
      </c>
      <c r="N264" s="15">
        <f t="shared" si="63"/>
        <v>1</v>
      </c>
      <c r="O264" s="15">
        <f t="shared" si="64"/>
        <v>9.9461174999999997</v>
      </c>
      <c r="P264" s="15">
        <f t="shared" si="65"/>
        <v>0</v>
      </c>
      <c r="Q264" s="14" t="str">
        <f>IF(M264&gt;=I264*'Hoja 4 - Cálculo'!$B$16,"Satisfactorio","Falla")</f>
        <v>Satisfactorio</v>
      </c>
      <c r="R264" s="14">
        <f t="shared" si="58"/>
        <v>1</v>
      </c>
      <c r="S264" s="14">
        <f t="shared" si="59"/>
        <v>0</v>
      </c>
    </row>
    <row r="265" spans="1:19">
      <c r="A265" s="14" t="str">
        <f t="shared" si="56"/>
        <v>SRY-1-3</v>
      </c>
      <c r="B265" s="15">
        <f>'Curvas SRY'!$B$8</f>
        <v>1</v>
      </c>
      <c r="C265" s="15">
        <f>'Curvas SRY'!$E$10</f>
        <v>1.25</v>
      </c>
      <c r="D265" s="14" t="str">
        <f>'Curvas SRY'!$B$14</f>
        <v>Uso variable</v>
      </c>
      <c r="E265" s="14">
        <f>22</f>
        <v>22</v>
      </c>
      <c r="F265" s="21">
        <f>'Hoja 4 - Cálculo'!A46</f>
        <v>30225</v>
      </c>
      <c r="G265" s="15">
        <f>'Hoja 4 - Cálculo'!H46</f>
        <v>33.46875</v>
      </c>
      <c r="H265" s="15">
        <f>IF(D265="Uso único",'Hoja 4 - Cálculo'!I46,IF(D265="Uso múltiple",AVERAGE('Hoja 4 - Cálculo'!$I$25:$I$384)+AVERAGE('Hoja 4 - Cálculo'!$J$25:$J$384)+AVERAGE('Hoja 4 - Cálculo'!$K$25:$K$384),IF(D265="Uso prioritario",'Hoja 4 - Cálculo'!I46+'Hoja 4 - Cálculo'!K46,'Hoja 4 - Cálculo'!I46+'Hoja 4 - Cálculo'!J46+'Hoja 4 - Cálculo'!K46)))</f>
        <v>11.5</v>
      </c>
      <c r="I265" s="15">
        <f t="shared" si="60"/>
        <v>14.375</v>
      </c>
      <c r="J265" s="15">
        <f t="shared" si="57"/>
        <v>1</v>
      </c>
      <c r="K265" s="15">
        <f>MIN(J265+G265,(J265+G265)*'Hoja 4 - Cálculo'!$B$15)</f>
        <v>0.68937499999999996</v>
      </c>
      <c r="L265" s="15">
        <f t="shared" si="61"/>
        <v>33.779375000000002</v>
      </c>
      <c r="M265" s="15">
        <f t="shared" si="62"/>
        <v>14.375</v>
      </c>
      <c r="N265" s="15">
        <f t="shared" si="63"/>
        <v>1</v>
      </c>
      <c r="O265" s="15">
        <f t="shared" si="64"/>
        <v>18.404375000000002</v>
      </c>
      <c r="P265" s="15">
        <f t="shared" si="65"/>
        <v>0</v>
      </c>
      <c r="Q265" s="14" t="str">
        <f>IF(M265&gt;=I265*'Hoja 4 - Cálculo'!$B$16,"Satisfactorio","Falla")</f>
        <v>Satisfactorio</v>
      </c>
      <c r="R265" s="14">
        <f t="shared" si="58"/>
        <v>0</v>
      </c>
      <c r="S265" s="14">
        <f t="shared" si="59"/>
        <v>0</v>
      </c>
    </row>
    <row r="266" spans="1:19">
      <c r="A266" s="14" t="str">
        <f t="shared" si="56"/>
        <v>SRY-1-3</v>
      </c>
      <c r="B266" s="15">
        <f>'Curvas SRY'!$B$8</f>
        <v>1</v>
      </c>
      <c r="C266" s="15">
        <f>'Curvas SRY'!$E$10</f>
        <v>1.25</v>
      </c>
      <c r="D266" s="14" t="str">
        <f>'Curvas SRY'!$B$14</f>
        <v>Uso variable</v>
      </c>
      <c r="E266" s="14">
        <f>23</f>
        <v>23</v>
      </c>
      <c r="F266" s="21">
        <f>'Hoja 4 - Cálculo'!A47</f>
        <v>30256</v>
      </c>
      <c r="G266" s="15">
        <f>'Hoja 4 - Cálculo'!H47</f>
        <v>27.578250000000001</v>
      </c>
      <c r="H266" s="15">
        <f>IF(D266="Uso único",'Hoja 4 - Cálculo'!I47,IF(D266="Uso múltiple",AVERAGE('Hoja 4 - Cálculo'!$I$25:$I$384)+AVERAGE('Hoja 4 - Cálculo'!$J$25:$J$384)+AVERAGE('Hoja 4 - Cálculo'!$K$25:$K$384),IF(D266="Uso prioritario",'Hoja 4 - Cálculo'!I47+'Hoja 4 - Cálculo'!K47,'Hoja 4 - Cálculo'!I47+'Hoja 4 - Cálculo'!J47+'Hoja 4 - Cálculo'!K47)))</f>
        <v>11.5</v>
      </c>
      <c r="I266" s="15">
        <f t="shared" si="60"/>
        <v>14.375</v>
      </c>
      <c r="J266" s="15">
        <f t="shared" si="57"/>
        <v>1</v>
      </c>
      <c r="K266" s="15">
        <f>MIN(J266+G266,(J266+G266)*'Hoja 4 - Cálculo'!$B$15)</f>
        <v>0.57156499999999999</v>
      </c>
      <c r="L266" s="15">
        <f t="shared" si="61"/>
        <v>28.006685000000001</v>
      </c>
      <c r="M266" s="15">
        <f t="shared" si="62"/>
        <v>14.375</v>
      </c>
      <c r="N266" s="15">
        <f t="shared" si="63"/>
        <v>1</v>
      </c>
      <c r="O266" s="15">
        <f t="shared" si="64"/>
        <v>12.631685000000001</v>
      </c>
      <c r="P266" s="15">
        <f t="shared" si="65"/>
        <v>0</v>
      </c>
      <c r="Q266" s="14" t="str">
        <f>IF(M266&gt;=I266*'Hoja 4 - Cálculo'!$B$16,"Satisfactorio","Falla")</f>
        <v>Satisfactorio</v>
      </c>
      <c r="R266" s="14">
        <f t="shared" si="58"/>
        <v>0</v>
      </c>
      <c r="S266" s="14">
        <f t="shared" si="59"/>
        <v>0</v>
      </c>
    </row>
    <row r="267" spans="1:19">
      <c r="A267" s="14" t="str">
        <f t="shared" si="56"/>
        <v>SRY-1-3</v>
      </c>
      <c r="B267" s="15">
        <f>'Curvas SRY'!$B$8</f>
        <v>1</v>
      </c>
      <c r="C267" s="15">
        <f>'Curvas SRY'!$E$10</f>
        <v>1.25</v>
      </c>
      <c r="D267" s="14" t="str">
        <f>'Curvas SRY'!$B$14</f>
        <v>Uso variable</v>
      </c>
      <c r="E267" s="14">
        <f>24</f>
        <v>24</v>
      </c>
      <c r="F267" s="21">
        <f>'Hoja 4 - Cálculo'!A48</f>
        <v>30286</v>
      </c>
      <c r="G267" s="15">
        <f>'Hoja 4 - Cálculo'!H48</f>
        <v>16.256250000000001</v>
      </c>
      <c r="H267" s="15">
        <f>IF(D267="Uso único",'Hoja 4 - Cálculo'!I48,IF(D267="Uso múltiple",AVERAGE('Hoja 4 - Cálculo'!$I$25:$I$384)+AVERAGE('Hoja 4 - Cálculo'!$J$25:$J$384)+AVERAGE('Hoja 4 - Cálculo'!$K$25:$K$384),IF(D267="Uso prioritario",'Hoja 4 - Cálculo'!I48+'Hoja 4 - Cálculo'!K48,'Hoja 4 - Cálculo'!I48+'Hoja 4 - Cálculo'!J48+'Hoja 4 - Cálculo'!K48)))</f>
        <v>16</v>
      </c>
      <c r="I267" s="15">
        <f t="shared" si="60"/>
        <v>20</v>
      </c>
      <c r="J267" s="15">
        <f t="shared" si="57"/>
        <v>1</v>
      </c>
      <c r="K267" s="15">
        <f>MIN(J267+G267,(J267+G267)*'Hoja 4 - Cálculo'!$B$15)</f>
        <v>0.34512500000000002</v>
      </c>
      <c r="L267" s="15">
        <f t="shared" si="61"/>
        <v>16.911125000000002</v>
      </c>
      <c r="M267" s="15">
        <f t="shared" si="62"/>
        <v>16.911125000000002</v>
      </c>
      <c r="N267" s="15">
        <f t="shared" si="63"/>
        <v>0</v>
      </c>
      <c r="O267" s="15">
        <f t="shared" si="64"/>
        <v>0</v>
      </c>
      <c r="P267" s="15">
        <f t="shared" si="65"/>
        <v>3.088874999999998</v>
      </c>
      <c r="Q267" s="14" t="str">
        <f>IF(M267&gt;=I267*'Hoja 4 - Cálculo'!$B$16,"Satisfactorio","Falla")</f>
        <v>Falla</v>
      </c>
      <c r="R267" s="14">
        <f t="shared" si="58"/>
        <v>0</v>
      </c>
      <c r="S267" s="14">
        <f t="shared" si="59"/>
        <v>1</v>
      </c>
    </row>
    <row r="268" spans="1:19">
      <c r="A268" s="14" t="str">
        <f t="shared" si="56"/>
        <v>SRY-1-3</v>
      </c>
      <c r="B268" s="15">
        <f>'Curvas SRY'!$B$8</f>
        <v>1</v>
      </c>
      <c r="C268" s="15">
        <f>'Curvas SRY'!$E$10</f>
        <v>1.25</v>
      </c>
      <c r="D268" s="14" t="str">
        <f>'Curvas SRY'!$B$14</f>
        <v>Uso variable</v>
      </c>
      <c r="E268" s="14">
        <f>25</f>
        <v>25</v>
      </c>
      <c r="F268" s="21">
        <f>'Hoja 4 - Cálculo'!A49</f>
        <v>30317</v>
      </c>
      <c r="G268" s="15">
        <f>'Hoja 4 - Cálculo'!H49</f>
        <v>12.775499999999999</v>
      </c>
      <c r="H268" s="15">
        <f>IF(D268="Uso único",'Hoja 4 - Cálculo'!I49,IF(D268="Uso múltiple",AVERAGE('Hoja 4 - Cálculo'!$I$25:$I$384)+AVERAGE('Hoja 4 - Cálculo'!$J$25:$J$384)+AVERAGE('Hoja 4 - Cálculo'!$K$25:$K$384),IF(D268="Uso prioritario",'Hoja 4 - Cálculo'!I49+'Hoja 4 - Cálculo'!K49,'Hoja 4 - Cálculo'!I49+'Hoja 4 - Cálculo'!J49+'Hoja 4 - Cálculo'!K49)))</f>
        <v>16</v>
      </c>
      <c r="I268" s="15">
        <f t="shared" si="60"/>
        <v>20</v>
      </c>
      <c r="J268" s="15">
        <f t="shared" si="57"/>
        <v>0</v>
      </c>
      <c r="K268" s="15">
        <f>MIN(J268+G268,(J268+G268)*'Hoja 4 - Cálculo'!$B$15)</f>
        <v>0.25551000000000001</v>
      </c>
      <c r="L268" s="15">
        <f t="shared" si="61"/>
        <v>12.51999</v>
      </c>
      <c r="M268" s="15">
        <f t="shared" si="62"/>
        <v>12.51999</v>
      </c>
      <c r="N268" s="15">
        <f t="shared" si="63"/>
        <v>0</v>
      </c>
      <c r="O268" s="15">
        <f t="shared" si="64"/>
        <v>0</v>
      </c>
      <c r="P268" s="15">
        <f t="shared" si="65"/>
        <v>7.48001</v>
      </c>
      <c r="Q268" s="14" t="str">
        <f>IF(M268&gt;=I268*'Hoja 4 - Cálculo'!$B$16,"Satisfactorio","Falla")</f>
        <v>Falla</v>
      </c>
      <c r="R268" s="14">
        <f t="shared" si="58"/>
        <v>0</v>
      </c>
      <c r="S268" s="14">
        <f t="shared" si="59"/>
        <v>0</v>
      </c>
    </row>
    <row r="269" spans="1:19">
      <c r="A269" s="14" t="str">
        <f t="shared" si="56"/>
        <v>SRY-1-3</v>
      </c>
      <c r="B269" s="15">
        <f>'Curvas SRY'!$B$8</f>
        <v>1</v>
      </c>
      <c r="C269" s="15">
        <f>'Curvas SRY'!$E$10</f>
        <v>1.25</v>
      </c>
      <c r="D269" s="14" t="str">
        <f>'Curvas SRY'!$B$14</f>
        <v>Uso variable</v>
      </c>
      <c r="E269" s="14">
        <f>26</f>
        <v>26</v>
      </c>
      <c r="F269" s="21">
        <f>'Hoja 4 - Cálculo'!A50</f>
        <v>30348</v>
      </c>
      <c r="G269" s="15">
        <f>'Hoja 4 - Cálculo'!H50</f>
        <v>14.49675</v>
      </c>
      <c r="H269" s="15">
        <f>IF(D269="Uso único",'Hoja 4 - Cálculo'!I50,IF(D269="Uso múltiple",AVERAGE('Hoja 4 - Cálculo'!$I$25:$I$384)+AVERAGE('Hoja 4 - Cálculo'!$J$25:$J$384)+AVERAGE('Hoja 4 - Cálculo'!$K$25:$K$384),IF(D269="Uso prioritario",'Hoja 4 - Cálculo'!I50+'Hoja 4 - Cálculo'!K50,'Hoja 4 - Cálculo'!I50+'Hoja 4 - Cálculo'!J50+'Hoja 4 - Cálculo'!K50)))</f>
        <v>16</v>
      </c>
      <c r="I269" s="15">
        <f t="shared" si="60"/>
        <v>20</v>
      </c>
      <c r="J269" s="15">
        <f t="shared" si="57"/>
        <v>0</v>
      </c>
      <c r="K269" s="15">
        <f>MIN(J269+G269,(J269+G269)*'Hoja 4 - Cálculo'!$B$15)</f>
        <v>0.289935</v>
      </c>
      <c r="L269" s="15">
        <f t="shared" si="61"/>
        <v>14.206815000000001</v>
      </c>
      <c r="M269" s="15">
        <f t="shared" si="62"/>
        <v>14.206815000000001</v>
      </c>
      <c r="N269" s="15">
        <f t="shared" si="63"/>
        <v>0</v>
      </c>
      <c r="O269" s="15">
        <f t="shared" si="64"/>
        <v>0</v>
      </c>
      <c r="P269" s="15">
        <f t="shared" si="65"/>
        <v>5.7931849999999994</v>
      </c>
      <c r="Q269" s="14" t="str">
        <f>IF(M269&gt;=I269*'Hoja 4 - Cálculo'!$B$16,"Satisfactorio","Falla")</f>
        <v>Falla</v>
      </c>
      <c r="R269" s="14">
        <f t="shared" si="58"/>
        <v>0</v>
      </c>
      <c r="S269" s="14">
        <f t="shared" si="59"/>
        <v>0</v>
      </c>
    </row>
    <row r="270" spans="1:19">
      <c r="A270" s="14" t="str">
        <f t="shared" si="56"/>
        <v>SRY-1-3</v>
      </c>
      <c r="B270" s="15">
        <f>'Curvas SRY'!$B$8</f>
        <v>1</v>
      </c>
      <c r="C270" s="15">
        <f>'Curvas SRY'!$E$10</f>
        <v>1.25</v>
      </c>
      <c r="D270" s="14" t="str">
        <f>'Curvas SRY'!$B$14</f>
        <v>Uso variable</v>
      </c>
      <c r="E270" s="14">
        <f>27</f>
        <v>27</v>
      </c>
      <c r="F270" s="21">
        <f>'Hoja 4 - Cálculo'!A51</f>
        <v>30376</v>
      </c>
      <c r="G270" s="15">
        <f>'Hoja 4 - Cálculo'!H51</f>
        <v>21.936375000000002</v>
      </c>
      <c r="H270" s="15">
        <f>IF(D270="Uso único",'Hoja 4 - Cálculo'!I51,IF(D270="Uso múltiple",AVERAGE('Hoja 4 - Cálculo'!$I$25:$I$384)+AVERAGE('Hoja 4 - Cálculo'!$J$25:$J$384)+AVERAGE('Hoja 4 - Cálculo'!$K$25:$K$384),IF(D270="Uso prioritario",'Hoja 4 - Cálculo'!I51+'Hoja 4 - Cálculo'!K51,'Hoja 4 - Cálculo'!I51+'Hoja 4 - Cálculo'!J51+'Hoja 4 - Cálculo'!K51)))</f>
        <v>16</v>
      </c>
      <c r="I270" s="15">
        <f t="shared" si="60"/>
        <v>20</v>
      </c>
      <c r="J270" s="15">
        <f t="shared" si="57"/>
        <v>0</v>
      </c>
      <c r="K270" s="15">
        <f>MIN(J270+G270,(J270+G270)*'Hoja 4 - Cálculo'!$B$15)</f>
        <v>0.43872750000000005</v>
      </c>
      <c r="L270" s="15">
        <f t="shared" si="61"/>
        <v>21.497647500000003</v>
      </c>
      <c r="M270" s="15">
        <f t="shared" si="62"/>
        <v>20</v>
      </c>
      <c r="N270" s="15">
        <f t="shared" si="63"/>
        <v>1</v>
      </c>
      <c r="O270" s="15">
        <f t="shared" si="64"/>
        <v>0.49764750000000291</v>
      </c>
      <c r="P270" s="15">
        <f t="shared" si="65"/>
        <v>0</v>
      </c>
      <c r="Q270" s="14" t="str">
        <f>IF(M270&gt;=I270*'Hoja 4 - Cálculo'!$B$16,"Satisfactorio","Falla")</f>
        <v>Satisfactorio</v>
      </c>
      <c r="R270" s="14">
        <f t="shared" si="58"/>
        <v>1</v>
      </c>
      <c r="S270" s="14">
        <f t="shared" si="59"/>
        <v>0</v>
      </c>
    </row>
    <row r="271" spans="1:19">
      <c r="A271" s="14" t="str">
        <f t="shared" si="56"/>
        <v>SRY-1-3</v>
      </c>
      <c r="B271" s="15">
        <f>'Curvas SRY'!$B$8</f>
        <v>1</v>
      </c>
      <c r="C271" s="15">
        <f>'Curvas SRY'!$E$10</f>
        <v>1.25</v>
      </c>
      <c r="D271" s="14" t="str">
        <f>'Curvas SRY'!$B$14</f>
        <v>Uso variable</v>
      </c>
      <c r="E271" s="14">
        <f>28</f>
        <v>28</v>
      </c>
      <c r="F271" s="21">
        <f>'Hoja 4 - Cálculo'!A52</f>
        <v>30407</v>
      </c>
      <c r="G271" s="15">
        <f>'Hoja 4 - Cálculo'!H52</f>
        <v>32.263874999999999</v>
      </c>
      <c r="H271" s="15">
        <f>IF(D271="Uso único",'Hoja 4 - Cálculo'!I52,IF(D271="Uso múltiple",AVERAGE('Hoja 4 - Cálculo'!$I$25:$I$384)+AVERAGE('Hoja 4 - Cálculo'!$J$25:$J$384)+AVERAGE('Hoja 4 - Cálculo'!$K$25:$K$384),IF(D271="Uso prioritario",'Hoja 4 - Cálculo'!I52+'Hoja 4 - Cálculo'!K52,'Hoja 4 - Cálculo'!I52+'Hoja 4 - Cálculo'!J52+'Hoja 4 - Cálculo'!K52)))</f>
        <v>11.5</v>
      </c>
      <c r="I271" s="15">
        <f t="shared" si="60"/>
        <v>14.375</v>
      </c>
      <c r="J271" s="15">
        <f t="shared" si="57"/>
        <v>1</v>
      </c>
      <c r="K271" s="15">
        <f>MIN(J271+G271,(J271+G271)*'Hoja 4 - Cálculo'!$B$15)</f>
        <v>0.66527749999999997</v>
      </c>
      <c r="L271" s="15">
        <f t="shared" si="61"/>
        <v>32.598597499999997</v>
      </c>
      <c r="M271" s="15">
        <f t="shared" si="62"/>
        <v>14.375</v>
      </c>
      <c r="N271" s="15">
        <f t="shared" si="63"/>
        <v>1</v>
      </c>
      <c r="O271" s="15">
        <f t="shared" si="64"/>
        <v>17.223597499999997</v>
      </c>
      <c r="P271" s="15">
        <f t="shared" si="65"/>
        <v>0</v>
      </c>
      <c r="Q271" s="14" t="str">
        <f>IF(M271&gt;=I271*'Hoja 4 - Cálculo'!$B$16,"Satisfactorio","Falla")</f>
        <v>Satisfactorio</v>
      </c>
      <c r="R271" s="14">
        <f t="shared" si="58"/>
        <v>0</v>
      </c>
      <c r="S271" s="14">
        <f t="shared" si="59"/>
        <v>0</v>
      </c>
    </row>
    <row r="272" spans="1:19">
      <c r="A272" s="14" t="str">
        <f t="shared" si="56"/>
        <v>SRY-1-3</v>
      </c>
      <c r="B272" s="15">
        <f>'Curvas SRY'!$B$8</f>
        <v>1</v>
      </c>
      <c r="C272" s="15">
        <f>'Curvas SRY'!$E$10</f>
        <v>1.25</v>
      </c>
      <c r="D272" s="14" t="str">
        <f>'Curvas SRY'!$B$14</f>
        <v>Uso variable</v>
      </c>
      <c r="E272" s="14">
        <f>29</f>
        <v>29</v>
      </c>
      <c r="F272" s="21">
        <f>'Hoja 4 - Cálculo'!A53</f>
        <v>30437</v>
      </c>
      <c r="G272" s="15">
        <f>'Hoja 4 - Cálculo'!H53</f>
        <v>29.356874999999999</v>
      </c>
      <c r="H272" s="15">
        <f>IF(D272="Uso único",'Hoja 4 - Cálculo'!I53,IF(D272="Uso múltiple",AVERAGE('Hoja 4 - Cálculo'!$I$25:$I$384)+AVERAGE('Hoja 4 - Cálculo'!$J$25:$J$384)+AVERAGE('Hoja 4 - Cálculo'!$K$25:$K$384),IF(D272="Uso prioritario",'Hoja 4 - Cálculo'!I53+'Hoja 4 - Cálculo'!K53,'Hoja 4 - Cálculo'!I53+'Hoja 4 - Cálculo'!J53+'Hoja 4 - Cálculo'!K53)))</f>
        <v>11.5</v>
      </c>
      <c r="I272" s="15">
        <f t="shared" si="60"/>
        <v>14.375</v>
      </c>
      <c r="J272" s="15">
        <f t="shared" si="57"/>
        <v>1</v>
      </c>
      <c r="K272" s="15">
        <f>MIN(J272+G272,(J272+G272)*'Hoja 4 - Cálculo'!$B$15)</f>
        <v>0.6071375</v>
      </c>
      <c r="L272" s="15">
        <f t="shared" si="61"/>
        <v>29.749737499999998</v>
      </c>
      <c r="M272" s="15">
        <f t="shared" si="62"/>
        <v>14.375</v>
      </c>
      <c r="N272" s="15">
        <f t="shared" si="63"/>
        <v>1</v>
      </c>
      <c r="O272" s="15">
        <f t="shared" si="64"/>
        <v>14.374737499999998</v>
      </c>
      <c r="P272" s="15">
        <f t="shared" si="65"/>
        <v>0</v>
      </c>
      <c r="Q272" s="14" t="str">
        <f>IF(M272&gt;=I272*'Hoja 4 - Cálculo'!$B$16,"Satisfactorio","Falla")</f>
        <v>Satisfactorio</v>
      </c>
      <c r="R272" s="14">
        <f t="shared" si="58"/>
        <v>0</v>
      </c>
      <c r="S272" s="14">
        <f t="shared" si="59"/>
        <v>0</v>
      </c>
    </row>
    <row r="273" spans="1:19">
      <c r="A273" s="14" t="str">
        <f t="shared" si="56"/>
        <v>SRY-1-3</v>
      </c>
      <c r="B273" s="15">
        <f>'Curvas SRY'!$B$8</f>
        <v>1</v>
      </c>
      <c r="C273" s="15">
        <f>'Curvas SRY'!$E$10</f>
        <v>1.25</v>
      </c>
      <c r="D273" s="14" t="str">
        <f>'Curvas SRY'!$B$14</f>
        <v>Uso variable</v>
      </c>
      <c r="E273" s="14">
        <f>30</f>
        <v>30</v>
      </c>
      <c r="F273" s="21">
        <f>'Hoja 4 - Cálculo'!A54</f>
        <v>30468</v>
      </c>
      <c r="G273" s="15">
        <f>'Hoja 4 - Cálculo'!H54</f>
        <v>17.212499999999999</v>
      </c>
      <c r="H273" s="15">
        <f>IF(D273="Uso único",'Hoja 4 - Cálculo'!I54,IF(D273="Uso múltiple",AVERAGE('Hoja 4 - Cálculo'!$I$25:$I$384)+AVERAGE('Hoja 4 - Cálculo'!$J$25:$J$384)+AVERAGE('Hoja 4 - Cálculo'!$K$25:$K$384),IF(D273="Uso prioritario",'Hoja 4 - Cálculo'!I54+'Hoja 4 - Cálculo'!K54,'Hoja 4 - Cálculo'!I54+'Hoja 4 - Cálculo'!J54+'Hoja 4 - Cálculo'!K54)))</f>
        <v>11.5</v>
      </c>
      <c r="I273" s="15">
        <f t="shared" si="60"/>
        <v>14.375</v>
      </c>
      <c r="J273" s="15">
        <f t="shared" si="57"/>
        <v>1</v>
      </c>
      <c r="K273" s="15">
        <f>MIN(J273+G273,(J273+G273)*'Hoja 4 - Cálculo'!$B$15)</f>
        <v>0.36424999999999996</v>
      </c>
      <c r="L273" s="15">
        <f t="shared" si="61"/>
        <v>17.84825</v>
      </c>
      <c r="M273" s="15">
        <f t="shared" si="62"/>
        <v>14.375</v>
      </c>
      <c r="N273" s="15">
        <f t="shared" si="63"/>
        <v>1</v>
      </c>
      <c r="O273" s="15">
        <f t="shared" si="64"/>
        <v>2.4732500000000002</v>
      </c>
      <c r="P273" s="15">
        <f t="shared" si="65"/>
        <v>0</v>
      </c>
      <c r="Q273" s="14" t="str">
        <f>IF(M273&gt;=I273*'Hoja 4 - Cálculo'!$B$16,"Satisfactorio","Falla")</f>
        <v>Satisfactorio</v>
      </c>
      <c r="R273" s="14">
        <f t="shared" si="58"/>
        <v>0</v>
      </c>
      <c r="S273" s="14">
        <f t="shared" si="59"/>
        <v>0</v>
      </c>
    </row>
    <row r="274" spans="1:19">
      <c r="A274" s="14" t="str">
        <f t="shared" si="56"/>
        <v>SRY-1-3</v>
      </c>
      <c r="B274" s="15">
        <f>'Curvas SRY'!$B$8</f>
        <v>1</v>
      </c>
      <c r="C274" s="15">
        <f>'Curvas SRY'!$E$10</f>
        <v>1.25</v>
      </c>
      <c r="D274" s="14" t="str">
        <f>'Curvas SRY'!$B$14</f>
        <v>Uso variable</v>
      </c>
      <c r="E274" s="14">
        <f>31</f>
        <v>31</v>
      </c>
      <c r="F274" s="21">
        <f>'Hoja 4 - Cálculo'!A55</f>
        <v>30498</v>
      </c>
      <c r="G274" s="15">
        <f>'Hoja 4 - Cálculo'!H55</f>
        <v>13.597875</v>
      </c>
      <c r="H274" s="15">
        <f>IF(D274="Uso único",'Hoja 4 - Cálculo'!I55,IF(D274="Uso múltiple",AVERAGE('Hoja 4 - Cálculo'!$I$25:$I$384)+AVERAGE('Hoja 4 - Cálculo'!$J$25:$J$384)+AVERAGE('Hoja 4 - Cálculo'!$K$25:$K$384),IF(D274="Uso prioritario",'Hoja 4 - Cálculo'!I55+'Hoja 4 - Cálculo'!K55,'Hoja 4 - Cálculo'!I55+'Hoja 4 - Cálculo'!J55+'Hoja 4 - Cálculo'!K55)))</f>
        <v>16</v>
      </c>
      <c r="I274" s="15">
        <f t="shared" si="60"/>
        <v>20</v>
      </c>
      <c r="J274" s="15">
        <f t="shared" si="57"/>
        <v>1</v>
      </c>
      <c r="K274" s="15">
        <f>MIN(J274+G274,(J274+G274)*'Hoja 4 - Cálculo'!$B$15)</f>
        <v>0.29195750000000004</v>
      </c>
      <c r="L274" s="15">
        <f t="shared" si="61"/>
        <v>14.3059175</v>
      </c>
      <c r="M274" s="15">
        <f t="shared" si="62"/>
        <v>14.3059175</v>
      </c>
      <c r="N274" s="15">
        <f t="shared" si="63"/>
        <v>0</v>
      </c>
      <c r="O274" s="15">
        <f t="shared" si="64"/>
        <v>0</v>
      </c>
      <c r="P274" s="15">
        <f t="shared" si="65"/>
        <v>5.6940825000000004</v>
      </c>
      <c r="Q274" s="14" t="str">
        <f>IF(M274&gt;=I274*'Hoja 4 - Cálculo'!$B$16,"Satisfactorio","Falla")</f>
        <v>Falla</v>
      </c>
      <c r="R274" s="14">
        <f t="shared" si="58"/>
        <v>0</v>
      </c>
      <c r="S274" s="14">
        <f t="shared" si="59"/>
        <v>1</v>
      </c>
    </row>
    <row r="275" spans="1:19">
      <c r="A275" s="14" t="str">
        <f t="shared" si="56"/>
        <v>SRY-1-3</v>
      </c>
      <c r="B275" s="15">
        <f>'Curvas SRY'!$B$8</f>
        <v>1</v>
      </c>
      <c r="C275" s="15">
        <f>'Curvas SRY'!$E$10</f>
        <v>1.25</v>
      </c>
      <c r="D275" s="14" t="str">
        <f>'Curvas SRY'!$B$14</f>
        <v>Uso variable</v>
      </c>
      <c r="E275" s="14">
        <f>32</f>
        <v>32</v>
      </c>
      <c r="F275" s="21">
        <f>'Hoja 4 - Cálculo'!A56</f>
        <v>30529</v>
      </c>
      <c r="G275" s="15">
        <f>'Hoja 4 - Cálculo'!H56</f>
        <v>14.592375000000001</v>
      </c>
      <c r="H275" s="15">
        <f>IF(D275="Uso único",'Hoja 4 - Cálculo'!I56,IF(D275="Uso múltiple",AVERAGE('Hoja 4 - Cálculo'!$I$25:$I$384)+AVERAGE('Hoja 4 - Cálculo'!$J$25:$J$384)+AVERAGE('Hoja 4 - Cálculo'!$K$25:$K$384),IF(D275="Uso prioritario",'Hoja 4 - Cálculo'!I56+'Hoja 4 - Cálculo'!K56,'Hoja 4 - Cálculo'!I56+'Hoja 4 - Cálculo'!J56+'Hoja 4 - Cálculo'!K56)))</f>
        <v>16</v>
      </c>
      <c r="I275" s="15">
        <f t="shared" si="60"/>
        <v>20</v>
      </c>
      <c r="J275" s="15">
        <f t="shared" si="57"/>
        <v>0</v>
      </c>
      <c r="K275" s="15">
        <f>MIN(J275+G275,(J275+G275)*'Hoja 4 - Cálculo'!$B$15)</f>
        <v>0.29184750000000004</v>
      </c>
      <c r="L275" s="15">
        <f t="shared" si="61"/>
        <v>14.300527500000001</v>
      </c>
      <c r="M275" s="15">
        <f t="shared" si="62"/>
        <v>14.300527500000001</v>
      </c>
      <c r="N275" s="15">
        <f t="shared" si="63"/>
        <v>0</v>
      </c>
      <c r="O275" s="15">
        <f t="shared" si="64"/>
        <v>0</v>
      </c>
      <c r="P275" s="15">
        <f t="shared" si="65"/>
        <v>5.6994724999999988</v>
      </c>
      <c r="Q275" s="14" t="str">
        <f>IF(M275&gt;=I275*'Hoja 4 - Cálculo'!$B$16,"Satisfactorio","Falla")</f>
        <v>Falla</v>
      </c>
      <c r="R275" s="14">
        <f t="shared" si="58"/>
        <v>0</v>
      </c>
      <c r="S275" s="14">
        <f t="shared" si="59"/>
        <v>0</v>
      </c>
    </row>
    <row r="276" spans="1:19">
      <c r="A276" s="14" t="str">
        <f t="shared" ref="A276:A307" si="66">"SRY-1-3"</f>
        <v>SRY-1-3</v>
      </c>
      <c r="B276" s="15">
        <f>'Curvas SRY'!$B$8</f>
        <v>1</v>
      </c>
      <c r="C276" s="15">
        <f>'Curvas SRY'!$E$10</f>
        <v>1.25</v>
      </c>
      <c r="D276" s="14" t="str">
        <f>'Curvas SRY'!$B$14</f>
        <v>Uso variable</v>
      </c>
      <c r="E276" s="14">
        <f>33</f>
        <v>33</v>
      </c>
      <c r="F276" s="21">
        <f>'Hoja 4 - Cálculo'!A57</f>
        <v>30560</v>
      </c>
      <c r="G276" s="15">
        <f>'Hoja 4 - Cálculo'!H57</f>
        <v>24.307874999999999</v>
      </c>
      <c r="H276" s="15">
        <f>IF(D276="Uso único",'Hoja 4 - Cálculo'!I57,IF(D276="Uso múltiple",AVERAGE('Hoja 4 - Cálculo'!$I$25:$I$384)+AVERAGE('Hoja 4 - Cálculo'!$J$25:$J$384)+AVERAGE('Hoja 4 - Cálculo'!$K$25:$K$384),IF(D276="Uso prioritario",'Hoja 4 - Cálculo'!I57+'Hoja 4 - Cálculo'!K57,'Hoja 4 - Cálculo'!I57+'Hoja 4 - Cálculo'!J57+'Hoja 4 - Cálculo'!K57)))</f>
        <v>11.5</v>
      </c>
      <c r="I276" s="15">
        <f t="shared" si="60"/>
        <v>14.375</v>
      </c>
      <c r="J276" s="15">
        <f t="shared" si="57"/>
        <v>0</v>
      </c>
      <c r="K276" s="15">
        <f>MIN(J276+G276,(J276+G276)*'Hoja 4 - Cálculo'!$B$15)</f>
        <v>0.48615750000000002</v>
      </c>
      <c r="L276" s="15">
        <f t="shared" si="61"/>
        <v>23.821717499999998</v>
      </c>
      <c r="M276" s="15">
        <f t="shared" si="62"/>
        <v>14.375</v>
      </c>
      <c r="N276" s="15">
        <f t="shared" si="63"/>
        <v>1</v>
      </c>
      <c r="O276" s="15">
        <f t="shared" si="64"/>
        <v>8.4467174999999983</v>
      </c>
      <c r="P276" s="15">
        <f t="shared" si="65"/>
        <v>0</v>
      </c>
      <c r="Q276" s="14" t="str">
        <f>IF(M276&gt;=I276*'Hoja 4 - Cálculo'!$B$16,"Satisfactorio","Falla")</f>
        <v>Satisfactorio</v>
      </c>
      <c r="R276" s="14">
        <f t="shared" si="58"/>
        <v>1</v>
      </c>
      <c r="S276" s="14">
        <f t="shared" si="59"/>
        <v>0</v>
      </c>
    </row>
    <row r="277" spans="1:19">
      <c r="A277" s="14" t="str">
        <f t="shared" si="66"/>
        <v>SRY-1-3</v>
      </c>
      <c r="B277" s="15">
        <f>'Curvas SRY'!$B$8</f>
        <v>1</v>
      </c>
      <c r="C277" s="15">
        <f>'Curvas SRY'!$E$10</f>
        <v>1.25</v>
      </c>
      <c r="D277" s="14" t="str">
        <f>'Curvas SRY'!$B$14</f>
        <v>Uso variable</v>
      </c>
      <c r="E277" s="14">
        <f>34</f>
        <v>34</v>
      </c>
      <c r="F277" s="21">
        <f>'Hoja 4 - Cálculo'!A58</f>
        <v>30590</v>
      </c>
      <c r="G277" s="15">
        <f>'Hoja 4 - Cálculo'!H58</f>
        <v>33.564374999999998</v>
      </c>
      <c r="H277" s="15">
        <f>IF(D277="Uso único",'Hoja 4 - Cálculo'!I58,IF(D277="Uso múltiple",AVERAGE('Hoja 4 - Cálculo'!$I$25:$I$384)+AVERAGE('Hoja 4 - Cálculo'!$J$25:$J$384)+AVERAGE('Hoja 4 - Cálculo'!$K$25:$K$384),IF(D277="Uso prioritario",'Hoja 4 - Cálculo'!I58+'Hoja 4 - Cálculo'!K58,'Hoja 4 - Cálculo'!I58+'Hoja 4 - Cálculo'!J58+'Hoja 4 - Cálculo'!K58)))</f>
        <v>11.5</v>
      </c>
      <c r="I277" s="15">
        <f t="shared" si="60"/>
        <v>14.375</v>
      </c>
      <c r="J277" s="15">
        <f t="shared" ref="J277:J308" si="67">N276</f>
        <v>1</v>
      </c>
      <c r="K277" s="15">
        <f>MIN(J277+G277,(J277+G277)*'Hoja 4 - Cálculo'!$B$15)</f>
        <v>0.69128749999999994</v>
      </c>
      <c r="L277" s="15">
        <f t="shared" si="61"/>
        <v>33.873087499999997</v>
      </c>
      <c r="M277" s="15">
        <f t="shared" si="62"/>
        <v>14.375</v>
      </c>
      <c r="N277" s="15">
        <f t="shared" si="63"/>
        <v>1</v>
      </c>
      <c r="O277" s="15">
        <f t="shared" si="64"/>
        <v>18.498087499999997</v>
      </c>
      <c r="P277" s="15">
        <f t="shared" si="65"/>
        <v>0</v>
      </c>
      <c r="Q277" s="14" t="str">
        <f>IF(M277&gt;=I277*'Hoja 4 - Cálculo'!$B$16,"Satisfactorio","Falla")</f>
        <v>Satisfactorio</v>
      </c>
      <c r="R277" s="14">
        <f t="shared" ref="R277:R308" si="68">IF(AND(Q276="Falla",Q277="Satisfactorio"),1,0)</f>
        <v>0</v>
      </c>
      <c r="S277" s="14">
        <f t="shared" ref="S277:S308" si="69">IF(AND(Q277="Falla",Q276&lt;&gt;"Falla"),1,0)</f>
        <v>0</v>
      </c>
    </row>
    <row r="278" spans="1:19">
      <c r="A278" s="14" t="str">
        <f t="shared" si="66"/>
        <v>SRY-1-3</v>
      </c>
      <c r="B278" s="15">
        <f>'Curvas SRY'!$B$8</f>
        <v>1</v>
      </c>
      <c r="C278" s="15">
        <f>'Curvas SRY'!$E$10</f>
        <v>1.25</v>
      </c>
      <c r="D278" s="14" t="str">
        <f>'Curvas SRY'!$B$14</f>
        <v>Uso variable</v>
      </c>
      <c r="E278" s="14">
        <f>35</f>
        <v>35</v>
      </c>
      <c r="F278" s="21">
        <f>'Hoja 4 - Cálculo'!A59</f>
        <v>30621</v>
      </c>
      <c r="G278" s="15">
        <f>'Hoja 4 - Cálculo'!H59</f>
        <v>28.075500000000002</v>
      </c>
      <c r="H278" s="15">
        <f>IF(D278="Uso único",'Hoja 4 - Cálculo'!I59,IF(D278="Uso múltiple",AVERAGE('Hoja 4 - Cálculo'!$I$25:$I$384)+AVERAGE('Hoja 4 - Cálculo'!$J$25:$J$384)+AVERAGE('Hoja 4 - Cálculo'!$K$25:$K$384),IF(D278="Uso prioritario",'Hoja 4 - Cálculo'!I59+'Hoja 4 - Cálculo'!K59,'Hoja 4 - Cálculo'!I59+'Hoja 4 - Cálculo'!J59+'Hoja 4 - Cálculo'!K59)))</f>
        <v>11.5</v>
      </c>
      <c r="I278" s="15">
        <f t="shared" si="60"/>
        <v>14.375</v>
      </c>
      <c r="J278" s="15">
        <f t="shared" si="67"/>
        <v>1</v>
      </c>
      <c r="K278" s="15">
        <f>MIN(J278+G278,(J278+G278)*'Hoja 4 - Cálculo'!$B$15)</f>
        <v>0.58151000000000008</v>
      </c>
      <c r="L278" s="15">
        <f t="shared" si="61"/>
        <v>28.49399</v>
      </c>
      <c r="M278" s="15">
        <f t="shared" si="62"/>
        <v>14.375</v>
      </c>
      <c r="N278" s="15">
        <f t="shared" si="63"/>
        <v>1</v>
      </c>
      <c r="O278" s="15">
        <f t="shared" si="64"/>
        <v>13.11899</v>
      </c>
      <c r="P278" s="15">
        <f t="shared" si="65"/>
        <v>0</v>
      </c>
      <c r="Q278" s="14" t="str">
        <f>IF(M278&gt;=I278*'Hoja 4 - Cálculo'!$B$16,"Satisfactorio","Falla")</f>
        <v>Satisfactorio</v>
      </c>
      <c r="R278" s="14">
        <f t="shared" si="68"/>
        <v>0</v>
      </c>
      <c r="S278" s="14">
        <f t="shared" si="69"/>
        <v>0</v>
      </c>
    </row>
    <row r="279" spans="1:19">
      <c r="A279" s="14" t="str">
        <f t="shared" si="66"/>
        <v>SRY-1-3</v>
      </c>
      <c r="B279" s="15">
        <f>'Curvas SRY'!$B$8</f>
        <v>1</v>
      </c>
      <c r="C279" s="15">
        <f>'Curvas SRY'!$E$10</f>
        <v>1.25</v>
      </c>
      <c r="D279" s="14" t="str">
        <f>'Curvas SRY'!$B$14</f>
        <v>Uso variable</v>
      </c>
      <c r="E279" s="14">
        <f>36</f>
        <v>36</v>
      </c>
      <c r="F279" s="21">
        <f>'Hoja 4 - Cálculo'!A60</f>
        <v>30651</v>
      </c>
      <c r="G279" s="15">
        <f>'Hoja 4 - Cálculo'!H60</f>
        <v>15.931125</v>
      </c>
      <c r="H279" s="15">
        <f>IF(D279="Uso único",'Hoja 4 - Cálculo'!I60,IF(D279="Uso múltiple",AVERAGE('Hoja 4 - Cálculo'!$I$25:$I$384)+AVERAGE('Hoja 4 - Cálculo'!$J$25:$J$384)+AVERAGE('Hoja 4 - Cálculo'!$K$25:$K$384),IF(D279="Uso prioritario",'Hoja 4 - Cálculo'!I60+'Hoja 4 - Cálculo'!K60,'Hoja 4 - Cálculo'!I60+'Hoja 4 - Cálculo'!J60+'Hoja 4 - Cálculo'!K60)))</f>
        <v>16</v>
      </c>
      <c r="I279" s="15">
        <f t="shared" si="60"/>
        <v>20</v>
      </c>
      <c r="J279" s="15">
        <f t="shared" si="67"/>
        <v>1</v>
      </c>
      <c r="K279" s="15">
        <f>MIN(J279+G279,(J279+G279)*'Hoja 4 - Cálculo'!$B$15)</f>
        <v>0.33862250000000005</v>
      </c>
      <c r="L279" s="15">
        <f t="shared" si="61"/>
        <v>16.592502500000002</v>
      </c>
      <c r="M279" s="15">
        <f t="shared" si="62"/>
        <v>16.592502500000002</v>
      </c>
      <c r="N279" s="15">
        <f t="shared" si="63"/>
        <v>0</v>
      </c>
      <c r="O279" s="15">
        <f t="shared" si="64"/>
        <v>0</v>
      </c>
      <c r="P279" s="15">
        <f t="shared" si="65"/>
        <v>3.4074974999999981</v>
      </c>
      <c r="Q279" s="14" t="str">
        <f>IF(M279&gt;=I279*'Hoja 4 - Cálculo'!$B$16,"Satisfactorio","Falla")</f>
        <v>Falla</v>
      </c>
      <c r="R279" s="14">
        <f t="shared" si="68"/>
        <v>0</v>
      </c>
      <c r="S279" s="14">
        <f t="shared" si="69"/>
        <v>1</v>
      </c>
    </row>
    <row r="280" spans="1:19">
      <c r="A280" s="14" t="str">
        <f t="shared" si="66"/>
        <v>SRY-1-3</v>
      </c>
      <c r="B280" s="15">
        <f>'Curvas SRY'!$B$8</f>
        <v>1</v>
      </c>
      <c r="C280" s="15">
        <f>'Curvas SRY'!$E$10</f>
        <v>1.25</v>
      </c>
      <c r="D280" s="14" t="str">
        <f>'Curvas SRY'!$B$14</f>
        <v>Uso variable</v>
      </c>
      <c r="E280" s="14">
        <f>37</f>
        <v>37</v>
      </c>
      <c r="F280" s="21">
        <f>'Hoja 4 - Cálculo'!A61</f>
        <v>30682</v>
      </c>
      <c r="G280" s="15">
        <f>'Hoja 4 - Cálculo'!H61</f>
        <v>10.920375</v>
      </c>
      <c r="H280" s="15">
        <f>IF(D280="Uso único",'Hoja 4 - Cálculo'!I61,IF(D280="Uso múltiple",AVERAGE('Hoja 4 - Cálculo'!$I$25:$I$384)+AVERAGE('Hoja 4 - Cálculo'!$J$25:$J$384)+AVERAGE('Hoja 4 - Cálculo'!$K$25:$K$384),IF(D280="Uso prioritario",'Hoja 4 - Cálculo'!I61+'Hoja 4 - Cálculo'!K61,'Hoja 4 - Cálculo'!I61+'Hoja 4 - Cálculo'!J61+'Hoja 4 - Cálculo'!K61)))</f>
        <v>16</v>
      </c>
      <c r="I280" s="15">
        <f t="shared" si="60"/>
        <v>20</v>
      </c>
      <c r="J280" s="15">
        <f t="shared" si="67"/>
        <v>0</v>
      </c>
      <c r="K280" s="15">
        <f>MIN(J280+G280,(J280+G280)*'Hoja 4 - Cálculo'!$B$15)</f>
        <v>0.2184075</v>
      </c>
      <c r="L280" s="15">
        <f t="shared" si="61"/>
        <v>10.7019675</v>
      </c>
      <c r="M280" s="15">
        <f t="shared" si="62"/>
        <v>10.7019675</v>
      </c>
      <c r="N280" s="15">
        <f t="shared" si="63"/>
        <v>0</v>
      </c>
      <c r="O280" s="15">
        <f t="shared" si="64"/>
        <v>0</v>
      </c>
      <c r="P280" s="15">
        <f t="shared" si="65"/>
        <v>9.2980324999999997</v>
      </c>
      <c r="Q280" s="14" t="str">
        <f>IF(M280&gt;=I280*'Hoja 4 - Cálculo'!$B$16,"Satisfactorio","Falla")</f>
        <v>Falla</v>
      </c>
      <c r="R280" s="14">
        <f t="shared" si="68"/>
        <v>0</v>
      </c>
      <c r="S280" s="14">
        <f t="shared" si="69"/>
        <v>0</v>
      </c>
    </row>
    <row r="281" spans="1:19">
      <c r="A281" s="14" t="str">
        <f t="shared" si="66"/>
        <v>SRY-1-3</v>
      </c>
      <c r="B281" s="15">
        <f>'Curvas SRY'!$B$8</f>
        <v>1</v>
      </c>
      <c r="C281" s="15">
        <f>'Curvas SRY'!$E$10</f>
        <v>1.25</v>
      </c>
      <c r="D281" s="14" t="str">
        <f>'Curvas SRY'!$B$14</f>
        <v>Uso variable</v>
      </c>
      <c r="E281" s="14">
        <f>38</f>
        <v>38</v>
      </c>
      <c r="F281" s="21">
        <f>'Hoja 4 - Cálculo'!A62</f>
        <v>30713</v>
      </c>
      <c r="G281" s="15">
        <f>'Hoja 4 - Cálculo'!H62</f>
        <v>13.04325</v>
      </c>
      <c r="H281" s="15">
        <f>IF(D281="Uso único",'Hoja 4 - Cálculo'!I62,IF(D281="Uso múltiple",AVERAGE('Hoja 4 - Cálculo'!$I$25:$I$384)+AVERAGE('Hoja 4 - Cálculo'!$J$25:$J$384)+AVERAGE('Hoja 4 - Cálculo'!$K$25:$K$384),IF(D281="Uso prioritario",'Hoja 4 - Cálculo'!I62+'Hoja 4 - Cálculo'!K62,'Hoja 4 - Cálculo'!I62+'Hoja 4 - Cálculo'!J62+'Hoja 4 - Cálculo'!K62)))</f>
        <v>16</v>
      </c>
      <c r="I281" s="15">
        <f t="shared" si="60"/>
        <v>20</v>
      </c>
      <c r="J281" s="15">
        <f t="shared" si="67"/>
        <v>0</v>
      </c>
      <c r="K281" s="15">
        <f>MIN(J281+G281,(J281+G281)*'Hoja 4 - Cálculo'!$B$15)</f>
        <v>0.26086500000000001</v>
      </c>
      <c r="L281" s="15">
        <f t="shared" si="61"/>
        <v>12.782385</v>
      </c>
      <c r="M281" s="15">
        <f t="shared" si="62"/>
        <v>12.782385</v>
      </c>
      <c r="N281" s="15">
        <f t="shared" si="63"/>
        <v>0</v>
      </c>
      <c r="O281" s="15">
        <f t="shared" si="64"/>
        <v>0</v>
      </c>
      <c r="P281" s="15">
        <f t="shared" si="65"/>
        <v>7.2176150000000003</v>
      </c>
      <c r="Q281" s="14" t="str">
        <f>IF(M281&gt;=I281*'Hoja 4 - Cálculo'!$B$16,"Satisfactorio","Falla")</f>
        <v>Falla</v>
      </c>
      <c r="R281" s="14">
        <f t="shared" si="68"/>
        <v>0</v>
      </c>
      <c r="S281" s="14">
        <f t="shared" si="69"/>
        <v>0</v>
      </c>
    </row>
    <row r="282" spans="1:19">
      <c r="A282" s="14" t="str">
        <f t="shared" si="66"/>
        <v>SRY-1-3</v>
      </c>
      <c r="B282" s="15">
        <f>'Curvas SRY'!$B$8</f>
        <v>1</v>
      </c>
      <c r="C282" s="15">
        <f>'Curvas SRY'!$E$10</f>
        <v>1.25</v>
      </c>
      <c r="D282" s="14" t="str">
        <f>'Curvas SRY'!$B$14</f>
        <v>Uso variable</v>
      </c>
      <c r="E282" s="14">
        <f>39</f>
        <v>39</v>
      </c>
      <c r="F282" s="21">
        <f>'Hoja 4 - Cálculo'!A63</f>
        <v>30742</v>
      </c>
      <c r="G282" s="15">
        <f>'Hoja 4 - Cálculo'!H63</f>
        <v>20.272500000000001</v>
      </c>
      <c r="H282" s="15">
        <f>IF(D282="Uso único",'Hoja 4 - Cálculo'!I63,IF(D282="Uso múltiple",AVERAGE('Hoja 4 - Cálculo'!$I$25:$I$384)+AVERAGE('Hoja 4 - Cálculo'!$J$25:$J$384)+AVERAGE('Hoja 4 - Cálculo'!$K$25:$K$384),IF(D282="Uso prioritario",'Hoja 4 - Cálculo'!I63+'Hoja 4 - Cálculo'!K63,'Hoja 4 - Cálculo'!I63+'Hoja 4 - Cálculo'!J63+'Hoja 4 - Cálculo'!K63)))</f>
        <v>16</v>
      </c>
      <c r="I282" s="15">
        <f t="shared" si="60"/>
        <v>20</v>
      </c>
      <c r="J282" s="15">
        <f t="shared" si="67"/>
        <v>0</v>
      </c>
      <c r="K282" s="15">
        <f>MIN(J282+G282,(J282+G282)*'Hoja 4 - Cálculo'!$B$15)</f>
        <v>0.40545000000000003</v>
      </c>
      <c r="L282" s="15">
        <f t="shared" si="61"/>
        <v>19.867050000000003</v>
      </c>
      <c r="M282" s="15">
        <f t="shared" si="62"/>
        <v>19.867050000000003</v>
      </c>
      <c r="N282" s="15">
        <f t="shared" si="63"/>
        <v>0</v>
      </c>
      <c r="O282" s="15">
        <f t="shared" si="64"/>
        <v>0</v>
      </c>
      <c r="P282" s="15">
        <f t="shared" si="65"/>
        <v>0.13294999999999746</v>
      </c>
      <c r="Q282" s="14" t="str">
        <f>IF(M282&gt;=I282*'Hoja 4 - Cálculo'!$B$16,"Satisfactorio","Falla")</f>
        <v>Falla</v>
      </c>
      <c r="R282" s="14">
        <f t="shared" si="68"/>
        <v>0</v>
      </c>
      <c r="S282" s="14">
        <f t="shared" si="69"/>
        <v>0</v>
      </c>
    </row>
    <row r="283" spans="1:19">
      <c r="A283" s="14" t="str">
        <f t="shared" si="66"/>
        <v>SRY-1-3</v>
      </c>
      <c r="B283" s="15">
        <f>'Curvas SRY'!$B$8</f>
        <v>1</v>
      </c>
      <c r="C283" s="15">
        <f>'Curvas SRY'!$E$10</f>
        <v>1.25</v>
      </c>
      <c r="D283" s="14" t="str">
        <f>'Curvas SRY'!$B$14</f>
        <v>Uso variable</v>
      </c>
      <c r="E283" s="14">
        <f>40</f>
        <v>40</v>
      </c>
      <c r="F283" s="21">
        <f>'Hoja 4 - Cálculo'!A64</f>
        <v>30773</v>
      </c>
      <c r="G283" s="15">
        <f>'Hoja 4 - Cálculo'!H64</f>
        <v>27.922499999999999</v>
      </c>
      <c r="H283" s="15">
        <f>IF(D283="Uso único",'Hoja 4 - Cálculo'!I64,IF(D283="Uso múltiple",AVERAGE('Hoja 4 - Cálculo'!$I$25:$I$384)+AVERAGE('Hoja 4 - Cálculo'!$J$25:$J$384)+AVERAGE('Hoja 4 - Cálculo'!$K$25:$K$384),IF(D283="Uso prioritario",'Hoja 4 - Cálculo'!I64+'Hoja 4 - Cálculo'!K64,'Hoja 4 - Cálculo'!I64+'Hoja 4 - Cálculo'!J64+'Hoja 4 - Cálculo'!K64)))</f>
        <v>11.5</v>
      </c>
      <c r="I283" s="15">
        <f t="shared" si="60"/>
        <v>14.375</v>
      </c>
      <c r="J283" s="15">
        <f t="shared" si="67"/>
        <v>0</v>
      </c>
      <c r="K283" s="15">
        <f>MIN(J283+G283,(J283+G283)*'Hoja 4 - Cálculo'!$B$15)</f>
        <v>0.55845</v>
      </c>
      <c r="L283" s="15">
        <f t="shared" si="61"/>
        <v>27.364049999999999</v>
      </c>
      <c r="M283" s="15">
        <f t="shared" si="62"/>
        <v>14.375</v>
      </c>
      <c r="N283" s="15">
        <f t="shared" si="63"/>
        <v>1</v>
      </c>
      <c r="O283" s="15">
        <f t="shared" si="64"/>
        <v>11.989049999999999</v>
      </c>
      <c r="P283" s="15">
        <f t="shared" si="65"/>
        <v>0</v>
      </c>
      <c r="Q283" s="14" t="str">
        <f>IF(M283&gt;=I283*'Hoja 4 - Cálculo'!$B$16,"Satisfactorio","Falla")</f>
        <v>Satisfactorio</v>
      </c>
      <c r="R283" s="14">
        <f t="shared" si="68"/>
        <v>1</v>
      </c>
      <c r="S283" s="14">
        <f t="shared" si="69"/>
        <v>0</v>
      </c>
    </row>
    <row r="284" spans="1:19">
      <c r="A284" s="14" t="str">
        <f t="shared" si="66"/>
        <v>SRY-1-3</v>
      </c>
      <c r="B284" s="15">
        <f>'Curvas SRY'!$B$8</f>
        <v>1</v>
      </c>
      <c r="C284" s="15">
        <f>'Curvas SRY'!$E$10</f>
        <v>1.25</v>
      </c>
      <c r="D284" s="14" t="str">
        <f>'Curvas SRY'!$B$14</f>
        <v>Uso variable</v>
      </c>
      <c r="E284" s="14">
        <f>41</f>
        <v>41</v>
      </c>
      <c r="F284" s="21">
        <f>'Hoja 4 - Cálculo'!A65</f>
        <v>30803</v>
      </c>
      <c r="G284" s="15">
        <f>'Hoja 4 - Cálculo'!H65</f>
        <v>23.657624999999999</v>
      </c>
      <c r="H284" s="15">
        <f>IF(D284="Uso único",'Hoja 4 - Cálculo'!I65,IF(D284="Uso múltiple",AVERAGE('Hoja 4 - Cálculo'!$I$25:$I$384)+AVERAGE('Hoja 4 - Cálculo'!$J$25:$J$384)+AVERAGE('Hoja 4 - Cálculo'!$K$25:$K$384),IF(D284="Uso prioritario",'Hoja 4 - Cálculo'!I65+'Hoja 4 - Cálculo'!K65,'Hoja 4 - Cálculo'!I65+'Hoja 4 - Cálculo'!J65+'Hoja 4 - Cálculo'!K65)))</f>
        <v>11.5</v>
      </c>
      <c r="I284" s="15">
        <f t="shared" si="60"/>
        <v>14.375</v>
      </c>
      <c r="J284" s="15">
        <f t="shared" si="67"/>
        <v>1</v>
      </c>
      <c r="K284" s="15">
        <f>MIN(J284+G284,(J284+G284)*'Hoja 4 - Cálculo'!$B$15)</f>
        <v>0.49315249999999999</v>
      </c>
      <c r="L284" s="15">
        <f t="shared" si="61"/>
        <v>24.164472499999999</v>
      </c>
      <c r="M284" s="15">
        <f t="shared" si="62"/>
        <v>14.375</v>
      </c>
      <c r="N284" s="15">
        <f t="shared" si="63"/>
        <v>1</v>
      </c>
      <c r="O284" s="15">
        <f t="shared" si="64"/>
        <v>8.7894724999999987</v>
      </c>
      <c r="P284" s="15">
        <f t="shared" si="65"/>
        <v>0</v>
      </c>
      <c r="Q284" s="14" t="str">
        <f>IF(M284&gt;=I284*'Hoja 4 - Cálculo'!$B$16,"Satisfactorio","Falla")</f>
        <v>Satisfactorio</v>
      </c>
      <c r="R284" s="14">
        <f t="shared" si="68"/>
        <v>0</v>
      </c>
      <c r="S284" s="14">
        <f t="shared" si="69"/>
        <v>0</v>
      </c>
    </row>
    <row r="285" spans="1:19">
      <c r="A285" s="14" t="str">
        <f t="shared" si="66"/>
        <v>SRY-1-3</v>
      </c>
      <c r="B285" s="15">
        <f>'Curvas SRY'!$B$8</f>
        <v>1</v>
      </c>
      <c r="C285" s="15">
        <f>'Curvas SRY'!$E$10</f>
        <v>1.25</v>
      </c>
      <c r="D285" s="14" t="str">
        <f>'Curvas SRY'!$B$14</f>
        <v>Uso variable</v>
      </c>
      <c r="E285" s="14">
        <f>42</f>
        <v>42</v>
      </c>
      <c r="F285" s="21">
        <f>'Hoja 4 - Cálculo'!A66</f>
        <v>30834</v>
      </c>
      <c r="G285" s="15">
        <f>'Hoja 4 - Cálculo'!H66</f>
        <v>14.554125000000001</v>
      </c>
      <c r="H285" s="15">
        <f>IF(D285="Uso único",'Hoja 4 - Cálculo'!I66,IF(D285="Uso múltiple",AVERAGE('Hoja 4 - Cálculo'!$I$25:$I$384)+AVERAGE('Hoja 4 - Cálculo'!$J$25:$J$384)+AVERAGE('Hoja 4 - Cálculo'!$K$25:$K$384),IF(D285="Uso prioritario",'Hoja 4 - Cálculo'!I66+'Hoja 4 - Cálculo'!K66,'Hoja 4 - Cálculo'!I66+'Hoja 4 - Cálculo'!J66+'Hoja 4 - Cálculo'!K66)))</f>
        <v>11.5</v>
      </c>
      <c r="I285" s="15">
        <f t="shared" si="60"/>
        <v>14.375</v>
      </c>
      <c r="J285" s="15">
        <f t="shared" si="67"/>
        <v>1</v>
      </c>
      <c r="K285" s="15">
        <f>MIN(J285+G285,(J285+G285)*'Hoja 4 - Cálculo'!$B$15)</f>
        <v>0.31108250000000004</v>
      </c>
      <c r="L285" s="15">
        <f t="shared" si="61"/>
        <v>15.243042500000001</v>
      </c>
      <c r="M285" s="15">
        <f t="shared" si="62"/>
        <v>14.375</v>
      </c>
      <c r="N285" s="15">
        <f t="shared" si="63"/>
        <v>0.86804250000000138</v>
      </c>
      <c r="O285" s="15">
        <f t="shared" si="64"/>
        <v>0</v>
      </c>
      <c r="P285" s="15">
        <f t="shared" si="65"/>
        <v>0</v>
      </c>
      <c r="Q285" s="14" t="str">
        <f>IF(M285&gt;=I285*'Hoja 4 - Cálculo'!$B$16,"Satisfactorio","Falla")</f>
        <v>Satisfactorio</v>
      </c>
      <c r="R285" s="14">
        <f t="shared" si="68"/>
        <v>0</v>
      </c>
      <c r="S285" s="14">
        <f t="shared" si="69"/>
        <v>0</v>
      </c>
    </row>
    <row r="286" spans="1:19">
      <c r="A286" s="14" t="str">
        <f t="shared" si="66"/>
        <v>SRY-1-3</v>
      </c>
      <c r="B286" s="15">
        <f>'Curvas SRY'!$B$8</f>
        <v>1</v>
      </c>
      <c r="C286" s="15">
        <f>'Curvas SRY'!$E$10</f>
        <v>1.25</v>
      </c>
      <c r="D286" s="14" t="str">
        <f>'Curvas SRY'!$B$14</f>
        <v>Uso variable</v>
      </c>
      <c r="E286" s="14">
        <f>43</f>
        <v>43</v>
      </c>
      <c r="F286" s="21">
        <f>'Hoja 4 - Cálculo'!A67</f>
        <v>30864</v>
      </c>
      <c r="G286" s="15">
        <f>'Hoja 4 - Cálculo'!H67</f>
        <v>12.794625</v>
      </c>
      <c r="H286" s="15">
        <f>IF(D286="Uso único",'Hoja 4 - Cálculo'!I67,IF(D286="Uso múltiple",AVERAGE('Hoja 4 - Cálculo'!$I$25:$I$384)+AVERAGE('Hoja 4 - Cálculo'!$J$25:$J$384)+AVERAGE('Hoja 4 - Cálculo'!$K$25:$K$384),IF(D286="Uso prioritario",'Hoja 4 - Cálculo'!I67+'Hoja 4 - Cálculo'!K67,'Hoja 4 - Cálculo'!I67+'Hoja 4 - Cálculo'!J67+'Hoja 4 - Cálculo'!K67)))</f>
        <v>16</v>
      </c>
      <c r="I286" s="15">
        <f t="shared" si="60"/>
        <v>20</v>
      </c>
      <c r="J286" s="15">
        <f t="shared" si="67"/>
        <v>0.86804250000000138</v>
      </c>
      <c r="K286" s="15">
        <f>MIN(J286+G286,(J286+G286)*'Hoja 4 - Cálculo'!$B$15)</f>
        <v>0.27325335000000001</v>
      </c>
      <c r="L286" s="15">
        <f t="shared" si="61"/>
        <v>13.389414150000002</v>
      </c>
      <c r="M286" s="15">
        <f t="shared" si="62"/>
        <v>13.389414150000002</v>
      </c>
      <c r="N286" s="15">
        <f t="shared" si="63"/>
        <v>0</v>
      </c>
      <c r="O286" s="15">
        <f t="shared" si="64"/>
        <v>0</v>
      </c>
      <c r="P286" s="15">
        <f t="shared" si="65"/>
        <v>6.6105858499999979</v>
      </c>
      <c r="Q286" s="14" t="str">
        <f>IF(M286&gt;=I286*'Hoja 4 - Cálculo'!$B$16,"Satisfactorio","Falla")</f>
        <v>Falla</v>
      </c>
      <c r="R286" s="14">
        <f t="shared" si="68"/>
        <v>0</v>
      </c>
      <c r="S286" s="14">
        <f t="shared" si="69"/>
        <v>1</v>
      </c>
    </row>
    <row r="287" spans="1:19">
      <c r="A287" s="14" t="str">
        <f t="shared" si="66"/>
        <v>SRY-1-3</v>
      </c>
      <c r="B287" s="15">
        <f>'Curvas SRY'!$B$8</f>
        <v>1</v>
      </c>
      <c r="C287" s="15">
        <f>'Curvas SRY'!$E$10</f>
        <v>1.25</v>
      </c>
      <c r="D287" s="14" t="str">
        <f>'Curvas SRY'!$B$14</f>
        <v>Uso variable</v>
      </c>
      <c r="E287" s="14">
        <f>44</f>
        <v>44</v>
      </c>
      <c r="F287" s="21">
        <f>'Hoja 4 - Cálculo'!A68</f>
        <v>30895</v>
      </c>
      <c r="G287" s="15">
        <f>'Hoja 4 - Cálculo'!H68</f>
        <v>13.6935</v>
      </c>
      <c r="H287" s="15">
        <f>IF(D287="Uso único",'Hoja 4 - Cálculo'!I68,IF(D287="Uso múltiple",AVERAGE('Hoja 4 - Cálculo'!$I$25:$I$384)+AVERAGE('Hoja 4 - Cálculo'!$J$25:$J$384)+AVERAGE('Hoja 4 - Cálculo'!$K$25:$K$384),IF(D287="Uso prioritario",'Hoja 4 - Cálculo'!I68+'Hoja 4 - Cálculo'!K68,'Hoja 4 - Cálculo'!I68+'Hoja 4 - Cálculo'!J68+'Hoja 4 - Cálculo'!K68)))</f>
        <v>16</v>
      </c>
      <c r="I287" s="15">
        <f t="shared" si="60"/>
        <v>20</v>
      </c>
      <c r="J287" s="15">
        <f t="shared" si="67"/>
        <v>0</v>
      </c>
      <c r="K287" s="15">
        <f>MIN(J287+G287,(J287+G287)*'Hoja 4 - Cálculo'!$B$15)</f>
        <v>0.27387</v>
      </c>
      <c r="L287" s="15">
        <f t="shared" si="61"/>
        <v>13.41963</v>
      </c>
      <c r="M287" s="15">
        <f t="shared" si="62"/>
        <v>13.41963</v>
      </c>
      <c r="N287" s="15">
        <f t="shared" si="63"/>
        <v>0</v>
      </c>
      <c r="O287" s="15">
        <f t="shared" si="64"/>
        <v>0</v>
      </c>
      <c r="P287" s="15">
        <f t="shared" si="65"/>
        <v>6.5803700000000003</v>
      </c>
      <c r="Q287" s="14" t="str">
        <f>IF(M287&gt;=I287*'Hoja 4 - Cálculo'!$B$16,"Satisfactorio","Falla")</f>
        <v>Falla</v>
      </c>
      <c r="R287" s="14">
        <f t="shared" si="68"/>
        <v>0</v>
      </c>
      <c r="S287" s="14">
        <f t="shared" si="69"/>
        <v>0</v>
      </c>
    </row>
    <row r="288" spans="1:19">
      <c r="A288" s="14" t="str">
        <f t="shared" si="66"/>
        <v>SRY-1-3</v>
      </c>
      <c r="B288" s="15">
        <f>'Curvas SRY'!$B$8</f>
        <v>1</v>
      </c>
      <c r="C288" s="15">
        <f>'Curvas SRY'!$E$10</f>
        <v>1.25</v>
      </c>
      <c r="D288" s="14" t="str">
        <f>'Curvas SRY'!$B$14</f>
        <v>Uso variable</v>
      </c>
      <c r="E288" s="14">
        <f>45</f>
        <v>45</v>
      </c>
      <c r="F288" s="21">
        <f>'Hoja 4 - Cálculo'!A69</f>
        <v>30926</v>
      </c>
      <c r="G288" s="15">
        <f>'Hoja 4 - Cálculo'!H69</f>
        <v>20.521125000000001</v>
      </c>
      <c r="H288" s="15">
        <f>IF(D288="Uso único",'Hoja 4 - Cálculo'!I69,IF(D288="Uso múltiple",AVERAGE('Hoja 4 - Cálculo'!$I$25:$I$384)+AVERAGE('Hoja 4 - Cálculo'!$J$25:$J$384)+AVERAGE('Hoja 4 - Cálculo'!$K$25:$K$384),IF(D288="Uso prioritario",'Hoja 4 - Cálculo'!I69+'Hoja 4 - Cálculo'!K69,'Hoja 4 - Cálculo'!I69+'Hoja 4 - Cálculo'!J69+'Hoja 4 - Cálculo'!K69)))</f>
        <v>11.5</v>
      </c>
      <c r="I288" s="15">
        <f t="shared" si="60"/>
        <v>14.375</v>
      </c>
      <c r="J288" s="15">
        <f t="shared" si="67"/>
        <v>0</v>
      </c>
      <c r="K288" s="15">
        <f>MIN(J288+G288,(J288+G288)*'Hoja 4 - Cálculo'!$B$15)</f>
        <v>0.41042250000000002</v>
      </c>
      <c r="L288" s="15">
        <f t="shared" si="61"/>
        <v>20.110702500000002</v>
      </c>
      <c r="M288" s="15">
        <f t="shared" si="62"/>
        <v>14.375</v>
      </c>
      <c r="N288" s="15">
        <f t="shared" si="63"/>
        <v>1</v>
      </c>
      <c r="O288" s="15">
        <f t="shared" si="64"/>
        <v>4.7357025000000021</v>
      </c>
      <c r="P288" s="15">
        <f t="shared" si="65"/>
        <v>0</v>
      </c>
      <c r="Q288" s="14" t="str">
        <f>IF(M288&gt;=I288*'Hoja 4 - Cálculo'!$B$16,"Satisfactorio","Falla")</f>
        <v>Satisfactorio</v>
      </c>
      <c r="R288" s="14">
        <f t="shared" si="68"/>
        <v>1</v>
      </c>
      <c r="S288" s="14">
        <f t="shared" si="69"/>
        <v>0</v>
      </c>
    </row>
    <row r="289" spans="1:19">
      <c r="A289" s="14" t="str">
        <f t="shared" si="66"/>
        <v>SRY-1-3</v>
      </c>
      <c r="B289" s="15">
        <f>'Curvas SRY'!$B$8</f>
        <v>1</v>
      </c>
      <c r="C289" s="15">
        <f>'Curvas SRY'!$E$10</f>
        <v>1.25</v>
      </c>
      <c r="D289" s="14" t="str">
        <f>'Curvas SRY'!$B$14</f>
        <v>Uso variable</v>
      </c>
      <c r="E289" s="14">
        <f>46</f>
        <v>46</v>
      </c>
      <c r="F289" s="21">
        <f>'Hoja 4 - Cálculo'!A70</f>
        <v>30956</v>
      </c>
      <c r="G289" s="15">
        <f>'Hoja 4 - Cálculo'!H70</f>
        <v>27.061875000000001</v>
      </c>
      <c r="H289" s="15">
        <f>IF(D289="Uso único",'Hoja 4 - Cálculo'!I70,IF(D289="Uso múltiple",AVERAGE('Hoja 4 - Cálculo'!$I$25:$I$384)+AVERAGE('Hoja 4 - Cálculo'!$J$25:$J$384)+AVERAGE('Hoja 4 - Cálculo'!$K$25:$K$384),IF(D289="Uso prioritario",'Hoja 4 - Cálculo'!I70+'Hoja 4 - Cálculo'!K70,'Hoja 4 - Cálculo'!I70+'Hoja 4 - Cálculo'!J70+'Hoja 4 - Cálculo'!K70)))</f>
        <v>11.5</v>
      </c>
      <c r="I289" s="15">
        <f t="shared" si="60"/>
        <v>14.375</v>
      </c>
      <c r="J289" s="15">
        <f t="shared" si="67"/>
        <v>1</v>
      </c>
      <c r="K289" s="15">
        <f>MIN(J289+G289,(J289+G289)*'Hoja 4 - Cálculo'!$B$15)</f>
        <v>0.56123750000000006</v>
      </c>
      <c r="L289" s="15">
        <f t="shared" si="61"/>
        <v>27.5006375</v>
      </c>
      <c r="M289" s="15">
        <f t="shared" si="62"/>
        <v>14.375</v>
      </c>
      <c r="N289" s="15">
        <f t="shared" si="63"/>
        <v>1</v>
      </c>
      <c r="O289" s="15">
        <f t="shared" si="64"/>
        <v>12.1256375</v>
      </c>
      <c r="P289" s="15">
        <f t="shared" si="65"/>
        <v>0</v>
      </c>
      <c r="Q289" s="14" t="str">
        <f>IF(M289&gt;=I289*'Hoja 4 - Cálculo'!$B$16,"Satisfactorio","Falla")</f>
        <v>Satisfactorio</v>
      </c>
      <c r="R289" s="14">
        <f t="shared" si="68"/>
        <v>0</v>
      </c>
      <c r="S289" s="14">
        <f t="shared" si="69"/>
        <v>0</v>
      </c>
    </row>
    <row r="290" spans="1:19">
      <c r="A290" s="14" t="str">
        <f t="shared" si="66"/>
        <v>SRY-1-3</v>
      </c>
      <c r="B290" s="15">
        <f>'Curvas SRY'!$B$8</f>
        <v>1</v>
      </c>
      <c r="C290" s="15">
        <f>'Curvas SRY'!$E$10</f>
        <v>1.25</v>
      </c>
      <c r="D290" s="14" t="str">
        <f>'Curvas SRY'!$B$14</f>
        <v>Uso variable</v>
      </c>
      <c r="E290" s="14">
        <f>47</f>
        <v>47</v>
      </c>
      <c r="F290" s="21">
        <f>'Hoja 4 - Cálculo'!A71</f>
        <v>30987</v>
      </c>
      <c r="G290" s="15">
        <f>'Hoja 4 - Cálculo'!H71</f>
        <v>24.346125000000001</v>
      </c>
      <c r="H290" s="15">
        <f>IF(D290="Uso único",'Hoja 4 - Cálculo'!I71,IF(D290="Uso múltiple",AVERAGE('Hoja 4 - Cálculo'!$I$25:$I$384)+AVERAGE('Hoja 4 - Cálculo'!$J$25:$J$384)+AVERAGE('Hoja 4 - Cálculo'!$K$25:$K$384),IF(D290="Uso prioritario",'Hoja 4 - Cálculo'!I71+'Hoja 4 - Cálculo'!K71,'Hoja 4 - Cálculo'!I71+'Hoja 4 - Cálculo'!J71+'Hoja 4 - Cálculo'!K71)))</f>
        <v>11.5</v>
      </c>
      <c r="I290" s="15">
        <f t="shared" si="60"/>
        <v>14.375</v>
      </c>
      <c r="J290" s="15">
        <f t="shared" si="67"/>
        <v>1</v>
      </c>
      <c r="K290" s="15">
        <f>MIN(J290+G290,(J290+G290)*'Hoja 4 - Cálculo'!$B$15)</f>
        <v>0.50692250000000005</v>
      </c>
      <c r="L290" s="15">
        <f t="shared" si="61"/>
        <v>24.839202499999999</v>
      </c>
      <c r="M290" s="15">
        <f t="shared" si="62"/>
        <v>14.375</v>
      </c>
      <c r="N290" s="15">
        <f t="shared" si="63"/>
        <v>1</v>
      </c>
      <c r="O290" s="15">
        <f t="shared" si="64"/>
        <v>9.464202499999999</v>
      </c>
      <c r="P290" s="15">
        <f t="shared" si="65"/>
        <v>0</v>
      </c>
      <c r="Q290" s="14" t="str">
        <f>IF(M290&gt;=I290*'Hoja 4 - Cálculo'!$B$16,"Satisfactorio","Falla")</f>
        <v>Satisfactorio</v>
      </c>
      <c r="R290" s="14">
        <f t="shared" si="68"/>
        <v>0</v>
      </c>
      <c r="S290" s="14">
        <f t="shared" si="69"/>
        <v>0</v>
      </c>
    </row>
    <row r="291" spans="1:19">
      <c r="A291" s="14" t="str">
        <f t="shared" si="66"/>
        <v>SRY-1-3</v>
      </c>
      <c r="B291" s="15">
        <f>'Curvas SRY'!$B$8</f>
        <v>1</v>
      </c>
      <c r="C291" s="15">
        <f>'Curvas SRY'!$E$10</f>
        <v>1.25</v>
      </c>
      <c r="D291" s="14" t="str">
        <f>'Curvas SRY'!$B$14</f>
        <v>Uso variable</v>
      </c>
      <c r="E291" s="14">
        <f>48</f>
        <v>48</v>
      </c>
      <c r="F291" s="21">
        <f>'Hoja 4 - Cálculo'!A72</f>
        <v>31017</v>
      </c>
      <c r="G291" s="15">
        <f>'Hoja 4 - Cálculo'!H72</f>
        <v>14.745374999999999</v>
      </c>
      <c r="H291" s="15">
        <f>IF(D291="Uso único",'Hoja 4 - Cálculo'!I72,IF(D291="Uso múltiple",AVERAGE('Hoja 4 - Cálculo'!$I$25:$I$384)+AVERAGE('Hoja 4 - Cálculo'!$J$25:$J$384)+AVERAGE('Hoja 4 - Cálculo'!$K$25:$K$384),IF(D291="Uso prioritario",'Hoja 4 - Cálculo'!I72+'Hoja 4 - Cálculo'!K72,'Hoja 4 - Cálculo'!I72+'Hoja 4 - Cálculo'!J72+'Hoja 4 - Cálculo'!K72)))</f>
        <v>16</v>
      </c>
      <c r="I291" s="15">
        <f t="shared" si="60"/>
        <v>20</v>
      </c>
      <c r="J291" s="15">
        <f t="shared" si="67"/>
        <v>1</v>
      </c>
      <c r="K291" s="15">
        <f>MIN(J291+G291,(J291+G291)*'Hoja 4 - Cálculo'!$B$15)</f>
        <v>0.31490750000000001</v>
      </c>
      <c r="L291" s="15">
        <f t="shared" si="61"/>
        <v>15.430467499999999</v>
      </c>
      <c r="M291" s="15">
        <f t="shared" si="62"/>
        <v>15.430467499999999</v>
      </c>
      <c r="N291" s="15">
        <f t="shared" si="63"/>
        <v>0</v>
      </c>
      <c r="O291" s="15">
        <f t="shared" si="64"/>
        <v>0</v>
      </c>
      <c r="P291" s="15">
        <f t="shared" si="65"/>
        <v>4.5695325000000011</v>
      </c>
      <c r="Q291" s="14" t="str">
        <f>IF(M291&gt;=I291*'Hoja 4 - Cálculo'!$B$16,"Satisfactorio","Falla")</f>
        <v>Falla</v>
      </c>
      <c r="R291" s="14">
        <f t="shared" si="68"/>
        <v>0</v>
      </c>
      <c r="S291" s="14">
        <f t="shared" si="69"/>
        <v>1</v>
      </c>
    </row>
    <row r="292" spans="1:19">
      <c r="A292" s="14" t="str">
        <f t="shared" si="66"/>
        <v>SRY-1-3</v>
      </c>
      <c r="B292" s="15">
        <f>'Curvas SRY'!$B$8</f>
        <v>1</v>
      </c>
      <c r="C292" s="15">
        <f>'Curvas SRY'!$E$10</f>
        <v>1.25</v>
      </c>
      <c r="D292" s="14" t="str">
        <f>'Curvas SRY'!$B$14</f>
        <v>Uso variable</v>
      </c>
      <c r="E292" s="14">
        <f>49</f>
        <v>49</v>
      </c>
      <c r="F292" s="21">
        <f>'Hoja 4 - Cálculo'!A73</f>
        <v>31048</v>
      </c>
      <c r="G292" s="15">
        <f>'Hoja 4 - Cálculo'!H73</f>
        <v>10.767374999999999</v>
      </c>
      <c r="H292" s="15">
        <f>IF(D292="Uso único",'Hoja 4 - Cálculo'!I73,IF(D292="Uso múltiple",AVERAGE('Hoja 4 - Cálculo'!$I$25:$I$384)+AVERAGE('Hoja 4 - Cálculo'!$J$25:$J$384)+AVERAGE('Hoja 4 - Cálculo'!$K$25:$K$384),IF(D292="Uso prioritario",'Hoja 4 - Cálculo'!I73+'Hoja 4 - Cálculo'!K73,'Hoja 4 - Cálculo'!I73+'Hoja 4 - Cálculo'!J73+'Hoja 4 - Cálculo'!K73)))</f>
        <v>16</v>
      </c>
      <c r="I292" s="15">
        <f t="shared" si="60"/>
        <v>20</v>
      </c>
      <c r="J292" s="15">
        <f t="shared" si="67"/>
        <v>0</v>
      </c>
      <c r="K292" s="15">
        <f>MIN(J292+G292,(J292+G292)*'Hoja 4 - Cálculo'!$B$15)</f>
        <v>0.2153475</v>
      </c>
      <c r="L292" s="15">
        <f t="shared" si="61"/>
        <v>10.552027499999999</v>
      </c>
      <c r="M292" s="15">
        <f t="shared" si="62"/>
        <v>10.552027499999999</v>
      </c>
      <c r="N292" s="15">
        <f t="shared" si="63"/>
        <v>0</v>
      </c>
      <c r="O292" s="15">
        <f t="shared" si="64"/>
        <v>0</v>
      </c>
      <c r="P292" s="15">
        <f t="shared" si="65"/>
        <v>9.4479725000000006</v>
      </c>
      <c r="Q292" s="14" t="str">
        <f>IF(M292&gt;=I292*'Hoja 4 - Cálculo'!$B$16,"Satisfactorio","Falla")</f>
        <v>Falla</v>
      </c>
      <c r="R292" s="14">
        <f t="shared" si="68"/>
        <v>0</v>
      </c>
      <c r="S292" s="14">
        <f t="shared" si="69"/>
        <v>0</v>
      </c>
    </row>
    <row r="293" spans="1:19">
      <c r="A293" s="14" t="str">
        <f t="shared" si="66"/>
        <v>SRY-1-3</v>
      </c>
      <c r="B293" s="15">
        <f>'Curvas SRY'!$B$8</f>
        <v>1</v>
      </c>
      <c r="C293" s="15">
        <f>'Curvas SRY'!$E$10</f>
        <v>1.25</v>
      </c>
      <c r="D293" s="14" t="str">
        <f>'Curvas SRY'!$B$14</f>
        <v>Uso variable</v>
      </c>
      <c r="E293" s="14">
        <f>50</f>
        <v>50</v>
      </c>
      <c r="F293" s="21">
        <f>'Hoja 4 - Cálculo'!A74</f>
        <v>31079</v>
      </c>
      <c r="G293" s="15">
        <f>'Hoja 4 - Cálculo'!H74</f>
        <v>13.464</v>
      </c>
      <c r="H293" s="15">
        <f>IF(D293="Uso único",'Hoja 4 - Cálculo'!I74,IF(D293="Uso múltiple",AVERAGE('Hoja 4 - Cálculo'!$I$25:$I$384)+AVERAGE('Hoja 4 - Cálculo'!$J$25:$J$384)+AVERAGE('Hoja 4 - Cálculo'!$K$25:$K$384),IF(D293="Uso prioritario",'Hoja 4 - Cálculo'!I74+'Hoja 4 - Cálculo'!K74,'Hoja 4 - Cálculo'!I74+'Hoja 4 - Cálculo'!J74+'Hoja 4 - Cálculo'!K74)))</f>
        <v>16</v>
      </c>
      <c r="I293" s="15">
        <f t="shared" si="60"/>
        <v>20</v>
      </c>
      <c r="J293" s="15">
        <f t="shared" si="67"/>
        <v>0</v>
      </c>
      <c r="K293" s="15">
        <f>MIN(J293+G293,(J293+G293)*'Hoja 4 - Cálculo'!$B$15)</f>
        <v>0.26928000000000002</v>
      </c>
      <c r="L293" s="15">
        <f t="shared" si="61"/>
        <v>13.19472</v>
      </c>
      <c r="M293" s="15">
        <f t="shared" si="62"/>
        <v>13.19472</v>
      </c>
      <c r="N293" s="15">
        <f t="shared" si="63"/>
        <v>0</v>
      </c>
      <c r="O293" s="15">
        <f t="shared" si="64"/>
        <v>0</v>
      </c>
      <c r="P293" s="15">
        <f t="shared" si="65"/>
        <v>6.8052799999999998</v>
      </c>
      <c r="Q293" s="14" t="str">
        <f>IF(M293&gt;=I293*'Hoja 4 - Cálculo'!$B$16,"Satisfactorio","Falla")</f>
        <v>Falla</v>
      </c>
      <c r="R293" s="14">
        <f t="shared" si="68"/>
        <v>0</v>
      </c>
      <c r="S293" s="14">
        <f t="shared" si="69"/>
        <v>0</v>
      </c>
    </row>
    <row r="294" spans="1:19">
      <c r="A294" s="14" t="str">
        <f t="shared" si="66"/>
        <v>SRY-1-3</v>
      </c>
      <c r="B294" s="15">
        <f>'Curvas SRY'!$B$8</f>
        <v>1</v>
      </c>
      <c r="C294" s="15">
        <f>'Curvas SRY'!$E$10</f>
        <v>1.25</v>
      </c>
      <c r="D294" s="14" t="str">
        <f>'Curvas SRY'!$B$14</f>
        <v>Uso variable</v>
      </c>
      <c r="E294" s="14">
        <f>51</f>
        <v>51</v>
      </c>
      <c r="F294" s="21">
        <f>'Hoja 4 - Cálculo'!A75</f>
        <v>31107</v>
      </c>
      <c r="G294" s="15">
        <f>'Hoja 4 - Cálculo'!H75</f>
        <v>19.450125</v>
      </c>
      <c r="H294" s="15">
        <f>IF(D294="Uso único",'Hoja 4 - Cálculo'!I75,IF(D294="Uso múltiple",AVERAGE('Hoja 4 - Cálculo'!$I$25:$I$384)+AVERAGE('Hoja 4 - Cálculo'!$J$25:$J$384)+AVERAGE('Hoja 4 - Cálculo'!$K$25:$K$384),IF(D294="Uso prioritario",'Hoja 4 - Cálculo'!I75+'Hoja 4 - Cálculo'!K75,'Hoja 4 - Cálculo'!I75+'Hoja 4 - Cálculo'!J75+'Hoja 4 - Cálculo'!K75)))</f>
        <v>16</v>
      </c>
      <c r="I294" s="15">
        <f t="shared" si="60"/>
        <v>20</v>
      </c>
      <c r="J294" s="15">
        <f t="shared" si="67"/>
        <v>0</v>
      </c>
      <c r="K294" s="15">
        <f>MIN(J294+G294,(J294+G294)*'Hoja 4 - Cálculo'!$B$15)</f>
        <v>0.38900250000000003</v>
      </c>
      <c r="L294" s="15">
        <f t="shared" si="61"/>
        <v>19.0611225</v>
      </c>
      <c r="M294" s="15">
        <f t="shared" si="62"/>
        <v>19.0611225</v>
      </c>
      <c r="N294" s="15">
        <f t="shared" si="63"/>
        <v>0</v>
      </c>
      <c r="O294" s="15">
        <f t="shared" si="64"/>
        <v>0</v>
      </c>
      <c r="P294" s="15">
        <f t="shared" si="65"/>
        <v>0.93887750000000025</v>
      </c>
      <c r="Q294" s="14" t="str">
        <f>IF(M294&gt;=I294*'Hoja 4 - Cálculo'!$B$16,"Satisfactorio","Falla")</f>
        <v>Falla</v>
      </c>
      <c r="R294" s="14">
        <f t="shared" si="68"/>
        <v>0</v>
      </c>
      <c r="S294" s="14">
        <f t="shared" si="69"/>
        <v>0</v>
      </c>
    </row>
    <row r="295" spans="1:19">
      <c r="A295" s="14" t="str">
        <f t="shared" si="66"/>
        <v>SRY-1-3</v>
      </c>
      <c r="B295" s="15">
        <f>'Curvas SRY'!$B$8</f>
        <v>1</v>
      </c>
      <c r="C295" s="15">
        <f>'Curvas SRY'!$E$10</f>
        <v>1.25</v>
      </c>
      <c r="D295" s="14" t="str">
        <f>'Curvas SRY'!$B$14</f>
        <v>Uso variable</v>
      </c>
      <c r="E295" s="14">
        <f>52</f>
        <v>52</v>
      </c>
      <c r="F295" s="21">
        <f>'Hoja 4 - Cálculo'!A76</f>
        <v>31138</v>
      </c>
      <c r="G295" s="15">
        <f>'Hoja 4 - Cálculo'!H76</f>
        <v>25.51275</v>
      </c>
      <c r="H295" s="15">
        <f>IF(D295="Uso único",'Hoja 4 - Cálculo'!I76,IF(D295="Uso múltiple",AVERAGE('Hoja 4 - Cálculo'!$I$25:$I$384)+AVERAGE('Hoja 4 - Cálculo'!$J$25:$J$384)+AVERAGE('Hoja 4 - Cálculo'!$K$25:$K$384),IF(D295="Uso prioritario",'Hoja 4 - Cálculo'!I76+'Hoja 4 - Cálculo'!K76,'Hoja 4 - Cálculo'!I76+'Hoja 4 - Cálculo'!J76+'Hoja 4 - Cálculo'!K76)))</f>
        <v>11.5</v>
      </c>
      <c r="I295" s="15">
        <f t="shared" si="60"/>
        <v>14.375</v>
      </c>
      <c r="J295" s="15">
        <f t="shared" si="67"/>
        <v>0</v>
      </c>
      <c r="K295" s="15">
        <f>MIN(J295+G295,(J295+G295)*'Hoja 4 - Cálculo'!$B$15)</f>
        <v>0.51025500000000001</v>
      </c>
      <c r="L295" s="15">
        <f t="shared" si="61"/>
        <v>25.002495</v>
      </c>
      <c r="M295" s="15">
        <f t="shared" si="62"/>
        <v>14.375</v>
      </c>
      <c r="N295" s="15">
        <f t="shared" si="63"/>
        <v>1</v>
      </c>
      <c r="O295" s="15">
        <f t="shared" si="64"/>
        <v>9.6274949999999997</v>
      </c>
      <c r="P295" s="15">
        <f t="shared" si="65"/>
        <v>0</v>
      </c>
      <c r="Q295" s="14" t="str">
        <f>IF(M295&gt;=I295*'Hoja 4 - Cálculo'!$B$16,"Satisfactorio","Falla")</f>
        <v>Satisfactorio</v>
      </c>
      <c r="R295" s="14">
        <f t="shared" si="68"/>
        <v>1</v>
      </c>
      <c r="S295" s="14">
        <f t="shared" si="69"/>
        <v>0</v>
      </c>
    </row>
    <row r="296" spans="1:19">
      <c r="A296" s="14" t="str">
        <f t="shared" si="66"/>
        <v>SRY-1-3</v>
      </c>
      <c r="B296" s="15">
        <f>'Curvas SRY'!$B$8</f>
        <v>1</v>
      </c>
      <c r="C296" s="15">
        <f>'Curvas SRY'!$E$10</f>
        <v>1.25</v>
      </c>
      <c r="D296" s="14" t="str">
        <f>'Curvas SRY'!$B$14</f>
        <v>Uso variable</v>
      </c>
      <c r="E296" s="14">
        <f>53</f>
        <v>53</v>
      </c>
      <c r="F296" s="21">
        <f>'Hoja 4 - Cálculo'!A77</f>
        <v>31168</v>
      </c>
      <c r="G296" s="15">
        <f>'Hoja 4 - Cálculo'!H77</f>
        <v>24.36525</v>
      </c>
      <c r="H296" s="15">
        <f>IF(D296="Uso único",'Hoja 4 - Cálculo'!I77,IF(D296="Uso múltiple",AVERAGE('Hoja 4 - Cálculo'!$I$25:$I$384)+AVERAGE('Hoja 4 - Cálculo'!$J$25:$J$384)+AVERAGE('Hoja 4 - Cálculo'!$K$25:$K$384),IF(D296="Uso prioritario",'Hoja 4 - Cálculo'!I77+'Hoja 4 - Cálculo'!K77,'Hoja 4 - Cálculo'!I77+'Hoja 4 - Cálculo'!J77+'Hoja 4 - Cálculo'!K77)))</f>
        <v>11.5</v>
      </c>
      <c r="I296" s="15">
        <f t="shared" si="60"/>
        <v>14.375</v>
      </c>
      <c r="J296" s="15">
        <f t="shared" si="67"/>
        <v>1</v>
      </c>
      <c r="K296" s="15">
        <f>MIN(J296+G296,(J296+G296)*'Hoja 4 - Cálculo'!$B$15)</f>
        <v>0.50730500000000001</v>
      </c>
      <c r="L296" s="15">
        <f t="shared" si="61"/>
        <v>24.857945000000001</v>
      </c>
      <c r="M296" s="15">
        <f t="shared" si="62"/>
        <v>14.375</v>
      </c>
      <c r="N296" s="15">
        <f t="shared" si="63"/>
        <v>1</v>
      </c>
      <c r="O296" s="15">
        <f t="shared" si="64"/>
        <v>9.4829450000000008</v>
      </c>
      <c r="P296" s="15">
        <f t="shared" si="65"/>
        <v>0</v>
      </c>
      <c r="Q296" s="14" t="str">
        <f>IF(M296&gt;=I296*'Hoja 4 - Cálculo'!$B$16,"Satisfactorio","Falla")</f>
        <v>Satisfactorio</v>
      </c>
      <c r="R296" s="14">
        <f t="shared" si="68"/>
        <v>0</v>
      </c>
      <c r="S296" s="14">
        <f t="shared" si="69"/>
        <v>0</v>
      </c>
    </row>
    <row r="297" spans="1:19">
      <c r="A297" s="14" t="str">
        <f t="shared" si="66"/>
        <v>SRY-1-3</v>
      </c>
      <c r="B297" s="15">
        <f>'Curvas SRY'!$B$8</f>
        <v>1</v>
      </c>
      <c r="C297" s="15">
        <f>'Curvas SRY'!$E$10</f>
        <v>1.25</v>
      </c>
      <c r="D297" s="14" t="str">
        <f>'Curvas SRY'!$B$14</f>
        <v>Uso variable</v>
      </c>
      <c r="E297" s="14">
        <f>54</f>
        <v>54</v>
      </c>
      <c r="F297" s="21">
        <f>'Hoja 4 - Cálculo'!A78</f>
        <v>31199</v>
      </c>
      <c r="G297" s="15">
        <f>'Hoja 4 - Cálculo'!H78</f>
        <v>15.395625000000001</v>
      </c>
      <c r="H297" s="15">
        <f>IF(D297="Uso único",'Hoja 4 - Cálculo'!I78,IF(D297="Uso múltiple",AVERAGE('Hoja 4 - Cálculo'!$I$25:$I$384)+AVERAGE('Hoja 4 - Cálculo'!$J$25:$J$384)+AVERAGE('Hoja 4 - Cálculo'!$K$25:$K$384),IF(D297="Uso prioritario",'Hoja 4 - Cálculo'!I78+'Hoja 4 - Cálculo'!K78,'Hoja 4 - Cálculo'!I78+'Hoja 4 - Cálculo'!J78+'Hoja 4 - Cálculo'!K78)))</f>
        <v>11.5</v>
      </c>
      <c r="I297" s="15">
        <f t="shared" si="60"/>
        <v>14.375</v>
      </c>
      <c r="J297" s="15">
        <f t="shared" si="67"/>
        <v>1</v>
      </c>
      <c r="K297" s="15">
        <f>MIN(J297+G297,(J297+G297)*'Hoja 4 - Cálculo'!$B$15)</f>
        <v>0.32791250000000005</v>
      </c>
      <c r="L297" s="15">
        <f t="shared" si="61"/>
        <v>16.067712500000003</v>
      </c>
      <c r="M297" s="15">
        <f t="shared" si="62"/>
        <v>14.375</v>
      </c>
      <c r="N297" s="15">
        <f t="shared" si="63"/>
        <v>1</v>
      </c>
      <c r="O297" s="15">
        <f t="shared" si="64"/>
        <v>0.69271250000000251</v>
      </c>
      <c r="P297" s="15">
        <f t="shared" si="65"/>
        <v>0</v>
      </c>
      <c r="Q297" s="14" t="str">
        <f>IF(M297&gt;=I297*'Hoja 4 - Cálculo'!$B$16,"Satisfactorio","Falla")</f>
        <v>Satisfactorio</v>
      </c>
      <c r="R297" s="14">
        <f t="shared" si="68"/>
        <v>0</v>
      </c>
      <c r="S297" s="14">
        <f t="shared" si="69"/>
        <v>0</v>
      </c>
    </row>
    <row r="298" spans="1:19">
      <c r="A298" s="14" t="str">
        <f t="shared" si="66"/>
        <v>SRY-1-3</v>
      </c>
      <c r="B298" s="15">
        <f>'Curvas SRY'!$B$8</f>
        <v>1</v>
      </c>
      <c r="C298" s="15">
        <f>'Curvas SRY'!$E$10</f>
        <v>1.25</v>
      </c>
      <c r="D298" s="14" t="str">
        <f>'Curvas SRY'!$B$14</f>
        <v>Uso variable</v>
      </c>
      <c r="E298" s="14">
        <f>55</f>
        <v>55</v>
      </c>
      <c r="F298" s="21">
        <f>'Hoja 4 - Cálculo'!A79</f>
        <v>31229</v>
      </c>
      <c r="G298" s="15">
        <f>'Hoja 4 - Cálculo'!H79</f>
        <v>11.742749999999999</v>
      </c>
      <c r="H298" s="15">
        <f>IF(D298="Uso único",'Hoja 4 - Cálculo'!I79,IF(D298="Uso múltiple",AVERAGE('Hoja 4 - Cálculo'!$I$25:$I$384)+AVERAGE('Hoja 4 - Cálculo'!$J$25:$J$384)+AVERAGE('Hoja 4 - Cálculo'!$K$25:$K$384),IF(D298="Uso prioritario",'Hoja 4 - Cálculo'!I79+'Hoja 4 - Cálculo'!K79,'Hoja 4 - Cálculo'!I79+'Hoja 4 - Cálculo'!J79+'Hoja 4 - Cálculo'!K79)))</f>
        <v>16</v>
      </c>
      <c r="I298" s="15">
        <f t="shared" si="60"/>
        <v>20</v>
      </c>
      <c r="J298" s="15">
        <f t="shared" si="67"/>
        <v>1</v>
      </c>
      <c r="K298" s="15">
        <f>MIN(J298+G298,(J298+G298)*'Hoja 4 - Cálculo'!$B$15)</f>
        <v>0.254855</v>
      </c>
      <c r="L298" s="15">
        <f t="shared" si="61"/>
        <v>12.487895</v>
      </c>
      <c r="M298" s="15">
        <f t="shared" si="62"/>
        <v>12.487895</v>
      </c>
      <c r="N298" s="15">
        <f t="shared" si="63"/>
        <v>0</v>
      </c>
      <c r="O298" s="15">
        <f t="shared" si="64"/>
        <v>0</v>
      </c>
      <c r="P298" s="15">
        <f t="shared" si="65"/>
        <v>7.512105</v>
      </c>
      <c r="Q298" s="14" t="str">
        <f>IF(M298&gt;=I298*'Hoja 4 - Cálculo'!$B$16,"Satisfactorio","Falla")</f>
        <v>Falla</v>
      </c>
      <c r="R298" s="14">
        <f t="shared" si="68"/>
        <v>0</v>
      </c>
      <c r="S298" s="14">
        <f t="shared" si="69"/>
        <v>1</v>
      </c>
    </row>
    <row r="299" spans="1:19">
      <c r="A299" s="14" t="str">
        <f t="shared" si="66"/>
        <v>SRY-1-3</v>
      </c>
      <c r="B299" s="15">
        <f>'Curvas SRY'!$B$8</f>
        <v>1</v>
      </c>
      <c r="C299" s="15">
        <f>'Curvas SRY'!$E$10</f>
        <v>1.25</v>
      </c>
      <c r="D299" s="14" t="str">
        <f>'Curvas SRY'!$B$14</f>
        <v>Uso variable</v>
      </c>
      <c r="E299" s="14">
        <f>56</f>
        <v>56</v>
      </c>
      <c r="F299" s="21">
        <f>'Hoja 4 - Cálculo'!A80</f>
        <v>31260</v>
      </c>
      <c r="G299" s="15">
        <f>'Hoja 4 - Cálculo'!H80</f>
        <v>12.603375</v>
      </c>
      <c r="H299" s="15">
        <f>IF(D299="Uso único",'Hoja 4 - Cálculo'!I80,IF(D299="Uso múltiple",AVERAGE('Hoja 4 - Cálculo'!$I$25:$I$384)+AVERAGE('Hoja 4 - Cálculo'!$J$25:$J$384)+AVERAGE('Hoja 4 - Cálculo'!$K$25:$K$384),IF(D299="Uso prioritario",'Hoja 4 - Cálculo'!I80+'Hoja 4 - Cálculo'!K80,'Hoja 4 - Cálculo'!I80+'Hoja 4 - Cálculo'!J80+'Hoja 4 - Cálculo'!K80)))</f>
        <v>16</v>
      </c>
      <c r="I299" s="15">
        <f t="shared" si="60"/>
        <v>20</v>
      </c>
      <c r="J299" s="15">
        <f t="shared" si="67"/>
        <v>0</v>
      </c>
      <c r="K299" s="15">
        <f>MIN(J299+G299,(J299+G299)*'Hoja 4 - Cálculo'!$B$15)</f>
        <v>0.2520675</v>
      </c>
      <c r="L299" s="15">
        <f t="shared" si="61"/>
        <v>12.351307499999999</v>
      </c>
      <c r="M299" s="15">
        <f t="shared" si="62"/>
        <v>12.351307499999999</v>
      </c>
      <c r="N299" s="15">
        <f t="shared" si="63"/>
        <v>0</v>
      </c>
      <c r="O299" s="15">
        <f t="shared" si="64"/>
        <v>0</v>
      </c>
      <c r="P299" s="15">
        <f t="shared" si="65"/>
        <v>7.648692500000001</v>
      </c>
      <c r="Q299" s="14" t="str">
        <f>IF(M299&gt;=I299*'Hoja 4 - Cálculo'!$B$16,"Satisfactorio","Falla")</f>
        <v>Falla</v>
      </c>
      <c r="R299" s="14">
        <f t="shared" si="68"/>
        <v>0</v>
      </c>
      <c r="S299" s="14">
        <f t="shared" si="69"/>
        <v>0</v>
      </c>
    </row>
    <row r="300" spans="1:19">
      <c r="A300" s="14" t="str">
        <f t="shared" si="66"/>
        <v>SRY-1-3</v>
      </c>
      <c r="B300" s="15">
        <f>'Curvas SRY'!$B$8</f>
        <v>1</v>
      </c>
      <c r="C300" s="15">
        <f>'Curvas SRY'!$E$10</f>
        <v>1.25</v>
      </c>
      <c r="D300" s="14" t="str">
        <f>'Curvas SRY'!$B$14</f>
        <v>Uso variable</v>
      </c>
      <c r="E300" s="14">
        <f>57</f>
        <v>57</v>
      </c>
      <c r="F300" s="21">
        <f>'Hoja 4 - Cálculo'!A81</f>
        <v>31291</v>
      </c>
      <c r="G300" s="15">
        <f>'Hoja 4 - Cálculo'!H81</f>
        <v>21.745125000000002</v>
      </c>
      <c r="H300" s="15">
        <f>IF(D300="Uso único",'Hoja 4 - Cálculo'!I81,IF(D300="Uso múltiple",AVERAGE('Hoja 4 - Cálculo'!$I$25:$I$384)+AVERAGE('Hoja 4 - Cálculo'!$J$25:$J$384)+AVERAGE('Hoja 4 - Cálculo'!$K$25:$K$384),IF(D300="Uso prioritario",'Hoja 4 - Cálculo'!I81+'Hoja 4 - Cálculo'!K81,'Hoja 4 - Cálculo'!I81+'Hoja 4 - Cálculo'!J81+'Hoja 4 - Cálculo'!K81)))</f>
        <v>11.5</v>
      </c>
      <c r="I300" s="15">
        <f t="shared" si="60"/>
        <v>14.375</v>
      </c>
      <c r="J300" s="15">
        <f t="shared" si="67"/>
        <v>0</v>
      </c>
      <c r="K300" s="15">
        <f>MIN(J300+G300,(J300+G300)*'Hoja 4 - Cálculo'!$B$15)</f>
        <v>0.43490250000000003</v>
      </c>
      <c r="L300" s="15">
        <f t="shared" si="61"/>
        <v>21.310222500000002</v>
      </c>
      <c r="M300" s="15">
        <f t="shared" si="62"/>
        <v>14.375</v>
      </c>
      <c r="N300" s="15">
        <f t="shared" si="63"/>
        <v>1</v>
      </c>
      <c r="O300" s="15">
        <f t="shared" si="64"/>
        <v>5.9352225000000018</v>
      </c>
      <c r="P300" s="15">
        <f t="shared" si="65"/>
        <v>0</v>
      </c>
      <c r="Q300" s="14" t="str">
        <f>IF(M300&gt;=I300*'Hoja 4 - Cálculo'!$B$16,"Satisfactorio","Falla")</f>
        <v>Satisfactorio</v>
      </c>
      <c r="R300" s="14">
        <f t="shared" si="68"/>
        <v>1</v>
      </c>
      <c r="S300" s="14">
        <f t="shared" si="69"/>
        <v>0</v>
      </c>
    </row>
    <row r="301" spans="1:19">
      <c r="A301" s="14" t="str">
        <f t="shared" si="66"/>
        <v>SRY-1-3</v>
      </c>
      <c r="B301" s="15">
        <f>'Curvas SRY'!$B$8</f>
        <v>1</v>
      </c>
      <c r="C301" s="15">
        <f>'Curvas SRY'!$E$10</f>
        <v>1.25</v>
      </c>
      <c r="D301" s="14" t="str">
        <f>'Curvas SRY'!$B$14</f>
        <v>Uso variable</v>
      </c>
      <c r="E301" s="14">
        <f>58</f>
        <v>58</v>
      </c>
      <c r="F301" s="21">
        <f>'Hoja 4 - Cálculo'!A82</f>
        <v>31321</v>
      </c>
      <c r="G301" s="15">
        <f>'Hoja 4 - Cálculo'!H82</f>
        <v>27.788625</v>
      </c>
      <c r="H301" s="15">
        <f>IF(D301="Uso único",'Hoja 4 - Cálculo'!I82,IF(D301="Uso múltiple",AVERAGE('Hoja 4 - Cálculo'!$I$25:$I$384)+AVERAGE('Hoja 4 - Cálculo'!$J$25:$J$384)+AVERAGE('Hoja 4 - Cálculo'!$K$25:$K$384),IF(D301="Uso prioritario",'Hoja 4 - Cálculo'!I82+'Hoja 4 - Cálculo'!K82,'Hoja 4 - Cálculo'!I82+'Hoja 4 - Cálculo'!J82+'Hoja 4 - Cálculo'!K82)))</f>
        <v>11.5</v>
      </c>
      <c r="I301" s="15">
        <f t="shared" si="60"/>
        <v>14.375</v>
      </c>
      <c r="J301" s="15">
        <f t="shared" si="67"/>
        <v>1</v>
      </c>
      <c r="K301" s="15">
        <f>MIN(J301+G301,(J301+G301)*'Hoja 4 - Cálculo'!$B$15)</f>
        <v>0.57577250000000002</v>
      </c>
      <c r="L301" s="15">
        <f t="shared" si="61"/>
        <v>28.2128525</v>
      </c>
      <c r="M301" s="15">
        <f t="shared" si="62"/>
        <v>14.375</v>
      </c>
      <c r="N301" s="15">
        <f t="shared" si="63"/>
        <v>1</v>
      </c>
      <c r="O301" s="15">
        <f t="shared" si="64"/>
        <v>12.8378525</v>
      </c>
      <c r="P301" s="15">
        <f t="shared" si="65"/>
        <v>0</v>
      </c>
      <c r="Q301" s="14" t="str">
        <f>IF(M301&gt;=I301*'Hoja 4 - Cálculo'!$B$16,"Satisfactorio","Falla")</f>
        <v>Satisfactorio</v>
      </c>
      <c r="R301" s="14">
        <f t="shared" si="68"/>
        <v>0</v>
      </c>
      <c r="S301" s="14">
        <f t="shared" si="69"/>
        <v>0</v>
      </c>
    </row>
    <row r="302" spans="1:19">
      <c r="A302" s="14" t="str">
        <f t="shared" si="66"/>
        <v>SRY-1-3</v>
      </c>
      <c r="B302" s="15">
        <f>'Curvas SRY'!$B$8</f>
        <v>1</v>
      </c>
      <c r="C302" s="15">
        <f>'Curvas SRY'!$E$10</f>
        <v>1.25</v>
      </c>
      <c r="D302" s="14" t="str">
        <f>'Curvas SRY'!$B$14</f>
        <v>Uso variable</v>
      </c>
      <c r="E302" s="14">
        <f>59</f>
        <v>59</v>
      </c>
      <c r="F302" s="21">
        <f>'Hoja 4 - Cálculo'!A83</f>
        <v>31352</v>
      </c>
      <c r="G302" s="15">
        <f>'Hoja 4 - Cálculo'!H83</f>
        <v>22.22325</v>
      </c>
      <c r="H302" s="15">
        <f>IF(D302="Uso único",'Hoja 4 - Cálculo'!I83,IF(D302="Uso múltiple",AVERAGE('Hoja 4 - Cálculo'!$I$25:$I$384)+AVERAGE('Hoja 4 - Cálculo'!$J$25:$J$384)+AVERAGE('Hoja 4 - Cálculo'!$K$25:$K$384),IF(D302="Uso prioritario",'Hoja 4 - Cálculo'!I83+'Hoja 4 - Cálculo'!K83,'Hoja 4 - Cálculo'!I83+'Hoja 4 - Cálculo'!J83+'Hoja 4 - Cálculo'!K83)))</f>
        <v>11.5</v>
      </c>
      <c r="I302" s="15">
        <f t="shared" si="60"/>
        <v>14.375</v>
      </c>
      <c r="J302" s="15">
        <f t="shared" si="67"/>
        <v>1</v>
      </c>
      <c r="K302" s="15">
        <f>MIN(J302+G302,(J302+G302)*'Hoja 4 - Cálculo'!$B$15)</f>
        <v>0.46446500000000002</v>
      </c>
      <c r="L302" s="15">
        <f t="shared" si="61"/>
        <v>22.758785</v>
      </c>
      <c r="M302" s="15">
        <f t="shared" si="62"/>
        <v>14.375</v>
      </c>
      <c r="N302" s="15">
        <f t="shared" si="63"/>
        <v>1</v>
      </c>
      <c r="O302" s="15">
        <f t="shared" si="64"/>
        <v>7.3837849999999996</v>
      </c>
      <c r="P302" s="15">
        <f t="shared" si="65"/>
        <v>0</v>
      </c>
      <c r="Q302" s="14" t="str">
        <f>IF(M302&gt;=I302*'Hoja 4 - Cálculo'!$B$16,"Satisfactorio","Falla")</f>
        <v>Satisfactorio</v>
      </c>
      <c r="R302" s="14">
        <f t="shared" si="68"/>
        <v>0</v>
      </c>
      <c r="S302" s="14">
        <f t="shared" si="69"/>
        <v>0</v>
      </c>
    </row>
    <row r="303" spans="1:19">
      <c r="A303" s="14" t="str">
        <f t="shared" si="66"/>
        <v>SRY-1-3</v>
      </c>
      <c r="B303" s="15">
        <f>'Curvas SRY'!$B$8</f>
        <v>1</v>
      </c>
      <c r="C303" s="15">
        <f>'Curvas SRY'!$E$10</f>
        <v>1.25</v>
      </c>
      <c r="D303" s="14" t="str">
        <f>'Curvas SRY'!$B$14</f>
        <v>Uso variable</v>
      </c>
      <c r="E303" s="14">
        <f>60</f>
        <v>60</v>
      </c>
      <c r="F303" s="21">
        <f>'Hoja 4 - Cálculo'!A84</f>
        <v>31382</v>
      </c>
      <c r="G303" s="15">
        <f>'Hoja 4 - Cálculo'!H84</f>
        <v>14.171625000000001</v>
      </c>
      <c r="H303" s="15">
        <f>IF(D303="Uso único",'Hoja 4 - Cálculo'!I84,IF(D303="Uso múltiple",AVERAGE('Hoja 4 - Cálculo'!$I$25:$I$384)+AVERAGE('Hoja 4 - Cálculo'!$J$25:$J$384)+AVERAGE('Hoja 4 - Cálculo'!$K$25:$K$384),IF(D303="Uso prioritario",'Hoja 4 - Cálculo'!I84+'Hoja 4 - Cálculo'!K84,'Hoja 4 - Cálculo'!I84+'Hoja 4 - Cálculo'!J84+'Hoja 4 - Cálculo'!K84)))</f>
        <v>16</v>
      </c>
      <c r="I303" s="15">
        <f t="shared" si="60"/>
        <v>20</v>
      </c>
      <c r="J303" s="15">
        <f t="shared" si="67"/>
        <v>1</v>
      </c>
      <c r="K303" s="15">
        <f>MIN(J303+G303,(J303+G303)*'Hoja 4 - Cálculo'!$B$15)</f>
        <v>0.30343249999999999</v>
      </c>
      <c r="L303" s="15">
        <f t="shared" si="61"/>
        <v>14.868192500000001</v>
      </c>
      <c r="M303" s="15">
        <f t="shared" si="62"/>
        <v>14.868192500000001</v>
      </c>
      <c r="N303" s="15">
        <f t="shared" si="63"/>
        <v>0</v>
      </c>
      <c r="O303" s="15">
        <f t="shared" si="64"/>
        <v>0</v>
      </c>
      <c r="P303" s="15">
        <f t="shared" si="65"/>
        <v>5.131807499999999</v>
      </c>
      <c r="Q303" s="14" t="str">
        <f>IF(M303&gt;=I303*'Hoja 4 - Cálculo'!$B$16,"Satisfactorio","Falla")</f>
        <v>Falla</v>
      </c>
      <c r="R303" s="14">
        <f t="shared" si="68"/>
        <v>0</v>
      </c>
      <c r="S303" s="14">
        <f t="shared" si="69"/>
        <v>1</v>
      </c>
    </row>
    <row r="304" spans="1:19">
      <c r="A304" s="14" t="str">
        <f t="shared" si="66"/>
        <v>SRY-1-3</v>
      </c>
      <c r="B304" s="15">
        <f>'Curvas SRY'!$B$8</f>
        <v>1</v>
      </c>
      <c r="C304" s="15">
        <f>'Curvas SRY'!$E$10</f>
        <v>1.25</v>
      </c>
      <c r="D304" s="14" t="str">
        <f>'Curvas SRY'!$B$14</f>
        <v>Uso variable</v>
      </c>
      <c r="E304" s="14">
        <f>61</f>
        <v>61</v>
      </c>
      <c r="F304" s="21">
        <f>'Hoja 4 - Cálculo'!A85</f>
        <v>31413</v>
      </c>
      <c r="G304" s="15">
        <f>'Hoja 4 - Cálculo'!H85</f>
        <v>12.641624999999999</v>
      </c>
      <c r="H304" s="15">
        <f>IF(D304="Uso único",'Hoja 4 - Cálculo'!I85,IF(D304="Uso múltiple",AVERAGE('Hoja 4 - Cálculo'!$I$25:$I$384)+AVERAGE('Hoja 4 - Cálculo'!$J$25:$J$384)+AVERAGE('Hoja 4 - Cálculo'!$K$25:$K$384),IF(D304="Uso prioritario",'Hoja 4 - Cálculo'!I85+'Hoja 4 - Cálculo'!K85,'Hoja 4 - Cálculo'!I85+'Hoja 4 - Cálculo'!J85+'Hoja 4 - Cálculo'!K85)))</f>
        <v>16</v>
      </c>
      <c r="I304" s="15">
        <f t="shared" si="60"/>
        <v>20</v>
      </c>
      <c r="J304" s="15">
        <f t="shared" si="67"/>
        <v>0</v>
      </c>
      <c r="K304" s="15">
        <f>MIN(J304+G304,(J304+G304)*'Hoja 4 - Cálculo'!$B$15)</f>
        <v>0.25283250000000002</v>
      </c>
      <c r="L304" s="15">
        <f t="shared" si="61"/>
        <v>12.388792499999999</v>
      </c>
      <c r="M304" s="15">
        <f t="shared" si="62"/>
        <v>12.388792499999999</v>
      </c>
      <c r="N304" s="15">
        <f t="shared" si="63"/>
        <v>0</v>
      </c>
      <c r="O304" s="15">
        <f t="shared" si="64"/>
        <v>0</v>
      </c>
      <c r="P304" s="15">
        <f t="shared" si="65"/>
        <v>7.6112075000000008</v>
      </c>
      <c r="Q304" s="14" t="str">
        <f>IF(M304&gt;=I304*'Hoja 4 - Cálculo'!$B$16,"Satisfactorio","Falla")</f>
        <v>Falla</v>
      </c>
      <c r="R304" s="14">
        <f t="shared" si="68"/>
        <v>0</v>
      </c>
      <c r="S304" s="14">
        <f t="shared" si="69"/>
        <v>0</v>
      </c>
    </row>
    <row r="305" spans="1:19">
      <c r="A305" s="14" t="str">
        <f t="shared" si="66"/>
        <v>SRY-1-3</v>
      </c>
      <c r="B305" s="15">
        <f>'Curvas SRY'!$B$8</f>
        <v>1</v>
      </c>
      <c r="C305" s="15">
        <f>'Curvas SRY'!$E$10</f>
        <v>1.25</v>
      </c>
      <c r="D305" s="14" t="str">
        <f>'Curvas SRY'!$B$14</f>
        <v>Uso variable</v>
      </c>
      <c r="E305" s="14">
        <f>62</f>
        <v>62</v>
      </c>
      <c r="F305" s="21">
        <f>'Hoja 4 - Cálculo'!A86</f>
        <v>31444</v>
      </c>
      <c r="G305" s="15">
        <f>'Hoja 4 - Cálculo'!H86</f>
        <v>15.357374999999999</v>
      </c>
      <c r="H305" s="15">
        <f>IF(D305="Uso único",'Hoja 4 - Cálculo'!I86,IF(D305="Uso múltiple",AVERAGE('Hoja 4 - Cálculo'!$I$25:$I$384)+AVERAGE('Hoja 4 - Cálculo'!$J$25:$J$384)+AVERAGE('Hoja 4 - Cálculo'!$K$25:$K$384),IF(D305="Uso prioritario",'Hoja 4 - Cálculo'!I86+'Hoja 4 - Cálculo'!K86,'Hoja 4 - Cálculo'!I86+'Hoja 4 - Cálculo'!J86+'Hoja 4 - Cálculo'!K86)))</f>
        <v>16</v>
      </c>
      <c r="I305" s="15">
        <f t="shared" si="60"/>
        <v>20</v>
      </c>
      <c r="J305" s="15">
        <f t="shared" si="67"/>
        <v>0</v>
      </c>
      <c r="K305" s="15">
        <f>MIN(J305+G305,(J305+G305)*'Hoja 4 - Cálculo'!$B$15)</f>
        <v>0.30714750000000002</v>
      </c>
      <c r="L305" s="15">
        <f t="shared" si="61"/>
        <v>15.0502275</v>
      </c>
      <c r="M305" s="15">
        <f t="shared" si="62"/>
        <v>15.0502275</v>
      </c>
      <c r="N305" s="15">
        <f t="shared" si="63"/>
        <v>0</v>
      </c>
      <c r="O305" s="15">
        <f t="shared" si="64"/>
        <v>0</v>
      </c>
      <c r="P305" s="15">
        <f t="shared" si="65"/>
        <v>4.9497724999999999</v>
      </c>
      <c r="Q305" s="14" t="str">
        <f>IF(M305&gt;=I305*'Hoja 4 - Cálculo'!$B$16,"Satisfactorio","Falla")</f>
        <v>Falla</v>
      </c>
      <c r="R305" s="14">
        <f t="shared" si="68"/>
        <v>0</v>
      </c>
      <c r="S305" s="14">
        <f t="shared" si="69"/>
        <v>0</v>
      </c>
    </row>
    <row r="306" spans="1:19">
      <c r="A306" s="14" t="str">
        <f t="shared" si="66"/>
        <v>SRY-1-3</v>
      </c>
      <c r="B306" s="15">
        <f>'Curvas SRY'!$B$8</f>
        <v>1</v>
      </c>
      <c r="C306" s="15">
        <f>'Curvas SRY'!$E$10</f>
        <v>1.25</v>
      </c>
      <c r="D306" s="14" t="str">
        <f>'Curvas SRY'!$B$14</f>
        <v>Uso variable</v>
      </c>
      <c r="E306" s="14">
        <f>63</f>
        <v>63</v>
      </c>
      <c r="F306" s="21">
        <f>'Hoja 4 - Cálculo'!A87</f>
        <v>31472</v>
      </c>
      <c r="G306" s="15">
        <f>'Hoja 4 - Cálculo'!H87</f>
        <v>20.846250000000001</v>
      </c>
      <c r="H306" s="15">
        <f>IF(D306="Uso único",'Hoja 4 - Cálculo'!I87,IF(D306="Uso múltiple",AVERAGE('Hoja 4 - Cálculo'!$I$25:$I$384)+AVERAGE('Hoja 4 - Cálculo'!$J$25:$J$384)+AVERAGE('Hoja 4 - Cálculo'!$K$25:$K$384),IF(D306="Uso prioritario",'Hoja 4 - Cálculo'!I87+'Hoja 4 - Cálculo'!K87,'Hoja 4 - Cálculo'!I87+'Hoja 4 - Cálculo'!J87+'Hoja 4 - Cálculo'!K87)))</f>
        <v>16</v>
      </c>
      <c r="I306" s="15">
        <f t="shared" si="60"/>
        <v>20</v>
      </c>
      <c r="J306" s="15">
        <f t="shared" si="67"/>
        <v>0</v>
      </c>
      <c r="K306" s="15">
        <f>MIN(J306+G306,(J306+G306)*'Hoja 4 - Cálculo'!$B$15)</f>
        <v>0.41692500000000005</v>
      </c>
      <c r="L306" s="15">
        <f t="shared" si="61"/>
        <v>20.429325000000002</v>
      </c>
      <c r="M306" s="15">
        <f t="shared" si="62"/>
        <v>20</v>
      </c>
      <c r="N306" s="15">
        <f t="shared" si="63"/>
        <v>0.42932500000000218</v>
      </c>
      <c r="O306" s="15">
        <f t="shared" si="64"/>
        <v>0</v>
      </c>
      <c r="P306" s="15">
        <f t="shared" si="65"/>
        <v>0</v>
      </c>
      <c r="Q306" s="14" t="str">
        <f>IF(M306&gt;=I306*'Hoja 4 - Cálculo'!$B$16,"Satisfactorio","Falla")</f>
        <v>Satisfactorio</v>
      </c>
      <c r="R306" s="14">
        <f t="shared" si="68"/>
        <v>1</v>
      </c>
      <c r="S306" s="14">
        <f t="shared" si="69"/>
        <v>0</v>
      </c>
    </row>
    <row r="307" spans="1:19">
      <c r="A307" s="14" t="str">
        <f t="shared" si="66"/>
        <v>SRY-1-3</v>
      </c>
      <c r="B307" s="15">
        <f>'Curvas SRY'!$B$8</f>
        <v>1</v>
      </c>
      <c r="C307" s="15">
        <f>'Curvas SRY'!$E$10</f>
        <v>1.25</v>
      </c>
      <c r="D307" s="14" t="str">
        <f>'Curvas SRY'!$B$14</f>
        <v>Uso variable</v>
      </c>
      <c r="E307" s="14">
        <f>64</f>
        <v>64</v>
      </c>
      <c r="F307" s="21">
        <f>'Hoja 4 - Cálculo'!A88</f>
        <v>31503</v>
      </c>
      <c r="G307" s="15">
        <f>'Hoja 4 - Cálculo'!H88</f>
        <v>30.638249999999999</v>
      </c>
      <c r="H307" s="15">
        <f>IF(D307="Uso único",'Hoja 4 - Cálculo'!I88,IF(D307="Uso múltiple",AVERAGE('Hoja 4 - Cálculo'!$I$25:$I$384)+AVERAGE('Hoja 4 - Cálculo'!$J$25:$J$384)+AVERAGE('Hoja 4 - Cálculo'!$K$25:$K$384),IF(D307="Uso prioritario",'Hoja 4 - Cálculo'!I88+'Hoja 4 - Cálculo'!K88,'Hoja 4 - Cálculo'!I88+'Hoja 4 - Cálculo'!J88+'Hoja 4 - Cálculo'!K88)))</f>
        <v>11.5</v>
      </c>
      <c r="I307" s="15">
        <f t="shared" si="60"/>
        <v>14.375</v>
      </c>
      <c r="J307" s="15">
        <f t="shared" si="67"/>
        <v>0.42932500000000218</v>
      </c>
      <c r="K307" s="15">
        <f>MIN(J307+G307,(J307+G307)*'Hoja 4 - Cálculo'!$B$15)</f>
        <v>0.62135150000000006</v>
      </c>
      <c r="L307" s="15">
        <f t="shared" si="61"/>
        <v>30.446223500000002</v>
      </c>
      <c r="M307" s="15">
        <f t="shared" si="62"/>
        <v>14.375</v>
      </c>
      <c r="N307" s="15">
        <f t="shared" si="63"/>
        <v>1</v>
      </c>
      <c r="O307" s="15">
        <f t="shared" si="64"/>
        <v>15.071223500000002</v>
      </c>
      <c r="P307" s="15">
        <f t="shared" si="65"/>
        <v>0</v>
      </c>
      <c r="Q307" s="14" t="str">
        <f>IF(M307&gt;=I307*'Hoja 4 - Cálculo'!$B$16,"Satisfactorio","Falla")</f>
        <v>Satisfactorio</v>
      </c>
      <c r="R307" s="14">
        <f t="shared" si="68"/>
        <v>0</v>
      </c>
      <c r="S307" s="14">
        <f t="shared" si="69"/>
        <v>0</v>
      </c>
    </row>
    <row r="308" spans="1:19">
      <c r="A308" s="14" t="str">
        <f t="shared" ref="A308:A339" si="70">"SRY-1-3"</f>
        <v>SRY-1-3</v>
      </c>
      <c r="B308" s="15">
        <f>'Curvas SRY'!$B$8</f>
        <v>1</v>
      </c>
      <c r="C308" s="15">
        <f>'Curvas SRY'!$E$10</f>
        <v>1.25</v>
      </c>
      <c r="D308" s="14" t="str">
        <f>'Curvas SRY'!$B$14</f>
        <v>Uso variable</v>
      </c>
      <c r="E308" s="14">
        <f>65</f>
        <v>65</v>
      </c>
      <c r="F308" s="21">
        <f>'Hoja 4 - Cálculo'!A89</f>
        <v>31533</v>
      </c>
      <c r="G308" s="15">
        <f>'Hoja 4 - Cálculo'!H89</f>
        <v>28.438874999999999</v>
      </c>
      <c r="H308" s="15">
        <f>IF(D308="Uso único",'Hoja 4 - Cálculo'!I89,IF(D308="Uso múltiple",AVERAGE('Hoja 4 - Cálculo'!$I$25:$I$384)+AVERAGE('Hoja 4 - Cálculo'!$J$25:$J$384)+AVERAGE('Hoja 4 - Cálculo'!$K$25:$K$384),IF(D308="Uso prioritario",'Hoja 4 - Cálculo'!I89+'Hoja 4 - Cálculo'!K89,'Hoja 4 - Cálculo'!I89+'Hoja 4 - Cálculo'!J89+'Hoja 4 - Cálculo'!K89)))</f>
        <v>11.5</v>
      </c>
      <c r="I308" s="15">
        <f t="shared" si="60"/>
        <v>14.375</v>
      </c>
      <c r="J308" s="15">
        <f t="shared" si="67"/>
        <v>1</v>
      </c>
      <c r="K308" s="15">
        <f>MIN(J308+G308,(J308+G308)*'Hoja 4 - Cálculo'!$B$15)</f>
        <v>0.58877749999999995</v>
      </c>
      <c r="L308" s="15">
        <f t="shared" si="61"/>
        <v>28.8500975</v>
      </c>
      <c r="M308" s="15">
        <f t="shared" si="62"/>
        <v>14.375</v>
      </c>
      <c r="N308" s="15">
        <f t="shared" si="63"/>
        <v>1</v>
      </c>
      <c r="O308" s="15">
        <f t="shared" si="64"/>
        <v>13.4750975</v>
      </c>
      <c r="P308" s="15">
        <f t="shared" si="65"/>
        <v>0</v>
      </c>
      <c r="Q308" s="14" t="str">
        <f>IF(M308&gt;=I308*'Hoja 4 - Cálculo'!$B$16,"Satisfactorio","Falla")</f>
        <v>Satisfactorio</v>
      </c>
      <c r="R308" s="14">
        <f t="shared" si="68"/>
        <v>0</v>
      </c>
      <c r="S308" s="14">
        <f t="shared" si="69"/>
        <v>0</v>
      </c>
    </row>
    <row r="309" spans="1:19">
      <c r="A309" s="14" t="str">
        <f t="shared" si="70"/>
        <v>SRY-1-3</v>
      </c>
      <c r="B309" s="15">
        <f>'Curvas SRY'!$B$8</f>
        <v>1</v>
      </c>
      <c r="C309" s="15">
        <f>'Curvas SRY'!$E$10</f>
        <v>1.25</v>
      </c>
      <c r="D309" s="14" t="str">
        <f>'Curvas SRY'!$B$14</f>
        <v>Uso variable</v>
      </c>
      <c r="E309" s="14">
        <f>66</f>
        <v>66</v>
      </c>
      <c r="F309" s="21">
        <f>'Hoja 4 - Cálculo'!A90</f>
        <v>31564</v>
      </c>
      <c r="G309" s="15">
        <f>'Hoja 4 - Cálculo'!H90</f>
        <v>16.007625000000001</v>
      </c>
      <c r="H309" s="15">
        <f>IF(D309="Uso único",'Hoja 4 - Cálculo'!I90,IF(D309="Uso múltiple",AVERAGE('Hoja 4 - Cálculo'!$I$25:$I$384)+AVERAGE('Hoja 4 - Cálculo'!$J$25:$J$384)+AVERAGE('Hoja 4 - Cálculo'!$K$25:$K$384),IF(D309="Uso prioritario",'Hoja 4 - Cálculo'!I90+'Hoja 4 - Cálculo'!K90,'Hoja 4 - Cálculo'!I90+'Hoja 4 - Cálculo'!J90+'Hoja 4 - Cálculo'!K90)))</f>
        <v>11.5</v>
      </c>
      <c r="I309" s="15">
        <f t="shared" si="60"/>
        <v>14.375</v>
      </c>
      <c r="J309" s="15">
        <f t="shared" ref="J309:J340" si="71">N308</f>
        <v>1</v>
      </c>
      <c r="K309" s="15">
        <f>MIN(J309+G309,(J309+G309)*'Hoja 4 - Cálculo'!$B$15)</f>
        <v>0.34015250000000002</v>
      </c>
      <c r="L309" s="15">
        <f t="shared" si="61"/>
        <v>16.667472500000002</v>
      </c>
      <c r="M309" s="15">
        <f t="shared" si="62"/>
        <v>14.375</v>
      </c>
      <c r="N309" s="15">
        <f t="shared" si="63"/>
        <v>1</v>
      </c>
      <c r="O309" s="15">
        <f t="shared" si="64"/>
        <v>1.2924725000000024</v>
      </c>
      <c r="P309" s="15">
        <f t="shared" si="65"/>
        <v>0</v>
      </c>
      <c r="Q309" s="14" t="str">
        <f>IF(M309&gt;=I309*'Hoja 4 - Cálculo'!$B$16,"Satisfactorio","Falla")</f>
        <v>Satisfactorio</v>
      </c>
      <c r="R309" s="14">
        <f t="shared" ref="R309:R340" si="72">IF(AND(Q308="Falla",Q309="Satisfactorio"),1,0)</f>
        <v>0</v>
      </c>
      <c r="S309" s="14">
        <f t="shared" ref="S309:S340" si="73">IF(AND(Q309="Falla",Q308&lt;&gt;"Falla"),1,0)</f>
        <v>0</v>
      </c>
    </row>
    <row r="310" spans="1:19">
      <c r="A310" s="14" t="str">
        <f t="shared" si="70"/>
        <v>SRY-1-3</v>
      </c>
      <c r="B310" s="15">
        <f>'Curvas SRY'!$B$8</f>
        <v>1</v>
      </c>
      <c r="C310" s="15">
        <f>'Curvas SRY'!$E$10</f>
        <v>1.25</v>
      </c>
      <c r="D310" s="14" t="str">
        <f>'Curvas SRY'!$B$14</f>
        <v>Uso variable</v>
      </c>
      <c r="E310" s="14">
        <f>67</f>
        <v>67</v>
      </c>
      <c r="F310" s="21">
        <f>'Hoja 4 - Cálculo'!A91</f>
        <v>31594</v>
      </c>
      <c r="G310" s="15">
        <f>'Hoja 4 - Cálculo'!H91</f>
        <v>14.056875</v>
      </c>
      <c r="H310" s="15">
        <f>IF(D310="Uso único",'Hoja 4 - Cálculo'!I91,IF(D310="Uso múltiple",AVERAGE('Hoja 4 - Cálculo'!$I$25:$I$384)+AVERAGE('Hoja 4 - Cálculo'!$J$25:$J$384)+AVERAGE('Hoja 4 - Cálculo'!$K$25:$K$384),IF(D310="Uso prioritario",'Hoja 4 - Cálculo'!I91+'Hoja 4 - Cálculo'!K91,'Hoja 4 - Cálculo'!I91+'Hoja 4 - Cálculo'!J91+'Hoja 4 - Cálculo'!K91)))</f>
        <v>16</v>
      </c>
      <c r="I310" s="15">
        <f t="shared" si="60"/>
        <v>20</v>
      </c>
      <c r="J310" s="15">
        <f t="shared" si="71"/>
        <v>1</v>
      </c>
      <c r="K310" s="15">
        <f>MIN(J310+G310,(J310+G310)*'Hoja 4 - Cálculo'!$B$15)</f>
        <v>0.3011375</v>
      </c>
      <c r="L310" s="15">
        <f t="shared" si="61"/>
        <v>14.7557375</v>
      </c>
      <c r="M310" s="15">
        <f t="shared" si="62"/>
        <v>14.7557375</v>
      </c>
      <c r="N310" s="15">
        <f t="shared" si="63"/>
        <v>0</v>
      </c>
      <c r="O310" s="15">
        <f t="shared" si="64"/>
        <v>0</v>
      </c>
      <c r="P310" s="15">
        <f t="shared" si="65"/>
        <v>5.2442624999999996</v>
      </c>
      <c r="Q310" s="14" t="str">
        <f>IF(M310&gt;=I310*'Hoja 4 - Cálculo'!$B$16,"Satisfactorio","Falla")</f>
        <v>Falla</v>
      </c>
      <c r="R310" s="14">
        <f t="shared" si="72"/>
        <v>0</v>
      </c>
      <c r="S310" s="14">
        <f t="shared" si="73"/>
        <v>1</v>
      </c>
    </row>
    <row r="311" spans="1:19">
      <c r="A311" s="14" t="str">
        <f t="shared" si="70"/>
        <v>SRY-1-3</v>
      </c>
      <c r="B311" s="15">
        <f>'Curvas SRY'!$B$8</f>
        <v>1</v>
      </c>
      <c r="C311" s="15">
        <f>'Curvas SRY'!$E$10</f>
        <v>1.25</v>
      </c>
      <c r="D311" s="14" t="str">
        <f>'Curvas SRY'!$B$14</f>
        <v>Uso variable</v>
      </c>
      <c r="E311" s="14">
        <f>68</f>
        <v>68</v>
      </c>
      <c r="F311" s="21">
        <f>'Hoja 4 - Cálculo'!A92</f>
        <v>31625</v>
      </c>
      <c r="G311" s="15">
        <f>'Hoja 4 - Cálculo'!H92</f>
        <v>15.032249999999999</v>
      </c>
      <c r="H311" s="15">
        <f>IF(D311="Uso único",'Hoja 4 - Cálculo'!I92,IF(D311="Uso múltiple",AVERAGE('Hoja 4 - Cálculo'!$I$25:$I$384)+AVERAGE('Hoja 4 - Cálculo'!$J$25:$J$384)+AVERAGE('Hoja 4 - Cálculo'!$K$25:$K$384),IF(D311="Uso prioritario",'Hoja 4 - Cálculo'!I92+'Hoja 4 - Cálculo'!K92,'Hoja 4 - Cálculo'!I92+'Hoja 4 - Cálculo'!J92+'Hoja 4 - Cálculo'!K92)))</f>
        <v>16</v>
      </c>
      <c r="I311" s="15">
        <f t="shared" si="60"/>
        <v>20</v>
      </c>
      <c r="J311" s="15">
        <f t="shared" si="71"/>
        <v>0</v>
      </c>
      <c r="K311" s="15">
        <f>MIN(J311+G311,(J311+G311)*'Hoja 4 - Cálculo'!$B$15)</f>
        <v>0.300645</v>
      </c>
      <c r="L311" s="15">
        <f t="shared" si="61"/>
        <v>14.731605</v>
      </c>
      <c r="M311" s="15">
        <f t="shared" si="62"/>
        <v>14.731605</v>
      </c>
      <c r="N311" s="15">
        <f t="shared" si="63"/>
        <v>0</v>
      </c>
      <c r="O311" s="15">
        <f t="shared" si="64"/>
        <v>0</v>
      </c>
      <c r="P311" s="15">
        <f t="shared" si="65"/>
        <v>5.2683949999999999</v>
      </c>
      <c r="Q311" s="14" t="str">
        <f>IF(M311&gt;=I311*'Hoja 4 - Cálculo'!$B$16,"Satisfactorio","Falla")</f>
        <v>Falla</v>
      </c>
      <c r="R311" s="14">
        <f t="shared" si="72"/>
        <v>0</v>
      </c>
      <c r="S311" s="14">
        <f t="shared" si="73"/>
        <v>0</v>
      </c>
    </row>
    <row r="312" spans="1:19">
      <c r="A312" s="14" t="str">
        <f t="shared" si="70"/>
        <v>SRY-1-3</v>
      </c>
      <c r="B312" s="15">
        <f>'Curvas SRY'!$B$8</f>
        <v>1</v>
      </c>
      <c r="C312" s="15">
        <f>'Curvas SRY'!$E$10</f>
        <v>1.25</v>
      </c>
      <c r="D312" s="14" t="str">
        <f>'Curvas SRY'!$B$14</f>
        <v>Uso variable</v>
      </c>
      <c r="E312" s="14">
        <f>69</f>
        <v>69</v>
      </c>
      <c r="F312" s="21">
        <f>'Hoja 4 - Cálculo'!A93</f>
        <v>31656</v>
      </c>
      <c r="G312" s="15">
        <f>'Hoja 4 - Cálculo'!H93</f>
        <v>22.60575</v>
      </c>
      <c r="H312" s="15">
        <f>IF(D312="Uso único",'Hoja 4 - Cálculo'!I93,IF(D312="Uso múltiple",AVERAGE('Hoja 4 - Cálculo'!$I$25:$I$384)+AVERAGE('Hoja 4 - Cálculo'!$J$25:$J$384)+AVERAGE('Hoja 4 - Cálculo'!$K$25:$K$384),IF(D312="Uso prioritario",'Hoja 4 - Cálculo'!I93+'Hoja 4 - Cálculo'!K93,'Hoja 4 - Cálculo'!I93+'Hoja 4 - Cálculo'!J93+'Hoja 4 - Cálculo'!K93)))</f>
        <v>11.5</v>
      </c>
      <c r="I312" s="15">
        <f t="shared" si="60"/>
        <v>14.375</v>
      </c>
      <c r="J312" s="15">
        <f t="shared" si="71"/>
        <v>0</v>
      </c>
      <c r="K312" s="15">
        <f>MIN(J312+G312,(J312+G312)*'Hoja 4 - Cálculo'!$B$15)</f>
        <v>0.45211500000000004</v>
      </c>
      <c r="L312" s="15">
        <f t="shared" si="61"/>
        <v>22.153635000000001</v>
      </c>
      <c r="M312" s="15">
        <f t="shared" si="62"/>
        <v>14.375</v>
      </c>
      <c r="N312" s="15">
        <f t="shared" si="63"/>
        <v>1</v>
      </c>
      <c r="O312" s="15">
        <f t="shared" si="64"/>
        <v>6.7786350000000013</v>
      </c>
      <c r="P312" s="15">
        <f t="shared" si="65"/>
        <v>0</v>
      </c>
      <c r="Q312" s="14" t="str">
        <f>IF(M312&gt;=I312*'Hoja 4 - Cálculo'!$B$16,"Satisfactorio","Falla")</f>
        <v>Satisfactorio</v>
      </c>
      <c r="R312" s="14">
        <f t="shared" si="72"/>
        <v>1</v>
      </c>
      <c r="S312" s="14">
        <f t="shared" si="73"/>
        <v>0</v>
      </c>
    </row>
    <row r="313" spans="1:19">
      <c r="A313" s="14" t="str">
        <f t="shared" si="70"/>
        <v>SRY-1-3</v>
      </c>
      <c r="B313" s="15">
        <f>'Curvas SRY'!$B$8</f>
        <v>1</v>
      </c>
      <c r="C313" s="15">
        <f>'Curvas SRY'!$E$10</f>
        <v>1.25</v>
      </c>
      <c r="D313" s="14" t="str">
        <f>'Curvas SRY'!$B$14</f>
        <v>Uso variable</v>
      </c>
      <c r="E313" s="14">
        <f>70</f>
        <v>70</v>
      </c>
      <c r="F313" s="21">
        <f>'Hoja 4 - Cálculo'!A94</f>
        <v>31686</v>
      </c>
      <c r="G313" s="15">
        <f>'Hoja 4 - Cálculo'!H94</f>
        <v>32.531624999999998</v>
      </c>
      <c r="H313" s="15">
        <f>IF(D313="Uso único",'Hoja 4 - Cálculo'!I94,IF(D313="Uso múltiple",AVERAGE('Hoja 4 - Cálculo'!$I$25:$I$384)+AVERAGE('Hoja 4 - Cálculo'!$J$25:$J$384)+AVERAGE('Hoja 4 - Cálculo'!$K$25:$K$384),IF(D313="Uso prioritario",'Hoja 4 - Cálculo'!I94+'Hoja 4 - Cálculo'!K94,'Hoja 4 - Cálculo'!I94+'Hoja 4 - Cálculo'!J94+'Hoja 4 - Cálculo'!K94)))</f>
        <v>11.5</v>
      </c>
      <c r="I313" s="15">
        <f t="shared" si="60"/>
        <v>14.375</v>
      </c>
      <c r="J313" s="15">
        <f t="shared" si="71"/>
        <v>1</v>
      </c>
      <c r="K313" s="15">
        <f>MIN(J313+G313,(J313+G313)*'Hoja 4 - Cálculo'!$B$15)</f>
        <v>0.67063249999999996</v>
      </c>
      <c r="L313" s="15">
        <f t="shared" si="61"/>
        <v>32.860992499999995</v>
      </c>
      <c r="M313" s="15">
        <f t="shared" si="62"/>
        <v>14.375</v>
      </c>
      <c r="N313" s="15">
        <f t="shared" si="63"/>
        <v>1</v>
      </c>
      <c r="O313" s="15">
        <f t="shared" si="64"/>
        <v>17.485992499999995</v>
      </c>
      <c r="P313" s="15">
        <f t="shared" si="65"/>
        <v>0</v>
      </c>
      <c r="Q313" s="14" t="str">
        <f>IF(M313&gt;=I313*'Hoja 4 - Cálculo'!$B$16,"Satisfactorio","Falla")</f>
        <v>Satisfactorio</v>
      </c>
      <c r="R313" s="14">
        <f t="shared" si="72"/>
        <v>0</v>
      </c>
      <c r="S313" s="14">
        <f t="shared" si="73"/>
        <v>0</v>
      </c>
    </row>
    <row r="314" spans="1:19">
      <c r="A314" s="14" t="str">
        <f t="shared" si="70"/>
        <v>SRY-1-3</v>
      </c>
      <c r="B314" s="15">
        <f>'Curvas SRY'!$B$8</f>
        <v>1</v>
      </c>
      <c r="C314" s="15">
        <f>'Curvas SRY'!$E$10</f>
        <v>1.25</v>
      </c>
      <c r="D314" s="14" t="str">
        <f>'Curvas SRY'!$B$14</f>
        <v>Uso variable</v>
      </c>
      <c r="E314" s="14">
        <f>71</f>
        <v>71</v>
      </c>
      <c r="F314" s="21">
        <f>'Hoja 4 - Cálculo'!A95</f>
        <v>31717</v>
      </c>
      <c r="G314" s="15">
        <f>'Hoja 4 - Cálculo'!H95</f>
        <v>26.641124999999999</v>
      </c>
      <c r="H314" s="15">
        <f>IF(D314="Uso único",'Hoja 4 - Cálculo'!I95,IF(D314="Uso múltiple",AVERAGE('Hoja 4 - Cálculo'!$I$25:$I$384)+AVERAGE('Hoja 4 - Cálculo'!$J$25:$J$384)+AVERAGE('Hoja 4 - Cálculo'!$K$25:$K$384),IF(D314="Uso prioritario",'Hoja 4 - Cálculo'!I95+'Hoja 4 - Cálculo'!K95,'Hoja 4 - Cálculo'!I95+'Hoja 4 - Cálculo'!J95+'Hoja 4 - Cálculo'!K95)))</f>
        <v>11.5</v>
      </c>
      <c r="I314" s="15">
        <f t="shared" si="60"/>
        <v>14.375</v>
      </c>
      <c r="J314" s="15">
        <f t="shared" si="71"/>
        <v>1</v>
      </c>
      <c r="K314" s="15">
        <f>MIN(J314+G314,(J314+G314)*'Hoja 4 - Cálculo'!$B$15)</f>
        <v>0.55282249999999999</v>
      </c>
      <c r="L314" s="15">
        <f t="shared" si="61"/>
        <v>27.088302499999998</v>
      </c>
      <c r="M314" s="15">
        <f t="shared" si="62"/>
        <v>14.375</v>
      </c>
      <c r="N314" s="15">
        <f t="shared" si="63"/>
        <v>1</v>
      </c>
      <c r="O314" s="15">
        <f t="shared" si="64"/>
        <v>11.713302499999998</v>
      </c>
      <c r="P314" s="15">
        <f t="shared" si="65"/>
        <v>0</v>
      </c>
      <c r="Q314" s="14" t="str">
        <f>IF(M314&gt;=I314*'Hoja 4 - Cálculo'!$B$16,"Satisfactorio","Falla")</f>
        <v>Satisfactorio</v>
      </c>
      <c r="R314" s="14">
        <f t="shared" si="72"/>
        <v>0</v>
      </c>
      <c r="S314" s="14">
        <f t="shared" si="73"/>
        <v>0</v>
      </c>
    </row>
    <row r="315" spans="1:19">
      <c r="A315" s="14" t="str">
        <f t="shared" si="70"/>
        <v>SRY-1-3</v>
      </c>
      <c r="B315" s="15">
        <f>'Curvas SRY'!$B$8</f>
        <v>1</v>
      </c>
      <c r="C315" s="15">
        <f>'Curvas SRY'!$E$10</f>
        <v>1.25</v>
      </c>
      <c r="D315" s="14" t="str">
        <f>'Curvas SRY'!$B$14</f>
        <v>Uso variable</v>
      </c>
      <c r="E315" s="14">
        <f>72</f>
        <v>72</v>
      </c>
      <c r="F315" s="21">
        <f>'Hoja 4 - Cálculo'!A96</f>
        <v>31747</v>
      </c>
      <c r="G315" s="15">
        <f>'Hoja 4 - Cálculo'!H96</f>
        <v>15.166124999999999</v>
      </c>
      <c r="H315" s="15">
        <f>IF(D315="Uso único",'Hoja 4 - Cálculo'!I96,IF(D315="Uso múltiple",AVERAGE('Hoja 4 - Cálculo'!$I$25:$I$384)+AVERAGE('Hoja 4 - Cálculo'!$J$25:$J$384)+AVERAGE('Hoja 4 - Cálculo'!$K$25:$K$384),IF(D315="Uso prioritario",'Hoja 4 - Cálculo'!I96+'Hoja 4 - Cálculo'!K96,'Hoja 4 - Cálculo'!I96+'Hoja 4 - Cálculo'!J96+'Hoja 4 - Cálculo'!K96)))</f>
        <v>16</v>
      </c>
      <c r="I315" s="15">
        <f t="shared" si="60"/>
        <v>20</v>
      </c>
      <c r="J315" s="15">
        <f t="shared" si="71"/>
        <v>1</v>
      </c>
      <c r="K315" s="15">
        <f>MIN(J315+G315,(J315+G315)*'Hoja 4 - Cálculo'!$B$15)</f>
        <v>0.32332250000000001</v>
      </c>
      <c r="L315" s="15">
        <f t="shared" si="61"/>
        <v>15.842802500000001</v>
      </c>
      <c r="M315" s="15">
        <f t="shared" si="62"/>
        <v>15.842802500000001</v>
      </c>
      <c r="N315" s="15">
        <f t="shared" si="63"/>
        <v>0</v>
      </c>
      <c r="O315" s="15">
        <f t="shared" si="64"/>
        <v>0</v>
      </c>
      <c r="P315" s="15">
        <f t="shared" si="65"/>
        <v>4.1571974999999988</v>
      </c>
      <c r="Q315" s="14" t="str">
        <f>IF(M315&gt;=I315*'Hoja 4 - Cálculo'!$B$16,"Satisfactorio","Falla")</f>
        <v>Falla</v>
      </c>
      <c r="R315" s="14">
        <f t="shared" si="72"/>
        <v>0</v>
      </c>
      <c r="S315" s="14">
        <f t="shared" si="73"/>
        <v>1</v>
      </c>
    </row>
    <row r="316" spans="1:19">
      <c r="A316" s="14" t="str">
        <f t="shared" si="70"/>
        <v>SRY-1-3</v>
      </c>
      <c r="B316" s="15">
        <f>'Curvas SRY'!$B$8</f>
        <v>1</v>
      </c>
      <c r="C316" s="15">
        <f>'Curvas SRY'!$E$10</f>
        <v>1.25</v>
      </c>
      <c r="D316" s="14" t="str">
        <f>'Curvas SRY'!$B$14</f>
        <v>Uso variable</v>
      </c>
      <c r="E316" s="14">
        <f>73</f>
        <v>73</v>
      </c>
      <c r="F316" s="21">
        <f>'Hoja 4 - Cálculo'!A97</f>
        <v>31778</v>
      </c>
      <c r="G316" s="15">
        <f>'Hoja 4 - Cálculo'!H97</f>
        <v>14.056875</v>
      </c>
      <c r="H316" s="15">
        <f>IF(D316="Uso único",'Hoja 4 - Cálculo'!I97,IF(D316="Uso múltiple",AVERAGE('Hoja 4 - Cálculo'!$I$25:$I$384)+AVERAGE('Hoja 4 - Cálculo'!$J$25:$J$384)+AVERAGE('Hoja 4 - Cálculo'!$K$25:$K$384),IF(D316="Uso prioritario",'Hoja 4 - Cálculo'!I97+'Hoja 4 - Cálculo'!K97,'Hoja 4 - Cálculo'!I97+'Hoja 4 - Cálculo'!J97+'Hoja 4 - Cálculo'!K97)))</f>
        <v>16</v>
      </c>
      <c r="I316" s="15">
        <f t="shared" si="60"/>
        <v>20</v>
      </c>
      <c r="J316" s="15">
        <f t="shared" si="71"/>
        <v>0</v>
      </c>
      <c r="K316" s="15">
        <f>MIN(J316+G316,(J316+G316)*'Hoja 4 - Cálculo'!$B$15)</f>
        <v>0.28113749999999998</v>
      </c>
      <c r="L316" s="15">
        <f t="shared" si="61"/>
        <v>13.7757375</v>
      </c>
      <c r="M316" s="15">
        <f t="shared" si="62"/>
        <v>13.7757375</v>
      </c>
      <c r="N316" s="15">
        <f t="shared" si="63"/>
        <v>0</v>
      </c>
      <c r="O316" s="15">
        <f t="shared" si="64"/>
        <v>0</v>
      </c>
      <c r="P316" s="15">
        <f t="shared" si="65"/>
        <v>6.2242625</v>
      </c>
      <c r="Q316" s="14" t="str">
        <f>IF(M316&gt;=I316*'Hoja 4 - Cálculo'!$B$16,"Satisfactorio","Falla")</f>
        <v>Falla</v>
      </c>
      <c r="R316" s="14">
        <f t="shared" si="72"/>
        <v>0</v>
      </c>
      <c r="S316" s="14">
        <f t="shared" si="73"/>
        <v>0</v>
      </c>
    </row>
    <row r="317" spans="1:19">
      <c r="A317" s="14" t="str">
        <f t="shared" si="70"/>
        <v>SRY-1-3</v>
      </c>
      <c r="B317" s="15">
        <f>'Curvas SRY'!$B$8</f>
        <v>1</v>
      </c>
      <c r="C317" s="15">
        <f>'Curvas SRY'!$E$10</f>
        <v>1.25</v>
      </c>
      <c r="D317" s="14" t="str">
        <f>'Curvas SRY'!$B$14</f>
        <v>Uso variable</v>
      </c>
      <c r="E317" s="14">
        <f>74</f>
        <v>74</v>
      </c>
      <c r="F317" s="21">
        <f>'Hoja 4 - Cálculo'!A98</f>
        <v>31809</v>
      </c>
      <c r="G317" s="15">
        <f>'Hoja 4 - Cálculo'!H98</f>
        <v>15.969374999999999</v>
      </c>
      <c r="H317" s="15">
        <f>IF(D317="Uso único",'Hoja 4 - Cálculo'!I98,IF(D317="Uso múltiple",AVERAGE('Hoja 4 - Cálculo'!$I$25:$I$384)+AVERAGE('Hoja 4 - Cálculo'!$J$25:$J$384)+AVERAGE('Hoja 4 - Cálculo'!$K$25:$K$384),IF(D317="Uso prioritario",'Hoja 4 - Cálculo'!I98+'Hoja 4 - Cálculo'!K98,'Hoja 4 - Cálculo'!I98+'Hoja 4 - Cálculo'!J98+'Hoja 4 - Cálculo'!K98)))</f>
        <v>16</v>
      </c>
      <c r="I317" s="15">
        <f t="shared" si="60"/>
        <v>20</v>
      </c>
      <c r="J317" s="15">
        <f t="shared" si="71"/>
        <v>0</v>
      </c>
      <c r="K317" s="15">
        <f>MIN(J317+G317,(J317+G317)*'Hoja 4 - Cálculo'!$B$15)</f>
        <v>0.31938749999999999</v>
      </c>
      <c r="L317" s="15">
        <f t="shared" si="61"/>
        <v>15.6499875</v>
      </c>
      <c r="M317" s="15">
        <f t="shared" si="62"/>
        <v>15.6499875</v>
      </c>
      <c r="N317" s="15">
        <f t="shared" si="63"/>
        <v>0</v>
      </c>
      <c r="O317" s="15">
        <f t="shared" si="64"/>
        <v>0</v>
      </c>
      <c r="P317" s="15">
        <f t="shared" si="65"/>
        <v>4.3500125000000001</v>
      </c>
      <c r="Q317" s="14" t="str">
        <f>IF(M317&gt;=I317*'Hoja 4 - Cálculo'!$B$16,"Satisfactorio","Falla")</f>
        <v>Falla</v>
      </c>
      <c r="R317" s="14">
        <f t="shared" si="72"/>
        <v>0</v>
      </c>
      <c r="S317" s="14">
        <f t="shared" si="73"/>
        <v>0</v>
      </c>
    </row>
    <row r="318" spans="1:19">
      <c r="A318" s="14" t="str">
        <f t="shared" si="70"/>
        <v>SRY-1-3</v>
      </c>
      <c r="B318" s="15">
        <f>'Curvas SRY'!$B$8</f>
        <v>1</v>
      </c>
      <c r="C318" s="15">
        <f>'Curvas SRY'!$E$10</f>
        <v>1.25</v>
      </c>
      <c r="D318" s="14" t="str">
        <f>'Curvas SRY'!$B$14</f>
        <v>Uso variable</v>
      </c>
      <c r="E318" s="14">
        <f>75</f>
        <v>75</v>
      </c>
      <c r="F318" s="21">
        <f>'Hoja 4 - Cálculo'!A99</f>
        <v>31837</v>
      </c>
      <c r="G318" s="15">
        <f>'Hoja 4 - Cálculo'!H99</f>
        <v>22.797000000000001</v>
      </c>
      <c r="H318" s="15">
        <f>IF(D318="Uso único",'Hoja 4 - Cálculo'!I99,IF(D318="Uso múltiple",AVERAGE('Hoja 4 - Cálculo'!$I$25:$I$384)+AVERAGE('Hoja 4 - Cálculo'!$J$25:$J$384)+AVERAGE('Hoja 4 - Cálculo'!$K$25:$K$384),IF(D318="Uso prioritario",'Hoja 4 - Cálculo'!I99+'Hoja 4 - Cálculo'!K99,'Hoja 4 - Cálculo'!I99+'Hoja 4 - Cálculo'!J99+'Hoja 4 - Cálculo'!K99)))</f>
        <v>16</v>
      </c>
      <c r="I318" s="15">
        <f t="shared" si="60"/>
        <v>20</v>
      </c>
      <c r="J318" s="15">
        <f t="shared" si="71"/>
        <v>0</v>
      </c>
      <c r="K318" s="15">
        <f>MIN(J318+G318,(J318+G318)*'Hoja 4 - Cálculo'!$B$15)</f>
        <v>0.45594000000000001</v>
      </c>
      <c r="L318" s="15">
        <f t="shared" si="61"/>
        <v>22.341059999999999</v>
      </c>
      <c r="M318" s="15">
        <f t="shared" si="62"/>
        <v>20</v>
      </c>
      <c r="N318" s="15">
        <f t="shared" si="63"/>
        <v>1</v>
      </c>
      <c r="O318" s="15">
        <f t="shared" si="64"/>
        <v>1.3410599999999988</v>
      </c>
      <c r="P318" s="15">
        <f t="shared" si="65"/>
        <v>0</v>
      </c>
      <c r="Q318" s="14" t="str">
        <f>IF(M318&gt;=I318*'Hoja 4 - Cálculo'!$B$16,"Satisfactorio","Falla")</f>
        <v>Satisfactorio</v>
      </c>
      <c r="R318" s="14">
        <f t="shared" si="72"/>
        <v>1</v>
      </c>
      <c r="S318" s="14">
        <f t="shared" si="73"/>
        <v>0</v>
      </c>
    </row>
    <row r="319" spans="1:19">
      <c r="A319" s="14" t="str">
        <f t="shared" si="70"/>
        <v>SRY-1-3</v>
      </c>
      <c r="B319" s="15">
        <f>'Curvas SRY'!$B$8</f>
        <v>1</v>
      </c>
      <c r="C319" s="15">
        <f>'Curvas SRY'!$E$10</f>
        <v>1.25</v>
      </c>
      <c r="D319" s="14" t="str">
        <f>'Curvas SRY'!$B$14</f>
        <v>Uso variable</v>
      </c>
      <c r="E319" s="14">
        <f>76</f>
        <v>76</v>
      </c>
      <c r="F319" s="21">
        <f>'Hoja 4 - Cálculo'!A100</f>
        <v>31868</v>
      </c>
      <c r="G319" s="15">
        <f>'Hoja 4 - Cálculo'!H100</f>
        <v>34.138125000000002</v>
      </c>
      <c r="H319" s="15">
        <f>IF(D319="Uso único",'Hoja 4 - Cálculo'!I100,IF(D319="Uso múltiple",AVERAGE('Hoja 4 - Cálculo'!$I$25:$I$384)+AVERAGE('Hoja 4 - Cálculo'!$J$25:$J$384)+AVERAGE('Hoja 4 - Cálculo'!$K$25:$K$384),IF(D319="Uso prioritario",'Hoja 4 - Cálculo'!I100+'Hoja 4 - Cálculo'!K100,'Hoja 4 - Cálculo'!I100+'Hoja 4 - Cálculo'!J100+'Hoja 4 - Cálculo'!K100)))</f>
        <v>11.5</v>
      </c>
      <c r="I319" s="15">
        <f t="shared" si="60"/>
        <v>14.375</v>
      </c>
      <c r="J319" s="15">
        <f t="shared" si="71"/>
        <v>1</v>
      </c>
      <c r="K319" s="15">
        <f>MIN(J319+G319,(J319+G319)*'Hoja 4 - Cálculo'!$B$15)</f>
        <v>0.70276250000000007</v>
      </c>
      <c r="L319" s="15">
        <f t="shared" si="61"/>
        <v>34.435362500000004</v>
      </c>
      <c r="M319" s="15">
        <f t="shared" si="62"/>
        <v>14.375</v>
      </c>
      <c r="N319" s="15">
        <f t="shared" si="63"/>
        <v>1</v>
      </c>
      <c r="O319" s="15">
        <f t="shared" si="64"/>
        <v>19.060362500000004</v>
      </c>
      <c r="P319" s="15">
        <f t="shared" si="65"/>
        <v>0</v>
      </c>
      <c r="Q319" s="14" t="str">
        <f>IF(M319&gt;=I319*'Hoja 4 - Cálculo'!$B$16,"Satisfactorio","Falla")</f>
        <v>Satisfactorio</v>
      </c>
      <c r="R319" s="14">
        <f t="shared" si="72"/>
        <v>0</v>
      </c>
      <c r="S319" s="14">
        <f t="shared" si="73"/>
        <v>0</v>
      </c>
    </row>
    <row r="320" spans="1:19">
      <c r="A320" s="14" t="str">
        <f t="shared" si="70"/>
        <v>SRY-1-3</v>
      </c>
      <c r="B320" s="15">
        <f>'Curvas SRY'!$B$8</f>
        <v>1</v>
      </c>
      <c r="C320" s="15">
        <f>'Curvas SRY'!$E$10</f>
        <v>1.25</v>
      </c>
      <c r="D320" s="14" t="str">
        <f>'Curvas SRY'!$B$14</f>
        <v>Uso variable</v>
      </c>
      <c r="E320" s="14">
        <f>77</f>
        <v>77</v>
      </c>
      <c r="F320" s="21">
        <f>'Hoja 4 - Cálculo'!A101</f>
        <v>31898</v>
      </c>
      <c r="G320" s="15">
        <f>'Hoja 4 - Cálculo'!H101</f>
        <v>28.534500000000001</v>
      </c>
      <c r="H320" s="15">
        <f>IF(D320="Uso único",'Hoja 4 - Cálculo'!I101,IF(D320="Uso múltiple",AVERAGE('Hoja 4 - Cálculo'!$I$25:$I$384)+AVERAGE('Hoja 4 - Cálculo'!$J$25:$J$384)+AVERAGE('Hoja 4 - Cálculo'!$K$25:$K$384),IF(D320="Uso prioritario",'Hoja 4 - Cálculo'!I101+'Hoja 4 - Cálculo'!K101,'Hoja 4 - Cálculo'!I101+'Hoja 4 - Cálculo'!J101+'Hoja 4 - Cálculo'!K101)))</f>
        <v>11.5</v>
      </c>
      <c r="I320" s="15">
        <f t="shared" si="60"/>
        <v>14.375</v>
      </c>
      <c r="J320" s="15">
        <f t="shared" si="71"/>
        <v>1</v>
      </c>
      <c r="K320" s="15">
        <f>MIN(J320+G320,(J320+G320)*'Hoja 4 - Cálculo'!$B$15)</f>
        <v>0.59069000000000005</v>
      </c>
      <c r="L320" s="15">
        <f t="shared" si="61"/>
        <v>28.943810000000003</v>
      </c>
      <c r="M320" s="15">
        <f t="shared" si="62"/>
        <v>14.375</v>
      </c>
      <c r="N320" s="15">
        <f t="shared" si="63"/>
        <v>1</v>
      </c>
      <c r="O320" s="15">
        <f t="shared" si="64"/>
        <v>13.568810000000003</v>
      </c>
      <c r="P320" s="15">
        <f t="shared" si="65"/>
        <v>0</v>
      </c>
      <c r="Q320" s="14" t="str">
        <f>IF(M320&gt;=I320*'Hoja 4 - Cálculo'!$B$16,"Satisfactorio","Falla")</f>
        <v>Satisfactorio</v>
      </c>
      <c r="R320" s="14">
        <f t="shared" si="72"/>
        <v>0</v>
      </c>
      <c r="S320" s="14">
        <f t="shared" si="73"/>
        <v>0</v>
      </c>
    </row>
    <row r="321" spans="1:19">
      <c r="A321" s="14" t="str">
        <f t="shared" si="70"/>
        <v>SRY-1-3</v>
      </c>
      <c r="B321" s="15">
        <f>'Curvas SRY'!$B$8</f>
        <v>1</v>
      </c>
      <c r="C321" s="15">
        <f>'Curvas SRY'!$E$10</f>
        <v>1.25</v>
      </c>
      <c r="D321" s="14" t="str">
        <f>'Curvas SRY'!$B$14</f>
        <v>Uso variable</v>
      </c>
      <c r="E321" s="14">
        <f>78</f>
        <v>78</v>
      </c>
      <c r="F321" s="21">
        <f>'Hoja 4 - Cálculo'!A102</f>
        <v>31929</v>
      </c>
      <c r="G321" s="15">
        <f>'Hoja 4 - Cálculo'!H102</f>
        <v>18.589500000000001</v>
      </c>
      <c r="H321" s="15">
        <f>IF(D321="Uso único",'Hoja 4 - Cálculo'!I102,IF(D321="Uso múltiple",AVERAGE('Hoja 4 - Cálculo'!$I$25:$I$384)+AVERAGE('Hoja 4 - Cálculo'!$J$25:$J$384)+AVERAGE('Hoja 4 - Cálculo'!$K$25:$K$384),IF(D321="Uso prioritario",'Hoja 4 - Cálculo'!I102+'Hoja 4 - Cálculo'!K102,'Hoja 4 - Cálculo'!I102+'Hoja 4 - Cálculo'!J102+'Hoja 4 - Cálculo'!K102)))</f>
        <v>11.5</v>
      </c>
      <c r="I321" s="15">
        <f t="shared" si="60"/>
        <v>14.375</v>
      </c>
      <c r="J321" s="15">
        <f t="shared" si="71"/>
        <v>1</v>
      </c>
      <c r="K321" s="15">
        <f>MIN(J321+G321,(J321+G321)*'Hoja 4 - Cálculo'!$B$15)</f>
        <v>0.39179000000000003</v>
      </c>
      <c r="L321" s="15">
        <f t="shared" si="61"/>
        <v>19.197710000000001</v>
      </c>
      <c r="M321" s="15">
        <f t="shared" si="62"/>
        <v>14.375</v>
      </c>
      <c r="N321" s="15">
        <f t="shared" si="63"/>
        <v>1</v>
      </c>
      <c r="O321" s="15">
        <f t="shared" si="64"/>
        <v>3.8227100000000007</v>
      </c>
      <c r="P321" s="15">
        <f t="shared" si="65"/>
        <v>0</v>
      </c>
      <c r="Q321" s="14" t="str">
        <f>IF(M321&gt;=I321*'Hoja 4 - Cálculo'!$B$16,"Satisfactorio","Falla")</f>
        <v>Satisfactorio</v>
      </c>
      <c r="R321" s="14">
        <f t="shared" si="72"/>
        <v>0</v>
      </c>
      <c r="S321" s="14">
        <f t="shared" si="73"/>
        <v>0</v>
      </c>
    </row>
    <row r="322" spans="1:19">
      <c r="A322" s="14" t="str">
        <f t="shared" si="70"/>
        <v>SRY-1-3</v>
      </c>
      <c r="B322" s="15">
        <f>'Curvas SRY'!$B$8</f>
        <v>1</v>
      </c>
      <c r="C322" s="15">
        <f>'Curvas SRY'!$E$10</f>
        <v>1.25</v>
      </c>
      <c r="D322" s="14" t="str">
        <f>'Curvas SRY'!$B$14</f>
        <v>Uso variable</v>
      </c>
      <c r="E322" s="14">
        <f>79</f>
        <v>79</v>
      </c>
      <c r="F322" s="21">
        <f>'Hoja 4 - Cálculo'!A103</f>
        <v>31959</v>
      </c>
      <c r="G322" s="15">
        <f>'Hoja 4 - Cálculo'!H103</f>
        <v>14.688000000000001</v>
      </c>
      <c r="H322" s="15">
        <f>IF(D322="Uso único",'Hoja 4 - Cálculo'!I103,IF(D322="Uso múltiple",AVERAGE('Hoja 4 - Cálculo'!$I$25:$I$384)+AVERAGE('Hoja 4 - Cálculo'!$J$25:$J$384)+AVERAGE('Hoja 4 - Cálculo'!$K$25:$K$384),IF(D322="Uso prioritario",'Hoja 4 - Cálculo'!I103+'Hoja 4 - Cálculo'!K103,'Hoja 4 - Cálculo'!I103+'Hoja 4 - Cálculo'!J103+'Hoja 4 - Cálculo'!K103)))</f>
        <v>16</v>
      </c>
      <c r="I322" s="15">
        <f t="shared" si="60"/>
        <v>20</v>
      </c>
      <c r="J322" s="15">
        <f t="shared" si="71"/>
        <v>1</v>
      </c>
      <c r="K322" s="15">
        <f>MIN(J322+G322,(J322+G322)*'Hoja 4 - Cálculo'!$B$15)</f>
        <v>0.31376000000000004</v>
      </c>
      <c r="L322" s="15">
        <f t="shared" si="61"/>
        <v>15.37424</v>
      </c>
      <c r="M322" s="15">
        <f t="shared" si="62"/>
        <v>15.37424</v>
      </c>
      <c r="N322" s="15">
        <f t="shared" si="63"/>
        <v>0</v>
      </c>
      <c r="O322" s="15">
        <f t="shared" si="64"/>
        <v>0</v>
      </c>
      <c r="P322" s="15">
        <f t="shared" si="65"/>
        <v>4.6257599999999996</v>
      </c>
      <c r="Q322" s="14" t="str">
        <f>IF(M322&gt;=I322*'Hoja 4 - Cálculo'!$B$16,"Satisfactorio","Falla")</f>
        <v>Falla</v>
      </c>
      <c r="R322" s="14">
        <f t="shared" si="72"/>
        <v>0</v>
      </c>
      <c r="S322" s="14">
        <f t="shared" si="73"/>
        <v>1</v>
      </c>
    </row>
    <row r="323" spans="1:19">
      <c r="A323" s="14" t="str">
        <f t="shared" si="70"/>
        <v>SRY-1-3</v>
      </c>
      <c r="B323" s="15">
        <f>'Curvas SRY'!$B$8</f>
        <v>1</v>
      </c>
      <c r="C323" s="15">
        <f>'Curvas SRY'!$E$10</f>
        <v>1.25</v>
      </c>
      <c r="D323" s="14" t="str">
        <f>'Curvas SRY'!$B$14</f>
        <v>Uso variable</v>
      </c>
      <c r="E323" s="14">
        <f>80</f>
        <v>80</v>
      </c>
      <c r="F323" s="21">
        <f>'Hoja 4 - Cálculo'!A104</f>
        <v>31990</v>
      </c>
      <c r="G323" s="15">
        <f>'Hoja 4 - Cálculo'!H104</f>
        <v>15.759</v>
      </c>
      <c r="H323" s="15">
        <f>IF(D323="Uso único",'Hoja 4 - Cálculo'!I104,IF(D323="Uso múltiple",AVERAGE('Hoja 4 - Cálculo'!$I$25:$I$384)+AVERAGE('Hoja 4 - Cálculo'!$J$25:$J$384)+AVERAGE('Hoja 4 - Cálculo'!$K$25:$K$384),IF(D323="Uso prioritario",'Hoja 4 - Cálculo'!I104+'Hoja 4 - Cálculo'!K104,'Hoja 4 - Cálculo'!I104+'Hoja 4 - Cálculo'!J104+'Hoja 4 - Cálculo'!K104)))</f>
        <v>16</v>
      </c>
      <c r="I323" s="15">
        <f t="shared" si="60"/>
        <v>20</v>
      </c>
      <c r="J323" s="15">
        <f t="shared" si="71"/>
        <v>0</v>
      </c>
      <c r="K323" s="15">
        <f>MIN(J323+G323,(J323+G323)*'Hoja 4 - Cálculo'!$B$15)</f>
        <v>0.31518000000000002</v>
      </c>
      <c r="L323" s="15">
        <f t="shared" si="61"/>
        <v>15.443820000000001</v>
      </c>
      <c r="M323" s="15">
        <f t="shared" si="62"/>
        <v>15.443820000000001</v>
      </c>
      <c r="N323" s="15">
        <f t="shared" si="63"/>
        <v>0</v>
      </c>
      <c r="O323" s="15">
        <f t="shared" si="64"/>
        <v>0</v>
      </c>
      <c r="P323" s="15">
        <f t="shared" si="65"/>
        <v>4.5561799999999995</v>
      </c>
      <c r="Q323" s="14" t="str">
        <f>IF(M323&gt;=I323*'Hoja 4 - Cálculo'!$B$16,"Satisfactorio","Falla")</f>
        <v>Falla</v>
      </c>
      <c r="R323" s="14">
        <f t="shared" si="72"/>
        <v>0</v>
      </c>
      <c r="S323" s="14">
        <f t="shared" si="73"/>
        <v>0</v>
      </c>
    </row>
    <row r="324" spans="1:19">
      <c r="A324" s="14" t="str">
        <f t="shared" si="70"/>
        <v>SRY-1-3</v>
      </c>
      <c r="B324" s="15">
        <f>'Curvas SRY'!$B$8</f>
        <v>1</v>
      </c>
      <c r="C324" s="15">
        <f>'Curvas SRY'!$E$10</f>
        <v>1.25</v>
      </c>
      <c r="D324" s="14" t="str">
        <f>'Curvas SRY'!$B$14</f>
        <v>Uso variable</v>
      </c>
      <c r="E324" s="14">
        <f>81</f>
        <v>81</v>
      </c>
      <c r="F324" s="21">
        <f>'Hoja 4 - Cálculo'!A105</f>
        <v>32021</v>
      </c>
      <c r="G324" s="15">
        <f>'Hoja 4 - Cálculo'!H105</f>
        <v>26.220375000000001</v>
      </c>
      <c r="H324" s="15">
        <f>IF(D324="Uso único",'Hoja 4 - Cálculo'!I105,IF(D324="Uso múltiple",AVERAGE('Hoja 4 - Cálculo'!$I$25:$I$384)+AVERAGE('Hoja 4 - Cálculo'!$J$25:$J$384)+AVERAGE('Hoja 4 - Cálculo'!$K$25:$K$384),IF(D324="Uso prioritario",'Hoja 4 - Cálculo'!I105+'Hoja 4 - Cálculo'!K105,'Hoja 4 - Cálculo'!I105+'Hoja 4 - Cálculo'!J105+'Hoja 4 - Cálculo'!K105)))</f>
        <v>11.5</v>
      </c>
      <c r="I324" s="15">
        <f t="shared" ref="I324:I387" si="74">H324*C324</f>
        <v>14.375</v>
      </c>
      <c r="J324" s="15">
        <f t="shared" si="71"/>
        <v>0</v>
      </c>
      <c r="K324" s="15">
        <f>MIN(J324+G324,(J324+G324)*'Hoja 4 - Cálculo'!$B$15)</f>
        <v>0.52440750000000003</v>
      </c>
      <c r="L324" s="15">
        <f t="shared" ref="L324:L387" si="75">MAX(0,J324+G324-K324)</f>
        <v>25.695967500000002</v>
      </c>
      <c r="M324" s="15">
        <f t="shared" ref="M324:M387" si="76">MIN(I324,L324)</f>
        <v>14.375</v>
      </c>
      <c r="N324" s="15">
        <f t="shared" ref="N324:N387" si="77">MIN(B324,MAX(0,L324-M324))</f>
        <v>1</v>
      </c>
      <c r="O324" s="15">
        <f t="shared" ref="O324:O387" si="78">MAX(0,L324-M324-B324)</f>
        <v>10.320967500000002</v>
      </c>
      <c r="P324" s="15">
        <f t="shared" ref="P324:P387" si="79">MAX(0,I324-M324)</f>
        <v>0</v>
      </c>
      <c r="Q324" s="14" t="str">
        <f>IF(M324&gt;=I324*'Hoja 4 - Cálculo'!$B$16,"Satisfactorio","Falla")</f>
        <v>Satisfactorio</v>
      </c>
      <c r="R324" s="14">
        <f t="shared" si="72"/>
        <v>1</v>
      </c>
      <c r="S324" s="14">
        <f t="shared" si="73"/>
        <v>0</v>
      </c>
    </row>
    <row r="325" spans="1:19">
      <c r="A325" s="14" t="str">
        <f t="shared" si="70"/>
        <v>SRY-1-3</v>
      </c>
      <c r="B325" s="15">
        <f>'Curvas SRY'!$B$8</f>
        <v>1</v>
      </c>
      <c r="C325" s="15">
        <f>'Curvas SRY'!$E$10</f>
        <v>1.25</v>
      </c>
      <c r="D325" s="14" t="str">
        <f>'Curvas SRY'!$B$14</f>
        <v>Uso variable</v>
      </c>
      <c r="E325" s="14">
        <f>82</f>
        <v>82</v>
      </c>
      <c r="F325" s="21">
        <f>'Hoja 4 - Cálculo'!A106</f>
        <v>32051</v>
      </c>
      <c r="G325" s="15">
        <f>'Hoja 4 - Cálculo'!H106</f>
        <v>32.627249999999997</v>
      </c>
      <c r="H325" s="15">
        <f>IF(D325="Uso único",'Hoja 4 - Cálculo'!I106,IF(D325="Uso múltiple",AVERAGE('Hoja 4 - Cálculo'!$I$25:$I$384)+AVERAGE('Hoja 4 - Cálculo'!$J$25:$J$384)+AVERAGE('Hoja 4 - Cálculo'!$K$25:$K$384),IF(D325="Uso prioritario",'Hoja 4 - Cálculo'!I106+'Hoja 4 - Cálculo'!K106,'Hoja 4 - Cálculo'!I106+'Hoja 4 - Cálculo'!J106+'Hoja 4 - Cálculo'!K106)))</f>
        <v>11.5</v>
      </c>
      <c r="I325" s="15">
        <f t="shared" si="74"/>
        <v>14.375</v>
      </c>
      <c r="J325" s="15">
        <f t="shared" si="71"/>
        <v>1</v>
      </c>
      <c r="K325" s="15">
        <f>MIN(J325+G325,(J325+G325)*'Hoja 4 - Cálculo'!$B$15)</f>
        <v>0.67254499999999995</v>
      </c>
      <c r="L325" s="15">
        <f t="shared" si="75"/>
        <v>32.954704999999997</v>
      </c>
      <c r="M325" s="15">
        <f t="shared" si="76"/>
        <v>14.375</v>
      </c>
      <c r="N325" s="15">
        <f t="shared" si="77"/>
        <v>1</v>
      </c>
      <c r="O325" s="15">
        <f t="shared" si="78"/>
        <v>17.579704999999997</v>
      </c>
      <c r="P325" s="15">
        <f t="shared" si="79"/>
        <v>0</v>
      </c>
      <c r="Q325" s="14" t="str">
        <f>IF(M325&gt;=I325*'Hoja 4 - Cálculo'!$B$16,"Satisfactorio","Falla")</f>
        <v>Satisfactorio</v>
      </c>
      <c r="R325" s="14">
        <f t="shared" si="72"/>
        <v>0</v>
      </c>
      <c r="S325" s="14">
        <f t="shared" si="73"/>
        <v>0</v>
      </c>
    </row>
    <row r="326" spans="1:19">
      <c r="A326" s="14" t="str">
        <f t="shared" si="70"/>
        <v>SRY-1-3</v>
      </c>
      <c r="B326" s="15">
        <f>'Curvas SRY'!$B$8</f>
        <v>1</v>
      </c>
      <c r="C326" s="15">
        <f>'Curvas SRY'!$E$10</f>
        <v>1.25</v>
      </c>
      <c r="D326" s="14" t="str">
        <f>'Curvas SRY'!$B$14</f>
        <v>Uso variable</v>
      </c>
      <c r="E326" s="14">
        <f>83</f>
        <v>83</v>
      </c>
      <c r="F326" s="21">
        <f>'Hoja 4 - Cálculo'!A107</f>
        <v>32082</v>
      </c>
      <c r="G326" s="15">
        <f>'Hoja 4 - Cálculo'!H107</f>
        <v>29.758500000000002</v>
      </c>
      <c r="H326" s="15">
        <f>IF(D326="Uso único",'Hoja 4 - Cálculo'!I107,IF(D326="Uso múltiple",AVERAGE('Hoja 4 - Cálculo'!$I$25:$I$384)+AVERAGE('Hoja 4 - Cálculo'!$J$25:$J$384)+AVERAGE('Hoja 4 - Cálculo'!$K$25:$K$384),IF(D326="Uso prioritario",'Hoja 4 - Cálculo'!I107+'Hoja 4 - Cálculo'!K107,'Hoja 4 - Cálculo'!I107+'Hoja 4 - Cálculo'!J107+'Hoja 4 - Cálculo'!K107)))</f>
        <v>11.5</v>
      </c>
      <c r="I326" s="15">
        <f t="shared" si="74"/>
        <v>14.375</v>
      </c>
      <c r="J326" s="15">
        <f t="shared" si="71"/>
        <v>1</v>
      </c>
      <c r="K326" s="15">
        <f>MIN(J326+G326,(J326+G326)*'Hoja 4 - Cálculo'!$B$15)</f>
        <v>0.61516999999999999</v>
      </c>
      <c r="L326" s="15">
        <f t="shared" si="75"/>
        <v>30.143330000000002</v>
      </c>
      <c r="M326" s="15">
        <f t="shared" si="76"/>
        <v>14.375</v>
      </c>
      <c r="N326" s="15">
        <f t="shared" si="77"/>
        <v>1</v>
      </c>
      <c r="O326" s="15">
        <f t="shared" si="78"/>
        <v>14.768330000000002</v>
      </c>
      <c r="P326" s="15">
        <f t="shared" si="79"/>
        <v>0</v>
      </c>
      <c r="Q326" s="14" t="str">
        <f>IF(M326&gt;=I326*'Hoja 4 - Cálculo'!$B$16,"Satisfactorio","Falla")</f>
        <v>Satisfactorio</v>
      </c>
      <c r="R326" s="14">
        <f t="shared" si="72"/>
        <v>0</v>
      </c>
      <c r="S326" s="14">
        <f t="shared" si="73"/>
        <v>0</v>
      </c>
    </row>
    <row r="327" spans="1:19">
      <c r="A327" s="14" t="str">
        <f t="shared" si="70"/>
        <v>SRY-1-3</v>
      </c>
      <c r="B327" s="15">
        <f>'Curvas SRY'!$B$8</f>
        <v>1</v>
      </c>
      <c r="C327" s="15">
        <f>'Curvas SRY'!$E$10</f>
        <v>1.25</v>
      </c>
      <c r="D327" s="14" t="str">
        <f>'Curvas SRY'!$B$14</f>
        <v>Uso variable</v>
      </c>
      <c r="E327" s="14">
        <f>84</f>
        <v>84</v>
      </c>
      <c r="F327" s="21">
        <f>'Hoja 4 - Cálculo'!A108</f>
        <v>32112</v>
      </c>
      <c r="G327" s="15">
        <f>'Hoja 4 - Cálculo'!H108</f>
        <v>16.543125</v>
      </c>
      <c r="H327" s="15">
        <f>IF(D327="Uso único",'Hoja 4 - Cálculo'!I108,IF(D327="Uso múltiple",AVERAGE('Hoja 4 - Cálculo'!$I$25:$I$384)+AVERAGE('Hoja 4 - Cálculo'!$J$25:$J$384)+AVERAGE('Hoja 4 - Cálculo'!$K$25:$K$384),IF(D327="Uso prioritario",'Hoja 4 - Cálculo'!I108+'Hoja 4 - Cálculo'!K108,'Hoja 4 - Cálculo'!I108+'Hoja 4 - Cálculo'!J108+'Hoja 4 - Cálculo'!K108)))</f>
        <v>16</v>
      </c>
      <c r="I327" s="15">
        <f t="shared" si="74"/>
        <v>20</v>
      </c>
      <c r="J327" s="15">
        <f t="shared" si="71"/>
        <v>1</v>
      </c>
      <c r="K327" s="15">
        <f>MIN(J327+G327,(J327+G327)*'Hoja 4 - Cálculo'!$B$15)</f>
        <v>0.35086250000000002</v>
      </c>
      <c r="L327" s="15">
        <f t="shared" si="75"/>
        <v>17.192262499999998</v>
      </c>
      <c r="M327" s="15">
        <f t="shared" si="76"/>
        <v>17.192262499999998</v>
      </c>
      <c r="N327" s="15">
        <f t="shared" si="77"/>
        <v>0</v>
      </c>
      <c r="O327" s="15">
        <f t="shared" si="78"/>
        <v>0</v>
      </c>
      <c r="P327" s="15">
        <f t="shared" si="79"/>
        <v>2.8077375000000018</v>
      </c>
      <c r="Q327" s="14" t="str">
        <f>IF(M327&gt;=I327*'Hoja 4 - Cálculo'!$B$16,"Satisfactorio","Falla")</f>
        <v>Falla</v>
      </c>
      <c r="R327" s="14">
        <f t="shared" si="72"/>
        <v>0</v>
      </c>
      <c r="S327" s="14">
        <f t="shared" si="73"/>
        <v>1</v>
      </c>
    </row>
    <row r="328" spans="1:19">
      <c r="A328" s="14" t="str">
        <f t="shared" si="70"/>
        <v>SRY-1-3</v>
      </c>
      <c r="B328" s="15">
        <f>'Curvas SRY'!$B$8</f>
        <v>1</v>
      </c>
      <c r="C328" s="15">
        <f>'Curvas SRY'!$E$10</f>
        <v>1.25</v>
      </c>
      <c r="D328" s="14" t="str">
        <f>'Curvas SRY'!$B$14</f>
        <v>Uso variable</v>
      </c>
      <c r="E328" s="14">
        <f>85</f>
        <v>85</v>
      </c>
      <c r="F328" s="21">
        <f>'Hoja 4 - Cálculo'!A109</f>
        <v>32143</v>
      </c>
      <c r="G328" s="15">
        <f>'Hoja 4 - Cálculo'!H109</f>
        <v>13.291874999999999</v>
      </c>
      <c r="H328" s="15">
        <f>IF(D328="Uso único",'Hoja 4 - Cálculo'!I109,IF(D328="Uso múltiple",AVERAGE('Hoja 4 - Cálculo'!$I$25:$I$384)+AVERAGE('Hoja 4 - Cálculo'!$J$25:$J$384)+AVERAGE('Hoja 4 - Cálculo'!$K$25:$K$384),IF(D328="Uso prioritario",'Hoja 4 - Cálculo'!I109+'Hoja 4 - Cálculo'!K109,'Hoja 4 - Cálculo'!I109+'Hoja 4 - Cálculo'!J109+'Hoja 4 - Cálculo'!K109)))</f>
        <v>16</v>
      </c>
      <c r="I328" s="15">
        <f t="shared" si="74"/>
        <v>20</v>
      </c>
      <c r="J328" s="15">
        <f t="shared" si="71"/>
        <v>0</v>
      </c>
      <c r="K328" s="15">
        <f>MIN(J328+G328,(J328+G328)*'Hoja 4 - Cálculo'!$B$15)</f>
        <v>0.2658375</v>
      </c>
      <c r="L328" s="15">
        <f t="shared" si="75"/>
        <v>13.026037499999999</v>
      </c>
      <c r="M328" s="15">
        <f t="shared" si="76"/>
        <v>13.026037499999999</v>
      </c>
      <c r="N328" s="15">
        <f t="shared" si="77"/>
        <v>0</v>
      </c>
      <c r="O328" s="15">
        <f t="shared" si="78"/>
        <v>0</v>
      </c>
      <c r="P328" s="15">
        <f t="shared" si="79"/>
        <v>6.9739625000000007</v>
      </c>
      <c r="Q328" s="14" t="str">
        <f>IF(M328&gt;=I328*'Hoja 4 - Cálculo'!$B$16,"Satisfactorio","Falla")</f>
        <v>Falla</v>
      </c>
      <c r="R328" s="14">
        <f t="shared" si="72"/>
        <v>0</v>
      </c>
      <c r="S328" s="14">
        <f t="shared" si="73"/>
        <v>0</v>
      </c>
    </row>
    <row r="329" spans="1:19">
      <c r="A329" s="14" t="str">
        <f t="shared" si="70"/>
        <v>SRY-1-3</v>
      </c>
      <c r="B329" s="15">
        <f>'Curvas SRY'!$B$8</f>
        <v>1</v>
      </c>
      <c r="C329" s="15">
        <f>'Curvas SRY'!$E$10</f>
        <v>1.25</v>
      </c>
      <c r="D329" s="14" t="str">
        <f>'Curvas SRY'!$B$14</f>
        <v>Uso variable</v>
      </c>
      <c r="E329" s="14">
        <f>86</f>
        <v>86</v>
      </c>
      <c r="F329" s="21">
        <f>'Hoja 4 - Cálculo'!A110</f>
        <v>32174</v>
      </c>
      <c r="G329" s="15">
        <f>'Hoja 4 - Cálculo'!H110</f>
        <v>14.19075</v>
      </c>
      <c r="H329" s="15">
        <f>IF(D329="Uso único",'Hoja 4 - Cálculo'!I110,IF(D329="Uso múltiple",AVERAGE('Hoja 4 - Cálculo'!$I$25:$I$384)+AVERAGE('Hoja 4 - Cálculo'!$J$25:$J$384)+AVERAGE('Hoja 4 - Cálculo'!$K$25:$K$384),IF(D329="Uso prioritario",'Hoja 4 - Cálculo'!I110+'Hoja 4 - Cálculo'!K110,'Hoja 4 - Cálculo'!I110+'Hoja 4 - Cálculo'!J110+'Hoja 4 - Cálculo'!K110)))</f>
        <v>16</v>
      </c>
      <c r="I329" s="15">
        <f t="shared" si="74"/>
        <v>20</v>
      </c>
      <c r="J329" s="15">
        <f t="shared" si="71"/>
        <v>0</v>
      </c>
      <c r="K329" s="15">
        <f>MIN(J329+G329,(J329+G329)*'Hoja 4 - Cálculo'!$B$15)</f>
        <v>0.28381499999999998</v>
      </c>
      <c r="L329" s="15">
        <f t="shared" si="75"/>
        <v>13.906934999999999</v>
      </c>
      <c r="M329" s="15">
        <f t="shared" si="76"/>
        <v>13.906934999999999</v>
      </c>
      <c r="N329" s="15">
        <f t="shared" si="77"/>
        <v>0</v>
      </c>
      <c r="O329" s="15">
        <f t="shared" si="78"/>
        <v>0</v>
      </c>
      <c r="P329" s="15">
        <f t="shared" si="79"/>
        <v>6.0930650000000011</v>
      </c>
      <c r="Q329" s="14" t="str">
        <f>IF(M329&gt;=I329*'Hoja 4 - Cálculo'!$B$16,"Satisfactorio","Falla")</f>
        <v>Falla</v>
      </c>
      <c r="R329" s="14">
        <f t="shared" si="72"/>
        <v>0</v>
      </c>
      <c r="S329" s="14">
        <f t="shared" si="73"/>
        <v>0</v>
      </c>
    </row>
    <row r="330" spans="1:19">
      <c r="A330" s="14" t="str">
        <f t="shared" si="70"/>
        <v>SRY-1-3</v>
      </c>
      <c r="B330" s="15">
        <f>'Curvas SRY'!$B$8</f>
        <v>1</v>
      </c>
      <c r="C330" s="15">
        <f>'Curvas SRY'!$E$10</f>
        <v>1.25</v>
      </c>
      <c r="D330" s="14" t="str">
        <f>'Curvas SRY'!$B$14</f>
        <v>Uso variable</v>
      </c>
      <c r="E330" s="14">
        <f>87</f>
        <v>87</v>
      </c>
      <c r="F330" s="21">
        <f>'Hoja 4 - Cálculo'!A111</f>
        <v>32203</v>
      </c>
      <c r="G330" s="15">
        <f>'Hoja 4 - Cálculo'!H111</f>
        <v>22.338000000000001</v>
      </c>
      <c r="H330" s="15">
        <f>IF(D330="Uso único",'Hoja 4 - Cálculo'!I111,IF(D330="Uso múltiple",AVERAGE('Hoja 4 - Cálculo'!$I$25:$I$384)+AVERAGE('Hoja 4 - Cálculo'!$J$25:$J$384)+AVERAGE('Hoja 4 - Cálculo'!$K$25:$K$384),IF(D330="Uso prioritario",'Hoja 4 - Cálculo'!I111+'Hoja 4 - Cálculo'!K111,'Hoja 4 - Cálculo'!I111+'Hoja 4 - Cálculo'!J111+'Hoja 4 - Cálculo'!K111)))</f>
        <v>16</v>
      </c>
      <c r="I330" s="15">
        <f t="shared" si="74"/>
        <v>20</v>
      </c>
      <c r="J330" s="15">
        <f t="shared" si="71"/>
        <v>0</v>
      </c>
      <c r="K330" s="15">
        <f>MIN(J330+G330,(J330+G330)*'Hoja 4 - Cálculo'!$B$15)</f>
        <v>0.44676000000000005</v>
      </c>
      <c r="L330" s="15">
        <f t="shared" si="75"/>
        <v>21.89124</v>
      </c>
      <c r="M330" s="15">
        <f t="shared" si="76"/>
        <v>20</v>
      </c>
      <c r="N330" s="15">
        <f t="shared" si="77"/>
        <v>1</v>
      </c>
      <c r="O330" s="15">
        <f t="shared" si="78"/>
        <v>0.89123999999999981</v>
      </c>
      <c r="P330" s="15">
        <f t="shared" si="79"/>
        <v>0</v>
      </c>
      <c r="Q330" s="14" t="str">
        <f>IF(M330&gt;=I330*'Hoja 4 - Cálculo'!$B$16,"Satisfactorio","Falla")</f>
        <v>Satisfactorio</v>
      </c>
      <c r="R330" s="14">
        <f t="shared" si="72"/>
        <v>1</v>
      </c>
      <c r="S330" s="14">
        <f t="shared" si="73"/>
        <v>0</v>
      </c>
    </row>
    <row r="331" spans="1:19">
      <c r="A331" s="14" t="str">
        <f t="shared" si="70"/>
        <v>SRY-1-3</v>
      </c>
      <c r="B331" s="15">
        <f>'Curvas SRY'!$B$8</f>
        <v>1</v>
      </c>
      <c r="C331" s="15">
        <f>'Curvas SRY'!$E$10</f>
        <v>1.25</v>
      </c>
      <c r="D331" s="14" t="str">
        <f>'Curvas SRY'!$B$14</f>
        <v>Uso variable</v>
      </c>
      <c r="E331" s="14">
        <f>88</f>
        <v>88</v>
      </c>
      <c r="F331" s="21">
        <f>'Hoja 4 - Cálculo'!A112</f>
        <v>32234</v>
      </c>
      <c r="G331" s="15">
        <f>'Hoja 4 - Cálculo'!H112</f>
        <v>29.643750000000001</v>
      </c>
      <c r="H331" s="15">
        <f>IF(D331="Uso único",'Hoja 4 - Cálculo'!I112,IF(D331="Uso múltiple",AVERAGE('Hoja 4 - Cálculo'!$I$25:$I$384)+AVERAGE('Hoja 4 - Cálculo'!$J$25:$J$384)+AVERAGE('Hoja 4 - Cálculo'!$K$25:$K$384),IF(D331="Uso prioritario",'Hoja 4 - Cálculo'!I112+'Hoja 4 - Cálculo'!K112,'Hoja 4 - Cálculo'!I112+'Hoja 4 - Cálculo'!J112+'Hoja 4 - Cálculo'!K112)))</f>
        <v>11.5</v>
      </c>
      <c r="I331" s="15">
        <f t="shared" si="74"/>
        <v>14.375</v>
      </c>
      <c r="J331" s="15">
        <f t="shared" si="71"/>
        <v>1</v>
      </c>
      <c r="K331" s="15">
        <f>MIN(J331+G331,(J331+G331)*'Hoja 4 - Cálculo'!$B$15)</f>
        <v>0.61287500000000006</v>
      </c>
      <c r="L331" s="15">
        <f t="shared" si="75"/>
        <v>30.030875000000002</v>
      </c>
      <c r="M331" s="15">
        <f t="shared" si="76"/>
        <v>14.375</v>
      </c>
      <c r="N331" s="15">
        <f t="shared" si="77"/>
        <v>1</v>
      </c>
      <c r="O331" s="15">
        <f t="shared" si="78"/>
        <v>14.655875000000002</v>
      </c>
      <c r="P331" s="15">
        <f t="shared" si="79"/>
        <v>0</v>
      </c>
      <c r="Q331" s="14" t="str">
        <f>IF(M331&gt;=I331*'Hoja 4 - Cálculo'!$B$16,"Satisfactorio","Falla")</f>
        <v>Satisfactorio</v>
      </c>
      <c r="R331" s="14">
        <f t="shared" si="72"/>
        <v>0</v>
      </c>
      <c r="S331" s="14">
        <f t="shared" si="73"/>
        <v>0</v>
      </c>
    </row>
    <row r="332" spans="1:19">
      <c r="A332" s="14" t="str">
        <f t="shared" si="70"/>
        <v>SRY-1-3</v>
      </c>
      <c r="B332" s="15">
        <f>'Curvas SRY'!$B$8</f>
        <v>1</v>
      </c>
      <c r="C332" s="15">
        <f>'Curvas SRY'!$E$10</f>
        <v>1.25</v>
      </c>
      <c r="D332" s="14" t="str">
        <f>'Curvas SRY'!$B$14</f>
        <v>Uso variable</v>
      </c>
      <c r="E332" s="14">
        <f>89</f>
        <v>89</v>
      </c>
      <c r="F332" s="21">
        <f>'Hoja 4 - Cálculo'!A113</f>
        <v>32264</v>
      </c>
      <c r="G332" s="15">
        <f>'Hoja 4 - Cálculo'!H113</f>
        <v>28.075500000000002</v>
      </c>
      <c r="H332" s="15">
        <f>IF(D332="Uso único",'Hoja 4 - Cálculo'!I113,IF(D332="Uso múltiple",AVERAGE('Hoja 4 - Cálculo'!$I$25:$I$384)+AVERAGE('Hoja 4 - Cálculo'!$J$25:$J$384)+AVERAGE('Hoja 4 - Cálculo'!$K$25:$K$384),IF(D332="Uso prioritario",'Hoja 4 - Cálculo'!I113+'Hoja 4 - Cálculo'!K113,'Hoja 4 - Cálculo'!I113+'Hoja 4 - Cálculo'!J113+'Hoja 4 - Cálculo'!K113)))</f>
        <v>11.5</v>
      </c>
      <c r="I332" s="15">
        <f t="shared" si="74"/>
        <v>14.375</v>
      </c>
      <c r="J332" s="15">
        <f t="shared" si="71"/>
        <v>1</v>
      </c>
      <c r="K332" s="15">
        <f>MIN(J332+G332,(J332+G332)*'Hoja 4 - Cálculo'!$B$15)</f>
        <v>0.58151000000000008</v>
      </c>
      <c r="L332" s="15">
        <f t="shared" si="75"/>
        <v>28.49399</v>
      </c>
      <c r="M332" s="15">
        <f t="shared" si="76"/>
        <v>14.375</v>
      </c>
      <c r="N332" s="15">
        <f t="shared" si="77"/>
        <v>1</v>
      </c>
      <c r="O332" s="15">
        <f t="shared" si="78"/>
        <v>13.11899</v>
      </c>
      <c r="P332" s="15">
        <f t="shared" si="79"/>
        <v>0</v>
      </c>
      <c r="Q332" s="14" t="str">
        <f>IF(M332&gt;=I332*'Hoja 4 - Cálculo'!$B$16,"Satisfactorio","Falla")</f>
        <v>Satisfactorio</v>
      </c>
      <c r="R332" s="14">
        <f t="shared" si="72"/>
        <v>0</v>
      </c>
      <c r="S332" s="14">
        <f t="shared" si="73"/>
        <v>0</v>
      </c>
    </row>
    <row r="333" spans="1:19">
      <c r="A333" s="14" t="str">
        <f t="shared" si="70"/>
        <v>SRY-1-3</v>
      </c>
      <c r="B333" s="15">
        <f>'Curvas SRY'!$B$8</f>
        <v>1</v>
      </c>
      <c r="C333" s="15">
        <f>'Curvas SRY'!$E$10</f>
        <v>1.25</v>
      </c>
      <c r="D333" s="14" t="str">
        <f>'Curvas SRY'!$B$14</f>
        <v>Uso variable</v>
      </c>
      <c r="E333" s="14">
        <f>90</f>
        <v>90</v>
      </c>
      <c r="F333" s="21">
        <f>'Hoja 4 - Cálculo'!A114</f>
        <v>32295</v>
      </c>
      <c r="G333" s="15">
        <f>'Hoja 4 - Cálculo'!H114</f>
        <v>16.485749999999999</v>
      </c>
      <c r="H333" s="15">
        <f>IF(D333="Uso único",'Hoja 4 - Cálculo'!I114,IF(D333="Uso múltiple",AVERAGE('Hoja 4 - Cálculo'!$I$25:$I$384)+AVERAGE('Hoja 4 - Cálculo'!$J$25:$J$384)+AVERAGE('Hoja 4 - Cálculo'!$K$25:$K$384),IF(D333="Uso prioritario",'Hoja 4 - Cálculo'!I114+'Hoja 4 - Cálculo'!K114,'Hoja 4 - Cálculo'!I114+'Hoja 4 - Cálculo'!J114+'Hoja 4 - Cálculo'!K114)))</f>
        <v>11.5</v>
      </c>
      <c r="I333" s="15">
        <f t="shared" si="74"/>
        <v>14.375</v>
      </c>
      <c r="J333" s="15">
        <f t="shared" si="71"/>
        <v>1</v>
      </c>
      <c r="K333" s="15">
        <f>MIN(J333+G333,(J333+G333)*'Hoja 4 - Cálculo'!$B$15)</f>
        <v>0.349715</v>
      </c>
      <c r="L333" s="15">
        <f t="shared" si="75"/>
        <v>17.136035</v>
      </c>
      <c r="M333" s="15">
        <f t="shared" si="76"/>
        <v>14.375</v>
      </c>
      <c r="N333" s="15">
        <f t="shared" si="77"/>
        <v>1</v>
      </c>
      <c r="O333" s="15">
        <f t="shared" si="78"/>
        <v>1.7610349999999997</v>
      </c>
      <c r="P333" s="15">
        <f t="shared" si="79"/>
        <v>0</v>
      </c>
      <c r="Q333" s="14" t="str">
        <f>IF(M333&gt;=I333*'Hoja 4 - Cálculo'!$B$16,"Satisfactorio","Falla")</f>
        <v>Satisfactorio</v>
      </c>
      <c r="R333" s="14">
        <f t="shared" si="72"/>
        <v>0</v>
      </c>
      <c r="S333" s="14">
        <f t="shared" si="73"/>
        <v>0</v>
      </c>
    </row>
    <row r="334" spans="1:19">
      <c r="A334" s="14" t="str">
        <f t="shared" si="70"/>
        <v>SRY-1-3</v>
      </c>
      <c r="B334" s="15">
        <f>'Curvas SRY'!$B$8</f>
        <v>1</v>
      </c>
      <c r="C334" s="15">
        <f>'Curvas SRY'!$E$10</f>
        <v>1.25</v>
      </c>
      <c r="D334" s="14" t="str">
        <f>'Curvas SRY'!$B$14</f>
        <v>Uso variable</v>
      </c>
      <c r="E334" s="14">
        <f>91</f>
        <v>91</v>
      </c>
      <c r="F334" s="21">
        <f>'Hoja 4 - Cálculo'!A115</f>
        <v>32325</v>
      </c>
      <c r="G334" s="15">
        <f>'Hoja 4 - Cálculo'!H115</f>
        <v>13.827375</v>
      </c>
      <c r="H334" s="15">
        <f>IF(D334="Uso único",'Hoja 4 - Cálculo'!I115,IF(D334="Uso múltiple",AVERAGE('Hoja 4 - Cálculo'!$I$25:$I$384)+AVERAGE('Hoja 4 - Cálculo'!$J$25:$J$384)+AVERAGE('Hoja 4 - Cálculo'!$K$25:$K$384),IF(D334="Uso prioritario",'Hoja 4 - Cálculo'!I115+'Hoja 4 - Cálculo'!K115,'Hoja 4 - Cálculo'!I115+'Hoja 4 - Cálculo'!J115+'Hoja 4 - Cálculo'!K115)))</f>
        <v>16</v>
      </c>
      <c r="I334" s="15">
        <f t="shared" si="74"/>
        <v>20</v>
      </c>
      <c r="J334" s="15">
        <f t="shared" si="71"/>
        <v>1</v>
      </c>
      <c r="K334" s="15">
        <f>MIN(J334+G334,(J334+G334)*'Hoja 4 - Cálculo'!$B$15)</f>
        <v>0.29654750000000002</v>
      </c>
      <c r="L334" s="15">
        <f t="shared" si="75"/>
        <v>14.530827499999999</v>
      </c>
      <c r="M334" s="15">
        <f t="shared" si="76"/>
        <v>14.530827499999999</v>
      </c>
      <c r="N334" s="15">
        <f t="shared" si="77"/>
        <v>0</v>
      </c>
      <c r="O334" s="15">
        <f t="shared" si="78"/>
        <v>0</v>
      </c>
      <c r="P334" s="15">
        <f t="shared" si="79"/>
        <v>5.4691725000000009</v>
      </c>
      <c r="Q334" s="14" t="str">
        <f>IF(M334&gt;=I334*'Hoja 4 - Cálculo'!$B$16,"Satisfactorio","Falla")</f>
        <v>Falla</v>
      </c>
      <c r="R334" s="14">
        <f t="shared" si="72"/>
        <v>0</v>
      </c>
      <c r="S334" s="14">
        <f t="shared" si="73"/>
        <v>1</v>
      </c>
    </row>
    <row r="335" spans="1:19">
      <c r="A335" s="14" t="str">
        <f t="shared" si="70"/>
        <v>SRY-1-3</v>
      </c>
      <c r="B335" s="15">
        <f>'Curvas SRY'!$B$8</f>
        <v>1</v>
      </c>
      <c r="C335" s="15">
        <f>'Curvas SRY'!$E$10</f>
        <v>1.25</v>
      </c>
      <c r="D335" s="14" t="str">
        <f>'Curvas SRY'!$B$14</f>
        <v>Uso variable</v>
      </c>
      <c r="E335" s="14">
        <f>92</f>
        <v>92</v>
      </c>
      <c r="F335" s="21">
        <f>'Hoja 4 - Cálculo'!A116</f>
        <v>32356</v>
      </c>
      <c r="G335" s="15">
        <f>'Hoja 4 - Cálculo'!H116</f>
        <v>14.783625000000001</v>
      </c>
      <c r="H335" s="15">
        <f>IF(D335="Uso único",'Hoja 4 - Cálculo'!I116,IF(D335="Uso múltiple",AVERAGE('Hoja 4 - Cálculo'!$I$25:$I$384)+AVERAGE('Hoja 4 - Cálculo'!$J$25:$J$384)+AVERAGE('Hoja 4 - Cálculo'!$K$25:$K$384),IF(D335="Uso prioritario",'Hoja 4 - Cálculo'!I116+'Hoja 4 - Cálculo'!K116,'Hoja 4 - Cálculo'!I116+'Hoja 4 - Cálculo'!J116+'Hoja 4 - Cálculo'!K116)))</f>
        <v>16</v>
      </c>
      <c r="I335" s="15">
        <f t="shared" si="74"/>
        <v>20</v>
      </c>
      <c r="J335" s="15">
        <f t="shared" si="71"/>
        <v>0</v>
      </c>
      <c r="K335" s="15">
        <f>MIN(J335+G335,(J335+G335)*'Hoja 4 - Cálculo'!$B$15)</f>
        <v>0.2956725</v>
      </c>
      <c r="L335" s="15">
        <f t="shared" si="75"/>
        <v>14.4879525</v>
      </c>
      <c r="M335" s="15">
        <f t="shared" si="76"/>
        <v>14.4879525</v>
      </c>
      <c r="N335" s="15">
        <f t="shared" si="77"/>
        <v>0</v>
      </c>
      <c r="O335" s="15">
        <f t="shared" si="78"/>
        <v>0</v>
      </c>
      <c r="P335" s="15">
        <f t="shared" si="79"/>
        <v>5.5120474999999995</v>
      </c>
      <c r="Q335" s="14" t="str">
        <f>IF(M335&gt;=I335*'Hoja 4 - Cálculo'!$B$16,"Satisfactorio","Falla")</f>
        <v>Falla</v>
      </c>
      <c r="R335" s="14">
        <f t="shared" si="72"/>
        <v>0</v>
      </c>
      <c r="S335" s="14">
        <f t="shared" si="73"/>
        <v>0</v>
      </c>
    </row>
    <row r="336" spans="1:19">
      <c r="A336" s="14" t="str">
        <f t="shared" si="70"/>
        <v>SRY-1-3</v>
      </c>
      <c r="B336" s="15">
        <f>'Curvas SRY'!$B$8</f>
        <v>1</v>
      </c>
      <c r="C336" s="15">
        <f>'Curvas SRY'!$E$10</f>
        <v>1.25</v>
      </c>
      <c r="D336" s="14" t="str">
        <f>'Curvas SRY'!$B$14</f>
        <v>Uso variable</v>
      </c>
      <c r="E336" s="14">
        <f>93</f>
        <v>93</v>
      </c>
      <c r="F336" s="21">
        <f>'Hoja 4 - Cálculo'!A117</f>
        <v>32387</v>
      </c>
      <c r="G336" s="15">
        <f>'Hoja 4 - Cálculo'!H117</f>
        <v>23.3325</v>
      </c>
      <c r="H336" s="15">
        <f>IF(D336="Uso único",'Hoja 4 - Cálculo'!I117,IF(D336="Uso múltiple",AVERAGE('Hoja 4 - Cálculo'!$I$25:$I$384)+AVERAGE('Hoja 4 - Cálculo'!$J$25:$J$384)+AVERAGE('Hoja 4 - Cálculo'!$K$25:$K$384),IF(D336="Uso prioritario",'Hoja 4 - Cálculo'!I117+'Hoja 4 - Cálculo'!K117,'Hoja 4 - Cálculo'!I117+'Hoja 4 - Cálculo'!J117+'Hoja 4 - Cálculo'!K117)))</f>
        <v>11.5</v>
      </c>
      <c r="I336" s="15">
        <f t="shared" si="74"/>
        <v>14.375</v>
      </c>
      <c r="J336" s="15">
        <f t="shared" si="71"/>
        <v>0</v>
      </c>
      <c r="K336" s="15">
        <f>MIN(J336+G336,(J336+G336)*'Hoja 4 - Cálculo'!$B$15)</f>
        <v>0.46665000000000001</v>
      </c>
      <c r="L336" s="15">
        <f t="shared" si="75"/>
        <v>22.865849999999998</v>
      </c>
      <c r="M336" s="15">
        <f t="shared" si="76"/>
        <v>14.375</v>
      </c>
      <c r="N336" s="15">
        <f t="shared" si="77"/>
        <v>1</v>
      </c>
      <c r="O336" s="15">
        <f t="shared" si="78"/>
        <v>7.4908499999999982</v>
      </c>
      <c r="P336" s="15">
        <f t="shared" si="79"/>
        <v>0</v>
      </c>
      <c r="Q336" s="14" t="str">
        <f>IF(M336&gt;=I336*'Hoja 4 - Cálculo'!$B$16,"Satisfactorio","Falla")</f>
        <v>Satisfactorio</v>
      </c>
      <c r="R336" s="14">
        <f t="shared" si="72"/>
        <v>1</v>
      </c>
      <c r="S336" s="14">
        <f t="shared" si="73"/>
        <v>0</v>
      </c>
    </row>
    <row r="337" spans="1:19">
      <c r="A337" s="14" t="str">
        <f t="shared" si="70"/>
        <v>SRY-1-3</v>
      </c>
      <c r="B337" s="15">
        <f>'Curvas SRY'!$B$8</f>
        <v>1</v>
      </c>
      <c r="C337" s="15">
        <f>'Curvas SRY'!$E$10</f>
        <v>1.25</v>
      </c>
      <c r="D337" s="14" t="str">
        <f>'Curvas SRY'!$B$14</f>
        <v>Uso variable</v>
      </c>
      <c r="E337" s="14">
        <f>94</f>
        <v>94</v>
      </c>
      <c r="F337" s="21">
        <f>'Hoja 4 - Cálculo'!A118</f>
        <v>32417</v>
      </c>
      <c r="G337" s="15">
        <f>'Hoja 4 - Cálculo'!H118</f>
        <v>32.015250000000002</v>
      </c>
      <c r="H337" s="15">
        <f>IF(D337="Uso único",'Hoja 4 - Cálculo'!I118,IF(D337="Uso múltiple",AVERAGE('Hoja 4 - Cálculo'!$I$25:$I$384)+AVERAGE('Hoja 4 - Cálculo'!$J$25:$J$384)+AVERAGE('Hoja 4 - Cálculo'!$K$25:$K$384),IF(D337="Uso prioritario",'Hoja 4 - Cálculo'!I118+'Hoja 4 - Cálculo'!K118,'Hoja 4 - Cálculo'!I118+'Hoja 4 - Cálculo'!J118+'Hoja 4 - Cálculo'!K118)))</f>
        <v>11.5</v>
      </c>
      <c r="I337" s="15">
        <f t="shared" si="74"/>
        <v>14.375</v>
      </c>
      <c r="J337" s="15">
        <f t="shared" si="71"/>
        <v>1</v>
      </c>
      <c r="K337" s="15">
        <f>MIN(J337+G337,(J337+G337)*'Hoja 4 - Cálculo'!$B$15)</f>
        <v>0.66030500000000003</v>
      </c>
      <c r="L337" s="15">
        <f t="shared" si="75"/>
        <v>32.354945000000001</v>
      </c>
      <c r="M337" s="15">
        <f t="shared" si="76"/>
        <v>14.375</v>
      </c>
      <c r="N337" s="15">
        <f t="shared" si="77"/>
        <v>1</v>
      </c>
      <c r="O337" s="15">
        <f t="shared" si="78"/>
        <v>16.979945000000001</v>
      </c>
      <c r="P337" s="15">
        <f t="shared" si="79"/>
        <v>0</v>
      </c>
      <c r="Q337" s="14" t="str">
        <f>IF(M337&gt;=I337*'Hoja 4 - Cálculo'!$B$16,"Satisfactorio","Falla")</f>
        <v>Satisfactorio</v>
      </c>
      <c r="R337" s="14">
        <f t="shared" si="72"/>
        <v>0</v>
      </c>
      <c r="S337" s="14">
        <f t="shared" si="73"/>
        <v>0</v>
      </c>
    </row>
    <row r="338" spans="1:19">
      <c r="A338" s="14" t="str">
        <f t="shared" si="70"/>
        <v>SRY-1-3</v>
      </c>
      <c r="B338" s="15">
        <f>'Curvas SRY'!$B$8</f>
        <v>1</v>
      </c>
      <c r="C338" s="15">
        <f>'Curvas SRY'!$E$10</f>
        <v>1.25</v>
      </c>
      <c r="D338" s="14" t="str">
        <f>'Curvas SRY'!$B$14</f>
        <v>Uso variable</v>
      </c>
      <c r="E338" s="14">
        <f>95</f>
        <v>95</v>
      </c>
      <c r="F338" s="21">
        <f>'Hoja 4 - Cálculo'!A119</f>
        <v>32448</v>
      </c>
      <c r="G338" s="15">
        <f>'Hoja 4 - Cálculo'!H119</f>
        <v>25.876124999999998</v>
      </c>
      <c r="H338" s="15">
        <f>IF(D338="Uso único",'Hoja 4 - Cálculo'!I119,IF(D338="Uso múltiple",AVERAGE('Hoja 4 - Cálculo'!$I$25:$I$384)+AVERAGE('Hoja 4 - Cálculo'!$J$25:$J$384)+AVERAGE('Hoja 4 - Cálculo'!$K$25:$K$384),IF(D338="Uso prioritario",'Hoja 4 - Cálculo'!I119+'Hoja 4 - Cálculo'!K119,'Hoja 4 - Cálculo'!I119+'Hoja 4 - Cálculo'!J119+'Hoja 4 - Cálculo'!K119)))</f>
        <v>11.5</v>
      </c>
      <c r="I338" s="15">
        <f t="shared" si="74"/>
        <v>14.375</v>
      </c>
      <c r="J338" s="15">
        <f t="shared" si="71"/>
        <v>1</v>
      </c>
      <c r="K338" s="15">
        <f>MIN(J338+G338,(J338+G338)*'Hoja 4 - Cálculo'!$B$15)</f>
        <v>0.53752250000000001</v>
      </c>
      <c r="L338" s="15">
        <f t="shared" si="75"/>
        <v>26.338602499999997</v>
      </c>
      <c r="M338" s="15">
        <f t="shared" si="76"/>
        <v>14.375</v>
      </c>
      <c r="N338" s="15">
        <f t="shared" si="77"/>
        <v>1</v>
      </c>
      <c r="O338" s="15">
        <f t="shared" si="78"/>
        <v>10.963602499999997</v>
      </c>
      <c r="P338" s="15">
        <f t="shared" si="79"/>
        <v>0</v>
      </c>
      <c r="Q338" s="14" t="str">
        <f>IF(M338&gt;=I338*'Hoja 4 - Cálculo'!$B$16,"Satisfactorio","Falla")</f>
        <v>Satisfactorio</v>
      </c>
      <c r="R338" s="14">
        <f t="shared" si="72"/>
        <v>0</v>
      </c>
      <c r="S338" s="14">
        <f t="shared" si="73"/>
        <v>0</v>
      </c>
    </row>
    <row r="339" spans="1:19">
      <c r="A339" s="14" t="str">
        <f t="shared" si="70"/>
        <v>SRY-1-3</v>
      </c>
      <c r="B339" s="15">
        <f>'Curvas SRY'!$B$8</f>
        <v>1</v>
      </c>
      <c r="C339" s="15">
        <f>'Curvas SRY'!$E$10</f>
        <v>1.25</v>
      </c>
      <c r="D339" s="14" t="str">
        <f>'Curvas SRY'!$B$14</f>
        <v>Uso variable</v>
      </c>
      <c r="E339" s="14">
        <f>96</f>
        <v>96</v>
      </c>
      <c r="F339" s="21">
        <f>'Hoja 4 - Cálculo'!A120</f>
        <v>32478</v>
      </c>
      <c r="G339" s="15">
        <f>'Hoja 4 - Cálculo'!H120</f>
        <v>16.218</v>
      </c>
      <c r="H339" s="15">
        <f>IF(D339="Uso único",'Hoja 4 - Cálculo'!I120,IF(D339="Uso múltiple",AVERAGE('Hoja 4 - Cálculo'!$I$25:$I$384)+AVERAGE('Hoja 4 - Cálculo'!$J$25:$J$384)+AVERAGE('Hoja 4 - Cálculo'!$K$25:$K$384),IF(D339="Uso prioritario",'Hoja 4 - Cálculo'!I120+'Hoja 4 - Cálculo'!K120,'Hoja 4 - Cálculo'!I120+'Hoja 4 - Cálculo'!J120+'Hoja 4 - Cálculo'!K120)))</f>
        <v>16</v>
      </c>
      <c r="I339" s="15">
        <f t="shared" si="74"/>
        <v>20</v>
      </c>
      <c r="J339" s="15">
        <f t="shared" si="71"/>
        <v>1</v>
      </c>
      <c r="K339" s="15">
        <f>MIN(J339+G339,(J339+G339)*'Hoja 4 - Cálculo'!$B$15)</f>
        <v>0.34436</v>
      </c>
      <c r="L339" s="15">
        <f t="shared" si="75"/>
        <v>16.873640000000002</v>
      </c>
      <c r="M339" s="15">
        <f t="shared" si="76"/>
        <v>16.873640000000002</v>
      </c>
      <c r="N339" s="15">
        <f t="shared" si="77"/>
        <v>0</v>
      </c>
      <c r="O339" s="15">
        <f t="shared" si="78"/>
        <v>0</v>
      </c>
      <c r="P339" s="15">
        <f t="shared" si="79"/>
        <v>3.1263599999999983</v>
      </c>
      <c r="Q339" s="14" t="str">
        <f>IF(M339&gt;=I339*'Hoja 4 - Cálculo'!$B$16,"Satisfactorio","Falla")</f>
        <v>Falla</v>
      </c>
      <c r="R339" s="14">
        <f t="shared" si="72"/>
        <v>0</v>
      </c>
      <c r="S339" s="14">
        <f t="shared" si="73"/>
        <v>1</v>
      </c>
    </row>
    <row r="340" spans="1:19">
      <c r="A340" s="14" t="str">
        <f t="shared" ref="A340:A363" si="80">"SRY-1-3"</f>
        <v>SRY-1-3</v>
      </c>
      <c r="B340" s="15">
        <f>'Curvas SRY'!$B$8</f>
        <v>1</v>
      </c>
      <c r="C340" s="15">
        <f>'Curvas SRY'!$E$10</f>
        <v>1.25</v>
      </c>
      <c r="D340" s="14" t="str">
        <f>'Curvas SRY'!$B$14</f>
        <v>Uso variable</v>
      </c>
      <c r="E340" s="14">
        <f>97</f>
        <v>97</v>
      </c>
      <c r="F340" s="21">
        <f>'Hoja 4 - Cálculo'!A121</f>
        <v>32509</v>
      </c>
      <c r="G340" s="15">
        <f>'Hoja 4 - Cálculo'!H121</f>
        <v>11.761875</v>
      </c>
      <c r="H340" s="15">
        <f>IF(D340="Uso único",'Hoja 4 - Cálculo'!I121,IF(D340="Uso múltiple",AVERAGE('Hoja 4 - Cálculo'!$I$25:$I$384)+AVERAGE('Hoja 4 - Cálculo'!$J$25:$J$384)+AVERAGE('Hoja 4 - Cálculo'!$K$25:$K$384),IF(D340="Uso prioritario",'Hoja 4 - Cálculo'!I121+'Hoja 4 - Cálculo'!K121,'Hoja 4 - Cálculo'!I121+'Hoja 4 - Cálculo'!J121+'Hoja 4 - Cálculo'!K121)))</f>
        <v>16</v>
      </c>
      <c r="I340" s="15">
        <f t="shared" si="74"/>
        <v>20</v>
      </c>
      <c r="J340" s="15">
        <f t="shared" si="71"/>
        <v>0</v>
      </c>
      <c r="K340" s="15">
        <f>MIN(J340+G340,(J340+G340)*'Hoja 4 - Cálculo'!$B$15)</f>
        <v>0.23523749999999999</v>
      </c>
      <c r="L340" s="15">
        <f t="shared" si="75"/>
        <v>11.5266375</v>
      </c>
      <c r="M340" s="15">
        <f t="shared" si="76"/>
        <v>11.5266375</v>
      </c>
      <c r="N340" s="15">
        <f t="shared" si="77"/>
        <v>0</v>
      </c>
      <c r="O340" s="15">
        <f t="shared" si="78"/>
        <v>0</v>
      </c>
      <c r="P340" s="15">
        <f t="shared" si="79"/>
        <v>8.4733625000000004</v>
      </c>
      <c r="Q340" s="14" t="str">
        <f>IF(M340&gt;=I340*'Hoja 4 - Cálculo'!$B$16,"Satisfactorio","Falla")</f>
        <v>Falla</v>
      </c>
      <c r="R340" s="14">
        <f t="shared" si="72"/>
        <v>0</v>
      </c>
      <c r="S340" s="14">
        <f t="shared" si="73"/>
        <v>0</v>
      </c>
    </row>
    <row r="341" spans="1:19">
      <c r="A341" s="14" t="str">
        <f t="shared" si="80"/>
        <v>SRY-1-3</v>
      </c>
      <c r="B341" s="15">
        <f>'Curvas SRY'!$B$8</f>
        <v>1</v>
      </c>
      <c r="C341" s="15">
        <f>'Curvas SRY'!$E$10</f>
        <v>1.25</v>
      </c>
      <c r="D341" s="14" t="str">
        <f>'Curvas SRY'!$B$14</f>
        <v>Uso variable</v>
      </c>
      <c r="E341" s="14">
        <f>98</f>
        <v>98</v>
      </c>
      <c r="F341" s="21">
        <f>'Hoja 4 - Cálculo'!A122</f>
        <v>32540</v>
      </c>
      <c r="G341" s="15">
        <f>'Hoja 4 - Cálculo'!H122</f>
        <v>12.43125</v>
      </c>
      <c r="H341" s="15">
        <f>IF(D341="Uso único",'Hoja 4 - Cálculo'!I122,IF(D341="Uso múltiple",AVERAGE('Hoja 4 - Cálculo'!$I$25:$I$384)+AVERAGE('Hoja 4 - Cálculo'!$J$25:$J$384)+AVERAGE('Hoja 4 - Cálculo'!$K$25:$K$384),IF(D341="Uso prioritario",'Hoja 4 - Cálculo'!I122+'Hoja 4 - Cálculo'!K122,'Hoja 4 - Cálculo'!I122+'Hoja 4 - Cálculo'!J122+'Hoja 4 - Cálculo'!K122)))</f>
        <v>16</v>
      </c>
      <c r="I341" s="15">
        <f t="shared" si="74"/>
        <v>20</v>
      </c>
      <c r="J341" s="15">
        <f t="shared" ref="J341:J363" si="81">N340</f>
        <v>0</v>
      </c>
      <c r="K341" s="15">
        <f>MIN(J341+G341,(J341+G341)*'Hoja 4 - Cálculo'!$B$15)</f>
        <v>0.24862500000000001</v>
      </c>
      <c r="L341" s="15">
        <f t="shared" si="75"/>
        <v>12.182625</v>
      </c>
      <c r="M341" s="15">
        <f t="shared" si="76"/>
        <v>12.182625</v>
      </c>
      <c r="N341" s="15">
        <f t="shared" si="77"/>
        <v>0</v>
      </c>
      <c r="O341" s="15">
        <f t="shared" si="78"/>
        <v>0</v>
      </c>
      <c r="P341" s="15">
        <f t="shared" si="79"/>
        <v>7.8173750000000002</v>
      </c>
      <c r="Q341" s="14" t="str">
        <f>IF(M341&gt;=I341*'Hoja 4 - Cálculo'!$B$16,"Satisfactorio","Falla")</f>
        <v>Falla</v>
      </c>
      <c r="R341" s="14">
        <f t="shared" ref="R341:R372" si="82">IF(AND(Q340="Falla",Q341="Satisfactorio"),1,0)</f>
        <v>0</v>
      </c>
      <c r="S341" s="14">
        <f t="shared" ref="S341:S363" si="83">IF(AND(Q341="Falla",Q340&lt;&gt;"Falla"),1,0)</f>
        <v>0</v>
      </c>
    </row>
    <row r="342" spans="1:19">
      <c r="A342" s="14" t="str">
        <f t="shared" si="80"/>
        <v>SRY-1-3</v>
      </c>
      <c r="B342" s="15">
        <f>'Curvas SRY'!$B$8</f>
        <v>1</v>
      </c>
      <c r="C342" s="15">
        <f>'Curvas SRY'!$E$10</f>
        <v>1.25</v>
      </c>
      <c r="D342" s="14" t="str">
        <f>'Curvas SRY'!$B$14</f>
        <v>Uso variable</v>
      </c>
      <c r="E342" s="14">
        <f>99</f>
        <v>99</v>
      </c>
      <c r="F342" s="21">
        <f>'Hoja 4 - Cálculo'!A123</f>
        <v>32568</v>
      </c>
      <c r="G342" s="15">
        <f>'Hoja 4 - Cálculo'!H123</f>
        <v>19.717874999999999</v>
      </c>
      <c r="H342" s="15">
        <f>IF(D342="Uso único",'Hoja 4 - Cálculo'!I123,IF(D342="Uso múltiple",AVERAGE('Hoja 4 - Cálculo'!$I$25:$I$384)+AVERAGE('Hoja 4 - Cálculo'!$J$25:$J$384)+AVERAGE('Hoja 4 - Cálculo'!$K$25:$K$384),IF(D342="Uso prioritario",'Hoja 4 - Cálculo'!I123+'Hoja 4 - Cálculo'!K123,'Hoja 4 - Cálculo'!I123+'Hoja 4 - Cálculo'!J123+'Hoja 4 - Cálculo'!K123)))</f>
        <v>16</v>
      </c>
      <c r="I342" s="15">
        <f t="shared" si="74"/>
        <v>20</v>
      </c>
      <c r="J342" s="15">
        <f t="shared" si="81"/>
        <v>0</v>
      </c>
      <c r="K342" s="15">
        <f>MIN(J342+G342,(J342+G342)*'Hoja 4 - Cálculo'!$B$15)</f>
        <v>0.39435749999999997</v>
      </c>
      <c r="L342" s="15">
        <f t="shared" si="75"/>
        <v>19.323517499999998</v>
      </c>
      <c r="M342" s="15">
        <f t="shared" si="76"/>
        <v>19.323517499999998</v>
      </c>
      <c r="N342" s="15">
        <f t="shared" si="77"/>
        <v>0</v>
      </c>
      <c r="O342" s="15">
        <f t="shared" si="78"/>
        <v>0</v>
      </c>
      <c r="P342" s="15">
        <f t="shared" si="79"/>
        <v>0.67648250000000232</v>
      </c>
      <c r="Q342" s="14" t="str">
        <f>IF(M342&gt;=I342*'Hoja 4 - Cálculo'!$B$16,"Satisfactorio","Falla")</f>
        <v>Falla</v>
      </c>
      <c r="R342" s="14">
        <f t="shared" si="82"/>
        <v>0</v>
      </c>
      <c r="S342" s="14">
        <f t="shared" si="83"/>
        <v>0</v>
      </c>
    </row>
    <row r="343" spans="1:19">
      <c r="A343" s="14" t="str">
        <f t="shared" si="80"/>
        <v>SRY-1-3</v>
      </c>
      <c r="B343" s="15">
        <f>'Curvas SRY'!$B$8</f>
        <v>1</v>
      </c>
      <c r="C343" s="15">
        <f>'Curvas SRY'!$E$10</f>
        <v>1.25</v>
      </c>
      <c r="D343" s="14" t="str">
        <f>'Curvas SRY'!$B$14</f>
        <v>Uso variable</v>
      </c>
      <c r="E343" s="14">
        <f>100</f>
        <v>100</v>
      </c>
      <c r="F343" s="21">
        <f>'Hoja 4 - Cálculo'!A124</f>
        <v>32599</v>
      </c>
      <c r="G343" s="15">
        <f>'Hoja 4 - Cálculo'!H124</f>
        <v>26.029125000000001</v>
      </c>
      <c r="H343" s="15">
        <f>IF(D343="Uso único",'Hoja 4 - Cálculo'!I124,IF(D343="Uso múltiple",AVERAGE('Hoja 4 - Cálculo'!$I$25:$I$384)+AVERAGE('Hoja 4 - Cálculo'!$J$25:$J$384)+AVERAGE('Hoja 4 - Cálculo'!$K$25:$K$384),IF(D343="Uso prioritario",'Hoja 4 - Cálculo'!I124+'Hoja 4 - Cálculo'!K124,'Hoja 4 - Cálculo'!I124+'Hoja 4 - Cálculo'!J124+'Hoja 4 - Cálculo'!K124)))</f>
        <v>11.5</v>
      </c>
      <c r="I343" s="15">
        <f t="shared" si="74"/>
        <v>14.375</v>
      </c>
      <c r="J343" s="15">
        <f t="shared" si="81"/>
        <v>0</v>
      </c>
      <c r="K343" s="15">
        <f>MIN(J343+G343,(J343+G343)*'Hoja 4 - Cálculo'!$B$15)</f>
        <v>0.52058250000000006</v>
      </c>
      <c r="L343" s="15">
        <f t="shared" si="75"/>
        <v>25.508542500000001</v>
      </c>
      <c r="M343" s="15">
        <f t="shared" si="76"/>
        <v>14.375</v>
      </c>
      <c r="N343" s="15">
        <f t="shared" si="77"/>
        <v>1</v>
      </c>
      <c r="O343" s="15">
        <f t="shared" si="78"/>
        <v>10.133542500000001</v>
      </c>
      <c r="P343" s="15">
        <f t="shared" si="79"/>
        <v>0</v>
      </c>
      <c r="Q343" s="14" t="str">
        <f>IF(M343&gt;=I343*'Hoja 4 - Cálculo'!$B$16,"Satisfactorio","Falla")</f>
        <v>Satisfactorio</v>
      </c>
      <c r="R343" s="14">
        <f t="shared" si="82"/>
        <v>1</v>
      </c>
      <c r="S343" s="14">
        <f t="shared" si="83"/>
        <v>0</v>
      </c>
    </row>
    <row r="344" spans="1:19">
      <c r="A344" s="14" t="str">
        <f t="shared" si="80"/>
        <v>SRY-1-3</v>
      </c>
      <c r="B344" s="15">
        <f>'Curvas SRY'!$B$8</f>
        <v>1</v>
      </c>
      <c r="C344" s="15">
        <f>'Curvas SRY'!$E$10</f>
        <v>1.25</v>
      </c>
      <c r="D344" s="14" t="str">
        <f>'Curvas SRY'!$B$14</f>
        <v>Uso variable</v>
      </c>
      <c r="E344" s="14">
        <f>101</f>
        <v>101</v>
      </c>
      <c r="F344" s="21">
        <f>'Hoja 4 - Cálculo'!A125</f>
        <v>32629</v>
      </c>
      <c r="G344" s="15">
        <f>'Hoja 4 - Cálculo'!H125</f>
        <v>24.728625000000005</v>
      </c>
      <c r="H344" s="15">
        <f>IF(D344="Uso único",'Hoja 4 - Cálculo'!I125,IF(D344="Uso múltiple",AVERAGE('Hoja 4 - Cálculo'!$I$25:$I$384)+AVERAGE('Hoja 4 - Cálculo'!$J$25:$J$384)+AVERAGE('Hoja 4 - Cálculo'!$K$25:$K$384),IF(D344="Uso prioritario",'Hoja 4 - Cálculo'!I125+'Hoja 4 - Cálculo'!K125,'Hoja 4 - Cálculo'!I125+'Hoja 4 - Cálculo'!J125+'Hoja 4 - Cálculo'!K125)))</f>
        <v>11.5</v>
      </c>
      <c r="I344" s="15">
        <f t="shared" si="74"/>
        <v>14.375</v>
      </c>
      <c r="J344" s="15">
        <f t="shared" si="81"/>
        <v>1</v>
      </c>
      <c r="K344" s="15">
        <f>MIN(J344+G344,(J344+G344)*'Hoja 4 - Cálculo'!$B$15)</f>
        <v>0.5145725000000001</v>
      </c>
      <c r="L344" s="15">
        <f t="shared" si="75"/>
        <v>25.214052500000005</v>
      </c>
      <c r="M344" s="15">
        <f t="shared" si="76"/>
        <v>14.375</v>
      </c>
      <c r="N344" s="15">
        <f t="shared" si="77"/>
        <v>1</v>
      </c>
      <c r="O344" s="15">
        <f t="shared" si="78"/>
        <v>9.8390525000000046</v>
      </c>
      <c r="P344" s="15">
        <f t="shared" si="79"/>
        <v>0</v>
      </c>
      <c r="Q344" s="14" t="str">
        <f>IF(M344&gt;=I344*'Hoja 4 - Cálculo'!$B$16,"Satisfactorio","Falla")</f>
        <v>Satisfactorio</v>
      </c>
      <c r="R344" s="14">
        <f t="shared" si="82"/>
        <v>0</v>
      </c>
      <c r="S344" s="14">
        <f t="shared" si="83"/>
        <v>0</v>
      </c>
    </row>
    <row r="345" spans="1:19">
      <c r="A345" s="14" t="str">
        <f t="shared" si="80"/>
        <v>SRY-1-3</v>
      </c>
      <c r="B345" s="15">
        <f>'Curvas SRY'!$B$8</f>
        <v>1</v>
      </c>
      <c r="C345" s="15">
        <f>'Curvas SRY'!$E$10</f>
        <v>1.25</v>
      </c>
      <c r="D345" s="14" t="str">
        <f>'Curvas SRY'!$B$14</f>
        <v>Uso variable</v>
      </c>
      <c r="E345" s="14">
        <f>102</f>
        <v>102</v>
      </c>
      <c r="F345" s="21">
        <f>'Hoja 4 - Cálculo'!A126</f>
        <v>32660</v>
      </c>
      <c r="G345" s="15">
        <f>'Hoja 4 - Cálculo'!H126</f>
        <v>14.515874999999999</v>
      </c>
      <c r="H345" s="15">
        <f>IF(D345="Uso único",'Hoja 4 - Cálculo'!I126,IF(D345="Uso múltiple",AVERAGE('Hoja 4 - Cálculo'!$I$25:$I$384)+AVERAGE('Hoja 4 - Cálculo'!$J$25:$J$384)+AVERAGE('Hoja 4 - Cálculo'!$K$25:$K$384),IF(D345="Uso prioritario",'Hoja 4 - Cálculo'!I126+'Hoja 4 - Cálculo'!K126,'Hoja 4 - Cálculo'!I126+'Hoja 4 - Cálculo'!J126+'Hoja 4 - Cálculo'!K126)))</f>
        <v>11.5</v>
      </c>
      <c r="I345" s="15">
        <f t="shared" si="74"/>
        <v>14.375</v>
      </c>
      <c r="J345" s="15">
        <f t="shared" si="81"/>
        <v>1</v>
      </c>
      <c r="K345" s="15">
        <f>MIN(J345+G345,(J345+G345)*'Hoja 4 - Cálculo'!$B$15)</f>
        <v>0.31031749999999997</v>
      </c>
      <c r="L345" s="15">
        <f t="shared" si="75"/>
        <v>15.205557499999999</v>
      </c>
      <c r="M345" s="15">
        <f t="shared" si="76"/>
        <v>14.375</v>
      </c>
      <c r="N345" s="15">
        <f t="shared" si="77"/>
        <v>0.83055749999999939</v>
      </c>
      <c r="O345" s="15">
        <f t="shared" si="78"/>
        <v>0</v>
      </c>
      <c r="P345" s="15">
        <f t="shared" si="79"/>
        <v>0</v>
      </c>
      <c r="Q345" s="14" t="str">
        <f>IF(M345&gt;=I345*'Hoja 4 - Cálculo'!$B$16,"Satisfactorio","Falla")</f>
        <v>Satisfactorio</v>
      </c>
      <c r="R345" s="14">
        <f t="shared" si="82"/>
        <v>0</v>
      </c>
      <c r="S345" s="14">
        <f t="shared" si="83"/>
        <v>0</v>
      </c>
    </row>
    <row r="346" spans="1:19">
      <c r="A346" s="14" t="str">
        <f t="shared" si="80"/>
        <v>SRY-1-3</v>
      </c>
      <c r="B346" s="15">
        <f>'Curvas SRY'!$B$8</f>
        <v>1</v>
      </c>
      <c r="C346" s="15">
        <f>'Curvas SRY'!$E$10</f>
        <v>1.25</v>
      </c>
      <c r="D346" s="14" t="str">
        <f>'Curvas SRY'!$B$14</f>
        <v>Uso variable</v>
      </c>
      <c r="E346" s="14">
        <f>103</f>
        <v>103</v>
      </c>
      <c r="F346" s="21">
        <f>'Hoja 4 - Cálculo'!A127</f>
        <v>32690</v>
      </c>
      <c r="G346" s="15">
        <f>'Hoja 4 - Cálculo'!H127</f>
        <v>12.144375</v>
      </c>
      <c r="H346" s="15">
        <f>IF(D346="Uso único",'Hoja 4 - Cálculo'!I127,IF(D346="Uso múltiple",AVERAGE('Hoja 4 - Cálculo'!$I$25:$I$384)+AVERAGE('Hoja 4 - Cálculo'!$J$25:$J$384)+AVERAGE('Hoja 4 - Cálculo'!$K$25:$K$384),IF(D346="Uso prioritario",'Hoja 4 - Cálculo'!I127+'Hoja 4 - Cálculo'!K127,'Hoja 4 - Cálculo'!I127+'Hoja 4 - Cálculo'!J127+'Hoja 4 - Cálculo'!K127)))</f>
        <v>16</v>
      </c>
      <c r="I346" s="15">
        <f t="shared" si="74"/>
        <v>20</v>
      </c>
      <c r="J346" s="15">
        <f t="shared" si="81"/>
        <v>0.83055749999999939</v>
      </c>
      <c r="K346" s="15">
        <f>MIN(J346+G346,(J346+G346)*'Hoja 4 - Cálculo'!$B$15)</f>
        <v>0.25949865</v>
      </c>
      <c r="L346" s="15">
        <f t="shared" si="75"/>
        <v>12.71543385</v>
      </c>
      <c r="M346" s="15">
        <f t="shared" si="76"/>
        <v>12.71543385</v>
      </c>
      <c r="N346" s="15">
        <f t="shared" si="77"/>
        <v>0</v>
      </c>
      <c r="O346" s="15">
        <f t="shared" si="78"/>
        <v>0</v>
      </c>
      <c r="P346" s="15">
        <f t="shared" si="79"/>
        <v>7.2845661499999999</v>
      </c>
      <c r="Q346" s="14" t="str">
        <f>IF(M346&gt;=I346*'Hoja 4 - Cálculo'!$B$16,"Satisfactorio","Falla")</f>
        <v>Falla</v>
      </c>
      <c r="R346" s="14">
        <f t="shared" si="82"/>
        <v>0</v>
      </c>
      <c r="S346" s="14">
        <f t="shared" si="83"/>
        <v>1</v>
      </c>
    </row>
    <row r="347" spans="1:19">
      <c r="A347" s="14" t="str">
        <f t="shared" si="80"/>
        <v>SRY-1-3</v>
      </c>
      <c r="B347" s="15">
        <f>'Curvas SRY'!$B$8</f>
        <v>1</v>
      </c>
      <c r="C347" s="15">
        <f>'Curvas SRY'!$E$10</f>
        <v>1.25</v>
      </c>
      <c r="D347" s="14" t="str">
        <f>'Curvas SRY'!$B$14</f>
        <v>Uso variable</v>
      </c>
      <c r="E347" s="14">
        <f>104</f>
        <v>104</v>
      </c>
      <c r="F347" s="21">
        <f>'Hoja 4 - Cálculo'!A128</f>
        <v>32721</v>
      </c>
      <c r="G347" s="15">
        <f>'Hoja 4 - Cálculo'!H128</f>
        <v>13.04325</v>
      </c>
      <c r="H347" s="15">
        <f>IF(D347="Uso único",'Hoja 4 - Cálculo'!I128,IF(D347="Uso múltiple",AVERAGE('Hoja 4 - Cálculo'!$I$25:$I$384)+AVERAGE('Hoja 4 - Cálculo'!$J$25:$J$384)+AVERAGE('Hoja 4 - Cálculo'!$K$25:$K$384),IF(D347="Uso prioritario",'Hoja 4 - Cálculo'!I128+'Hoja 4 - Cálculo'!K128,'Hoja 4 - Cálculo'!I128+'Hoja 4 - Cálculo'!J128+'Hoja 4 - Cálculo'!K128)))</f>
        <v>16</v>
      </c>
      <c r="I347" s="15">
        <f t="shared" si="74"/>
        <v>20</v>
      </c>
      <c r="J347" s="15">
        <f t="shared" si="81"/>
        <v>0</v>
      </c>
      <c r="K347" s="15">
        <f>MIN(J347+G347,(J347+G347)*'Hoja 4 - Cálculo'!$B$15)</f>
        <v>0.26086500000000001</v>
      </c>
      <c r="L347" s="15">
        <f t="shared" si="75"/>
        <v>12.782385</v>
      </c>
      <c r="M347" s="15">
        <f t="shared" si="76"/>
        <v>12.782385</v>
      </c>
      <c r="N347" s="15">
        <f t="shared" si="77"/>
        <v>0</v>
      </c>
      <c r="O347" s="15">
        <f t="shared" si="78"/>
        <v>0</v>
      </c>
      <c r="P347" s="15">
        <f t="shared" si="79"/>
        <v>7.2176150000000003</v>
      </c>
      <c r="Q347" s="14" t="str">
        <f>IF(M347&gt;=I347*'Hoja 4 - Cálculo'!$B$16,"Satisfactorio","Falla")</f>
        <v>Falla</v>
      </c>
      <c r="R347" s="14">
        <f t="shared" si="82"/>
        <v>0</v>
      </c>
      <c r="S347" s="14">
        <f t="shared" si="83"/>
        <v>0</v>
      </c>
    </row>
    <row r="348" spans="1:19">
      <c r="A348" s="14" t="str">
        <f t="shared" si="80"/>
        <v>SRY-1-3</v>
      </c>
      <c r="B348" s="15">
        <f>'Curvas SRY'!$B$8</f>
        <v>1</v>
      </c>
      <c r="C348" s="15">
        <f>'Curvas SRY'!$E$10</f>
        <v>1.25</v>
      </c>
      <c r="D348" s="14" t="str">
        <f>'Curvas SRY'!$B$14</f>
        <v>Uso variable</v>
      </c>
      <c r="E348" s="14">
        <f>105</f>
        <v>105</v>
      </c>
      <c r="F348" s="21">
        <f>'Hoja 4 - Cálculo'!A129</f>
        <v>32752</v>
      </c>
      <c r="G348" s="15">
        <f>'Hoja 4 - Cálculo'!H129</f>
        <v>20.444624999999998</v>
      </c>
      <c r="H348" s="15">
        <f>IF(D348="Uso único",'Hoja 4 - Cálculo'!I129,IF(D348="Uso múltiple",AVERAGE('Hoja 4 - Cálculo'!$I$25:$I$384)+AVERAGE('Hoja 4 - Cálculo'!$J$25:$J$384)+AVERAGE('Hoja 4 - Cálculo'!$K$25:$K$384),IF(D348="Uso prioritario",'Hoja 4 - Cálculo'!I129+'Hoja 4 - Cálculo'!K129,'Hoja 4 - Cálculo'!I129+'Hoja 4 - Cálculo'!J129+'Hoja 4 - Cálculo'!K129)))</f>
        <v>11.5</v>
      </c>
      <c r="I348" s="15">
        <f t="shared" si="74"/>
        <v>14.375</v>
      </c>
      <c r="J348" s="15">
        <f t="shared" si="81"/>
        <v>0</v>
      </c>
      <c r="K348" s="15">
        <f>MIN(J348+G348,(J348+G348)*'Hoja 4 - Cálculo'!$B$15)</f>
        <v>0.40889249999999999</v>
      </c>
      <c r="L348" s="15">
        <f t="shared" si="75"/>
        <v>20.035732499999998</v>
      </c>
      <c r="M348" s="15">
        <f t="shared" si="76"/>
        <v>14.375</v>
      </c>
      <c r="N348" s="15">
        <f t="shared" si="77"/>
        <v>1</v>
      </c>
      <c r="O348" s="15">
        <f t="shared" si="78"/>
        <v>4.6607324999999982</v>
      </c>
      <c r="P348" s="15">
        <f t="shared" si="79"/>
        <v>0</v>
      </c>
      <c r="Q348" s="14" t="str">
        <f>IF(M348&gt;=I348*'Hoja 4 - Cálculo'!$B$16,"Satisfactorio","Falla")</f>
        <v>Satisfactorio</v>
      </c>
      <c r="R348" s="14">
        <f t="shared" si="82"/>
        <v>1</v>
      </c>
      <c r="S348" s="14">
        <f t="shared" si="83"/>
        <v>0</v>
      </c>
    </row>
    <row r="349" spans="1:19">
      <c r="A349" s="14" t="str">
        <f t="shared" si="80"/>
        <v>SRY-1-3</v>
      </c>
      <c r="B349" s="15">
        <f>'Curvas SRY'!$B$8</f>
        <v>1</v>
      </c>
      <c r="C349" s="15">
        <f>'Curvas SRY'!$E$10</f>
        <v>1.25</v>
      </c>
      <c r="D349" s="14" t="str">
        <f>'Curvas SRY'!$B$14</f>
        <v>Uso variable</v>
      </c>
      <c r="E349" s="14">
        <f>106</f>
        <v>106</v>
      </c>
      <c r="F349" s="21">
        <f>'Hoja 4 - Cálculo'!A130</f>
        <v>32782</v>
      </c>
      <c r="G349" s="15">
        <f>'Hoja 4 - Cálculo'!H130</f>
        <v>28.343250000000001</v>
      </c>
      <c r="H349" s="15">
        <f>IF(D349="Uso único",'Hoja 4 - Cálculo'!I130,IF(D349="Uso múltiple",AVERAGE('Hoja 4 - Cálculo'!$I$25:$I$384)+AVERAGE('Hoja 4 - Cálculo'!$J$25:$J$384)+AVERAGE('Hoja 4 - Cálculo'!$K$25:$K$384),IF(D349="Uso prioritario",'Hoja 4 - Cálculo'!I130+'Hoja 4 - Cálculo'!K130,'Hoja 4 - Cálculo'!I130+'Hoja 4 - Cálculo'!J130+'Hoja 4 - Cálculo'!K130)))</f>
        <v>11.5</v>
      </c>
      <c r="I349" s="15">
        <f t="shared" si="74"/>
        <v>14.375</v>
      </c>
      <c r="J349" s="15">
        <f t="shared" si="81"/>
        <v>1</v>
      </c>
      <c r="K349" s="15">
        <f>MIN(J349+G349,(J349+G349)*'Hoja 4 - Cálculo'!$B$15)</f>
        <v>0.58686500000000008</v>
      </c>
      <c r="L349" s="15">
        <f t="shared" si="75"/>
        <v>28.756385000000002</v>
      </c>
      <c r="M349" s="15">
        <f t="shared" si="76"/>
        <v>14.375</v>
      </c>
      <c r="N349" s="15">
        <f t="shared" si="77"/>
        <v>1</v>
      </c>
      <c r="O349" s="15">
        <f t="shared" si="78"/>
        <v>13.381385000000002</v>
      </c>
      <c r="P349" s="15">
        <f t="shared" si="79"/>
        <v>0</v>
      </c>
      <c r="Q349" s="14" t="str">
        <f>IF(M349&gt;=I349*'Hoja 4 - Cálculo'!$B$16,"Satisfactorio","Falla")</f>
        <v>Satisfactorio</v>
      </c>
      <c r="R349" s="14">
        <f t="shared" si="82"/>
        <v>0</v>
      </c>
      <c r="S349" s="14">
        <f t="shared" si="83"/>
        <v>0</v>
      </c>
    </row>
    <row r="350" spans="1:19">
      <c r="A350" s="14" t="str">
        <f t="shared" si="80"/>
        <v>SRY-1-3</v>
      </c>
      <c r="B350" s="15">
        <f>'Curvas SRY'!$B$8</f>
        <v>1</v>
      </c>
      <c r="C350" s="15">
        <f>'Curvas SRY'!$E$10</f>
        <v>1.25</v>
      </c>
      <c r="D350" s="14" t="str">
        <f>'Curvas SRY'!$B$14</f>
        <v>Uso variable</v>
      </c>
      <c r="E350" s="14">
        <f>107</f>
        <v>107</v>
      </c>
      <c r="F350" s="21">
        <f>'Hoja 4 - Cálculo'!A131</f>
        <v>32813</v>
      </c>
      <c r="G350" s="15">
        <f>'Hoja 4 - Cálculo'!H131</f>
        <v>22.60575</v>
      </c>
      <c r="H350" s="15">
        <f>IF(D350="Uso único",'Hoja 4 - Cálculo'!I131,IF(D350="Uso múltiple",AVERAGE('Hoja 4 - Cálculo'!$I$25:$I$384)+AVERAGE('Hoja 4 - Cálculo'!$J$25:$J$384)+AVERAGE('Hoja 4 - Cálculo'!$K$25:$K$384),IF(D350="Uso prioritario",'Hoja 4 - Cálculo'!I131+'Hoja 4 - Cálculo'!K131,'Hoja 4 - Cálculo'!I131+'Hoja 4 - Cálculo'!J131+'Hoja 4 - Cálculo'!K131)))</f>
        <v>11.5</v>
      </c>
      <c r="I350" s="15">
        <f t="shared" si="74"/>
        <v>14.375</v>
      </c>
      <c r="J350" s="15">
        <f t="shared" si="81"/>
        <v>1</v>
      </c>
      <c r="K350" s="15">
        <f>MIN(J350+G350,(J350+G350)*'Hoja 4 - Cálculo'!$B$15)</f>
        <v>0.47211500000000001</v>
      </c>
      <c r="L350" s="15">
        <f t="shared" si="75"/>
        <v>23.133635000000002</v>
      </c>
      <c r="M350" s="15">
        <f t="shared" si="76"/>
        <v>14.375</v>
      </c>
      <c r="N350" s="15">
        <f t="shared" si="77"/>
        <v>1</v>
      </c>
      <c r="O350" s="15">
        <f t="shared" si="78"/>
        <v>7.7586350000000017</v>
      </c>
      <c r="P350" s="15">
        <f t="shared" si="79"/>
        <v>0</v>
      </c>
      <c r="Q350" s="14" t="str">
        <f>IF(M350&gt;=I350*'Hoja 4 - Cálculo'!$B$16,"Satisfactorio","Falla")</f>
        <v>Satisfactorio</v>
      </c>
      <c r="R350" s="14">
        <f t="shared" si="82"/>
        <v>0</v>
      </c>
      <c r="S350" s="14">
        <f t="shared" si="83"/>
        <v>0</v>
      </c>
    </row>
    <row r="351" spans="1:19">
      <c r="A351" s="14" t="str">
        <f t="shared" si="80"/>
        <v>SRY-1-3</v>
      </c>
      <c r="B351" s="15">
        <f>'Curvas SRY'!$B$8</f>
        <v>1</v>
      </c>
      <c r="C351" s="15">
        <f>'Curvas SRY'!$E$10</f>
        <v>1.25</v>
      </c>
      <c r="D351" s="14" t="str">
        <f>'Curvas SRY'!$B$14</f>
        <v>Uso variable</v>
      </c>
      <c r="E351" s="14">
        <f>108</f>
        <v>108</v>
      </c>
      <c r="F351" s="21">
        <f>'Hoja 4 - Cálculo'!A132</f>
        <v>32843</v>
      </c>
      <c r="G351" s="15">
        <f>'Hoja 4 - Cálculo'!H132</f>
        <v>14.362875000000001</v>
      </c>
      <c r="H351" s="15">
        <f>IF(D351="Uso único",'Hoja 4 - Cálculo'!I132,IF(D351="Uso múltiple",AVERAGE('Hoja 4 - Cálculo'!$I$25:$I$384)+AVERAGE('Hoja 4 - Cálculo'!$J$25:$J$384)+AVERAGE('Hoja 4 - Cálculo'!$K$25:$K$384),IF(D351="Uso prioritario",'Hoja 4 - Cálculo'!I132+'Hoja 4 - Cálculo'!K132,'Hoja 4 - Cálculo'!I132+'Hoja 4 - Cálculo'!J132+'Hoja 4 - Cálculo'!K132)))</f>
        <v>16</v>
      </c>
      <c r="I351" s="15">
        <f t="shared" si="74"/>
        <v>20</v>
      </c>
      <c r="J351" s="15">
        <f t="shared" si="81"/>
        <v>1</v>
      </c>
      <c r="K351" s="15">
        <f>MIN(J351+G351,(J351+G351)*'Hoja 4 - Cálculo'!$B$15)</f>
        <v>0.30725750000000002</v>
      </c>
      <c r="L351" s="15">
        <f t="shared" si="75"/>
        <v>15.0556175</v>
      </c>
      <c r="M351" s="15">
        <f t="shared" si="76"/>
        <v>15.0556175</v>
      </c>
      <c r="N351" s="15">
        <f t="shared" si="77"/>
        <v>0</v>
      </c>
      <c r="O351" s="15">
        <f t="shared" si="78"/>
        <v>0</v>
      </c>
      <c r="P351" s="15">
        <f t="shared" si="79"/>
        <v>4.9443824999999997</v>
      </c>
      <c r="Q351" s="14" t="str">
        <f>IF(M351&gt;=I351*'Hoja 4 - Cálculo'!$B$16,"Satisfactorio","Falla")</f>
        <v>Falla</v>
      </c>
      <c r="R351" s="14">
        <f t="shared" si="82"/>
        <v>0</v>
      </c>
      <c r="S351" s="14">
        <f t="shared" si="83"/>
        <v>1</v>
      </c>
    </row>
    <row r="352" spans="1:19">
      <c r="A352" s="14" t="str">
        <f t="shared" si="80"/>
        <v>SRY-1-3</v>
      </c>
      <c r="B352" s="15">
        <f>'Curvas SRY'!$B$8</f>
        <v>1</v>
      </c>
      <c r="C352" s="15">
        <f>'Curvas SRY'!$E$10</f>
        <v>1.25</v>
      </c>
      <c r="D352" s="14" t="str">
        <f>'Curvas SRY'!$B$14</f>
        <v>Uso variable</v>
      </c>
      <c r="E352" s="14">
        <f>109</f>
        <v>109</v>
      </c>
      <c r="F352" s="21">
        <f>'Hoja 4 - Cálculo'!A133</f>
        <v>32874</v>
      </c>
      <c r="G352" s="15">
        <f>'Hoja 4 - Cálculo'!H133</f>
        <v>11.723625</v>
      </c>
      <c r="H352" s="15">
        <f>IF(D352="Uso único",'Hoja 4 - Cálculo'!I133,IF(D352="Uso múltiple",AVERAGE('Hoja 4 - Cálculo'!$I$25:$I$384)+AVERAGE('Hoja 4 - Cálculo'!$J$25:$J$384)+AVERAGE('Hoja 4 - Cálculo'!$K$25:$K$384),IF(D352="Uso prioritario",'Hoja 4 - Cálculo'!I133+'Hoja 4 - Cálculo'!K133,'Hoja 4 - Cálculo'!I133+'Hoja 4 - Cálculo'!J133+'Hoja 4 - Cálculo'!K133)))</f>
        <v>16</v>
      </c>
      <c r="I352" s="15">
        <f t="shared" si="74"/>
        <v>20</v>
      </c>
      <c r="J352" s="15">
        <f t="shared" si="81"/>
        <v>0</v>
      </c>
      <c r="K352" s="15">
        <f>MIN(J352+G352,(J352+G352)*'Hoja 4 - Cálculo'!$B$15)</f>
        <v>0.2344725</v>
      </c>
      <c r="L352" s="15">
        <f t="shared" si="75"/>
        <v>11.489152499999999</v>
      </c>
      <c r="M352" s="15">
        <f t="shared" si="76"/>
        <v>11.489152499999999</v>
      </c>
      <c r="N352" s="15">
        <f t="shared" si="77"/>
        <v>0</v>
      </c>
      <c r="O352" s="15">
        <f t="shared" si="78"/>
        <v>0</v>
      </c>
      <c r="P352" s="15">
        <f t="shared" si="79"/>
        <v>8.5108475000000006</v>
      </c>
      <c r="Q352" s="14" t="str">
        <f>IF(M352&gt;=I352*'Hoja 4 - Cálculo'!$B$16,"Satisfactorio","Falla")</f>
        <v>Falla</v>
      </c>
      <c r="R352" s="14">
        <f t="shared" si="82"/>
        <v>0</v>
      </c>
      <c r="S352" s="14">
        <f t="shared" si="83"/>
        <v>0</v>
      </c>
    </row>
    <row r="353" spans="1:19">
      <c r="A353" s="14" t="str">
        <f t="shared" si="80"/>
        <v>SRY-1-3</v>
      </c>
      <c r="B353" s="15">
        <f>'Curvas SRY'!$B$8</f>
        <v>1</v>
      </c>
      <c r="C353" s="15">
        <f>'Curvas SRY'!$E$10</f>
        <v>1.25</v>
      </c>
      <c r="D353" s="14" t="str">
        <f>'Curvas SRY'!$B$14</f>
        <v>Uso variable</v>
      </c>
      <c r="E353" s="14">
        <f>110</f>
        <v>110</v>
      </c>
      <c r="F353" s="21">
        <f>'Hoja 4 - Cálculo'!A134</f>
        <v>32905</v>
      </c>
      <c r="G353" s="15">
        <f>'Hoja 4 - Cálculo'!H134</f>
        <v>13.311</v>
      </c>
      <c r="H353" s="15">
        <f>IF(D353="Uso único",'Hoja 4 - Cálculo'!I134,IF(D353="Uso múltiple",AVERAGE('Hoja 4 - Cálculo'!$I$25:$I$384)+AVERAGE('Hoja 4 - Cálculo'!$J$25:$J$384)+AVERAGE('Hoja 4 - Cálculo'!$K$25:$K$384),IF(D353="Uso prioritario",'Hoja 4 - Cálculo'!I134+'Hoja 4 - Cálculo'!K134,'Hoja 4 - Cálculo'!I134+'Hoja 4 - Cálculo'!J134+'Hoja 4 - Cálculo'!K134)))</f>
        <v>16</v>
      </c>
      <c r="I353" s="15">
        <f t="shared" si="74"/>
        <v>20</v>
      </c>
      <c r="J353" s="15">
        <f t="shared" si="81"/>
        <v>0</v>
      </c>
      <c r="K353" s="15">
        <f>MIN(J353+G353,(J353+G353)*'Hoja 4 - Cálculo'!$B$15)</f>
        <v>0.26622000000000001</v>
      </c>
      <c r="L353" s="15">
        <f t="shared" si="75"/>
        <v>13.044779999999999</v>
      </c>
      <c r="M353" s="15">
        <f t="shared" si="76"/>
        <v>13.044779999999999</v>
      </c>
      <c r="N353" s="15">
        <f t="shared" si="77"/>
        <v>0</v>
      </c>
      <c r="O353" s="15">
        <f t="shared" si="78"/>
        <v>0</v>
      </c>
      <c r="P353" s="15">
        <f t="shared" si="79"/>
        <v>6.9552200000000006</v>
      </c>
      <c r="Q353" s="14" t="str">
        <f>IF(M353&gt;=I353*'Hoja 4 - Cálculo'!$B$16,"Satisfactorio","Falla")</f>
        <v>Falla</v>
      </c>
      <c r="R353" s="14">
        <f t="shared" si="82"/>
        <v>0</v>
      </c>
      <c r="S353" s="14">
        <f t="shared" si="83"/>
        <v>0</v>
      </c>
    </row>
    <row r="354" spans="1:19">
      <c r="A354" s="14" t="str">
        <f t="shared" si="80"/>
        <v>SRY-1-3</v>
      </c>
      <c r="B354" s="15">
        <f>'Curvas SRY'!$B$8</f>
        <v>1</v>
      </c>
      <c r="C354" s="15">
        <f>'Curvas SRY'!$E$10</f>
        <v>1.25</v>
      </c>
      <c r="D354" s="14" t="str">
        <f>'Curvas SRY'!$B$14</f>
        <v>Uso variable</v>
      </c>
      <c r="E354" s="14">
        <f>111</f>
        <v>111</v>
      </c>
      <c r="F354" s="21">
        <f>'Hoja 4 - Cálculo'!A135</f>
        <v>32933</v>
      </c>
      <c r="G354" s="15">
        <f>'Hoja 4 - Cálculo'!H135</f>
        <v>18.838125000000002</v>
      </c>
      <c r="H354" s="15">
        <f>IF(D354="Uso único",'Hoja 4 - Cálculo'!I135,IF(D354="Uso múltiple",AVERAGE('Hoja 4 - Cálculo'!$I$25:$I$384)+AVERAGE('Hoja 4 - Cálculo'!$J$25:$J$384)+AVERAGE('Hoja 4 - Cálculo'!$K$25:$K$384),IF(D354="Uso prioritario",'Hoja 4 - Cálculo'!I135+'Hoja 4 - Cálculo'!K135,'Hoja 4 - Cálculo'!I135+'Hoja 4 - Cálculo'!J135+'Hoja 4 - Cálculo'!K135)))</f>
        <v>16</v>
      </c>
      <c r="I354" s="15">
        <f t="shared" si="74"/>
        <v>20</v>
      </c>
      <c r="J354" s="15">
        <f t="shared" si="81"/>
        <v>0</v>
      </c>
      <c r="K354" s="15">
        <f>MIN(J354+G354,(J354+G354)*'Hoja 4 - Cálculo'!$B$15)</f>
        <v>0.37676250000000006</v>
      </c>
      <c r="L354" s="15">
        <f t="shared" si="75"/>
        <v>18.4613625</v>
      </c>
      <c r="M354" s="15">
        <f t="shared" si="76"/>
        <v>18.4613625</v>
      </c>
      <c r="N354" s="15">
        <f t="shared" si="77"/>
        <v>0</v>
      </c>
      <c r="O354" s="15">
        <f t="shared" si="78"/>
        <v>0</v>
      </c>
      <c r="P354" s="15">
        <f t="shared" si="79"/>
        <v>1.5386375000000001</v>
      </c>
      <c r="Q354" s="14" t="str">
        <f>IF(M354&gt;=I354*'Hoja 4 - Cálculo'!$B$16,"Satisfactorio","Falla")</f>
        <v>Falla</v>
      </c>
      <c r="R354" s="14">
        <f t="shared" si="82"/>
        <v>0</v>
      </c>
      <c r="S354" s="14">
        <f t="shared" si="83"/>
        <v>0</v>
      </c>
    </row>
    <row r="355" spans="1:19">
      <c r="A355" s="14" t="str">
        <f t="shared" si="80"/>
        <v>SRY-1-3</v>
      </c>
      <c r="B355" s="15">
        <f>'Curvas SRY'!$B$8</f>
        <v>1</v>
      </c>
      <c r="C355" s="15">
        <f>'Curvas SRY'!$E$10</f>
        <v>1.25</v>
      </c>
      <c r="D355" s="14" t="str">
        <f>'Curvas SRY'!$B$14</f>
        <v>Uso variable</v>
      </c>
      <c r="E355" s="14">
        <f>112</f>
        <v>112</v>
      </c>
      <c r="F355" s="21">
        <f>'Hoja 4 - Cálculo'!A136</f>
        <v>32964</v>
      </c>
      <c r="G355" s="15">
        <f>'Hoja 4 - Cálculo'!H136</f>
        <v>28.611000000000001</v>
      </c>
      <c r="H355" s="15">
        <f>IF(D355="Uso único",'Hoja 4 - Cálculo'!I136,IF(D355="Uso múltiple",AVERAGE('Hoja 4 - Cálculo'!$I$25:$I$384)+AVERAGE('Hoja 4 - Cálculo'!$J$25:$J$384)+AVERAGE('Hoja 4 - Cálculo'!$K$25:$K$384),IF(D355="Uso prioritario",'Hoja 4 - Cálculo'!I136+'Hoja 4 - Cálculo'!K136,'Hoja 4 - Cálculo'!I136+'Hoja 4 - Cálculo'!J136+'Hoja 4 - Cálculo'!K136)))</f>
        <v>11.5</v>
      </c>
      <c r="I355" s="15">
        <f t="shared" si="74"/>
        <v>14.375</v>
      </c>
      <c r="J355" s="15">
        <f t="shared" si="81"/>
        <v>0</v>
      </c>
      <c r="K355" s="15">
        <f>MIN(J355+G355,(J355+G355)*'Hoja 4 - Cálculo'!$B$15)</f>
        <v>0.57222000000000006</v>
      </c>
      <c r="L355" s="15">
        <f t="shared" si="75"/>
        <v>28.038779999999999</v>
      </c>
      <c r="M355" s="15">
        <f t="shared" si="76"/>
        <v>14.375</v>
      </c>
      <c r="N355" s="15">
        <f t="shared" si="77"/>
        <v>1</v>
      </c>
      <c r="O355" s="15">
        <f t="shared" si="78"/>
        <v>12.663779999999999</v>
      </c>
      <c r="P355" s="15">
        <f t="shared" si="79"/>
        <v>0</v>
      </c>
      <c r="Q355" s="14" t="str">
        <f>IF(M355&gt;=I355*'Hoja 4 - Cálculo'!$B$16,"Satisfactorio","Falla")</f>
        <v>Satisfactorio</v>
      </c>
      <c r="R355" s="14">
        <f t="shared" si="82"/>
        <v>1</v>
      </c>
      <c r="S355" s="14">
        <f t="shared" si="83"/>
        <v>0</v>
      </c>
    </row>
    <row r="356" spans="1:19">
      <c r="A356" s="14" t="str">
        <f t="shared" si="80"/>
        <v>SRY-1-3</v>
      </c>
      <c r="B356" s="15">
        <f>'Curvas SRY'!$B$8</f>
        <v>1</v>
      </c>
      <c r="C356" s="15">
        <f>'Curvas SRY'!$E$10</f>
        <v>1.25</v>
      </c>
      <c r="D356" s="14" t="str">
        <f>'Curvas SRY'!$B$14</f>
        <v>Uso variable</v>
      </c>
      <c r="E356" s="14">
        <f>113</f>
        <v>113</v>
      </c>
      <c r="F356" s="21">
        <f>'Hoja 4 - Cálculo'!A137</f>
        <v>32994</v>
      </c>
      <c r="G356" s="15">
        <f>'Hoja 4 - Cálculo'!H137</f>
        <v>23.52375</v>
      </c>
      <c r="H356" s="15">
        <f>IF(D356="Uso único",'Hoja 4 - Cálculo'!I137,IF(D356="Uso múltiple",AVERAGE('Hoja 4 - Cálculo'!$I$25:$I$384)+AVERAGE('Hoja 4 - Cálculo'!$J$25:$J$384)+AVERAGE('Hoja 4 - Cálculo'!$K$25:$K$384),IF(D356="Uso prioritario",'Hoja 4 - Cálculo'!I137+'Hoja 4 - Cálculo'!K137,'Hoja 4 - Cálculo'!I137+'Hoja 4 - Cálculo'!J137+'Hoja 4 - Cálculo'!K137)))</f>
        <v>11.5</v>
      </c>
      <c r="I356" s="15">
        <f t="shared" si="74"/>
        <v>14.375</v>
      </c>
      <c r="J356" s="15">
        <f t="shared" si="81"/>
        <v>1</v>
      </c>
      <c r="K356" s="15">
        <f>MIN(J356+G356,(J356+G356)*'Hoja 4 - Cálculo'!$B$15)</f>
        <v>0.49047499999999999</v>
      </c>
      <c r="L356" s="15">
        <f t="shared" si="75"/>
        <v>24.033275</v>
      </c>
      <c r="M356" s="15">
        <f t="shared" si="76"/>
        <v>14.375</v>
      </c>
      <c r="N356" s="15">
        <f t="shared" si="77"/>
        <v>1</v>
      </c>
      <c r="O356" s="15">
        <f t="shared" si="78"/>
        <v>8.6582749999999997</v>
      </c>
      <c r="P356" s="15">
        <f t="shared" si="79"/>
        <v>0</v>
      </c>
      <c r="Q356" s="14" t="str">
        <f>IF(M356&gt;=I356*'Hoja 4 - Cálculo'!$B$16,"Satisfactorio","Falla")</f>
        <v>Satisfactorio</v>
      </c>
      <c r="R356" s="14">
        <f t="shared" si="82"/>
        <v>0</v>
      </c>
      <c r="S356" s="14">
        <f t="shared" si="83"/>
        <v>0</v>
      </c>
    </row>
    <row r="357" spans="1:19">
      <c r="A357" s="14" t="str">
        <f t="shared" si="80"/>
        <v>SRY-1-3</v>
      </c>
      <c r="B357" s="15">
        <f>'Curvas SRY'!$B$8</f>
        <v>1</v>
      </c>
      <c r="C357" s="15">
        <f>'Curvas SRY'!$E$10</f>
        <v>1.25</v>
      </c>
      <c r="D357" s="14" t="str">
        <f>'Curvas SRY'!$B$14</f>
        <v>Uso variable</v>
      </c>
      <c r="E357" s="14">
        <f>114</f>
        <v>114</v>
      </c>
      <c r="F357" s="21">
        <f>'Hoja 4 - Cálculo'!A138</f>
        <v>33025</v>
      </c>
      <c r="G357" s="15">
        <f>'Hoja 4 - Cálculo'!H138</f>
        <v>15.529500000000001</v>
      </c>
      <c r="H357" s="15">
        <f>IF(D357="Uso único",'Hoja 4 - Cálculo'!I138,IF(D357="Uso múltiple",AVERAGE('Hoja 4 - Cálculo'!$I$25:$I$384)+AVERAGE('Hoja 4 - Cálculo'!$J$25:$J$384)+AVERAGE('Hoja 4 - Cálculo'!$K$25:$K$384),IF(D357="Uso prioritario",'Hoja 4 - Cálculo'!I138+'Hoja 4 - Cálculo'!K138,'Hoja 4 - Cálculo'!I138+'Hoja 4 - Cálculo'!J138+'Hoja 4 - Cálculo'!K138)))</f>
        <v>11.5</v>
      </c>
      <c r="I357" s="15">
        <f t="shared" si="74"/>
        <v>14.375</v>
      </c>
      <c r="J357" s="15">
        <f t="shared" si="81"/>
        <v>1</v>
      </c>
      <c r="K357" s="15">
        <f>MIN(J357+G357,(J357+G357)*'Hoja 4 - Cálculo'!$B$15)</f>
        <v>0.33058999999999999</v>
      </c>
      <c r="L357" s="15">
        <f t="shared" si="75"/>
        <v>16.198909999999998</v>
      </c>
      <c r="M357" s="15">
        <f t="shared" si="76"/>
        <v>14.375</v>
      </c>
      <c r="N357" s="15">
        <f t="shared" si="77"/>
        <v>1</v>
      </c>
      <c r="O357" s="15">
        <f t="shared" si="78"/>
        <v>0.82390999999999792</v>
      </c>
      <c r="P357" s="15">
        <f t="shared" si="79"/>
        <v>0</v>
      </c>
      <c r="Q357" s="14" t="str">
        <f>IF(M357&gt;=I357*'Hoja 4 - Cálculo'!$B$16,"Satisfactorio","Falla")</f>
        <v>Satisfactorio</v>
      </c>
      <c r="R357" s="14">
        <f t="shared" si="82"/>
        <v>0</v>
      </c>
      <c r="S357" s="14">
        <f t="shared" si="83"/>
        <v>0</v>
      </c>
    </row>
    <row r="358" spans="1:19">
      <c r="A358" s="14" t="str">
        <f t="shared" si="80"/>
        <v>SRY-1-3</v>
      </c>
      <c r="B358" s="15">
        <f>'Curvas SRY'!$B$8</f>
        <v>1</v>
      </c>
      <c r="C358" s="15">
        <f>'Curvas SRY'!$E$10</f>
        <v>1.25</v>
      </c>
      <c r="D358" s="14" t="str">
        <f>'Curvas SRY'!$B$14</f>
        <v>Uso variable</v>
      </c>
      <c r="E358" s="14">
        <f>115</f>
        <v>115</v>
      </c>
      <c r="F358" s="21">
        <f>'Hoja 4 - Cálculo'!A139</f>
        <v>33055</v>
      </c>
      <c r="G358" s="15">
        <f>'Hoja 4 - Cálculo'!H139</f>
        <v>12.201750000000001</v>
      </c>
      <c r="H358" s="15">
        <f>IF(D358="Uso único",'Hoja 4 - Cálculo'!I139,IF(D358="Uso múltiple",AVERAGE('Hoja 4 - Cálculo'!$I$25:$I$384)+AVERAGE('Hoja 4 - Cálculo'!$J$25:$J$384)+AVERAGE('Hoja 4 - Cálculo'!$K$25:$K$384),IF(D358="Uso prioritario",'Hoja 4 - Cálculo'!I139+'Hoja 4 - Cálculo'!K139,'Hoja 4 - Cálculo'!I139+'Hoja 4 - Cálculo'!J139+'Hoja 4 - Cálculo'!K139)))</f>
        <v>16</v>
      </c>
      <c r="I358" s="15">
        <f t="shared" si="74"/>
        <v>20</v>
      </c>
      <c r="J358" s="15">
        <f t="shared" si="81"/>
        <v>1</v>
      </c>
      <c r="K358" s="15">
        <f>MIN(J358+G358,(J358+G358)*'Hoja 4 - Cálculo'!$B$15)</f>
        <v>0.26403500000000002</v>
      </c>
      <c r="L358" s="15">
        <f t="shared" si="75"/>
        <v>12.937715000000001</v>
      </c>
      <c r="M358" s="15">
        <f t="shared" si="76"/>
        <v>12.937715000000001</v>
      </c>
      <c r="N358" s="15">
        <f t="shared" si="77"/>
        <v>0</v>
      </c>
      <c r="O358" s="15">
        <f t="shared" si="78"/>
        <v>0</v>
      </c>
      <c r="P358" s="15">
        <f t="shared" si="79"/>
        <v>7.0622849999999993</v>
      </c>
      <c r="Q358" s="14" t="str">
        <f>IF(M358&gt;=I358*'Hoja 4 - Cálculo'!$B$16,"Satisfactorio","Falla")</f>
        <v>Falla</v>
      </c>
      <c r="R358" s="14">
        <f t="shared" si="82"/>
        <v>0</v>
      </c>
      <c r="S358" s="14">
        <f t="shared" si="83"/>
        <v>1</v>
      </c>
    </row>
    <row r="359" spans="1:19">
      <c r="A359" s="14" t="str">
        <f t="shared" si="80"/>
        <v>SRY-1-3</v>
      </c>
      <c r="B359" s="15">
        <f>'Curvas SRY'!$B$8</f>
        <v>1</v>
      </c>
      <c r="C359" s="15">
        <f>'Curvas SRY'!$E$10</f>
        <v>1.25</v>
      </c>
      <c r="D359" s="14" t="str">
        <f>'Curvas SRY'!$B$14</f>
        <v>Uso variable</v>
      </c>
      <c r="E359" s="14">
        <f>116</f>
        <v>116</v>
      </c>
      <c r="F359" s="21">
        <f>'Hoja 4 - Cálculo'!A140</f>
        <v>33086</v>
      </c>
      <c r="G359" s="15">
        <f>'Hoja 4 - Cálculo'!H140</f>
        <v>13.04325</v>
      </c>
      <c r="H359" s="15">
        <f>IF(D359="Uso único",'Hoja 4 - Cálculo'!I140,IF(D359="Uso múltiple",AVERAGE('Hoja 4 - Cálculo'!$I$25:$I$384)+AVERAGE('Hoja 4 - Cálculo'!$J$25:$J$384)+AVERAGE('Hoja 4 - Cálculo'!$K$25:$K$384),IF(D359="Uso prioritario",'Hoja 4 - Cálculo'!I140+'Hoja 4 - Cálculo'!K140,'Hoja 4 - Cálculo'!I140+'Hoja 4 - Cálculo'!J140+'Hoja 4 - Cálculo'!K140)))</f>
        <v>16</v>
      </c>
      <c r="I359" s="15">
        <f t="shared" si="74"/>
        <v>20</v>
      </c>
      <c r="J359" s="15">
        <f t="shared" si="81"/>
        <v>0</v>
      </c>
      <c r="K359" s="15">
        <f>MIN(J359+G359,(J359+G359)*'Hoja 4 - Cálculo'!$B$15)</f>
        <v>0.26086500000000001</v>
      </c>
      <c r="L359" s="15">
        <f t="shared" si="75"/>
        <v>12.782385</v>
      </c>
      <c r="M359" s="15">
        <f t="shared" si="76"/>
        <v>12.782385</v>
      </c>
      <c r="N359" s="15">
        <f t="shared" si="77"/>
        <v>0</v>
      </c>
      <c r="O359" s="15">
        <f t="shared" si="78"/>
        <v>0</v>
      </c>
      <c r="P359" s="15">
        <f t="shared" si="79"/>
        <v>7.2176150000000003</v>
      </c>
      <c r="Q359" s="14" t="str">
        <f>IF(M359&gt;=I359*'Hoja 4 - Cálculo'!$B$16,"Satisfactorio","Falla")</f>
        <v>Falla</v>
      </c>
      <c r="R359" s="14">
        <f t="shared" si="82"/>
        <v>0</v>
      </c>
      <c r="S359" s="14">
        <f t="shared" si="83"/>
        <v>0</v>
      </c>
    </row>
    <row r="360" spans="1:19">
      <c r="A360" s="14" t="str">
        <f t="shared" si="80"/>
        <v>SRY-1-3</v>
      </c>
      <c r="B360" s="15">
        <f>'Curvas SRY'!$B$8</f>
        <v>1</v>
      </c>
      <c r="C360" s="15">
        <f>'Curvas SRY'!$E$10</f>
        <v>1.25</v>
      </c>
      <c r="D360" s="14" t="str">
        <f>'Curvas SRY'!$B$14</f>
        <v>Uso variable</v>
      </c>
      <c r="E360" s="14">
        <f>117</f>
        <v>117</v>
      </c>
      <c r="F360" s="21">
        <f>'Hoja 4 - Cálculo'!A141</f>
        <v>33117</v>
      </c>
      <c r="G360" s="15">
        <f>'Hoja 4 - Cálculo'!H141</f>
        <v>21.974625</v>
      </c>
      <c r="H360" s="15">
        <f>IF(D360="Uso único",'Hoja 4 - Cálculo'!I141,IF(D360="Uso múltiple",AVERAGE('Hoja 4 - Cálculo'!$I$25:$I$384)+AVERAGE('Hoja 4 - Cálculo'!$J$25:$J$384)+AVERAGE('Hoja 4 - Cálculo'!$K$25:$K$384),IF(D360="Uso prioritario",'Hoja 4 - Cálculo'!I141+'Hoja 4 - Cálculo'!K141,'Hoja 4 - Cálculo'!I141+'Hoja 4 - Cálculo'!J141+'Hoja 4 - Cálculo'!K141)))</f>
        <v>11.5</v>
      </c>
      <c r="I360" s="15">
        <f t="shared" si="74"/>
        <v>14.375</v>
      </c>
      <c r="J360" s="15">
        <f t="shared" si="81"/>
        <v>0</v>
      </c>
      <c r="K360" s="15">
        <f>MIN(J360+G360,(J360+G360)*'Hoja 4 - Cálculo'!$B$15)</f>
        <v>0.43949250000000001</v>
      </c>
      <c r="L360" s="15">
        <f t="shared" si="75"/>
        <v>21.5351325</v>
      </c>
      <c r="M360" s="15">
        <f t="shared" si="76"/>
        <v>14.375</v>
      </c>
      <c r="N360" s="15">
        <f t="shared" si="77"/>
        <v>1</v>
      </c>
      <c r="O360" s="15">
        <f t="shared" si="78"/>
        <v>6.1601324999999996</v>
      </c>
      <c r="P360" s="15">
        <f t="shared" si="79"/>
        <v>0</v>
      </c>
      <c r="Q360" s="14" t="str">
        <f>IF(M360&gt;=I360*'Hoja 4 - Cálculo'!$B$16,"Satisfactorio","Falla")</f>
        <v>Satisfactorio</v>
      </c>
      <c r="R360" s="14">
        <f t="shared" si="82"/>
        <v>1</v>
      </c>
      <c r="S360" s="14">
        <f t="shared" si="83"/>
        <v>0</v>
      </c>
    </row>
    <row r="361" spans="1:19">
      <c r="A361" s="14" t="str">
        <f t="shared" si="80"/>
        <v>SRY-1-3</v>
      </c>
      <c r="B361" s="15">
        <f>'Curvas SRY'!$B$8</f>
        <v>1</v>
      </c>
      <c r="C361" s="15">
        <f>'Curvas SRY'!$E$10</f>
        <v>1.25</v>
      </c>
      <c r="D361" s="14" t="str">
        <f>'Curvas SRY'!$B$14</f>
        <v>Uso variable</v>
      </c>
      <c r="E361" s="14">
        <f>118</f>
        <v>118</v>
      </c>
      <c r="F361" s="21">
        <f>'Hoja 4 - Cálculo'!A142</f>
        <v>33147</v>
      </c>
      <c r="G361" s="15">
        <f>'Hoja 4 - Cálculo'!H142</f>
        <v>26.870625</v>
      </c>
      <c r="H361" s="15">
        <f>IF(D361="Uso único",'Hoja 4 - Cálculo'!I142,IF(D361="Uso múltiple",AVERAGE('Hoja 4 - Cálculo'!$I$25:$I$384)+AVERAGE('Hoja 4 - Cálculo'!$J$25:$J$384)+AVERAGE('Hoja 4 - Cálculo'!$K$25:$K$384),IF(D361="Uso prioritario",'Hoja 4 - Cálculo'!I142+'Hoja 4 - Cálculo'!K142,'Hoja 4 - Cálculo'!I142+'Hoja 4 - Cálculo'!J142+'Hoja 4 - Cálculo'!K142)))</f>
        <v>11.5</v>
      </c>
      <c r="I361" s="15">
        <f t="shared" si="74"/>
        <v>14.375</v>
      </c>
      <c r="J361" s="15">
        <f t="shared" si="81"/>
        <v>1</v>
      </c>
      <c r="K361" s="15">
        <f>MIN(J361+G361,(J361+G361)*'Hoja 4 - Cálculo'!$B$15)</f>
        <v>0.55741249999999998</v>
      </c>
      <c r="L361" s="15">
        <f t="shared" si="75"/>
        <v>27.313212499999999</v>
      </c>
      <c r="M361" s="15">
        <f t="shared" si="76"/>
        <v>14.375</v>
      </c>
      <c r="N361" s="15">
        <f t="shared" si="77"/>
        <v>1</v>
      </c>
      <c r="O361" s="15">
        <f t="shared" si="78"/>
        <v>11.938212499999999</v>
      </c>
      <c r="P361" s="15">
        <f t="shared" si="79"/>
        <v>0</v>
      </c>
      <c r="Q361" s="14" t="str">
        <f>IF(M361&gt;=I361*'Hoja 4 - Cálculo'!$B$16,"Satisfactorio","Falla")</f>
        <v>Satisfactorio</v>
      </c>
      <c r="R361" s="14">
        <f t="shared" si="82"/>
        <v>0</v>
      </c>
      <c r="S361" s="14">
        <f t="shared" si="83"/>
        <v>0</v>
      </c>
    </row>
    <row r="362" spans="1:19">
      <c r="A362" s="14" t="str">
        <f t="shared" si="80"/>
        <v>SRY-1-3</v>
      </c>
      <c r="B362" s="15">
        <f>'Curvas SRY'!$B$8</f>
        <v>1</v>
      </c>
      <c r="C362" s="15">
        <f>'Curvas SRY'!$E$10</f>
        <v>1.25</v>
      </c>
      <c r="D362" s="14" t="str">
        <f>'Curvas SRY'!$B$14</f>
        <v>Uso variable</v>
      </c>
      <c r="E362" s="14">
        <f>119</f>
        <v>119</v>
      </c>
      <c r="F362" s="21">
        <f>'Hoja 4 - Cálculo'!A143</f>
        <v>33178</v>
      </c>
      <c r="G362" s="15">
        <f>'Hoja 4 - Cálculo'!H143</f>
        <v>24.881625</v>
      </c>
      <c r="H362" s="15">
        <f>IF(D362="Uso único",'Hoja 4 - Cálculo'!I143,IF(D362="Uso múltiple",AVERAGE('Hoja 4 - Cálculo'!$I$25:$I$384)+AVERAGE('Hoja 4 - Cálculo'!$J$25:$J$384)+AVERAGE('Hoja 4 - Cálculo'!$K$25:$K$384),IF(D362="Uso prioritario",'Hoja 4 - Cálculo'!I143+'Hoja 4 - Cálculo'!K143,'Hoja 4 - Cálculo'!I143+'Hoja 4 - Cálculo'!J143+'Hoja 4 - Cálculo'!K143)))</f>
        <v>11.5</v>
      </c>
      <c r="I362" s="15">
        <f t="shared" si="74"/>
        <v>14.375</v>
      </c>
      <c r="J362" s="15">
        <f t="shared" si="81"/>
        <v>1</v>
      </c>
      <c r="K362" s="15">
        <f>MIN(J362+G362,(J362+G362)*'Hoja 4 - Cálculo'!$B$15)</f>
        <v>0.51763250000000005</v>
      </c>
      <c r="L362" s="15">
        <f t="shared" si="75"/>
        <v>25.363992499999998</v>
      </c>
      <c r="M362" s="15">
        <f t="shared" si="76"/>
        <v>14.375</v>
      </c>
      <c r="N362" s="15">
        <f t="shared" si="77"/>
        <v>1</v>
      </c>
      <c r="O362" s="15">
        <f t="shared" si="78"/>
        <v>9.9889924999999984</v>
      </c>
      <c r="P362" s="15">
        <f t="shared" si="79"/>
        <v>0</v>
      </c>
      <c r="Q362" s="14" t="str">
        <f>IF(M362&gt;=I362*'Hoja 4 - Cálculo'!$B$16,"Satisfactorio","Falla")</f>
        <v>Satisfactorio</v>
      </c>
      <c r="R362" s="14">
        <f t="shared" si="82"/>
        <v>0</v>
      </c>
      <c r="S362" s="14">
        <f t="shared" si="83"/>
        <v>0</v>
      </c>
    </row>
    <row r="363" spans="1:19">
      <c r="A363" s="14" t="str">
        <f t="shared" si="80"/>
        <v>SRY-1-3</v>
      </c>
      <c r="B363" s="15">
        <f>'Curvas SRY'!$B$8</f>
        <v>1</v>
      </c>
      <c r="C363" s="15">
        <f>'Curvas SRY'!$E$10</f>
        <v>1.25</v>
      </c>
      <c r="D363" s="14" t="str">
        <f>'Curvas SRY'!$B$14</f>
        <v>Uso variable</v>
      </c>
      <c r="E363" s="14">
        <f>120</f>
        <v>120</v>
      </c>
      <c r="F363" s="21">
        <f>'Hoja 4 - Cálculo'!A144</f>
        <v>33208</v>
      </c>
      <c r="G363" s="15">
        <f>'Hoja 4 - Cálculo'!H144</f>
        <v>13.73175</v>
      </c>
      <c r="H363" s="15">
        <f>IF(D363="Uso único",'Hoja 4 - Cálculo'!I144,IF(D363="Uso múltiple",AVERAGE('Hoja 4 - Cálculo'!$I$25:$I$384)+AVERAGE('Hoja 4 - Cálculo'!$J$25:$J$384)+AVERAGE('Hoja 4 - Cálculo'!$K$25:$K$384),IF(D363="Uso prioritario",'Hoja 4 - Cálculo'!I144+'Hoja 4 - Cálculo'!K144,'Hoja 4 - Cálculo'!I144+'Hoja 4 - Cálculo'!J144+'Hoja 4 - Cálculo'!K144)))</f>
        <v>16</v>
      </c>
      <c r="I363" s="15">
        <f t="shared" si="74"/>
        <v>20</v>
      </c>
      <c r="J363" s="15">
        <f t="shared" si="81"/>
        <v>1</v>
      </c>
      <c r="K363" s="15">
        <f>MIN(J363+G363,(J363+G363)*'Hoja 4 - Cálculo'!$B$15)</f>
        <v>0.29463499999999998</v>
      </c>
      <c r="L363" s="15">
        <f t="shared" si="75"/>
        <v>14.437115</v>
      </c>
      <c r="M363" s="15">
        <f t="shared" si="76"/>
        <v>14.437115</v>
      </c>
      <c r="N363" s="15">
        <f t="shared" si="77"/>
        <v>0</v>
      </c>
      <c r="O363" s="15">
        <f t="shared" si="78"/>
        <v>0</v>
      </c>
      <c r="P363" s="15">
        <f t="shared" si="79"/>
        <v>5.5628849999999996</v>
      </c>
      <c r="Q363" s="14" t="str">
        <f>IF(M363&gt;=I363*'Hoja 4 - Cálculo'!$B$16,"Satisfactorio","Falla")</f>
        <v>Falla</v>
      </c>
      <c r="R363" s="14">
        <f t="shared" si="82"/>
        <v>0</v>
      </c>
      <c r="S363" s="14">
        <f t="shared" si="83"/>
        <v>1</v>
      </c>
    </row>
    <row r="364" spans="1:19">
      <c r="A364" s="14" t="str">
        <f t="shared" ref="A364:A395" si="84">"SRY-2-1"</f>
        <v>SRY-2-1</v>
      </c>
      <c r="B364" s="15">
        <f>'Curvas SRY'!$B$9</f>
        <v>2</v>
      </c>
      <c r="C364" s="15">
        <f>'Curvas SRY'!$E$8</f>
        <v>0.75</v>
      </c>
      <c r="D364" s="14" t="str">
        <f>'Curvas SRY'!$B$14</f>
        <v>Uso variable</v>
      </c>
      <c r="E364" s="14">
        <f>1</f>
        <v>1</v>
      </c>
      <c r="F364" s="21">
        <f>'Hoja 4 - Cálculo'!A25</f>
        <v>29587</v>
      </c>
      <c r="G364" s="15">
        <f>'Hoja 4 - Cálculo'!H25</f>
        <v>12.852</v>
      </c>
      <c r="H364" s="15">
        <f>IF(D364="Uso único",'Hoja 4 - Cálculo'!I25,IF(D364="Uso múltiple",AVERAGE('Hoja 4 - Cálculo'!$I$25:$I$384)+AVERAGE('Hoja 4 - Cálculo'!$J$25:$J$384)+AVERAGE('Hoja 4 - Cálculo'!$K$25:$K$384),IF(D364="Uso prioritario",'Hoja 4 - Cálculo'!I25+'Hoja 4 - Cálculo'!K25,'Hoja 4 - Cálculo'!I25+'Hoja 4 - Cálculo'!J25+'Hoja 4 - Cálculo'!K25)))</f>
        <v>16</v>
      </c>
      <c r="I364" s="15">
        <f t="shared" si="74"/>
        <v>12</v>
      </c>
      <c r="J364" s="15">
        <f>0</f>
        <v>0</v>
      </c>
      <c r="K364" s="15">
        <f>MIN(J364+G364,(J364+G364)*'Hoja 4 - Cálculo'!$B$15)</f>
        <v>0.25703999999999999</v>
      </c>
      <c r="L364" s="15">
        <f t="shared" si="75"/>
        <v>12.59496</v>
      </c>
      <c r="M364" s="15">
        <f t="shared" si="76"/>
        <v>12</v>
      </c>
      <c r="N364" s="15">
        <f t="shared" si="77"/>
        <v>0.59496000000000038</v>
      </c>
      <c r="O364" s="15">
        <f t="shared" si="78"/>
        <v>0</v>
      </c>
      <c r="P364" s="15">
        <f t="shared" si="79"/>
        <v>0</v>
      </c>
      <c r="Q364" s="14" t="str">
        <f>IF(M364&gt;=I364*'Hoja 4 - Cálculo'!$B$16,"Satisfactorio","Falla")</f>
        <v>Satisfactorio</v>
      </c>
      <c r="R364" s="14">
        <f>0</f>
        <v>0</v>
      </c>
      <c r="S364" s="14">
        <f>IF(Q364="Falla",1,0)</f>
        <v>0</v>
      </c>
    </row>
    <row r="365" spans="1:19">
      <c r="A365" s="14" t="str">
        <f t="shared" si="84"/>
        <v>SRY-2-1</v>
      </c>
      <c r="B365" s="15">
        <f>'Curvas SRY'!$B$9</f>
        <v>2</v>
      </c>
      <c r="C365" s="15">
        <f>'Curvas SRY'!$E$8</f>
        <v>0.75</v>
      </c>
      <c r="D365" s="14" t="str">
        <f>'Curvas SRY'!$B$14</f>
        <v>Uso variable</v>
      </c>
      <c r="E365" s="14">
        <f>2</f>
        <v>2</v>
      </c>
      <c r="F365" s="21">
        <f>'Hoja 4 - Cálculo'!A26</f>
        <v>29618</v>
      </c>
      <c r="G365" s="15">
        <f>'Hoja 4 - Cálculo'!H26</f>
        <v>14.630625</v>
      </c>
      <c r="H365" s="15">
        <f>IF(D365="Uso único",'Hoja 4 - Cálculo'!I26,IF(D365="Uso múltiple",AVERAGE('Hoja 4 - Cálculo'!$I$25:$I$384)+AVERAGE('Hoja 4 - Cálculo'!$J$25:$J$384)+AVERAGE('Hoja 4 - Cálculo'!$K$25:$K$384),IF(D365="Uso prioritario",'Hoja 4 - Cálculo'!I26+'Hoja 4 - Cálculo'!K26,'Hoja 4 - Cálculo'!I26+'Hoja 4 - Cálculo'!J26+'Hoja 4 - Cálculo'!K26)))</f>
        <v>16</v>
      </c>
      <c r="I365" s="15">
        <f t="shared" si="74"/>
        <v>12</v>
      </c>
      <c r="J365" s="15">
        <f t="shared" ref="J365:J396" si="85">N364</f>
        <v>0.59496000000000038</v>
      </c>
      <c r="K365" s="15">
        <f>MIN(J365+G365,(J365+G365)*'Hoja 4 - Cálculo'!$B$15)</f>
        <v>0.3045117</v>
      </c>
      <c r="L365" s="15">
        <f t="shared" si="75"/>
        <v>14.9210733</v>
      </c>
      <c r="M365" s="15">
        <f t="shared" si="76"/>
        <v>12</v>
      </c>
      <c r="N365" s="15">
        <f t="shared" si="77"/>
        <v>2</v>
      </c>
      <c r="O365" s="15">
        <f t="shared" si="78"/>
        <v>0.92107329999999976</v>
      </c>
      <c r="P365" s="15">
        <f t="shared" si="79"/>
        <v>0</v>
      </c>
      <c r="Q365" s="14" t="str">
        <f>IF(M365&gt;=I365*'Hoja 4 - Cálculo'!$B$16,"Satisfactorio","Falla")</f>
        <v>Satisfactorio</v>
      </c>
      <c r="R365" s="14">
        <f t="shared" ref="R365:R396" si="86">IF(AND(Q364="Falla",Q365="Satisfactorio"),1,0)</f>
        <v>0</v>
      </c>
      <c r="S365" s="14">
        <f t="shared" ref="S365:S396" si="87">IF(AND(Q365="Falla",Q364&lt;&gt;"Falla"),1,0)</f>
        <v>0</v>
      </c>
    </row>
    <row r="366" spans="1:19">
      <c r="A366" s="14" t="str">
        <f t="shared" si="84"/>
        <v>SRY-2-1</v>
      </c>
      <c r="B366" s="15">
        <f>'Curvas SRY'!$B$9</f>
        <v>2</v>
      </c>
      <c r="C366" s="15">
        <f>'Curvas SRY'!$E$8</f>
        <v>0.75</v>
      </c>
      <c r="D366" s="14" t="str">
        <f>'Curvas SRY'!$B$14</f>
        <v>Uso variable</v>
      </c>
      <c r="E366" s="14">
        <f>3</f>
        <v>3</v>
      </c>
      <c r="F366" s="21">
        <f>'Hoja 4 - Cálculo'!A27</f>
        <v>29646</v>
      </c>
      <c r="G366" s="15">
        <f>'Hoja 4 - Cálculo'!H27</f>
        <v>21.114000000000001</v>
      </c>
      <c r="H366" s="15">
        <f>IF(D366="Uso único",'Hoja 4 - Cálculo'!I27,IF(D366="Uso múltiple",AVERAGE('Hoja 4 - Cálculo'!$I$25:$I$384)+AVERAGE('Hoja 4 - Cálculo'!$J$25:$J$384)+AVERAGE('Hoja 4 - Cálculo'!$K$25:$K$384),IF(D366="Uso prioritario",'Hoja 4 - Cálculo'!I27+'Hoja 4 - Cálculo'!K27,'Hoja 4 - Cálculo'!I27+'Hoja 4 - Cálculo'!J27+'Hoja 4 - Cálculo'!K27)))</f>
        <v>16</v>
      </c>
      <c r="I366" s="15">
        <f t="shared" si="74"/>
        <v>12</v>
      </c>
      <c r="J366" s="15">
        <f t="shared" si="85"/>
        <v>2</v>
      </c>
      <c r="K366" s="15">
        <f>MIN(J366+G366,(J366+G366)*'Hoja 4 - Cálculo'!$B$15)</f>
        <v>0.46228000000000002</v>
      </c>
      <c r="L366" s="15">
        <f t="shared" si="75"/>
        <v>22.651720000000001</v>
      </c>
      <c r="M366" s="15">
        <f t="shared" si="76"/>
        <v>12</v>
      </c>
      <c r="N366" s="15">
        <f t="shared" si="77"/>
        <v>2</v>
      </c>
      <c r="O366" s="15">
        <f t="shared" si="78"/>
        <v>8.651720000000001</v>
      </c>
      <c r="P366" s="15">
        <f t="shared" si="79"/>
        <v>0</v>
      </c>
      <c r="Q366" s="14" t="str">
        <f>IF(M366&gt;=I366*'Hoja 4 - Cálculo'!$B$16,"Satisfactorio","Falla")</f>
        <v>Satisfactorio</v>
      </c>
      <c r="R366" s="14">
        <f t="shared" si="86"/>
        <v>0</v>
      </c>
      <c r="S366" s="14">
        <f t="shared" si="87"/>
        <v>0</v>
      </c>
    </row>
    <row r="367" spans="1:19">
      <c r="A367" s="14" t="str">
        <f t="shared" si="84"/>
        <v>SRY-2-1</v>
      </c>
      <c r="B367" s="15">
        <f>'Curvas SRY'!$B$9</f>
        <v>2</v>
      </c>
      <c r="C367" s="15">
        <f>'Curvas SRY'!$E$8</f>
        <v>0.75</v>
      </c>
      <c r="D367" s="14" t="str">
        <f>'Curvas SRY'!$B$14</f>
        <v>Uso variable</v>
      </c>
      <c r="E367" s="14">
        <f>4</f>
        <v>4</v>
      </c>
      <c r="F367" s="21">
        <f>'Hoja 4 - Cálculo'!A28</f>
        <v>29677</v>
      </c>
      <c r="G367" s="15">
        <f>'Hoja 4 - Cálculo'!H28</f>
        <v>29.280374999999999</v>
      </c>
      <c r="H367" s="15">
        <f>IF(D367="Uso único",'Hoja 4 - Cálculo'!I28,IF(D367="Uso múltiple",AVERAGE('Hoja 4 - Cálculo'!$I$25:$I$384)+AVERAGE('Hoja 4 - Cálculo'!$J$25:$J$384)+AVERAGE('Hoja 4 - Cálculo'!$K$25:$K$384),IF(D367="Uso prioritario",'Hoja 4 - Cálculo'!I28+'Hoja 4 - Cálculo'!K28,'Hoja 4 - Cálculo'!I28+'Hoja 4 - Cálculo'!J28+'Hoja 4 - Cálculo'!K28)))</f>
        <v>11.5</v>
      </c>
      <c r="I367" s="15">
        <f t="shared" si="74"/>
        <v>8.625</v>
      </c>
      <c r="J367" s="15">
        <f t="shared" si="85"/>
        <v>2</v>
      </c>
      <c r="K367" s="15">
        <f>MIN(J367+G367,(J367+G367)*'Hoja 4 - Cálculo'!$B$15)</f>
        <v>0.62560749999999998</v>
      </c>
      <c r="L367" s="15">
        <f t="shared" si="75"/>
        <v>30.654767499999998</v>
      </c>
      <c r="M367" s="15">
        <f t="shared" si="76"/>
        <v>8.625</v>
      </c>
      <c r="N367" s="15">
        <f t="shared" si="77"/>
        <v>2</v>
      </c>
      <c r="O367" s="15">
        <f t="shared" si="78"/>
        <v>20.029767499999998</v>
      </c>
      <c r="P367" s="15">
        <f t="shared" si="79"/>
        <v>0</v>
      </c>
      <c r="Q367" s="14" t="str">
        <f>IF(M367&gt;=I367*'Hoja 4 - Cálculo'!$B$16,"Satisfactorio","Falla")</f>
        <v>Satisfactorio</v>
      </c>
      <c r="R367" s="14">
        <f t="shared" si="86"/>
        <v>0</v>
      </c>
      <c r="S367" s="14">
        <f t="shared" si="87"/>
        <v>0</v>
      </c>
    </row>
    <row r="368" spans="1:19">
      <c r="A368" s="14" t="str">
        <f t="shared" si="84"/>
        <v>SRY-2-1</v>
      </c>
      <c r="B368" s="15">
        <f>'Curvas SRY'!$B$9</f>
        <v>2</v>
      </c>
      <c r="C368" s="15">
        <f>'Curvas SRY'!$E$8</f>
        <v>0.75</v>
      </c>
      <c r="D368" s="14" t="str">
        <f>'Curvas SRY'!$B$14</f>
        <v>Uso variable</v>
      </c>
      <c r="E368" s="14">
        <f>5</f>
        <v>5</v>
      </c>
      <c r="F368" s="21">
        <f>'Hoja 4 - Cálculo'!A29</f>
        <v>29707</v>
      </c>
      <c r="G368" s="15">
        <f>'Hoja 4 - Cálculo'!H29</f>
        <v>26.048249999999999</v>
      </c>
      <c r="H368" s="15">
        <f>IF(D368="Uso único",'Hoja 4 - Cálculo'!I29,IF(D368="Uso múltiple",AVERAGE('Hoja 4 - Cálculo'!$I$25:$I$384)+AVERAGE('Hoja 4 - Cálculo'!$J$25:$J$384)+AVERAGE('Hoja 4 - Cálculo'!$K$25:$K$384),IF(D368="Uso prioritario",'Hoja 4 - Cálculo'!I29+'Hoja 4 - Cálculo'!K29,'Hoja 4 - Cálculo'!I29+'Hoja 4 - Cálculo'!J29+'Hoja 4 - Cálculo'!K29)))</f>
        <v>11.5</v>
      </c>
      <c r="I368" s="15">
        <f t="shared" si="74"/>
        <v>8.625</v>
      </c>
      <c r="J368" s="15">
        <f t="shared" si="85"/>
        <v>2</v>
      </c>
      <c r="K368" s="15">
        <f>MIN(J368+G368,(J368+G368)*'Hoja 4 - Cálculo'!$B$15)</f>
        <v>0.56096500000000005</v>
      </c>
      <c r="L368" s="15">
        <f t="shared" si="75"/>
        <v>27.487285</v>
      </c>
      <c r="M368" s="15">
        <f t="shared" si="76"/>
        <v>8.625</v>
      </c>
      <c r="N368" s="15">
        <f t="shared" si="77"/>
        <v>2</v>
      </c>
      <c r="O368" s="15">
        <f t="shared" si="78"/>
        <v>16.862285</v>
      </c>
      <c r="P368" s="15">
        <f t="shared" si="79"/>
        <v>0</v>
      </c>
      <c r="Q368" s="14" t="str">
        <f>IF(M368&gt;=I368*'Hoja 4 - Cálculo'!$B$16,"Satisfactorio","Falla")</f>
        <v>Satisfactorio</v>
      </c>
      <c r="R368" s="14">
        <f t="shared" si="86"/>
        <v>0</v>
      </c>
      <c r="S368" s="14">
        <f t="shared" si="87"/>
        <v>0</v>
      </c>
    </row>
    <row r="369" spans="1:19">
      <c r="A369" s="14" t="str">
        <f t="shared" si="84"/>
        <v>SRY-2-1</v>
      </c>
      <c r="B369" s="15">
        <f>'Curvas SRY'!$B$9</f>
        <v>2</v>
      </c>
      <c r="C369" s="15">
        <f>'Curvas SRY'!$E$8</f>
        <v>0.75</v>
      </c>
      <c r="D369" s="14" t="str">
        <f>'Curvas SRY'!$B$14</f>
        <v>Uso variable</v>
      </c>
      <c r="E369" s="14">
        <f>6</f>
        <v>6</v>
      </c>
      <c r="F369" s="21">
        <f>'Hoja 4 - Cálculo'!A30</f>
        <v>29738</v>
      </c>
      <c r="G369" s="15">
        <f>'Hoja 4 - Cálculo'!H30</f>
        <v>15.625125000000001</v>
      </c>
      <c r="H369" s="15">
        <f>IF(D369="Uso único",'Hoja 4 - Cálculo'!I30,IF(D369="Uso múltiple",AVERAGE('Hoja 4 - Cálculo'!$I$25:$I$384)+AVERAGE('Hoja 4 - Cálculo'!$J$25:$J$384)+AVERAGE('Hoja 4 - Cálculo'!$K$25:$K$384),IF(D369="Uso prioritario",'Hoja 4 - Cálculo'!I30+'Hoja 4 - Cálculo'!K30,'Hoja 4 - Cálculo'!I30+'Hoja 4 - Cálculo'!J30+'Hoja 4 - Cálculo'!K30)))</f>
        <v>11.5</v>
      </c>
      <c r="I369" s="15">
        <f t="shared" si="74"/>
        <v>8.625</v>
      </c>
      <c r="J369" s="15">
        <f t="shared" si="85"/>
        <v>2</v>
      </c>
      <c r="K369" s="15">
        <f>MIN(J369+G369,(J369+G369)*'Hoja 4 - Cálculo'!$B$15)</f>
        <v>0.3525025</v>
      </c>
      <c r="L369" s="15">
        <f t="shared" si="75"/>
        <v>17.272622500000001</v>
      </c>
      <c r="M369" s="15">
        <f t="shared" si="76"/>
        <v>8.625</v>
      </c>
      <c r="N369" s="15">
        <f t="shared" si="77"/>
        <v>2</v>
      </c>
      <c r="O369" s="15">
        <f t="shared" si="78"/>
        <v>6.6476225000000007</v>
      </c>
      <c r="P369" s="15">
        <f t="shared" si="79"/>
        <v>0</v>
      </c>
      <c r="Q369" s="14" t="str">
        <f>IF(M369&gt;=I369*'Hoja 4 - Cálculo'!$B$16,"Satisfactorio","Falla")</f>
        <v>Satisfactorio</v>
      </c>
      <c r="R369" s="14">
        <f t="shared" si="86"/>
        <v>0</v>
      </c>
      <c r="S369" s="14">
        <f t="shared" si="87"/>
        <v>0</v>
      </c>
    </row>
    <row r="370" spans="1:19">
      <c r="A370" s="14" t="str">
        <f t="shared" si="84"/>
        <v>SRY-2-1</v>
      </c>
      <c r="B370" s="15">
        <f>'Curvas SRY'!$B$9</f>
        <v>2</v>
      </c>
      <c r="C370" s="15">
        <f>'Curvas SRY'!$E$8</f>
        <v>0.75</v>
      </c>
      <c r="D370" s="14" t="str">
        <f>'Curvas SRY'!$B$14</f>
        <v>Uso variable</v>
      </c>
      <c r="E370" s="14">
        <f>7</f>
        <v>7</v>
      </c>
      <c r="F370" s="21">
        <f>'Hoja 4 - Cálculo'!A31</f>
        <v>29768</v>
      </c>
      <c r="G370" s="15">
        <f>'Hoja 4 - Cálculo'!H31</f>
        <v>12.794625</v>
      </c>
      <c r="H370" s="15">
        <f>IF(D370="Uso único",'Hoja 4 - Cálculo'!I31,IF(D370="Uso múltiple",AVERAGE('Hoja 4 - Cálculo'!$I$25:$I$384)+AVERAGE('Hoja 4 - Cálculo'!$J$25:$J$384)+AVERAGE('Hoja 4 - Cálculo'!$K$25:$K$384),IF(D370="Uso prioritario",'Hoja 4 - Cálculo'!I31+'Hoja 4 - Cálculo'!K31,'Hoja 4 - Cálculo'!I31+'Hoja 4 - Cálculo'!J31+'Hoja 4 - Cálculo'!K31)))</f>
        <v>16</v>
      </c>
      <c r="I370" s="15">
        <f t="shared" si="74"/>
        <v>12</v>
      </c>
      <c r="J370" s="15">
        <f t="shared" si="85"/>
        <v>2</v>
      </c>
      <c r="K370" s="15">
        <f>MIN(J370+G370,(J370+G370)*'Hoja 4 - Cálculo'!$B$15)</f>
        <v>0.2958925</v>
      </c>
      <c r="L370" s="15">
        <f t="shared" si="75"/>
        <v>14.498732499999999</v>
      </c>
      <c r="M370" s="15">
        <f t="shared" si="76"/>
        <v>12</v>
      </c>
      <c r="N370" s="15">
        <f t="shared" si="77"/>
        <v>2</v>
      </c>
      <c r="O370" s="15">
        <f t="shared" si="78"/>
        <v>0.49873249999999913</v>
      </c>
      <c r="P370" s="15">
        <f t="shared" si="79"/>
        <v>0</v>
      </c>
      <c r="Q370" s="14" t="str">
        <f>IF(M370&gt;=I370*'Hoja 4 - Cálculo'!$B$16,"Satisfactorio","Falla")</f>
        <v>Satisfactorio</v>
      </c>
      <c r="R370" s="14">
        <f t="shared" si="86"/>
        <v>0</v>
      </c>
      <c r="S370" s="14">
        <f t="shared" si="87"/>
        <v>0</v>
      </c>
    </row>
    <row r="371" spans="1:19">
      <c r="A371" s="14" t="str">
        <f t="shared" si="84"/>
        <v>SRY-2-1</v>
      </c>
      <c r="B371" s="15">
        <f>'Curvas SRY'!$B$9</f>
        <v>2</v>
      </c>
      <c r="C371" s="15">
        <f>'Curvas SRY'!$E$8</f>
        <v>0.75</v>
      </c>
      <c r="D371" s="14" t="str">
        <f>'Curvas SRY'!$B$14</f>
        <v>Uso variable</v>
      </c>
      <c r="E371" s="14">
        <f>8</f>
        <v>8</v>
      </c>
      <c r="F371" s="21">
        <f>'Hoja 4 - Cálculo'!A32</f>
        <v>29799</v>
      </c>
      <c r="G371" s="15">
        <f>'Hoja 4 - Cálculo'!H32</f>
        <v>13.712624999999999</v>
      </c>
      <c r="H371" s="15">
        <f>IF(D371="Uso único",'Hoja 4 - Cálculo'!I32,IF(D371="Uso múltiple",AVERAGE('Hoja 4 - Cálculo'!$I$25:$I$384)+AVERAGE('Hoja 4 - Cálculo'!$J$25:$J$384)+AVERAGE('Hoja 4 - Cálculo'!$K$25:$K$384),IF(D371="Uso prioritario",'Hoja 4 - Cálculo'!I32+'Hoja 4 - Cálculo'!K32,'Hoja 4 - Cálculo'!I32+'Hoja 4 - Cálculo'!J32+'Hoja 4 - Cálculo'!K32)))</f>
        <v>16</v>
      </c>
      <c r="I371" s="15">
        <f t="shared" si="74"/>
        <v>12</v>
      </c>
      <c r="J371" s="15">
        <f t="shared" si="85"/>
        <v>2</v>
      </c>
      <c r="K371" s="15">
        <f>MIN(J371+G371,(J371+G371)*'Hoja 4 - Cálculo'!$B$15)</f>
        <v>0.31425249999999999</v>
      </c>
      <c r="L371" s="15">
        <f t="shared" si="75"/>
        <v>15.398372499999999</v>
      </c>
      <c r="M371" s="15">
        <f t="shared" si="76"/>
        <v>12</v>
      </c>
      <c r="N371" s="15">
        <f t="shared" si="77"/>
        <v>2</v>
      </c>
      <c r="O371" s="15">
        <f t="shared" si="78"/>
        <v>1.3983724999999989</v>
      </c>
      <c r="P371" s="15">
        <f t="shared" si="79"/>
        <v>0</v>
      </c>
      <c r="Q371" s="14" t="str">
        <f>IF(M371&gt;=I371*'Hoja 4 - Cálculo'!$B$16,"Satisfactorio","Falla")</f>
        <v>Satisfactorio</v>
      </c>
      <c r="R371" s="14">
        <f t="shared" si="86"/>
        <v>0</v>
      </c>
      <c r="S371" s="14">
        <f t="shared" si="87"/>
        <v>0</v>
      </c>
    </row>
    <row r="372" spans="1:19">
      <c r="A372" s="14" t="str">
        <f t="shared" si="84"/>
        <v>SRY-2-1</v>
      </c>
      <c r="B372" s="15">
        <f>'Curvas SRY'!$B$9</f>
        <v>2</v>
      </c>
      <c r="C372" s="15">
        <f>'Curvas SRY'!$E$8</f>
        <v>0.75</v>
      </c>
      <c r="D372" s="14" t="str">
        <f>'Curvas SRY'!$B$14</f>
        <v>Uso variable</v>
      </c>
      <c r="E372" s="14">
        <f>9</f>
        <v>9</v>
      </c>
      <c r="F372" s="21">
        <f>'Hoja 4 - Cálculo'!A33</f>
        <v>29830</v>
      </c>
      <c r="G372" s="15">
        <f>'Hoja 4 - Cálculo'!H33</f>
        <v>22.070250000000001</v>
      </c>
      <c r="H372" s="15">
        <f>IF(D372="Uso único",'Hoja 4 - Cálculo'!I33,IF(D372="Uso múltiple",AVERAGE('Hoja 4 - Cálculo'!$I$25:$I$384)+AVERAGE('Hoja 4 - Cálculo'!$J$25:$J$384)+AVERAGE('Hoja 4 - Cálculo'!$K$25:$K$384),IF(D372="Uso prioritario",'Hoja 4 - Cálculo'!I33+'Hoja 4 - Cálculo'!K33,'Hoja 4 - Cálculo'!I33+'Hoja 4 - Cálculo'!J33+'Hoja 4 - Cálculo'!K33)))</f>
        <v>11.5</v>
      </c>
      <c r="I372" s="15">
        <f t="shared" si="74"/>
        <v>8.625</v>
      </c>
      <c r="J372" s="15">
        <f t="shared" si="85"/>
        <v>2</v>
      </c>
      <c r="K372" s="15">
        <f>MIN(J372+G372,(J372+G372)*'Hoja 4 - Cálculo'!$B$15)</f>
        <v>0.48140500000000003</v>
      </c>
      <c r="L372" s="15">
        <f t="shared" si="75"/>
        <v>23.588845000000003</v>
      </c>
      <c r="M372" s="15">
        <f t="shared" si="76"/>
        <v>8.625</v>
      </c>
      <c r="N372" s="15">
        <f t="shared" si="77"/>
        <v>2</v>
      </c>
      <c r="O372" s="15">
        <f t="shared" si="78"/>
        <v>12.963845000000003</v>
      </c>
      <c r="P372" s="15">
        <f t="shared" si="79"/>
        <v>0</v>
      </c>
      <c r="Q372" s="14" t="str">
        <f>IF(M372&gt;=I372*'Hoja 4 - Cálculo'!$B$16,"Satisfactorio","Falla")</f>
        <v>Satisfactorio</v>
      </c>
      <c r="R372" s="14">
        <f t="shared" si="86"/>
        <v>0</v>
      </c>
      <c r="S372" s="14">
        <f t="shared" si="87"/>
        <v>0</v>
      </c>
    </row>
    <row r="373" spans="1:19">
      <c r="A373" s="14" t="str">
        <f t="shared" si="84"/>
        <v>SRY-2-1</v>
      </c>
      <c r="B373" s="15">
        <f>'Curvas SRY'!$B$9</f>
        <v>2</v>
      </c>
      <c r="C373" s="15">
        <f>'Curvas SRY'!$E$8</f>
        <v>0.75</v>
      </c>
      <c r="D373" s="14" t="str">
        <f>'Curvas SRY'!$B$14</f>
        <v>Uso variable</v>
      </c>
      <c r="E373" s="14">
        <f>10</f>
        <v>10</v>
      </c>
      <c r="F373" s="21">
        <f>'Hoja 4 - Cálculo'!A34</f>
        <v>29860</v>
      </c>
      <c r="G373" s="15">
        <f>'Hoja 4 - Cálculo'!H34</f>
        <v>29.777625</v>
      </c>
      <c r="H373" s="15">
        <f>IF(D373="Uso único",'Hoja 4 - Cálculo'!I34,IF(D373="Uso múltiple",AVERAGE('Hoja 4 - Cálculo'!$I$25:$I$384)+AVERAGE('Hoja 4 - Cálculo'!$J$25:$J$384)+AVERAGE('Hoja 4 - Cálculo'!$K$25:$K$384),IF(D373="Uso prioritario",'Hoja 4 - Cálculo'!I34+'Hoja 4 - Cálculo'!K34,'Hoja 4 - Cálculo'!I34+'Hoja 4 - Cálculo'!J34+'Hoja 4 - Cálculo'!K34)))</f>
        <v>11.5</v>
      </c>
      <c r="I373" s="15">
        <f t="shared" si="74"/>
        <v>8.625</v>
      </c>
      <c r="J373" s="15">
        <f t="shared" si="85"/>
        <v>2</v>
      </c>
      <c r="K373" s="15">
        <f>MIN(J373+G373,(J373+G373)*'Hoja 4 - Cálculo'!$B$15)</f>
        <v>0.63555250000000008</v>
      </c>
      <c r="L373" s="15">
        <f t="shared" si="75"/>
        <v>31.142072500000001</v>
      </c>
      <c r="M373" s="15">
        <f t="shared" si="76"/>
        <v>8.625</v>
      </c>
      <c r="N373" s="15">
        <f t="shared" si="77"/>
        <v>2</v>
      </c>
      <c r="O373" s="15">
        <f t="shared" si="78"/>
        <v>20.517072500000001</v>
      </c>
      <c r="P373" s="15">
        <f t="shared" si="79"/>
        <v>0</v>
      </c>
      <c r="Q373" s="14" t="str">
        <f>IF(M373&gt;=I373*'Hoja 4 - Cálculo'!$B$16,"Satisfactorio","Falla")</f>
        <v>Satisfactorio</v>
      </c>
      <c r="R373" s="14">
        <f t="shared" si="86"/>
        <v>0</v>
      </c>
      <c r="S373" s="14">
        <f t="shared" si="87"/>
        <v>0</v>
      </c>
    </row>
    <row r="374" spans="1:19">
      <c r="A374" s="14" t="str">
        <f t="shared" si="84"/>
        <v>SRY-2-1</v>
      </c>
      <c r="B374" s="15">
        <f>'Curvas SRY'!$B$9</f>
        <v>2</v>
      </c>
      <c r="C374" s="15">
        <f>'Curvas SRY'!$E$8</f>
        <v>0.75</v>
      </c>
      <c r="D374" s="14" t="str">
        <f>'Curvas SRY'!$B$14</f>
        <v>Uso variable</v>
      </c>
      <c r="E374" s="14">
        <f>11</f>
        <v>11</v>
      </c>
      <c r="F374" s="21">
        <f>'Hoja 4 - Cálculo'!A35</f>
        <v>29891</v>
      </c>
      <c r="G374" s="15">
        <f>'Hoja 4 - Cálculo'!H35</f>
        <v>25.51275</v>
      </c>
      <c r="H374" s="15">
        <f>IF(D374="Uso único",'Hoja 4 - Cálculo'!I35,IF(D374="Uso múltiple",AVERAGE('Hoja 4 - Cálculo'!$I$25:$I$384)+AVERAGE('Hoja 4 - Cálculo'!$J$25:$J$384)+AVERAGE('Hoja 4 - Cálculo'!$K$25:$K$384),IF(D374="Uso prioritario",'Hoja 4 - Cálculo'!I35+'Hoja 4 - Cálculo'!K35,'Hoja 4 - Cálculo'!I35+'Hoja 4 - Cálculo'!J35+'Hoja 4 - Cálculo'!K35)))</f>
        <v>11.5</v>
      </c>
      <c r="I374" s="15">
        <f t="shared" si="74"/>
        <v>8.625</v>
      </c>
      <c r="J374" s="15">
        <f t="shared" si="85"/>
        <v>2</v>
      </c>
      <c r="K374" s="15">
        <f>MIN(J374+G374,(J374+G374)*'Hoja 4 - Cálculo'!$B$15)</f>
        <v>0.55025500000000005</v>
      </c>
      <c r="L374" s="15">
        <f t="shared" si="75"/>
        <v>26.962495000000001</v>
      </c>
      <c r="M374" s="15">
        <f t="shared" si="76"/>
        <v>8.625</v>
      </c>
      <c r="N374" s="15">
        <f t="shared" si="77"/>
        <v>2</v>
      </c>
      <c r="O374" s="15">
        <f t="shared" si="78"/>
        <v>16.337495000000001</v>
      </c>
      <c r="P374" s="15">
        <f t="shared" si="79"/>
        <v>0</v>
      </c>
      <c r="Q374" s="14" t="str">
        <f>IF(M374&gt;=I374*'Hoja 4 - Cálculo'!$B$16,"Satisfactorio","Falla")</f>
        <v>Satisfactorio</v>
      </c>
      <c r="R374" s="14">
        <f t="shared" si="86"/>
        <v>0</v>
      </c>
      <c r="S374" s="14">
        <f t="shared" si="87"/>
        <v>0</v>
      </c>
    </row>
    <row r="375" spans="1:19">
      <c r="A375" s="14" t="str">
        <f t="shared" si="84"/>
        <v>SRY-2-1</v>
      </c>
      <c r="B375" s="15">
        <f>'Curvas SRY'!$B$9</f>
        <v>2</v>
      </c>
      <c r="C375" s="15">
        <f>'Curvas SRY'!$E$8</f>
        <v>0.75</v>
      </c>
      <c r="D375" s="14" t="str">
        <f>'Curvas SRY'!$B$14</f>
        <v>Uso variable</v>
      </c>
      <c r="E375" s="14">
        <f>12</f>
        <v>12</v>
      </c>
      <c r="F375" s="21">
        <f>'Hoja 4 - Cálculo'!A36</f>
        <v>29921</v>
      </c>
      <c r="G375" s="15">
        <f>'Hoja 4 - Cálculo'!H36</f>
        <v>15.3765</v>
      </c>
      <c r="H375" s="15">
        <f>IF(D375="Uso único",'Hoja 4 - Cálculo'!I36,IF(D375="Uso múltiple",AVERAGE('Hoja 4 - Cálculo'!$I$25:$I$384)+AVERAGE('Hoja 4 - Cálculo'!$J$25:$J$384)+AVERAGE('Hoja 4 - Cálculo'!$K$25:$K$384),IF(D375="Uso prioritario",'Hoja 4 - Cálculo'!I36+'Hoja 4 - Cálculo'!K36,'Hoja 4 - Cálculo'!I36+'Hoja 4 - Cálculo'!J36+'Hoja 4 - Cálculo'!K36)))</f>
        <v>16</v>
      </c>
      <c r="I375" s="15">
        <f t="shared" si="74"/>
        <v>12</v>
      </c>
      <c r="J375" s="15">
        <f t="shared" si="85"/>
        <v>2</v>
      </c>
      <c r="K375" s="15">
        <f>MIN(J375+G375,(J375+G375)*'Hoja 4 - Cálculo'!$B$15)</f>
        <v>0.34753000000000001</v>
      </c>
      <c r="L375" s="15">
        <f t="shared" si="75"/>
        <v>17.028970000000001</v>
      </c>
      <c r="M375" s="15">
        <f t="shared" si="76"/>
        <v>12</v>
      </c>
      <c r="N375" s="15">
        <f t="shared" si="77"/>
        <v>2</v>
      </c>
      <c r="O375" s="15">
        <f t="shared" si="78"/>
        <v>3.0289700000000011</v>
      </c>
      <c r="P375" s="15">
        <f t="shared" si="79"/>
        <v>0</v>
      </c>
      <c r="Q375" s="14" t="str">
        <f>IF(M375&gt;=I375*'Hoja 4 - Cálculo'!$B$16,"Satisfactorio","Falla")</f>
        <v>Satisfactorio</v>
      </c>
      <c r="R375" s="14">
        <f t="shared" si="86"/>
        <v>0</v>
      </c>
      <c r="S375" s="14">
        <f t="shared" si="87"/>
        <v>0</v>
      </c>
    </row>
    <row r="376" spans="1:19">
      <c r="A376" s="14" t="str">
        <f t="shared" si="84"/>
        <v>SRY-2-1</v>
      </c>
      <c r="B376" s="15">
        <f>'Curvas SRY'!$B$9</f>
        <v>2</v>
      </c>
      <c r="C376" s="15">
        <f>'Curvas SRY'!$E$8</f>
        <v>0.75</v>
      </c>
      <c r="D376" s="14" t="str">
        <f>'Curvas SRY'!$B$14</f>
        <v>Uso variable</v>
      </c>
      <c r="E376" s="14">
        <f>13</f>
        <v>13</v>
      </c>
      <c r="F376" s="21">
        <f>'Hoja 4 - Cálculo'!A37</f>
        <v>29952</v>
      </c>
      <c r="G376" s="15">
        <f>'Hoja 4 - Cálculo'!H37</f>
        <v>13.808249999999999</v>
      </c>
      <c r="H376" s="15">
        <f>IF(D376="Uso único",'Hoja 4 - Cálculo'!I37,IF(D376="Uso múltiple",AVERAGE('Hoja 4 - Cálculo'!$I$25:$I$384)+AVERAGE('Hoja 4 - Cálculo'!$J$25:$J$384)+AVERAGE('Hoja 4 - Cálculo'!$K$25:$K$384),IF(D376="Uso prioritario",'Hoja 4 - Cálculo'!I37+'Hoja 4 - Cálculo'!K37,'Hoja 4 - Cálculo'!I37+'Hoja 4 - Cálculo'!J37+'Hoja 4 - Cálculo'!K37)))</f>
        <v>16</v>
      </c>
      <c r="I376" s="15">
        <f t="shared" si="74"/>
        <v>12</v>
      </c>
      <c r="J376" s="15">
        <f t="shared" si="85"/>
        <v>2</v>
      </c>
      <c r="K376" s="15">
        <f>MIN(J376+G376,(J376+G376)*'Hoja 4 - Cálculo'!$B$15)</f>
        <v>0.31616499999999997</v>
      </c>
      <c r="L376" s="15">
        <f t="shared" si="75"/>
        <v>15.492084999999999</v>
      </c>
      <c r="M376" s="15">
        <f t="shared" si="76"/>
        <v>12</v>
      </c>
      <c r="N376" s="15">
        <f t="shared" si="77"/>
        <v>2</v>
      </c>
      <c r="O376" s="15">
        <f t="shared" si="78"/>
        <v>1.4920849999999994</v>
      </c>
      <c r="P376" s="15">
        <f t="shared" si="79"/>
        <v>0</v>
      </c>
      <c r="Q376" s="14" t="str">
        <f>IF(M376&gt;=I376*'Hoja 4 - Cálculo'!$B$16,"Satisfactorio","Falla")</f>
        <v>Satisfactorio</v>
      </c>
      <c r="R376" s="14">
        <f t="shared" si="86"/>
        <v>0</v>
      </c>
      <c r="S376" s="14">
        <f t="shared" si="87"/>
        <v>0</v>
      </c>
    </row>
    <row r="377" spans="1:19">
      <c r="A377" s="14" t="str">
        <f t="shared" si="84"/>
        <v>SRY-2-1</v>
      </c>
      <c r="B377" s="15">
        <f>'Curvas SRY'!$B$9</f>
        <v>2</v>
      </c>
      <c r="C377" s="15">
        <f>'Curvas SRY'!$E$8</f>
        <v>0.75</v>
      </c>
      <c r="D377" s="14" t="str">
        <f>'Curvas SRY'!$B$14</f>
        <v>Uso variable</v>
      </c>
      <c r="E377" s="14">
        <f>14</f>
        <v>14</v>
      </c>
      <c r="F377" s="21">
        <f>'Hoja 4 - Cálculo'!A38</f>
        <v>29983</v>
      </c>
      <c r="G377" s="15">
        <f>'Hoja 4 - Cálculo'!H38</f>
        <v>15.472125</v>
      </c>
      <c r="H377" s="15">
        <f>IF(D377="Uso único",'Hoja 4 - Cálculo'!I38,IF(D377="Uso múltiple",AVERAGE('Hoja 4 - Cálculo'!$I$25:$I$384)+AVERAGE('Hoja 4 - Cálculo'!$J$25:$J$384)+AVERAGE('Hoja 4 - Cálculo'!$K$25:$K$384),IF(D377="Uso prioritario",'Hoja 4 - Cálculo'!I38+'Hoja 4 - Cálculo'!K38,'Hoja 4 - Cálculo'!I38+'Hoja 4 - Cálculo'!J38+'Hoja 4 - Cálculo'!K38)))</f>
        <v>16</v>
      </c>
      <c r="I377" s="15">
        <f t="shared" si="74"/>
        <v>12</v>
      </c>
      <c r="J377" s="15">
        <f t="shared" si="85"/>
        <v>2</v>
      </c>
      <c r="K377" s="15">
        <f>MIN(J377+G377,(J377+G377)*'Hoja 4 - Cálculo'!$B$15)</f>
        <v>0.34944249999999999</v>
      </c>
      <c r="L377" s="15">
        <f t="shared" si="75"/>
        <v>17.1226825</v>
      </c>
      <c r="M377" s="15">
        <f t="shared" si="76"/>
        <v>12</v>
      </c>
      <c r="N377" s="15">
        <f t="shared" si="77"/>
        <v>2</v>
      </c>
      <c r="O377" s="15">
        <f t="shared" si="78"/>
        <v>3.1226824999999998</v>
      </c>
      <c r="P377" s="15">
        <f t="shared" si="79"/>
        <v>0</v>
      </c>
      <c r="Q377" s="14" t="str">
        <f>IF(M377&gt;=I377*'Hoja 4 - Cálculo'!$B$16,"Satisfactorio","Falla")</f>
        <v>Satisfactorio</v>
      </c>
      <c r="R377" s="14">
        <f t="shared" si="86"/>
        <v>0</v>
      </c>
      <c r="S377" s="14">
        <f t="shared" si="87"/>
        <v>0</v>
      </c>
    </row>
    <row r="378" spans="1:19">
      <c r="A378" s="14" t="str">
        <f t="shared" si="84"/>
        <v>SRY-2-1</v>
      </c>
      <c r="B378" s="15">
        <f>'Curvas SRY'!$B$9</f>
        <v>2</v>
      </c>
      <c r="C378" s="15">
        <f>'Curvas SRY'!$E$8</f>
        <v>0.75</v>
      </c>
      <c r="D378" s="14" t="str">
        <f>'Curvas SRY'!$B$14</f>
        <v>Uso variable</v>
      </c>
      <c r="E378" s="14">
        <f>15</f>
        <v>15</v>
      </c>
      <c r="F378" s="21">
        <f>'Hoja 4 - Cálculo'!A39</f>
        <v>30011</v>
      </c>
      <c r="G378" s="15">
        <f>'Hoja 4 - Cálculo'!H39</f>
        <v>22.338000000000001</v>
      </c>
      <c r="H378" s="15">
        <f>IF(D378="Uso único",'Hoja 4 - Cálculo'!I39,IF(D378="Uso múltiple",AVERAGE('Hoja 4 - Cálculo'!$I$25:$I$384)+AVERAGE('Hoja 4 - Cálculo'!$J$25:$J$384)+AVERAGE('Hoja 4 - Cálculo'!$K$25:$K$384),IF(D378="Uso prioritario",'Hoja 4 - Cálculo'!I39+'Hoja 4 - Cálculo'!K39,'Hoja 4 - Cálculo'!I39+'Hoja 4 - Cálculo'!J39+'Hoja 4 - Cálculo'!K39)))</f>
        <v>16</v>
      </c>
      <c r="I378" s="15">
        <f t="shared" si="74"/>
        <v>12</v>
      </c>
      <c r="J378" s="15">
        <f t="shared" si="85"/>
        <v>2</v>
      </c>
      <c r="K378" s="15">
        <f>MIN(J378+G378,(J378+G378)*'Hoja 4 - Cálculo'!$B$15)</f>
        <v>0.48676000000000003</v>
      </c>
      <c r="L378" s="15">
        <f t="shared" si="75"/>
        <v>23.851240000000001</v>
      </c>
      <c r="M378" s="15">
        <f t="shared" si="76"/>
        <v>12</v>
      </c>
      <c r="N378" s="15">
        <f t="shared" si="77"/>
        <v>2</v>
      </c>
      <c r="O378" s="15">
        <f t="shared" si="78"/>
        <v>9.8512400000000007</v>
      </c>
      <c r="P378" s="15">
        <f t="shared" si="79"/>
        <v>0</v>
      </c>
      <c r="Q378" s="14" t="str">
        <f>IF(M378&gt;=I378*'Hoja 4 - Cálculo'!$B$16,"Satisfactorio","Falla")</f>
        <v>Satisfactorio</v>
      </c>
      <c r="R378" s="14">
        <f t="shared" si="86"/>
        <v>0</v>
      </c>
      <c r="S378" s="14">
        <f t="shared" si="87"/>
        <v>0</v>
      </c>
    </row>
    <row r="379" spans="1:19">
      <c r="A379" s="14" t="str">
        <f t="shared" si="84"/>
        <v>SRY-2-1</v>
      </c>
      <c r="B379" s="15">
        <f>'Curvas SRY'!$B$9</f>
        <v>2</v>
      </c>
      <c r="C379" s="15">
        <f>'Curvas SRY'!$E$8</f>
        <v>0.75</v>
      </c>
      <c r="D379" s="14" t="str">
        <f>'Curvas SRY'!$B$14</f>
        <v>Uso variable</v>
      </c>
      <c r="E379" s="14">
        <f>16</f>
        <v>16</v>
      </c>
      <c r="F379" s="21">
        <f>'Hoja 4 - Cálculo'!A40</f>
        <v>30042</v>
      </c>
      <c r="G379" s="15">
        <f>'Hoja 4 - Cálculo'!H40</f>
        <v>31.670999999999999</v>
      </c>
      <c r="H379" s="15">
        <f>IF(D379="Uso único",'Hoja 4 - Cálculo'!I40,IF(D379="Uso múltiple",AVERAGE('Hoja 4 - Cálculo'!$I$25:$I$384)+AVERAGE('Hoja 4 - Cálculo'!$J$25:$J$384)+AVERAGE('Hoja 4 - Cálculo'!$K$25:$K$384),IF(D379="Uso prioritario",'Hoja 4 - Cálculo'!I40+'Hoja 4 - Cálculo'!K40,'Hoja 4 - Cálculo'!I40+'Hoja 4 - Cálculo'!J40+'Hoja 4 - Cálculo'!K40)))</f>
        <v>11.5</v>
      </c>
      <c r="I379" s="15">
        <f t="shared" si="74"/>
        <v>8.625</v>
      </c>
      <c r="J379" s="15">
        <f t="shared" si="85"/>
        <v>2</v>
      </c>
      <c r="K379" s="15">
        <f>MIN(J379+G379,(J379+G379)*'Hoja 4 - Cálculo'!$B$15)</f>
        <v>0.67342000000000002</v>
      </c>
      <c r="L379" s="15">
        <f t="shared" si="75"/>
        <v>32.997579999999999</v>
      </c>
      <c r="M379" s="15">
        <f t="shared" si="76"/>
        <v>8.625</v>
      </c>
      <c r="N379" s="15">
        <f t="shared" si="77"/>
        <v>2</v>
      </c>
      <c r="O379" s="15">
        <f t="shared" si="78"/>
        <v>22.372579999999999</v>
      </c>
      <c r="P379" s="15">
        <f t="shared" si="79"/>
        <v>0</v>
      </c>
      <c r="Q379" s="14" t="str">
        <f>IF(M379&gt;=I379*'Hoja 4 - Cálculo'!$B$16,"Satisfactorio","Falla")</f>
        <v>Satisfactorio</v>
      </c>
      <c r="R379" s="14">
        <f t="shared" si="86"/>
        <v>0</v>
      </c>
      <c r="S379" s="14">
        <f t="shared" si="87"/>
        <v>0</v>
      </c>
    </row>
    <row r="380" spans="1:19">
      <c r="A380" s="14" t="str">
        <f t="shared" si="84"/>
        <v>SRY-2-1</v>
      </c>
      <c r="B380" s="15">
        <f>'Curvas SRY'!$B$9</f>
        <v>2</v>
      </c>
      <c r="C380" s="15">
        <f>'Curvas SRY'!$E$8</f>
        <v>0.75</v>
      </c>
      <c r="D380" s="14" t="str">
        <f>'Curvas SRY'!$B$14</f>
        <v>Uso variable</v>
      </c>
      <c r="E380" s="14">
        <f>17</f>
        <v>17</v>
      </c>
      <c r="F380" s="21">
        <f>'Hoja 4 - Cálculo'!A41</f>
        <v>30072</v>
      </c>
      <c r="G380" s="15">
        <f>'Hoja 4 - Cálculo'!H41</f>
        <v>29.299499999999998</v>
      </c>
      <c r="H380" s="15">
        <f>IF(D380="Uso único",'Hoja 4 - Cálculo'!I41,IF(D380="Uso múltiple",AVERAGE('Hoja 4 - Cálculo'!$I$25:$I$384)+AVERAGE('Hoja 4 - Cálculo'!$J$25:$J$384)+AVERAGE('Hoja 4 - Cálculo'!$K$25:$K$384),IF(D380="Uso prioritario",'Hoja 4 - Cálculo'!I41+'Hoja 4 - Cálculo'!K41,'Hoja 4 - Cálculo'!I41+'Hoja 4 - Cálculo'!J41+'Hoja 4 - Cálculo'!K41)))</f>
        <v>11.5</v>
      </c>
      <c r="I380" s="15">
        <f t="shared" si="74"/>
        <v>8.625</v>
      </c>
      <c r="J380" s="15">
        <f t="shared" si="85"/>
        <v>2</v>
      </c>
      <c r="K380" s="15">
        <f>MIN(J380+G380,(J380+G380)*'Hoja 4 - Cálculo'!$B$15)</f>
        <v>0.62598999999999994</v>
      </c>
      <c r="L380" s="15">
        <f t="shared" si="75"/>
        <v>30.673509999999997</v>
      </c>
      <c r="M380" s="15">
        <f t="shared" si="76"/>
        <v>8.625</v>
      </c>
      <c r="N380" s="15">
        <f t="shared" si="77"/>
        <v>2</v>
      </c>
      <c r="O380" s="15">
        <f t="shared" si="78"/>
        <v>20.048509999999997</v>
      </c>
      <c r="P380" s="15">
        <f t="shared" si="79"/>
        <v>0</v>
      </c>
      <c r="Q380" s="14" t="str">
        <f>IF(M380&gt;=I380*'Hoja 4 - Cálculo'!$B$16,"Satisfactorio","Falla")</f>
        <v>Satisfactorio</v>
      </c>
      <c r="R380" s="14">
        <f t="shared" si="86"/>
        <v>0</v>
      </c>
      <c r="S380" s="14">
        <f t="shared" si="87"/>
        <v>0</v>
      </c>
    </row>
    <row r="381" spans="1:19">
      <c r="A381" s="14" t="str">
        <f t="shared" si="84"/>
        <v>SRY-2-1</v>
      </c>
      <c r="B381" s="15">
        <f>'Curvas SRY'!$B$9</f>
        <v>2</v>
      </c>
      <c r="C381" s="15">
        <f>'Curvas SRY'!$E$8</f>
        <v>0.75</v>
      </c>
      <c r="D381" s="14" t="str">
        <f>'Curvas SRY'!$B$14</f>
        <v>Uso variable</v>
      </c>
      <c r="E381" s="14">
        <f>18</f>
        <v>18</v>
      </c>
      <c r="F381" s="21">
        <f>'Hoja 4 - Cálculo'!A42</f>
        <v>30103</v>
      </c>
      <c r="G381" s="15">
        <f>'Hoja 4 - Cálculo'!H42</f>
        <v>18.321750000000002</v>
      </c>
      <c r="H381" s="15">
        <f>IF(D381="Uso único",'Hoja 4 - Cálculo'!I42,IF(D381="Uso múltiple",AVERAGE('Hoja 4 - Cálculo'!$I$25:$I$384)+AVERAGE('Hoja 4 - Cálculo'!$J$25:$J$384)+AVERAGE('Hoja 4 - Cálculo'!$K$25:$K$384),IF(D381="Uso prioritario",'Hoja 4 - Cálculo'!I42+'Hoja 4 - Cálculo'!K42,'Hoja 4 - Cálculo'!I42+'Hoja 4 - Cálculo'!J42+'Hoja 4 - Cálculo'!K42)))</f>
        <v>11.5</v>
      </c>
      <c r="I381" s="15">
        <f t="shared" si="74"/>
        <v>8.625</v>
      </c>
      <c r="J381" s="15">
        <f t="shared" si="85"/>
        <v>2</v>
      </c>
      <c r="K381" s="15">
        <f>MIN(J381+G381,(J381+G381)*'Hoja 4 - Cálculo'!$B$15)</f>
        <v>0.40643500000000005</v>
      </c>
      <c r="L381" s="15">
        <f t="shared" si="75"/>
        <v>19.915315000000003</v>
      </c>
      <c r="M381" s="15">
        <f t="shared" si="76"/>
        <v>8.625</v>
      </c>
      <c r="N381" s="15">
        <f t="shared" si="77"/>
        <v>2</v>
      </c>
      <c r="O381" s="15">
        <f t="shared" si="78"/>
        <v>9.2903150000000032</v>
      </c>
      <c r="P381" s="15">
        <f t="shared" si="79"/>
        <v>0</v>
      </c>
      <c r="Q381" s="14" t="str">
        <f>IF(M381&gt;=I381*'Hoja 4 - Cálculo'!$B$16,"Satisfactorio","Falla")</f>
        <v>Satisfactorio</v>
      </c>
      <c r="R381" s="14">
        <f t="shared" si="86"/>
        <v>0</v>
      </c>
      <c r="S381" s="14">
        <f t="shared" si="87"/>
        <v>0</v>
      </c>
    </row>
    <row r="382" spans="1:19">
      <c r="A382" s="14" t="str">
        <f t="shared" si="84"/>
        <v>SRY-2-1</v>
      </c>
      <c r="B382" s="15">
        <f>'Curvas SRY'!$B$9</f>
        <v>2</v>
      </c>
      <c r="C382" s="15">
        <f>'Curvas SRY'!$E$8</f>
        <v>0.75</v>
      </c>
      <c r="D382" s="14" t="str">
        <f>'Curvas SRY'!$B$14</f>
        <v>Uso variable</v>
      </c>
      <c r="E382" s="14">
        <f>19</f>
        <v>19</v>
      </c>
      <c r="F382" s="21">
        <f>'Hoja 4 - Cálculo'!A43</f>
        <v>30133</v>
      </c>
      <c r="G382" s="15">
        <f>'Hoja 4 - Cálculo'!H43</f>
        <v>15.3765</v>
      </c>
      <c r="H382" s="15">
        <f>IF(D382="Uso único",'Hoja 4 - Cálculo'!I43,IF(D382="Uso múltiple",AVERAGE('Hoja 4 - Cálculo'!$I$25:$I$384)+AVERAGE('Hoja 4 - Cálculo'!$J$25:$J$384)+AVERAGE('Hoja 4 - Cálculo'!$K$25:$K$384),IF(D382="Uso prioritario",'Hoja 4 - Cálculo'!I43+'Hoja 4 - Cálculo'!K43,'Hoja 4 - Cálculo'!I43+'Hoja 4 - Cálculo'!J43+'Hoja 4 - Cálculo'!K43)))</f>
        <v>16</v>
      </c>
      <c r="I382" s="15">
        <f t="shared" si="74"/>
        <v>12</v>
      </c>
      <c r="J382" s="15">
        <f t="shared" si="85"/>
        <v>2</v>
      </c>
      <c r="K382" s="15">
        <f>MIN(J382+G382,(J382+G382)*'Hoja 4 - Cálculo'!$B$15)</f>
        <v>0.34753000000000001</v>
      </c>
      <c r="L382" s="15">
        <f t="shared" si="75"/>
        <v>17.028970000000001</v>
      </c>
      <c r="M382" s="15">
        <f t="shared" si="76"/>
        <v>12</v>
      </c>
      <c r="N382" s="15">
        <f t="shared" si="77"/>
        <v>2</v>
      </c>
      <c r="O382" s="15">
        <f t="shared" si="78"/>
        <v>3.0289700000000011</v>
      </c>
      <c r="P382" s="15">
        <f t="shared" si="79"/>
        <v>0</v>
      </c>
      <c r="Q382" s="14" t="str">
        <f>IF(M382&gt;=I382*'Hoja 4 - Cálculo'!$B$16,"Satisfactorio","Falla")</f>
        <v>Satisfactorio</v>
      </c>
      <c r="R382" s="14">
        <f t="shared" si="86"/>
        <v>0</v>
      </c>
      <c r="S382" s="14">
        <f t="shared" si="87"/>
        <v>0</v>
      </c>
    </row>
    <row r="383" spans="1:19">
      <c r="A383" s="14" t="str">
        <f t="shared" si="84"/>
        <v>SRY-2-1</v>
      </c>
      <c r="B383" s="15">
        <f>'Curvas SRY'!$B$9</f>
        <v>2</v>
      </c>
      <c r="C383" s="15">
        <f>'Curvas SRY'!$E$8</f>
        <v>0.75</v>
      </c>
      <c r="D383" s="14" t="str">
        <f>'Curvas SRY'!$B$14</f>
        <v>Uso variable</v>
      </c>
      <c r="E383" s="14">
        <f>20</f>
        <v>20</v>
      </c>
      <c r="F383" s="21">
        <f>'Hoja 4 - Cálculo'!A44</f>
        <v>30164</v>
      </c>
      <c r="G383" s="15">
        <f>'Hoja 4 - Cálculo'!H44</f>
        <v>16.466625000000001</v>
      </c>
      <c r="H383" s="15">
        <f>IF(D383="Uso único",'Hoja 4 - Cálculo'!I44,IF(D383="Uso múltiple",AVERAGE('Hoja 4 - Cálculo'!$I$25:$I$384)+AVERAGE('Hoja 4 - Cálculo'!$J$25:$J$384)+AVERAGE('Hoja 4 - Cálculo'!$K$25:$K$384),IF(D383="Uso prioritario",'Hoja 4 - Cálculo'!I44+'Hoja 4 - Cálculo'!K44,'Hoja 4 - Cálculo'!I44+'Hoja 4 - Cálculo'!J44+'Hoja 4 - Cálculo'!K44)))</f>
        <v>16</v>
      </c>
      <c r="I383" s="15">
        <f t="shared" si="74"/>
        <v>12</v>
      </c>
      <c r="J383" s="15">
        <f t="shared" si="85"/>
        <v>2</v>
      </c>
      <c r="K383" s="15">
        <f>MIN(J383+G383,(J383+G383)*'Hoja 4 - Cálculo'!$B$15)</f>
        <v>0.36933250000000001</v>
      </c>
      <c r="L383" s="15">
        <f t="shared" si="75"/>
        <v>18.097292500000002</v>
      </c>
      <c r="M383" s="15">
        <f t="shared" si="76"/>
        <v>12</v>
      </c>
      <c r="N383" s="15">
        <f t="shared" si="77"/>
        <v>2</v>
      </c>
      <c r="O383" s="15">
        <f t="shared" si="78"/>
        <v>4.0972925000000018</v>
      </c>
      <c r="P383" s="15">
        <f t="shared" si="79"/>
        <v>0</v>
      </c>
      <c r="Q383" s="14" t="str">
        <f>IF(M383&gt;=I383*'Hoja 4 - Cálculo'!$B$16,"Satisfactorio","Falla")</f>
        <v>Satisfactorio</v>
      </c>
      <c r="R383" s="14">
        <f t="shared" si="86"/>
        <v>0</v>
      </c>
      <c r="S383" s="14">
        <f t="shared" si="87"/>
        <v>0</v>
      </c>
    </row>
    <row r="384" spans="1:19">
      <c r="A384" s="14" t="str">
        <f t="shared" si="84"/>
        <v>SRY-2-1</v>
      </c>
      <c r="B384" s="15">
        <f>'Curvas SRY'!$B$9</f>
        <v>2</v>
      </c>
      <c r="C384" s="15">
        <f>'Curvas SRY'!$E$8</f>
        <v>0.75</v>
      </c>
      <c r="D384" s="14" t="str">
        <f>'Curvas SRY'!$B$14</f>
        <v>Uso variable</v>
      </c>
      <c r="E384" s="14">
        <f>21</f>
        <v>21</v>
      </c>
      <c r="F384" s="21">
        <f>'Hoja 4 - Cálculo'!A45</f>
        <v>30195</v>
      </c>
      <c r="G384" s="15">
        <f>'Hoja 4 - Cálculo'!H45</f>
        <v>25.837875</v>
      </c>
      <c r="H384" s="15">
        <f>IF(D384="Uso único",'Hoja 4 - Cálculo'!I45,IF(D384="Uso múltiple",AVERAGE('Hoja 4 - Cálculo'!$I$25:$I$384)+AVERAGE('Hoja 4 - Cálculo'!$J$25:$J$384)+AVERAGE('Hoja 4 - Cálculo'!$K$25:$K$384),IF(D384="Uso prioritario",'Hoja 4 - Cálculo'!I45+'Hoja 4 - Cálculo'!K45,'Hoja 4 - Cálculo'!I45+'Hoja 4 - Cálculo'!J45+'Hoja 4 - Cálculo'!K45)))</f>
        <v>11.5</v>
      </c>
      <c r="I384" s="15">
        <f t="shared" si="74"/>
        <v>8.625</v>
      </c>
      <c r="J384" s="15">
        <f t="shared" si="85"/>
        <v>2</v>
      </c>
      <c r="K384" s="15">
        <f>MIN(J384+G384,(J384+G384)*'Hoja 4 - Cálculo'!$B$15)</f>
        <v>0.55675750000000002</v>
      </c>
      <c r="L384" s="15">
        <f t="shared" si="75"/>
        <v>27.281117500000001</v>
      </c>
      <c r="M384" s="15">
        <f t="shared" si="76"/>
        <v>8.625</v>
      </c>
      <c r="N384" s="15">
        <f t="shared" si="77"/>
        <v>2</v>
      </c>
      <c r="O384" s="15">
        <f t="shared" si="78"/>
        <v>16.656117500000001</v>
      </c>
      <c r="P384" s="15">
        <f t="shared" si="79"/>
        <v>0</v>
      </c>
      <c r="Q384" s="14" t="str">
        <f>IF(M384&gt;=I384*'Hoja 4 - Cálculo'!$B$16,"Satisfactorio","Falla")</f>
        <v>Satisfactorio</v>
      </c>
      <c r="R384" s="14">
        <f t="shared" si="86"/>
        <v>0</v>
      </c>
      <c r="S384" s="14">
        <f t="shared" si="87"/>
        <v>0</v>
      </c>
    </row>
    <row r="385" spans="1:19">
      <c r="A385" s="14" t="str">
        <f t="shared" si="84"/>
        <v>SRY-2-1</v>
      </c>
      <c r="B385" s="15">
        <f>'Curvas SRY'!$B$9</f>
        <v>2</v>
      </c>
      <c r="C385" s="15">
        <f>'Curvas SRY'!$E$8</f>
        <v>0.75</v>
      </c>
      <c r="D385" s="14" t="str">
        <f>'Curvas SRY'!$B$14</f>
        <v>Uso variable</v>
      </c>
      <c r="E385" s="14">
        <f>22</f>
        <v>22</v>
      </c>
      <c r="F385" s="21">
        <f>'Hoja 4 - Cálculo'!A46</f>
        <v>30225</v>
      </c>
      <c r="G385" s="15">
        <f>'Hoja 4 - Cálculo'!H46</f>
        <v>33.46875</v>
      </c>
      <c r="H385" s="15">
        <f>IF(D385="Uso único",'Hoja 4 - Cálculo'!I46,IF(D385="Uso múltiple",AVERAGE('Hoja 4 - Cálculo'!$I$25:$I$384)+AVERAGE('Hoja 4 - Cálculo'!$J$25:$J$384)+AVERAGE('Hoja 4 - Cálculo'!$K$25:$K$384),IF(D385="Uso prioritario",'Hoja 4 - Cálculo'!I46+'Hoja 4 - Cálculo'!K46,'Hoja 4 - Cálculo'!I46+'Hoja 4 - Cálculo'!J46+'Hoja 4 - Cálculo'!K46)))</f>
        <v>11.5</v>
      </c>
      <c r="I385" s="15">
        <f t="shared" si="74"/>
        <v>8.625</v>
      </c>
      <c r="J385" s="15">
        <f t="shared" si="85"/>
        <v>2</v>
      </c>
      <c r="K385" s="15">
        <f>MIN(J385+G385,(J385+G385)*'Hoja 4 - Cálculo'!$B$15)</f>
        <v>0.70937499999999998</v>
      </c>
      <c r="L385" s="15">
        <f t="shared" si="75"/>
        <v>34.759374999999999</v>
      </c>
      <c r="M385" s="15">
        <f t="shared" si="76"/>
        <v>8.625</v>
      </c>
      <c r="N385" s="15">
        <f t="shared" si="77"/>
        <v>2</v>
      </c>
      <c r="O385" s="15">
        <f t="shared" si="78"/>
        <v>24.134374999999999</v>
      </c>
      <c r="P385" s="15">
        <f t="shared" si="79"/>
        <v>0</v>
      </c>
      <c r="Q385" s="14" t="str">
        <f>IF(M385&gt;=I385*'Hoja 4 - Cálculo'!$B$16,"Satisfactorio","Falla")</f>
        <v>Satisfactorio</v>
      </c>
      <c r="R385" s="14">
        <f t="shared" si="86"/>
        <v>0</v>
      </c>
      <c r="S385" s="14">
        <f t="shared" si="87"/>
        <v>0</v>
      </c>
    </row>
    <row r="386" spans="1:19">
      <c r="A386" s="14" t="str">
        <f t="shared" si="84"/>
        <v>SRY-2-1</v>
      </c>
      <c r="B386" s="15">
        <f>'Curvas SRY'!$B$9</f>
        <v>2</v>
      </c>
      <c r="C386" s="15">
        <f>'Curvas SRY'!$E$8</f>
        <v>0.75</v>
      </c>
      <c r="D386" s="14" t="str">
        <f>'Curvas SRY'!$B$14</f>
        <v>Uso variable</v>
      </c>
      <c r="E386" s="14">
        <f>23</f>
        <v>23</v>
      </c>
      <c r="F386" s="21">
        <f>'Hoja 4 - Cálculo'!A47</f>
        <v>30256</v>
      </c>
      <c r="G386" s="15">
        <f>'Hoja 4 - Cálculo'!H47</f>
        <v>27.578250000000001</v>
      </c>
      <c r="H386" s="15">
        <f>IF(D386="Uso único",'Hoja 4 - Cálculo'!I47,IF(D386="Uso múltiple",AVERAGE('Hoja 4 - Cálculo'!$I$25:$I$384)+AVERAGE('Hoja 4 - Cálculo'!$J$25:$J$384)+AVERAGE('Hoja 4 - Cálculo'!$K$25:$K$384),IF(D386="Uso prioritario",'Hoja 4 - Cálculo'!I47+'Hoja 4 - Cálculo'!K47,'Hoja 4 - Cálculo'!I47+'Hoja 4 - Cálculo'!J47+'Hoja 4 - Cálculo'!K47)))</f>
        <v>11.5</v>
      </c>
      <c r="I386" s="15">
        <f t="shared" si="74"/>
        <v>8.625</v>
      </c>
      <c r="J386" s="15">
        <f t="shared" si="85"/>
        <v>2</v>
      </c>
      <c r="K386" s="15">
        <f>MIN(J386+G386,(J386+G386)*'Hoja 4 - Cálculo'!$B$15)</f>
        <v>0.59156500000000001</v>
      </c>
      <c r="L386" s="15">
        <f t="shared" si="75"/>
        <v>28.986685000000001</v>
      </c>
      <c r="M386" s="15">
        <f t="shared" si="76"/>
        <v>8.625</v>
      </c>
      <c r="N386" s="15">
        <f t="shared" si="77"/>
        <v>2</v>
      </c>
      <c r="O386" s="15">
        <f t="shared" si="78"/>
        <v>18.361685000000001</v>
      </c>
      <c r="P386" s="15">
        <f t="shared" si="79"/>
        <v>0</v>
      </c>
      <c r="Q386" s="14" t="str">
        <f>IF(M386&gt;=I386*'Hoja 4 - Cálculo'!$B$16,"Satisfactorio","Falla")</f>
        <v>Satisfactorio</v>
      </c>
      <c r="R386" s="14">
        <f t="shared" si="86"/>
        <v>0</v>
      </c>
      <c r="S386" s="14">
        <f t="shared" si="87"/>
        <v>0</v>
      </c>
    </row>
    <row r="387" spans="1:19">
      <c r="A387" s="14" t="str">
        <f t="shared" si="84"/>
        <v>SRY-2-1</v>
      </c>
      <c r="B387" s="15">
        <f>'Curvas SRY'!$B$9</f>
        <v>2</v>
      </c>
      <c r="C387" s="15">
        <f>'Curvas SRY'!$E$8</f>
        <v>0.75</v>
      </c>
      <c r="D387" s="14" t="str">
        <f>'Curvas SRY'!$B$14</f>
        <v>Uso variable</v>
      </c>
      <c r="E387" s="14">
        <f>24</f>
        <v>24</v>
      </c>
      <c r="F387" s="21">
        <f>'Hoja 4 - Cálculo'!A48</f>
        <v>30286</v>
      </c>
      <c r="G387" s="15">
        <f>'Hoja 4 - Cálculo'!H48</f>
        <v>16.256250000000001</v>
      </c>
      <c r="H387" s="15">
        <f>IF(D387="Uso único",'Hoja 4 - Cálculo'!I48,IF(D387="Uso múltiple",AVERAGE('Hoja 4 - Cálculo'!$I$25:$I$384)+AVERAGE('Hoja 4 - Cálculo'!$J$25:$J$384)+AVERAGE('Hoja 4 - Cálculo'!$K$25:$K$384),IF(D387="Uso prioritario",'Hoja 4 - Cálculo'!I48+'Hoja 4 - Cálculo'!K48,'Hoja 4 - Cálculo'!I48+'Hoja 4 - Cálculo'!J48+'Hoja 4 - Cálculo'!K48)))</f>
        <v>16</v>
      </c>
      <c r="I387" s="15">
        <f t="shared" si="74"/>
        <v>12</v>
      </c>
      <c r="J387" s="15">
        <f t="shared" si="85"/>
        <v>2</v>
      </c>
      <c r="K387" s="15">
        <f>MIN(J387+G387,(J387+G387)*'Hoja 4 - Cálculo'!$B$15)</f>
        <v>0.36512500000000003</v>
      </c>
      <c r="L387" s="15">
        <f t="shared" si="75"/>
        <v>17.891125000000002</v>
      </c>
      <c r="M387" s="15">
        <f t="shared" si="76"/>
        <v>12</v>
      </c>
      <c r="N387" s="15">
        <f t="shared" si="77"/>
        <v>2</v>
      </c>
      <c r="O387" s="15">
        <f t="shared" si="78"/>
        <v>3.8911250000000024</v>
      </c>
      <c r="P387" s="15">
        <f t="shared" si="79"/>
        <v>0</v>
      </c>
      <c r="Q387" s="14" t="str">
        <f>IF(M387&gt;=I387*'Hoja 4 - Cálculo'!$B$16,"Satisfactorio","Falla")</f>
        <v>Satisfactorio</v>
      </c>
      <c r="R387" s="14">
        <f t="shared" si="86"/>
        <v>0</v>
      </c>
      <c r="S387" s="14">
        <f t="shared" si="87"/>
        <v>0</v>
      </c>
    </row>
    <row r="388" spans="1:19">
      <c r="A388" s="14" t="str">
        <f t="shared" si="84"/>
        <v>SRY-2-1</v>
      </c>
      <c r="B388" s="15">
        <f>'Curvas SRY'!$B$9</f>
        <v>2</v>
      </c>
      <c r="C388" s="15">
        <f>'Curvas SRY'!$E$8</f>
        <v>0.75</v>
      </c>
      <c r="D388" s="14" t="str">
        <f>'Curvas SRY'!$B$14</f>
        <v>Uso variable</v>
      </c>
      <c r="E388" s="14">
        <f>25</f>
        <v>25</v>
      </c>
      <c r="F388" s="21">
        <f>'Hoja 4 - Cálculo'!A49</f>
        <v>30317</v>
      </c>
      <c r="G388" s="15">
        <f>'Hoja 4 - Cálculo'!H49</f>
        <v>12.775499999999999</v>
      </c>
      <c r="H388" s="15">
        <f>IF(D388="Uso único",'Hoja 4 - Cálculo'!I49,IF(D388="Uso múltiple",AVERAGE('Hoja 4 - Cálculo'!$I$25:$I$384)+AVERAGE('Hoja 4 - Cálculo'!$J$25:$J$384)+AVERAGE('Hoja 4 - Cálculo'!$K$25:$K$384),IF(D388="Uso prioritario",'Hoja 4 - Cálculo'!I49+'Hoja 4 - Cálculo'!K49,'Hoja 4 - Cálculo'!I49+'Hoja 4 - Cálculo'!J49+'Hoja 4 - Cálculo'!K49)))</f>
        <v>16</v>
      </c>
      <c r="I388" s="15">
        <f t="shared" ref="I388:I451" si="88">H388*C388</f>
        <v>12</v>
      </c>
      <c r="J388" s="15">
        <f t="shared" si="85"/>
        <v>2</v>
      </c>
      <c r="K388" s="15">
        <f>MIN(J388+G388,(J388+G388)*'Hoja 4 - Cálculo'!$B$15)</f>
        <v>0.29550999999999999</v>
      </c>
      <c r="L388" s="15">
        <f t="shared" ref="L388:L451" si="89">MAX(0,J388+G388-K388)</f>
        <v>14.479989999999999</v>
      </c>
      <c r="M388" s="15">
        <f t="shared" ref="M388:M451" si="90">MIN(I388,L388)</f>
        <v>12</v>
      </c>
      <c r="N388" s="15">
        <f t="shared" ref="N388:N451" si="91">MIN(B388,MAX(0,L388-M388))</f>
        <v>2</v>
      </c>
      <c r="O388" s="15">
        <f t="shared" ref="O388:O451" si="92">MAX(0,L388-M388-B388)</f>
        <v>0.47998999999999903</v>
      </c>
      <c r="P388" s="15">
        <f t="shared" ref="P388:P451" si="93">MAX(0,I388-M388)</f>
        <v>0</v>
      </c>
      <c r="Q388" s="14" t="str">
        <f>IF(M388&gt;=I388*'Hoja 4 - Cálculo'!$B$16,"Satisfactorio","Falla")</f>
        <v>Satisfactorio</v>
      </c>
      <c r="R388" s="14">
        <f t="shared" si="86"/>
        <v>0</v>
      </c>
      <c r="S388" s="14">
        <f t="shared" si="87"/>
        <v>0</v>
      </c>
    </row>
    <row r="389" spans="1:19">
      <c r="A389" s="14" t="str">
        <f t="shared" si="84"/>
        <v>SRY-2-1</v>
      </c>
      <c r="B389" s="15">
        <f>'Curvas SRY'!$B$9</f>
        <v>2</v>
      </c>
      <c r="C389" s="15">
        <f>'Curvas SRY'!$E$8</f>
        <v>0.75</v>
      </c>
      <c r="D389" s="14" t="str">
        <f>'Curvas SRY'!$B$14</f>
        <v>Uso variable</v>
      </c>
      <c r="E389" s="14">
        <f>26</f>
        <v>26</v>
      </c>
      <c r="F389" s="21">
        <f>'Hoja 4 - Cálculo'!A50</f>
        <v>30348</v>
      </c>
      <c r="G389" s="15">
        <f>'Hoja 4 - Cálculo'!H50</f>
        <v>14.49675</v>
      </c>
      <c r="H389" s="15">
        <f>IF(D389="Uso único",'Hoja 4 - Cálculo'!I50,IF(D389="Uso múltiple",AVERAGE('Hoja 4 - Cálculo'!$I$25:$I$384)+AVERAGE('Hoja 4 - Cálculo'!$J$25:$J$384)+AVERAGE('Hoja 4 - Cálculo'!$K$25:$K$384),IF(D389="Uso prioritario",'Hoja 4 - Cálculo'!I50+'Hoja 4 - Cálculo'!K50,'Hoja 4 - Cálculo'!I50+'Hoja 4 - Cálculo'!J50+'Hoja 4 - Cálculo'!K50)))</f>
        <v>16</v>
      </c>
      <c r="I389" s="15">
        <f t="shared" si="88"/>
        <v>12</v>
      </c>
      <c r="J389" s="15">
        <f t="shared" si="85"/>
        <v>2</v>
      </c>
      <c r="K389" s="15">
        <f>MIN(J389+G389,(J389+G389)*'Hoja 4 - Cálculo'!$B$15)</f>
        <v>0.32993499999999998</v>
      </c>
      <c r="L389" s="15">
        <f t="shared" si="89"/>
        <v>16.166815</v>
      </c>
      <c r="M389" s="15">
        <f t="shared" si="90"/>
        <v>12</v>
      </c>
      <c r="N389" s="15">
        <f t="shared" si="91"/>
        <v>2</v>
      </c>
      <c r="O389" s="15">
        <f t="shared" si="92"/>
        <v>2.1668149999999997</v>
      </c>
      <c r="P389" s="15">
        <f t="shared" si="93"/>
        <v>0</v>
      </c>
      <c r="Q389" s="14" t="str">
        <f>IF(M389&gt;=I389*'Hoja 4 - Cálculo'!$B$16,"Satisfactorio","Falla")</f>
        <v>Satisfactorio</v>
      </c>
      <c r="R389" s="14">
        <f t="shared" si="86"/>
        <v>0</v>
      </c>
      <c r="S389" s="14">
        <f t="shared" si="87"/>
        <v>0</v>
      </c>
    </row>
    <row r="390" spans="1:19">
      <c r="A390" s="14" t="str">
        <f t="shared" si="84"/>
        <v>SRY-2-1</v>
      </c>
      <c r="B390" s="15">
        <f>'Curvas SRY'!$B$9</f>
        <v>2</v>
      </c>
      <c r="C390" s="15">
        <f>'Curvas SRY'!$E$8</f>
        <v>0.75</v>
      </c>
      <c r="D390" s="14" t="str">
        <f>'Curvas SRY'!$B$14</f>
        <v>Uso variable</v>
      </c>
      <c r="E390" s="14">
        <f>27</f>
        <v>27</v>
      </c>
      <c r="F390" s="21">
        <f>'Hoja 4 - Cálculo'!A51</f>
        <v>30376</v>
      </c>
      <c r="G390" s="15">
        <f>'Hoja 4 - Cálculo'!H51</f>
        <v>21.936375000000002</v>
      </c>
      <c r="H390" s="15">
        <f>IF(D390="Uso único",'Hoja 4 - Cálculo'!I51,IF(D390="Uso múltiple",AVERAGE('Hoja 4 - Cálculo'!$I$25:$I$384)+AVERAGE('Hoja 4 - Cálculo'!$J$25:$J$384)+AVERAGE('Hoja 4 - Cálculo'!$K$25:$K$384),IF(D390="Uso prioritario",'Hoja 4 - Cálculo'!I51+'Hoja 4 - Cálculo'!K51,'Hoja 4 - Cálculo'!I51+'Hoja 4 - Cálculo'!J51+'Hoja 4 - Cálculo'!K51)))</f>
        <v>16</v>
      </c>
      <c r="I390" s="15">
        <f t="shared" si="88"/>
        <v>12</v>
      </c>
      <c r="J390" s="15">
        <f t="shared" si="85"/>
        <v>2</v>
      </c>
      <c r="K390" s="15">
        <f>MIN(J390+G390,(J390+G390)*'Hoja 4 - Cálculo'!$B$15)</f>
        <v>0.47872750000000003</v>
      </c>
      <c r="L390" s="15">
        <f t="shared" si="89"/>
        <v>23.4576475</v>
      </c>
      <c r="M390" s="15">
        <f t="shared" si="90"/>
        <v>12</v>
      </c>
      <c r="N390" s="15">
        <f t="shared" si="91"/>
        <v>2</v>
      </c>
      <c r="O390" s="15">
        <f t="shared" si="92"/>
        <v>9.4576475000000002</v>
      </c>
      <c r="P390" s="15">
        <f t="shared" si="93"/>
        <v>0</v>
      </c>
      <c r="Q390" s="14" t="str">
        <f>IF(M390&gt;=I390*'Hoja 4 - Cálculo'!$B$16,"Satisfactorio","Falla")</f>
        <v>Satisfactorio</v>
      </c>
      <c r="R390" s="14">
        <f t="shared" si="86"/>
        <v>0</v>
      </c>
      <c r="S390" s="14">
        <f t="shared" si="87"/>
        <v>0</v>
      </c>
    </row>
    <row r="391" spans="1:19">
      <c r="A391" s="14" t="str">
        <f t="shared" si="84"/>
        <v>SRY-2-1</v>
      </c>
      <c r="B391" s="15">
        <f>'Curvas SRY'!$B$9</f>
        <v>2</v>
      </c>
      <c r="C391" s="15">
        <f>'Curvas SRY'!$E$8</f>
        <v>0.75</v>
      </c>
      <c r="D391" s="14" t="str">
        <f>'Curvas SRY'!$B$14</f>
        <v>Uso variable</v>
      </c>
      <c r="E391" s="14">
        <f>28</f>
        <v>28</v>
      </c>
      <c r="F391" s="21">
        <f>'Hoja 4 - Cálculo'!A52</f>
        <v>30407</v>
      </c>
      <c r="G391" s="15">
        <f>'Hoja 4 - Cálculo'!H52</f>
        <v>32.263874999999999</v>
      </c>
      <c r="H391" s="15">
        <f>IF(D391="Uso único",'Hoja 4 - Cálculo'!I52,IF(D391="Uso múltiple",AVERAGE('Hoja 4 - Cálculo'!$I$25:$I$384)+AVERAGE('Hoja 4 - Cálculo'!$J$25:$J$384)+AVERAGE('Hoja 4 - Cálculo'!$K$25:$K$384),IF(D391="Uso prioritario",'Hoja 4 - Cálculo'!I52+'Hoja 4 - Cálculo'!K52,'Hoja 4 - Cálculo'!I52+'Hoja 4 - Cálculo'!J52+'Hoja 4 - Cálculo'!K52)))</f>
        <v>11.5</v>
      </c>
      <c r="I391" s="15">
        <f t="shared" si="88"/>
        <v>8.625</v>
      </c>
      <c r="J391" s="15">
        <f t="shared" si="85"/>
        <v>2</v>
      </c>
      <c r="K391" s="15">
        <f>MIN(J391+G391,(J391+G391)*'Hoja 4 - Cálculo'!$B$15)</f>
        <v>0.68527749999999998</v>
      </c>
      <c r="L391" s="15">
        <f t="shared" si="89"/>
        <v>33.578597500000001</v>
      </c>
      <c r="M391" s="15">
        <f t="shared" si="90"/>
        <v>8.625</v>
      </c>
      <c r="N391" s="15">
        <f t="shared" si="91"/>
        <v>2</v>
      </c>
      <c r="O391" s="15">
        <f t="shared" si="92"/>
        <v>22.953597500000001</v>
      </c>
      <c r="P391" s="15">
        <f t="shared" si="93"/>
        <v>0</v>
      </c>
      <c r="Q391" s="14" t="str">
        <f>IF(M391&gt;=I391*'Hoja 4 - Cálculo'!$B$16,"Satisfactorio","Falla")</f>
        <v>Satisfactorio</v>
      </c>
      <c r="R391" s="14">
        <f t="shared" si="86"/>
        <v>0</v>
      </c>
      <c r="S391" s="14">
        <f t="shared" si="87"/>
        <v>0</v>
      </c>
    </row>
    <row r="392" spans="1:19">
      <c r="A392" s="14" t="str">
        <f t="shared" si="84"/>
        <v>SRY-2-1</v>
      </c>
      <c r="B392" s="15">
        <f>'Curvas SRY'!$B$9</f>
        <v>2</v>
      </c>
      <c r="C392" s="15">
        <f>'Curvas SRY'!$E$8</f>
        <v>0.75</v>
      </c>
      <c r="D392" s="14" t="str">
        <f>'Curvas SRY'!$B$14</f>
        <v>Uso variable</v>
      </c>
      <c r="E392" s="14">
        <f>29</f>
        <v>29</v>
      </c>
      <c r="F392" s="21">
        <f>'Hoja 4 - Cálculo'!A53</f>
        <v>30437</v>
      </c>
      <c r="G392" s="15">
        <f>'Hoja 4 - Cálculo'!H53</f>
        <v>29.356874999999999</v>
      </c>
      <c r="H392" s="15">
        <f>IF(D392="Uso único",'Hoja 4 - Cálculo'!I53,IF(D392="Uso múltiple",AVERAGE('Hoja 4 - Cálculo'!$I$25:$I$384)+AVERAGE('Hoja 4 - Cálculo'!$J$25:$J$384)+AVERAGE('Hoja 4 - Cálculo'!$K$25:$K$384),IF(D392="Uso prioritario",'Hoja 4 - Cálculo'!I53+'Hoja 4 - Cálculo'!K53,'Hoja 4 - Cálculo'!I53+'Hoja 4 - Cálculo'!J53+'Hoja 4 - Cálculo'!K53)))</f>
        <v>11.5</v>
      </c>
      <c r="I392" s="15">
        <f t="shared" si="88"/>
        <v>8.625</v>
      </c>
      <c r="J392" s="15">
        <f t="shared" si="85"/>
        <v>2</v>
      </c>
      <c r="K392" s="15">
        <f>MIN(J392+G392,(J392+G392)*'Hoja 4 - Cálculo'!$B$15)</f>
        <v>0.62713750000000001</v>
      </c>
      <c r="L392" s="15">
        <f t="shared" si="89"/>
        <v>30.729737499999999</v>
      </c>
      <c r="M392" s="15">
        <f t="shared" si="90"/>
        <v>8.625</v>
      </c>
      <c r="N392" s="15">
        <f t="shared" si="91"/>
        <v>2</v>
      </c>
      <c r="O392" s="15">
        <f t="shared" si="92"/>
        <v>20.104737499999999</v>
      </c>
      <c r="P392" s="15">
        <f t="shared" si="93"/>
        <v>0</v>
      </c>
      <c r="Q392" s="14" t="str">
        <f>IF(M392&gt;=I392*'Hoja 4 - Cálculo'!$B$16,"Satisfactorio","Falla")</f>
        <v>Satisfactorio</v>
      </c>
      <c r="R392" s="14">
        <f t="shared" si="86"/>
        <v>0</v>
      </c>
      <c r="S392" s="14">
        <f t="shared" si="87"/>
        <v>0</v>
      </c>
    </row>
    <row r="393" spans="1:19">
      <c r="A393" s="14" t="str">
        <f t="shared" si="84"/>
        <v>SRY-2-1</v>
      </c>
      <c r="B393" s="15">
        <f>'Curvas SRY'!$B$9</f>
        <v>2</v>
      </c>
      <c r="C393" s="15">
        <f>'Curvas SRY'!$E$8</f>
        <v>0.75</v>
      </c>
      <c r="D393" s="14" t="str">
        <f>'Curvas SRY'!$B$14</f>
        <v>Uso variable</v>
      </c>
      <c r="E393" s="14">
        <f>30</f>
        <v>30</v>
      </c>
      <c r="F393" s="21">
        <f>'Hoja 4 - Cálculo'!A54</f>
        <v>30468</v>
      </c>
      <c r="G393" s="15">
        <f>'Hoja 4 - Cálculo'!H54</f>
        <v>17.212499999999999</v>
      </c>
      <c r="H393" s="15">
        <f>IF(D393="Uso único",'Hoja 4 - Cálculo'!I54,IF(D393="Uso múltiple",AVERAGE('Hoja 4 - Cálculo'!$I$25:$I$384)+AVERAGE('Hoja 4 - Cálculo'!$J$25:$J$384)+AVERAGE('Hoja 4 - Cálculo'!$K$25:$K$384),IF(D393="Uso prioritario",'Hoja 4 - Cálculo'!I54+'Hoja 4 - Cálculo'!K54,'Hoja 4 - Cálculo'!I54+'Hoja 4 - Cálculo'!J54+'Hoja 4 - Cálculo'!K54)))</f>
        <v>11.5</v>
      </c>
      <c r="I393" s="15">
        <f t="shared" si="88"/>
        <v>8.625</v>
      </c>
      <c r="J393" s="15">
        <f t="shared" si="85"/>
        <v>2</v>
      </c>
      <c r="K393" s="15">
        <f>MIN(J393+G393,(J393+G393)*'Hoja 4 - Cálculo'!$B$15)</f>
        <v>0.38424999999999998</v>
      </c>
      <c r="L393" s="15">
        <f t="shared" si="89"/>
        <v>18.828249999999997</v>
      </c>
      <c r="M393" s="15">
        <f t="shared" si="90"/>
        <v>8.625</v>
      </c>
      <c r="N393" s="15">
        <f t="shared" si="91"/>
        <v>2</v>
      </c>
      <c r="O393" s="15">
        <f t="shared" si="92"/>
        <v>8.203249999999997</v>
      </c>
      <c r="P393" s="15">
        <f t="shared" si="93"/>
        <v>0</v>
      </c>
      <c r="Q393" s="14" t="str">
        <f>IF(M393&gt;=I393*'Hoja 4 - Cálculo'!$B$16,"Satisfactorio","Falla")</f>
        <v>Satisfactorio</v>
      </c>
      <c r="R393" s="14">
        <f t="shared" si="86"/>
        <v>0</v>
      </c>
      <c r="S393" s="14">
        <f t="shared" si="87"/>
        <v>0</v>
      </c>
    </row>
    <row r="394" spans="1:19">
      <c r="A394" s="14" t="str">
        <f t="shared" si="84"/>
        <v>SRY-2-1</v>
      </c>
      <c r="B394" s="15">
        <f>'Curvas SRY'!$B$9</f>
        <v>2</v>
      </c>
      <c r="C394" s="15">
        <f>'Curvas SRY'!$E$8</f>
        <v>0.75</v>
      </c>
      <c r="D394" s="14" t="str">
        <f>'Curvas SRY'!$B$14</f>
        <v>Uso variable</v>
      </c>
      <c r="E394" s="14">
        <f>31</f>
        <v>31</v>
      </c>
      <c r="F394" s="21">
        <f>'Hoja 4 - Cálculo'!A55</f>
        <v>30498</v>
      </c>
      <c r="G394" s="15">
        <f>'Hoja 4 - Cálculo'!H55</f>
        <v>13.597875</v>
      </c>
      <c r="H394" s="15">
        <f>IF(D394="Uso único",'Hoja 4 - Cálculo'!I55,IF(D394="Uso múltiple",AVERAGE('Hoja 4 - Cálculo'!$I$25:$I$384)+AVERAGE('Hoja 4 - Cálculo'!$J$25:$J$384)+AVERAGE('Hoja 4 - Cálculo'!$K$25:$K$384),IF(D394="Uso prioritario",'Hoja 4 - Cálculo'!I55+'Hoja 4 - Cálculo'!K55,'Hoja 4 - Cálculo'!I55+'Hoja 4 - Cálculo'!J55+'Hoja 4 - Cálculo'!K55)))</f>
        <v>16</v>
      </c>
      <c r="I394" s="15">
        <f t="shared" si="88"/>
        <v>12</v>
      </c>
      <c r="J394" s="15">
        <f t="shared" si="85"/>
        <v>2</v>
      </c>
      <c r="K394" s="15">
        <f>MIN(J394+G394,(J394+G394)*'Hoja 4 - Cálculo'!$B$15)</f>
        <v>0.3119575</v>
      </c>
      <c r="L394" s="15">
        <f t="shared" si="89"/>
        <v>15.2859175</v>
      </c>
      <c r="M394" s="15">
        <f t="shared" si="90"/>
        <v>12</v>
      </c>
      <c r="N394" s="15">
        <f t="shared" si="91"/>
        <v>2</v>
      </c>
      <c r="O394" s="15">
        <f t="shared" si="92"/>
        <v>1.2859175</v>
      </c>
      <c r="P394" s="15">
        <f t="shared" si="93"/>
        <v>0</v>
      </c>
      <c r="Q394" s="14" t="str">
        <f>IF(M394&gt;=I394*'Hoja 4 - Cálculo'!$B$16,"Satisfactorio","Falla")</f>
        <v>Satisfactorio</v>
      </c>
      <c r="R394" s="14">
        <f t="shared" si="86"/>
        <v>0</v>
      </c>
      <c r="S394" s="14">
        <f t="shared" si="87"/>
        <v>0</v>
      </c>
    </row>
    <row r="395" spans="1:19">
      <c r="A395" s="14" t="str">
        <f t="shared" si="84"/>
        <v>SRY-2-1</v>
      </c>
      <c r="B395" s="15">
        <f>'Curvas SRY'!$B$9</f>
        <v>2</v>
      </c>
      <c r="C395" s="15">
        <f>'Curvas SRY'!$E$8</f>
        <v>0.75</v>
      </c>
      <c r="D395" s="14" t="str">
        <f>'Curvas SRY'!$B$14</f>
        <v>Uso variable</v>
      </c>
      <c r="E395" s="14">
        <f>32</f>
        <v>32</v>
      </c>
      <c r="F395" s="21">
        <f>'Hoja 4 - Cálculo'!A56</f>
        <v>30529</v>
      </c>
      <c r="G395" s="15">
        <f>'Hoja 4 - Cálculo'!H56</f>
        <v>14.592375000000001</v>
      </c>
      <c r="H395" s="15">
        <f>IF(D395="Uso único",'Hoja 4 - Cálculo'!I56,IF(D395="Uso múltiple",AVERAGE('Hoja 4 - Cálculo'!$I$25:$I$384)+AVERAGE('Hoja 4 - Cálculo'!$J$25:$J$384)+AVERAGE('Hoja 4 - Cálculo'!$K$25:$K$384),IF(D395="Uso prioritario",'Hoja 4 - Cálculo'!I56+'Hoja 4 - Cálculo'!K56,'Hoja 4 - Cálculo'!I56+'Hoja 4 - Cálculo'!J56+'Hoja 4 - Cálculo'!K56)))</f>
        <v>16</v>
      </c>
      <c r="I395" s="15">
        <f t="shared" si="88"/>
        <v>12</v>
      </c>
      <c r="J395" s="15">
        <f t="shared" si="85"/>
        <v>2</v>
      </c>
      <c r="K395" s="15">
        <f>MIN(J395+G395,(J395+G395)*'Hoja 4 - Cálculo'!$B$15)</f>
        <v>0.33184750000000002</v>
      </c>
      <c r="L395" s="15">
        <f t="shared" si="89"/>
        <v>16.260527500000002</v>
      </c>
      <c r="M395" s="15">
        <f t="shared" si="90"/>
        <v>12</v>
      </c>
      <c r="N395" s="15">
        <f t="shared" si="91"/>
        <v>2</v>
      </c>
      <c r="O395" s="15">
        <f t="shared" si="92"/>
        <v>2.260527500000002</v>
      </c>
      <c r="P395" s="15">
        <f t="shared" si="93"/>
        <v>0</v>
      </c>
      <c r="Q395" s="14" t="str">
        <f>IF(M395&gt;=I395*'Hoja 4 - Cálculo'!$B$16,"Satisfactorio","Falla")</f>
        <v>Satisfactorio</v>
      </c>
      <c r="R395" s="14">
        <f t="shared" si="86"/>
        <v>0</v>
      </c>
      <c r="S395" s="14">
        <f t="shared" si="87"/>
        <v>0</v>
      </c>
    </row>
    <row r="396" spans="1:19">
      <c r="A396" s="14" t="str">
        <f t="shared" ref="A396:A427" si="94">"SRY-2-1"</f>
        <v>SRY-2-1</v>
      </c>
      <c r="B396" s="15">
        <f>'Curvas SRY'!$B$9</f>
        <v>2</v>
      </c>
      <c r="C396" s="15">
        <f>'Curvas SRY'!$E$8</f>
        <v>0.75</v>
      </c>
      <c r="D396" s="14" t="str">
        <f>'Curvas SRY'!$B$14</f>
        <v>Uso variable</v>
      </c>
      <c r="E396" s="14">
        <f>33</f>
        <v>33</v>
      </c>
      <c r="F396" s="21">
        <f>'Hoja 4 - Cálculo'!A57</f>
        <v>30560</v>
      </c>
      <c r="G396" s="15">
        <f>'Hoja 4 - Cálculo'!H57</f>
        <v>24.307874999999999</v>
      </c>
      <c r="H396" s="15">
        <f>IF(D396="Uso único",'Hoja 4 - Cálculo'!I57,IF(D396="Uso múltiple",AVERAGE('Hoja 4 - Cálculo'!$I$25:$I$384)+AVERAGE('Hoja 4 - Cálculo'!$J$25:$J$384)+AVERAGE('Hoja 4 - Cálculo'!$K$25:$K$384),IF(D396="Uso prioritario",'Hoja 4 - Cálculo'!I57+'Hoja 4 - Cálculo'!K57,'Hoja 4 - Cálculo'!I57+'Hoja 4 - Cálculo'!J57+'Hoja 4 - Cálculo'!K57)))</f>
        <v>11.5</v>
      </c>
      <c r="I396" s="15">
        <f t="shared" si="88"/>
        <v>8.625</v>
      </c>
      <c r="J396" s="15">
        <f t="shared" si="85"/>
        <v>2</v>
      </c>
      <c r="K396" s="15">
        <f>MIN(J396+G396,(J396+G396)*'Hoja 4 - Cálculo'!$B$15)</f>
        <v>0.52615749999999994</v>
      </c>
      <c r="L396" s="15">
        <f t="shared" si="89"/>
        <v>25.781717499999999</v>
      </c>
      <c r="M396" s="15">
        <f t="shared" si="90"/>
        <v>8.625</v>
      </c>
      <c r="N396" s="15">
        <f t="shared" si="91"/>
        <v>2</v>
      </c>
      <c r="O396" s="15">
        <f t="shared" si="92"/>
        <v>15.156717499999999</v>
      </c>
      <c r="P396" s="15">
        <f t="shared" si="93"/>
        <v>0</v>
      </c>
      <c r="Q396" s="14" t="str">
        <f>IF(M396&gt;=I396*'Hoja 4 - Cálculo'!$B$16,"Satisfactorio","Falla")</f>
        <v>Satisfactorio</v>
      </c>
      <c r="R396" s="14">
        <f t="shared" si="86"/>
        <v>0</v>
      </c>
      <c r="S396" s="14">
        <f t="shared" si="87"/>
        <v>0</v>
      </c>
    </row>
    <row r="397" spans="1:19">
      <c r="A397" s="14" t="str">
        <f t="shared" si="94"/>
        <v>SRY-2-1</v>
      </c>
      <c r="B397" s="15">
        <f>'Curvas SRY'!$B$9</f>
        <v>2</v>
      </c>
      <c r="C397" s="15">
        <f>'Curvas SRY'!$E$8</f>
        <v>0.75</v>
      </c>
      <c r="D397" s="14" t="str">
        <f>'Curvas SRY'!$B$14</f>
        <v>Uso variable</v>
      </c>
      <c r="E397" s="14">
        <f>34</f>
        <v>34</v>
      </c>
      <c r="F397" s="21">
        <f>'Hoja 4 - Cálculo'!A58</f>
        <v>30590</v>
      </c>
      <c r="G397" s="15">
        <f>'Hoja 4 - Cálculo'!H58</f>
        <v>33.564374999999998</v>
      </c>
      <c r="H397" s="15">
        <f>IF(D397="Uso único",'Hoja 4 - Cálculo'!I58,IF(D397="Uso múltiple",AVERAGE('Hoja 4 - Cálculo'!$I$25:$I$384)+AVERAGE('Hoja 4 - Cálculo'!$J$25:$J$384)+AVERAGE('Hoja 4 - Cálculo'!$K$25:$K$384),IF(D397="Uso prioritario",'Hoja 4 - Cálculo'!I58+'Hoja 4 - Cálculo'!K58,'Hoja 4 - Cálculo'!I58+'Hoja 4 - Cálculo'!J58+'Hoja 4 - Cálculo'!K58)))</f>
        <v>11.5</v>
      </c>
      <c r="I397" s="15">
        <f t="shared" si="88"/>
        <v>8.625</v>
      </c>
      <c r="J397" s="15">
        <f t="shared" ref="J397:J428" si="95">N396</f>
        <v>2</v>
      </c>
      <c r="K397" s="15">
        <f>MIN(J397+G397,(J397+G397)*'Hoja 4 - Cálculo'!$B$15)</f>
        <v>0.71128749999999996</v>
      </c>
      <c r="L397" s="15">
        <f t="shared" si="89"/>
        <v>34.853087500000001</v>
      </c>
      <c r="M397" s="15">
        <f t="shared" si="90"/>
        <v>8.625</v>
      </c>
      <c r="N397" s="15">
        <f t="shared" si="91"/>
        <v>2</v>
      </c>
      <c r="O397" s="15">
        <f t="shared" si="92"/>
        <v>24.228087500000001</v>
      </c>
      <c r="P397" s="15">
        <f t="shared" si="93"/>
        <v>0</v>
      </c>
      <c r="Q397" s="14" t="str">
        <f>IF(M397&gt;=I397*'Hoja 4 - Cálculo'!$B$16,"Satisfactorio","Falla")</f>
        <v>Satisfactorio</v>
      </c>
      <c r="R397" s="14">
        <f t="shared" ref="R397:R428" si="96">IF(AND(Q396="Falla",Q397="Satisfactorio"),1,0)</f>
        <v>0</v>
      </c>
      <c r="S397" s="14">
        <f t="shared" ref="S397:S428" si="97">IF(AND(Q397="Falla",Q396&lt;&gt;"Falla"),1,0)</f>
        <v>0</v>
      </c>
    </row>
    <row r="398" spans="1:19">
      <c r="A398" s="14" t="str">
        <f t="shared" si="94"/>
        <v>SRY-2-1</v>
      </c>
      <c r="B398" s="15">
        <f>'Curvas SRY'!$B$9</f>
        <v>2</v>
      </c>
      <c r="C398" s="15">
        <f>'Curvas SRY'!$E$8</f>
        <v>0.75</v>
      </c>
      <c r="D398" s="14" t="str">
        <f>'Curvas SRY'!$B$14</f>
        <v>Uso variable</v>
      </c>
      <c r="E398" s="14">
        <f>35</f>
        <v>35</v>
      </c>
      <c r="F398" s="21">
        <f>'Hoja 4 - Cálculo'!A59</f>
        <v>30621</v>
      </c>
      <c r="G398" s="15">
        <f>'Hoja 4 - Cálculo'!H59</f>
        <v>28.075500000000002</v>
      </c>
      <c r="H398" s="15">
        <f>IF(D398="Uso único",'Hoja 4 - Cálculo'!I59,IF(D398="Uso múltiple",AVERAGE('Hoja 4 - Cálculo'!$I$25:$I$384)+AVERAGE('Hoja 4 - Cálculo'!$J$25:$J$384)+AVERAGE('Hoja 4 - Cálculo'!$K$25:$K$384),IF(D398="Uso prioritario",'Hoja 4 - Cálculo'!I59+'Hoja 4 - Cálculo'!K59,'Hoja 4 - Cálculo'!I59+'Hoja 4 - Cálculo'!J59+'Hoja 4 - Cálculo'!K59)))</f>
        <v>11.5</v>
      </c>
      <c r="I398" s="15">
        <f t="shared" si="88"/>
        <v>8.625</v>
      </c>
      <c r="J398" s="15">
        <f t="shared" si="95"/>
        <v>2</v>
      </c>
      <c r="K398" s="15">
        <f>MIN(J398+G398,(J398+G398)*'Hoja 4 - Cálculo'!$B$15)</f>
        <v>0.6015100000000001</v>
      </c>
      <c r="L398" s="15">
        <f t="shared" si="89"/>
        <v>29.473990000000001</v>
      </c>
      <c r="M398" s="15">
        <f t="shared" si="90"/>
        <v>8.625</v>
      </c>
      <c r="N398" s="15">
        <f t="shared" si="91"/>
        <v>2</v>
      </c>
      <c r="O398" s="15">
        <f t="shared" si="92"/>
        <v>18.848990000000001</v>
      </c>
      <c r="P398" s="15">
        <f t="shared" si="93"/>
        <v>0</v>
      </c>
      <c r="Q398" s="14" t="str">
        <f>IF(M398&gt;=I398*'Hoja 4 - Cálculo'!$B$16,"Satisfactorio","Falla")</f>
        <v>Satisfactorio</v>
      </c>
      <c r="R398" s="14">
        <f t="shared" si="96"/>
        <v>0</v>
      </c>
      <c r="S398" s="14">
        <f t="shared" si="97"/>
        <v>0</v>
      </c>
    </row>
    <row r="399" spans="1:19">
      <c r="A399" s="14" t="str">
        <f t="shared" si="94"/>
        <v>SRY-2-1</v>
      </c>
      <c r="B399" s="15">
        <f>'Curvas SRY'!$B$9</f>
        <v>2</v>
      </c>
      <c r="C399" s="15">
        <f>'Curvas SRY'!$E$8</f>
        <v>0.75</v>
      </c>
      <c r="D399" s="14" t="str">
        <f>'Curvas SRY'!$B$14</f>
        <v>Uso variable</v>
      </c>
      <c r="E399" s="14">
        <f>36</f>
        <v>36</v>
      </c>
      <c r="F399" s="21">
        <f>'Hoja 4 - Cálculo'!A60</f>
        <v>30651</v>
      </c>
      <c r="G399" s="15">
        <f>'Hoja 4 - Cálculo'!H60</f>
        <v>15.931125</v>
      </c>
      <c r="H399" s="15">
        <f>IF(D399="Uso único",'Hoja 4 - Cálculo'!I60,IF(D399="Uso múltiple",AVERAGE('Hoja 4 - Cálculo'!$I$25:$I$384)+AVERAGE('Hoja 4 - Cálculo'!$J$25:$J$384)+AVERAGE('Hoja 4 - Cálculo'!$K$25:$K$384),IF(D399="Uso prioritario",'Hoja 4 - Cálculo'!I60+'Hoja 4 - Cálculo'!K60,'Hoja 4 - Cálculo'!I60+'Hoja 4 - Cálculo'!J60+'Hoja 4 - Cálculo'!K60)))</f>
        <v>16</v>
      </c>
      <c r="I399" s="15">
        <f t="shared" si="88"/>
        <v>12</v>
      </c>
      <c r="J399" s="15">
        <f t="shared" si="95"/>
        <v>2</v>
      </c>
      <c r="K399" s="15">
        <f>MIN(J399+G399,(J399+G399)*'Hoja 4 - Cálculo'!$B$15)</f>
        <v>0.35862250000000001</v>
      </c>
      <c r="L399" s="15">
        <f t="shared" si="89"/>
        <v>17.572502500000002</v>
      </c>
      <c r="M399" s="15">
        <f t="shared" si="90"/>
        <v>12</v>
      </c>
      <c r="N399" s="15">
        <f t="shared" si="91"/>
        <v>2</v>
      </c>
      <c r="O399" s="15">
        <f t="shared" si="92"/>
        <v>3.5725025000000024</v>
      </c>
      <c r="P399" s="15">
        <f t="shared" si="93"/>
        <v>0</v>
      </c>
      <c r="Q399" s="14" t="str">
        <f>IF(M399&gt;=I399*'Hoja 4 - Cálculo'!$B$16,"Satisfactorio","Falla")</f>
        <v>Satisfactorio</v>
      </c>
      <c r="R399" s="14">
        <f t="shared" si="96"/>
        <v>0</v>
      </c>
      <c r="S399" s="14">
        <f t="shared" si="97"/>
        <v>0</v>
      </c>
    </row>
    <row r="400" spans="1:19">
      <c r="A400" s="14" t="str">
        <f t="shared" si="94"/>
        <v>SRY-2-1</v>
      </c>
      <c r="B400" s="15">
        <f>'Curvas SRY'!$B$9</f>
        <v>2</v>
      </c>
      <c r="C400" s="15">
        <f>'Curvas SRY'!$E$8</f>
        <v>0.75</v>
      </c>
      <c r="D400" s="14" t="str">
        <f>'Curvas SRY'!$B$14</f>
        <v>Uso variable</v>
      </c>
      <c r="E400" s="14">
        <f>37</f>
        <v>37</v>
      </c>
      <c r="F400" s="21">
        <f>'Hoja 4 - Cálculo'!A61</f>
        <v>30682</v>
      </c>
      <c r="G400" s="15">
        <f>'Hoja 4 - Cálculo'!H61</f>
        <v>10.920375</v>
      </c>
      <c r="H400" s="15">
        <f>IF(D400="Uso único",'Hoja 4 - Cálculo'!I61,IF(D400="Uso múltiple",AVERAGE('Hoja 4 - Cálculo'!$I$25:$I$384)+AVERAGE('Hoja 4 - Cálculo'!$J$25:$J$384)+AVERAGE('Hoja 4 - Cálculo'!$K$25:$K$384),IF(D400="Uso prioritario",'Hoja 4 - Cálculo'!I61+'Hoja 4 - Cálculo'!K61,'Hoja 4 - Cálculo'!I61+'Hoja 4 - Cálculo'!J61+'Hoja 4 - Cálculo'!K61)))</f>
        <v>16</v>
      </c>
      <c r="I400" s="15">
        <f t="shared" si="88"/>
        <v>12</v>
      </c>
      <c r="J400" s="15">
        <f t="shared" si="95"/>
        <v>2</v>
      </c>
      <c r="K400" s="15">
        <f>MIN(J400+G400,(J400+G400)*'Hoja 4 - Cálculo'!$B$15)</f>
        <v>0.25840750000000001</v>
      </c>
      <c r="L400" s="15">
        <f t="shared" si="89"/>
        <v>12.661967499999999</v>
      </c>
      <c r="M400" s="15">
        <f t="shared" si="90"/>
        <v>12</v>
      </c>
      <c r="N400" s="15">
        <f t="shared" si="91"/>
        <v>0.66196749999999938</v>
      </c>
      <c r="O400" s="15">
        <f t="shared" si="92"/>
        <v>0</v>
      </c>
      <c r="P400" s="15">
        <f t="shared" si="93"/>
        <v>0</v>
      </c>
      <c r="Q400" s="14" t="str">
        <f>IF(M400&gt;=I400*'Hoja 4 - Cálculo'!$B$16,"Satisfactorio","Falla")</f>
        <v>Satisfactorio</v>
      </c>
      <c r="R400" s="14">
        <f t="shared" si="96"/>
        <v>0</v>
      </c>
      <c r="S400" s="14">
        <f t="shared" si="97"/>
        <v>0</v>
      </c>
    </row>
    <row r="401" spans="1:19">
      <c r="A401" s="14" t="str">
        <f t="shared" si="94"/>
        <v>SRY-2-1</v>
      </c>
      <c r="B401" s="15">
        <f>'Curvas SRY'!$B$9</f>
        <v>2</v>
      </c>
      <c r="C401" s="15">
        <f>'Curvas SRY'!$E$8</f>
        <v>0.75</v>
      </c>
      <c r="D401" s="14" t="str">
        <f>'Curvas SRY'!$B$14</f>
        <v>Uso variable</v>
      </c>
      <c r="E401" s="14">
        <f>38</f>
        <v>38</v>
      </c>
      <c r="F401" s="21">
        <f>'Hoja 4 - Cálculo'!A62</f>
        <v>30713</v>
      </c>
      <c r="G401" s="15">
        <f>'Hoja 4 - Cálculo'!H62</f>
        <v>13.04325</v>
      </c>
      <c r="H401" s="15">
        <f>IF(D401="Uso único",'Hoja 4 - Cálculo'!I62,IF(D401="Uso múltiple",AVERAGE('Hoja 4 - Cálculo'!$I$25:$I$384)+AVERAGE('Hoja 4 - Cálculo'!$J$25:$J$384)+AVERAGE('Hoja 4 - Cálculo'!$K$25:$K$384),IF(D401="Uso prioritario",'Hoja 4 - Cálculo'!I62+'Hoja 4 - Cálculo'!K62,'Hoja 4 - Cálculo'!I62+'Hoja 4 - Cálculo'!J62+'Hoja 4 - Cálculo'!K62)))</f>
        <v>16</v>
      </c>
      <c r="I401" s="15">
        <f t="shared" si="88"/>
        <v>12</v>
      </c>
      <c r="J401" s="15">
        <f t="shared" si="95"/>
        <v>0.66196749999999938</v>
      </c>
      <c r="K401" s="15">
        <f>MIN(J401+G401,(J401+G401)*'Hoja 4 - Cálculo'!$B$15)</f>
        <v>0.27410435</v>
      </c>
      <c r="L401" s="15">
        <f t="shared" si="89"/>
        <v>13.43111315</v>
      </c>
      <c r="M401" s="15">
        <f t="shared" si="90"/>
        <v>12</v>
      </c>
      <c r="N401" s="15">
        <f t="shared" si="91"/>
        <v>1.4311131499999998</v>
      </c>
      <c r="O401" s="15">
        <f t="shared" si="92"/>
        <v>0</v>
      </c>
      <c r="P401" s="15">
        <f t="shared" si="93"/>
        <v>0</v>
      </c>
      <c r="Q401" s="14" t="str">
        <f>IF(M401&gt;=I401*'Hoja 4 - Cálculo'!$B$16,"Satisfactorio","Falla")</f>
        <v>Satisfactorio</v>
      </c>
      <c r="R401" s="14">
        <f t="shared" si="96"/>
        <v>0</v>
      </c>
      <c r="S401" s="14">
        <f t="shared" si="97"/>
        <v>0</v>
      </c>
    </row>
    <row r="402" spans="1:19">
      <c r="A402" s="14" t="str">
        <f t="shared" si="94"/>
        <v>SRY-2-1</v>
      </c>
      <c r="B402" s="15">
        <f>'Curvas SRY'!$B$9</f>
        <v>2</v>
      </c>
      <c r="C402" s="15">
        <f>'Curvas SRY'!$E$8</f>
        <v>0.75</v>
      </c>
      <c r="D402" s="14" t="str">
        <f>'Curvas SRY'!$B$14</f>
        <v>Uso variable</v>
      </c>
      <c r="E402" s="14">
        <f>39</f>
        <v>39</v>
      </c>
      <c r="F402" s="21">
        <f>'Hoja 4 - Cálculo'!A63</f>
        <v>30742</v>
      </c>
      <c r="G402" s="15">
        <f>'Hoja 4 - Cálculo'!H63</f>
        <v>20.272500000000001</v>
      </c>
      <c r="H402" s="15">
        <f>IF(D402="Uso único",'Hoja 4 - Cálculo'!I63,IF(D402="Uso múltiple",AVERAGE('Hoja 4 - Cálculo'!$I$25:$I$384)+AVERAGE('Hoja 4 - Cálculo'!$J$25:$J$384)+AVERAGE('Hoja 4 - Cálculo'!$K$25:$K$384),IF(D402="Uso prioritario",'Hoja 4 - Cálculo'!I63+'Hoja 4 - Cálculo'!K63,'Hoja 4 - Cálculo'!I63+'Hoja 4 - Cálculo'!J63+'Hoja 4 - Cálculo'!K63)))</f>
        <v>16</v>
      </c>
      <c r="I402" s="15">
        <f t="shared" si="88"/>
        <v>12</v>
      </c>
      <c r="J402" s="15">
        <f t="shared" si="95"/>
        <v>1.4311131499999998</v>
      </c>
      <c r="K402" s="15">
        <f>MIN(J402+G402,(J402+G402)*'Hoja 4 - Cálculo'!$B$15)</f>
        <v>0.43407226300000007</v>
      </c>
      <c r="L402" s="15">
        <f t="shared" si="89"/>
        <v>21.269540887000002</v>
      </c>
      <c r="M402" s="15">
        <f t="shared" si="90"/>
        <v>12</v>
      </c>
      <c r="N402" s="15">
        <f t="shared" si="91"/>
        <v>2</v>
      </c>
      <c r="O402" s="15">
        <f t="shared" si="92"/>
        <v>7.2695408870000016</v>
      </c>
      <c r="P402" s="15">
        <f t="shared" si="93"/>
        <v>0</v>
      </c>
      <c r="Q402" s="14" t="str">
        <f>IF(M402&gt;=I402*'Hoja 4 - Cálculo'!$B$16,"Satisfactorio","Falla")</f>
        <v>Satisfactorio</v>
      </c>
      <c r="R402" s="14">
        <f t="shared" si="96"/>
        <v>0</v>
      </c>
      <c r="S402" s="14">
        <f t="shared" si="97"/>
        <v>0</v>
      </c>
    </row>
    <row r="403" spans="1:19">
      <c r="A403" s="14" t="str">
        <f t="shared" si="94"/>
        <v>SRY-2-1</v>
      </c>
      <c r="B403" s="15">
        <f>'Curvas SRY'!$B$9</f>
        <v>2</v>
      </c>
      <c r="C403" s="15">
        <f>'Curvas SRY'!$E$8</f>
        <v>0.75</v>
      </c>
      <c r="D403" s="14" t="str">
        <f>'Curvas SRY'!$B$14</f>
        <v>Uso variable</v>
      </c>
      <c r="E403" s="14">
        <f>40</f>
        <v>40</v>
      </c>
      <c r="F403" s="21">
        <f>'Hoja 4 - Cálculo'!A64</f>
        <v>30773</v>
      </c>
      <c r="G403" s="15">
        <f>'Hoja 4 - Cálculo'!H64</f>
        <v>27.922499999999999</v>
      </c>
      <c r="H403" s="15">
        <f>IF(D403="Uso único",'Hoja 4 - Cálculo'!I64,IF(D403="Uso múltiple",AVERAGE('Hoja 4 - Cálculo'!$I$25:$I$384)+AVERAGE('Hoja 4 - Cálculo'!$J$25:$J$384)+AVERAGE('Hoja 4 - Cálculo'!$K$25:$K$384),IF(D403="Uso prioritario",'Hoja 4 - Cálculo'!I64+'Hoja 4 - Cálculo'!K64,'Hoja 4 - Cálculo'!I64+'Hoja 4 - Cálculo'!J64+'Hoja 4 - Cálculo'!K64)))</f>
        <v>11.5</v>
      </c>
      <c r="I403" s="15">
        <f t="shared" si="88"/>
        <v>8.625</v>
      </c>
      <c r="J403" s="15">
        <f t="shared" si="95"/>
        <v>2</v>
      </c>
      <c r="K403" s="15">
        <f>MIN(J403+G403,(J403+G403)*'Hoja 4 - Cálculo'!$B$15)</f>
        <v>0.59845000000000004</v>
      </c>
      <c r="L403" s="15">
        <f t="shared" si="89"/>
        <v>29.32405</v>
      </c>
      <c r="M403" s="15">
        <f t="shared" si="90"/>
        <v>8.625</v>
      </c>
      <c r="N403" s="15">
        <f t="shared" si="91"/>
        <v>2</v>
      </c>
      <c r="O403" s="15">
        <f t="shared" si="92"/>
        <v>18.69905</v>
      </c>
      <c r="P403" s="15">
        <f t="shared" si="93"/>
        <v>0</v>
      </c>
      <c r="Q403" s="14" t="str">
        <f>IF(M403&gt;=I403*'Hoja 4 - Cálculo'!$B$16,"Satisfactorio","Falla")</f>
        <v>Satisfactorio</v>
      </c>
      <c r="R403" s="14">
        <f t="shared" si="96"/>
        <v>0</v>
      </c>
      <c r="S403" s="14">
        <f t="shared" si="97"/>
        <v>0</v>
      </c>
    </row>
    <row r="404" spans="1:19">
      <c r="A404" s="14" t="str">
        <f t="shared" si="94"/>
        <v>SRY-2-1</v>
      </c>
      <c r="B404" s="15">
        <f>'Curvas SRY'!$B$9</f>
        <v>2</v>
      </c>
      <c r="C404" s="15">
        <f>'Curvas SRY'!$E$8</f>
        <v>0.75</v>
      </c>
      <c r="D404" s="14" t="str">
        <f>'Curvas SRY'!$B$14</f>
        <v>Uso variable</v>
      </c>
      <c r="E404" s="14">
        <f>41</f>
        <v>41</v>
      </c>
      <c r="F404" s="21">
        <f>'Hoja 4 - Cálculo'!A65</f>
        <v>30803</v>
      </c>
      <c r="G404" s="15">
        <f>'Hoja 4 - Cálculo'!H65</f>
        <v>23.657624999999999</v>
      </c>
      <c r="H404" s="15">
        <f>IF(D404="Uso único",'Hoja 4 - Cálculo'!I65,IF(D404="Uso múltiple",AVERAGE('Hoja 4 - Cálculo'!$I$25:$I$384)+AVERAGE('Hoja 4 - Cálculo'!$J$25:$J$384)+AVERAGE('Hoja 4 - Cálculo'!$K$25:$K$384),IF(D404="Uso prioritario",'Hoja 4 - Cálculo'!I65+'Hoja 4 - Cálculo'!K65,'Hoja 4 - Cálculo'!I65+'Hoja 4 - Cálculo'!J65+'Hoja 4 - Cálculo'!K65)))</f>
        <v>11.5</v>
      </c>
      <c r="I404" s="15">
        <f t="shared" si="88"/>
        <v>8.625</v>
      </c>
      <c r="J404" s="15">
        <f t="shared" si="95"/>
        <v>2</v>
      </c>
      <c r="K404" s="15">
        <f>MIN(J404+G404,(J404+G404)*'Hoja 4 - Cálculo'!$B$15)</f>
        <v>0.51315250000000001</v>
      </c>
      <c r="L404" s="15">
        <f t="shared" si="89"/>
        <v>25.144472499999999</v>
      </c>
      <c r="M404" s="15">
        <f t="shared" si="90"/>
        <v>8.625</v>
      </c>
      <c r="N404" s="15">
        <f t="shared" si="91"/>
        <v>2</v>
      </c>
      <c r="O404" s="15">
        <f t="shared" si="92"/>
        <v>14.519472499999999</v>
      </c>
      <c r="P404" s="15">
        <f t="shared" si="93"/>
        <v>0</v>
      </c>
      <c r="Q404" s="14" t="str">
        <f>IF(M404&gt;=I404*'Hoja 4 - Cálculo'!$B$16,"Satisfactorio","Falla")</f>
        <v>Satisfactorio</v>
      </c>
      <c r="R404" s="14">
        <f t="shared" si="96"/>
        <v>0</v>
      </c>
      <c r="S404" s="14">
        <f t="shared" si="97"/>
        <v>0</v>
      </c>
    </row>
    <row r="405" spans="1:19">
      <c r="A405" s="14" t="str">
        <f t="shared" si="94"/>
        <v>SRY-2-1</v>
      </c>
      <c r="B405" s="15">
        <f>'Curvas SRY'!$B$9</f>
        <v>2</v>
      </c>
      <c r="C405" s="15">
        <f>'Curvas SRY'!$E$8</f>
        <v>0.75</v>
      </c>
      <c r="D405" s="14" t="str">
        <f>'Curvas SRY'!$B$14</f>
        <v>Uso variable</v>
      </c>
      <c r="E405" s="14">
        <f>42</f>
        <v>42</v>
      </c>
      <c r="F405" s="21">
        <f>'Hoja 4 - Cálculo'!A66</f>
        <v>30834</v>
      </c>
      <c r="G405" s="15">
        <f>'Hoja 4 - Cálculo'!H66</f>
        <v>14.554125000000001</v>
      </c>
      <c r="H405" s="15">
        <f>IF(D405="Uso único",'Hoja 4 - Cálculo'!I66,IF(D405="Uso múltiple",AVERAGE('Hoja 4 - Cálculo'!$I$25:$I$384)+AVERAGE('Hoja 4 - Cálculo'!$J$25:$J$384)+AVERAGE('Hoja 4 - Cálculo'!$K$25:$K$384),IF(D405="Uso prioritario",'Hoja 4 - Cálculo'!I66+'Hoja 4 - Cálculo'!K66,'Hoja 4 - Cálculo'!I66+'Hoja 4 - Cálculo'!J66+'Hoja 4 - Cálculo'!K66)))</f>
        <v>11.5</v>
      </c>
      <c r="I405" s="15">
        <f t="shared" si="88"/>
        <v>8.625</v>
      </c>
      <c r="J405" s="15">
        <f t="shared" si="95"/>
        <v>2</v>
      </c>
      <c r="K405" s="15">
        <f>MIN(J405+G405,(J405+G405)*'Hoja 4 - Cálculo'!$B$15)</f>
        <v>0.3310825</v>
      </c>
      <c r="L405" s="15">
        <f t="shared" si="89"/>
        <v>16.223042499999998</v>
      </c>
      <c r="M405" s="15">
        <f t="shared" si="90"/>
        <v>8.625</v>
      </c>
      <c r="N405" s="15">
        <f t="shared" si="91"/>
        <v>2</v>
      </c>
      <c r="O405" s="15">
        <f t="shared" si="92"/>
        <v>5.5980424999999983</v>
      </c>
      <c r="P405" s="15">
        <f t="shared" si="93"/>
        <v>0</v>
      </c>
      <c r="Q405" s="14" t="str">
        <f>IF(M405&gt;=I405*'Hoja 4 - Cálculo'!$B$16,"Satisfactorio","Falla")</f>
        <v>Satisfactorio</v>
      </c>
      <c r="R405" s="14">
        <f t="shared" si="96"/>
        <v>0</v>
      </c>
      <c r="S405" s="14">
        <f t="shared" si="97"/>
        <v>0</v>
      </c>
    </row>
    <row r="406" spans="1:19">
      <c r="A406" s="14" t="str">
        <f t="shared" si="94"/>
        <v>SRY-2-1</v>
      </c>
      <c r="B406" s="15">
        <f>'Curvas SRY'!$B$9</f>
        <v>2</v>
      </c>
      <c r="C406" s="15">
        <f>'Curvas SRY'!$E$8</f>
        <v>0.75</v>
      </c>
      <c r="D406" s="14" t="str">
        <f>'Curvas SRY'!$B$14</f>
        <v>Uso variable</v>
      </c>
      <c r="E406" s="14">
        <f>43</f>
        <v>43</v>
      </c>
      <c r="F406" s="21">
        <f>'Hoja 4 - Cálculo'!A67</f>
        <v>30864</v>
      </c>
      <c r="G406" s="15">
        <f>'Hoja 4 - Cálculo'!H67</f>
        <v>12.794625</v>
      </c>
      <c r="H406" s="15">
        <f>IF(D406="Uso único",'Hoja 4 - Cálculo'!I67,IF(D406="Uso múltiple",AVERAGE('Hoja 4 - Cálculo'!$I$25:$I$384)+AVERAGE('Hoja 4 - Cálculo'!$J$25:$J$384)+AVERAGE('Hoja 4 - Cálculo'!$K$25:$K$384),IF(D406="Uso prioritario",'Hoja 4 - Cálculo'!I67+'Hoja 4 - Cálculo'!K67,'Hoja 4 - Cálculo'!I67+'Hoja 4 - Cálculo'!J67+'Hoja 4 - Cálculo'!K67)))</f>
        <v>16</v>
      </c>
      <c r="I406" s="15">
        <f t="shared" si="88"/>
        <v>12</v>
      </c>
      <c r="J406" s="15">
        <f t="shared" si="95"/>
        <v>2</v>
      </c>
      <c r="K406" s="15">
        <f>MIN(J406+G406,(J406+G406)*'Hoja 4 - Cálculo'!$B$15)</f>
        <v>0.2958925</v>
      </c>
      <c r="L406" s="15">
        <f t="shared" si="89"/>
        <v>14.498732499999999</v>
      </c>
      <c r="M406" s="15">
        <f t="shared" si="90"/>
        <v>12</v>
      </c>
      <c r="N406" s="15">
        <f t="shared" si="91"/>
        <v>2</v>
      </c>
      <c r="O406" s="15">
        <f t="shared" si="92"/>
        <v>0.49873249999999913</v>
      </c>
      <c r="P406" s="15">
        <f t="shared" si="93"/>
        <v>0</v>
      </c>
      <c r="Q406" s="14" t="str">
        <f>IF(M406&gt;=I406*'Hoja 4 - Cálculo'!$B$16,"Satisfactorio","Falla")</f>
        <v>Satisfactorio</v>
      </c>
      <c r="R406" s="14">
        <f t="shared" si="96"/>
        <v>0</v>
      </c>
      <c r="S406" s="14">
        <f t="shared" si="97"/>
        <v>0</v>
      </c>
    </row>
    <row r="407" spans="1:19">
      <c r="A407" s="14" t="str">
        <f t="shared" si="94"/>
        <v>SRY-2-1</v>
      </c>
      <c r="B407" s="15">
        <f>'Curvas SRY'!$B$9</f>
        <v>2</v>
      </c>
      <c r="C407" s="15">
        <f>'Curvas SRY'!$E$8</f>
        <v>0.75</v>
      </c>
      <c r="D407" s="14" t="str">
        <f>'Curvas SRY'!$B$14</f>
        <v>Uso variable</v>
      </c>
      <c r="E407" s="14">
        <f>44</f>
        <v>44</v>
      </c>
      <c r="F407" s="21">
        <f>'Hoja 4 - Cálculo'!A68</f>
        <v>30895</v>
      </c>
      <c r="G407" s="15">
        <f>'Hoja 4 - Cálculo'!H68</f>
        <v>13.6935</v>
      </c>
      <c r="H407" s="15">
        <f>IF(D407="Uso único",'Hoja 4 - Cálculo'!I68,IF(D407="Uso múltiple",AVERAGE('Hoja 4 - Cálculo'!$I$25:$I$384)+AVERAGE('Hoja 4 - Cálculo'!$J$25:$J$384)+AVERAGE('Hoja 4 - Cálculo'!$K$25:$K$384),IF(D407="Uso prioritario",'Hoja 4 - Cálculo'!I68+'Hoja 4 - Cálculo'!K68,'Hoja 4 - Cálculo'!I68+'Hoja 4 - Cálculo'!J68+'Hoja 4 - Cálculo'!K68)))</f>
        <v>16</v>
      </c>
      <c r="I407" s="15">
        <f t="shared" si="88"/>
        <v>12</v>
      </c>
      <c r="J407" s="15">
        <f t="shared" si="95"/>
        <v>2</v>
      </c>
      <c r="K407" s="15">
        <f>MIN(J407+G407,(J407+G407)*'Hoja 4 - Cálculo'!$B$15)</f>
        <v>0.31387000000000004</v>
      </c>
      <c r="L407" s="15">
        <f t="shared" si="89"/>
        <v>15.379630000000001</v>
      </c>
      <c r="M407" s="15">
        <f t="shared" si="90"/>
        <v>12</v>
      </c>
      <c r="N407" s="15">
        <f t="shared" si="91"/>
        <v>2</v>
      </c>
      <c r="O407" s="15">
        <f t="shared" si="92"/>
        <v>1.3796300000000006</v>
      </c>
      <c r="P407" s="15">
        <f t="shared" si="93"/>
        <v>0</v>
      </c>
      <c r="Q407" s="14" t="str">
        <f>IF(M407&gt;=I407*'Hoja 4 - Cálculo'!$B$16,"Satisfactorio","Falla")</f>
        <v>Satisfactorio</v>
      </c>
      <c r="R407" s="14">
        <f t="shared" si="96"/>
        <v>0</v>
      </c>
      <c r="S407" s="14">
        <f t="shared" si="97"/>
        <v>0</v>
      </c>
    </row>
    <row r="408" spans="1:19">
      <c r="A408" s="14" t="str">
        <f t="shared" si="94"/>
        <v>SRY-2-1</v>
      </c>
      <c r="B408" s="15">
        <f>'Curvas SRY'!$B$9</f>
        <v>2</v>
      </c>
      <c r="C408" s="15">
        <f>'Curvas SRY'!$E$8</f>
        <v>0.75</v>
      </c>
      <c r="D408" s="14" t="str">
        <f>'Curvas SRY'!$B$14</f>
        <v>Uso variable</v>
      </c>
      <c r="E408" s="14">
        <f>45</f>
        <v>45</v>
      </c>
      <c r="F408" s="21">
        <f>'Hoja 4 - Cálculo'!A69</f>
        <v>30926</v>
      </c>
      <c r="G408" s="15">
        <f>'Hoja 4 - Cálculo'!H69</f>
        <v>20.521125000000001</v>
      </c>
      <c r="H408" s="15">
        <f>IF(D408="Uso único",'Hoja 4 - Cálculo'!I69,IF(D408="Uso múltiple",AVERAGE('Hoja 4 - Cálculo'!$I$25:$I$384)+AVERAGE('Hoja 4 - Cálculo'!$J$25:$J$384)+AVERAGE('Hoja 4 - Cálculo'!$K$25:$K$384),IF(D408="Uso prioritario",'Hoja 4 - Cálculo'!I69+'Hoja 4 - Cálculo'!K69,'Hoja 4 - Cálculo'!I69+'Hoja 4 - Cálculo'!J69+'Hoja 4 - Cálculo'!K69)))</f>
        <v>11.5</v>
      </c>
      <c r="I408" s="15">
        <f t="shared" si="88"/>
        <v>8.625</v>
      </c>
      <c r="J408" s="15">
        <f t="shared" si="95"/>
        <v>2</v>
      </c>
      <c r="K408" s="15">
        <f>MIN(J408+G408,(J408+G408)*'Hoja 4 - Cálculo'!$B$15)</f>
        <v>0.45042250000000006</v>
      </c>
      <c r="L408" s="15">
        <f t="shared" si="89"/>
        <v>22.070702500000003</v>
      </c>
      <c r="M408" s="15">
        <f t="shared" si="90"/>
        <v>8.625</v>
      </c>
      <c r="N408" s="15">
        <f t="shared" si="91"/>
        <v>2</v>
      </c>
      <c r="O408" s="15">
        <f t="shared" si="92"/>
        <v>11.445702500000003</v>
      </c>
      <c r="P408" s="15">
        <f t="shared" si="93"/>
        <v>0</v>
      </c>
      <c r="Q408" s="14" t="str">
        <f>IF(M408&gt;=I408*'Hoja 4 - Cálculo'!$B$16,"Satisfactorio","Falla")</f>
        <v>Satisfactorio</v>
      </c>
      <c r="R408" s="14">
        <f t="shared" si="96"/>
        <v>0</v>
      </c>
      <c r="S408" s="14">
        <f t="shared" si="97"/>
        <v>0</v>
      </c>
    </row>
    <row r="409" spans="1:19">
      <c r="A409" s="14" t="str">
        <f t="shared" si="94"/>
        <v>SRY-2-1</v>
      </c>
      <c r="B409" s="15">
        <f>'Curvas SRY'!$B$9</f>
        <v>2</v>
      </c>
      <c r="C409" s="15">
        <f>'Curvas SRY'!$E$8</f>
        <v>0.75</v>
      </c>
      <c r="D409" s="14" t="str">
        <f>'Curvas SRY'!$B$14</f>
        <v>Uso variable</v>
      </c>
      <c r="E409" s="14">
        <f>46</f>
        <v>46</v>
      </c>
      <c r="F409" s="21">
        <f>'Hoja 4 - Cálculo'!A70</f>
        <v>30956</v>
      </c>
      <c r="G409" s="15">
        <f>'Hoja 4 - Cálculo'!H70</f>
        <v>27.061875000000001</v>
      </c>
      <c r="H409" s="15">
        <f>IF(D409="Uso único",'Hoja 4 - Cálculo'!I70,IF(D409="Uso múltiple",AVERAGE('Hoja 4 - Cálculo'!$I$25:$I$384)+AVERAGE('Hoja 4 - Cálculo'!$J$25:$J$384)+AVERAGE('Hoja 4 - Cálculo'!$K$25:$K$384),IF(D409="Uso prioritario",'Hoja 4 - Cálculo'!I70+'Hoja 4 - Cálculo'!K70,'Hoja 4 - Cálculo'!I70+'Hoja 4 - Cálculo'!J70+'Hoja 4 - Cálculo'!K70)))</f>
        <v>11.5</v>
      </c>
      <c r="I409" s="15">
        <f t="shared" si="88"/>
        <v>8.625</v>
      </c>
      <c r="J409" s="15">
        <f t="shared" si="95"/>
        <v>2</v>
      </c>
      <c r="K409" s="15">
        <f>MIN(J409+G409,(J409+G409)*'Hoja 4 - Cálculo'!$B$15)</f>
        <v>0.58123750000000007</v>
      </c>
      <c r="L409" s="15">
        <f t="shared" si="89"/>
        <v>28.4806375</v>
      </c>
      <c r="M409" s="15">
        <f t="shared" si="90"/>
        <v>8.625</v>
      </c>
      <c r="N409" s="15">
        <f t="shared" si="91"/>
        <v>2</v>
      </c>
      <c r="O409" s="15">
        <f t="shared" si="92"/>
        <v>17.8556375</v>
      </c>
      <c r="P409" s="15">
        <f t="shared" si="93"/>
        <v>0</v>
      </c>
      <c r="Q409" s="14" t="str">
        <f>IF(M409&gt;=I409*'Hoja 4 - Cálculo'!$B$16,"Satisfactorio","Falla")</f>
        <v>Satisfactorio</v>
      </c>
      <c r="R409" s="14">
        <f t="shared" si="96"/>
        <v>0</v>
      </c>
      <c r="S409" s="14">
        <f t="shared" si="97"/>
        <v>0</v>
      </c>
    </row>
    <row r="410" spans="1:19">
      <c r="A410" s="14" t="str">
        <f t="shared" si="94"/>
        <v>SRY-2-1</v>
      </c>
      <c r="B410" s="15">
        <f>'Curvas SRY'!$B$9</f>
        <v>2</v>
      </c>
      <c r="C410" s="15">
        <f>'Curvas SRY'!$E$8</f>
        <v>0.75</v>
      </c>
      <c r="D410" s="14" t="str">
        <f>'Curvas SRY'!$B$14</f>
        <v>Uso variable</v>
      </c>
      <c r="E410" s="14">
        <f>47</f>
        <v>47</v>
      </c>
      <c r="F410" s="21">
        <f>'Hoja 4 - Cálculo'!A71</f>
        <v>30987</v>
      </c>
      <c r="G410" s="15">
        <f>'Hoja 4 - Cálculo'!H71</f>
        <v>24.346125000000001</v>
      </c>
      <c r="H410" s="15">
        <f>IF(D410="Uso único",'Hoja 4 - Cálculo'!I71,IF(D410="Uso múltiple",AVERAGE('Hoja 4 - Cálculo'!$I$25:$I$384)+AVERAGE('Hoja 4 - Cálculo'!$J$25:$J$384)+AVERAGE('Hoja 4 - Cálculo'!$K$25:$K$384),IF(D410="Uso prioritario",'Hoja 4 - Cálculo'!I71+'Hoja 4 - Cálculo'!K71,'Hoja 4 - Cálculo'!I71+'Hoja 4 - Cálculo'!J71+'Hoja 4 - Cálculo'!K71)))</f>
        <v>11.5</v>
      </c>
      <c r="I410" s="15">
        <f t="shared" si="88"/>
        <v>8.625</v>
      </c>
      <c r="J410" s="15">
        <f t="shared" si="95"/>
        <v>2</v>
      </c>
      <c r="K410" s="15">
        <f>MIN(J410+G410,(J410+G410)*'Hoja 4 - Cálculo'!$B$15)</f>
        <v>0.52692250000000007</v>
      </c>
      <c r="L410" s="15">
        <f t="shared" si="89"/>
        <v>25.819202499999999</v>
      </c>
      <c r="M410" s="15">
        <f t="shared" si="90"/>
        <v>8.625</v>
      </c>
      <c r="N410" s="15">
        <f t="shared" si="91"/>
        <v>2</v>
      </c>
      <c r="O410" s="15">
        <f t="shared" si="92"/>
        <v>15.194202499999999</v>
      </c>
      <c r="P410" s="15">
        <f t="shared" si="93"/>
        <v>0</v>
      </c>
      <c r="Q410" s="14" t="str">
        <f>IF(M410&gt;=I410*'Hoja 4 - Cálculo'!$B$16,"Satisfactorio","Falla")</f>
        <v>Satisfactorio</v>
      </c>
      <c r="R410" s="14">
        <f t="shared" si="96"/>
        <v>0</v>
      </c>
      <c r="S410" s="14">
        <f t="shared" si="97"/>
        <v>0</v>
      </c>
    </row>
    <row r="411" spans="1:19">
      <c r="A411" s="14" t="str">
        <f t="shared" si="94"/>
        <v>SRY-2-1</v>
      </c>
      <c r="B411" s="15">
        <f>'Curvas SRY'!$B$9</f>
        <v>2</v>
      </c>
      <c r="C411" s="15">
        <f>'Curvas SRY'!$E$8</f>
        <v>0.75</v>
      </c>
      <c r="D411" s="14" t="str">
        <f>'Curvas SRY'!$B$14</f>
        <v>Uso variable</v>
      </c>
      <c r="E411" s="14">
        <f>48</f>
        <v>48</v>
      </c>
      <c r="F411" s="21">
        <f>'Hoja 4 - Cálculo'!A72</f>
        <v>31017</v>
      </c>
      <c r="G411" s="15">
        <f>'Hoja 4 - Cálculo'!H72</f>
        <v>14.745374999999999</v>
      </c>
      <c r="H411" s="15">
        <f>IF(D411="Uso único",'Hoja 4 - Cálculo'!I72,IF(D411="Uso múltiple",AVERAGE('Hoja 4 - Cálculo'!$I$25:$I$384)+AVERAGE('Hoja 4 - Cálculo'!$J$25:$J$384)+AVERAGE('Hoja 4 - Cálculo'!$K$25:$K$384),IF(D411="Uso prioritario",'Hoja 4 - Cálculo'!I72+'Hoja 4 - Cálculo'!K72,'Hoja 4 - Cálculo'!I72+'Hoja 4 - Cálculo'!J72+'Hoja 4 - Cálculo'!K72)))</f>
        <v>16</v>
      </c>
      <c r="I411" s="15">
        <f t="shared" si="88"/>
        <v>12</v>
      </c>
      <c r="J411" s="15">
        <f t="shared" si="95"/>
        <v>2</v>
      </c>
      <c r="K411" s="15">
        <f>MIN(J411+G411,(J411+G411)*'Hoja 4 - Cálculo'!$B$15)</f>
        <v>0.33490749999999997</v>
      </c>
      <c r="L411" s="15">
        <f t="shared" si="89"/>
        <v>16.410467499999999</v>
      </c>
      <c r="M411" s="15">
        <f t="shared" si="90"/>
        <v>12</v>
      </c>
      <c r="N411" s="15">
        <f t="shared" si="91"/>
        <v>2</v>
      </c>
      <c r="O411" s="15">
        <f t="shared" si="92"/>
        <v>2.4104674999999993</v>
      </c>
      <c r="P411" s="15">
        <f t="shared" si="93"/>
        <v>0</v>
      </c>
      <c r="Q411" s="14" t="str">
        <f>IF(M411&gt;=I411*'Hoja 4 - Cálculo'!$B$16,"Satisfactorio","Falla")</f>
        <v>Satisfactorio</v>
      </c>
      <c r="R411" s="14">
        <f t="shared" si="96"/>
        <v>0</v>
      </c>
      <c r="S411" s="14">
        <f t="shared" si="97"/>
        <v>0</v>
      </c>
    </row>
    <row r="412" spans="1:19">
      <c r="A412" s="14" t="str">
        <f t="shared" si="94"/>
        <v>SRY-2-1</v>
      </c>
      <c r="B412" s="15">
        <f>'Curvas SRY'!$B$9</f>
        <v>2</v>
      </c>
      <c r="C412" s="15">
        <f>'Curvas SRY'!$E$8</f>
        <v>0.75</v>
      </c>
      <c r="D412" s="14" t="str">
        <f>'Curvas SRY'!$B$14</f>
        <v>Uso variable</v>
      </c>
      <c r="E412" s="14">
        <f>49</f>
        <v>49</v>
      </c>
      <c r="F412" s="21">
        <f>'Hoja 4 - Cálculo'!A73</f>
        <v>31048</v>
      </c>
      <c r="G412" s="15">
        <f>'Hoja 4 - Cálculo'!H73</f>
        <v>10.767374999999999</v>
      </c>
      <c r="H412" s="15">
        <f>IF(D412="Uso único",'Hoja 4 - Cálculo'!I73,IF(D412="Uso múltiple",AVERAGE('Hoja 4 - Cálculo'!$I$25:$I$384)+AVERAGE('Hoja 4 - Cálculo'!$J$25:$J$384)+AVERAGE('Hoja 4 - Cálculo'!$K$25:$K$384),IF(D412="Uso prioritario",'Hoja 4 - Cálculo'!I73+'Hoja 4 - Cálculo'!K73,'Hoja 4 - Cálculo'!I73+'Hoja 4 - Cálculo'!J73+'Hoja 4 - Cálculo'!K73)))</f>
        <v>16</v>
      </c>
      <c r="I412" s="15">
        <f t="shared" si="88"/>
        <v>12</v>
      </c>
      <c r="J412" s="15">
        <f t="shared" si="95"/>
        <v>2</v>
      </c>
      <c r="K412" s="15">
        <f>MIN(J412+G412,(J412+G412)*'Hoja 4 - Cálculo'!$B$15)</f>
        <v>0.25534750000000001</v>
      </c>
      <c r="L412" s="15">
        <f t="shared" si="89"/>
        <v>12.5120275</v>
      </c>
      <c r="M412" s="15">
        <f t="shared" si="90"/>
        <v>12</v>
      </c>
      <c r="N412" s="15">
        <f t="shared" si="91"/>
        <v>0.5120275000000003</v>
      </c>
      <c r="O412" s="15">
        <f t="shared" si="92"/>
        <v>0</v>
      </c>
      <c r="P412" s="15">
        <f t="shared" si="93"/>
        <v>0</v>
      </c>
      <c r="Q412" s="14" t="str">
        <f>IF(M412&gt;=I412*'Hoja 4 - Cálculo'!$B$16,"Satisfactorio","Falla")</f>
        <v>Satisfactorio</v>
      </c>
      <c r="R412" s="14">
        <f t="shared" si="96"/>
        <v>0</v>
      </c>
      <c r="S412" s="14">
        <f t="shared" si="97"/>
        <v>0</v>
      </c>
    </row>
    <row r="413" spans="1:19">
      <c r="A413" s="14" t="str">
        <f t="shared" si="94"/>
        <v>SRY-2-1</v>
      </c>
      <c r="B413" s="15">
        <f>'Curvas SRY'!$B$9</f>
        <v>2</v>
      </c>
      <c r="C413" s="15">
        <f>'Curvas SRY'!$E$8</f>
        <v>0.75</v>
      </c>
      <c r="D413" s="14" t="str">
        <f>'Curvas SRY'!$B$14</f>
        <v>Uso variable</v>
      </c>
      <c r="E413" s="14">
        <f>50</f>
        <v>50</v>
      </c>
      <c r="F413" s="21">
        <f>'Hoja 4 - Cálculo'!A74</f>
        <v>31079</v>
      </c>
      <c r="G413" s="15">
        <f>'Hoja 4 - Cálculo'!H74</f>
        <v>13.464</v>
      </c>
      <c r="H413" s="15">
        <f>IF(D413="Uso único",'Hoja 4 - Cálculo'!I74,IF(D413="Uso múltiple",AVERAGE('Hoja 4 - Cálculo'!$I$25:$I$384)+AVERAGE('Hoja 4 - Cálculo'!$J$25:$J$384)+AVERAGE('Hoja 4 - Cálculo'!$K$25:$K$384),IF(D413="Uso prioritario",'Hoja 4 - Cálculo'!I74+'Hoja 4 - Cálculo'!K74,'Hoja 4 - Cálculo'!I74+'Hoja 4 - Cálculo'!J74+'Hoja 4 - Cálculo'!K74)))</f>
        <v>16</v>
      </c>
      <c r="I413" s="15">
        <f t="shared" si="88"/>
        <v>12</v>
      </c>
      <c r="J413" s="15">
        <f t="shared" si="95"/>
        <v>0.5120275000000003</v>
      </c>
      <c r="K413" s="15">
        <f>MIN(J413+G413,(J413+G413)*'Hoja 4 - Cálculo'!$B$15)</f>
        <v>0.27952055000000003</v>
      </c>
      <c r="L413" s="15">
        <f t="shared" si="89"/>
        <v>13.69650695</v>
      </c>
      <c r="M413" s="15">
        <f t="shared" si="90"/>
        <v>12</v>
      </c>
      <c r="N413" s="15">
        <f t="shared" si="91"/>
        <v>1.6965069499999998</v>
      </c>
      <c r="O413" s="15">
        <f t="shared" si="92"/>
        <v>0</v>
      </c>
      <c r="P413" s="15">
        <f t="shared" si="93"/>
        <v>0</v>
      </c>
      <c r="Q413" s="14" t="str">
        <f>IF(M413&gt;=I413*'Hoja 4 - Cálculo'!$B$16,"Satisfactorio","Falla")</f>
        <v>Satisfactorio</v>
      </c>
      <c r="R413" s="14">
        <f t="shared" si="96"/>
        <v>0</v>
      </c>
      <c r="S413" s="14">
        <f t="shared" si="97"/>
        <v>0</v>
      </c>
    </row>
    <row r="414" spans="1:19">
      <c r="A414" s="14" t="str">
        <f t="shared" si="94"/>
        <v>SRY-2-1</v>
      </c>
      <c r="B414" s="15">
        <f>'Curvas SRY'!$B$9</f>
        <v>2</v>
      </c>
      <c r="C414" s="15">
        <f>'Curvas SRY'!$E$8</f>
        <v>0.75</v>
      </c>
      <c r="D414" s="14" t="str">
        <f>'Curvas SRY'!$B$14</f>
        <v>Uso variable</v>
      </c>
      <c r="E414" s="14">
        <f>51</f>
        <v>51</v>
      </c>
      <c r="F414" s="21">
        <f>'Hoja 4 - Cálculo'!A75</f>
        <v>31107</v>
      </c>
      <c r="G414" s="15">
        <f>'Hoja 4 - Cálculo'!H75</f>
        <v>19.450125</v>
      </c>
      <c r="H414" s="15">
        <f>IF(D414="Uso único",'Hoja 4 - Cálculo'!I75,IF(D414="Uso múltiple",AVERAGE('Hoja 4 - Cálculo'!$I$25:$I$384)+AVERAGE('Hoja 4 - Cálculo'!$J$25:$J$384)+AVERAGE('Hoja 4 - Cálculo'!$K$25:$K$384),IF(D414="Uso prioritario",'Hoja 4 - Cálculo'!I75+'Hoja 4 - Cálculo'!K75,'Hoja 4 - Cálculo'!I75+'Hoja 4 - Cálculo'!J75+'Hoja 4 - Cálculo'!K75)))</f>
        <v>16</v>
      </c>
      <c r="I414" s="15">
        <f t="shared" si="88"/>
        <v>12</v>
      </c>
      <c r="J414" s="15">
        <f t="shared" si="95"/>
        <v>1.6965069499999998</v>
      </c>
      <c r="K414" s="15">
        <f>MIN(J414+G414,(J414+G414)*'Hoja 4 - Cálculo'!$B$15)</f>
        <v>0.422932639</v>
      </c>
      <c r="L414" s="15">
        <f t="shared" si="89"/>
        <v>20.723699311000001</v>
      </c>
      <c r="M414" s="15">
        <f t="shared" si="90"/>
        <v>12</v>
      </c>
      <c r="N414" s="15">
        <f t="shared" si="91"/>
        <v>2</v>
      </c>
      <c r="O414" s="15">
        <f t="shared" si="92"/>
        <v>6.7236993110000007</v>
      </c>
      <c r="P414" s="15">
        <f t="shared" si="93"/>
        <v>0</v>
      </c>
      <c r="Q414" s="14" t="str">
        <f>IF(M414&gt;=I414*'Hoja 4 - Cálculo'!$B$16,"Satisfactorio","Falla")</f>
        <v>Satisfactorio</v>
      </c>
      <c r="R414" s="14">
        <f t="shared" si="96"/>
        <v>0</v>
      </c>
      <c r="S414" s="14">
        <f t="shared" si="97"/>
        <v>0</v>
      </c>
    </row>
    <row r="415" spans="1:19">
      <c r="A415" s="14" t="str">
        <f t="shared" si="94"/>
        <v>SRY-2-1</v>
      </c>
      <c r="B415" s="15">
        <f>'Curvas SRY'!$B$9</f>
        <v>2</v>
      </c>
      <c r="C415" s="15">
        <f>'Curvas SRY'!$E$8</f>
        <v>0.75</v>
      </c>
      <c r="D415" s="14" t="str">
        <f>'Curvas SRY'!$B$14</f>
        <v>Uso variable</v>
      </c>
      <c r="E415" s="14">
        <f>52</f>
        <v>52</v>
      </c>
      <c r="F415" s="21">
        <f>'Hoja 4 - Cálculo'!A76</f>
        <v>31138</v>
      </c>
      <c r="G415" s="15">
        <f>'Hoja 4 - Cálculo'!H76</f>
        <v>25.51275</v>
      </c>
      <c r="H415" s="15">
        <f>IF(D415="Uso único",'Hoja 4 - Cálculo'!I76,IF(D415="Uso múltiple",AVERAGE('Hoja 4 - Cálculo'!$I$25:$I$384)+AVERAGE('Hoja 4 - Cálculo'!$J$25:$J$384)+AVERAGE('Hoja 4 - Cálculo'!$K$25:$K$384),IF(D415="Uso prioritario",'Hoja 4 - Cálculo'!I76+'Hoja 4 - Cálculo'!K76,'Hoja 4 - Cálculo'!I76+'Hoja 4 - Cálculo'!J76+'Hoja 4 - Cálculo'!K76)))</f>
        <v>11.5</v>
      </c>
      <c r="I415" s="15">
        <f t="shared" si="88"/>
        <v>8.625</v>
      </c>
      <c r="J415" s="15">
        <f t="shared" si="95"/>
        <v>2</v>
      </c>
      <c r="K415" s="15">
        <f>MIN(J415+G415,(J415+G415)*'Hoja 4 - Cálculo'!$B$15)</f>
        <v>0.55025500000000005</v>
      </c>
      <c r="L415" s="15">
        <f t="shared" si="89"/>
        <v>26.962495000000001</v>
      </c>
      <c r="M415" s="15">
        <f t="shared" si="90"/>
        <v>8.625</v>
      </c>
      <c r="N415" s="15">
        <f t="shared" si="91"/>
        <v>2</v>
      </c>
      <c r="O415" s="15">
        <f t="shared" si="92"/>
        <v>16.337495000000001</v>
      </c>
      <c r="P415" s="15">
        <f t="shared" si="93"/>
        <v>0</v>
      </c>
      <c r="Q415" s="14" t="str">
        <f>IF(M415&gt;=I415*'Hoja 4 - Cálculo'!$B$16,"Satisfactorio","Falla")</f>
        <v>Satisfactorio</v>
      </c>
      <c r="R415" s="14">
        <f t="shared" si="96"/>
        <v>0</v>
      </c>
      <c r="S415" s="14">
        <f t="shared" si="97"/>
        <v>0</v>
      </c>
    </row>
    <row r="416" spans="1:19">
      <c r="A416" s="14" t="str">
        <f t="shared" si="94"/>
        <v>SRY-2-1</v>
      </c>
      <c r="B416" s="15">
        <f>'Curvas SRY'!$B$9</f>
        <v>2</v>
      </c>
      <c r="C416" s="15">
        <f>'Curvas SRY'!$E$8</f>
        <v>0.75</v>
      </c>
      <c r="D416" s="14" t="str">
        <f>'Curvas SRY'!$B$14</f>
        <v>Uso variable</v>
      </c>
      <c r="E416" s="14">
        <f>53</f>
        <v>53</v>
      </c>
      <c r="F416" s="21">
        <f>'Hoja 4 - Cálculo'!A77</f>
        <v>31168</v>
      </c>
      <c r="G416" s="15">
        <f>'Hoja 4 - Cálculo'!H77</f>
        <v>24.36525</v>
      </c>
      <c r="H416" s="15">
        <f>IF(D416="Uso único",'Hoja 4 - Cálculo'!I77,IF(D416="Uso múltiple",AVERAGE('Hoja 4 - Cálculo'!$I$25:$I$384)+AVERAGE('Hoja 4 - Cálculo'!$J$25:$J$384)+AVERAGE('Hoja 4 - Cálculo'!$K$25:$K$384),IF(D416="Uso prioritario",'Hoja 4 - Cálculo'!I77+'Hoja 4 - Cálculo'!K77,'Hoja 4 - Cálculo'!I77+'Hoja 4 - Cálculo'!J77+'Hoja 4 - Cálculo'!K77)))</f>
        <v>11.5</v>
      </c>
      <c r="I416" s="15">
        <f t="shared" si="88"/>
        <v>8.625</v>
      </c>
      <c r="J416" s="15">
        <f t="shared" si="95"/>
        <v>2</v>
      </c>
      <c r="K416" s="15">
        <f>MIN(J416+G416,(J416+G416)*'Hoja 4 - Cálculo'!$B$15)</f>
        <v>0.52730500000000002</v>
      </c>
      <c r="L416" s="15">
        <f t="shared" si="89"/>
        <v>25.837945000000001</v>
      </c>
      <c r="M416" s="15">
        <f t="shared" si="90"/>
        <v>8.625</v>
      </c>
      <c r="N416" s="15">
        <f t="shared" si="91"/>
        <v>2</v>
      </c>
      <c r="O416" s="15">
        <f t="shared" si="92"/>
        <v>15.212945000000001</v>
      </c>
      <c r="P416" s="15">
        <f t="shared" si="93"/>
        <v>0</v>
      </c>
      <c r="Q416" s="14" t="str">
        <f>IF(M416&gt;=I416*'Hoja 4 - Cálculo'!$B$16,"Satisfactorio","Falla")</f>
        <v>Satisfactorio</v>
      </c>
      <c r="R416" s="14">
        <f t="shared" si="96"/>
        <v>0</v>
      </c>
      <c r="S416" s="14">
        <f t="shared" si="97"/>
        <v>0</v>
      </c>
    </row>
    <row r="417" spans="1:19">
      <c r="A417" s="14" t="str">
        <f t="shared" si="94"/>
        <v>SRY-2-1</v>
      </c>
      <c r="B417" s="15">
        <f>'Curvas SRY'!$B$9</f>
        <v>2</v>
      </c>
      <c r="C417" s="15">
        <f>'Curvas SRY'!$E$8</f>
        <v>0.75</v>
      </c>
      <c r="D417" s="14" t="str">
        <f>'Curvas SRY'!$B$14</f>
        <v>Uso variable</v>
      </c>
      <c r="E417" s="14">
        <f>54</f>
        <v>54</v>
      </c>
      <c r="F417" s="21">
        <f>'Hoja 4 - Cálculo'!A78</f>
        <v>31199</v>
      </c>
      <c r="G417" s="15">
        <f>'Hoja 4 - Cálculo'!H78</f>
        <v>15.395625000000001</v>
      </c>
      <c r="H417" s="15">
        <f>IF(D417="Uso único",'Hoja 4 - Cálculo'!I78,IF(D417="Uso múltiple",AVERAGE('Hoja 4 - Cálculo'!$I$25:$I$384)+AVERAGE('Hoja 4 - Cálculo'!$J$25:$J$384)+AVERAGE('Hoja 4 - Cálculo'!$K$25:$K$384),IF(D417="Uso prioritario",'Hoja 4 - Cálculo'!I78+'Hoja 4 - Cálculo'!K78,'Hoja 4 - Cálculo'!I78+'Hoja 4 - Cálculo'!J78+'Hoja 4 - Cálculo'!K78)))</f>
        <v>11.5</v>
      </c>
      <c r="I417" s="15">
        <f t="shared" si="88"/>
        <v>8.625</v>
      </c>
      <c r="J417" s="15">
        <f t="shared" si="95"/>
        <v>2</v>
      </c>
      <c r="K417" s="15">
        <f>MIN(J417+G417,(J417+G417)*'Hoja 4 - Cálculo'!$B$15)</f>
        <v>0.34791250000000007</v>
      </c>
      <c r="L417" s="15">
        <f t="shared" si="89"/>
        <v>17.047712500000003</v>
      </c>
      <c r="M417" s="15">
        <f t="shared" si="90"/>
        <v>8.625</v>
      </c>
      <c r="N417" s="15">
        <f t="shared" si="91"/>
        <v>2</v>
      </c>
      <c r="O417" s="15">
        <f t="shared" si="92"/>
        <v>6.4227125000000029</v>
      </c>
      <c r="P417" s="15">
        <f t="shared" si="93"/>
        <v>0</v>
      </c>
      <c r="Q417" s="14" t="str">
        <f>IF(M417&gt;=I417*'Hoja 4 - Cálculo'!$B$16,"Satisfactorio","Falla")</f>
        <v>Satisfactorio</v>
      </c>
      <c r="R417" s="14">
        <f t="shared" si="96"/>
        <v>0</v>
      </c>
      <c r="S417" s="14">
        <f t="shared" si="97"/>
        <v>0</v>
      </c>
    </row>
    <row r="418" spans="1:19">
      <c r="A418" s="14" t="str">
        <f t="shared" si="94"/>
        <v>SRY-2-1</v>
      </c>
      <c r="B418" s="15">
        <f>'Curvas SRY'!$B$9</f>
        <v>2</v>
      </c>
      <c r="C418" s="15">
        <f>'Curvas SRY'!$E$8</f>
        <v>0.75</v>
      </c>
      <c r="D418" s="14" t="str">
        <f>'Curvas SRY'!$B$14</f>
        <v>Uso variable</v>
      </c>
      <c r="E418" s="14">
        <f>55</f>
        <v>55</v>
      </c>
      <c r="F418" s="21">
        <f>'Hoja 4 - Cálculo'!A79</f>
        <v>31229</v>
      </c>
      <c r="G418" s="15">
        <f>'Hoja 4 - Cálculo'!H79</f>
        <v>11.742749999999999</v>
      </c>
      <c r="H418" s="15">
        <f>IF(D418="Uso único",'Hoja 4 - Cálculo'!I79,IF(D418="Uso múltiple",AVERAGE('Hoja 4 - Cálculo'!$I$25:$I$384)+AVERAGE('Hoja 4 - Cálculo'!$J$25:$J$384)+AVERAGE('Hoja 4 - Cálculo'!$K$25:$K$384),IF(D418="Uso prioritario",'Hoja 4 - Cálculo'!I79+'Hoja 4 - Cálculo'!K79,'Hoja 4 - Cálculo'!I79+'Hoja 4 - Cálculo'!J79+'Hoja 4 - Cálculo'!K79)))</f>
        <v>16</v>
      </c>
      <c r="I418" s="15">
        <f t="shared" si="88"/>
        <v>12</v>
      </c>
      <c r="J418" s="15">
        <f t="shared" si="95"/>
        <v>2</v>
      </c>
      <c r="K418" s="15">
        <f>MIN(J418+G418,(J418+G418)*'Hoja 4 - Cálculo'!$B$15)</f>
        <v>0.27485500000000002</v>
      </c>
      <c r="L418" s="15">
        <f t="shared" si="89"/>
        <v>13.467894999999999</v>
      </c>
      <c r="M418" s="15">
        <f t="shared" si="90"/>
        <v>12</v>
      </c>
      <c r="N418" s="15">
        <f t="shared" si="91"/>
        <v>1.4678949999999986</v>
      </c>
      <c r="O418" s="15">
        <f t="shared" si="92"/>
        <v>0</v>
      </c>
      <c r="P418" s="15">
        <f t="shared" si="93"/>
        <v>0</v>
      </c>
      <c r="Q418" s="14" t="str">
        <f>IF(M418&gt;=I418*'Hoja 4 - Cálculo'!$B$16,"Satisfactorio","Falla")</f>
        <v>Satisfactorio</v>
      </c>
      <c r="R418" s="14">
        <f t="shared" si="96"/>
        <v>0</v>
      </c>
      <c r="S418" s="14">
        <f t="shared" si="97"/>
        <v>0</v>
      </c>
    </row>
    <row r="419" spans="1:19">
      <c r="A419" s="14" t="str">
        <f t="shared" si="94"/>
        <v>SRY-2-1</v>
      </c>
      <c r="B419" s="15">
        <f>'Curvas SRY'!$B$9</f>
        <v>2</v>
      </c>
      <c r="C419" s="15">
        <f>'Curvas SRY'!$E$8</f>
        <v>0.75</v>
      </c>
      <c r="D419" s="14" t="str">
        <f>'Curvas SRY'!$B$14</f>
        <v>Uso variable</v>
      </c>
      <c r="E419" s="14">
        <f>56</f>
        <v>56</v>
      </c>
      <c r="F419" s="21">
        <f>'Hoja 4 - Cálculo'!A80</f>
        <v>31260</v>
      </c>
      <c r="G419" s="15">
        <f>'Hoja 4 - Cálculo'!H80</f>
        <v>12.603375</v>
      </c>
      <c r="H419" s="15">
        <f>IF(D419="Uso único",'Hoja 4 - Cálculo'!I80,IF(D419="Uso múltiple",AVERAGE('Hoja 4 - Cálculo'!$I$25:$I$384)+AVERAGE('Hoja 4 - Cálculo'!$J$25:$J$384)+AVERAGE('Hoja 4 - Cálculo'!$K$25:$K$384),IF(D419="Uso prioritario",'Hoja 4 - Cálculo'!I80+'Hoja 4 - Cálculo'!K80,'Hoja 4 - Cálculo'!I80+'Hoja 4 - Cálculo'!J80+'Hoja 4 - Cálculo'!K80)))</f>
        <v>16</v>
      </c>
      <c r="I419" s="15">
        <f t="shared" si="88"/>
        <v>12</v>
      </c>
      <c r="J419" s="15">
        <f t="shared" si="95"/>
        <v>1.4678949999999986</v>
      </c>
      <c r="K419" s="15">
        <f>MIN(J419+G419,(J419+G419)*'Hoja 4 - Cálculo'!$B$15)</f>
        <v>0.28142539999999999</v>
      </c>
      <c r="L419" s="15">
        <f t="shared" si="89"/>
        <v>13.789844599999999</v>
      </c>
      <c r="M419" s="15">
        <f t="shared" si="90"/>
        <v>12</v>
      </c>
      <c r="N419" s="15">
        <f t="shared" si="91"/>
        <v>1.7898445999999986</v>
      </c>
      <c r="O419" s="15">
        <f t="shared" si="92"/>
        <v>0</v>
      </c>
      <c r="P419" s="15">
        <f t="shared" si="93"/>
        <v>0</v>
      </c>
      <c r="Q419" s="14" t="str">
        <f>IF(M419&gt;=I419*'Hoja 4 - Cálculo'!$B$16,"Satisfactorio","Falla")</f>
        <v>Satisfactorio</v>
      </c>
      <c r="R419" s="14">
        <f t="shared" si="96"/>
        <v>0</v>
      </c>
      <c r="S419" s="14">
        <f t="shared" si="97"/>
        <v>0</v>
      </c>
    </row>
    <row r="420" spans="1:19">
      <c r="A420" s="14" t="str">
        <f t="shared" si="94"/>
        <v>SRY-2-1</v>
      </c>
      <c r="B420" s="15">
        <f>'Curvas SRY'!$B$9</f>
        <v>2</v>
      </c>
      <c r="C420" s="15">
        <f>'Curvas SRY'!$E$8</f>
        <v>0.75</v>
      </c>
      <c r="D420" s="14" t="str">
        <f>'Curvas SRY'!$B$14</f>
        <v>Uso variable</v>
      </c>
      <c r="E420" s="14">
        <f>57</f>
        <v>57</v>
      </c>
      <c r="F420" s="21">
        <f>'Hoja 4 - Cálculo'!A81</f>
        <v>31291</v>
      </c>
      <c r="G420" s="15">
        <f>'Hoja 4 - Cálculo'!H81</f>
        <v>21.745125000000002</v>
      </c>
      <c r="H420" s="15">
        <f>IF(D420="Uso único",'Hoja 4 - Cálculo'!I81,IF(D420="Uso múltiple",AVERAGE('Hoja 4 - Cálculo'!$I$25:$I$384)+AVERAGE('Hoja 4 - Cálculo'!$J$25:$J$384)+AVERAGE('Hoja 4 - Cálculo'!$K$25:$K$384),IF(D420="Uso prioritario",'Hoja 4 - Cálculo'!I81+'Hoja 4 - Cálculo'!K81,'Hoja 4 - Cálculo'!I81+'Hoja 4 - Cálculo'!J81+'Hoja 4 - Cálculo'!K81)))</f>
        <v>11.5</v>
      </c>
      <c r="I420" s="15">
        <f t="shared" si="88"/>
        <v>8.625</v>
      </c>
      <c r="J420" s="15">
        <f t="shared" si="95"/>
        <v>1.7898445999999986</v>
      </c>
      <c r="K420" s="15">
        <f>MIN(J420+G420,(J420+G420)*'Hoja 4 - Cálculo'!$B$15)</f>
        <v>0.47069939199999999</v>
      </c>
      <c r="L420" s="15">
        <f t="shared" si="89"/>
        <v>23.064270208</v>
      </c>
      <c r="M420" s="15">
        <f t="shared" si="90"/>
        <v>8.625</v>
      </c>
      <c r="N420" s="15">
        <f t="shared" si="91"/>
        <v>2</v>
      </c>
      <c r="O420" s="15">
        <f t="shared" si="92"/>
        <v>12.439270208</v>
      </c>
      <c r="P420" s="15">
        <f t="shared" si="93"/>
        <v>0</v>
      </c>
      <c r="Q420" s="14" t="str">
        <f>IF(M420&gt;=I420*'Hoja 4 - Cálculo'!$B$16,"Satisfactorio","Falla")</f>
        <v>Satisfactorio</v>
      </c>
      <c r="R420" s="14">
        <f t="shared" si="96"/>
        <v>0</v>
      </c>
      <c r="S420" s="14">
        <f t="shared" si="97"/>
        <v>0</v>
      </c>
    </row>
    <row r="421" spans="1:19">
      <c r="A421" s="14" t="str">
        <f t="shared" si="94"/>
        <v>SRY-2-1</v>
      </c>
      <c r="B421" s="15">
        <f>'Curvas SRY'!$B$9</f>
        <v>2</v>
      </c>
      <c r="C421" s="15">
        <f>'Curvas SRY'!$E$8</f>
        <v>0.75</v>
      </c>
      <c r="D421" s="14" t="str">
        <f>'Curvas SRY'!$B$14</f>
        <v>Uso variable</v>
      </c>
      <c r="E421" s="14">
        <f>58</f>
        <v>58</v>
      </c>
      <c r="F421" s="21">
        <f>'Hoja 4 - Cálculo'!A82</f>
        <v>31321</v>
      </c>
      <c r="G421" s="15">
        <f>'Hoja 4 - Cálculo'!H82</f>
        <v>27.788625</v>
      </c>
      <c r="H421" s="15">
        <f>IF(D421="Uso único",'Hoja 4 - Cálculo'!I82,IF(D421="Uso múltiple",AVERAGE('Hoja 4 - Cálculo'!$I$25:$I$384)+AVERAGE('Hoja 4 - Cálculo'!$J$25:$J$384)+AVERAGE('Hoja 4 - Cálculo'!$K$25:$K$384),IF(D421="Uso prioritario",'Hoja 4 - Cálculo'!I82+'Hoja 4 - Cálculo'!K82,'Hoja 4 - Cálculo'!I82+'Hoja 4 - Cálculo'!J82+'Hoja 4 - Cálculo'!K82)))</f>
        <v>11.5</v>
      </c>
      <c r="I421" s="15">
        <f t="shared" si="88"/>
        <v>8.625</v>
      </c>
      <c r="J421" s="15">
        <f t="shared" si="95"/>
        <v>2</v>
      </c>
      <c r="K421" s="15">
        <f>MIN(J421+G421,(J421+G421)*'Hoja 4 - Cálculo'!$B$15)</f>
        <v>0.59577250000000004</v>
      </c>
      <c r="L421" s="15">
        <f t="shared" si="89"/>
        <v>29.192852500000001</v>
      </c>
      <c r="M421" s="15">
        <f t="shared" si="90"/>
        <v>8.625</v>
      </c>
      <c r="N421" s="15">
        <f t="shared" si="91"/>
        <v>2</v>
      </c>
      <c r="O421" s="15">
        <f t="shared" si="92"/>
        <v>18.567852500000001</v>
      </c>
      <c r="P421" s="15">
        <f t="shared" si="93"/>
        <v>0</v>
      </c>
      <c r="Q421" s="14" t="str">
        <f>IF(M421&gt;=I421*'Hoja 4 - Cálculo'!$B$16,"Satisfactorio","Falla")</f>
        <v>Satisfactorio</v>
      </c>
      <c r="R421" s="14">
        <f t="shared" si="96"/>
        <v>0</v>
      </c>
      <c r="S421" s="14">
        <f t="shared" si="97"/>
        <v>0</v>
      </c>
    </row>
    <row r="422" spans="1:19">
      <c r="A422" s="14" t="str">
        <f t="shared" si="94"/>
        <v>SRY-2-1</v>
      </c>
      <c r="B422" s="15">
        <f>'Curvas SRY'!$B$9</f>
        <v>2</v>
      </c>
      <c r="C422" s="15">
        <f>'Curvas SRY'!$E$8</f>
        <v>0.75</v>
      </c>
      <c r="D422" s="14" t="str">
        <f>'Curvas SRY'!$B$14</f>
        <v>Uso variable</v>
      </c>
      <c r="E422" s="14">
        <f>59</f>
        <v>59</v>
      </c>
      <c r="F422" s="21">
        <f>'Hoja 4 - Cálculo'!A83</f>
        <v>31352</v>
      </c>
      <c r="G422" s="15">
        <f>'Hoja 4 - Cálculo'!H83</f>
        <v>22.22325</v>
      </c>
      <c r="H422" s="15">
        <f>IF(D422="Uso único",'Hoja 4 - Cálculo'!I83,IF(D422="Uso múltiple",AVERAGE('Hoja 4 - Cálculo'!$I$25:$I$384)+AVERAGE('Hoja 4 - Cálculo'!$J$25:$J$384)+AVERAGE('Hoja 4 - Cálculo'!$K$25:$K$384),IF(D422="Uso prioritario",'Hoja 4 - Cálculo'!I83+'Hoja 4 - Cálculo'!K83,'Hoja 4 - Cálculo'!I83+'Hoja 4 - Cálculo'!J83+'Hoja 4 - Cálculo'!K83)))</f>
        <v>11.5</v>
      </c>
      <c r="I422" s="15">
        <f t="shared" si="88"/>
        <v>8.625</v>
      </c>
      <c r="J422" s="15">
        <f t="shared" si="95"/>
        <v>2</v>
      </c>
      <c r="K422" s="15">
        <f>MIN(J422+G422,(J422+G422)*'Hoja 4 - Cálculo'!$B$15)</f>
        <v>0.48446500000000003</v>
      </c>
      <c r="L422" s="15">
        <f t="shared" si="89"/>
        <v>23.738785</v>
      </c>
      <c r="M422" s="15">
        <f t="shared" si="90"/>
        <v>8.625</v>
      </c>
      <c r="N422" s="15">
        <f t="shared" si="91"/>
        <v>2</v>
      </c>
      <c r="O422" s="15">
        <f t="shared" si="92"/>
        <v>13.113785</v>
      </c>
      <c r="P422" s="15">
        <f t="shared" si="93"/>
        <v>0</v>
      </c>
      <c r="Q422" s="14" t="str">
        <f>IF(M422&gt;=I422*'Hoja 4 - Cálculo'!$B$16,"Satisfactorio","Falla")</f>
        <v>Satisfactorio</v>
      </c>
      <c r="R422" s="14">
        <f t="shared" si="96"/>
        <v>0</v>
      </c>
      <c r="S422" s="14">
        <f t="shared" si="97"/>
        <v>0</v>
      </c>
    </row>
    <row r="423" spans="1:19">
      <c r="A423" s="14" t="str">
        <f t="shared" si="94"/>
        <v>SRY-2-1</v>
      </c>
      <c r="B423" s="15">
        <f>'Curvas SRY'!$B$9</f>
        <v>2</v>
      </c>
      <c r="C423" s="15">
        <f>'Curvas SRY'!$E$8</f>
        <v>0.75</v>
      </c>
      <c r="D423" s="14" t="str">
        <f>'Curvas SRY'!$B$14</f>
        <v>Uso variable</v>
      </c>
      <c r="E423" s="14">
        <f>60</f>
        <v>60</v>
      </c>
      <c r="F423" s="21">
        <f>'Hoja 4 - Cálculo'!A84</f>
        <v>31382</v>
      </c>
      <c r="G423" s="15">
        <f>'Hoja 4 - Cálculo'!H84</f>
        <v>14.171625000000001</v>
      </c>
      <c r="H423" s="15">
        <f>IF(D423="Uso único",'Hoja 4 - Cálculo'!I84,IF(D423="Uso múltiple",AVERAGE('Hoja 4 - Cálculo'!$I$25:$I$384)+AVERAGE('Hoja 4 - Cálculo'!$J$25:$J$384)+AVERAGE('Hoja 4 - Cálculo'!$K$25:$K$384),IF(D423="Uso prioritario",'Hoja 4 - Cálculo'!I84+'Hoja 4 - Cálculo'!K84,'Hoja 4 - Cálculo'!I84+'Hoja 4 - Cálculo'!J84+'Hoja 4 - Cálculo'!K84)))</f>
        <v>16</v>
      </c>
      <c r="I423" s="15">
        <f t="shared" si="88"/>
        <v>12</v>
      </c>
      <c r="J423" s="15">
        <f t="shared" si="95"/>
        <v>2</v>
      </c>
      <c r="K423" s="15">
        <f>MIN(J423+G423,(J423+G423)*'Hoja 4 - Cálculo'!$B$15)</f>
        <v>0.32343249999999996</v>
      </c>
      <c r="L423" s="15">
        <f t="shared" si="89"/>
        <v>15.8481925</v>
      </c>
      <c r="M423" s="15">
        <f t="shared" si="90"/>
        <v>12</v>
      </c>
      <c r="N423" s="15">
        <f t="shared" si="91"/>
        <v>2</v>
      </c>
      <c r="O423" s="15">
        <f t="shared" si="92"/>
        <v>1.8481924999999997</v>
      </c>
      <c r="P423" s="15">
        <f t="shared" si="93"/>
        <v>0</v>
      </c>
      <c r="Q423" s="14" t="str">
        <f>IF(M423&gt;=I423*'Hoja 4 - Cálculo'!$B$16,"Satisfactorio","Falla")</f>
        <v>Satisfactorio</v>
      </c>
      <c r="R423" s="14">
        <f t="shared" si="96"/>
        <v>0</v>
      </c>
      <c r="S423" s="14">
        <f t="shared" si="97"/>
        <v>0</v>
      </c>
    </row>
    <row r="424" spans="1:19">
      <c r="A424" s="14" t="str">
        <f t="shared" si="94"/>
        <v>SRY-2-1</v>
      </c>
      <c r="B424" s="15">
        <f>'Curvas SRY'!$B$9</f>
        <v>2</v>
      </c>
      <c r="C424" s="15">
        <f>'Curvas SRY'!$E$8</f>
        <v>0.75</v>
      </c>
      <c r="D424" s="14" t="str">
        <f>'Curvas SRY'!$B$14</f>
        <v>Uso variable</v>
      </c>
      <c r="E424" s="14">
        <f>61</f>
        <v>61</v>
      </c>
      <c r="F424" s="21">
        <f>'Hoja 4 - Cálculo'!A85</f>
        <v>31413</v>
      </c>
      <c r="G424" s="15">
        <f>'Hoja 4 - Cálculo'!H85</f>
        <v>12.641624999999999</v>
      </c>
      <c r="H424" s="15">
        <f>IF(D424="Uso único",'Hoja 4 - Cálculo'!I85,IF(D424="Uso múltiple",AVERAGE('Hoja 4 - Cálculo'!$I$25:$I$384)+AVERAGE('Hoja 4 - Cálculo'!$J$25:$J$384)+AVERAGE('Hoja 4 - Cálculo'!$K$25:$K$384),IF(D424="Uso prioritario",'Hoja 4 - Cálculo'!I85+'Hoja 4 - Cálculo'!K85,'Hoja 4 - Cálculo'!I85+'Hoja 4 - Cálculo'!J85+'Hoja 4 - Cálculo'!K85)))</f>
        <v>16</v>
      </c>
      <c r="I424" s="15">
        <f t="shared" si="88"/>
        <v>12</v>
      </c>
      <c r="J424" s="15">
        <f t="shared" si="95"/>
        <v>2</v>
      </c>
      <c r="K424" s="15">
        <f>MIN(J424+G424,(J424+G424)*'Hoja 4 - Cálculo'!$B$15)</f>
        <v>0.2928325</v>
      </c>
      <c r="L424" s="15">
        <f t="shared" si="89"/>
        <v>14.3487925</v>
      </c>
      <c r="M424" s="15">
        <f t="shared" si="90"/>
        <v>12</v>
      </c>
      <c r="N424" s="15">
        <f t="shared" si="91"/>
        <v>2</v>
      </c>
      <c r="O424" s="15">
        <f t="shared" si="92"/>
        <v>0.34879250000000006</v>
      </c>
      <c r="P424" s="15">
        <f t="shared" si="93"/>
        <v>0</v>
      </c>
      <c r="Q424" s="14" t="str">
        <f>IF(M424&gt;=I424*'Hoja 4 - Cálculo'!$B$16,"Satisfactorio","Falla")</f>
        <v>Satisfactorio</v>
      </c>
      <c r="R424" s="14">
        <f t="shared" si="96"/>
        <v>0</v>
      </c>
      <c r="S424" s="14">
        <f t="shared" si="97"/>
        <v>0</v>
      </c>
    </row>
    <row r="425" spans="1:19">
      <c r="A425" s="14" t="str">
        <f t="shared" si="94"/>
        <v>SRY-2-1</v>
      </c>
      <c r="B425" s="15">
        <f>'Curvas SRY'!$B$9</f>
        <v>2</v>
      </c>
      <c r="C425" s="15">
        <f>'Curvas SRY'!$E$8</f>
        <v>0.75</v>
      </c>
      <c r="D425" s="14" t="str">
        <f>'Curvas SRY'!$B$14</f>
        <v>Uso variable</v>
      </c>
      <c r="E425" s="14">
        <f>62</f>
        <v>62</v>
      </c>
      <c r="F425" s="21">
        <f>'Hoja 4 - Cálculo'!A86</f>
        <v>31444</v>
      </c>
      <c r="G425" s="15">
        <f>'Hoja 4 - Cálculo'!H86</f>
        <v>15.357374999999999</v>
      </c>
      <c r="H425" s="15">
        <f>IF(D425="Uso único",'Hoja 4 - Cálculo'!I86,IF(D425="Uso múltiple",AVERAGE('Hoja 4 - Cálculo'!$I$25:$I$384)+AVERAGE('Hoja 4 - Cálculo'!$J$25:$J$384)+AVERAGE('Hoja 4 - Cálculo'!$K$25:$K$384),IF(D425="Uso prioritario",'Hoja 4 - Cálculo'!I86+'Hoja 4 - Cálculo'!K86,'Hoja 4 - Cálculo'!I86+'Hoja 4 - Cálculo'!J86+'Hoja 4 - Cálculo'!K86)))</f>
        <v>16</v>
      </c>
      <c r="I425" s="15">
        <f t="shared" si="88"/>
        <v>12</v>
      </c>
      <c r="J425" s="15">
        <f t="shared" si="95"/>
        <v>2</v>
      </c>
      <c r="K425" s="15">
        <f>MIN(J425+G425,(J425+G425)*'Hoja 4 - Cálculo'!$B$15)</f>
        <v>0.34714749999999994</v>
      </c>
      <c r="L425" s="15">
        <f t="shared" si="89"/>
        <v>17.010227499999999</v>
      </c>
      <c r="M425" s="15">
        <f t="shared" si="90"/>
        <v>12</v>
      </c>
      <c r="N425" s="15">
        <f t="shared" si="91"/>
        <v>2</v>
      </c>
      <c r="O425" s="15">
        <f t="shared" si="92"/>
        <v>3.0102274999999992</v>
      </c>
      <c r="P425" s="15">
        <f t="shared" si="93"/>
        <v>0</v>
      </c>
      <c r="Q425" s="14" t="str">
        <f>IF(M425&gt;=I425*'Hoja 4 - Cálculo'!$B$16,"Satisfactorio","Falla")</f>
        <v>Satisfactorio</v>
      </c>
      <c r="R425" s="14">
        <f t="shared" si="96"/>
        <v>0</v>
      </c>
      <c r="S425" s="14">
        <f t="shared" si="97"/>
        <v>0</v>
      </c>
    </row>
    <row r="426" spans="1:19">
      <c r="A426" s="14" t="str">
        <f t="shared" si="94"/>
        <v>SRY-2-1</v>
      </c>
      <c r="B426" s="15">
        <f>'Curvas SRY'!$B$9</f>
        <v>2</v>
      </c>
      <c r="C426" s="15">
        <f>'Curvas SRY'!$E$8</f>
        <v>0.75</v>
      </c>
      <c r="D426" s="14" t="str">
        <f>'Curvas SRY'!$B$14</f>
        <v>Uso variable</v>
      </c>
      <c r="E426" s="14">
        <f>63</f>
        <v>63</v>
      </c>
      <c r="F426" s="21">
        <f>'Hoja 4 - Cálculo'!A87</f>
        <v>31472</v>
      </c>
      <c r="G426" s="15">
        <f>'Hoja 4 - Cálculo'!H87</f>
        <v>20.846250000000001</v>
      </c>
      <c r="H426" s="15">
        <f>IF(D426="Uso único",'Hoja 4 - Cálculo'!I87,IF(D426="Uso múltiple",AVERAGE('Hoja 4 - Cálculo'!$I$25:$I$384)+AVERAGE('Hoja 4 - Cálculo'!$J$25:$J$384)+AVERAGE('Hoja 4 - Cálculo'!$K$25:$K$384),IF(D426="Uso prioritario",'Hoja 4 - Cálculo'!I87+'Hoja 4 - Cálculo'!K87,'Hoja 4 - Cálculo'!I87+'Hoja 4 - Cálculo'!J87+'Hoja 4 - Cálculo'!K87)))</f>
        <v>16</v>
      </c>
      <c r="I426" s="15">
        <f t="shared" si="88"/>
        <v>12</v>
      </c>
      <c r="J426" s="15">
        <f t="shared" si="95"/>
        <v>2</v>
      </c>
      <c r="K426" s="15">
        <f>MIN(J426+G426,(J426+G426)*'Hoja 4 - Cálculo'!$B$15)</f>
        <v>0.45692500000000003</v>
      </c>
      <c r="L426" s="15">
        <f t="shared" si="89"/>
        <v>22.389324999999999</v>
      </c>
      <c r="M426" s="15">
        <f t="shared" si="90"/>
        <v>12</v>
      </c>
      <c r="N426" s="15">
        <f t="shared" si="91"/>
        <v>2</v>
      </c>
      <c r="O426" s="15">
        <f t="shared" si="92"/>
        <v>8.3893249999999995</v>
      </c>
      <c r="P426" s="15">
        <f t="shared" si="93"/>
        <v>0</v>
      </c>
      <c r="Q426" s="14" t="str">
        <f>IF(M426&gt;=I426*'Hoja 4 - Cálculo'!$B$16,"Satisfactorio","Falla")</f>
        <v>Satisfactorio</v>
      </c>
      <c r="R426" s="14">
        <f t="shared" si="96"/>
        <v>0</v>
      </c>
      <c r="S426" s="14">
        <f t="shared" si="97"/>
        <v>0</v>
      </c>
    </row>
    <row r="427" spans="1:19">
      <c r="A427" s="14" t="str">
        <f t="shared" si="94"/>
        <v>SRY-2-1</v>
      </c>
      <c r="B427" s="15">
        <f>'Curvas SRY'!$B$9</f>
        <v>2</v>
      </c>
      <c r="C427" s="15">
        <f>'Curvas SRY'!$E$8</f>
        <v>0.75</v>
      </c>
      <c r="D427" s="14" t="str">
        <f>'Curvas SRY'!$B$14</f>
        <v>Uso variable</v>
      </c>
      <c r="E427" s="14">
        <f>64</f>
        <v>64</v>
      </c>
      <c r="F427" s="21">
        <f>'Hoja 4 - Cálculo'!A88</f>
        <v>31503</v>
      </c>
      <c r="G427" s="15">
        <f>'Hoja 4 - Cálculo'!H88</f>
        <v>30.638249999999999</v>
      </c>
      <c r="H427" s="15">
        <f>IF(D427="Uso único",'Hoja 4 - Cálculo'!I88,IF(D427="Uso múltiple",AVERAGE('Hoja 4 - Cálculo'!$I$25:$I$384)+AVERAGE('Hoja 4 - Cálculo'!$J$25:$J$384)+AVERAGE('Hoja 4 - Cálculo'!$K$25:$K$384),IF(D427="Uso prioritario",'Hoja 4 - Cálculo'!I88+'Hoja 4 - Cálculo'!K88,'Hoja 4 - Cálculo'!I88+'Hoja 4 - Cálculo'!J88+'Hoja 4 - Cálculo'!K88)))</f>
        <v>11.5</v>
      </c>
      <c r="I427" s="15">
        <f t="shared" si="88"/>
        <v>8.625</v>
      </c>
      <c r="J427" s="15">
        <f t="shared" si="95"/>
        <v>2</v>
      </c>
      <c r="K427" s="15">
        <f>MIN(J427+G427,(J427+G427)*'Hoja 4 - Cálculo'!$B$15)</f>
        <v>0.65276500000000004</v>
      </c>
      <c r="L427" s="15">
        <f t="shared" si="89"/>
        <v>31.985485000000001</v>
      </c>
      <c r="M427" s="15">
        <f t="shared" si="90"/>
        <v>8.625</v>
      </c>
      <c r="N427" s="15">
        <f t="shared" si="91"/>
        <v>2</v>
      </c>
      <c r="O427" s="15">
        <f t="shared" si="92"/>
        <v>21.360485000000001</v>
      </c>
      <c r="P427" s="15">
        <f t="shared" si="93"/>
        <v>0</v>
      </c>
      <c r="Q427" s="14" t="str">
        <f>IF(M427&gt;=I427*'Hoja 4 - Cálculo'!$B$16,"Satisfactorio","Falla")</f>
        <v>Satisfactorio</v>
      </c>
      <c r="R427" s="14">
        <f t="shared" si="96"/>
        <v>0</v>
      </c>
      <c r="S427" s="14">
        <f t="shared" si="97"/>
        <v>0</v>
      </c>
    </row>
    <row r="428" spans="1:19">
      <c r="A428" s="14" t="str">
        <f t="shared" ref="A428:A459" si="98">"SRY-2-1"</f>
        <v>SRY-2-1</v>
      </c>
      <c r="B428" s="15">
        <f>'Curvas SRY'!$B$9</f>
        <v>2</v>
      </c>
      <c r="C428" s="15">
        <f>'Curvas SRY'!$E$8</f>
        <v>0.75</v>
      </c>
      <c r="D428" s="14" t="str">
        <f>'Curvas SRY'!$B$14</f>
        <v>Uso variable</v>
      </c>
      <c r="E428" s="14">
        <f>65</f>
        <v>65</v>
      </c>
      <c r="F428" s="21">
        <f>'Hoja 4 - Cálculo'!A89</f>
        <v>31533</v>
      </c>
      <c r="G428" s="15">
        <f>'Hoja 4 - Cálculo'!H89</f>
        <v>28.438874999999999</v>
      </c>
      <c r="H428" s="15">
        <f>IF(D428="Uso único",'Hoja 4 - Cálculo'!I89,IF(D428="Uso múltiple",AVERAGE('Hoja 4 - Cálculo'!$I$25:$I$384)+AVERAGE('Hoja 4 - Cálculo'!$J$25:$J$384)+AVERAGE('Hoja 4 - Cálculo'!$K$25:$K$384),IF(D428="Uso prioritario",'Hoja 4 - Cálculo'!I89+'Hoja 4 - Cálculo'!K89,'Hoja 4 - Cálculo'!I89+'Hoja 4 - Cálculo'!J89+'Hoja 4 - Cálculo'!K89)))</f>
        <v>11.5</v>
      </c>
      <c r="I428" s="15">
        <f t="shared" si="88"/>
        <v>8.625</v>
      </c>
      <c r="J428" s="15">
        <f t="shared" si="95"/>
        <v>2</v>
      </c>
      <c r="K428" s="15">
        <f>MIN(J428+G428,(J428+G428)*'Hoja 4 - Cálculo'!$B$15)</f>
        <v>0.60877749999999997</v>
      </c>
      <c r="L428" s="15">
        <f t="shared" si="89"/>
        <v>29.830097500000001</v>
      </c>
      <c r="M428" s="15">
        <f t="shared" si="90"/>
        <v>8.625</v>
      </c>
      <c r="N428" s="15">
        <f t="shared" si="91"/>
        <v>2</v>
      </c>
      <c r="O428" s="15">
        <f t="shared" si="92"/>
        <v>19.205097500000001</v>
      </c>
      <c r="P428" s="15">
        <f t="shared" si="93"/>
        <v>0</v>
      </c>
      <c r="Q428" s="14" t="str">
        <f>IF(M428&gt;=I428*'Hoja 4 - Cálculo'!$B$16,"Satisfactorio","Falla")</f>
        <v>Satisfactorio</v>
      </c>
      <c r="R428" s="14">
        <f t="shared" si="96"/>
        <v>0</v>
      </c>
      <c r="S428" s="14">
        <f t="shared" si="97"/>
        <v>0</v>
      </c>
    </row>
    <row r="429" spans="1:19">
      <c r="A429" s="14" t="str">
        <f t="shared" si="98"/>
        <v>SRY-2-1</v>
      </c>
      <c r="B429" s="15">
        <f>'Curvas SRY'!$B$9</f>
        <v>2</v>
      </c>
      <c r="C429" s="15">
        <f>'Curvas SRY'!$E$8</f>
        <v>0.75</v>
      </c>
      <c r="D429" s="14" t="str">
        <f>'Curvas SRY'!$B$14</f>
        <v>Uso variable</v>
      </c>
      <c r="E429" s="14">
        <f>66</f>
        <v>66</v>
      </c>
      <c r="F429" s="21">
        <f>'Hoja 4 - Cálculo'!A90</f>
        <v>31564</v>
      </c>
      <c r="G429" s="15">
        <f>'Hoja 4 - Cálculo'!H90</f>
        <v>16.007625000000001</v>
      </c>
      <c r="H429" s="15">
        <f>IF(D429="Uso único",'Hoja 4 - Cálculo'!I90,IF(D429="Uso múltiple",AVERAGE('Hoja 4 - Cálculo'!$I$25:$I$384)+AVERAGE('Hoja 4 - Cálculo'!$J$25:$J$384)+AVERAGE('Hoja 4 - Cálculo'!$K$25:$K$384),IF(D429="Uso prioritario",'Hoja 4 - Cálculo'!I90+'Hoja 4 - Cálculo'!K90,'Hoja 4 - Cálculo'!I90+'Hoja 4 - Cálculo'!J90+'Hoja 4 - Cálculo'!K90)))</f>
        <v>11.5</v>
      </c>
      <c r="I429" s="15">
        <f t="shared" si="88"/>
        <v>8.625</v>
      </c>
      <c r="J429" s="15">
        <f t="shared" ref="J429:J460" si="99">N428</f>
        <v>2</v>
      </c>
      <c r="K429" s="15">
        <f>MIN(J429+G429,(J429+G429)*'Hoja 4 - Cálculo'!$B$15)</f>
        <v>0.36015250000000004</v>
      </c>
      <c r="L429" s="15">
        <f t="shared" si="89"/>
        <v>17.647472499999999</v>
      </c>
      <c r="M429" s="15">
        <f t="shared" si="90"/>
        <v>8.625</v>
      </c>
      <c r="N429" s="15">
        <f t="shared" si="91"/>
        <v>2</v>
      </c>
      <c r="O429" s="15">
        <f t="shared" si="92"/>
        <v>7.0224724999999992</v>
      </c>
      <c r="P429" s="15">
        <f t="shared" si="93"/>
        <v>0</v>
      </c>
      <c r="Q429" s="14" t="str">
        <f>IF(M429&gt;=I429*'Hoja 4 - Cálculo'!$B$16,"Satisfactorio","Falla")</f>
        <v>Satisfactorio</v>
      </c>
      <c r="R429" s="14">
        <f t="shared" ref="R429:R460" si="100">IF(AND(Q428="Falla",Q429="Satisfactorio"),1,0)</f>
        <v>0</v>
      </c>
      <c r="S429" s="14">
        <f t="shared" ref="S429:S460" si="101">IF(AND(Q429="Falla",Q428&lt;&gt;"Falla"),1,0)</f>
        <v>0</v>
      </c>
    </row>
    <row r="430" spans="1:19">
      <c r="A430" s="14" t="str">
        <f t="shared" si="98"/>
        <v>SRY-2-1</v>
      </c>
      <c r="B430" s="15">
        <f>'Curvas SRY'!$B$9</f>
        <v>2</v>
      </c>
      <c r="C430" s="15">
        <f>'Curvas SRY'!$E$8</f>
        <v>0.75</v>
      </c>
      <c r="D430" s="14" t="str">
        <f>'Curvas SRY'!$B$14</f>
        <v>Uso variable</v>
      </c>
      <c r="E430" s="14">
        <f>67</f>
        <v>67</v>
      </c>
      <c r="F430" s="21">
        <f>'Hoja 4 - Cálculo'!A91</f>
        <v>31594</v>
      </c>
      <c r="G430" s="15">
        <f>'Hoja 4 - Cálculo'!H91</f>
        <v>14.056875</v>
      </c>
      <c r="H430" s="15">
        <f>IF(D430="Uso único",'Hoja 4 - Cálculo'!I91,IF(D430="Uso múltiple",AVERAGE('Hoja 4 - Cálculo'!$I$25:$I$384)+AVERAGE('Hoja 4 - Cálculo'!$J$25:$J$384)+AVERAGE('Hoja 4 - Cálculo'!$K$25:$K$384),IF(D430="Uso prioritario",'Hoja 4 - Cálculo'!I91+'Hoja 4 - Cálculo'!K91,'Hoja 4 - Cálculo'!I91+'Hoja 4 - Cálculo'!J91+'Hoja 4 - Cálculo'!K91)))</f>
        <v>16</v>
      </c>
      <c r="I430" s="15">
        <f t="shared" si="88"/>
        <v>12</v>
      </c>
      <c r="J430" s="15">
        <f t="shared" si="99"/>
        <v>2</v>
      </c>
      <c r="K430" s="15">
        <f>MIN(J430+G430,(J430+G430)*'Hoja 4 - Cálculo'!$B$15)</f>
        <v>0.32113749999999996</v>
      </c>
      <c r="L430" s="15">
        <f t="shared" si="89"/>
        <v>15.735737499999997</v>
      </c>
      <c r="M430" s="15">
        <f t="shared" si="90"/>
        <v>12</v>
      </c>
      <c r="N430" s="15">
        <f t="shared" si="91"/>
        <v>2</v>
      </c>
      <c r="O430" s="15">
        <f t="shared" si="92"/>
        <v>1.7357374999999973</v>
      </c>
      <c r="P430" s="15">
        <f t="shared" si="93"/>
        <v>0</v>
      </c>
      <c r="Q430" s="14" t="str">
        <f>IF(M430&gt;=I430*'Hoja 4 - Cálculo'!$B$16,"Satisfactorio","Falla")</f>
        <v>Satisfactorio</v>
      </c>
      <c r="R430" s="14">
        <f t="shared" si="100"/>
        <v>0</v>
      </c>
      <c r="S430" s="14">
        <f t="shared" si="101"/>
        <v>0</v>
      </c>
    </row>
    <row r="431" spans="1:19">
      <c r="A431" s="14" t="str">
        <f t="shared" si="98"/>
        <v>SRY-2-1</v>
      </c>
      <c r="B431" s="15">
        <f>'Curvas SRY'!$B$9</f>
        <v>2</v>
      </c>
      <c r="C431" s="15">
        <f>'Curvas SRY'!$E$8</f>
        <v>0.75</v>
      </c>
      <c r="D431" s="14" t="str">
        <f>'Curvas SRY'!$B$14</f>
        <v>Uso variable</v>
      </c>
      <c r="E431" s="14">
        <f>68</f>
        <v>68</v>
      </c>
      <c r="F431" s="21">
        <f>'Hoja 4 - Cálculo'!A92</f>
        <v>31625</v>
      </c>
      <c r="G431" s="15">
        <f>'Hoja 4 - Cálculo'!H92</f>
        <v>15.032249999999999</v>
      </c>
      <c r="H431" s="15">
        <f>IF(D431="Uso único",'Hoja 4 - Cálculo'!I92,IF(D431="Uso múltiple",AVERAGE('Hoja 4 - Cálculo'!$I$25:$I$384)+AVERAGE('Hoja 4 - Cálculo'!$J$25:$J$384)+AVERAGE('Hoja 4 - Cálculo'!$K$25:$K$384),IF(D431="Uso prioritario",'Hoja 4 - Cálculo'!I92+'Hoja 4 - Cálculo'!K92,'Hoja 4 - Cálculo'!I92+'Hoja 4 - Cálculo'!J92+'Hoja 4 - Cálculo'!K92)))</f>
        <v>16</v>
      </c>
      <c r="I431" s="15">
        <f t="shared" si="88"/>
        <v>12</v>
      </c>
      <c r="J431" s="15">
        <f t="shared" si="99"/>
        <v>2</v>
      </c>
      <c r="K431" s="15">
        <f>MIN(J431+G431,(J431+G431)*'Hoja 4 - Cálculo'!$B$15)</f>
        <v>0.34064499999999998</v>
      </c>
      <c r="L431" s="15">
        <f t="shared" si="89"/>
        <v>16.691604999999999</v>
      </c>
      <c r="M431" s="15">
        <f t="shared" si="90"/>
        <v>12</v>
      </c>
      <c r="N431" s="15">
        <f t="shared" si="91"/>
        <v>2</v>
      </c>
      <c r="O431" s="15">
        <f t="shared" si="92"/>
        <v>2.6916049999999991</v>
      </c>
      <c r="P431" s="15">
        <f t="shared" si="93"/>
        <v>0</v>
      </c>
      <c r="Q431" s="14" t="str">
        <f>IF(M431&gt;=I431*'Hoja 4 - Cálculo'!$B$16,"Satisfactorio","Falla")</f>
        <v>Satisfactorio</v>
      </c>
      <c r="R431" s="14">
        <f t="shared" si="100"/>
        <v>0</v>
      </c>
      <c r="S431" s="14">
        <f t="shared" si="101"/>
        <v>0</v>
      </c>
    </row>
    <row r="432" spans="1:19">
      <c r="A432" s="14" t="str">
        <f t="shared" si="98"/>
        <v>SRY-2-1</v>
      </c>
      <c r="B432" s="15">
        <f>'Curvas SRY'!$B$9</f>
        <v>2</v>
      </c>
      <c r="C432" s="15">
        <f>'Curvas SRY'!$E$8</f>
        <v>0.75</v>
      </c>
      <c r="D432" s="14" t="str">
        <f>'Curvas SRY'!$B$14</f>
        <v>Uso variable</v>
      </c>
      <c r="E432" s="14">
        <f>69</f>
        <v>69</v>
      </c>
      <c r="F432" s="21">
        <f>'Hoja 4 - Cálculo'!A93</f>
        <v>31656</v>
      </c>
      <c r="G432" s="15">
        <f>'Hoja 4 - Cálculo'!H93</f>
        <v>22.60575</v>
      </c>
      <c r="H432" s="15">
        <f>IF(D432="Uso único",'Hoja 4 - Cálculo'!I93,IF(D432="Uso múltiple",AVERAGE('Hoja 4 - Cálculo'!$I$25:$I$384)+AVERAGE('Hoja 4 - Cálculo'!$J$25:$J$384)+AVERAGE('Hoja 4 - Cálculo'!$K$25:$K$384),IF(D432="Uso prioritario",'Hoja 4 - Cálculo'!I93+'Hoja 4 - Cálculo'!K93,'Hoja 4 - Cálculo'!I93+'Hoja 4 - Cálculo'!J93+'Hoja 4 - Cálculo'!K93)))</f>
        <v>11.5</v>
      </c>
      <c r="I432" s="15">
        <f t="shared" si="88"/>
        <v>8.625</v>
      </c>
      <c r="J432" s="15">
        <f t="shared" si="99"/>
        <v>2</v>
      </c>
      <c r="K432" s="15">
        <f>MIN(J432+G432,(J432+G432)*'Hoja 4 - Cálculo'!$B$15)</f>
        <v>0.49211500000000002</v>
      </c>
      <c r="L432" s="15">
        <f t="shared" si="89"/>
        <v>24.113635000000002</v>
      </c>
      <c r="M432" s="15">
        <f t="shared" si="90"/>
        <v>8.625</v>
      </c>
      <c r="N432" s="15">
        <f t="shared" si="91"/>
        <v>2</v>
      </c>
      <c r="O432" s="15">
        <f t="shared" si="92"/>
        <v>13.488635000000002</v>
      </c>
      <c r="P432" s="15">
        <f t="shared" si="93"/>
        <v>0</v>
      </c>
      <c r="Q432" s="14" t="str">
        <f>IF(M432&gt;=I432*'Hoja 4 - Cálculo'!$B$16,"Satisfactorio","Falla")</f>
        <v>Satisfactorio</v>
      </c>
      <c r="R432" s="14">
        <f t="shared" si="100"/>
        <v>0</v>
      </c>
      <c r="S432" s="14">
        <f t="shared" si="101"/>
        <v>0</v>
      </c>
    </row>
    <row r="433" spans="1:19">
      <c r="A433" s="14" t="str">
        <f t="shared" si="98"/>
        <v>SRY-2-1</v>
      </c>
      <c r="B433" s="15">
        <f>'Curvas SRY'!$B$9</f>
        <v>2</v>
      </c>
      <c r="C433" s="15">
        <f>'Curvas SRY'!$E$8</f>
        <v>0.75</v>
      </c>
      <c r="D433" s="14" t="str">
        <f>'Curvas SRY'!$B$14</f>
        <v>Uso variable</v>
      </c>
      <c r="E433" s="14">
        <f>70</f>
        <v>70</v>
      </c>
      <c r="F433" s="21">
        <f>'Hoja 4 - Cálculo'!A94</f>
        <v>31686</v>
      </c>
      <c r="G433" s="15">
        <f>'Hoja 4 - Cálculo'!H94</f>
        <v>32.531624999999998</v>
      </c>
      <c r="H433" s="15">
        <f>IF(D433="Uso único",'Hoja 4 - Cálculo'!I94,IF(D433="Uso múltiple",AVERAGE('Hoja 4 - Cálculo'!$I$25:$I$384)+AVERAGE('Hoja 4 - Cálculo'!$J$25:$J$384)+AVERAGE('Hoja 4 - Cálculo'!$K$25:$K$384),IF(D433="Uso prioritario",'Hoja 4 - Cálculo'!I94+'Hoja 4 - Cálculo'!K94,'Hoja 4 - Cálculo'!I94+'Hoja 4 - Cálculo'!J94+'Hoja 4 - Cálculo'!K94)))</f>
        <v>11.5</v>
      </c>
      <c r="I433" s="15">
        <f t="shared" si="88"/>
        <v>8.625</v>
      </c>
      <c r="J433" s="15">
        <f t="shared" si="99"/>
        <v>2</v>
      </c>
      <c r="K433" s="15">
        <f>MIN(J433+G433,(J433+G433)*'Hoja 4 - Cálculo'!$B$15)</f>
        <v>0.69063249999999998</v>
      </c>
      <c r="L433" s="15">
        <f t="shared" si="89"/>
        <v>33.840992499999999</v>
      </c>
      <c r="M433" s="15">
        <f t="shared" si="90"/>
        <v>8.625</v>
      </c>
      <c r="N433" s="15">
        <f t="shared" si="91"/>
        <v>2</v>
      </c>
      <c r="O433" s="15">
        <f t="shared" si="92"/>
        <v>23.215992499999999</v>
      </c>
      <c r="P433" s="15">
        <f t="shared" si="93"/>
        <v>0</v>
      </c>
      <c r="Q433" s="14" t="str">
        <f>IF(M433&gt;=I433*'Hoja 4 - Cálculo'!$B$16,"Satisfactorio","Falla")</f>
        <v>Satisfactorio</v>
      </c>
      <c r="R433" s="14">
        <f t="shared" si="100"/>
        <v>0</v>
      </c>
      <c r="S433" s="14">
        <f t="shared" si="101"/>
        <v>0</v>
      </c>
    </row>
    <row r="434" spans="1:19">
      <c r="A434" s="14" t="str">
        <f t="shared" si="98"/>
        <v>SRY-2-1</v>
      </c>
      <c r="B434" s="15">
        <f>'Curvas SRY'!$B$9</f>
        <v>2</v>
      </c>
      <c r="C434" s="15">
        <f>'Curvas SRY'!$E$8</f>
        <v>0.75</v>
      </c>
      <c r="D434" s="14" t="str">
        <f>'Curvas SRY'!$B$14</f>
        <v>Uso variable</v>
      </c>
      <c r="E434" s="14">
        <f>71</f>
        <v>71</v>
      </c>
      <c r="F434" s="21">
        <f>'Hoja 4 - Cálculo'!A95</f>
        <v>31717</v>
      </c>
      <c r="G434" s="15">
        <f>'Hoja 4 - Cálculo'!H95</f>
        <v>26.641124999999999</v>
      </c>
      <c r="H434" s="15">
        <f>IF(D434="Uso único",'Hoja 4 - Cálculo'!I95,IF(D434="Uso múltiple",AVERAGE('Hoja 4 - Cálculo'!$I$25:$I$384)+AVERAGE('Hoja 4 - Cálculo'!$J$25:$J$384)+AVERAGE('Hoja 4 - Cálculo'!$K$25:$K$384),IF(D434="Uso prioritario",'Hoja 4 - Cálculo'!I95+'Hoja 4 - Cálculo'!K95,'Hoja 4 - Cálculo'!I95+'Hoja 4 - Cálculo'!J95+'Hoja 4 - Cálculo'!K95)))</f>
        <v>11.5</v>
      </c>
      <c r="I434" s="15">
        <f t="shared" si="88"/>
        <v>8.625</v>
      </c>
      <c r="J434" s="15">
        <f t="shared" si="99"/>
        <v>2</v>
      </c>
      <c r="K434" s="15">
        <f>MIN(J434+G434,(J434+G434)*'Hoja 4 - Cálculo'!$B$15)</f>
        <v>0.57282250000000001</v>
      </c>
      <c r="L434" s="15">
        <f t="shared" si="89"/>
        <v>28.068302499999998</v>
      </c>
      <c r="M434" s="15">
        <f t="shared" si="90"/>
        <v>8.625</v>
      </c>
      <c r="N434" s="15">
        <f t="shared" si="91"/>
        <v>2</v>
      </c>
      <c r="O434" s="15">
        <f t="shared" si="92"/>
        <v>17.443302499999998</v>
      </c>
      <c r="P434" s="15">
        <f t="shared" si="93"/>
        <v>0</v>
      </c>
      <c r="Q434" s="14" t="str">
        <f>IF(M434&gt;=I434*'Hoja 4 - Cálculo'!$B$16,"Satisfactorio","Falla")</f>
        <v>Satisfactorio</v>
      </c>
      <c r="R434" s="14">
        <f t="shared" si="100"/>
        <v>0</v>
      </c>
      <c r="S434" s="14">
        <f t="shared" si="101"/>
        <v>0</v>
      </c>
    </row>
    <row r="435" spans="1:19">
      <c r="A435" s="14" t="str">
        <f t="shared" si="98"/>
        <v>SRY-2-1</v>
      </c>
      <c r="B435" s="15">
        <f>'Curvas SRY'!$B$9</f>
        <v>2</v>
      </c>
      <c r="C435" s="15">
        <f>'Curvas SRY'!$E$8</f>
        <v>0.75</v>
      </c>
      <c r="D435" s="14" t="str">
        <f>'Curvas SRY'!$B$14</f>
        <v>Uso variable</v>
      </c>
      <c r="E435" s="14">
        <f>72</f>
        <v>72</v>
      </c>
      <c r="F435" s="21">
        <f>'Hoja 4 - Cálculo'!A96</f>
        <v>31747</v>
      </c>
      <c r="G435" s="15">
        <f>'Hoja 4 - Cálculo'!H96</f>
        <v>15.166124999999999</v>
      </c>
      <c r="H435" s="15">
        <f>IF(D435="Uso único",'Hoja 4 - Cálculo'!I96,IF(D435="Uso múltiple",AVERAGE('Hoja 4 - Cálculo'!$I$25:$I$384)+AVERAGE('Hoja 4 - Cálculo'!$J$25:$J$384)+AVERAGE('Hoja 4 - Cálculo'!$K$25:$K$384),IF(D435="Uso prioritario",'Hoja 4 - Cálculo'!I96+'Hoja 4 - Cálculo'!K96,'Hoja 4 - Cálculo'!I96+'Hoja 4 - Cálculo'!J96+'Hoja 4 - Cálculo'!K96)))</f>
        <v>16</v>
      </c>
      <c r="I435" s="15">
        <f t="shared" si="88"/>
        <v>12</v>
      </c>
      <c r="J435" s="15">
        <f t="shared" si="99"/>
        <v>2</v>
      </c>
      <c r="K435" s="15">
        <f>MIN(J435+G435,(J435+G435)*'Hoja 4 - Cálculo'!$B$15)</f>
        <v>0.34332250000000003</v>
      </c>
      <c r="L435" s="15">
        <f t="shared" si="89"/>
        <v>16.822802500000002</v>
      </c>
      <c r="M435" s="15">
        <f t="shared" si="90"/>
        <v>12</v>
      </c>
      <c r="N435" s="15">
        <f t="shared" si="91"/>
        <v>2</v>
      </c>
      <c r="O435" s="15">
        <f t="shared" si="92"/>
        <v>2.8228025000000017</v>
      </c>
      <c r="P435" s="15">
        <f t="shared" si="93"/>
        <v>0</v>
      </c>
      <c r="Q435" s="14" t="str">
        <f>IF(M435&gt;=I435*'Hoja 4 - Cálculo'!$B$16,"Satisfactorio","Falla")</f>
        <v>Satisfactorio</v>
      </c>
      <c r="R435" s="14">
        <f t="shared" si="100"/>
        <v>0</v>
      </c>
      <c r="S435" s="14">
        <f t="shared" si="101"/>
        <v>0</v>
      </c>
    </row>
    <row r="436" spans="1:19">
      <c r="A436" s="14" t="str">
        <f t="shared" si="98"/>
        <v>SRY-2-1</v>
      </c>
      <c r="B436" s="15">
        <f>'Curvas SRY'!$B$9</f>
        <v>2</v>
      </c>
      <c r="C436" s="15">
        <f>'Curvas SRY'!$E$8</f>
        <v>0.75</v>
      </c>
      <c r="D436" s="14" t="str">
        <f>'Curvas SRY'!$B$14</f>
        <v>Uso variable</v>
      </c>
      <c r="E436" s="14">
        <f>73</f>
        <v>73</v>
      </c>
      <c r="F436" s="21">
        <f>'Hoja 4 - Cálculo'!A97</f>
        <v>31778</v>
      </c>
      <c r="G436" s="15">
        <f>'Hoja 4 - Cálculo'!H97</f>
        <v>14.056875</v>
      </c>
      <c r="H436" s="15">
        <f>IF(D436="Uso único",'Hoja 4 - Cálculo'!I97,IF(D436="Uso múltiple",AVERAGE('Hoja 4 - Cálculo'!$I$25:$I$384)+AVERAGE('Hoja 4 - Cálculo'!$J$25:$J$384)+AVERAGE('Hoja 4 - Cálculo'!$K$25:$K$384),IF(D436="Uso prioritario",'Hoja 4 - Cálculo'!I97+'Hoja 4 - Cálculo'!K97,'Hoja 4 - Cálculo'!I97+'Hoja 4 - Cálculo'!J97+'Hoja 4 - Cálculo'!K97)))</f>
        <v>16</v>
      </c>
      <c r="I436" s="15">
        <f t="shared" si="88"/>
        <v>12</v>
      </c>
      <c r="J436" s="15">
        <f t="shared" si="99"/>
        <v>2</v>
      </c>
      <c r="K436" s="15">
        <f>MIN(J436+G436,(J436+G436)*'Hoja 4 - Cálculo'!$B$15)</f>
        <v>0.32113749999999996</v>
      </c>
      <c r="L436" s="15">
        <f t="shared" si="89"/>
        <v>15.735737499999997</v>
      </c>
      <c r="M436" s="15">
        <f t="shared" si="90"/>
        <v>12</v>
      </c>
      <c r="N436" s="15">
        <f t="shared" si="91"/>
        <v>2</v>
      </c>
      <c r="O436" s="15">
        <f t="shared" si="92"/>
        <v>1.7357374999999973</v>
      </c>
      <c r="P436" s="15">
        <f t="shared" si="93"/>
        <v>0</v>
      </c>
      <c r="Q436" s="14" t="str">
        <f>IF(M436&gt;=I436*'Hoja 4 - Cálculo'!$B$16,"Satisfactorio","Falla")</f>
        <v>Satisfactorio</v>
      </c>
      <c r="R436" s="14">
        <f t="shared" si="100"/>
        <v>0</v>
      </c>
      <c r="S436" s="14">
        <f t="shared" si="101"/>
        <v>0</v>
      </c>
    </row>
    <row r="437" spans="1:19">
      <c r="A437" s="14" t="str">
        <f t="shared" si="98"/>
        <v>SRY-2-1</v>
      </c>
      <c r="B437" s="15">
        <f>'Curvas SRY'!$B$9</f>
        <v>2</v>
      </c>
      <c r="C437" s="15">
        <f>'Curvas SRY'!$E$8</f>
        <v>0.75</v>
      </c>
      <c r="D437" s="14" t="str">
        <f>'Curvas SRY'!$B$14</f>
        <v>Uso variable</v>
      </c>
      <c r="E437" s="14">
        <f>74</f>
        <v>74</v>
      </c>
      <c r="F437" s="21">
        <f>'Hoja 4 - Cálculo'!A98</f>
        <v>31809</v>
      </c>
      <c r="G437" s="15">
        <f>'Hoja 4 - Cálculo'!H98</f>
        <v>15.969374999999999</v>
      </c>
      <c r="H437" s="15">
        <f>IF(D437="Uso único",'Hoja 4 - Cálculo'!I98,IF(D437="Uso múltiple",AVERAGE('Hoja 4 - Cálculo'!$I$25:$I$384)+AVERAGE('Hoja 4 - Cálculo'!$J$25:$J$384)+AVERAGE('Hoja 4 - Cálculo'!$K$25:$K$384),IF(D437="Uso prioritario",'Hoja 4 - Cálculo'!I98+'Hoja 4 - Cálculo'!K98,'Hoja 4 - Cálculo'!I98+'Hoja 4 - Cálculo'!J98+'Hoja 4 - Cálculo'!K98)))</f>
        <v>16</v>
      </c>
      <c r="I437" s="15">
        <f t="shared" si="88"/>
        <v>12</v>
      </c>
      <c r="J437" s="15">
        <f t="shared" si="99"/>
        <v>2</v>
      </c>
      <c r="K437" s="15">
        <f>MIN(J437+G437,(J437+G437)*'Hoja 4 - Cálculo'!$B$15)</f>
        <v>0.35938749999999997</v>
      </c>
      <c r="L437" s="15">
        <f t="shared" si="89"/>
        <v>17.609987499999999</v>
      </c>
      <c r="M437" s="15">
        <f t="shared" si="90"/>
        <v>12</v>
      </c>
      <c r="N437" s="15">
        <f t="shared" si="91"/>
        <v>2</v>
      </c>
      <c r="O437" s="15">
        <f t="shared" si="92"/>
        <v>3.609987499999999</v>
      </c>
      <c r="P437" s="15">
        <f t="shared" si="93"/>
        <v>0</v>
      </c>
      <c r="Q437" s="14" t="str">
        <f>IF(M437&gt;=I437*'Hoja 4 - Cálculo'!$B$16,"Satisfactorio","Falla")</f>
        <v>Satisfactorio</v>
      </c>
      <c r="R437" s="14">
        <f t="shared" si="100"/>
        <v>0</v>
      </c>
      <c r="S437" s="14">
        <f t="shared" si="101"/>
        <v>0</v>
      </c>
    </row>
    <row r="438" spans="1:19">
      <c r="A438" s="14" t="str">
        <f t="shared" si="98"/>
        <v>SRY-2-1</v>
      </c>
      <c r="B438" s="15">
        <f>'Curvas SRY'!$B$9</f>
        <v>2</v>
      </c>
      <c r="C438" s="15">
        <f>'Curvas SRY'!$E$8</f>
        <v>0.75</v>
      </c>
      <c r="D438" s="14" t="str">
        <f>'Curvas SRY'!$B$14</f>
        <v>Uso variable</v>
      </c>
      <c r="E438" s="14">
        <f>75</f>
        <v>75</v>
      </c>
      <c r="F438" s="21">
        <f>'Hoja 4 - Cálculo'!A99</f>
        <v>31837</v>
      </c>
      <c r="G438" s="15">
        <f>'Hoja 4 - Cálculo'!H99</f>
        <v>22.797000000000001</v>
      </c>
      <c r="H438" s="15">
        <f>IF(D438="Uso único",'Hoja 4 - Cálculo'!I99,IF(D438="Uso múltiple",AVERAGE('Hoja 4 - Cálculo'!$I$25:$I$384)+AVERAGE('Hoja 4 - Cálculo'!$J$25:$J$384)+AVERAGE('Hoja 4 - Cálculo'!$K$25:$K$384),IF(D438="Uso prioritario",'Hoja 4 - Cálculo'!I99+'Hoja 4 - Cálculo'!K99,'Hoja 4 - Cálculo'!I99+'Hoja 4 - Cálculo'!J99+'Hoja 4 - Cálculo'!K99)))</f>
        <v>16</v>
      </c>
      <c r="I438" s="15">
        <f t="shared" si="88"/>
        <v>12</v>
      </c>
      <c r="J438" s="15">
        <f t="shared" si="99"/>
        <v>2</v>
      </c>
      <c r="K438" s="15">
        <f>MIN(J438+G438,(J438+G438)*'Hoja 4 - Cálculo'!$B$15)</f>
        <v>0.49594000000000005</v>
      </c>
      <c r="L438" s="15">
        <f t="shared" si="89"/>
        <v>24.30106</v>
      </c>
      <c r="M438" s="15">
        <f t="shared" si="90"/>
        <v>12</v>
      </c>
      <c r="N438" s="15">
        <f t="shared" si="91"/>
        <v>2</v>
      </c>
      <c r="O438" s="15">
        <f t="shared" si="92"/>
        <v>10.30106</v>
      </c>
      <c r="P438" s="15">
        <f t="shared" si="93"/>
        <v>0</v>
      </c>
      <c r="Q438" s="14" t="str">
        <f>IF(M438&gt;=I438*'Hoja 4 - Cálculo'!$B$16,"Satisfactorio","Falla")</f>
        <v>Satisfactorio</v>
      </c>
      <c r="R438" s="14">
        <f t="shared" si="100"/>
        <v>0</v>
      </c>
      <c r="S438" s="14">
        <f t="shared" si="101"/>
        <v>0</v>
      </c>
    </row>
    <row r="439" spans="1:19">
      <c r="A439" s="14" t="str">
        <f t="shared" si="98"/>
        <v>SRY-2-1</v>
      </c>
      <c r="B439" s="15">
        <f>'Curvas SRY'!$B$9</f>
        <v>2</v>
      </c>
      <c r="C439" s="15">
        <f>'Curvas SRY'!$E$8</f>
        <v>0.75</v>
      </c>
      <c r="D439" s="14" t="str">
        <f>'Curvas SRY'!$B$14</f>
        <v>Uso variable</v>
      </c>
      <c r="E439" s="14">
        <f>76</f>
        <v>76</v>
      </c>
      <c r="F439" s="21">
        <f>'Hoja 4 - Cálculo'!A100</f>
        <v>31868</v>
      </c>
      <c r="G439" s="15">
        <f>'Hoja 4 - Cálculo'!H100</f>
        <v>34.138125000000002</v>
      </c>
      <c r="H439" s="15">
        <f>IF(D439="Uso único",'Hoja 4 - Cálculo'!I100,IF(D439="Uso múltiple",AVERAGE('Hoja 4 - Cálculo'!$I$25:$I$384)+AVERAGE('Hoja 4 - Cálculo'!$J$25:$J$384)+AVERAGE('Hoja 4 - Cálculo'!$K$25:$K$384),IF(D439="Uso prioritario",'Hoja 4 - Cálculo'!I100+'Hoja 4 - Cálculo'!K100,'Hoja 4 - Cálculo'!I100+'Hoja 4 - Cálculo'!J100+'Hoja 4 - Cálculo'!K100)))</f>
        <v>11.5</v>
      </c>
      <c r="I439" s="15">
        <f t="shared" si="88"/>
        <v>8.625</v>
      </c>
      <c r="J439" s="15">
        <f t="shared" si="99"/>
        <v>2</v>
      </c>
      <c r="K439" s="15">
        <f>MIN(J439+G439,(J439+G439)*'Hoja 4 - Cálculo'!$B$15)</f>
        <v>0.72276250000000009</v>
      </c>
      <c r="L439" s="15">
        <f t="shared" si="89"/>
        <v>35.415362500000001</v>
      </c>
      <c r="M439" s="15">
        <f t="shared" si="90"/>
        <v>8.625</v>
      </c>
      <c r="N439" s="15">
        <f t="shared" si="91"/>
        <v>2</v>
      </c>
      <c r="O439" s="15">
        <f t="shared" si="92"/>
        <v>24.790362500000001</v>
      </c>
      <c r="P439" s="15">
        <f t="shared" si="93"/>
        <v>0</v>
      </c>
      <c r="Q439" s="14" t="str">
        <f>IF(M439&gt;=I439*'Hoja 4 - Cálculo'!$B$16,"Satisfactorio","Falla")</f>
        <v>Satisfactorio</v>
      </c>
      <c r="R439" s="14">
        <f t="shared" si="100"/>
        <v>0</v>
      </c>
      <c r="S439" s="14">
        <f t="shared" si="101"/>
        <v>0</v>
      </c>
    </row>
    <row r="440" spans="1:19">
      <c r="A440" s="14" t="str">
        <f t="shared" si="98"/>
        <v>SRY-2-1</v>
      </c>
      <c r="B440" s="15">
        <f>'Curvas SRY'!$B$9</f>
        <v>2</v>
      </c>
      <c r="C440" s="15">
        <f>'Curvas SRY'!$E$8</f>
        <v>0.75</v>
      </c>
      <c r="D440" s="14" t="str">
        <f>'Curvas SRY'!$B$14</f>
        <v>Uso variable</v>
      </c>
      <c r="E440" s="14">
        <f>77</f>
        <v>77</v>
      </c>
      <c r="F440" s="21">
        <f>'Hoja 4 - Cálculo'!A101</f>
        <v>31898</v>
      </c>
      <c r="G440" s="15">
        <f>'Hoja 4 - Cálculo'!H101</f>
        <v>28.534500000000001</v>
      </c>
      <c r="H440" s="15">
        <f>IF(D440="Uso único",'Hoja 4 - Cálculo'!I101,IF(D440="Uso múltiple",AVERAGE('Hoja 4 - Cálculo'!$I$25:$I$384)+AVERAGE('Hoja 4 - Cálculo'!$J$25:$J$384)+AVERAGE('Hoja 4 - Cálculo'!$K$25:$K$384),IF(D440="Uso prioritario",'Hoja 4 - Cálculo'!I101+'Hoja 4 - Cálculo'!K101,'Hoja 4 - Cálculo'!I101+'Hoja 4 - Cálculo'!J101+'Hoja 4 - Cálculo'!K101)))</f>
        <v>11.5</v>
      </c>
      <c r="I440" s="15">
        <f t="shared" si="88"/>
        <v>8.625</v>
      </c>
      <c r="J440" s="15">
        <f t="shared" si="99"/>
        <v>2</v>
      </c>
      <c r="K440" s="15">
        <f>MIN(J440+G440,(J440+G440)*'Hoja 4 - Cálculo'!$B$15)</f>
        <v>0.61069000000000007</v>
      </c>
      <c r="L440" s="15">
        <f t="shared" si="89"/>
        <v>29.92381</v>
      </c>
      <c r="M440" s="15">
        <f t="shared" si="90"/>
        <v>8.625</v>
      </c>
      <c r="N440" s="15">
        <f t="shared" si="91"/>
        <v>2</v>
      </c>
      <c r="O440" s="15">
        <f t="shared" si="92"/>
        <v>19.29881</v>
      </c>
      <c r="P440" s="15">
        <f t="shared" si="93"/>
        <v>0</v>
      </c>
      <c r="Q440" s="14" t="str">
        <f>IF(M440&gt;=I440*'Hoja 4 - Cálculo'!$B$16,"Satisfactorio","Falla")</f>
        <v>Satisfactorio</v>
      </c>
      <c r="R440" s="14">
        <f t="shared" si="100"/>
        <v>0</v>
      </c>
      <c r="S440" s="14">
        <f t="shared" si="101"/>
        <v>0</v>
      </c>
    </row>
    <row r="441" spans="1:19">
      <c r="A441" s="14" t="str">
        <f t="shared" si="98"/>
        <v>SRY-2-1</v>
      </c>
      <c r="B441" s="15">
        <f>'Curvas SRY'!$B$9</f>
        <v>2</v>
      </c>
      <c r="C441" s="15">
        <f>'Curvas SRY'!$E$8</f>
        <v>0.75</v>
      </c>
      <c r="D441" s="14" t="str">
        <f>'Curvas SRY'!$B$14</f>
        <v>Uso variable</v>
      </c>
      <c r="E441" s="14">
        <f>78</f>
        <v>78</v>
      </c>
      <c r="F441" s="21">
        <f>'Hoja 4 - Cálculo'!A102</f>
        <v>31929</v>
      </c>
      <c r="G441" s="15">
        <f>'Hoja 4 - Cálculo'!H102</f>
        <v>18.589500000000001</v>
      </c>
      <c r="H441" s="15">
        <f>IF(D441="Uso único",'Hoja 4 - Cálculo'!I102,IF(D441="Uso múltiple",AVERAGE('Hoja 4 - Cálculo'!$I$25:$I$384)+AVERAGE('Hoja 4 - Cálculo'!$J$25:$J$384)+AVERAGE('Hoja 4 - Cálculo'!$K$25:$K$384),IF(D441="Uso prioritario",'Hoja 4 - Cálculo'!I102+'Hoja 4 - Cálculo'!K102,'Hoja 4 - Cálculo'!I102+'Hoja 4 - Cálculo'!J102+'Hoja 4 - Cálculo'!K102)))</f>
        <v>11.5</v>
      </c>
      <c r="I441" s="15">
        <f t="shared" si="88"/>
        <v>8.625</v>
      </c>
      <c r="J441" s="15">
        <f t="shared" si="99"/>
        <v>2</v>
      </c>
      <c r="K441" s="15">
        <f>MIN(J441+G441,(J441+G441)*'Hoja 4 - Cálculo'!$B$15)</f>
        <v>0.41179000000000004</v>
      </c>
      <c r="L441" s="15">
        <f t="shared" si="89"/>
        <v>20.177710000000001</v>
      </c>
      <c r="M441" s="15">
        <f t="shared" si="90"/>
        <v>8.625</v>
      </c>
      <c r="N441" s="15">
        <f t="shared" si="91"/>
        <v>2</v>
      </c>
      <c r="O441" s="15">
        <f t="shared" si="92"/>
        <v>9.5527100000000011</v>
      </c>
      <c r="P441" s="15">
        <f t="shared" si="93"/>
        <v>0</v>
      </c>
      <c r="Q441" s="14" t="str">
        <f>IF(M441&gt;=I441*'Hoja 4 - Cálculo'!$B$16,"Satisfactorio","Falla")</f>
        <v>Satisfactorio</v>
      </c>
      <c r="R441" s="14">
        <f t="shared" si="100"/>
        <v>0</v>
      </c>
      <c r="S441" s="14">
        <f t="shared" si="101"/>
        <v>0</v>
      </c>
    </row>
    <row r="442" spans="1:19">
      <c r="A442" s="14" t="str">
        <f t="shared" si="98"/>
        <v>SRY-2-1</v>
      </c>
      <c r="B442" s="15">
        <f>'Curvas SRY'!$B$9</f>
        <v>2</v>
      </c>
      <c r="C442" s="15">
        <f>'Curvas SRY'!$E$8</f>
        <v>0.75</v>
      </c>
      <c r="D442" s="14" t="str">
        <f>'Curvas SRY'!$B$14</f>
        <v>Uso variable</v>
      </c>
      <c r="E442" s="14">
        <f>79</f>
        <v>79</v>
      </c>
      <c r="F442" s="21">
        <f>'Hoja 4 - Cálculo'!A103</f>
        <v>31959</v>
      </c>
      <c r="G442" s="15">
        <f>'Hoja 4 - Cálculo'!H103</f>
        <v>14.688000000000001</v>
      </c>
      <c r="H442" s="15">
        <f>IF(D442="Uso único",'Hoja 4 - Cálculo'!I103,IF(D442="Uso múltiple",AVERAGE('Hoja 4 - Cálculo'!$I$25:$I$384)+AVERAGE('Hoja 4 - Cálculo'!$J$25:$J$384)+AVERAGE('Hoja 4 - Cálculo'!$K$25:$K$384),IF(D442="Uso prioritario",'Hoja 4 - Cálculo'!I103+'Hoja 4 - Cálculo'!K103,'Hoja 4 - Cálculo'!I103+'Hoja 4 - Cálculo'!J103+'Hoja 4 - Cálculo'!K103)))</f>
        <v>16</v>
      </c>
      <c r="I442" s="15">
        <f t="shared" si="88"/>
        <v>12</v>
      </c>
      <c r="J442" s="15">
        <f t="shared" si="99"/>
        <v>2</v>
      </c>
      <c r="K442" s="15">
        <f>MIN(J442+G442,(J442+G442)*'Hoja 4 - Cálculo'!$B$15)</f>
        <v>0.33376000000000006</v>
      </c>
      <c r="L442" s="15">
        <f t="shared" si="89"/>
        <v>16.354240000000001</v>
      </c>
      <c r="M442" s="15">
        <f t="shared" si="90"/>
        <v>12</v>
      </c>
      <c r="N442" s="15">
        <f t="shared" si="91"/>
        <v>2</v>
      </c>
      <c r="O442" s="15">
        <f t="shared" si="92"/>
        <v>2.3542400000000008</v>
      </c>
      <c r="P442" s="15">
        <f t="shared" si="93"/>
        <v>0</v>
      </c>
      <c r="Q442" s="14" t="str">
        <f>IF(M442&gt;=I442*'Hoja 4 - Cálculo'!$B$16,"Satisfactorio","Falla")</f>
        <v>Satisfactorio</v>
      </c>
      <c r="R442" s="14">
        <f t="shared" si="100"/>
        <v>0</v>
      </c>
      <c r="S442" s="14">
        <f t="shared" si="101"/>
        <v>0</v>
      </c>
    </row>
    <row r="443" spans="1:19">
      <c r="A443" s="14" t="str">
        <f t="shared" si="98"/>
        <v>SRY-2-1</v>
      </c>
      <c r="B443" s="15">
        <f>'Curvas SRY'!$B$9</f>
        <v>2</v>
      </c>
      <c r="C443" s="15">
        <f>'Curvas SRY'!$E$8</f>
        <v>0.75</v>
      </c>
      <c r="D443" s="14" t="str">
        <f>'Curvas SRY'!$B$14</f>
        <v>Uso variable</v>
      </c>
      <c r="E443" s="14">
        <f>80</f>
        <v>80</v>
      </c>
      <c r="F443" s="21">
        <f>'Hoja 4 - Cálculo'!A104</f>
        <v>31990</v>
      </c>
      <c r="G443" s="15">
        <f>'Hoja 4 - Cálculo'!H104</f>
        <v>15.759</v>
      </c>
      <c r="H443" s="15">
        <f>IF(D443="Uso único",'Hoja 4 - Cálculo'!I104,IF(D443="Uso múltiple",AVERAGE('Hoja 4 - Cálculo'!$I$25:$I$384)+AVERAGE('Hoja 4 - Cálculo'!$J$25:$J$384)+AVERAGE('Hoja 4 - Cálculo'!$K$25:$K$384),IF(D443="Uso prioritario",'Hoja 4 - Cálculo'!I104+'Hoja 4 - Cálculo'!K104,'Hoja 4 - Cálculo'!I104+'Hoja 4 - Cálculo'!J104+'Hoja 4 - Cálculo'!K104)))</f>
        <v>16</v>
      </c>
      <c r="I443" s="15">
        <f t="shared" si="88"/>
        <v>12</v>
      </c>
      <c r="J443" s="15">
        <f t="shared" si="99"/>
        <v>2</v>
      </c>
      <c r="K443" s="15">
        <f>MIN(J443+G443,(J443+G443)*'Hoja 4 - Cálculo'!$B$15)</f>
        <v>0.35518</v>
      </c>
      <c r="L443" s="15">
        <f t="shared" si="89"/>
        <v>17.40382</v>
      </c>
      <c r="M443" s="15">
        <f t="shared" si="90"/>
        <v>12</v>
      </c>
      <c r="N443" s="15">
        <f t="shared" si="91"/>
        <v>2</v>
      </c>
      <c r="O443" s="15">
        <f t="shared" si="92"/>
        <v>3.4038199999999996</v>
      </c>
      <c r="P443" s="15">
        <f t="shared" si="93"/>
        <v>0</v>
      </c>
      <c r="Q443" s="14" t="str">
        <f>IF(M443&gt;=I443*'Hoja 4 - Cálculo'!$B$16,"Satisfactorio","Falla")</f>
        <v>Satisfactorio</v>
      </c>
      <c r="R443" s="14">
        <f t="shared" si="100"/>
        <v>0</v>
      </c>
      <c r="S443" s="14">
        <f t="shared" si="101"/>
        <v>0</v>
      </c>
    </row>
    <row r="444" spans="1:19">
      <c r="A444" s="14" t="str">
        <f t="shared" si="98"/>
        <v>SRY-2-1</v>
      </c>
      <c r="B444" s="15">
        <f>'Curvas SRY'!$B$9</f>
        <v>2</v>
      </c>
      <c r="C444" s="15">
        <f>'Curvas SRY'!$E$8</f>
        <v>0.75</v>
      </c>
      <c r="D444" s="14" t="str">
        <f>'Curvas SRY'!$B$14</f>
        <v>Uso variable</v>
      </c>
      <c r="E444" s="14">
        <f>81</f>
        <v>81</v>
      </c>
      <c r="F444" s="21">
        <f>'Hoja 4 - Cálculo'!A105</f>
        <v>32021</v>
      </c>
      <c r="G444" s="15">
        <f>'Hoja 4 - Cálculo'!H105</f>
        <v>26.220375000000001</v>
      </c>
      <c r="H444" s="15">
        <f>IF(D444="Uso único",'Hoja 4 - Cálculo'!I105,IF(D444="Uso múltiple",AVERAGE('Hoja 4 - Cálculo'!$I$25:$I$384)+AVERAGE('Hoja 4 - Cálculo'!$J$25:$J$384)+AVERAGE('Hoja 4 - Cálculo'!$K$25:$K$384),IF(D444="Uso prioritario",'Hoja 4 - Cálculo'!I105+'Hoja 4 - Cálculo'!K105,'Hoja 4 - Cálculo'!I105+'Hoja 4 - Cálculo'!J105+'Hoja 4 - Cálculo'!K105)))</f>
        <v>11.5</v>
      </c>
      <c r="I444" s="15">
        <f t="shared" si="88"/>
        <v>8.625</v>
      </c>
      <c r="J444" s="15">
        <f t="shared" si="99"/>
        <v>2</v>
      </c>
      <c r="K444" s="15">
        <f>MIN(J444+G444,(J444+G444)*'Hoja 4 - Cálculo'!$B$15)</f>
        <v>0.56440750000000006</v>
      </c>
      <c r="L444" s="15">
        <f t="shared" si="89"/>
        <v>27.655967499999999</v>
      </c>
      <c r="M444" s="15">
        <f t="shared" si="90"/>
        <v>8.625</v>
      </c>
      <c r="N444" s="15">
        <f t="shared" si="91"/>
        <v>2</v>
      </c>
      <c r="O444" s="15">
        <f t="shared" si="92"/>
        <v>17.030967499999999</v>
      </c>
      <c r="P444" s="15">
        <f t="shared" si="93"/>
        <v>0</v>
      </c>
      <c r="Q444" s="14" t="str">
        <f>IF(M444&gt;=I444*'Hoja 4 - Cálculo'!$B$16,"Satisfactorio","Falla")</f>
        <v>Satisfactorio</v>
      </c>
      <c r="R444" s="14">
        <f t="shared" si="100"/>
        <v>0</v>
      </c>
      <c r="S444" s="14">
        <f t="shared" si="101"/>
        <v>0</v>
      </c>
    </row>
    <row r="445" spans="1:19">
      <c r="A445" s="14" t="str">
        <f t="shared" si="98"/>
        <v>SRY-2-1</v>
      </c>
      <c r="B445" s="15">
        <f>'Curvas SRY'!$B$9</f>
        <v>2</v>
      </c>
      <c r="C445" s="15">
        <f>'Curvas SRY'!$E$8</f>
        <v>0.75</v>
      </c>
      <c r="D445" s="14" t="str">
        <f>'Curvas SRY'!$B$14</f>
        <v>Uso variable</v>
      </c>
      <c r="E445" s="14">
        <f>82</f>
        <v>82</v>
      </c>
      <c r="F445" s="21">
        <f>'Hoja 4 - Cálculo'!A106</f>
        <v>32051</v>
      </c>
      <c r="G445" s="15">
        <f>'Hoja 4 - Cálculo'!H106</f>
        <v>32.627249999999997</v>
      </c>
      <c r="H445" s="15">
        <f>IF(D445="Uso único",'Hoja 4 - Cálculo'!I106,IF(D445="Uso múltiple",AVERAGE('Hoja 4 - Cálculo'!$I$25:$I$384)+AVERAGE('Hoja 4 - Cálculo'!$J$25:$J$384)+AVERAGE('Hoja 4 - Cálculo'!$K$25:$K$384),IF(D445="Uso prioritario",'Hoja 4 - Cálculo'!I106+'Hoja 4 - Cálculo'!K106,'Hoja 4 - Cálculo'!I106+'Hoja 4 - Cálculo'!J106+'Hoja 4 - Cálculo'!K106)))</f>
        <v>11.5</v>
      </c>
      <c r="I445" s="15">
        <f t="shared" si="88"/>
        <v>8.625</v>
      </c>
      <c r="J445" s="15">
        <f t="shared" si="99"/>
        <v>2</v>
      </c>
      <c r="K445" s="15">
        <f>MIN(J445+G445,(J445+G445)*'Hoja 4 - Cálculo'!$B$15)</f>
        <v>0.69254499999999997</v>
      </c>
      <c r="L445" s="15">
        <f t="shared" si="89"/>
        <v>33.934704999999994</v>
      </c>
      <c r="M445" s="15">
        <f t="shared" si="90"/>
        <v>8.625</v>
      </c>
      <c r="N445" s="15">
        <f t="shared" si="91"/>
        <v>2</v>
      </c>
      <c r="O445" s="15">
        <f t="shared" si="92"/>
        <v>23.309704999999994</v>
      </c>
      <c r="P445" s="15">
        <f t="shared" si="93"/>
        <v>0</v>
      </c>
      <c r="Q445" s="14" t="str">
        <f>IF(M445&gt;=I445*'Hoja 4 - Cálculo'!$B$16,"Satisfactorio","Falla")</f>
        <v>Satisfactorio</v>
      </c>
      <c r="R445" s="14">
        <f t="shared" si="100"/>
        <v>0</v>
      </c>
      <c r="S445" s="14">
        <f t="shared" si="101"/>
        <v>0</v>
      </c>
    </row>
    <row r="446" spans="1:19">
      <c r="A446" s="14" t="str">
        <f t="shared" si="98"/>
        <v>SRY-2-1</v>
      </c>
      <c r="B446" s="15">
        <f>'Curvas SRY'!$B$9</f>
        <v>2</v>
      </c>
      <c r="C446" s="15">
        <f>'Curvas SRY'!$E$8</f>
        <v>0.75</v>
      </c>
      <c r="D446" s="14" t="str">
        <f>'Curvas SRY'!$B$14</f>
        <v>Uso variable</v>
      </c>
      <c r="E446" s="14">
        <f>83</f>
        <v>83</v>
      </c>
      <c r="F446" s="21">
        <f>'Hoja 4 - Cálculo'!A107</f>
        <v>32082</v>
      </c>
      <c r="G446" s="15">
        <f>'Hoja 4 - Cálculo'!H107</f>
        <v>29.758500000000002</v>
      </c>
      <c r="H446" s="15">
        <f>IF(D446="Uso único",'Hoja 4 - Cálculo'!I107,IF(D446="Uso múltiple",AVERAGE('Hoja 4 - Cálculo'!$I$25:$I$384)+AVERAGE('Hoja 4 - Cálculo'!$J$25:$J$384)+AVERAGE('Hoja 4 - Cálculo'!$K$25:$K$384),IF(D446="Uso prioritario",'Hoja 4 - Cálculo'!I107+'Hoja 4 - Cálculo'!K107,'Hoja 4 - Cálculo'!I107+'Hoja 4 - Cálculo'!J107+'Hoja 4 - Cálculo'!K107)))</f>
        <v>11.5</v>
      </c>
      <c r="I446" s="15">
        <f t="shared" si="88"/>
        <v>8.625</v>
      </c>
      <c r="J446" s="15">
        <f t="shared" si="99"/>
        <v>2</v>
      </c>
      <c r="K446" s="15">
        <f>MIN(J446+G446,(J446+G446)*'Hoja 4 - Cálculo'!$B$15)</f>
        <v>0.63517000000000001</v>
      </c>
      <c r="L446" s="15">
        <f t="shared" si="89"/>
        <v>31.123330000000003</v>
      </c>
      <c r="M446" s="15">
        <f t="shared" si="90"/>
        <v>8.625</v>
      </c>
      <c r="N446" s="15">
        <f t="shared" si="91"/>
        <v>2</v>
      </c>
      <c r="O446" s="15">
        <f t="shared" si="92"/>
        <v>20.498330000000003</v>
      </c>
      <c r="P446" s="15">
        <f t="shared" si="93"/>
        <v>0</v>
      </c>
      <c r="Q446" s="14" t="str">
        <f>IF(M446&gt;=I446*'Hoja 4 - Cálculo'!$B$16,"Satisfactorio","Falla")</f>
        <v>Satisfactorio</v>
      </c>
      <c r="R446" s="14">
        <f t="shared" si="100"/>
        <v>0</v>
      </c>
      <c r="S446" s="14">
        <f t="shared" si="101"/>
        <v>0</v>
      </c>
    </row>
    <row r="447" spans="1:19">
      <c r="A447" s="14" t="str">
        <f t="shared" si="98"/>
        <v>SRY-2-1</v>
      </c>
      <c r="B447" s="15">
        <f>'Curvas SRY'!$B$9</f>
        <v>2</v>
      </c>
      <c r="C447" s="15">
        <f>'Curvas SRY'!$E$8</f>
        <v>0.75</v>
      </c>
      <c r="D447" s="14" t="str">
        <f>'Curvas SRY'!$B$14</f>
        <v>Uso variable</v>
      </c>
      <c r="E447" s="14">
        <f>84</f>
        <v>84</v>
      </c>
      <c r="F447" s="21">
        <f>'Hoja 4 - Cálculo'!A108</f>
        <v>32112</v>
      </c>
      <c r="G447" s="15">
        <f>'Hoja 4 - Cálculo'!H108</f>
        <v>16.543125</v>
      </c>
      <c r="H447" s="15">
        <f>IF(D447="Uso único",'Hoja 4 - Cálculo'!I108,IF(D447="Uso múltiple",AVERAGE('Hoja 4 - Cálculo'!$I$25:$I$384)+AVERAGE('Hoja 4 - Cálculo'!$J$25:$J$384)+AVERAGE('Hoja 4 - Cálculo'!$K$25:$K$384),IF(D447="Uso prioritario",'Hoja 4 - Cálculo'!I108+'Hoja 4 - Cálculo'!K108,'Hoja 4 - Cálculo'!I108+'Hoja 4 - Cálculo'!J108+'Hoja 4 - Cálculo'!K108)))</f>
        <v>16</v>
      </c>
      <c r="I447" s="15">
        <f t="shared" si="88"/>
        <v>12</v>
      </c>
      <c r="J447" s="15">
        <f t="shared" si="99"/>
        <v>2</v>
      </c>
      <c r="K447" s="15">
        <f>MIN(J447+G447,(J447+G447)*'Hoja 4 - Cálculo'!$B$15)</f>
        <v>0.37086249999999998</v>
      </c>
      <c r="L447" s="15">
        <f t="shared" si="89"/>
        <v>18.172262499999999</v>
      </c>
      <c r="M447" s="15">
        <f t="shared" si="90"/>
        <v>12</v>
      </c>
      <c r="N447" s="15">
        <f t="shared" si="91"/>
        <v>2</v>
      </c>
      <c r="O447" s="15">
        <f t="shared" si="92"/>
        <v>4.1722624999999987</v>
      </c>
      <c r="P447" s="15">
        <f t="shared" si="93"/>
        <v>0</v>
      </c>
      <c r="Q447" s="14" t="str">
        <f>IF(M447&gt;=I447*'Hoja 4 - Cálculo'!$B$16,"Satisfactorio","Falla")</f>
        <v>Satisfactorio</v>
      </c>
      <c r="R447" s="14">
        <f t="shared" si="100"/>
        <v>0</v>
      </c>
      <c r="S447" s="14">
        <f t="shared" si="101"/>
        <v>0</v>
      </c>
    </row>
    <row r="448" spans="1:19">
      <c r="A448" s="14" t="str">
        <f t="shared" si="98"/>
        <v>SRY-2-1</v>
      </c>
      <c r="B448" s="15">
        <f>'Curvas SRY'!$B$9</f>
        <v>2</v>
      </c>
      <c r="C448" s="15">
        <f>'Curvas SRY'!$E$8</f>
        <v>0.75</v>
      </c>
      <c r="D448" s="14" t="str">
        <f>'Curvas SRY'!$B$14</f>
        <v>Uso variable</v>
      </c>
      <c r="E448" s="14">
        <f>85</f>
        <v>85</v>
      </c>
      <c r="F448" s="21">
        <f>'Hoja 4 - Cálculo'!A109</f>
        <v>32143</v>
      </c>
      <c r="G448" s="15">
        <f>'Hoja 4 - Cálculo'!H109</f>
        <v>13.291874999999999</v>
      </c>
      <c r="H448" s="15">
        <f>IF(D448="Uso único",'Hoja 4 - Cálculo'!I109,IF(D448="Uso múltiple",AVERAGE('Hoja 4 - Cálculo'!$I$25:$I$384)+AVERAGE('Hoja 4 - Cálculo'!$J$25:$J$384)+AVERAGE('Hoja 4 - Cálculo'!$K$25:$K$384),IF(D448="Uso prioritario",'Hoja 4 - Cálculo'!I109+'Hoja 4 - Cálculo'!K109,'Hoja 4 - Cálculo'!I109+'Hoja 4 - Cálculo'!J109+'Hoja 4 - Cálculo'!K109)))</f>
        <v>16</v>
      </c>
      <c r="I448" s="15">
        <f t="shared" si="88"/>
        <v>12</v>
      </c>
      <c r="J448" s="15">
        <f t="shared" si="99"/>
        <v>2</v>
      </c>
      <c r="K448" s="15">
        <f>MIN(J448+G448,(J448+G448)*'Hoja 4 - Cálculo'!$B$15)</f>
        <v>0.30583749999999998</v>
      </c>
      <c r="L448" s="15">
        <f t="shared" si="89"/>
        <v>14.986037499999998</v>
      </c>
      <c r="M448" s="15">
        <f t="shared" si="90"/>
        <v>12</v>
      </c>
      <c r="N448" s="15">
        <f t="shared" si="91"/>
        <v>2</v>
      </c>
      <c r="O448" s="15">
        <f t="shared" si="92"/>
        <v>0.98603749999999835</v>
      </c>
      <c r="P448" s="15">
        <f t="shared" si="93"/>
        <v>0</v>
      </c>
      <c r="Q448" s="14" t="str">
        <f>IF(M448&gt;=I448*'Hoja 4 - Cálculo'!$B$16,"Satisfactorio","Falla")</f>
        <v>Satisfactorio</v>
      </c>
      <c r="R448" s="14">
        <f t="shared" si="100"/>
        <v>0</v>
      </c>
      <c r="S448" s="14">
        <f t="shared" si="101"/>
        <v>0</v>
      </c>
    </row>
    <row r="449" spans="1:19">
      <c r="A449" s="14" t="str">
        <f t="shared" si="98"/>
        <v>SRY-2-1</v>
      </c>
      <c r="B449" s="15">
        <f>'Curvas SRY'!$B$9</f>
        <v>2</v>
      </c>
      <c r="C449" s="15">
        <f>'Curvas SRY'!$E$8</f>
        <v>0.75</v>
      </c>
      <c r="D449" s="14" t="str">
        <f>'Curvas SRY'!$B$14</f>
        <v>Uso variable</v>
      </c>
      <c r="E449" s="14">
        <f>86</f>
        <v>86</v>
      </c>
      <c r="F449" s="21">
        <f>'Hoja 4 - Cálculo'!A110</f>
        <v>32174</v>
      </c>
      <c r="G449" s="15">
        <f>'Hoja 4 - Cálculo'!H110</f>
        <v>14.19075</v>
      </c>
      <c r="H449" s="15">
        <f>IF(D449="Uso único",'Hoja 4 - Cálculo'!I110,IF(D449="Uso múltiple",AVERAGE('Hoja 4 - Cálculo'!$I$25:$I$384)+AVERAGE('Hoja 4 - Cálculo'!$J$25:$J$384)+AVERAGE('Hoja 4 - Cálculo'!$K$25:$K$384),IF(D449="Uso prioritario",'Hoja 4 - Cálculo'!I110+'Hoja 4 - Cálculo'!K110,'Hoja 4 - Cálculo'!I110+'Hoja 4 - Cálculo'!J110+'Hoja 4 - Cálculo'!K110)))</f>
        <v>16</v>
      </c>
      <c r="I449" s="15">
        <f t="shared" si="88"/>
        <v>12</v>
      </c>
      <c r="J449" s="15">
        <f t="shared" si="99"/>
        <v>2</v>
      </c>
      <c r="K449" s="15">
        <f>MIN(J449+G449,(J449+G449)*'Hoja 4 - Cálculo'!$B$15)</f>
        <v>0.32381500000000002</v>
      </c>
      <c r="L449" s="15">
        <f t="shared" si="89"/>
        <v>15.866935000000002</v>
      </c>
      <c r="M449" s="15">
        <f t="shared" si="90"/>
        <v>12</v>
      </c>
      <c r="N449" s="15">
        <f t="shared" si="91"/>
        <v>2</v>
      </c>
      <c r="O449" s="15">
        <f t="shared" si="92"/>
        <v>1.8669350000000016</v>
      </c>
      <c r="P449" s="15">
        <f t="shared" si="93"/>
        <v>0</v>
      </c>
      <c r="Q449" s="14" t="str">
        <f>IF(M449&gt;=I449*'Hoja 4 - Cálculo'!$B$16,"Satisfactorio","Falla")</f>
        <v>Satisfactorio</v>
      </c>
      <c r="R449" s="14">
        <f t="shared" si="100"/>
        <v>0</v>
      </c>
      <c r="S449" s="14">
        <f t="shared" si="101"/>
        <v>0</v>
      </c>
    </row>
    <row r="450" spans="1:19">
      <c r="A450" s="14" t="str">
        <f t="shared" si="98"/>
        <v>SRY-2-1</v>
      </c>
      <c r="B450" s="15">
        <f>'Curvas SRY'!$B$9</f>
        <v>2</v>
      </c>
      <c r="C450" s="15">
        <f>'Curvas SRY'!$E$8</f>
        <v>0.75</v>
      </c>
      <c r="D450" s="14" t="str">
        <f>'Curvas SRY'!$B$14</f>
        <v>Uso variable</v>
      </c>
      <c r="E450" s="14">
        <f>87</f>
        <v>87</v>
      </c>
      <c r="F450" s="21">
        <f>'Hoja 4 - Cálculo'!A111</f>
        <v>32203</v>
      </c>
      <c r="G450" s="15">
        <f>'Hoja 4 - Cálculo'!H111</f>
        <v>22.338000000000001</v>
      </c>
      <c r="H450" s="15">
        <f>IF(D450="Uso único",'Hoja 4 - Cálculo'!I111,IF(D450="Uso múltiple",AVERAGE('Hoja 4 - Cálculo'!$I$25:$I$384)+AVERAGE('Hoja 4 - Cálculo'!$J$25:$J$384)+AVERAGE('Hoja 4 - Cálculo'!$K$25:$K$384),IF(D450="Uso prioritario",'Hoja 4 - Cálculo'!I111+'Hoja 4 - Cálculo'!K111,'Hoja 4 - Cálculo'!I111+'Hoja 4 - Cálculo'!J111+'Hoja 4 - Cálculo'!K111)))</f>
        <v>16</v>
      </c>
      <c r="I450" s="15">
        <f t="shared" si="88"/>
        <v>12</v>
      </c>
      <c r="J450" s="15">
        <f t="shared" si="99"/>
        <v>2</v>
      </c>
      <c r="K450" s="15">
        <f>MIN(J450+G450,(J450+G450)*'Hoja 4 - Cálculo'!$B$15)</f>
        <v>0.48676000000000003</v>
      </c>
      <c r="L450" s="15">
        <f t="shared" si="89"/>
        <v>23.851240000000001</v>
      </c>
      <c r="M450" s="15">
        <f t="shared" si="90"/>
        <v>12</v>
      </c>
      <c r="N450" s="15">
        <f t="shared" si="91"/>
        <v>2</v>
      </c>
      <c r="O450" s="15">
        <f t="shared" si="92"/>
        <v>9.8512400000000007</v>
      </c>
      <c r="P450" s="15">
        <f t="shared" si="93"/>
        <v>0</v>
      </c>
      <c r="Q450" s="14" t="str">
        <f>IF(M450&gt;=I450*'Hoja 4 - Cálculo'!$B$16,"Satisfactorio","Falla")</f>
        <v>Satisfactorio</v>
      </c>
      <c r="R450" s="14">
        <f t="shared" si="100"/>
        <v>0</v>
      </c>
      <c r="S450" s="14">
        <f t="shared" si="101"/>
        <v>0</v>
      </c>
    </row>
    <row r="451" spans="1:19">
      <c r="A451" s="14" t="str">
        <f t="shared" si="98"/>
        <v>SRY-2-1</v>
      </c>
      <c r="B451" s="15">
        <f>'Curvas SRY'!$B$9</f>
        <v>2</v>
      </c>
      <c r="C451" s="15">
        <f>'Curvas SRY'!$E$8</f>
        <v>0.75</v>
      </c>
      <c r="D451" s="14" t="str">
        <f>'Curvas SRY'!$B$14</f>
        <v>Uso variable</v>
      </c>
      <c r="E451" s="14">
        <f>88</f>
        <v>88</v>
      </c>
      <c r="F451" s="21">
        <f>'Hoja 4 - Cálculo'!A112</f>
        <v>32234</v>
      </c>
      <c r="G451" s="15">
        <f>'Hoja 4 - Cálculo'!H112</f>
        <v>29.643750000000001</v>
      </c>
      <c r="H451" s="15">
        <f>IF(D451="Uso único",'Hoja 4 - Cálculo'!I112,IF(D451="Uso múltiple",AVERAGE('Hoja 4 - Cálculo'!$I$25:$I$384)+AVERAGE('Hoja 4 - Cálculo'!$J$25:$J$384)+AVERAGE('Hoja 4 - Cálculo'!$K$25:$K$384),IF(D451="Uso prioritario",'Hoja 4 - Cálculo'!I112+'Hoja 4 - Cálculo'!K112,'Hoja 4 - Cálculo'!I112+'Hoja 4 - Cálculo'!J112+'Hoja 4 - Cálculo'!K112)))</f>
        <v>11.5</v>
      </c>
      <c r="I451" s="15">
        <f t="shared" si="88"/>
        <v>8.625</v>
      </c>
      <c r="J451" s="15">
        <f t="shared" si="99"/>
        <v>2</v>
      </c>
      <c r="K451" s="15">
        <f>MIN(J451+G451,(J451+G451)*'Hoja 4 - Cálculo'!$B$15)</f>
        <v>0.63287500000000008</v>
      </c>
      <c r="L451" s="15">
        <f t="shared" si="89"/>
        <v>31.010875000000002</v>
      </c>
      <c r="M451" s="15">
        <f t="shared" si="90"/>
        <v>8.625</v>
      </c>
      <c r="N451" s="15">
        <f t="shared" si="91"/>
        <v>2</v>
      </c>
      <c r="O451" s="15">
        <f t="shared" si="92"/>
        <v>20.385875000000002</v>
      </c>
      <c r="P451" s="15">
        <f t="shared" si="93"/>
        <v>0</v>
      </c>
      <c r="Q451" s="14" t="str">
        <f>IF(M451&gt;=I451*'Hoja 4 - Cálculo'!$B$16,"Satisfactorio","Falla")</f>
        <v>Satisfactorio</v>
      </c>
      <c r="R451" s="14">
        <f t="shared" si="100"/>
        <v>0</v>
      </c>
      <c r="S451" s="14">
        <f t="shared" si="101"/>
        <v>0</v>
      </c>
    </row>
    <row r="452" spans="1:19">
      <c r="A452" s="14" t="str">
        <f t="shared" si="98"/>
        <v>SRY-2-1</v>
      </c>
      <c r="B452" s="15">
        <f>'Curvas SRY'!$B$9</f>
        <v>2</v>
      </c>
      <c r="C452" s="15">
        <f>'Curvas SRY'!$E$8</f>
        <v>0.75</v>
      </c>
      <c r="D452" s="14" t="str">
        <f>'Curvas SRY'!$B$14</f>
        <v>Uso variable</v>
      </c>
      <c r="E452" s="14">
        <f>89</f>
        <v>89</v>
      </c>
      <c r="F452" s="21">
        <f>'Hoja 4 - Cálculo'!A113</f>
        <v>32264</v>
      </c>
      <c r="G452" s="15">
        <f>'Hoja 4 - Cálculo'!H113</f>
        <v>28.075500000000002</v>
      </c>
      <c r="H452" s="15">
        <f>IF(D452="Uso único",'Hoja 4 - Cálculo'!I113,IF(D452="Uso múltiple",AVERAGE('Hoja 4 - Cálculo'!$I$25:$I$384)+AVERAGE('Hoja 4 - Cálculo'!$J$25:$J$384)+AVERAGE('Hoja 4 - Cálculo'!$K$25:$K$384),IF(D452="Uso prioritario",'Hoja 4 - Cálculo'!I113+'Hoja 4 - Cálculo'!K113,'Hoja 4 - Cálculo'!I113+'Hoja 4 - Cálculo'!J113+'Hoja 4 - Cálculo'!K113)))</f>
        <v>11.5</v>
      </c>
      <c r="I452" s="15">
        <f t="shared" ref="I452:I515" si="102">H452*C452</f>
        <v>8.625</v>
      </c>
      <c r="J452" s="15">
        <f t="shared" si="99"/>
        <v>2</v>
      </c>
      <c r="K452" s="15">
        <f>MIN(J452+G452,(J452+G452)*'Hoja 4 - Cálculo'!$B$15)</f>
        <v>0.6015100000000001</v>
      </c>
      <c r="L452" s="15">
        <f t="shared" ref="L452:L515" si="103">MAX(0,J452+G452-K452)</f>
        <v>29.473990000000001</v>
      </c>
      <c r="M452" s="15">
        <f t="shared" ref="M452:M515" si="104">MIN(I452,L452)</f>
        <v>8.625</v>
      </c>
      <c r="N452" s="15">
        <f t="shared" ref="N452:N515" si="105">MIN(B452,MAX(0,L452-M452))</f>
        <v>2</v>
      </c>
      <c r="O452" s="15">
        <f t="shared" ref="O452:O515" si="106">MAX(0,L452-M452-B452)</f>
        <v>18.848990000000001</v>
      </c>
      <c r="P452" s="15">
        <f t="shared" ref="P452:P515" si="107">MAX(0,I452-M452)</f>
        <v>0</v>
      </c>
      <c r="Q452" s="14" t="str">
        <f>IF(M452&gt;=I452*'Hoja 4 - Cálculo'!$B$16,"Satisfactorio","Falla")</f>
        <v>Satisfactorio</v>
      </c>
      <c r="R452" s="14">
        <f t="shared" si="100"/>
        <v>0</v>
      </c>
      <c r="S452" s="14">
        <f t="shared" si="101"/>
        <v>0</v>
      </c>
    </row>
    <row r="453" spans="1:19">
      <c r="A453" s="14" t="str">
        <f t="shared" si="98"/>
        <v>SRY-2-1</v>
      </c>
      <c r="B453" s="15">
        <f>'Curvas SRY'!$B$9</f>
        <v>2</v>
      </c>
      <c r="C453" s="15">
        <f>'Curvas SRY'!$E$8</f>
        <v>0.75</v>
      </c>
      <c r="D453" s="14" t="str">
        <f>'Curvas SRY'!$B$14</f>
        <v>Uso variable</v>
      </c>
      <c r="E453" s="14">
        <f>90</f>
        <v>90</v>
      </c>
      <c r="F453" s="21">
        <f>'Hoja 4 - Cálculo'!A114</f>
        <v>32295</v>
      </c>
      <c r="G453" s="15">
        <f>'Hoja 4 - Cálculo'!H114</f>
        <v>16.485749999999999</v>
      </c>
      <c r="H453" s="15">
        <f>IF(D453="Uso único",'Hoja 4 - Cálculo'!I114,IF(D453="Uso múltiple",AVERAGE('Hoja 4 - Cálculo'!$I$25:$I$384)+AVERAGE('Hoja 4 - Cálculo'!$J$25:$J$384)+AVERAGE('Hoja 4 - Cálculo'!$K$25:$K$384),IF(D453="Uso prioritario",'Hoja 4 - Cálculo'!I114+'Hoja 4 - Cálculo'!K114,'Hoja 4 - Cálculo'!I114+'Hoja 4 - Cálculo'!J114+'Hoja 4 - Cálculo'!K114)))</f>
        <v>11.5</v>
      </c>
      <c r="I453" s="15">
        <f t="shared" si="102"/>
        <v>8.625</v>
      </c>
      <c r="J453" s="15">
        <f t="shared" si="99"/>
        <v>2</v>
      </c>
      <c r="K453" s="15">
        <f>MIN(J453+G453,(J453+G453)*'Hoja 4 - Cálculo'!$B$15)</f>
        <v>0.36971500000000002</v>
      </c>
      <c r="L453" s="15">
        <f t="shared" si="103"/>
        <v>18.116035</v>
      </c>
      <c r="M453" s="15">
        <f t="shared" si="104"/>
        <v>8.625</v>
      </c>
      <c r="N453" s="15">
        <f t="shared" si="105"/>
        <v>2</v>
      </c>
      <c r="O453" s="15">
        <f t="shared" si="106"/>
        <v>7.4910350000000001</v>
      </c>
      <c r="P453" s="15">
        <f t="shared" si="107"/>
        <v>0</v>
      </c>
      <c r="Q453" s="14" t="str">
        <f>IF(M453&gt;=I453*'Hoja 4 - Cálculo'!$B$16,"Satisfactorio","Falla")</f>
        <v>Satisfactorio</v>
      </c>
      <c r="R453" s="14">
        <f t="shared" si="100"/>
        <v>0</v>
      </c>
      <c r="S453" s="14">
        <f t="shared" si="101"/>
        <v>0</v>
      </c>
    </row>
    <row r="454" spans="1:19">
      <c r="A454" s="14" t="str">
        <f t="shared" si="98"/>
        <v>SRY-2-1</v>
      </c>
      <c r="B454" s="15">
        <f>'Curvas SRY'!$B$9</f>
        <v>2</v>
      </c>
      <c r="C454" s="15">
        <f>'Curvas SRY'!$E$8</f>
        <v>0.75</v>
      </c>
      <c r="D454" s="14" t="str">
        <f>'Curvas SRY'!$B$14</f>
        <v>Uso variable</v>
      </c>
      <c r="E454" s="14">
        <f>91</f>
        <v>91</v>
      </c>
      <c r="F454" s="21">
        <f>'Hoja 4 - Cálculo'!A115</f>
        <v>32325</v>
      </c>
      <c r="G454" s="15">
        <f>'Hoja 4 - Cálculo'!H115</f>
        <v>13.827375</v>
      </c>
      <c r="H454" s="15">
        <f>IF(D454="Uso único",'Hoja 4 - Cálculo'!I115,IF(D454="Uso múltiple",AVERAGE('Hoja 4 - Cálculo'!$I$25:$I$384)+AVERAGE('Hoja 4 - Cálculo'!$J$25:$J$384)+AVERAGE('Hoja 4 - Cálculo'!$K$25:$K$384),IF(D454="Uso prioritario",'Hoja 4 - Cálculo'!I115+'Hoja 4 - Cálculo'!K115,'Hoja 4 - Cálculo'!I115+'Hoja 4 - Cálculo'!J115+'Hoja 4 - Cálculo'!K115)))</f>
        <v>16</v>
      </c>
      <c r="I454" s="15">
        <f t="shared" si="102"/>
        <v>12</v>
      </c>
      <c r="J454" s="15">
        <f t="shared" si="99"/>
        <v>2</v>
      </c>
      <c r="K454" s="15">
        <f>MIN(J454+G454,(J454+G454)*'Hoja 4 - Cálculo'!$B$15)</f>
        <v>0.31654749999999998</v>
      </c>
      <c r="L454" s="15">
        <f t="shared" si="103"/>
        <v>15.5108275</v>
      </c>
      <c r="M454" s="15">
        <f t="shared" si="104"/>
        <v>12</v>
      </c>
      <c r="N454" s="15">
        <f t="shared" si="105"/>
        <v>2</v>
      </c>
      <c r="O454" s="15">
        <f t="shared" si="106"/>
        <v>1.5108274999999995</v>
      </c>
      <c r="P454" s="15">
        <f t="shared" si="107"/>
        <v>0</v>
      </c>
      <c r="Q454" s="14" t="str">
        <f>IF(M454&gt;=I454*'Hoja 4 - Cálculo'!$B$16,"Satisfactorio","Falla")</f>
        <v>Satisfactorio</v>
      </c>
      <c r="R454" s="14">
        <f t="shared" si="100"/>
        <v>0</v>
      </c>
      <c r="S454" s="14">
        <f t="shared" si="101"/>
        <v>0</v>
      </c>
    </row>
    <row r="455" spans="1:19">
      <c r="A455" s="14" t="str">
        <f t="shared" si="98"/>
        <v>SRY-2-1</v>
      </c>
      <c r="B455" s="15">
        <f>'Curvas SRY'!$B$9</f>
        <v>2</v>
      </c>
      <c r="C455" s="15">
        <f>'Curvas SRY'!$E$8</f>
        <v>0.75</v>
      </c>
      <c r="D455" s="14" t="str">
        <f>'Curvas SRY'!$B$14</f>
        <v>Uso variable</v>
      </c>
      <c r="E455" s="14">
        <f>92</f>
        <v>92</v>
      </c>
      <c r="F455" s="21">
        <f>'Hoja 4 - Cálculo'!A116</f>
        <v>32356</v>
      </c>
      <c r="G455" s="15">
        <f>'Hoja 4 - Cálculo'!H116</f>
        <v>14.783625000000001</v>
      </c>
      <c r="H455" s="15">
        <f>IF(D455="Uso único",'Hoja 4 - Cálculo'!I116,IF(D455="Uso múltiple",AVERAGE('Hoja 4 - Cálculo'!$I$25:$I$384)+AVERAGE('Hoja 4 - Cálculo'!$J$25:$J$384)+AVERAGE('Hoja 4 - Cálculo'!$K$25:$K$384),IF(D455="Uso prioritario",'Hoja 4 - Cálculo'!I116+'Hoja 4 - Cálculo'!K116,'Hoja 4 - Cálculo'!I116+'Hoja 4 - Cálculo'!J116+'Hoja 4 - Cálculo'!K116)))</f>
        <v>16</v>
      </c>
      <c r="I455" s="15">
        <f t="shared" si="102"/>
        <v>12</v>
      </c>
      <c r="J455" s="15">
        <f t="shared" si="99"/>
        <v>2</v>
      </c>
      <c r="K455" s="15">
        <f>MIN(J455+G455,(J455+G455)*'Hoja 4 - Cálculo'!$B$15)</f>
        <v>0.33567250000000004</v>
      </c>
      <c r="L455" s="15">
        <f t="shared" si="103"/>
        <v>16.4479525</v>
      </c>
      <c r="M455" s="15">
        <f t="shared" si="104"/>
        <v>12</v>
      </c>
      <c r="N455" s="15">
        <f t="shared" si="105"/>
        <v>2</v>
      </c>
      <c r="O455" s="15">
        <f t="shared" si="106"/>
        <v>2.4479524999999995</v>
      </c>
      <c r="P455" s="15">
        <f t="shared" si="107"/>
        <v>0</v>
      </c>
      <c r="Q455" s="14" t="str">
        <f>IF(M455&gt;=I455*'Hoja 4 - Cálculo'!$B$16,"Satisfactorio","Falla")</f>
        <v>Satisfactorio</v>
      </c>
      <c r="R455" s="14">
        <f t="shared" si="100"/>
        <v>0</v>
      </c>
      <c r="S455" s="14">
        <f t="shared" si="101"/>
        <v>0</v>
      </c>
    </row>
    <row r="456" spans="1:19">
      <c r="A456" s="14" t="str">
        <f t="shared" si="98"/>
        <v>SRY-2-1</v>
      </c>
      <c r="B456" s="15">
        <f>'Curvas SRY'!$B$9</f>
        <v>2</v>
      </c>
      <c r="C456" s="15">
        <f>'Curvas SRY'!$E$8</f>
        <v>0.75</v>
      </c>
      <c r="D456" s="14" t="str">
        <f>'Curvas SRY'!$B$14</f>
        <v>Uso variable</v>
      </c>
      <c r="E456" s="14">
        <f>93</f>
        <v>93</v>
      </c>
      <c r="F456" s="21">
        <f>'Hoja 4 - Cálculo'!A117</f>
        <v>32387</v>
      </c>
      <c r="G456" s="15">
        <f>'Hoja 4 - Cálculo'!H117</f>
        <v>23.3325</v>
      </c>
      <c r="H456" s="15">
        <f>IF(D456="Uso único",'Hoja 4 - Cálculo'!I117,IF(D456="Uso múltiple",AVERAGE('Hoja 4 - Cálculo'!$I$25:$I$384)+AVERAGE('Hoja 4 - Cálculo'!$J$25:$J$384)+AVERAGE('Hoja 4 - Cálculo'!$K$25:$K$384),IF(D456="Uso prioritario",'Hoja 4 - Cálculo'!I117+'Hoja 4 - Cálculo'!K117,'Hoja 4 - Cálculo'!I117+'Hoja 4 - Cálculo'!J117+'Hoja 4 - Cálculo'!K117)))</f>
        <v>11.5</v>
      </c>
      <c r="I456" s="15">
        <f t="shared" si="102"/>
        <v>8.625</v>
      </c>
      <c r="J456" s="15">
        <f t="shared" si="99"/>
        <v>2</v>
      </c>
      <c r="K456" s="15">
        <f>MIN(J456+G456,(J456+G456)*'Hoja 4 - Cálculo'!$B$15)</f>
        <v>0.50665000000000004</v>
      </c>
      <c r="L456" s="15">
        <f t="shared" si="103"/>
        <v>24.825849999999999</v>
      </c>
      <c r="M456" s="15">
        <f t="shared" si="104"/>
        <v>8.625</v>
      </c>
      <c r="N456" s="15">
        <f t="shared" si="105"/>
        <v>2</v>
      </c>
      <c r="O456" s="15">
        <f t="shared" si="106"/>
        <v>14.200849999999999</v>
      </c>
      <c r="P456" s="15">
        <f t="shared" si="107"/>
        <v>0</v>
      </c>
      <c r="Q456" s="14" t="str">
        <f>IF(M456&gt;=I456*'Hoja 4 - Cálculo'!$B$16,"Satisfactorio","Falla")</f>
        <v>Satisfactorio</v>
      </c>
      <c r="R456" s="14">
        <f t="shared" si="100"/>
        <v>0</v>
      </c>
      <c r="S456" s="14">
        <f t="shared" si="101"/>
        <v>0</v>
      </c>
    </row>
    <row r="457" spans="1:19">
      <c r="A457" s="14" t="str">
        <f t="shared" si="98"/>
        <v>SRY-2-1</v>
      </c>
      <c r="B457" s="15">
        <f>'Curvas SRY'!$B$9</f>
        <v>2</v>
      </c>
      <c r="C457" s="15">
        <f>'Curvas SRY'!$E$8</f>
        <v>0.75</v>
      </c>
      <c r="D457" s="14" t="str">
        <f>'Curvas SRY'!$B$14</f>
        <v>Uso variable</v>
      </c>
      <c r="E457" s="14">
        <f>94</f>
        <v>94</v>
      </c>
      <c r="F457" s="21">
        <f>'Hoja 4 - Cálculo'!A118</f>
        <v>32417</v>
      </c>
      <c r="G457" s="15">
        <f>'Hoja 4 - Cálculo'!H118</f>
        <v>32.015250000000002</v>
      </c>
      <c r="H457" s="15">
        <f>IF(D457="Uso único",'Hoja 4 - Cálculo'!I118,IF(D457="Uso múltiple",AVERAGE('Hoja 4 - Cálculo'!$I$25:$I$384)+AVERAGE('Hoja 4 - Cálculo'!$J$25:$J$384)+AVERAGE('Hoja 4 - Cálculo'!$K$25:$K$384),IF(D457="Uso prioritario",'Hoja 4 - Cálculo'!I118+'Hoja 4 - Cálculo'!K118,'Hoja 4 - Cálculo'!I118+'Hoja 4 - Cálculo'!J118+'Hoja 4 - Cálculo'!K118)))</f>
        <v>11.5</v>
      </c>
      <c r="I457" s="15">
        <f t="shared" si="102"/>
        <v>8.625</v>
      </c>
      <c r="J457" s="15">
        <f t="shared" si="99"/>
        <v>2</v>
      </c>
      <c r="K457" s="15">
        <f>MIN(J457+G457,(J457+G457)*'Hoja 4 - Cálculo'!$B$15)</f>
        <v>0.68030500000000005</v>
      </c>
      <c r="L457" s="15">
        <f t="shared" si="103"/>
        <v>33.334945000000005</v>
      </c>
      <c r="M457" s="15">
        <f t="shared" si="104"/>
        <v>8.625</v>
      </c>
      <c r="N457" s="15">
        <f t="shared" si="105"/>
        <v>2</v>
      </c>
      <c r="O457" s="15">
        <f t="shared" si="106"/>
        <v>22.709945000000005</v>
      </c>
      <c r="P457" s="15">
        <f t="shared" si="107"/>
        <v>0</v>
      </c>
      <c r="Q457" s="14" t="str">
        <f>IF(M457&gt;=I457*'Hoja 4 - Cálculo'!$B$16,"Satisfactorio","Falla")</f>
        <v>Satisfactorio</v>
      </c>
      <c r="R457" s="14">
        <f t="shared" si="100"/>
        <v>0</v>
      </c>
      <c r="S457" s="14">
        <f t="shared" si="101"/>
        <v>0</v>
      </c>
    </row>
    <row r="458" spans="1:19">
      <c r="A458" s="14" t="str">
        <f t="shared" si="98"/>
        <v>SRY-2-1</v>
      </c>
      <c r="B458" s="15">
        <f>'Curvas SRY'!$B$9</f>
        <v>2</v>
      </c>
      <c r="C458" s="15">
        <f>'Curvas SRY'!$E$8</f>
        <v>0.75</v>
      </c>
      <c r="D458" s="14" t="str">
        <f>'Curvas SRY'!$B$14</f>
        <v>Uso variable</v>
      </c>
      <c r="E458" s="14">
        <f>95</f>
        <v>95</v>
      </c>
      <c r="F458" s="21">
        <f>'Hoja 4 - Cálculo'!A119</f>
        <v>32448</v>
      </c>
      <c r="G458" s="15">
        <f>'Hoja 4 - Cálculo'!H119</f>
        <v>25.876124999999998</v>
      </c>
      <c r="H458" s="15">
        <f>IF(D458="Uso único",'Hoja 4 - Cálculo'!I119,IF(D458="Uso múltiple",AVERAGE('Hoja 4 - Cálculo'!$I$25:$I$384)+AVERAGE('Hoja 4 - Cálculo'!$J$25:$J$384)+AVERAGE('Hoja 4 - Cálculo'!$K$25:$K$384),IF(D458="Uso prioritario",'Hoja 4 - Cálculo'!I119+'Hoja 4 - Cálculo'!K119,'Hoja 4 - Cálculo'!I119+'Hoja 4 - Cálculo'!J119+'Hoja 4 - Cálculo'!K119)))</f>
        <v>11.5</v>
      </c>
      <c r="I458" s="15">
        <f t="shared" si="102"/>
        <v>8.625</v>
      </c>
      <c r="J458" s="15">
        <f t="shared" si="99"/>
        <v>2</v>
      </c>
      <c r="K458" s="15">
        <f>MIN(J458+G458,(J458+G458)*'Hoja 4 - Cálculo'!$B$15)</f>
        <v>0.55752250000000003</v>
      </c>
      <c r="L458" s="15">
        <f t="shared" si="103"/>
        <v>27.318602499999997</v>
      </c>
      <c r="M458" s="15">
        <f t="shared" si="104"/>
        <v>8.625</v>
      </c>
      <c r="N458" s="15">
        <f t="shared" si="105"/>
        <v>2</v>
      </c>
      <c r="O458" s="15">
        <f t="shared" si="106"/>
        <v>16.693602499999997</v>
      </c>
      <c r="P458" s="15">
        <f t="shared" si="107"/>
        <v>0</v>
      </c>
      <c r="Q458" s="14" t="str">
        <f>IF(M458&gt;=I458*'Hoja 4 - Cálculo'!$B$16,"Satisfactorio","Falla")</f>
        <v>Satisfactorio</v>
      </c>
      <c r="R458" s="14">
        <f t="shared" si="100"/>
        <v>0</v>
      </c>
      <c r="S458" s="14">
        <f t="shared" si="101"/>
        <v>0</v>
      </c>
    </row>
    <row r="459" spans="1:19">
      <c r="A459" s="14" t="str">
        <f t="shared" si="98"/>
        <v>SRY-2-1</v>
      </c>
      <c r="B459" s="15">
        <f>'Curvas SRY'!$B$9</f>
        <v>2</v>
      </c>
      <c r="C459" s="15">
        <f>'Curvas SRY'!$E$8</f>
        <v>0.75</v>
      </c>
      <c r="D459" s="14" t="str">
        <f>'Curvas SRY'!$B$14</f>
        <v>Uso variable</v>
      </c>
      <c r="E459" s="14">
        <f>96</f>
        <v>96</v>
      </c>
      <c r="F459" s="21">
        <f>'Hoja 4 - Cálculo'!A120</f>
        <v>32478</v>
      </c>
      <c r="G459" s="15">
        <f>'Hoja 4 - Cálculo'!H120</f>
        <v>16.218</v>
      </c>
      <c r="H459" s="15">
        <f>IF(D459="Uso único",'Hoja 4 - Cálculo'!I120,IF(D459="Uso múltiple",AVERAGE('Hoja 4 - Cálculo'!$I$25:$I$384)+AVERAGE('Hoja 4 - Cálculo'!$J$25:$J$384)+AVERAGE('Hoja 4 - Cálculo'!$K$25:$K$384),IF(D459="Uso prioritario",'Hoja 4 - Cálculo'!I120+'Hoja 4 - Cálculo'!K120,'Hoja 4 - Cálculo'!I120+'Hoja 4 - Cálculo'!J120+'Hoja 4 - Cálculo'!K120)))</f>
        <v>16</v>
      </c>
      <c r="I459" s="15">
        <f t="shared" si="102"/>
        <v>12</v>
      </c>
      <c r="J459" s="15">
        <f t="shared" si="99"/>
        <v>2</v>
      </c>
      <c r="K459" s="15">
        <f>MIN(J459+G459,(J459+G459)*'Hoja 4 - Cálculo'!$B$15)</f>
        <v>0.36436000000000002</v>
      </c>
      <c r="L459" s="15">
        <f t="shared" si="103"/>
        <v>17.853639999999999</v>
      </c>
      <c r="M459" s="15">
        <f t="shared" si="104"/>
        <v>12</v>
      </c>
      <c r="N459" s="15">
        <f t="shared" si="105"/>
        <v>2</v>
      </c>
      <c r="O459" s="15">
        <f t="shared" si="106"/>
        <v>3.8536399999999986</v>
      </c>
      <c r="P459" s="15">
        <f t="shared" si="107"/>
        <v>0</v>
      </c>
      <c r="Q459" s="14" t="str">
        <f>IF(M459&gt;=I459*'Hoja 4 - Cálculo'!$B$16,"Satisfactorio","Falla")</f>
        <v>Satisfactorio</v>
      </c>
      <c r="R459" s="14">
        <f t="shared" si="100"/>
        <v>0</v>
      </c>
      <c r="S459" s="14">
        <f t="shared" si="101"/>
        <v>0</v>
      </c>
    </row>
    <row r="460" spans="1:19">
      <c r="A460" s="14" t="str">
        <f t="shared" ref="A460:A483" si="108">"SRY-2-1"</f>
        <v>SRY-2-1</v>
      </c>
      <c r="B460" s="15">
        <f>'Curvas SRY'!$B$9</f>
        <v>2</v>
      </c>
      <c r="C460" s="15">
        <f>'Curvas SRY'!$E$8</f>
        <v>0.75</v>
      </c>
      <c r="D460" s="14" t="str">
        <f>'Curvas SRY'!$B$14</f>
        <v>Uso variable</v>
      </c>
      <c r="E460" s="14">
        <f>97</f>
        <v>97</v>
      </c>
      <c r="F460" s="21">
        <f>'Hoja 4 - Cálculo'!A121</f>
        <v>32509</v>
      </c>
      <c r="G460" s="15">
        <f>'Hoja 4 - Cálculo'!H121</f>
        <v>11.761875</v>
      </c>
      <c r="H460" s="15">
        <f>IF(D460="Uso único",'Hoja 4 - Cálculo'!I121,IF(D460="Uso múltiple",AVERAGE('Hoja 4 - Cálculo'!$I$25:$I$384)+AVERAGE('Hoja 4 - Cálculo'!$J$25:$J$384)+AVERAGE('Hoja 4 - Cálculo'!$K$25:$K$384),IF(D460="Uso prioritario",'Hoja 4 - Cálculo'!I121+'Hoja 4 - Cálculo'!K121,'Hoja 4 - Cálculo'!I121+'Hoja 4 - Cálculo'!J121+'Hoja 4 - Cálculo'!K121)))</f>
        <v>16</v>
      </c>
      <c r="I460" s="15">
        <f t="shared" si="102"/>
        <v>12</v>
      </c>
      <c r="J460" s="15">
        <f t="shared" si="99"/>
        <v>2</v>
      </c>
      <c r="K460" s="15">
        <f>MIN(J460+G460,(J460+G460)*'Hoja 4 - Cálculo'!$B$15)</f>
        <v>0.27523750000000002</v>
      </c>
      <c r="L460" s="15">
        <f t="shared" si="103"/>
        <v>13.486637500000001</v>
      </c>
      <c r="M460" s="15">
        <f t="shared" si="104"/>
        <v>12</v>
      </c>
      <c r="N460" s="15">
        <f t="shared" si="105"/>
        <v>1.4866375000000005</v>
      </c>
      <c r="O460" s="15">
        <f t="shared" si="106"/>
        <v>0</v>
      </c>
      <c r="P460" s="15">
        <f t="shared" si="107"/>
        <v>0</v>
      </c>
      <c r="Q460" s="14" t="str">
        <f>IF(M460&gt;=I460*'Hoja 4 - Cálculo'!$B$16,"Satisfactorio","Falla")</f>
        <v>Satisfactorio</v>
      </c>
      <c r="R460" s="14">
        <f t="shared" si="100"/>
        <v>0</v>
      </c>
      <c r="S460" s="14">
        <f t="shared" si="101"/>
        <v>0</v>
      </c>
    </row>
    <row r="461" spans="1:19">
      <c r="A461" s="14" t="str">
        <f t="shared" si="108"/>
        <v>SRY-2-1</v>
      </c>
      <c r="B461" s="15">
        <f>'Curvas SRY'!$B$9</f>
        <v>2</v>
      </c>
      <c r="C461" s="15">
        <f>'Curvas SRY'!$E$8</f>
        <v>0.75</v>
      </c>
      <c r="D461" s="14" t="str">
        <f>'Curvas SRY'!$B$14</f>
        <v>Uso variable</v>
      </c>
      <c r="E461" s="14">
        <f>98</f>
        <v>98</v>
      </c>
      <c r="F461" s="21">
        <f>'Hoja 4 - Cálculo'!A122</f>
        <v>32540</v>
      </c>
      <c r="G461" s="15">
        <f>'Hoja 4 - Cálculo'!H122</f>
        <v>12.43125</v>
      </c>
      <c r="H461" s="15">
        <f>IF(D461="Uso único",'Hoja 4 - Cálculo'!I122,IF(D461="Uso múltiple",AVERAGE('Hoja 4 - Cálculo'!$I$25:$I$384)+AVERAGE('Hoja 4 - Cálculo'!$J$25:$J$384)+AVERAGE('Hoja 4 - Cálculo'!$K$25:$K$384),IF(D461="Uso prioritario",'Hoja 4 - Cálculo'!I122+'Hoja 4 - Cálculo'!K122,'Hoja 4 - Cálculo'!I122+'Hoja 4 - Cálculo'!J122+'Hoja 4 - Cálculo'!K122)))</f>
        <v>16</v>
      </c>
      <c r="I461" s="15">
        <f t="shared" si="102"/>
        <v>12</v>
      </c>
      <c r="J461" s="15">
        <f t="shared" ref="J461:J483" si="109">N460</f>
        <v>1.4866375000000005</v>
      </c>
      <c r="K461" s="15">
        <f>MIN(J461+G461,(J461+G461)*'Hoja 4 - Cálculo'!$B$15)</f>
        <v>0.27835775000000001</v>
      </c>
      <c r="L461" s="15">
        <f t="shared" si="103"/>
        <v>13.639529750000001</v>
      </c>
      <c r="M461" s="15">
        <f t="shared" si="104"/>
        <v>12</v>
      </c>
      <c r="N461" s="15">
        <f t="shared" si="105"/>
        <v>1.6395297500000012</v>
      </c>
      <c r="O461" s="15">
        <f t="shared" si="106"/>
        <v>0</v>
      </c>
      <c r="P461" s="15">
        <f t="shared" si="107"/>
        <v>0</v>
      </c>
      <c r="Q461" s="14" t="str">
        <f>IF(M461&gt;=I461*'Hoja 4 - Cálculo'!$B$16,"Satisfactorio","Falla")</f>
        <v>Satisfactorio</v>
      </c>
      <c r="R461" s="14">
        <f t="shared" ref="R461:R492" si="110">IF(AND(Q460="Falla",Q461="Satisfactorio"),1,0)</f>
        <v>0</v>
      </c>
      <c r="S461" s="14">
        <f t="shared" ref="S461:S483" si="111">IF(AND(Q461="Falla",Q460&lt;&gt;"Falla"),1,0)</f>
        <v>0</v>
      </c>
    </row>
    <row r="462" spans="1:19">
      <c r="A462" s="14" t="str">
        <f t="shared" si="108"/>
        <v>SRY-2-1</v>
      </c>
      <c r="B462" s="15">
        <f>'Curvas SRY'!$B$9</f>
        <v>2</v>
      </c>
      <c r="C462" s="15">
        <f>'Curvas SRY'!$E$8</f>
        <v>0.75</v>
      </c>
      <c r="D462" s="14" t="str">
        <f>'Curvas SRY'!$B$14</f>
        <v>Uso variable</v>
      </c>
      <c r="E462" s="14">
        <f>99</f>
        <v>99</v>
      </c>
      <c r="F462" s="21">
        <f>'Hoja 4 - Cálculo'!A123</f>
        <v>32568</v>
      </c>
      <c r="G462" s="15">
        <f>'Hoja 4 - Cálculo'!H123</f>
        <v>19.717874999999999</v>
      </c>
      <c r="H462" s="15">
        <f>IF(D462="Uso único",'Hoja 4 - Cálculo'!I123,IF(D462="Uso múltiple",AVERAGE('Hoja 4 - Cálculo'!$I$25:$I$384)+AVERAGE('Hoja 4 - Cálculo'!$J$25:$J$384)+AVERAGE('Hoja 4 - Cálculo'!$K$25:$K$384),IF(D462="Uso prioritario",'Hoja 4 - Cálculo'!I123+'Hoja 4 - Cálculo'!K123,'Hoja 4 - Cálculo'!I123+'Hoja 4 - Cálculo'!J123+'Hoja 4 - Cálculo'!K123)))</f>
        <v>16</v>
      </c>
      <c r="I462" s="15">
        <f t="shared" si="102"/>
        <v>12</v>
      </c>
      <c r="J462" s="15">
        <f t="shared" si="109"/>
        <v>1.6395297500000012</v>
      </c>
      <c r="K462" s="15">
        <f>MIN(J462+G462,(J462+G462)*'Hoja 4 - Cálculo'!$B$15)</f>
        <v>0.42714809500000001</v>
      </c>
      <c r="L462" s="15">
        <f t="shared" si="103"/>
        <v>20.930256655000001</v>
      </c>
      <c r="M462" s="15">
        <f t="shared" si="104"/>
        <v>12</v>
      </c>
      <c r="N462" s="15">
        <f t="shared" si="105"/>
        <v>2</v>
      </c>
      <c r="O462" s="15">
        <f t="shared" si="106"/>
        <v>6.9302566550000009</v>
      </c>
      <c r="P462" s="15">
        <f t="shared" si="107"/>
        <v>0</v>
      </c>
      <c r="Q462" s="14" t="str">
        <f>IF(M462&gt;=I462*'Hoja 4 - Cálculo'!$B$16,"Satisfactorio","Falla")</f>
        <v>Satisfactorio</v>
      </c>
      <c r="R462" s="14">
        <f t="shared" si="110"/>
        <v>0</v>
      </c>
      <c r="S462" s="14">
        <f t="shared" si="111"/>
        <v>0</v>
      </c>
    </row>
    <row r="463" spans="1:19">
      <c r="A463" s="14" t="str">
        <f t="shared" si="108"/>
        <v>SRY-2-1</v>
      </c>
      <c r="B463" s="15">
        <f>'Curvas SRY'!$B$9</f>
        <v>2</v>
      </c>
      <c r="C463" s="15">
        <f>'Curvas SRY'!$E$8</f>
        <v>0.75</v>
      </c>
      <c r="D463" s="14" t="str">
        <f>'Curvas SRY'!$B$14</f>
        <v>Uso variable</v>
      </c>
      <c r="E463" s="14">
        <f>100</f>
        <v>100</v>
      </c>
      <c r="F463" s="21">
        <f>'Hoja 4 - Cálculo'!A124</f>
        <v>32599</v>
      </c>
      <c r="G463" s="15">
        <f>'Hoja 4 - Cálculo'!H124</f>
        <v>26.029125000000001</v>
      </c>
      <c r="H463" s="15">
        <f>IF(D463="Uso único",'Hoja 4 - Cálculo'!I124,IF(D463="Uso múltiple",AVERAGE('Hoja 4 - Cálculo'!$I$25:$I$384)+AVERAGE('Hoja 4 - Cálculo'!$J$25:$J$384)+AVERAGE('Hoja 4 - Cálculo'!$K$25:$K$384),IF(D463="Uso prioritario",'Hoja 4 - Cálculo'!I124+'Hoja 4 - Cálculo'!K124,'Hoja 4 - Cálculo'!I124+'Hoja 4 - Cálculo'!J124+'Hoja 4 - Cálculo'!K124)))</f>
        <v>11.5</v>
      </c>
      <c r="I463" s="15">
        <f t="shared" si="102"/>
        <v>8.625</v>
      </c>
      <c r="J463" s="15">
        <f t="shared" si="109"/>
        <v>2</v>
      </c>
      <c r="K463" s="15">
        <f>MIN(J463+G463,(J463+G463)*'Hoja 4 - Cálculo'!$B$15)</f>
        <v>0.56058249999999998</v>
      </c>
      <c r="L463" s="15">
        <f t="shared" si="103"/>
        <v>27.468542500000002</v>
      </c>
      <c r="M463" s="15">
        <f t="shared" si="104"/>
        <v>8.625</v>
      </c>
      <c r="N463" s="15">
        <f t="shared" si="105"/>
        <v>2</v>
      </c>
      <c r="O463" s="15">
        <f t="shared" si="106"/>
        <v>16.843542500000002</v>
      </c>
      <c r="P463" s="15">
        <f t="shared" si="107"/>
        <v>0</v>
      </c>
      <c r="Q463" s="14" t="str">
        <f>IF(M463&gt;=I463*'Hoja 4 - Cálculo'!$B$16,"Satisfactorio","Falla")</f>
        <v>Satisfactorio</v>
      </c>
      <c r="R463" s="14">
        <f t="shared" si="110"/>
        <v>0</v>
      </c>
      <c r="S463" s="14">
        <f t="shared" si="111"/>
        <v>0</v>
      </c>
    </row>
    <row r="464" spans="1:19">
      <c r="A464" s="14" t="str">
        <f t="shared" si="108"/>
        <v>SRY-2-1</v>
      </c>
      <c r="B464" s="15">
        <f>'Curvas SRY'!$B$9</f>
        <v>2</v>
      </c>
      <c r="C464" s="15">
        <f>'Curvas SRY'!$E$8</f>
        <v>0.75</v>
      </c>
      <c r="D464" s="14" t="str">
        <f>'Curvas SRY'!$B$14</f>
        <v>Uso variable</v>
      </c>
      <c r="E464" s="14">
        <f>101</f>
        <v>101</v>
      </c>
      <c r="F464" s="21">
        <f>'Hoja 4 - Cálculo'!A125</f>
        <v>32629</v>
      </c>
      <c r="G464" s="15">
        <f>'Hoja 4 - Cálculo'!H125</f>
        <v>24.728625000000005</v>
      </c>
      <c r="H464" s="15">
        <f>IF(D464="Uso único",'Hoja 4 - Cálculo'!I125,IF(D464="Uso múltiple",AVERAGE('Hoja 4 - Cálculo'!$I$25:$I$384)+AVERAGE('Hoja 4 - Cálculo'!$J$25:$J$384)+AVERAGE('Hoja 4 - Cálculo'!$K$25:$K$384),IF(D464="Uso prioritario",'Hoja 4 - Cálculo'!I125+'Hoja 4 - Cálculo'!K125,'Hoja 4 - Cálculo'!I125+'Hoja 4 - Cálculo'!J125+'Hoja 4 - Cálculo'!K125)))</f>
        <v>11.5</v>
      </c>
      <c r="I464" s="15">
        <f t="shared" si="102"/>
        <v>8.625</v>
      </c>
      <c r="J464" s="15">
        <f t="shared" si="109"/>
        <v>2</v>
      </c>
      <c r="K464" s="15">
        <f>MIN(J464+G464,(J464+G464)*'Hoja 4 - Cálculo'!$B$15)</f>
        <v>0.53457250000000012</v>
      </c>
      <c r="L464" s="15">
        <f t="shared" si="103"/>
        <v>26.194052500000005</v>
      </c>
      <c r="M464" s="15">
        <f t="shared" si="104"/>
        <v>8.625</v>
      </c>
      <c r="N464" s="15">
        <f t="shared" si="105"/>
        <v>2</v>
      </c>
      <c r="O464" s="15">
        <f t="shared" si="106"/>
        <v>15.569052500000005</v>
      </c>
      <c r="P464" s="15">
        <f t="shared" si="107"/>
        <v>0</v>
      </c>
      <c r="Q464" s="14" t="str">
        <f>IF(M464&gt;=I464*'Hoja 4 - Cálculo'!$B$16,"Satisfactorio","Falla")</f>
        <v>Satisfactorio</v>
      </c>
      <c r="R464" s="14">
        <f t="shared" si="110"/>
        <v>0</v>
      </c>
      <c r="S464" s="14">
        <f t="shared" si="111"/>
        <v>0</v>
      </c>
    </row>
    <row r="465" spans="1:19">
      <c r="A465" s="14" t="str">
        <f t="shared" si="108"/>
        <v>SRY-2-1</v>
      </c>
      <c r="B465" s="15">
        <f>'Curvas SRY'!$B$9</f>
        <v>2</v>
      </c>
      <c r="C465" s="15">
        <f>'Curvas SRY'!$E$8</f>
        <v>0.75</v>
      </c>
      <c r="D465" s="14" t="str">
        <f>'Curvas SRY'!$B$14</f>
        <v>Uso variable</v>
      </c>
      <c r="E465" s="14">
        <f>102</f>
        <v>102</v>
      </c>
      <c r="F465" s="21">
        <f>'Hoja 4 - Cálculo'!A126</f>
        <v>32660</v>
      </c>
      <c r="G465" s="15">
        <f>'Hoja 4 - Cálculo'!H126</f>
        <v>14.515874999999999</v>
      </c>
      <c r="H465" s="15">
        <f>IF(D465="Uso único",'Hoja 4 - Cálculo'!I126,IF(D465="Uso múltiple",AVERAGE('Hoja 4 - Cálculo'!$I$25:$I$384)+AVERAGE('Hoja 4 - Cálculo'!$J$25:$J$384)+AVERAGE('Hoja 4 - Cálculo'!$K$25:$K$384),IF(D465="Uso prioritario",'Hoja 4 - Cálculo'!I126+'Hoja 4 - Cálculo'!K126,'Hoja 4 - Cálculo'!I126+'Hoja 4 - Cálculo'!J126+'Hoja 4 - Cálculo'!K126)))</f>
        <v>11.5</v>
      </c>
      <c r="I465" s="15">
        <f t="shared" si="102"/>
        <v>8.625</v>
      </c>
      <c r="J465" s="15">
        <f t="shared" si="109"/>
        <v>2</v>
      </c>
      <c r="K465" s="15">
        <f>MIN(J465+G465,(J465+G465)*'Hoja 4 - Cálculo'!$B$15)</f>
        <v>0.33031750000000004</v>
      </c>
      <c r="L465" s="15">
        <f t="shared" si="103"/>
        <v>16.185557500000002</v>
      </c>
      <c r="M465" s="15">
        <f t="shared" si="104"/>
        <v>8.625</v>
      </c>
      <c r="N465" s="15">
        <f t="shared" si="105"/>
        <v>2</v>
      </c>
      <c r="O465" s="15">
        <f t="shared" si="106"/>
        <v>5.5605575000000016</v>
      </c>
      <c r="P465" s="15">
        <f t="shared" si="107"/>
        <v>0</v>
      </c>
      <c r="Q465" s="14" t="str">
        <f>IF(M465&gt;=I465*'Hoja 4 - Cálculo'!$B$16,"Satisfactorio","Falla")</f>
        <v>Satisfactorio</v>
      </c>
      <c r="R465" s="14">
        <f t="shared" si="110"/>
        <v>0</v>
      </c>
      <c r="S465" s="14">
        <f t="shared" si="111"/>
        <v>0</v>
      </c>
    </row>
    <row r="466" spans="1:19">
      <c r="A466" s="14" t="str">
        <f t="shared" si="108"/>
        <v>SRY-2-1</v>
      </c>
      <c r="B466" s="15">
        <f>'Curvas SRY'!$B$9</f>
        <v>2</v>
      </c>
      <c r="C466" s="15">
        <f>'Curvas SRY'!$E$8</f>
        <v>0.75</v>
      </c>
      <c r="D466" s="14" t="str">
        <f>'Curvas SRY'!$B$14</f>
        <v>Uso variable</v>
      </c>
      <c r="E466" s="14">
        <f>103</f>
        <v>103</v>
      </c>
      <c r="F466" s="21">
        <f>'Hoja 4 - Cálculo'!A127</f>
        <v>32690</v>
      </c>
      <c r="G466" s="15">
        <f>'Hoja 4 - Cálculo'!H127</f>
        <v>12.144375</v>
      </c>
      <c r="H466" s="15">
        <f>IF(D466="Uso único",'Hoja 4 - Cálculo'!I127,IF(D466="Uso múltiple",AVERAGE('Hoja 4 - Cálculo'!$I$25:$I$384)+AVERAGE('Hoja 4 - Cálculo'!$J$25:$J$384)+AVERAGE('Hoja 4 - Cálculo'!$K$25:$K$384),IF(D466="Uso prioritario",'Hoja 4 - Cálculo'!I127+'Hoja 4 - Cálculo'!K127,'Hoja 4 - Cálculo'!I127+'Hoja 4 - Cálculo'!J127+'Hoja 4 - Cálculo'!K127)))</f>
        <v>16</v>
      </c>
      <c r="I466" s="15">
        <f t="shared" si="102"/>
        <v>12</v>
      </c>
      <c r="J466" s="15">
        <f t="shared" si="109"/>
        <v>2</v>
      </c>
      <c r="K466" s="15">
        <f>MIN(J466+G466,(J466+G466)*'Hoja 4 - Cálculo'!$B$15)</f>
        <v>0.28288750000000001</v>
      </c>
      <c r="L466" s="15">
        <f t="shared" si="103"/>
        <v>13.861487500000001</v>
      </c>
      <c r="M466" s="15">
        <f t="shared" si="104"/>
        <v>12</v>
      </c>
      <c r="N466" s="15">
        <f t="shared" si="105"/>
        <v>1.8614875000000008</v>
      </c>
      <c r="O466" s="15">
        <f t="shared" si="106"/>
        <v>0</v>
      </c>
      <c r="P466" s="15">
        <f t="shared" si="107"/>
        <v>0</v>
      </c>
      <c r="Q466" s="14" t="str">
        <f>IF(M466&gt;=I466*'Hoja 4 - Cálculo'!$B$16,"Satisfactorio","Falla")</f>
        <v>Satisfactorio</v>
      </c>
      <c r="R466" s="14">
        <f t="shared" si="110"/>
        <v>0</v>
      </c>
      <c r="S466" s="14">
        <f t="shared" si="111"/>
        <v>0</v>
      </c>
    </row>
    <row r="467" spans="1:19">
      <c r="A467" s="14" t="str">
        <f t="shared" si="108"/>
        <v>SRY-2-1</v>
      </c>
      <c r="B467" s="15">
        <f>'Curvas SRY'!$B$9</f>
        <v>2</v>
      </c>
      <c r="C467" s="15">
        <f>'Curvas SRY'!$E$8</f>
        <v>0.75</v>
      </c>
      <c r="D467" s="14" t="str">
        <f>'Curvas SRY'!$B$14</f>
        <v>Uso variable</v>
      </c>
      <c r="E467" s="14">
        <f>104</f>
        <v>104</v>
      </c>
      <c r="F467" s="21">
        <f>'Hoja 4 - Cálculo'!A128</f>
        <v>32721</v>
      </c>
      <c r="G467" s="15">
        <f>'Hoja 4 - Cálculo'!H128</f>
        <v>13.04325</v>
      </c>
      <c r="H467" s="15">
        <f>IF(D467="Uso único",'Hoja 4 - Cálculo'!I128,IF(D467="Uso múltiple",AVERAGE('Hoja 4 - Cálculo'!$I$25:$I$384)+AVERAGE('Hoja 4 - Cálculo'!$J$25:$J$384)+AVERAGE('Hoja 4 - Cálculo'!$K$25:$K$384),IF(D467="Uso prioritario",'Hoja 4 - Cálculo'!I128+'Hoja 4 - Cálculo'!K128,'Hoja 4 - Cálculo'!I128+'Hoja 4 - Cálculo'!J128+'Hoja 4 - Cálculo'!K128)))</f>
        <v>16</v>
      </c>
      <c r="I467" s="15">
        <f t="shared" si="102"/>
        <v>12</v>
      </c>
      <c r="J467" s="15">
        <f t="shared" si="109"/>
        <v>1.8614875000000008</v>
      </c>
      <c r="K467" s="15">
        <f>MIN(J467+G467,(J467+G467)*'Hoja 4 - Cálculo'!$B$15)</f>
        <v>0.29809475000000002</v>
      </c>
      <c r="L467" s="15">
        <f t="shared" si="103"/>
        <v>14.606642750000001</v>
      </c>
      <c r="M467" s="15">
        <f t="shared" si="104"/>
        <v>12</v>
      </c>
      <c r="N467" s="15">
        <f t="shared" si="105"/>
        <v>2</v>
      </c>
      <c r="O467" s="15">
        <f t="shared" si="106"/>
        <v>0.60664275000000067</v>
      </c>
      <c r="P467" s="15">
        <f t="shared" si="107"/>
        <v>0</v>
      </c>
      <c r="Q467" s="14" t="str">
        <f>IF(M467&gt;=I467*'Hoja 4 - Cálculo'!$B$16,"Satisfactorio","Falla")</f>
        <v>Satisfactorio</v>
      </c>
      <c r="R467" s="14">
        <f t="shared" si="110"/>
        <v>0</v>
      </c>
      <c r="S467" s="14">
        <f t="shared" si="111"/>
        <v>0</v>
      </c>
    </row>
    <row r="468" spans="1:19">
      <c r="A468" s="14" t="str">
        <f t="shared" si="108"/>
        <v>SRY-2-1</v>
      </c>
      <c r="B468" s="15">
        <f>'Curvas SRY'!$B$9</f>
        <v>2</v>
      </c>
      <c r="C468" s="15">
        <f>'Curvas SRY'!$E$8</f>
        <v>0.75</v>
      </c>
      <c r="D468" s="14" t="str">
        <f>'Curvas SRY'!$B$14</f>
        <v>Uso variable</v>
      </c>
      <c r="E468" s="14">
        <f>105</f>
        <v>105</v>
      </c>
      <c r="F468" s="21">
        <f>'Hoja 4 - Cálculo'!A129</f>
        <v>32752</v>
      </c>
      <c r="G468" s="15">
        <f>'Hoja 4 - Cálculo'!H129</f>
        <v>20.444624999999998</v>
      </c>
      <c r="H468" s="15">
        <f>IF(D468="Uso único",'Hoja 4 - Cálculo'!I129,IF(D468="Uso múltiple",AVERAGE('Hoja 4 - Cálculo'!$I$25:$I$384)+AVERAGE('Hoja 4 - Cálculo'!$J$25:$J$384)+AVERAGE('Hoja 4 - Cálculo'!$K$25:$K$384),IF(D468="Uso prioritario",'Hoja 4 - Cálculo'!I129+'Hoja 4 - Cálculo'!K129,'Hoja 4 - Cálculo'!I129+'Hoja 4 - Cálculo'!J129+'Hoja 4 - Cálculo'!K129)))</f>
        <v>11.5</v>
      </c>
      <c r="I468" s="15">
        <f t="shared" si="102"/>
        <v>8.625</v>
      </c>
      <c r="J468" s="15">
        <f t="shared" si="109"/>
        <v>2</v>
      </c>
      <c r="K468" s="15">
        <f>MIN(J468+G468,(J468+G468)*'Hoja 4 - Cálculo'!$B$15)</f>
        <v>0.44889249999999997</v>
      </c>
      <c r="L468" s="15">
        <f t="shared" si="103"/>
        <v>21.995732499999999</v>
      </c>
      <c r="M468" s="15">
        <f t="shared" si="104"/>
        <v>8.625</v>
      </c>
      <c r="N468" s="15">
        <f t="shared" si="105"/>
        <v>2</v>
      </c>
      <c r="O468" s="15">
        <f t="shared" si="106"/>
        <v>11.370732499999999</v>
      </c>
      <c r="P468" s="15">
        <f t="shared" si="107"/>
        <v>0</v>
      </c>
      <c r="Q468" s="14" t="str">
        <f>IF(M468&gt;=I468*'Hoja 4 - Cálculo'!$B$16,"Satisfactorio","Falla")</f>
        <v>Satisfactorio</v>
      </c>
      <c r="R468" s="14">
        <f t="shared" si="110"/>
        <v>0</v>
      </c>
      <c r="S468" s="14">
        <f t="shared" si="111"/>
        <v>0</v>
      </c>
    </row>
    <row r="469" spans="1:19">
      <c r="A469" s="14" t="str">
        <f t="shared" si="108"/>
        <v>SRY-2-1</v>
      </c>
      <c r="B469" s="15">
        <f>'Curvas SRY'!$B$9</f>
        <v>2</v>
      </c>
      <c r="C469" s="15">
        <f>'Curvas SRY'!$E$8</f>
        <v>0.75</v>
      </c>
      <c r="D469" s="14" t="str">
        <f>'Curvas SRY'!$B$14</f>
        <v>Uso variable</v>
      </c>
      <c r="E469" s="14">
        <f>106</f>
        <v>106</v>
      </c>
      <c r="F469" s="21">
        <f>'Hoja 4 - Cálculo'!A130</f>
        <v>32782</v>
      </c>
      <c r="G469" s="15">
        <f>'Hoja 4 - Cálculo'!H130</f>
        <v>28.343250000000001</v>
      </c>
      <c r="H469" s="15">
        <f>IF(D469="Uso único",'Hoja 4 - Cálculo'!I130,IF(D469="Uso múltiple",AVERAGE('Hoja 4 - Cálculo'!$I$25:$I$384)+AVERAGE('Hoja 4 - Cálculo'!$J$25:$J$384)+AVERAGE('Hoja 4 - Cálculo'!$K$25:$K$384),IF(D469="Uso prioritario",'Hoja 4 - Cálculo'!I130+'Hoja 4 - Cálculo'!K130,'Hoja 4 - Cálculo'!I130+'Hoja 4 - Cálculo'!J130+'Hoja 4 - Cálculo'!K130)))</f>
        <v>11.5</v>
      </c>
      <c r="I469" s="15">
        <f t="shared" si="102"/>
        <v>8.625</v>
      </c>
      <c r="J469" s="15">
        <f t="shared" si="109"/>
        <v>2</v>
      </c>
      <c r="K469" s="15">
        <f>MIN(J469+G469,(J469+G469)*'Hoja 4 - Cálculo'!$B$15)</f>
        <v>0.60686499999999999</v>
      </c>
      <c r="L469" s="15">
        <f t="shared" si="103"/>
        <v>29.736385000000002</v>
      </c>
      <c r="M469" s="15">
        <f t="shared" si="104"/>
        <v>8.625</v>
      </c>
      <c r="N469" s="15">
        <f t="shared" si="105"/>
        <v>2</v>
      </c>
      <c r="O469" s="15">
        <f t="shared" si="106"/>
        <v>19.111385000000002</v>
      </c>
      <c r="P469" s="15">
        <f t="shared" si="107"/>
        <v>0</v>
      </c>
      <c r="Q469" s="14" t="str">
        <f>IF(M469&gt;=I469*'Hoja 4 - Cálculo'!$B$16,"Satisfactorio","Falla")</f>
        <v>Satisfactorio</v>
      </c>
      <c r="R469" s="14">
        <f t="shared" si="110"/>
        <v>0</v>
      </c>
      <c r="S469" s="14">
        <f t="shared" si="111"/>
        <v>0</v>
      </c>
    </row>
    <row r="470" spans="1:19">
      <c r="A470" s="14" t="str">
        <f t="shared" si="108"/>
        <v>SRY-2-1</v>
      </c>
      <c r="B470" s="15">
        <f>'Curvas SRY'!$B$9</f>
        <v>2</v>
      </c>
      <c r="C470" s="15">
        <f>'Curvas SRY'!$E$8</f>
        <v>0.75</v>
      </c>
      <c r="D470" s="14" t="str">
        <f>'Curvas SRY'!$B$14</f>
        <v>Uso variable</v>
      </c>
      <c r="E470" s="14">
        <f>107</f>
        <v>107</v>
      </c>
      <c r="F470" s="21">
        <f>'Hoja 4 - Cálculo'!A131</f>
        <v>32813</v>
      </c>
      <c r="G470" s="15">
        <f>'Hoja 4 - Cálculo'!H131</f>
        <v>22.60575</v>
      </c>
      <c r="H470" s="15">
        <f>IF(D470="Uso único",'Hoja 4 - Cálculo'!I131,IF(D470="Uso múltiple",AVERAGE('Hoja 4 - Cálculo'!$I$25:$I$384)+AVERAGE('Hoja 4 - Cálculo'!$J$25:$J$384)+AVERAGE('Hoja 4 - Cálculo'!$K$25:$K$384),IF(D470="Uso prioritario",'Hoja 4 - Cálculo'!I131+'Hoja 4 - Cálculo'!K131,'Hoja 4 - Cálculo'!I131+'Hoja 4 - Cálculo'!J131+'Hoja 4 - Cálculo'!K131)))</f>
        <v>11.5</v>
      </c>
      <c r="I470" s="15">
        <f t="shared" si="102"/>
        <v>8.625</v>
      </c>
      <c r="J470" s="15">
        <f t="shared" si="109"/>
        <v>2</v>
      </c>
      <c r="K470" s="15">
        <f>MIN(J470+G470,(J470+G470)*'Hoja 4 - Cálculo'!$B$15)</f>
        <v>0.49211500000000002</v>
      </c>
      <c r="L470" s="15">
        <f t="shared" si="103"/>
        <v>24.113635000000002</v>
      </c>
      <c r="M470" s="15">
        <f t="shared" si="104"/>
        <v>8.625</v>
      </c>
      <c r="N470" s="15">
        <f t="shared" si="105"/>
        <v>2</v>
      </c>
      <c r="O470" s="15">
        <f t="shared" si="106"/>
        <v>13.488635000000002</v>
      </c>
      <c r="P470" s="15">
        <f t="shared" si="107"/>
        <v>0</v>
      </c>
      <c r="Q470" s="14" t="str">
        <f>IF(M470&gt;=I470*'Hoja 4 - Cálculo'!$B$16,"Satisfactorio","Falla")</f>
        <v>Satisfactorio</v>
      </c>
      <c r="R470" s="14">
        <f t="shared" si="110"/>
        <v>0</v>
      </c>
      <c r="S470" s="14">
        <f t="shared" si="111"/>
        <v>0</v>
      </c>
    </row>
    <row r="471" spans="1:19">
      <c r="A471" s="14" t="str">
        <f t="shared" si="108"/>
        <v>SRY-2-1</v>
      </c>
      <c r="B471" s="15">
        <f>'Curvas SRY'!$B$9</f>
        <v>2</v>
      </c>
      <c r="C471" s="15">
        <f>'Curvas SRY'!$E$8</f>
        <v>0.75</v>
      </c>
      <c r="D471" s="14" t="str">
        <f>'Curvas SRY'!$B$14</f>
        <v>Uso variable</v>
      </c>
      <c r="E471" s="14">
        <f>108</f>
        <v>108</v>
      </c>
      <c r="F471" s="21">
        <f>'Hoja 4 - Cálculo'!A132</f>
        <v>32843</v>
      </c>
      <c r="G471" s="15">
        <f>'Hoja 4 - Cálculo'!H132</f>
        <v>14.362875000000001</v>
      </c>
      <c r="H471" s="15">
        <f>IF(D471="Uso único",'Hoja 4 - Cálculo'!I132,IF(D471="Uso múltiple",AVERAGE('Hoja 4 - Cálculo'!$I$25:$I$384)+AVERAGE('Hoja 4 - Cálculo'!$J$25:$J$384)+AVERAGE('Hoja 4 - Cálculo'!$K$25:$K$384),IF(D471="Uso prioritario",'Hoja 4 - Cálculo'!I132+'Hoja 4 - Cálculo'!K132,'Hoja 4 - Cálculo'!I132+'Hoja 4 - Cálculo'!J132+'Hoja 4 - Cálculo'!K132)))</f>
        <v>16</v>
      </c>
      <c r="I471" s="15">
        <f t="shared" si="102"/>
        <v>12</v>
      </c>
      <c r="J471" s="15">
        <f t="shared" si="109"/>
        <v>2</v>
      </c>
      <c r="K471" s="15">
        <f>MIN(J471+G471,(J471+G471)*'Hoja 4 - Cálculo'!$B$15)</f>
        <v>0.32725750000000003</v>
      </c>
      <c r="L471" s="15">
        <f t="shared" si="103"/>
        <v>16.035617500000001</v>
      </c>
      <c r="M471" s="15">
        <f t="shared" si="104"/>
        <v>12</v>
      </c>
      <c r="N471" s="15">
        <f t="shared" si="105"/>
        <v>2</v>
      </c>
      <c r="O471" s="15">
        <f t="shared" si="106"/>
        <v>2.0356175000000007</v>
      </c>
      <c r="P471" s="15">
        <f t="shared" si="107"/>
        <v>0</v>
      </c>
      <c r="Q471" s="14" t="str">
        <f>IF(M471&gt;=I471*'Hoja 4 - Cálculo'!$B$16,"Satisfactorio","Falla")</f>
        <v>Satisfactorio</v>
      </c>
      <c r="R471" s="14">
        <f t="shared" si="110"/>
        <v>0</v>
      </c>
      <c r="S471" s="14">
        <f t="shared" si="111"/>
        <v>0</v>
      </c>
    </row>
    <row r="472" spans="1:19">
      <c r="A472" s="14" t="str">
        <f t="shared" si="108"/>
        <v>SRY-2-1</v>
      </c>
      <c r="B472" s="15">
        <f>'Curvas SRY'!$B$9</f>
        <v>2</v>
      </c>
      <c r="C472" s="15">
        <f>'Curvas SRY'!$E$8</f>
        <v>0.75</v>
      </c>
      <c r="D472" s="14" t="str">
        <f>'Curvas SRY'!$B$14</f>
        <v>Uso variable</v>
      </c>
      <c r="E472" s="14">
        <f>109</f>
        <v>109</v>
      </c>
      <c r="F472" s="21">
        <f>'Hoja 4 - Cálculo'!A133</f>
        <v>32874</v>
      </c>
      <c r="G472" s="15">
        <f>'Hoja 4 - Cálculo'!H133</f>
        <v>11.723625</v>
      </c>
      <c r="H472" s="15">
        <f>IF(D472="Uso único",'Hoja 4 - Cálculo'!I133,IF(D472="Uso múltiple",AVERAGE('Hoja 4 - Cálculo'!$I$25:$I$384)+AVERAGE('Hoja 4 - Cálculo'!$J$25:$J$384)+AVERAGE('Hoja 4 - Cálculo'!$K$25:$K$384),IF(D472="Uso prioritario",'Hoja 4 - Cálculo'!I133+'Hoja 4 - Cálculo'!K133,'Hoja 4 - Cálculo'!I133+'Hoja 4 - Cálculo'!J133+'Hoja 4 - Cálculo'!K133)))</f>
        <v>16</v>
      </c>
      <c r="I472" s="15">
        <f t="shared" si="102"/>
        <v>12</v>
      </c>
      <c r="J472" s="15">
        <f t="shared" si="109"/>
        <v>2</v>
      </c>
      <c r="K472" s="15">
        <f>MIN(J472+G472,(J472+G472)*'Hoja 4 - Cálculo'!$B$15)</f>
        <v>0.27447250000000001</v>
      </c>
      <c r="L472" s="15">
        <f t="shared" si="103"/>
        <v>13.4491525</v>
      </c>
      <c r="M472" s="15">
        <f t="shared" si="104"/>
        <v>12</v>
      </c>
      <c r="N472" s="15">
        <f t="shared" si="105"/>
        <v>1.4491525000000003</v>
      </c>
      <c r="O472" s="15">
        <f t="shared" si="106"/>
        <v>0</v>
      </c>
      <c r="P472" s="15">
        <f t="shared" si="107"/>
        <v>0</v>
      </c>
      <c r="Q472" s="14" t="str">
        <f>IF(M472&gt;=I472*'Hoja 4 - Cálculo'!$B$16,"Satisfactorio","Falla")</f>
        <v>Satisfactorio</v>
      </c>
      <c r="R472" s="14">
        <f t="shared" si="110"/>
        <v>0</v>
      </c>
      <c r="S472" s="14">
        <f t="shared" si="111"/>
        <v>0</v>
      </c>
    </row>
    <row r="473" spans="1:19">
      <c r="A473" s="14" t="str">
        <f t="shared" si="108"/>
        <v>SRY-2-1</v>
      </c>
      <c r="B473" s="15">
        <f>'Curvas SRY'!$B$9</f>
        <v>2</v>
      </c>
      <c r="C473" s="15">
        <f>'Curvas SRY'!$E$8</f>
        <v>0.75</v>
      </c>
      <c r="D473" s="14" t="str">
        <f>'Curvas SRY'!$B$14</f>
        <v>Uso variable</v>
      </c>
      <c r="E473" s="14">
        <f>110</f>
        <v>110</v>
      </c>
      <c r="F473" s="21">
        <f>'Hoja 4 - Cálculo'!A134</f>
        <v>32905</v>
      </c>
      <c r="G473" s="15">
        <f>'Hoja 4 - Cálculo'!H134</f>
        <v>13.311</v>
      </c>
      <c r="H473" s="15">
        <f>IF(D473="Uso único",'Hoja 4 - Cálculo'!I134,IF(D473="Uso múltiple",AVERAGE('Hoja 4 - Cálculo'!$I$25:$I$384)+AVERAGE('Hoja 4 - Cálculo'!$J$25:$J$384)+AVERAGE('Hoja 4 - Cálculo'!$K$25:$K$384),IF(D473="Uso prioritario",'Hoja 4 - Cálculo'!I134+'Hoja 4 - Cálculo'!K134,'Hoja 4 - Cálculo'!I134+'Hoja 4 - Cálculo'!J134+'Hoja 4 - Cálculo'!K134)))</f>
        <v>16</v>
      </c>
      <c r="I473" s="15">
        <f t="shared" si="102"/>
        <v>12</v>
      </c>
      <c r="J473" s="15">
        <f t="shared" si="109"/>
        <v>1.4491525000000003</v>
      </c>
      <c r="K473" s="15">
        <f>MIN(J473+G473,(J473+G473)*'Hoja 4 - Cálculo'!$B$15)</f>
        <v>0.29520305000000002</v>
      </c>
      <c r="L473" s="15">
        <f t="shared" si="103"/>
        <v>14.464949450000001</v>
      </c>
      <c r="M473" s="15">
        <f t="shared" si="104"/>
        <v>12</v>
      </c>
      <c r="N473" s="15">
        <f t="shared" si="105"/>
        <v>2</v>
      </c>
      <c r="O473" s="15">
        <f t="shared" si="106"/>
        <v>0.46494945000000065</v>
      </c>
      <c r="P473" s="15">
        <f t="shared" si="107"/>
        <v>0</v>
      </c>
      <c r="Q473" s="14" t="str">
        <f>IF(M473&gt;=I473*'Hoja 4 - Cálculo'!$B$16,"Satisfactorio","Falla")</f>
        <v>Satisfactorio</v>
      </c>
      <c r="R473" s="14">
        <f t="shared" si="110"/>
        <v>0</v>
      </c>
      <c r="S473" s="14">
        <f t="shared" si="111"/>
        <v>0</v>
      </c>
    </row>
    <row r="474" spans="1:19">
      <c r="A474" s="14" t="str">
        <f t="shared" si="108"/>
        <v>SRY-2-1</v>
      </c>
      <c r="B474" s="15">
        <f>'Curvas SRY'!$B$9</f>
        <v>2</v>
      </c>
      <c r="C474" s="15">
        <f>'Curvas SRY'!$E$8</f>
        <v>0.75</v>
      </c>
      <c r="D474" s="14" t="str">
        <f>'Curvas SRY'!$B$14</f>
        <v>Uso variable</v>
      </c>
      <c r="E474" s="14">
        <f>111</f>
        <v>111</v>
      </c>
      <c r="F474" s="21">
        <f>'Hoja 4 - Cálculo'!A135</f>
        <v>32933</v>
      </c>
      <c r="G474" s="15">
        <f>'Hoja 4 - Cálculo'!H135</f>
        <v>18.838125000000002</v>
      </c>
      <c r="H474" s="15">
        <f>IF(D474="Uso único",'Hoja 4 - Cálculo'!I135,IF(D474="Uso múltiple",AVERAGE('Hoja 4 - Cálculo'!$I$25:$I$384)+AVERAGE('Hoja 4 - Cálculo'!$J$25:$J$384)+AVERAGE('Hoja 4 - Cálculo'!$K$25:$K$384),IF(D474="Uso prioritario",'Hoja 4 - Cálculo'!I135+'Hoja 4 - Cálculo'!K135,'Hoja 4 - Cálculo'!I135+'Hoja 4 - Cálculo'!J135+'Hoja 4 - Cálculo'!K135)))</f>
        <v>16</v>
      </c>
      <c r="I474" s="15">
        <f t="shared" si="102"/>
        <v>12</v>
      </c>
      <c r="J474" s="15">
        <f t="shared" si="109"/>
        <v>2</v>
      </c>
      <c r="K474" s="15">
        <f>MIN(J474+G474,(J474+G474)*'Hoja 4 - Cálculo'!$B$15)</f>
        <v>0.41676250000000004</v>
      </c>
      <c r="L474" s="15">
        <f t="shared" si="103"/>
        <v>20.421362500000001</v>
      </c>
      <c r="M474" s="15">
        <f t="shared" si="104"/>
        <v>12</v>
      </c>
      <c r="N474" s="15">
        <f t="shared" si="105"/>
        <v>2</v>
      </c>
      <c r="O474" s="15">
        <f t="shared" si="106"/>
        <v>6.4213625000000008</v>
      </c>
      <c r="P474" s="15">
        <f t="shared" si="107"/>
        <v>0</v>
      </c>
      <c r="Q474" s="14" t="str">
        <f>IF(M474&gt;=I474*'Hoja 4 - Cálculo'!$B$16,"Satisfactorio","Falla")</f>
        <v>Satisfactorio</v>
      </c>
      <c r="R474" s="14">
        <f t="shared" si="110"/>
        <v>0</v>
      </c>
      <c r="S474" s="14">
        <f t="shared" si="111"/>
        <v>0</v>
      </c>
    </row>
    <row r="475" spans="1:19">
      <c r="A475" s="14" t="str">
        <f t="shared" si="108"/>
        <v>SRY-2-1</v>
      </c>
      <c r="B475" s="15">
        <f>'Curvas SRY'!$B$9</f>
        <v>2</v>
      </c>
      <c r="C475" s="15">
        <f>'Curvas SRY'!$E$8</f>
        <v>0.75</v>
      </c>
      <c r="D475" s="14" t="str">
        <f>'Curvas SRY'!$B$14</f>
        <v>Uso variable</v>
      </c>
      <c r="E475" s="14">
        <f>112</f>
        <v>112</v>
      </c>
      <c r="F475" s="21">
        <f>'Hoja 4 - Cálculo'!A136</f>
        <v>32964</v>
      </c>
      <c r="G475" s="15">
        <f>'Hoja 4 - Cálculo'!H136</f>
        <v>28.611000000000001</v>
      </c>
      <c r="H475" s="15">
        <f>IF(D475="Uso único",'Hoja 4 - Cálculo'!I136,IF(D475="Uso múltiple",AVERAGE('Hoja 4 - Cálculo'!$I$25:$I$384)+AVERAGE('Hoja 4 - Cálculo'!$J$25:$J$384)+AVERAGE('Hoja 4 - Cálculo'!$K$25:$K$384),IF(D475="Uso prioritario",'Hoja 4 - Cálculo'!I136+'Hoja 4 - Cálculo'!K136,'Hoja 4 - Cálculo'!I136+'Hoja 4 - Cálculo'!J136+'Hoja 4 - Cálculo'!K136)))</f>
        <v>11.5</v>
      </c>
      <c r="I475" s="15">
        <f t="shared" si="102"/>
        <v>8.625</v>
      </c>
      <c r="J475" s="15">
        <f t="shared" si="109"/>
        <v>2</v>
      </c>
      <c r="K475" s="15">
        <f>MIN(J475+G475,(J475+G475)*'Hoja 4 - Cálculo'!$B$15)</f>
        <v>0.61221999999999999</v>
      </c>
      <c r="L475" s="15">
        <f t="shared" si="103"/>
        <v>29.99878</v>
      </c>
      <c r="M475" s="15">
        <f t="shared" si="104"/>
        <v>8.625</v>
      </c>
      <c r="N475" s="15">
        <f t="shared" si="105"/>
        <v>2</v>
      </c>
      <c r="O475" s="15">
        <f t="shared" si="106"/>
        <v>19.37378</v>
      </c>
      <c r="P475" s="15">
        <f t="shared" si="107"/>
        <v>0</v>
      </c>
      <c r="Q475" s="14" t="str">
        <f>IF(M475&gt;=I475*'Hoja 4 - Cálculo'!$B$16,"Satisfactorio","Falla")</f>
        <v>Satisfactorio</v>
      </c>
      <c r="R475" s="14">
        <f t="shared" si="110"/>
        <v>0</v>
      </c>
      <c r="S475" s="14">
        <f t="shared" si="111"/>
        <v>0</v>
      </c>
    </row>
    <row r="476" spans="1:19">
      <c r="A476" s="14" t="str">
        <f t="shared" si="108"/>
        <v>SRY-2-1</v>
      </c>
      <c r="B476" s="15">
        <f>'Curvas SRY'!$B$9</f>
        <v>2</v>
      </c>
      <c r="C476" s="15">
        <f>'Curvas SRY'!$E$8</f>
        <v>0.75</v>
      </c>
      <c r="D476" s="14" t="str">
        <f>'Curvas SRY'!$B$14</f>
        <v>Uso variable</v>
      </c>
      <c r="E476" s="14">
        <f>113</f>
        <v>113</v>
      </c>
      <c r="F476" s="21">
        <f>'Hoja 4 - Cálculo'!A137</f>
        <v>32994</v>
      </c>
      <c r="G476" s="15">
        <f>'Hoja 4 - Cálculo'!H137</f>
        <v>23.52375</v>
      </c>
      <c r="H476" s="15">
        <f>IF(D476="Uso único",'Hoja 4 - Cálculo'!I137,IF(D476="Uso múltiple",AVERAGE('Hoja 4 - Cálculo'!$I$25:$I$384)+AVERAGE('Hoja 4 - Cálculo'!$J$25:$J$384)+AVERAGE('Hoja 4 - Cálculo'!$K$25:$K$384),IF(D476="Uso prioritario",'Hoja 4 - Cálculo'!I137+'Hoja 4 - Cálculo'!K137,'Hoja 4 - Cálculo'!I137+'Hoja 4 - Cálculo'!J137+'Hoja 4 - Cálculo'!K137)))</f>
        <v>11.5</v>
      </c>
      <c r="I476" s="15">
        <f t="shared" si="102"/>
        <v>8.625</v>
      </c>
      <c r="J476" s="15">
        <f t="shared" si="109"/>
        <v>2</v>
      </c>
      <c r="K476" s="15">
        <f>MIN(J476+G476,(J476+G476)*'Hoja 4 - Cálculo'!$B$15)</f>
        <v>0.51047500000000001</v>
      </c>
      <c r="L476" s="15">
        <f t="shared" si="103"/>
        <v>25.013275</v>
      </c>
      <c r="M476" s="15">
        <f t="shared" si="104"/>
        <v>8.625</v>
      </c>
      <c r="N476" s="15">
        <f t="shared" si="105"/>
        <v>2</v>
      </c>
      <c r="O476" s="15">
        <f t="shared" si="106"/>
        <v>14.388275</v>
      </c>
      <c r="P476" s="15">
        <f t="shared" si="107"/>
        <v>0</v>
      </c>
      <c r="Q476" s="14" t="str">
        <f>IF(M476&gt;=I476*'Hoja 4 - Cálculo'!$B$16,"Satisfactorio","Falla")</f>
        <v>Satisfactorio</v>
      </c>
      <c r="R476" s="14">
        <f t="shared" si="110"/>
        <v>0</v>
      </c>
      <c r="S476" s="14">
        <f t="shared" si="111"/>
        <v>0</v>
      </c>
    </row>
    <row r="477" spans="1:19">
      <c r="A477" s="14" t="str">
        <f t="shared" si="108"/>
        <v>SRY-2-1</v>
      </c>
      <c r="B477" s="15">
        <f>'Curvas SRY'!$B$9</f>
        <v>2</v>
      </c>
      <c r="C477" s="15">
        <f>'Curvas SRY'!$E$8</f>
        <v>0.75</v>
      </c>
      <c r="D477" s="14" t="str">
        <f>'Curvas SRY'!$B$14</f>
        <v>Uso variable</v>
      </c>
      <c r="E477" s="14">
        <f>114</f>
        <v>114</v>
      </c>
      <c r="F477" s="21">
        <f>'Hoja 4 - Cálculo'!A138</f>
        <v>33025</v>
      </c>
      <c r="G477" s="15">
        <f>'Hoja 4 - Cálculo'!H138</f>
        <v>15.529500000000001</v>
      </c>
      <c r="H477" s="15">
        <f>IF(D477="Uso único",'Hoja 4 - Cálculo'!I138,IF(D477="Uso múltiple",AVERAGE('Hoja 4 - Cálculo'!$I$25:$I$384)+AVERAGE('Hoja 4 - Cálculo'!$J$25:$J$384)+AVERAGE('Hoja 4 - Cálculo'!$K$25:$K$384),IF(D477="Uso prioritario",'Hoja 4 - Cálculo'!I138+'Hoja 4 - Cálculo'!K138,'Hoja 4 - Cálculo'!I138+'Hoja 4 - Cálculo'!J138+'Hoja 4 - Cálculo'!K138)))</f>
        <v>11.5</v>
      </c>
      <c r="I477" s="15">
        <f t="shared" si="102"/>
        <v>8.625</v>
      </c>
      <c r="J477" s="15">
        <f t="shared" si="109"/>
        <v>2</v>
      </c>
      <c r="K477" s="15">
        <f>MIN(J477+G477,(J477+G477)*'Hoja 4 - Cálculo'!$B$15)</f>
        <v>0.35058999999999996</v>
      </c>
      <c r="L477" s="15">
        <f t="shared" si="103"/>
        <v>17.178909999999998</v>
      </c>
      <c r="M477" s="15">
        <f t="shared" si="104"/>
        <v>8.625</v>
      </c>
      <c r="N477" s="15">
        <f t="shared" si="105"/>
        <v>2</v>
      </c>
      <c r="O477" s="15">
        <f t="shared" si="106"/>
        <v>6.5539099999999983</v>
      </c>
      <c r="P477" s="15">
        <f t="shared" si="107"/>
        <v>0</v>
      </c>
      <c r="Q477" s="14" t="str">
        <f>IF(M477&gt;=I477*'Hoja 4 - Cálculo'!$B$16,"Satisfactorio","Falla")</f>
        <v>Satisfactorio</v>
      </c>
      <c r="R477" s="14">
        <f t="shared" si="110"/>
        <v>0</v>
      </c>
      <c r="S477" s="14">
        <f t="shared" si="111"/>
        <v>0</v>
      </c>
    </row>
    <row r="478" spans="1:19">
      <c r="A478" s="14" t="str">
        <f t="shared" si="108"/>
        <v>SRY-2-1</v>
      </c>
      <c r="B478" s="15">
        <f>'Curvas SRY'!$B$9</f>
        <v>2</v>
      </c>
      <c r="C478" s="15">
        <f>'Curvas SRY'!$E$8</f>
        <v>0.75</v>
      </c>
      <c r="D478" s="14" t="str">
        <f>'Curvas SRY'!$B$14</f>
        <v>Uso variable</v>
      </c>
      <c r="E478" s="14">
        <f>115</f>
        <v>115</v>
      </c>
      <c r="F478" s="21">
        <f>'Hoja 4 - Cálculo'!A139</f>
        <v>33055</v>
      </c>
      <c r="G478" s="15">
        <f>'Hoja 4 - Cálculo'!H139</f>
        <v>12.201750000000001</v>
      </c>
      <c r="H478" s="15">
        <f>IF(D478="Uso único",'Hoja 4 - Cálculo'!I139,IF(D478="Uso múltiple",AVERAGE('Hoja 4 - Cálculo'!$I$25:$I$384)+AVERAGE('Hoja 4 - Cálculo'!$J$25:$J$384)+AVERAGE('Hoja 4 - Cálculo'!$K$25:$K$384),IF(D478="Uso prioritario",'Hoja 4 - Cálculo'!I139+'Hoja 4 - Cálculo'!K139,'Hoja 4 - Cálculo'!I139+'Hoja 4 - Cálculo'!J139+'Hoja 4 - Cálculo'!K139)))</f>
        <v>16</v>
      </c>
      <c r="I478" s="15">
        <f t="shared" si="102"/>
        <v>12</v>
      </c>
      <c r="J478" s="15">
        <f t="shared" si="109"/>
        <v>2</v>
      </c>
      <c r="K478" s="15">
        <f>MIN(J478+G478,(J478+G478)*'Hoja 4 - Cálculo'!$B$15)</f>
        <v>0.28403500000000004</v>
      </c>
      <c r="L478" s="15">
        <f t="shared" si="103"/>
        <v>13.917715000000001</v>
      </c>
      <c r="M478" s="15">
        <f t="shared" si="104"/>
        <v>12</v>
      </c>
      <c r="N478" s="15">
        <f t="shared" si="105"/>
        <v>1.9177150000000012</v>
      </c>
      <c r="O478" s="15">
        <f t="shared" si="106"/>
        <v>0</v>
      </c>
      <c r="P478" s="15">
        <f t="shared" si="107"/>
        <v>0</v>
      </c>
      <c r="Q478" s="14" t="str">
        <f>IF(M478&gt;=I478*'Hoja 4 - Cálculo'!$B$16,"Satisfactorio","Falla")</f>
        <v>Satisfactorio</v>
      </c>
      <c r="R478" s="14">
        <f t="shared" si="110"/>
        <v>0</v>
      </c>
      <c r="S478" s="14">
        <f t="shared" si="111"/>
        <v>0</v>
      </c>
    </row>
    <row r="479" spans="1:19">
      <c r="A479" s="14" t="str">
        <f t="shared" si="108"/>
        <v>SRY-2-1</v>
      </c>
      <c r="B479" s="15">
        <f>'Curvas SRY'!$B$9</f>
        <v>2</v>
      </c>
      <c r="C479" s="15">
        <f>'Curvas SRY'!$E$8</f>
        <v>0.75</v>
      </c>
      <c r="D479" s="14" t="str">
        <f>'Curvas SRY'!$B$14</f>
        <v>Uso variable</v>
      </c>
      <c r="E479" s="14">
        <f>116</f>
        <v>116</v>
      </c>
      <c r="F479" s="21">
        <f>'Hoja 4 - Cálculo'!A140</f>
        <v>33086</v>
      </c>
      <c r="G479" s="15">
        <f>'Hoja 4 - Cálculo'!H140</f>
        <v>13.04325</v>
      </c>
      <c r="H479" s="15">
        <f>IF(D479="Uso único",'Hoja 4 - Cálculo'!I140,IF(D479="Uso múltiple",AVERAGE('Hoja 4 - Cálculo'!$I$25:$I$384)+AVERAGE('Hoja 4 - Cálculo'!$J$25:$J$384)+AVERAGE('Hoja 4 - Cálculo'!$K$25:$K$384),IF(D479="Uso prioritario",'Hoja 4 - Cálculo'!I140+'Hoja 4 - Cálculo'!K140,'Hoja 4 - Cálculo'!I140+'Hoja 4 - Cálculo'!J140+'Hoja 4 - Cálculo'!K140)))</f>
        <v>16</v>
      </c>
      <c r="I479" s="15">
        <f t="shared" si="102"/>
        <v>12</v>
      </c>
      <c r="J479" s="15">
        <f t="shared" si="109"/>
        <v>1.9177150000000012</v>
      </c>
      <c r="K479" s="15">
        <f>MIN(J479+G479,(J479+G479)*'Hoja 4 - Cálculo'!$B$15)</f>
        <v>0.29921930000000002</v>
      </c>
      <c r="L479" s="15">
        <f t="shared" si="103"/>
        <v>14.661745700000001</v>
      </c>
      <c r="M479" s="15">
        <f t="shared" si="104"/>
        <v>12</v>
      </c>
      <c r="N479" s="15">
        <f t="shared" si="105"/>
        <v>2</v>
      </c>
      <c r="O479" s="15">
        <f t="shared" si="106"/>
        <v>0.66174570000000088</v>
      </c>
      <c r="P479" s="15">
        <f t="shared" si="107"/>
        <v>0</v>
      </c>
      <c r="Q479" s="14" t="str">
        <f>IF(M479&gt;=I479*'Hoja 4 - Cálculo'!$B$16,"Satisfactorio","Falla")</f>
        <v>Satisfactorio</v>
      </c>
      <c r="R479" s="14">
        <f t="shared" si="110"/>
        <v>0</v>
      </c>
      <c r="S479" s="14">
        <f t="shared" si="111"/>
        <v>0</v>
      </c>
    </row>
    <row r="480" spans="1:19">
      <c r="A480" s="14" t="str">
        <f t="shared" si="108"/>
        <v>SRY-2-1</v>
      </c>
      <c r="B480" s="15">
        <f>'Curvas SRY'!$B$9</f>
        <v>2</v>
      </c>
      <c r="C480" s="15">
        <f>'Curvas SRY'!$E$8</f>
        <v>0.75</v>
      </c>
      <c r="D480" s="14" t="str">
        <f>'Curvas SRY'!$B$14</f>
        <v>Uso variable</v>
      </c>
      <c r="E480" s="14">
        <f>117</f>
        <v>117</v>
      </c>
      <c r="F480" s="21">
        <f>'Hoja 4 - Cálculo'!A141</f>
        <v>33117</v>
      </c>
      <c r="G480" s="15">
        <f>'Hoja 4 - Cálculo'!H141</f>
        <v>21.974625</v>
      </c>
      <c r="H480" s="15">
        <f>IF(D480="Uso único",'Hoja 4 - Cálculo'!I141,IF(D480="Uso múltiple",AVERAGE('Hoja 4 - Cálculo'!$I$25:$I$384)+AVERAGE('Hoja 4 - Cálculo'!$J$25:$J$384)+AVERAGE('Hoja 4 - Cálculo'!$K$25:$K$384),IF(D480="Uso prioritario",'Hoja 4 - Cálculo'!I141+'Hoja 4 - Cálculo'!K141,'Hoja 4 - Cálculo'!I141+'Hoja 4 - Cálculo'!J141+'Hoja 4 - Cálculo'!K141)))</f>
        <v>11.5</v>
      </c>
      <c r="I480" s="15">
        <f t="shared" si="102"/>
        <v>8.625</v>
      </c>
      <c r="J480" s="15">
        <f t="shared" si="109"/>
        <v>2</v>
      </c>
      <c r="K480" s="15">
        <f>MIN(J480+G480,(J480+G480)*'Hoja 4 - Cálculo'!$B$15)</f>
        <v>0.47949249999999999</v>
      </c>
      <c r="L480" s="15">
        <f t="shared" si="103"/>
        <v>23.4951325</v>
      </c>
      <c r="M480" s="15">
        <f t="shared" si="104"/>
        <v>8.625</v>
      </c>
      <c r="N480" s="15">
        <f t="shared" si="105"/>
        <v>2</v>
      </c>
      <c r="O480" s="15">
        <f t="shared" si="106"/>
        <v>12.8701325</v>
      </c>
      <c r="P480" s="15">
        <f t="shared" si="107"/>
        <v>0</v>
      </c>
      <c r="Q480" s="14" t="str">
        <f>IF(M480&gt;=I480*'Hoja 4 - Cálculo'!$B$16,"Satisfactorio","Falla")</f>
        <v>Satisfactorio</v>
      </c>
      <c r="R480" s="14">
        <f t="shared" si="110"/>
        <v>0</v>
      </c>
      <c r="S480" s="14">
        <f t="shared" si="111"/>
        <v>0</v>
      </c>
    </row>
    <row r="481" spans="1:19">
      <c r="A481" s="14" t="str">
        <f t="shared" si="108"/>
        <v>SRY-2-1</v>
      </c>
      <c r="B481" s="15">
        <f>'Curvas SRY'!$B$9</f>
        <v>2</v>
      </c>
      <c r="C481" s="15">
        <f>'Curvas SRY'!$E$8</f>
        <v>0.75</v>
      </c>
      <c r="D481" s="14" t="str">
        <f>'Curvas SRY'!$B$14</f>
        <v>Uso variable</v>
      </c>
      <c r="E481" s="14">
        <f>118</f>
        <v>118</v>
      </c>
      <c r="F481" s="21">
        <f>'Hoja 4 - Cálculo'!A142</f>
        <v>33147</v>
      </c>
      <c r="G481" s="15">
        <f>'Hoja 4 - Cálculo'!H142</f>
        <v>26.870625</v>
      </c>
      <c r="H481" s="15">
        <f>IF(D481="Uso único",'Hoja 4 - Cálculo'!I142,IF(D481="Uso múltiple",AVERAGE('Hoja 4 - Cálculo'!$I$25:$I$384)+AVERAGE('Hoja 4 - Cálculo'!$J$25:$J$384)+AVERAGE('Hoja 4 - Cálculo'!$K$25:$K$384),IF(D481="Uso prioritario",'Hoja 4 - Cálculo'!I142+'Hoja 4 - Cálculo'!K142,'Hoja 4 - Cálculo'!I142+'Hoja 4 - Cálculo'!J142+'Hoja 4 - Cálculo'!K142)))</f>
        <v>11.5</v>
      </c>
      <c r="I481" s="15">
        <f t="shared" si="102"/>
        <v>8.625</v>
      </c>
      <c r="J481" s="15">
        <f t="shared" si="109"/>
        <v>2</v>
      </c>
      <c r="K481" s="15">
        <f>MIN(J481+G481,(J481+G481)*'Hoja 4 - Cálculo'!$B$15)</f>
        <v>0.5774125</v>
      </c>
      <c r="L481" s="15">
        <f t="shared" si="103"/>
        <v>28.293212499999999</v>
      </c>
      <c r="M481" s="15">
        <f t="shared" si="104"/>
        <v>8.625</v>
      </c>
      <c r="N481" s="15">
        <f t="shared" si="105"/>
        <v>2</v>
      </c>
      <c r="O481" s="15">
        <f t="shared" si="106"/>
        <v>17.668212499999999</v>
      </c>
      <c r="P481" s="15">
        <f t="shared" si="107"/>
        <v>0</v>
      </c>
      <c r="Q481" s="14" t="str">
        <f>IF(M481&gt;=I481*'Hoja 4 - Cálculo'!$B$16,"Satisfactorio","Falla")</f>
        <v>Satisfactorio</v>
      </c>
      <c r="R481" s="14">
        <f t="shared" si="110"/>
        <v>0</v>
      </c>
      <c r="S481" s="14">
        <f t="shared" si="111"/>
        <v>0</v>
      </c>
    </row>
    <row r="482" spans="1:19">
      <c r="A482" s="14" t="str">
        <f t="shared" si="108"/>
        <v>SRY-2-1</v>
      </c>
      <c r="B482" s="15">
        <f>'Curvas SRY'!$B$9</f>
        <v>2</v>
      </c>
      <c r="C482" s="15">
        <f>'Curvas SRY'!$E$8</f>
        <v>0.75</v>
      </c>
      <c r="D482" s="14" t="str">
        <f>'Curvas SRY'!$B$14</f>
        <v>Uso variable</v>
      </c>
      <c r="E482" s="14">
        <f>119</f>
        <v>119</v>
      </c>
      <c r="F482" s="21">
        <f>'Hoja 4 - Cálculo'!A143</f>
        <v>33178</v>
      </c>
      <c r="G482" s="15">
        <f>'Hoja 4 - Cálculo'!H143</f>
        <v>24.881625</v>
      </c>
      <c r="H482" s="15">
        <f>IF(D482="Uso único",'Hoja 4 - Cálculo'!I143,IF(D482="Uso múltiple",AVERAGE('Hoja 4 - Cálculo'!$I$25:$I$384)+AVERAGE('Hoja 4 - Cálculo'!$J$25:$J$384)+AVERAGE('Hoja 4 - Cálculo'!$K$25:$K$384),IF(D482="Uso prioritario",'Hoja 4 - Cálculo'!I143+'Hoja 4 - Cálculo'!K143,'Hoja 4 - Cálculo'!I143+'Hoja 4 - Cálculo'!J143+'Hoja 4 - Cálculo'!K143)))</f>
        <v>11.5</v>
      </c>
      <c r="I482" s="15">
        <f t="shared" si="102"/>
        <v>8.625</v>
      </c>
      <c r="J482" s="15">
        <f t="shared" si="109"/>
        <v>2</v>
      </c>
      <c r="K482" s="15">
        <f>MIN(J482+G482,(J482+G482)*'Hoja 4 - Cálculo'!$B$15)</f>
        <v>0.53763249999999996</v>
      </c>
      <c r="L482" s="15">
        <f t="shared" si="103"/>
        <v>26.343992499999999</v>
      </c>
      <c r="M482" s="15">
        <f t="shared" si="104"/>
        <v>8.625</v>
      </c>
      <c r="N482" s="15">
        <f t="shared" si="105"/>
        <v>2</v>
      </c>
      <c r="O482" s="15">
        <f t="shared" si="106"/>
        <v>15.718992499999999</v>
      </c>
      <c r="P482" s="15">
        <f t="shared" si="107"/>
        <v>0</v>
      </c>
      <c r="Q482" s="14" t="str">
        <f>IF(M482&gt;=I482*'Hoja 4 - Cálculo'!$B$16,"Satisfactorio","Falla")</f>
        <v>Satisfactorio</v>
      </c>
      <c r="R482" s="14">
        <f t="shared" si="110"/>
        <v>0</v>
      </c>
      <c r="S482" s="14">
        <f t="shared" si="111"/>
        <v>0</v>
      </c>
    </row>
    <row r="483" spans="1:19">
      <c r="A483" s="14" t="str">
        <f t="shared" si="108"/>
        <v>SRY-2-1</v>
      </c>
      <c r="B483" s="15">
        <f>'Curvas SRY'!$B$9</f>
        <v>2</v>
      </c>
      <c r="C483" s="15">
        <f>'Curvas SRY'!$E$8</f>
        <v>0.75</v>
      </c>
      <c r="D483" s="14" t="str">
        <f>'Curvas SRY'!$B$14</f>
        <v>Uso variable</v>
      </c>
      <c r="E483" s="14">
        <f>120</f>
        <v>120</v>
      </c>
      <c r="F483" s="21">
        <f>'Hoja 4 - Cálculo'!A144</f>
        <v>33208</v>
      </c>
      <c r="G483" s="15">
        <f>'Hoja 4 - Cálculo'!H144</f>
        <v>13.73175</v>
      </c>
      <c r="H483" s="15">
        <f>IF(D483="Uso único",'Hoja 4 - Cálculo'!I144,IF(D483="Uso múltiple",AVERAGE('Hoja 4 - Cálculo'!$I$25:$I$384)+AVERAGE('Hoja 4 - Cálculo'!$J$25:$J$384)+AVERAGE('Hoja 4 - Cálculo'!$K$25:$K$384),IF(D483="Uso prioritario",'Hoja 4 - Cálculo'!I144+'Hoja 4 - Cálculo'!K144,'Hoja 4 - Cálculo'!I144+'Hoja 4 - Cálculo'!J144+'Hoja 4 - Cálculo'!K144)))</f>
        <v>16</v>
      </c>
      <c r="I483" s="15">
        <f t="shared" si="102"/>
        <v>12</v>
      </c>
      <c r="J483" s="15">
        <f t="shared" si="109"/>
        <v>2</v>
      </c>
      <c r="K483" s="15">
        <f>MIN(J483+G483,(J483+G483)*'Hoja 4 - Cálculo'!$B$15)</f>
        <v>0.314635</v>
      </c>
      <c r="L483" s="15">
        <f t="shared" si="103"/>
        <v>15.417114999999999</v>
      </c>
      <c r="M483" s="15">
        <f t="shared" si="104"/>
        <v>12</v>
      </c>
      <c r="N483" s="15">
        <f t="shared" si="105"/>
        <v>2</v>
      </c>
      <c r="O483" s="15">
        <f t="shared" si="106"/>
        <v>1.417114999999999</v>
      </c>
      <c r="P483" s="15">
        <f t="shared" si="107"/>
        <v>0</v>
      </c>
      <c r="Q483" s="14" t="str">
        <f>IF(M483&gt;=I483*'Hoja 4 - Cálculo'!$B$16,"Satisfactorio","Falla")</f>
        <v>Satisfactorio</v>
      </c>
      <c r="R483" s="14">
        <f t="shared" si="110"/>
        <v>0</v>
      </c>
      <c r="S483" s="14">
        <f t="shared" si="111"/>
        <v>0</v>
      </c>
    </row>
    <row r="484" spans="1:19">
      <c r="A484" s="14" t="str">
        <f t="shared" ref="A484:A515" si="112">"SRY-2-2"</f>
        <v>SRY-2-2</v>
      </c>
      <c r="B484" s="15">
        <f>'Curvas SRY'!$B$9</f>
        <v>2</v>
      </c>
      <c r="C484" s="15">
        <f>'Curvas SRY'!$E$9</f>
        <v>1</v>
      </c>
      <c r="D484" s="14" t="str">
        <f>'Curvas SRY'!$B$14</f>
        <v>Uso variable</v>
      </c>
      <c r="E484" s="14">
        <f>1</f>
        <v>1</v>
      </c>
      <c r="F484" s="21">
        <f>'Hoja 4 - Cálculo'!A25</f>
        <v>29587</v>
      </c>
      <c r="G484" s="15">
        <f>'Hoja 4 - Cálculo'!H25</f>
        <v>12.852</v>
      </c>
      <c r="H484" s="15">
        <f>IF(D484="Uso único",'Hoja 4 - Cálculo'!I25,IF(D484="Uso múltiple",AVERAGE('Hoja 4 - Cálculo'!$I$25:$I$384)+AVERAGE('Hoja 4 - Cálculo'!$J$25:$J$384)+AVERAGE('Hoja 4 - Cálculo'!$K$25:$K$384),IF(D484="Uso prioritario",'Hoja 4 - Cálculo'!I25+'Hoja 4 - Cálculo'!K25,'Hoja 4 - Cálculo'!I25+'Hoja 4 - Cálculo'!J25+'Hoja 4 - Cálculo'!K25)))</f>
        <v>16</v>
      </c>
      <c r="I484" s="15">
        <f t="shared" si="102"/>
        <v>16</v>
      </c>
      <c r="J484" s="15">
        <f>0</f>
        <v>0</v>
      </c>
      <c r="K484" s="15">
        <f>MIN(J484+G484,(J484+G484)*'Hoja 4 - Cálculo'!$B$15)</f>
        <v>0.25703999999999999</v>
      </c>
      <c r="L484" s="15">
        <f t="shared" si="103"/>
        <v>12.59496</v>
      </c>
      <c r="M484" s="15">
        <f t="shared" si="104"/>
        <v>12.59496</v>
      </c>
      <c r="N484" s="15">
        <f t="shared" si="105"/>
        <v>0</v>
      </c>
      <c r="O484" s="15">
        <f t="shared" si="106"/>
        <v>0</v>
      </c>
      <c r="P484" s="15">
        <f t="shared" si="107"/>
        <v>3.4050399999999996</v>
      </c>
      <c r="Q484" s="14" t="str">
        <f>IF(M484&gt;=I484*'Hoja 4 - Cálculo'!$B$16,"Satisfactorio","Falla")</f>
        <v>Falla</v>
      </c>
      <c r="R484" s="14">
        <f>0</f>
        <v>0</v>
      </c>
      <c r="S484" s="14">
        <f>IF(Q484="Falla",1,0)</f>
        <v>1</v>
      </c>
    </row>
    <row r="485" spans="1:19">
      <c r="A485" s="14" t="str">
        <f t="shared" si="112"/>
        <v>SRY-2-2</v>
      </c>
      <c r="B485" s="15">
        <f>'Curvas SRY'!$B$9</f>
        <v>2</v>
      </c>
      <c r="C485" s="15">
        <f>'Curvas SRY'!$E$9</f>
        <v>1</v>
      </c>
      <c r="D485" s="14" t="str">
        <f>'Curvas SRY'!$B$14</f>
        <v>Uso variable</v>
      </c>
      <c r="E485" s="14">
        <f>2</f>
        <v>2</v>
      </c>
      <c r="F485" s="21">
        <f>'Hoja 4 - Cálculo'!A26</f>
        <v>29618</v>
      </c>
      <c r="G485" s="15">
        <f>'Hoja 4 - Cálculo'!H26</f>
        <v>14.630625</v>
      </c>
      <c r="H485" s="15">
        <f>IF(D485="Uso único",'Hoja 4 - Cálculo'!I26,IF(D485="Uso múltiple",AVERAGE('Hoja 4 - Cálculo'!$I$25:$I$384)+AVERAGE('Hoja 4 - Cálculo'!$J$25:$J$384)+AVERAGE('Hoja 4 - Cálculo'!$K$25:$K$384),IF(D485="Uso prioritario",'Hoja 4 - Cálculo'!I26+'Hoja 4 - Cálculo'!K26,'Hoja 4 - Cálculo'!I26+'Hoja 4 - Cálculo'!J26+'Hoja 4 - Cálculo'!K26)))</f>
        <v>16</v>
      </c>
      <c r="I485" s="15">
        <f t="shared" si="102"/>
        <v>16</v>
      </c>
      <c r="J485" s="15">
        <f t="shared" ref="J485:J516" si="113">N484</f>
        <v>0</v>
      </c>
      <c r="K485" s="15">
        <f>MIN(J485+G485,(J485+G485)*'Hoja 4 - Cálculo'!$B$15)</f>
        <v>0.2926125</v>
      </c>
      <c r="L485" s="15">
        <f t="shared" si="103"/>
        <v>14.3380125</v>
      </c>
      <c r="M485" s="15">
        <f t="shared" si="104"/>
        <v>14.3380125</v>
      </c>
      <c r="N485" s="15">
        <f t="shared" si="105"/>
        <v>0</v>
      </c>
      <c r="O485" s="15">
        <f t="shared" si="106"/>
        <v>0</v>
      </c>
      <c r="P485" s="15">
        <f t="shared" si="107"/>
        <v>1.6619875000000004</v>
      </c>
      <c r="Q485" s="14" t="str">
        <f>IF(M485&gt;=I485*'Hoja 4 - Cálculo'!$B$16,"Satisfactorio","Falla")</f>
        <v>Falla</v>
      </c>
      <c r="R485" s="14">
        <f t="shared" ref="R485:R516" si="114">IF(AND(Q484="Falla",Q485="Satisfactorio"),1,0)</f>
        <v>0</v>
      </c>
      <c r="S485" s="14">
        <f t="shared" ref="S485:S516" si="115">IF(AND(Q485="Falla",Q484&lt;&gt;"Falla"),1,0)</f>
        <v>0</v>
      </c>
    </row>
    <row r="486" spans="1:19">
      <c r="A486" s="14" t="str">
        <f t="shared" si="112"/>
        <v>SRY-2-2</v>
      </c>
      <c r="B486" s="15">
        <f>'Curvas SRY'!$B$9</f>
        <v>2</v>
      </c>
      <c r="C486" s="15">
        <f>'Curvas SRY'!$E$9</f>
        <v>1</v>
      </c>
      <c r="D486" s="14" t="str">
        <f>'Curvas SRY'!$B$14</f>
        <v>Uso variable</v>
      </c>
      <c r="E486" s="14">
        <f>3</f>
        <v>3</v>
      </c>
      <c r="F486" s="21">
        <f>'Hoja 4 - Cálculo'!A27</f>
        <v>29646</v>
      </c>
      <c r="G486" s="15">
        <f>'Hoja 4 - Cálculo'!H27</f>
        <v>21.114000000000001</v>
      </c>
      <c r="H486" s="15">
        <f>IF(D486="Uso único",'Hoja 4 - Cálculo'!I27,IF(D486="Uso múltiple",AVERAGE('Hoja 4 - Cálculo'!$I$25:$I$384)+AVERAGE('Hoja 4 - Cálculo'!$J$25:$J$384)+AVERAGE('Hoja 4 - Cálculo'!$K$25:$K$384),IF(D486="Uso prioritario",'Hoja 4 - Cálculo'!I27+'Hoja 4 - Cálculo'!K27,'Hoja 4 - Cálculo'!I27+'Hoja 4 - Cálculo'!J27+'Hoja 4 - Cálculo'!K27)))</f>
        <v>16</v>
      </c>
      <c r="I486" s="15">
        <f t="shared" si="102"/>
        <v>16</v>
      </c>
      <c r="J486" s="15">
        <f t="shared" si="113"/>
        <v>0</v>
      </c>
      <c r="K486" s="15">
        <f>MIN(J486+G486,(J486+G486)*'Hoja 4 - Cálculo'!$B$15)</f>
        <v>0.42228000000000004</v>
      </c>
      <c r="L486" s="15">
        <f t="shared" si="103"/>
        <v>20.69172</v>
      </c>
      <c r="M486" s="15">
        <f t="shared" si="104"/>
        <v>16</v>
      </c>
      <c r="N486" s="15">
        <f t="shared" si="105"/>
        <v>2</v>
      </c>
      <c r="O486" s="15">
        <f t="shared" si="106"/>
        <v>2.6917200000000001</v>
      </c>
      <c r="P486" s="15">
        <f t="shared" si="107"/>
        <v>0</v>
      </c>
      <c r="Q486" s="14" t="str">
        <f>IF(M486&gt;=I486*'Hoja 4 - Cálculo'!$B$16,"Satisfactorio","Falla")</f>
        <v>Satisfactorio</v>
      </c>
      <c r="R486" s="14">
        <f t="shared" si="114"/>
        <v>1</v>
      </c>
      <c r="S486" s="14">
        <f t="shared" si="115"/>
        <v>0</v>
      </c>
    </row>
    <row r="487" spans="1:19">
      <c r="A487" s="14" t="str">
        <f t="shared" si="112"/>
        <v>SRY-2-2</v>
      </c>
      <c r="B487" s="15">
        <f>'Curvas SRY'!$B$9</f>
        <v>2</v>
      </c>
      <c r="C487" s="15">
        <f>'Curvas SRY'!$E$9</f>
        <v>1</v>
      </c>
      <c r="D487" s="14" t="str">
        <f>'Curvas SRY'!$B$14</f>
        <v>Uso variable</v>
      </c>
      <c r="E487" s="14">
        <f>4</f>
        <v>4</v>
      </c>
      <c r="F487" s="21">
        <f>'Hoja 4 - Cálculo'!A28</f>
        <v>29677</v>
      </c>
      <c r="G487" s="15">
        <f>'Hoja 4 - Cálculo'!H28</f>
        <v>29.280374999999999</v>
      </c>
      <c r="H487" s="15">
        <f>IF(D487="Uso único",'Hoja 4 - Cálculo'!I28,IF(D487="Uso múltiple",AVERAGE('Hoja 4 - Cálculo'!$I$25:$I$384)+AVERAGE('Hoja 4 - Cálculo'!$J$25:$J$384)+AVERAGE('Hoja 4 - Cálculo'!$K$25:$K$384),IF(D487="Uso prioritario",'Hoja 4 - Cálculo'!I28+'Hoja 4 - Cálculo'!K28,'Hoja 4 - Cálculo'!I28+'Hoja 4 - Cálculo'!J28+'Hoja 4 - Cálculo'!K28)))</f>
        <v>11.5</v>
      </c>
      <c r="I487" s="15">
        <f t="shared" si="102"/>
        <v>11.5</v>
      </c>
      <c r="J487" s="15">
        <f t="shared" si="113"/>
        <v>2</v>
      </c>
      <c r="K487" s="15">
        <f>MIN(J487+G487,(J487+G487)*'Hoja 4 - Cálculo'!$B$15)</f>
        <v>0.62560749999999998</v>
      </c>
      <c r="L487" s="15">
        <f t="shared" si="103"/>
        <v>30.654767499999998</v>
      </c>
      <c r="M487" s="15">
        <f t="shared" si="104"/>
        <v>11.5</v>
      </c>
      <c r="N487" s="15">
        <f t="shared" si="105"/>
        <v>2</v>
      </c>
      <c r="O487" s="15">
        <f t="shared" si="106"/>
        <v>17.154767499999998</v>
      </c>
      <c r="P487" s="15">
        <f t="shared" si="107"/>
        <v>0</v>
      </c>
      <c r="Q487" s="14" t="str">
        <f>IF(M487&gt;=I487*'Hoja 4 - Cálculo'!$B$16,"Satisfactorio","Falla")</f>
        <v>Satisfactorio</v>
      </c>
      <c r="R487" s="14">
        <f t="shared" si="114"/>
        <v>0</v>
      </c>
      <c r="S487" s="14">
        <f t="shared" si="115"/>
        <v>0</v>
      </c>
    </row>
    <row r="488" spans="1:19">
      <c r="A488" s="14" t="str">
        <f t="shared" si="112"/>
        <v>SRY-2-2</v>
      </c>
      <c r="B488" s="15">
        <f>'Curvas SRY'!$B$9</f>
        <v>2</v>
      </c>
      <c r="C488" s="15">
        <f>'Curvas SRY'!$E$9</f>
        <v>1</v>
      </c>
      <c r="D488" s="14" t="str">
        <f>'Curvas SRY'!$B$14</f>
        <v>Uso variable</v>
      </c>
      <c r="E488" s="14">
        <f>5</f>
        <v>5</v>
      </c>
      <c r="F488" s="21">
        <f>'Hoja 4 - Cálculo'!A29</f>
        <v>29707</v>
      </c>
      <c r="G488" s="15">
        <f>'Hoja 4 - Cálculo'!H29</f>
        <v>26.048249999999999</v>
      </c>
      <c r="H488" s="15">
        <f>IF(D488="Uso único",'Hoja 4 - Cálculo'!I29,IF(D488="Uso múltiple",AVERAGE('Hoja 4 - Cálculo'!$I$25:$I$384)+AVERAGE('Hoja 4 - Cálculo'!$J$25:$J$384)+AVERAGE('Hoja 4 - Cálculo'!$K$25:$K$384),IF(D488="Uso prioritario",'Hoja 4 - Cálculo'!I29+'Hoja 4 - Cálculo'!K29,'Hoja 4 - Cálculo'!I29+'Hoja 4 - Cálculo'!J29+'Hoja 4 - Cálculo'!K29)))</f>
        <v>11.5</v>
      </c>
      <c r="I488" s="15">
        <f t="shared" si="102"/>
        <v>11.5</v>
      </c>
      <c r="J488" s="15">
        <f t="shared" si="113"/>
        <v>2</v>
      </c>
      <c r="K488" s="15">
        <f>MIN(J488+G488,(J488+G488)*'Hoja 4 - Cálculo'!$B$15)</f>
        <v>0.56096500000000005</v>
      </c>
      <c r="L488" s="15">
        <f t="shared" si="103"/>
        <v>27.487285</v>
      </c>
      <c r="M488" s="15">
        <f t="shared" si="104"/>
        <v>11.5</v>
      </c>
      <c r="N488" s="15">
        <f t="shared" si="105"/>
        <v>2</v>
      </c>
      <c r="O488" s="15">
        <f t="shared" si="106"/>
        <v>13.987285</v>
      </c>
      <c r="P488" s="15">
        <f t="shared" si="107"/>
        <v>0</v>
      </c>
      <c r="Q488" s="14" t="str">
        <f>IF(M488&gt;=I488*'Hoja 4 - Cálculo'!$B$16,"Satisfactorio","Falla")</f>
        <v>Satisfactorio</v>
      </c>
      <c r="R488" s="14">
        <f t="shared" si="114"/>
        <v>0</v>
      </c>
      <c r="S488" s="14">
        <f t="shared" si="115"/>
        <v>0</v>
      </c>
    </row>
    <row r="489" spans="1:19">
      <c r="A489" s="14" t="str">
        <f t="shared" si="112"/>
        <v>SRY-2-2</v>
      </c>
      <c r="B489" s="15">
        <f>'Curvas SRY'!$B$9</f>
        <v>2</v>
      </c>
      <c r="C489" s="15">
        <f>'Curvas SRY'!$E$9</f>
        <v>1</v>
      </c>
      <c r="D489" s="14" t="str">
        <f>'Curvas SRY'!$B$14</f>
        <v>Uso variable</v>
      </c>
      <c r="E489" s="14">
        <f>6</f>
        <v>6</v>
      </c>
      <c r="F489" s="21">
        <f>'Hoja 4 - Cálculo'!A30</f>
        <v>29738</v>
      </c>
      <c r="G489" s="15">
        <f>'Hoja 4 - Cálculo'!H30</f>
        <v>15.625125000000001</v>
      </c>
      <c r="H489" s="15">
        <f>IF(D489="Uso único",'Hoja 4 - Cálculo'!I30,IF(D489="Uso múltiple",AVERAGE('Hoja 4 - Cálculo'!$I$25:$I$384)+AVERAGE('Hoja 4 - Cálculo'!$J$25:$J$384)+AVERAGE('Hoja 4 - Cálculo'!$K$25:$K$384),IF(D489="Uso prioritario",'Hoja 4 - Cálculo'!I30+'Hoja 4 - Cálculo'!K30,'Hoja 4 - Cálculo'!I30+'Hoja 4 - Cálculo'!J30+'Hoja 4 - Cálculo'!K30)))</f>
        <v>11.5</v>
      </c>
      <c r="I489" s="15">
        <f t="shared" si="102"/>
        <v>11.5</v>
      </c>
      <c r="J489" s="15">
        <f t="shared" si="113"/>
        <v>2</v>
      </c>
      <c r="K489" s="15">
        <f>MIN(J489+G489,(J489+G489)*'Hoja 4 - Cálculo'!$B$15)</f>
        <v>0.3525025</v>
      </c>
      <c r="L489" s="15">
        <f t="shared" si="103"/>
        <v>17.272622500000001</v>
      </c>
      <c r="M489" s="15">
        <f t="shared" si="104"/>
        <v>11.5</v>
      </c>
      <c r="N489" s="15">
        <f t="shared" si="105"/>
        <v>2</v>
      </c>
      <c r="O489" s="15">
        <f t="shared" si="106"/>
        <v>3.7726225000000007</v>
      </c>
      <c r="P489" s="15">
        <f t="shared" si="107"/>
        <v>0</v>
      </c>
      <c r="Q489" s="14" t="str">
        <f>IF(M489&gt;=I489*'Hoja 4 - Cálculo'!$B$16,"Satisfactorio","Falla")</f>
        <v>Satisfactorio</v>
      </c>
      <c r="R489" s="14">
        <f t="shared" si="114"/>
        <v>0</v>
      </c>
      <c r="S489" s="14">
        <f t="shared" si="115"/>
        <v>0</v>
      </c>
    </row>
    <row r="490" spans="1:19">
      <c r="A490" s="14" t="str">
        <f t="shared" si="112"/>
        <v>SRY-2-2</v>
      </c>
      <c r="B490" s="15">
        <f>'Curvas SRY'!$B$9</f>
        <v>2</v>
      </c>
      <c r="C490" s="15">
        <f>'Curvas SRY'!$E$9</f>
        <v>1</v>
      </c>
      <c r="D490" s="14" t="str">
        <f>'Curvas SRY'!$B$14</f>
        <v>Uso variable</v>
      </c>
      <c r="E490" s="14">
        <f>7</f>
        <v>7</v>
      </c>
      <c r="F490" s="21">
        <f>'Hoja 4 - Cálculo'!A31</f>
        <v>29768</v>
      </c>
      <c r="G490" s="15">
        <f>'Hoja 4 - Cálculo'!H31</f>
        <v>12.794625</v>
      </c>
      <c r="H490" s="15">
        <f>IF(D490="Uso único",'Hoja 4 - Cálculo'!I31,IF(D490="Uso múltiple",AVERAGE('Hoja 4 - Cálculo'!$I$25:$I$384)+AVERAGE('Hoja 4 - Cálculo'!$J$25:$J$384)+AVERAGE('Hoja 4 - Cálculo'!$K$25:$K$384),IF(D490="Uso prioritario",'Hoja 4 - Cálculo'!I31+'Hoja 4 - Cálculo'!K31,'Hoja 4 - Cálculo'!I31+'Hoja 4 - Cálculo'!J31+'Hoja 4 - Cálculo'!K31)))</f>
        <v>16</v>
      </c>
      <c r="I490" s="15">
        <f t="shared" si="102"/>
        <v>16</v>
      </c>
      <c r="J490" s="15">
        <f t="shared" si="113"/>
        <v>2</v>
      </c>
      <c r="K490" s="15">
        <f>MIN(J490+G490,(J490+G490)*'Hoja 4 - Cálculo'!$B$15)</f>
        <v>0.2958925</v>
      </c>
      <c r="L490" s="15">
        <f t="shared" si="103"/>
        <v>14.498732499999999</v>
      </c>
      <c r="M490" s="15">
        <f t="shared" si="104"/>
        <v>14.498732499999999</v>
      </c>
      <c r="N490" s="15">
        <f t="shared" si="105"/>
        <v>0</v>
      </c>
      <c r="O490" s="15">
        <f t="shared" si="106"/>
        <v>0</v>
      </c>
      <c r="P490" s="15">
        <f t="shared" si="107"/>
        <v>1.5012675000000009</v>
      </c>
      <c r="Q490" s="14" t="str">
        <f>IF(M490&gt;=I490*'Hoja 4 - Cálculo'!$B$16,"Satisfactorio","Falla")</f>
        <v>Falla</v>
      </c>
      <c r="R490" s="14">
        <f t="shared" si="114"/>
        <v>0</v>
      </c>
      <c r="S490" s="14">
        <f t="shared" si="115"/>
        <v>1</v>
      </c>
    </row>
    <row r="491" spans="1:19">
      <c r="A491" s="14" t="str">
        <f t="shared" si="112"/>
        <v>SRY-2-2</v>
      </c>
      <c r="B491" s="15">
        <f>'Curvas SRY'!$B$9</f>
        <v>2</v>
      </c>
      <c r="C491" s="15">
        <f>'Curvas SRY'!$E$9</f>
        <v>1</v>
      </c>
      <c r="D491" s="14" t="str">
        <f>'Curvas SRY'!$B$14</f>
        <v>Uso variable</v>
      </c>
      <c r="E491" s="14">
        <f>8</f>
        <v>8</v>
      </c>
      <c r="F491" s="21">
        <f>'Hoja 4 - Cálculo'!A32</f>
        <v>29799</v>
      </c>
      <c r="G491" s="15">
        <f>'Hoja 4 - Cálculo'!H32</f>
        <v>13.712624999999999</v>
      </c>
      <c r="H491" s="15">
        <f>IF(D491="Uso único",'Hoja 4 - Cálculo'!I32,IF(D491="Uso múltiple",AVERAGE('Hoja 4 - Cálculo'!$I$25:$I$384)+AVERAGE('Hoja 4 - Cálculo'!$J$25:$J$384)+AVERAGE('Hoja 4 - Cálculo'!$K$25:$K$384),IF(D491="Uso prioritario",'Hoja 4 - Cálculo'!I32+'Hoja 4 - Cálculo'!K32,'Hoja 4 - Cálculo'!I32+'Hoja 4 - Cálculo'!J32+'Hoja 4 - Cálculo'!K32)))</f>
        <v>16</v>
      </c>
      <c r="I491" s="15">
        <f t="shared" si="102"/>
        <v>16</v>
      </c>
      <c r="J491" s="15">
        <f t="shared" si="113"/>
        <v>0</v>
      </c>
      <c r="K491" s="15">
        <f>MIN(J491+G491,(J491+G491)*'Hoja 4 - Cálculo'!$B$15)</f>
        <v>0.27425250000000001</v>
      </c>
      <c r="L491" s="15">
        <f t="shared" si="103"/>
        <v>13.4383725</v>
      </c>
      <c r="M491" s="15">
        <f t="shared" si="104"/>
        <v>13.4383725</v>
      </c>
      <c r="N491" s="15">
        <f t="shared" si="105"/>
        <v>0</v>
      </c>
      <c r="O491" s="15">
        <f t="shared" si="106"/>
        <v>0</v>
      </c>
      <c r="P491" s="15">
        <f t="shared" si="107"/>
        <v>2.5616275000000002</v>
      </c>
      <c r="Q491" s="14" t="str">
        <f>IF(M491&gt;=I491*'Hoja 4 - Cálculo'!$B$16,"Satisfactorio","Falla")</f>
        <v>Falla</v>
      </c>
      <c r="R491" s="14">
        <f t="shared" si="114"/>
        <v>0</v>
      </c>
      <c r="S491" s="14">
        <f t="shared" si="115"/>
        <v>0</v>
      </c>
    </row>
    <row r="492" spans="1:19">
      <c r="A492" s="14" t="str">
        <f t="shared" si="112"/>
        <v>SRY-2-2</v>
      </c>
      <c r="B492" s="15">
        <f>'Curvas SRY'!$B$9</f>
        <v>2</v>
      </c>
      <c r="C492" s="15">
        <f>'Curvas SRY'!$E$9</f>
        <v>1</v>
      </c>
      <c r="D492" s="14" t="str">
        <f>'Curvas SRY'!$B$14</f>
        <v>Uso variable</v>
      </c>
      <c r="E492" s="14">
        <f>9</f>
        <v>9</v>
      </c>
      <c r="F492" s="21">
        <f>'Hoja 4 - Cálculo'!A33</f>
        <v>29830</v>
      </c>
      <c r="G492" s="15">
        <f>'Hoja 4 - Cálculo'!H33</f>
        <v>22.070250000000001</v>
      </c>
      <c r="H492" s="15">
        <f>IF(D492="Uso único",'Hoja 4 - Cálculo'!I33,IF(D492="Uso múltiple",AVERAGE('Hoja 4 - Cálculo'!$I$25:$I$384)+AVERAGE('Hoja 4 - Cálculo'!$J$25:$J$384)+AVERAGE('Hoja 4 - Cálculo'!$K$25:$K$384),IF(D492="Uso prioritario",'Hoja 4 - Cálculo'!I33+'Hoja 4 - Cálculo'!K33,'Hoja 4 - Cálculo'!I33+'Hoja 4 - Cálculo'!J33+'Hoja 4 - Cálculo'!K33)))</f>
        <v>11.5</v>
      </c>
      <c r="I492" s="15">
        <f t="shared" si="102"/>
        <v>11.5</v>
      </c>
      <c r="J492" s="15">
        <f t="shared" si="113"/>
        <v>0</v>
      </c>
      <c r="K492" s="15">
        <f>MIN(J492+G492,(J492+G492)*'Hoja 4 - Cálculo'!$B$15)</f>
        <v>0.44140500000000005</v>
      </c>
      <c r="L492" s="15">
        <f t="shared" si="103"/>
        <v>21.628845000000002</v>
      </c>
      <c r="M492" s="15">
        <f t="shared" si="104"/>
        <v>11.5</v>
      </c>
      <c r="N492" s="15">
        <f t="shared" si="105"/>
        <v>2</v>
      </c>
      <c r="O492" s="15">
        <f t="shared" si="106"/>
        <v>8.1288450000000019</v>
      </c>
      <c r="P492" s="15">
        <f t="shared" si="107"/>
        <v>0</v>
      </c>
      <c r="Q492" s="14" t="str">
        <f>IF(M492&gt;=I492*'Hoja 4 - Cálculo'!$B$16,"Satisfactorio","Falla")</f>
        <v>Satisfactorio</v>
      </c>
      <c r="R492" s="14">
        <f t="shared" si="114"/>
        <v>1</v>
      </c>
      <c r="S492" s="14">
        <f t="shared" si="115"/>
        <v>0</v>
      </c>
    </row>
    <row r="493" spans="1:19">
      <c r="A493" s="14" t="str">
        <f t="shared" si="112"/>
        <v>SRY-2-2</v>
      </c>
      <c r="B493" s="15">
        <f>'Curvas SRY'!$B$9</f>
        <v>2</v>
      </c>
      <c r="C493" s="15">
        <f>'Curvas SRY'!$E$9</f>
        <v>1</v>
      </c>
      <c r="D493" s="14" t="str">
        <f>'Curvas SRY'!$B$14</f>
        <v>Uso variable</v>
      </c>
      <c r="E493" s="14">
        <f>10</f>
        <v>10</v>
      </c>
      <c r="F493" s="21">
        <f>'Hoja 4 - Cálculo'!A34</f>
        <v>29860</v>
      </c>
      <c r="G493" s="15">
        <f>'Hoja 4 - Cálculo'!H34</f>
        <v>29.777625</v>
      </c>
      <c r="H493" s="15">
        <f>IF(D493="Uso único",'Hoja 4 - Cálculo'!I34,IF(D493="Uso múltiple",AVERAGE('Hoja 4 - Cálculo'!$I$25:$I$384)+AVERAGE('Hoja 4 - Cálculo'!$J$25:$J$384)+AVERAGE('Hoja 4 - Cálculo'!$K$25:$K$384),IF(D493="Uso prioritario",'Hoja 4 - Cálculo'!I34+'Hoja 4 - Cálculo'!K34,'Hoja 4 - Cálculo'!I34+'Hoja 4 - Cálculo'!J34+'Hoja 4 - Cálculo'!K34)))</f>
        <v>11.5</v>
      </c>
      <c r="I493" s="15">
        <f t="shared" si="102"/>
        <v>11.5</v>
      </c>
      <c r="J493" s="15">
        <f t="shared" si="113"/>
        <v>2</v>
      </c>
      <c r="K493" s="15">
        <f>MIN(J493+G493,(J493+G493)*'Hoja 4 - Cálculo'!$B$15)</f>
        <v>0.63555250000000008</v>
      </c>
      <c r="L493" s="15">
        <f t="shared" si="103"/>
        <v>31.142072500000001</v>
      </c>
      <c r="M493" s="15">
        <f t="shared" si="104"/>
        <v>11.5</v>
      </c>
      <c r="N493" s="15">
        <f t="shared" si="105"/>
        <v>2</v>
      </c>
      <c r="O493" s="15">
        <f t="shared" si="106"/>
        <v>17.642072500000001</v>
      </c>
      <c r="P493" s="15">
        <f t="shared" si="107"/>
        <v>0</v>
      </c>
      <c r="Q493" s="14" t="str">
        <f>IF(M493&gt;=I493*'Hoja 4 - Cálculo'!$B$16,"Satisfactorio","Falla")</f>
        <v>Satisfactorio</v>
      </c>
      <c r="R493" s="14">
        <f t="shared" si="114"/>
        <v>0</v>
      </c>
      <c r="S493" s="14">
        <f t="shared" si="115"/>
        <v>0</v>
      </c>
    </row>
    <row r="494" spans="1:19">
      <c r="A494" s="14" t="str">
        <f t="shared" si="112"/>
        <v>SRY-2-2</v>
      </c>
      <c r="B494" s="15">
        <f>'Curvas SRY'!$B$9</f>
        <v>2</v>
      </c>
      <c r="C494" s="15">
        <f>'Curvas SRY'!$E$9</f>
        <v>1</v>
      </c>
      <c r="D494" s="14" t="str">
        <f>'Curvas SRY'!$B$14</f>
        <v>Uso variable</v>
      </c>
      <c r="E494" s="14">
        <f>11</f>
        <v>11</v>
      </c>
      <c r="F494" s="21">
        <f>'Hoja 4 - Cálculo'!A35</f>
        <v>29891</v>
      </c>
      <c r="G494" s="15">
        <f>'Hoja 4 - Cálculo'!H35</f>
        <v>25.51275</v>
      </c>
      <c r="H494" s="15">
        <f>IF(D494="Uso único",'Hoja 4 - Cálculo'!I35,IF(D494="Uso múltiple",AVERAGE('Hoja 4 - Cálculo'!$I$25:$I$384)+AVERAGE('Hoja 4 - Cálculo'!$J$25:$J$384)+AVERAGE('Hoja 4 - Cálculo'!$K$25:$K$384),IF(D494="Uso prioritario",'Hoja 4 - Cálculo'!I35+'Hoja 4 - Cálculo'!K35,'Hoja 4 - Cálculo'!I35+'Hoja 4 - Cálculo'!J35+'Hoja 4 - Cálculo'!K35)))</f>
        <v>11.5</v>
      </c>
      <c r="I494" s="15">
        <f t="shared" si="102"/>
        <v>11.5</v>
      </c>
      <c r="J494" s="15">
        <f t="shared" si="113"/>
        <v>2</v>
      </c>
      <c r="K494" s="15">
        <f>MIN(J494+G494,(J494+G494)*'Hoja 4 - Cálculo'!$B$15)</f>
        <v>0.55025500000000005</v>
      </c>
      <c r="L494" s="15">
        <f t="shared" si="103"/>
        <v>26.962495000000001</v>
      </c>
      <c r="M494" s="15">
        <f t="shared" si="104"/>
        <v>11.5</v>
      </c>
      <c r="N494" s="15">
        <f t="shared" si="105"/>
        <v>2</v>
      </c>
      <c r="O494" s="15">
        <f t="shared" si="106"/>
        <v>13.462495000000001</v>
      </c>
      <c r="P494" s="15">
        <f t="shared" si="107"/>
        <v>0</v>
      </c>
      <c r="Q494" s="14" t="str">
        <f>IF(M494&gt;=I494*'Hoja 4 - Cálculo'!$B$16,"Satisfactorio","Falla")</f>
        <v>Satisfactorio</v>
      </c>
      <c r="R494" s="14">
        <f t="shared" si="114"/>
        <v>0</v>
      </c>
      <c r="S494" s="14">
        <f t="shared" si="115"/>
        <v>0</v>
      </c>
    </row>
    <row r="495" spans="1:19">
      <c r="A495" s="14" t="str">
        <f t="shared" si="112"/>
        <v>SRY-2-2</v>
      </c>
      <c r="B495" s="15">
        <f>'Curvas SRY'!$B$9</f>
        <v>2</v>
      </c>
      <c r="C495" s="15">
        <f>'Curvas SRY'!$E$9</f>
        <v>1</v>
      </c>
      <c r="D495" s="14" t="str">
        <f>'Curvas SRY'!$B$14</f>
        <v>Uso variable</v>
      </c>
      <c r="E495" s="14">
        <f>12</f>
        <v>12</v>
      </c>
      <c r="F495" s="21">
        <f>'Hoja 4 - Cálculo'!A36</f>
        <v>29921</v>
      </c>
      <c r="G495" s="15">
        <f>'Hoja 4 - Cálculo'!H36</f>
        <v>15.3765</v>
      </c>
      <c r="H495" s="15">
        <f>IF(D495="Uso único",'Hoja 4 - Cálculo'!I36,IF(D495="Uso múltiple",AVERAGE('Hoja 4 - Cálculo'!$I$25:$I$384)+AVERAGE('Hoja 4 - Cálculo'!$J$25:$J$384)+AVERAGE('Hoja 4 - Cálculo'!$K$25:$K$384),IF(D495="Uso prioritario",'Hoja 4 - Cálculo'!I36+'Hoja 4 - Cálculo'!K36,'Hoja 4 - Cálculo'!I36+'Hoja 4 - Cálculo'!J36+'Hoja 4 - Cálculo'!K36)))</f>
        <v>16</v>
      </c>
      <c r="I495" s="15">
        <f t="shared" si="102"/>
        <v>16</v>
      </c>
      <c r="J495" s="15">
        <f t="shared" si="113"/>
        <v>2</v>
      </c>
      <c r="K495" s="15">
        <f>MIN(J495+G495,(J495+G495)*'Hoja 4 - Cálculo'!$B$15)</f>
        <v>0.34753000000000001</v>
      </c>
      <c r="L495" s="15">
        <f t="shared" si="103"/>
        <v>17.028970000000001</v>
      </c>
      <c r="M495" s="15">
        <f t="shared" si="104"/>
        <v>16</v>
      </c>
      <c r="N495" s="15">
        <f t="shared" si="105"/>
        <v>1.0289700000000011</v>
      </c>
      <c r="O495" s="15">
        <f t="shared" si="106"/>
        <v>0</v>
      </c>
      <c r="P495" s="15">
        <f t="shared" si="107"/>
        <v>0</v>
      </c>
      <c r="Q495" s="14" t="str">
        <f>IF(M495&gt;=I495*'Hoja 4 - Cálculo'!$B$16,"Satisfactorio","Falla")</f>
        <v>Satisfactorio</v>
      </c>
      <c r="R495" s="14">
        <f t="shared" si="114"/>
        <v>0</v>
      </c>
      <c r="S495" s="14">
        <f t="shared" si="115"/>
        <v>0</v>
      </c>
    </row>
    <row r="496" spans="1:19">
      <c r="A496" s="14" t="str">
        <f t="shared" si="112"/>
        <v>SRY-2-2</v>
      </c>
      <c r="B496" s="15">
        <f>'Curvas SRY'!$B$9</f>
        <v>2</v>
      </c>
      <c r="C496" s="15">
        <f>'Curvas SRY'!$E$9</f>
        <v>1</v>
      </c>
      <c r="D496" s="14" t="str">
        <f>'Curvas SRY'!$B$14</f>
        <v>Uso variable</v>
      </c>
      <c r="E496" s="14">
        <f>13</f>
        <v>13</v>
      </c>
      <c r="F496" s="21">
        <f>'Hoja 4 - Cálculo'!A37</f>
        <v>29952</v>
      </c>
      <c r="G496" s="15">
        <f>'Hoja 4 - Cálculo'!H37</f>
        <v>13.808249999999999</v>
      </c>
      <c r="H496" s="15">
        <f>IF(D496="Uso único",'Hoja 4 - Cálculo'!I37,IF(D496="Uso múltiple",AVERAGE('Hoja 4 - Cálculo'!$I$25:$I$384)+AVERAGE('Hoja 4 - Cálculo'!$J$25:$J$384)+AVERAGE('Hoja 4 - Cálculo'!$K$25:$K$384),IF(D496="Uso prioritario",'Hoja 4 - Cálculo'!I37+'Hoja 4 - Cálculo'!K37,'Hoja 4 - Cálculo'!I37+'Hoja 4 - Cálculo'!J37+'Hoja 4 - Cálculo'!K37)))</f>
        <v>16</v>
      </c>
      <c r="I496" s="15">
        <f t="shared" si="102"/>
        <v>16</v>
      </c>
      <c r="J496" s="15">
        <f t="shared" si="113"/>
        <v>1.0289700000000011</v>
      </c>
      <c r="K496" s="15">
        <f>MIN(J496+G496,(J496+G496)*'Hoja 4 - Cálculo'!$B$15)</f>
        <v>0.29674440000000002</v>
      </c>
      <c r="L496" s="15">
        <f t="shared" si="103"/>
        <v>14.540475600000001</v>
      </c>
      <c r="M496" s="15">
        <f t="shared" si="104"/>
        <v>14.540475600000001</v>
      </c>
      <c r="N496" s="15">
        <f t="shared" si="105"/>
        <v>0</v>
      </c>
      <c r="O496" s="15">
        <f t="shared" si="106"/>
        <v>0</v>
      </c>
      <c r="P496" s="15">
        <f t="shared" si="107"/>
        <v>1.4595243999999994</v>
      </c>
      <c r="Q496" s="14" t="str">
        <f>IF(M496&gt;=I496*'Hoja 4 - Cálculo'!$B$16,"Satisfactorio","Falla")</f>
        <v>Falla</v>
      </c>
      <c r="R496" s="14">
        <f t="shared" si="114"/>
        <v>0</v>
      </c>
      <c r="S496" s="14">
        <f t="shared" si="115"/>
        <v>1</v>
      </c>
    </row>
    <row r="497" spans="1:19">
      <c r="A497" s="14" t="str">
        <f t="shared" si="112"/>
        <v>SRY-2-2</v>
      </c>
      <c r="B497" s="15">
        <f>'Curvas SRY'!$B$9</f>
        <v>2</v>
      </c>
      <c r="C497" s="15">
        <f>'Curvas SRY'!$E$9</f>
        <v>1</v>
      </c>
      <c r="D497" s="14" t="str">
        <f>'Curvas SRY'!$B$14</f>
        <v>Uso variable</v>
      </c>
      <c r="E497" s="14">
        <f>14</f>
        <v>14</v>
      </c>
      <c r="F497" s="21">
        <f>'Hoja 4 - Cálculo'!A38</f>
        <v>29983</v>
      </c>
      <c r="G497" s="15">
        <f>'Hoja 4 - Cálculo'!H38</f>
        <v>15.472125</v>
      </c>
      <c r="H497" s="15">
        <f>IF(D497="Uso único",'Hoja 4 - Cálculo'!I38,IF(D497="Uso múltiple",AVERAGE('Hoja 4 - Cálculo'!$I$25:$I$384)+AVERAGE('Hoja 4 - Cálculo'!$J$25:$J$384)+AVERAGE('Hoja 4 - Cálculo'!$K$25:$K$384),IF(D497="Uso prioritario",'Hoja 4 - Cálculo'!I38+'Hoja 4 - Cálculo'!K38,'Hoja 4 - Cálculo'!I38+'Hoja 4 - Cálculo'!J38+'Hoja 4 - Cálculo'!K38)))</f>
        <v>16</v>
      </c>
      <c r="I497" s="15">
        <f t="shared" si="102"/>
        <v>16</v>
      </c>
      <c r="J497" s="15">
        <f t="shared" si="113"/>
        <v>0</v>
      </c>
      <c r="K497" s="15">
        <f>MIN(J497+G497,(J497+G497)*'Hoja 4 - Cálculo'!$B$15)</f>
        <v>0.30944250000000001</v>
      </c>
      <c r="L497" s="15">
        <f t="shared" si="103"/>
        <v>15.162682500000001</v>
      </c>
      <c r="M497" s="15">
        <f t="shared" si="104"/>
        <v>15.162682500000001</v>
      </c>
      <c r="N497" s="15">
        <f t="shared" si="105"/>
        <v>0</v>
      </c>
      <c r="O497" s="15">
        <f t="shared" si="106"/>
        <v>0</v>
      </c>
      <c r="P497" s="15">
        <f t="shared" si="107"/>
        <v>0.83731749999999927</v>
      </c>
      <c r="Q497" s="14" t="str">
        <f>IF(M497&gt;=I497*'Hoja 4 - Cálculo'!$B$16,"Satisfactorio","Falla")</f>
        <v>Falla</v>
      </c>
      <c r="R497" s="14">
        <f t="shared" si="114"/>
        <v>0</v>
      </c>
      <c r="S497" s="14">
        <f t="shared" si="115"/>
        <v>0</v>
      </c>
    </row>
    <row r="498" spans="1:19">
      <c r="A498" s="14" t="str">
        <f t="shared" si="112"/>
        <v>SRY-2-2</v>
      </c>
      <c r="B498" s="15">
        <f>'Curvas SRY'!$B$9</f>
        <v>2</v>
      </c>
      <c r="C498" s="15">
        <f>'Curvas SRY'!$E$9</f>
        <v>1</v>
      </c>
      <c r="D498" s="14" t="str">
        <f>'Curvas SRY'!$B$14</f>
        <v>Uso variable</v>
      </c>
      <c r="E498" s="14">
        <f>15</f>
        <v>15</v>
      </c>
      <c r="F498" s="21">
        <f>'Hoja 4 - Cálculo'!A39</f>
        <v>30011</v>
      </c>
      <c r="G498" s="15">
        <f>'Hoja 4 - Cálculo'!H39</f>
        <v>22.338000000000001</v>
      </c>
      <c r="H498" s="15">
        <f>IF(D498="Uso único",'Hoja 4 - Cálculo'!I39,IF(D498="Uso múltiple",AVERAGE('Hoja 4 - Cálculo'!$I$25:$I$384)+AVERAGE('Hoja 4 - Cálculo'!$J$25:$J$384)+AVERAGE('Hoja 4 - Cálculo'!$K$25:$K$384),IF(D498="Uso prioritario",'Hoja 4 - Cálculo'!I39+'Hoja 4 - Cálculo'!K39,'Hoja 4 - Cálculo'!I39+'Hoja 4 - Cálculo'!J39+'Hoja 4 - Cálculo'!K39)))</f>
        <v>16</v>
      </c>
      <c r="I498" s="15">
        <f t="shared" si="102"/>
        <v>16</v>
      </c>
      <c r="J498" s="15">
        <f t="shared" si="113"/>
        <v>0</v>
      </c>
      <c r="K498" s="15">
        <f>MIN(J498+G498,(J498+G498)*'Hoja 4 - Cálculo'!$B$15)</f>
        <v>0.44676000000000005</v>
      </c>
      <c r="L498" s="15">
        <f t="shared" si="103"/>
        <v>21.89124</v>
      </c>
      <c r="M498" s="15">
        <f t="shared" si="104"/>
        <v>16</v>
      </c>
      <c r="N498" s="15">
        <f t="shared" si="105"/>
        <v>2</v>
      </c>
      <c r="O498" s="15">
        <f t="shared" si="106"/>
        <v>3.8912399999999998</v>
      </c>
      <c r="P498" s="15">
        <f t="shared" si="107"/>
        <v>0</v>
      </c>
      <c r="Q498" s="14" t="str">
        <f>IF(M498&gt;=I498*'Hoja 4 - Cálculo'!$B$16,"Satisfactorio","Falla")</f>
        <v>Satisfactorio</v>
      </c>
      <c r="R498" s="14">
        <f t="shared" si="114"/>
        <v>1</v>
      </c>
      <c r="S498" s="14">
        <f t="shared" si="115"/>
        <v>0</v>
      </c>
    </row>
    <row r="499" spans="1:19">
      <c r="A499" s="14" t="str">
        <f t="shared" si="112"/>
        <v>SRY-2-2</v>
      </c>
      <c r="B499" s="15">
        <f>'Curvas SRY'!$B$9</f>
        <v>2</v>
      </c>
      <c r="C499" s="15">
        <f>'Curvas SRY'!$E$9</f>
        <v>1</v>
      </c>
      <c r="D499" s="14" t="str">
        <f>'Curvas SRY'!$B$14</f>
        <v>Uso variable</v>
      </c>
      <c r="E499" s="14">
        <f>16</f>
        <v>16</v>
      </c>
      <c r="F499" s="21">
        <f>'Hoja 4 - Cálculo'!A40</f>
        <v>30042</v>
      </c>
      <c r="G499" s="15">
        <f>'Hoja 4 - Cálculo'!H40</f>
        <v>31.670999999999999</v>
      </c>
      <c r="H499" s="15">
        <f>IF(D499="Uso único",'Hoja 4 - Cálculo'!I40,IF(D499="Uso múltiple",AVERAGE('Hoja 4 - Cálculo'!$I$25:$I$384)+AVERAGE('Hoja 4 - Cálculo'!$J$25:$J$384)+AVERAGE('Hoja 4 - Cálculo'!$K$25:$K$384),IF(D499="Uso prioritario",'Hoja 4 - Cálculo'!I40+'Hoja 4 - Cálculo'!K40,'Hoja 4 - Cálculo'!I40+'Hoja 4 - Cálculo'!J40+'Hoja 4 - Cálculo'!K40)))</f>
        <v>11.5</v>
      </c>
      <c r="I499" s="15">
        <f t="shared" si="102"/>
        <v>11.5</v>
      </c>
      <c r="J499" s="15">
        <f t="shared" si="113"/>
        <v>2</v>
      </c>
      <c r="K499" s="15">
        <f>MIN(J499+G499,(J499+G499)*'Hoja 4 - Cálculo'!$B$15)</f>
        <v>0.67342000000000002</v>
      </c>
      <c r="L499" s="15">
        <f t="shared" si="103"/>
        <v>32.997579999999999</v>
      </c>
      <c r="M499" s="15">
        <f t="shared" si="104"/>
        <v>11.5</v>
      </c>
      <c r="N499" s="15">
        <f t="shared" si="105"/>
        <v>2</v>
      </c>
      <c r="O499" s="15">
        <f t="shared" si="106"/>
        <v>19.497579999999999</v>
      </c>
      <c r="P499" s="15">
        <f t="shared" si="107"/>
        <v>0</v>
      </c>
      <c r="Q499" s="14" t="str">
        <f>IF(M499&gt;=I499*'Hoja 4 - Cálculo'!$B$16,"Satisfactorio","Falla")</f>
        <v>Satisfactorio</v>
      </c>
      <c r="R499" s="14">
        <f t="shared" si="114"/>
        <v>0</v>
      </c>
      <c r="S499" s="14">
        <f t="shared" si="115"/>
        <v>0</v>
      </c>
    </row>
    <row r="500" spans="1:19">
      <c r="A500" s="14" t="str">
        <f t="shared" si="112"/>
        <v>SRY-2-2</v>
      </c>
      <c r="B500" s="15">
        <f>'Curvas SRY'!$B$9</f>
        <v>2</v>
      </c>
      <c r="C500" s="15">
        <f>'Curvas SRY'!$E$9</f>
        <v>1</v>
      </c>
      <c r="D500" s="14" t="str">
        <f>'Curvas SRY'!$B$14</f>
        <v>Uso variable</v>
      </c>
      <c r="E500" s="14">
        <f>17</f>
        <v>17</v>
      </c>
      <c r="F500" s="21">
        <f>'Hoja 4 - Cálculo'!A41</f>
        <v>30072</v>
      </c>
      <c r="G500" s="15">
        <f>'Hoja 4 - Cálculo'!H41</f>
        <v>29.299499999999998</v>
      </c>
      <c r="H500" s="15">
        <f>IF(D500="Uso único",'Hoja 4 - Cálculo'!I41,IF(D500="Uso múltiple",AVERAGE('Hoja 4 - Cálculo'!$I$25:$I$384)+AVERAGE('Hoja 4 - Cálculo'!$J$25:$J$384)+AVERAGE('Hoja 4 - Cálculo'!$K$25:$K$384),IF(D500="Uso prioritario",'Hoja 4 - Cálculo'!I41+'Hoja 4 - Cálculo'!K41,'Hoja 4 - Cálculo'!I41+'Hoja 4 - Cálculo'!J41+'Hoja 4 - Cálculo'!K41)))</f>
        <v>11.5</v>
      </c>
      <c r="I500" s="15">
        <f t="shared" si="102"/>
        <v>11.5</v>
      </c>
      <c r="J500" s="15">
        <f t="shared" si="113"/>
        <v>2</v>
      </c>
      <c r="K500" s="15">
        <f>MIN(J500+G500,(J500+G500)*'Hoja 4 - Cálculo'!$B$15)</f>
        <v>0.62598999999999994</v>
      </c>
      <c r="L500" s="15">
        <f t="shared" si="103"/>
        <v>30.673509999999997</v>
      </c>
      <c r="M500" s="15">
        <f t="shared" si="104"/>
        <v>11.5</v>
      </c>
      <c r="N500" s="15">
        <f t="shared" si="105"/>
        <v>2</v>
      </c>
      <c r="O500" s="15">
        <f t="shared" si="106"/>
        <v>17.173509999999997</v>
      </c>
      <c r="P500" s="15">
        <f t="shared" si="107"/>
        <v>0</v>
      </c>
      <c r="Q500" s="14" t="str">
        <f>IF(M500&gt;=I500*'Hoja 4 - Cálculo'!$B$16,"Satisfactorio","Falla")</f>
        <v>Satisfactorio</v>
      </c>
      <c r="R500" s="14">
        <f t="shared" si="114"/>
        <v>0</v>
      </c>
      <c r="S500" s="14">
        <f t="shared" si="115"/>
        <v>0</v>
      </c>
    </row>
    <row r="501" spans="1:19">
      <c r="A501" s="14" t="str">
        <f t="shared" si="112"/>
        <v>SRY-2-2</v>
      </c>
      <c r="B501" s="15">
        <f>'Curvas SRY'!$B$9</f>
        <v>2</v>
      </c>
      <c r="C501" s="15">
        <f>'Curvas SRY'!$E$9</f>
        <v>1</v>
      </c>
      <c r="D501" s="14" t="str">
        <f>'Curvas SRY'!$B$14</f>
        <v>Uso variable</v>
      </c>
      <c r="E501" s="14">
        <f>18</f>
        <v>18</v>
      </c>
      <c r="F501" s="21">
        <f>'Hoja 4 - Cálculo'!A42</f>
        <v>30103</v>
      </c>
      <c r="G501" s="15">
        <f>'Hoja 4 - Cálculo'!H42</f>
        <v>18.321750000000002</v>
      </c>
      <c r="H501" s="15">
        <f>IF(D501="Uso único",'Hoja 4 - Cálculo'!I42,IF(D501="Uso múltiple",AVERAGE('Hoja 4 - Cálculo'!$I$25:$I$384)+AVERAGE('Hoja 4 - Cálculo'!$J$25:$J$384)+AVERAGE('Hoja 4 - Cálculo'!$K$25:$K$384),IF(D501="Uso prioritario",'Hoja 4 - Cálculo'!I42+'Hoja 4 - Cálculo'!K42,'Hoja 4 - Cálculo'!I42+'Hoja 4 - Cálculo'!J42+'Hoja 4 - Cálculo'!K42)))</f>
        <v>11.5</v>
      </c>
      <c r="I501" s="15">
        <f t="shared" si="102"/>
        <v>11.5</v>
      </c>
      <c r="J501" s="15">
        <f t="shared" si="113"/>
        <v>2</v>
      </c>
      <c r="K501" s="15">
        <f>MIN(J501+G501,(J501+G501)*'Hoja 4 - Cálculo'!$B$15)</f>
        <v>0.40643500000000005</v>
      </c>
      <c r="L501" s="15">
        <f t="shared" si="103"/>
        <v>19.915315000000003</v>
      </c>
      <c r="M501" s="15">
        <f t="shared" si="104"/>
        <v>11.5</v>
      </c>
      <c r="N501" s="15">
        <f t="shared" si="105"/>
        <v>2</v>
      </c>
      <c r="O501" s="15">
        <f t="shared" si="106"/>
        <v>6.4153150000000032</v>
      </c>
      <c r="P501" s="15">
        <f t="shared" si="107"/>
        <v>0</v>
      </c>
      <c r="Q501" s="14" t="str">
        <f>IF(M501&gt;=I501*'Hoja 4 - Cálculo'!$B$16,"Satisfactorio","Falla")</f>
        <v>Satisfactorio</v>
      </c>
      <c r="R501" s="14">
        <f t="shared" si="114"/>
        <v>0</v>
      </c>
      <c r="S501" s="14">
        <f t="shared" si="115"/>
        <v>0</v>
      </c>
    </row>
    <row r="502" spans="1:19">
      <c r="A502" s="14" t="str">
        <f t="shared" si="112"/>
        <v>SRY-2-2</v>
      </c>
      <c r="B502" s="15">
        <f>'Curvas SRY'!$B$9</f>
        <v>2</v>
      </c>
      <c r="C502" s="15">
        <f>'Curvas SRY'!$E$9</f>
        <v>1</v>
      </c>
      <c r="D502" s="14" t="str">
        <f>'Curvas SRY'!$B$14</f>
        <v>Uso variable</v>
      </c>
      <c r="E502" s="14">
        <f>19</f>
        <v>19</v>
      </c>
      <c r="F502" s="21">
        <f>'Hoja 4 - Cálculo'!A43</f>
        <v>30133</v>
      </c>
      <c r="G502" s="15">
        <f>'Hoja 4 - Cálculo'!H43</f>
        <v>15.3765</v>
      </c>
      <c r="H502" s="15">
        <f>IF(D502="Uso único",'Hoja 4 - Cálculo'!I43,IF(D502="Uso múltiple",AVERAGE('Hoja 4 - Cálculo'!$I$25:$I$384)+AVERAGE('Hoja 4 - Cálculo'!$J$25:$J$384)+AVERAGE('Hoja 4 - Cálculo'!$K$25:$K$384),IF(D502="Uso prioritario",'Hoja 4 - Cálculo'!I43+'Hoja 4 - Cálculo'!K43,'Hoja 4 - Cálculo'!I43+'Hoja 4 - Cálculo'!J43+'Hoja 4 - Cálculo'!K43)))</f>
        <v>16</v>
      </c>
      <c r="I502" s="15">
        <f t="shared" si="102"/>
        <v>16</v>
      </c>
      <c r="J502" s="15">
        <f t="shared" si="113"/>
        <v>2</v>
      </c>
      <c r="K502" s="15">
        <f>MIN(J502+G502,(J502+G502)*'Hoja 4 - Cálculo'!$B$15)</f>
        <v>0.34753000000000001</v>
      </c>
      <c r="L502" s="15">
        <f t="shared" si="103"/>
        <v>17.028970000000001</v>
      </c>
      <c r="M502" s="15">
        <f t="shared" si="104"/>
        <v>16</v>
      </c>
      <c r="N502" s="15">
        <f t="shared" si="105"/>
        <v>1.0289700000000011</v>
      </c>
      <c r="O502" s="15">
        <f t="shared" si="106"/>
        <v>0</v>
      </c>
      <c r="P502" s="15">
        <f t="shared" si="107"/>
        <v>0</v>
      </c>
      <c r="Q502" s="14" t="str">
        <f>IF(M502&gt;=I502*'Hoja 4 - Cálculo'!$B$16,"Satisfactorio","Falla")</f>
        <v>Satisfactorio</v>
      </c>
      <c r="R502" s="14">
        <f t="shared" si="114"/>
        <v>0</v>
      </c>
      <c r="S502" s="14">
        <f t="shared" si="115"/>
        <v>0</v>
      </c>
    </row>
    <row r="503" spans="1:19">
      <c r="A503" s="14" t="str">
        <f t="shared" si="112"/>
        <v>SRY-2-2</v>
      </c>
      <c r="B503" s="15">
        <f>'Curvas SRY'!$B$9</f>
        <v>2</v>
      </c>
      <c r="C503" s="15">
        <f>'Curvas SRY'!$E$9</f>
        <v>1</v>
      </c>
      <c r="D503" s="14" t="str">
        <f>'Curvas SRY'!$B$14</f>
        <v>Uso variable</v>
      </c>
      <c r="E503" s="14">
        <f>20</f>
        <v>20</v>
      </c>
      <c r="F503" s="21">
        <f>'Hoja 4 - Cálculo'!A44</f>
        <v>30164</v>
      </c>
      <c r="G503" s="15">
        <f>'Hoja 4 - Cálculo'!H44</f>
        <v>16.466625000000001</v>
      </c>
      <c r="H503" s="15">
        <f>IF(D503="Uso único",'Hoja 4 - Cálculo'!I44,IF(D503="Uso múltiple",AVERAGE('Hoja 4 - Cálculo'!$I$25:$I$384)+AVERAGE('Hoja 4 - Cálculo'!$J$25:$J$384)+AVERAGE('Hoja 4 - Cálculo'!$K$25:$K$384),IF(D503="Uso prioritario",'Hoja 4 - Cálculo'!I44+'Hoja 4 - Cálculo'!K44,'Hoja 4 - Cálculo'!I44+'Hoja 4 - Cálculo'!J44+'Hoja 4 - Cálculo'!K44)))</f>
        <v>16</v>
      </c>
      <c r="I503" s="15">
        <f t="shared" si="102"/>
        <v>16</v>
      </c>
      <c r="J503" s="15">
        <f t="shared" si="113"/>
        <v>1.0289700000000011</v>
      </c>
      <c r="K503" s="15">
        <f>MIN(J503+G503,(J503+G503)*'Hoja 4 - Cálculo'!$B$15)</f>
        <v>0.34991190000000005</v>
      </c>
      <c r="L503" s="15">
        <f t="shared" si="103"/>
        <v>17.145683100000003</v>
      </c>
      <c r="M503" s="15">
        <f t="shared" si="104"/>
        <v>16</v>
      </c>
      <c r="N503" s="15">
        <f t="shared" si="105"/>
        <v>1.145683100000003</v>
      </c>
      <c r="O503" s="15">
        <f t="shared" si="106"/>
        <v>0</v>
      </c>
      <c r="P503" s="15">
        <f t="shared" si="107"/>
        <v>0</v>
      </c>
      <c r="Q503" s="14" t="str">
        <f>IF(M503&gt;=I503*'Hoja 4 - Cálculo'!$B$16,"Satisfactorio","Falla")</f>
        <v>Satisfactorio</v>
      </c>
      <c r="R503" s="14">
        <f t="shared" si="114"/>
        <v>0</v>
      </c>
      <c r="S503" s="14">
        <f t="shared" si="115"/>
        <v>0</v>
      </c>
    </row>
    <row r="504" spans="1:19">
      <c r="A504" s="14" t="str">
        <f t="shared" si="112"/>
        <v>SRY-2-2</v>
      </c>
      <c r="B504" s="15">
        <f>'Curvas SRY'!$B$9</f>
        <v>2</v>
      </c>
      <c r="C504" s="15">
        <f>'Curvas SRY'!$E$9</f>
        <v>1</v>
      </c>
      <c r="D504" s="14" t="str">
        <f>'Curvas SRY'!$B$14</f>
        <v>Uso variable</v>
      </c>
      <c r="E504" s="14">
        <f>21</f>
        <v>21</v>
      </c>
      <c r="F504" s="21">
        <f>'Hoja 4 - Cálculo'!A45</f>
        <v>30195</v>
      </c>
      <c r="G504" s="15">
        <f>'Hoja 4 - Cálculo'!H45</f>
        <v>25.837875</v>
      </c>
      <c r="H504" s="15">
        <f>IF(D504="Uso único",'Hoja 4 - Cálculo'!I45,IF(D504="Uso múltiple",AVERAGE('Hoja 4 - Cálculo'!$I$25:$I$384)+AVERAGE('Hoja 4 - Cálculo'!$J$25:$J$384)+AVERAGE('Hoja 4 - Cálculo'!$K$25:$K$384),IF(D504="Uso prioritario",'Hoja 4 - Cálculo'!I45+'Hoja 4 - Cálculo'!K45,'Hoja 4 - Cálculo'!I45+'Hoja 4 - Cálculo'!J45+'Hoja 4 - Cálculo'!K45)))</f>
        <v>11.5</v>
      </c>
      <c r="I504" s="15">
        <f t="shared" si="102"/>
        <v>11.5</v>
      </c>
      <c r="J504" s="15">
        <f t="shared" si="113"/>
        <v>1.145683100000003</v>
      </c>
      <c r="K504" s="15">
        <f>MIN(J504+G504,(J504+G504)*'Hoja 4 - Cálculo'!$B$15)</f>
        <v>0.53967116200000009</v>
      </c>
      <c r="L504" s="15">
        <f t="shared" si="103"/>
        <v>26.443886938000002</v>
      </c>
      <c r="M504" s="15">
        <f t="shared" si="104"/>
        <v>11.5</v>
      </c>
      <c r="N504" s="15">
        <f t="shared" si="105"/>
        <v>2</v>
      </c>
      <c r="O504" s="15">
        <f t="shared" si="106"/>
        <v>12.943886938000002</v>
      </c>
      <c r="P504" s="15">
        <f t="shared" si="107"/>
        <v>0</v>
      </c>
      <c r="Q504" s="14" t="str">
        <f>IF(M504&gt;=I504*'Hoja 4 - Cálculo'!$B$16,"Satisfactorio","Falla")</f>
        <v>Satisfactorio</v>
      </c>
      <c r="R504" s="14">
        <f t="shared" si="114"/>
        <v>0</v>
      </c>
      <c r="S504" s="14">
        <f t="shared" si="115"/>
        <v>0</v>
      </c>
    </row>
    <row r="505" spans="1:19">
      <c r="A505" s="14" t="str">
        <f t="shared" si="112"/>
        <v>SRY-2-2</v>
      </c>
      <c r="B505" s="15">
        <f>'Curvas SRY'!$B$9</f>
        <v>2</v>
      </c>
      <c r="C505" s="15">
        <f>'Curvas SRY'!$E$9</f>
        <v>1</v>
      </c>
      <c r="D505" s="14" t="str">
        <f>'Curvas SRY'!$B$14</f>
        <v>Uso variable</v>
      </c>
      <c r="E505" s="14">
        <f>22</f>
        <v>22</v>
      </c>
      <c r="F505" s="21">
        <f>'Hoja 4 - Cálculo'!A46</f>
        <v>30225</v>
      </c>
      <c r="G505" s="15">
        <f>'Hoja 4 - Cálculo'!H46</f>
        <v>33.46875</v>
      </c>
      <c r="H505" s="15">
        <f>IF(D505="Uso único",'Hoja 4 - Cálculo'!I46,IF(D505="Uso múltiple",AVERAGE('Hoja 4 - Cálculo'!$I$25:$I$384)+AVERAGE('Hoja 4 - Cálculo'!$J$25:$J$384)+AVERAGE('Hoja 4 - Cálculo'!$K$25:$K$384),IF(D505="Uso prioritario",'Hoja 4 - Cálculo'!I46+'Hoja 4 - Cálculo'!K46,'Hoja 4 - Cálculo'!I46+'Hoja 4 - Cálculo'!J46+'Hoja 4 - Cálculo'!K46)))</f>
        <v>11.5</v>
      </c>
      <c r="I505" s="15">
        <f t="shared" si="102"/>
        <v>11.5</v>
      </c>
      <c r="J505" s="15">
        <f t="shared" si="113"/>
        <v>2</v>
      </c>
      <c r="K505" s="15">
        <f>MIN(J505+G505,(J505+G505)*'Hoja 4 - Cálculo'!$B$15)</f>
        <v>0.70937499999999998</v>
      </c>
      <c r="L505" s="15">
        <f t="shared" si="103"/>
        <v>34.759374999999999</v>
      </c>
      <c r="M505" s="15">
        <f t="shared" si="104"/>
        <v>11.5</v>
      </c>
      <c r="N505" s="15">
        <f t="shared" si="105"/>
        <v>2</v>
      </c>
      <c r="O505" s="15">
        <f t="shared" si="106"/>
        <v>21.259374999999999</v>
      </c>
      <c r="P505" s="15">
        <f t="shared" si="107"/>
        <v>0</v>
      </c>
      <c r="Q505" s="14" t="str">
        <f>IF(M505&gt;=I505*'Hoja 4 - Cálculo'!$B$16,"Satisfactorio","Falla")</f>
        <v>Satisfactorio</v>
      </c>
      <c r="R505" s="14">
        <f t="shared" si="114"/>
        <v>0</v>
      </c>
      <c r="S505" s="14">
        <f t="shared" si="115"/>
        <v>0</v>
      </c>
    </row>
    <row r="506" spans="1:19">
      <c r="A506" s="14" t="str">
        <f t="shared" si="112"/>
        <v>SRY-2-2</v>
      </c>
      <c r="B506" s="15">
        <f>'Curvas SRY'!$B$9</f>
        <v>2</v>
      </c>
      <c r="C506" s="15">
        <f>'Curvas SRY'!$E$9</f>
        <v>1</v>
      </c>
      <c r="D506" s="14" t="str">
        <f>'Curvas SRY'!$B$14</f>
        <v>Uso variable</v>
      </c>
      <c r="E506" s="14">
        <f>23</f>
        <v>23</v>
      </c>
      <c r="F506" s="21">
        <f>'Hoja 4 - Cálculo'!A47</f>
        <v>30256</v>
      </c>
      <c r="G506" s="15">
        <f>'Hoja 4 - Cálculo'!H47</f>
        <v>27.578250000000001</v>
      </c>
      <c r="H506" s="15">
        <f>IF(D506="Uso único",'Hoja 4 - Cálculo'!I47,IF(D506="Uso múltiple",AVERAGE('Hoja 4 - Cálculo'!$I$25:$I$384)+AVERAGE('Hoja 4 - Cálculo'!$J$25:$J$384)+AVERAGE('Hoja 4 - Cálculo'!$K$25:$K$384),IF(D506="Uso prioritario",'Hoja 4 - Cálculo'!I47+'Hoja 4 - Cálculo'!K47,'Hoja 4 - Cálculo'!I47+'Hoja 4 - Cálculo'!J47+'Hoja 4 - Cálculo'!K47)))</f>
        <v>11.5</v>
      </c>
      <c r="I506" s="15">
        <f t="shared" si="102"/>
        <v>11.5</v>
      </c>
      <c r="J506" s="15">
        <f t="shared" si="113"/>
        <v>2</v>
      </c>
      <c r="K506" s="15">
        <f>MIN(J506+G506,(J506+G506)*'Hoja 4 - Cálculo'!$B$15)</f>
        <v>0.59156500000000001</v>
      </c>
      <c r="L506" s="15">
        <f t="shared" si="103"/>
        <v>28.986685000000001</v>
      </c>
      <c r="M506" s="15">
        <f t="shared" si="104"/>
        <v>11.5</v>
      </c>
      <c r="N506" s="15">
        <f t="shared" si="105"/>
        <v>2</v>
      </c>
      <c r="O506" s="15">
        <f t="shared" si="106"/>
        <v>15.486685000000001</v>
      </c>
      <c r="P506" s="15">
        <f t="shared" si="107"/>
        <v>0</v>
      </c>
      <c r="Q506" s="14" t="str">
        <f>IF(M506&gt;=I506*'Hoja 4 - Cálculo'!$B$16,"Satisfactorio","Falla")</f>
        <v>Satisfactorio</v>
      </c>
      <c r="R506" s="14">
        <f t="shared" si="114"/>
        <v>0</v>
      </c>
      <c r="S506" s="14">
        <f t="shared" si="115"/>
        <v>0</v>
      </c>
    </row>
    <row r="507" spans="1:19">
      <c r="A507" s="14" t="str">
        <f t="shared" si="112"/>
        <v>SRY-2-2</v>
      </c>
      <c r="B507" s="15">
        <f>'Curvas SRY'!$B$9</f>
        <v>2</v>
      </c>
      <c r="C507" s="15">
        <f>'Curvas SRY'!$E$9</f>
        <v>1</v>
      </c>
      <c r="D507" s="14" t="str">
        <f>'Curvas SRY'!$B$14</f>
        <v>Uso variable</v>
      </c>
      <c r="E507" s="14">
        <f>24</f>
        <v>24</v>
      </c>
      <c r="F507" s="21">
        <f>'Hoja 4 - Cálculo'!A48</f>
        <v>30286</v>
      </c>
      <c r="G507" s="15">
        <f>'Hoja 4 - Cálculo'!H48</f>
        <v>16.256250000000001</v>
      </c>
      <c r="H507" s="15">
        <f>IF(D507="Uso único",'Hoja 4 - Cálculo'!I48,IF(D507="Uso múltiple",AVERAGE('Hoja 4 - Cálculo'!$I$25:$I$384)+AVERAGE('Hoja 4 - Cálculo'!$J$25:$J$384)+AVERAGE('Hoja 4 - Cálculo'!$K$25:$K$384),IF(D507="Uso prioritario",'Hoja 4 - Cálculo'!I48+'Hoja 4 - Cálculo'!K48,'Hoja 4 - Cálculo'!I48+'Hoja 4 - Cálculo'!J48+'Hoja 4 - Cálculo'!K48)))</f>
        <v>16</v>
      </c>
      <c r="I507" s="15">
        <f t="shared" si="102"/>
        <v>16</v>
      </c>
      <c r="J507" s="15">
        <f t="shared" si="113"/>
        <v>2</v>
      </c>
      <c r="K507" s="15">
        <f>MIN(J507+G507,(J507+G507)*'Hoja 4 - Cálculo'!$B$15)</f>
        <v>0.36512500000000003</v>
      </c>
      <c r="L507" s="15">
        <f t="shared" si="103"/>
        <v>17.891125000000002</v>
      </c>
      <c r="M507" s="15">
        <f t="shared" si="104"/>
        <v>16</v>
      </c>
      <c r="N507" s="15">
        <f t="shared" si="105"/>
        <v>1.8911250000000024</v>
      </c>
      <c r="O507" s="15">
        <f t="shared" si="106"/>
        <v>0</v>
      </c>
      <c r="P507" s="15">
        <f t="shared" si="107"/>
        <v>0</v>
      </c>
      <c r="Q507" s="14" t="str">
        <f>IF(M507&gt;=I507*'Hoja 4 - Cálculo'!$B$16,"Satisfactorio","Falla")</f>
        <v>Satisfactorio</v>
      </c>
      <c r="R507" s="14">
        <f t="shared" si="114"/>
        <v>0</v>
      </c>
      <c r="S507" s="14">
        <f t="shared" si="115"/>
        <v>0</v>
      </c>
    </row>
    <row r="508" spans="1:19">
      <c r="A508" s="14" t="str">
        <f t="shared" si="112"/>
        <v>SRY-2-2</v>
      </c>
      <c r="B508" s="15">
        <f>'Curvas SRY'!$B$9</f>
        <v>2</v>
      </c>
      <c r="C508" s="15">
        <f>'Curvas SRY'!$E$9</f>
        <v>1</v>
      </c>
      <c r="D508" s="14" t="str">
        <f>'Curvas SRY'!$B$14</f>
        <v>Uso variable</v>
      </c>
      <c r="E508" s="14">
        <f>25</f>
        <v>25</v>
      </c>
      <c r="F508" s="21">
        <f>'Hoja 4 - Cálculo'!A49</f>
        <v>30317</v>
      </c>
      <c r="G508" s="15">
        <f>'Hoja 4 - Cálculo'!H49</f>
        <v>12.775499999999999</v>
      </c>
      <c r="H508" s="15">
        <f>IF(D508="Uso único",'Hoja 4 - Cálculo'!I49,IF(D508="Uso múltiple",AVERAGE('Hoja 4 - Cálculo'!$I$25:$I$384)+AVERAGE('Hoja 4 - Cálculo'!$J$25:$J$384)+AVERAGE('Hoja 4 - Cálculo'!$K$25:$K$384),IF(D508="Uso prioritario",'Hoja 4 - Cálculo'!I49+'Hoja 4 - Cálculo'!K49,'Hoja 4 - Cálculo'!I49+'Hoja 4 - Cálculo'!J49+'Hoja 4 - Cálculo'!K49)))</f>
        <v>16</v>
      </c>
      <c r="I508" s="15">
        <f t="shared" si="102"/>
        <v>16</v>
      </c>
      <c r="J508" s="15">
        <f t="shared" si="113"/>
        <v>1.8911250000000024</v>
      </c>
      <c r="K508" s="15">
        <f>MIN(J508+G508,(J508+G508)*'Hoja 4 - Cálculo'!$B$15)</f>
        <v>0.29333250000000005</v>
      </c>
      <c r="L508" s="15">
        <f t="shared" si="103"/>
        <v>14.373292500000002</v>
      </c>
      <c r="M508" s="15">
        <f t="shared" si="104"/>
        <v>14.373292500000002</v>
      </c>
      <c r="N508" s="15">
        <f t="shared" si="105"/>
        <v>0</v>
      </c>
      <c r="O508" s="15">
        <f t="shared" si="106"/>
        <v>0</v>
      </c>
      <c r="P508" s="15">
        <f t="shared" si="107"/>
        <v>1.6267074999999984</v>
      </c>
      <c r="Q508" s="14" t="str">
        <f>IF(M508&gt;=I508*'Hoja 4 - Cálculo'!$B$16,"Satisfactorio","Falla")</f>
        <v>Falla</v>
      </c>
      <c r="R508" s="14">
        <f t="shared" si="114"/>
        <v>0</v>
      </c>
      <c r="S508" s="14">
        <f t="shared" si="115"/>
        <v>1</v>
      </c>
    </row>
    <row r="509" spans="1:19">
      <c r="A509" s="14" t="str">
        <f t="shared" si="112"/>
        <v>SRY-2-2</v>
      </c>
      <c r="B509" s="15">
        <f>'Curvas SRY'!$B$9</f>
        <v>2</v>
      </c>
      <c r="C509" s="15">
        <f>'Curvas SRY'!$E$9</f>
        <v>1</v>
      </c>
      <c r="D509" s="14" t="str">
        <f>'Curvas SRY'!$B$14</f>
        <v>Uso variable</v>
      </c>
      <c r="E509" s="14">
        <f>26</f>
        <v>26</v>
      </c>
      <c r="F509" s="21">
        <f>'Hoja 4 - Cálculo'!A50</f>
        <v>30348</v>
      </c>
      <c r="G509" s="15">
        <f>'Hoja 4 - Cálculo'!H50</f>
        <v>14.49675</v>
      </c>
      <c r="H509" s="15">
        <f>IF(D509="Uso único",'Hoja 4 - Cálculo'!I50,IF(D509="Uso múltiple",AVERAGE('Hoja 4 - Cálculo'!$I$25:$I$384)+AVERAGE('Hoja 4 - Cálculo'!$J$25:$J$384)+AVERAGE('Hoja 4 - Cálculo'!$K$25:$K$384),IF(D509="Uso prioritario",'Hoja 4 - Cálculo'!I50+'Hoja 4 - Cálculo'!K50,'Hoja 4 - Cálculo'!I50+'Hoja 4 - Cálculo'!J50+'Hoja 4 - Cálculo'!K50)))</f>
        <v>16</v>
      </c>
      <c r="I509" s="15">
        <f t="shared" si="102"/>
        <v>16</v>
      </c>
      <c r="J509" s="15">
        <f t="shared" si="113"/>
        <v>0</v>
      </c>
      <c r="K509" s="15">
        <f>MIN(J509+G509,(J509+G509)*'Hoja 4 - Cálculo'!$B$15)</f>
        <v>0.289935</v>
      </c>
      <c r="L509" s="15">
        <f t="shared" si="103"/>
        <v>14.206815000000001</v>
      </c>
      <c r="M509" s="15">
        <f t="shared" si="104"/>
        <v>14.206815000000001</v>
      </c>
      <c r="N509" s="15">
        <f t="shared" si="105"/>
        <v>0</v>
      </c>
      <c r="O509" s="15">
        <f t="shared" si="106"/>
        <v>0</v>
      </c>
      <c r="P509" s="15">
        <f t="shared" si="107"/>
        <v>1.7931849999999994</v>
      </c>
      <c r="Q509" s="14" t="str">
        <f>IF(M509&gt;=I509*'Hoja 4 - Cálculo'!$B$16,"Satisfactorio","Falla")</f>
        <v>Falla</v>
      </c>
      <c r="R509" s="14">
        <f t="shared" si="114"/>
        <v>0</v>
      </c>
      <c r="S509" s="14">
        <f t="shared" si="115"/>
        <v>0</v>
      </c>
    </row>
    <row r="510" spans="1:19">
      <c r="A510" s="14" t="str">
        <f t="shared" si="112"/>
        <v>SRY-2-2</v>
      </c>
      <c r="B510" s="15">
        <f>'Curvas SRY'!$B$9</f>
        <v>2</v>
      </c>
      <c r="C510" s="15">
        <f>'Curvas SRY'!$E$9</f>
        <v>1</v>
      </c>
      <c r="D510" s="14" t="str">
        <f>'Curvas SRY'!$B$14</f>
        <v>Uso variable</v>
      </c>
      <c r="E510" s="14">
        <f>27</f>
        <v>27</v>
      </c>
      <c r="F510" s="21">
        <f>'Hoja 4 - Cálculo'!A51</f>
        <v>30376</v>
      </c>
      <c r="G510" s="15">
        <f>'Hoja 4 - Cálculo'!H51</f>
        <v>21.936375000000002</v>
      </c>
      <c r="H510" s="15">
        <f>IF(D510="Uso único",'Hoja 4 - Cálculo'!I51,IF(D510="Uso múltiple",AVERAGE('Hoja 4 - Cálculo'!$I$25:$I$384)+AVERAGE('Hoja 4 - Cálculo'!$J$25:$J$384)+AVERAGE('Hoja 4 - Cálculo'!$K$25:$K$384),IF(D510="Uso prioritario",'Hoja 4 - Cálculo'!I51+'Hoja 4 - Cálculo'!K51,'Hoja 4 - Cálculo'!I51+'Hoja 4 - Cálculo'!J51+'Hoja 4 - Cálculo'!K51)))</f>
        <v>16</v>
      </c>
      <c r="I510" s="15">
        <f t="shared" si="102"/>
        <v>16</v>
      </c>
      <c r="J510" s="15">
        <f t="shared" si="113"/>
        <v>0</v>
      </c>
      <c r="K510" s="15">
        <f>MIN(J510+G510,(J510+G510)*'Hoja 4 - Cálculo'!$B$15)</f>
        <v>0.43872750000000005</v>
      </c>
      <c r="L510" s="15">
        <f t="shared" si="103"/>
        <v>21.497647500000003</v>
      </c>
      <c r="M510" s="15">
        <f t="shared" si="104"/>
        <v>16</v>
      </c>
      <c r="N510" s="15">
        <f t="shared" si="105"/>
        <v>2</v>
      </c>
      <c r="O510" s="15">
        <f t="shared" si="106"/>
        <v>3.4976475000000029</v>
      </c>
      <c r="P510" s="15">
        <f t="shared" si="107"/>
        <v>0</v>
      </c>
      <c r="Q510" s="14" t="str">
        <f>IF(M510&gt;=I510*'Hoja 4 - Cálculo'!$B$16,"Satisfactorio","Falla")</f>
        <v>Satisfactorio</v>
      </c>
      <c r="R510" s="14">
        <f t="shared" si="114"/>
        <v>1</v>
      </c>
      <c r="S510" s="14">
        <f t="shared" si="115"/>
        <v>0</v>
      </c>
    </row>
    <row r="511" spans="1:19">
      <c r="A511" s="14" t="str">
        <f t="shared" si="112"/>
        <v>SRY-2-2</v>
      </c>
      <c r="B511" s="15">
        <f>'Curvas SRY'!$B$9</f>
        <v>2</v>
      </c>
      <c r="C511" s="15">
        <f>'Curvas SRY'!$E$9</f>
        <v>1</v>
      </c>
      <c r="D511" s="14" t="str">
        <f>'Curvas SRY'!$B$14</f>
        <v>Uso variable</v>
      </c>
      <c r="E511" s="14">
        <f>28</f>
        <v>28</v>
      </c>
      <c r="F511" s="21">
        <f>'Hoja 4 - Cálculo'!A52</f>
        <v>30407</v>
      </c>
      <c r="G511" s="15">
        <f>'Hoja 4 - Cálculo'!H52</f>
        <v>32.263874999999999</v>
      </c>
      <c r="H511" s="15">
        <f>IF(D511="Uso único",'Hoja 4 - Cálculo'!I52,IF(D511="Uso múltiple",AVERAGE('Hoja 4 - Cálculo'!$I$25:$I$384)+AVERAGE('Hoja 4 - Cálculo'!$J$25:$J$384)+AVERAGE('Hoja 4 - Cálculo'!$K$25:$K$384),IF(D511="Uso prioritario",'Hoja 4 - Cálculo'!I52+'Hoja 4 - Cálculo'!K52,'Hoja 4 - Cálculo'!I52+'Hoja 4 - Cálculo'!J52+'Hoja 4 - Cálculo'!K52)))</f>
        <v>11.5</v>
      </c>
      <c r="I511" s="15">
        <f t="shared" si="102"/>
        <v>11.5</v>
      </c>
      <c r="J511" s="15">
        <f t="shared" si="113"/>
        <v>2</v>
      </c>
      <c r="K511" s="15">
        <f>MIN(J511+G511,(J511+G511)*'Hoja 4 - Cálculo'!$B$15)</f>
        <v>0.68527749999999998</v>
      </c>
      <c r="L511" s="15">
        <f t="shared" si="103"/>
        <v>33.578597500000001</v>
      </c>
      <c r="M511" s="15">
        <f t="shared" si="104"/>
        <v>11.5</v>
      </c>
      <c r="N511" s="15">
        <f t="shared" si="105"/>
        <v>2</v>
      </c>
      <c r="O511" s="15">
        <f t="shared" si="106"/>
        <v>20.078597500000001</v>
      </c>
      <c r="P511" s="15">
        <f t="shared" si="107"/>
        <v>0</v>
      </c>
      <c r="Q511" s="14" t="str">
        <f>IF(M511&gt;=I511*'Hoja 4 - Cálculo'!$B$16,"Satisfactorio","Falla")</f>
        <v>Satisfactorio</v>
      </c>
      <c r="R511" s="14">
        <f t="shared" si="114"/>
        <v>0</v>
      </c>
      <c r="S511" s="14">
        <f t="shared" si="115"/>
        <v>0</v>
      </c>
    </row>
    <row r="512" spans="1:19">
      <c r="A512" s="14" t="str">
        <f t="shared" si="112"/>
        <v>SRY-2-2</v>
      </c>
      <c r="B512" s="15">
        <f>'Curvas SRY'!$B$9</f>
        <v>2</v>
      </c>
      <c r="C512" s="15">
        <f>'Curvas SRY'!$E$9</f>
        <v>1</v>
      </c>
      <c r="D512" s="14" t="str">
        <f>'Curvas SRY'!$B$14</f>
        <v>Uso variable</v>
      </c>
      <c r="E512" s="14">
        <f>29</f>
        <v>29</v>
      </c>
      <c r="F512" s="21">
        <f>'Hoja 4 - Cálculo'!A53</f>
        <v>30437</v>
      </c>
      <c r="G512" s="15">
        <f>'Hoja 4 - Cálculo'!H53</f>
        <v>29.356874999999999</v>
      </c>
      <c r="H512" s="15">
        <f>IF(D512="Uso único",'Hoja 4 - Cálculo'!I53,IF(D512="Uso múltiple",AVERAGE('Hoja 4 - Cálculo'!$I$25:$I$384)+AVERAGE('Hoja 4 - Cálculo'!$J$25:$J$384)+AVERAGE('Hoja 4 - Cálculo'!$K$25:$K$384),IF(D512="Uso prioritario",'Hoja 4 - Cálculo'!I53+'Hoja 4 - Cálculo'!K53,'Hoja 4 - Cálculo'!I53+'Hoja 4 - Cálculo'!J53+'Hoja 4 - Cálculo'!K53)))</f>
        <v>11.5</v>
      </c>
      <c r="I512" s="15">
        <f t="shared" si="102"/>
        <v>11.5</v>
      </c>
      <c r="J512" s="15">
        <f t="shared" si="113"/>
        <v>2</v>
      </c>
      <c r="K512" s="15">
        <f>MIN(J512+G512,(J512+G512)*'Hoja 4 - Cálculo'!$B$15)</f>
        <v>0.62713750000000001</v>
      </c>
      <c r="L512" s="15">
        <f t="shared" si="103"/>
        <v>30.729737499999999</v>
      </c>
      <c r="M512" s="15">
        <f t="shared" si="104"/>
        <v>11.5</v>
      </c>
      <c r="N512" s="15">
        <f t="shared" si="105"/>
        <v>2</v>
      </c>
      <c r="O512" s="15">
        <f t="shared" si="106"/>
        <v>17.229737499999999</v>
      </c>
      <c r="P512" s="15">
        <f t="shared" si="107"/>
        <v>0</v>
      </c>
      <c r="Q512" s="14" t="str">
        <f>IF(M512&gt;=I512*'Hoja 4 - Cálculo'!$B$16,"Satisfactorio","Falla")</f>
        <v>Satisfactorio</v>
      </c>
      <c r="R512" s="14">
        <f t="shared" si="114"/>
        <v>0</v>
      </c>
      <c r="S512" s="14">
        <f t="shared" si="115"/>
        <v>0</v>
      </c>
    </row>
    <row r="513" spans="1:19">
      <c r="A513" s="14" t="str">
        <f t="shared" si="112"/>
        <v>SRY-2-2</v>
      </c>
      <c r="B513" s="15">
        <f>'Curvas SRY'!$B$9</f>
        <v>2</v>
      </c>
      <c r="C513" s="15">
        <f>'Curvas SRY'!$E$9</f>
        <v>1</v>
      </c>
      <c r="D513" s="14" t="str">
        <f>'Curvas SRY'!$B$14</f>
        <v>Uso variable</v>
      </c>
      <c r="E513" s="14">
        <f>30</f>
        <v>30</v>
      </c>
      <c r="F513" s="21">
        <f>'Hoja 4 - Cálculo'!A54</f>
        <v>30468</v>
      </c>
      <c r="G513" s="15">
        <f>'Hoja 4 - Cálculo'!H54</f>
        <v>17.212499999999999</v>
      </c>
      <c r="H513" s="15">
        <f>IF(D513="Uso único",'Hoja 4 - Cálculo'!I54,IF(D513="Uso múltiple",AVERAGE('Hoja 4 - Cálculo'!$I$25:$I$384)+AVERAGE('Hoja 4 - Cálculo'!$J$25:$J$384)+AVERAGE('Hoja 4 - Cálculo'!$K$25:$K$384),IF(D513="Uso prioritario",'Hoja 4 - Cálculo'!I54+'Hoja 4 - Cálculo'!K54,'Hoja 4 - Cálculo'!I54+'Hoja 4 - Cálculo'!J54+'Hoja 4 - Cálculo'!K54)))</f>
        <v>11.5</v>
      </c>
      <c r="I513" s="15">
        <f t="shared" si="102"/>
        <v>11.5</v>
      </c>
      <c r="J513" s="15">
        <f t="shared" si="113"/>
        <v>2</v>
      </c>
      <c r="K513" s="15">
        <f>MIN(J513+G513,(J513+G513)*'Hoja 4 - Cálculo'!$B$15)</f>
        <v>0.38424999999999998</v>
      </c>
      <c r="L513" s="15">
        <f t="shared" si="103"/>
        <v>18.828249999999997</v>
      </c>
      <c r="M513" s="15">
        <f t="shared" si="104"/>
        <v>11.5</v>
      </c>
      <c r="N513" s="15">
        <f t="shared" si="105"/>
        <v>2</v>
      </c>
      <c r="O513" s="15">
        <f t="shared" si="106"/>
        <v>5.328249999999997</v>
      </c>
      <c r="P513" s="15">
        <f t="shared" si="107"/>
        <v>0</v>
      </c>
      <c r="Q513" s="14" t="str">
        <f>IF(M513&gt;=I513*'Hoja 4 - Cálculo'!$B$16,"Satisfactorio","Falla")</f>
        <v>Satisfactorio</v>
      </c>
      <c r="R513" s="14">
        <f t="shared" si="114"/>
        <v>0</v>
      </c>
      <c r="S513" s="14">
        <f t="shared" si="115"/>
        <v>0</v>
      </c>
    </row>
    <row r="514" spans="1:19">
      <c r="A514" s="14" t="str">
        <f t="shared" si="112"/>
        <v>SRY-2-2</v>
      </c>
      <c r="B514" s="15">
        <f>'Curvas SRY'!$B$9</f>
        <v>2</v>
      </c>
      <c r="C514" s="15">
        <f>'Curvas SRY'!$E$9</f>
        <v>1</v>
      </c>
      <c r="D514" s="14" t="str">
        <f>'Curvas SRY'!$B$14</f>
        <v>Uso variable</v>
      </c>
      <c r="E514" s="14">
        <f>31</f>
        <v>31</v>
      </c>
      <c r="F514" s="21">
        <f>'Hoja 4 - Cálculo'!A55</f>
        <v>30498</v>
      </c>
      <c r="G514" s="15">
        <f>'Hoja 4 - Cálculo'!H55</f>
        <v>13.597875</v>
      </c>
      <c r="H514" s="15">
        <f>IF(D514="Uso único",'Hoja 4 - Cálculo'!I55,IF(D514="Uso múltiple",AVERAGE('Hoja 4 - Cálculo'!$I$25:$I$384)+AVERAGE('Hoja 4 - Cálculo'!$J$25:$J$384)+AVERAGE('Hoja 4 - Cálculo'!$K$25:$K$384),IF(D514="Uso prioritario",'Hoja 4 - Cálculo'!I55+'Hoja 4 - Cálculo'!K55,'Hoja 4 - Cálculo'!I55+'Hoja 4 - Cálculo'!J55+'Hoja 4 - Cálculo'!K55)))</f>
        <v>16</v>
      </c>
      <c r="I514" s="15">
        <f t="shared" si="102"/>
        <v>16</v>
      </c>
      <c r="J514" s="15">
        <f t="shared" si="113"/>
        <v>2</v>
      </c>
      <c r="K514" s="15">
        <f>MIN(J514+G514,(J514+G514)*'Hoja 4 - Cálculo'!$B$15)</f>
        <v>0.3119575</v>
      </c>
      <c r="L514" s="15">
        <f t="shared" si="103"/>
        <v>15.2859175</v>
      </c>
      <c r="M514" s="15">
        <f t="shared" si="104"/>
        <v>15.2859175</v>
      </c>
      <c r="N514" s="15">
        <f t="shared" si="105"/>
        <v>0</v>
      </c>
      <c r="O514" s="15">
        <f t="shared" si="106"/>
        <v>0</v>
      </c>
      <c r="P514" s="15">
        <f t="shared" si="107"/>
        <v>0.71408249999999995</v>
      </c>
      <c r="Q514" s="14" t="str">
        <f>IF(M514&gt;=I514*'Hoja 4 - Cálculo'!$B$16,"Satisfactorio","Falla")</f>
        <v>Falla</v>
      </c>
      <c r="R514" s="14">
        <f t="shared" si="114"/>
        <v>0</v>
      </c>
      <c r="S514" s="14">
        <f t="shared" si="115"/>
        <v>1</v>
      </c>
    </row>
    <row r="515" spans="1:19">
      <c r="A515" s="14" t="str">
        <f t="shared" si="112"/>
        <v>SRY-2-2</v>
      </c>
      <c r="B515" s="15">
        <f>'Curvas SRY'!$B$9</f>
        <v>2</v>
      </c>
      <c r="C515" s="15">
        <f>'Curvas SRY'!$E$9</f>
        <v>1</v>
      </c>
      <c r="D515" s="14" t="str">
        <f>'Curvas SRY'!$B$14</f>
        <v>Uso variable</v>
      </c>
      <c r="E515" s="14">
        <f>32</f>
        <v>32</v>
      </c>
      <c r="F515" s="21">
        <f>'Hoja 4 - Cálculo'!A56</f>
        <v>30529</v>
      </c>
      <c r="G515" s="15">
        <f>'Hoja 4 - Cálculo'!H56</f>
        <v>14.592375000000001</v>
      </c>
      <c r="H515" s="15">
        <f>IF(D515="Uso único",'Hoja 4 - Cálculo'!I56,IF(D515="Uso múltiple",AVERAGE('Hoja 4 - Cálculo'!$I$25:$I$384)+AVERAGE('Hoja 4 - Cálculo'!$J$25:$J$384)+AVERAGE('Hoja 4 - Cálculo'!$K$25:$K$384),IF(D515="Uso prioritario",'Hoja 4 - Cálculo'!I56+'Hoja 4 - Cálculo'!K56,'Hoja 4 - Cálculo'!I56+'Hoja 4 - Cálculo'!J56+'Hoja 4 - Cálculo'!K56)))</f>
        <v>16</v>
      </c>
      <c r="I515" s="15">
        <f t="shared" si="102"/>
        <v>16</v>
      </c>
      <c r="J515" s="15">
        <f t="shared" si="113"/>
        <v>0</v>
      </c>
      <c r="K515" s="15">
        <f>MIN(J515+G515,(J515+G515)*'Hoja 4 - Cálculo'!$B$15)</f>
        <v>0.29184750000000004</v>
      </c>
      <c r="L515" s="15">
        <f t="shared" si="103"/>
        <v>14.300527500000001</v>
      </c>
      <c r="M515" s="15">
        <f t="shared" si="104"/>
        <v>14.300527500000001</v>
      </c>
      <c r="N515" s="15">
        <f t="shared" si="105"/>
        <v>0</v>
      </c>
      <c r="O515" s="15">
        <f t="shared" si="106"/>
        <v>0</v>
      </c>
      <c r="P515" s="15">
        <f t="shared" si="107"/>
        <v>1.6994724999999988</v>
      </c>
      <c r="Q515" s="14" t="str">
        <f>IF(M515&gt;=I515*'Hoja 4 - Cálculo'!$B$16,"Satisfactorio","Falla")</f>
        <v>Falla</v>
      </c>
      <c r="R515" s="14">
        <f t="shared" si="114"/>
        <v>0</v>
      </c>
      <c r="S515" s="14">
        <f t="shared" si="115"/>
        <v>0</v>
      </c>
    </row>
    <row r="516" spans="1:19">
      <c r="A516" s="14" t="str">
        <f t="shared" ref="A516:A547" si="116">"SRY-2-2"</f>
        <v>SRY-2-2</v>
      </c>
      <c r="B516" s="15">
        <f>'Curvas SRY'!$B$9</f>
        <v>2</v>
      </c>
      <c r="C516" s="15">
        <f>'Curvas SRY'!$E$9</f>
        <v>1</v>
      </c>
      <c r="D516" s="14" t="str">
        <f>'Curvas SRY'!$B$14</f>
        <v>Uso variable</v>
      </c>
      <c r="E516" s="14">
        <f>33</f>
        <v>33</v>
      </c>
      <c r="F516" s="21">
        <f>'Hoja 4 - Cálculo'!A57</f>
        <v>30560</v>
      </c>
      <c r="G516" s="15">
        <f>'Hoja 4 - Cálculo'!H57</f>
        <v>24.307874999999999</v>
      </c>
      <c r="H516" s="15">
        <f>IF(D516="Uso único",'Hoja 4 - Cálculo'!I57,IF(D516="Uso múltiple",AVERAGE('Hoja 4 - Cálculo'!$I$25:$I$384)+AVERAGE('Hoja 4 - Cálculo'!$J$25:$J$384)+AVERAGE('Hoja 4 - Cálculo'!$K$25:$K$384),IF(D516="Uso prioritario",'Hoja 4 - Cálculo'!I57+'Hoja 4 - Cálculo'!K57,'Hoja 4 - Cálculo'!I57+'Hoja 4 - Cálculo'!J57+'Hoja 4 - Cálculo'!K57)))</f>
        <v>11.5</v>
      </c>
      <c r="I516" s="15">
        <f t="shared" ref="I516:I579" si="117">H516*C516</f>
        <v>11.5</v>
      </c>
      <c r="J516" s="15">
        <f t="shared" si="113"/>
        <v>0</v>
      </c>
      <c r="K516" s="15">
        <f>MIN(J516+G516,(J516+G516)*'Hoja 4 - Cálculo'!$B$15)</f>
        <v>0.48615750000000002</v>
      </c>
      <c r="L516" s="15">
        <f t="shared" ref="L516:L579" si="118">MAX(0,J516+G516-K516)</f>
        <v>23.821717499999998</v>
      </c>
      <c r="M516" s="15">
        <f t="shared" ref="M516:M579" si="119">MIN(I516,L516)</f>
        <v>11.5</v>
      </c>
      <c r="N516" s="15">
        <f t="shared" ref="N516:N579" si="120">MIN(B516,MAX(0,L516-M516))</f>
        <v>2</v>
      </c>
      <c r="O516" s="15">
        <f t="shared" ref="O516:O579" si="121">MAX(0,L516-M516-B516)</f>
        <v>10.321717499999998</v>
      </c>
      <c r="P516" s="15">
        <f t="shared" ref="P516:P579" si="122">MAX(0,I516-M516)</f>
        <v>0</v>
      </c>
      <c r="Q516" s="14" t="str">
        <f>IF(M516&gt;=I516*'Hoja 4 - Cálculo'!$B$16,"Satisfactorio","Falla")</f>
        <v>Satisfactorio</v>
      </c>
      <c r="R516" s="14">
        <f t="shared" si="114"/>
        <v>1</v>
      </c>
      <c r="S516" s="14">
        <f t="shared" si="115"/>
        <v>0</v>
      </c>
    </row>
    <row r="517" spans="1:19">
      <c r="A517" s="14" t="str">
        <f t="shared" si="116"/>
        <v>SRY-2-2</v>
      </c>
      <c r="B517" s="15">
        <f>'Curvas SRY'!$B$9</f>
        <v>2</v>
      </c>
      <c r="C517" s="15">
        <f>'Curvas SRY'!$E$9</f>
        <v>1</v>
      </c>
      <c r="D517" s="14" t="str">
        <f>'Curvas SRY'!$B$14</f>
        <v>Uso variable</v>
      </c>
      <c r="E517" s="14">
        <f>34</f>
        <v>34</v>
      </c>
      <c r="F517" s="21">
        <f>'Hoja 4 - Cálculo'!A58</f>
        <v>30590</v>
      </c>
      <c r="G517" s="15">
        <f>'Hoja 4 - Cálculo'!H58</f>
        <v>33.564374999999998</v>
      </c>
      <c r="H517" s="15">
        <f>IF(D517="Uso único",'Hoja 4 - Cálculo'!I58,IF(D517="Uso múltiple",AVERAGE('Hoja 4 - Cálculo'!$I$25:$I$384)+AVERAGE('Hoja 4 - Cálculo'!$J$25:$J$384)+AVERAGE('Hoja 4 - Cálculo'!$K$25:$K$384),IF(D517="Uso prioritario",'Hoja 4 - Cálculo'!I58+'Hoja 4 - Cálculo'!K58,'Hoja 4 - Cálculo'!I58+'Hoja 4 - Cálculo'!J58+'Hoja 4 - Cálculo'!K58)))</f>
        <v>11.5</v>
      </c>
      <c r="I517" s="15">
        <f t="shared" si="117"/>
        <v>11.5</v>
      </c>
      <c r="J517" s="15">
        <f t="shared" ref="J517:J548" si="123">N516</f>
        <v>2</v>
      </c>
      <c r="K517" s="15">
        <f>MIN(J517+G517,(J517+G517)*'Hoja 4 - Cálculo'!$B$15)</f>
        <v>0.71128749999999996</v>
      </c>
      <c r="L517" s="15">
        <f t="shared" si="118"/>
        <v>34.853087500000001</v>
      </c>
      <c r="M517" s="15">
        <f t="shared" si="119"/>
        <v>11.5</v>
      </c>
      <c r="N517" s="15">
        <f t="shared" si="120"/>
        <v>2</v>
      </c>
      <c r="O517" s="15">
        <f t="shared" si="121"/>
        <v>21.353087500000001</v>
      </c>
      <c r="P517" s="15">
        <f t="shared" si="122"/>
        <v>0</v>
      </c>
      <c r="Q517" s="14" t="str">
        <f>IF(M517&gt;=I517*'Hoja 4 - Cálculo'!$B$16,"Satisfactorio","Falla")</f>
        <v>Satisfactorio</v>
      </c>
      <c r="R517" s="14">
        <f t="shared" ref="R517:R548" si="124">IF(AND(Q516="Falla",Q517="Satisfactorio"),1,0)</f>
        <v>0</v>
      </c>
      <c r="S517" s="14">
        <f t="shared" ref="S517:S548" si="125">IF(AND(Q517="Falla",Q516&lt;&gt;"Falla"),1,0)</f>
        <v>0</v>
      </c>
    </row>
    <row r="518" spans="1:19">
      <c r="A518" s="14" t="str">
        <f t="shared" si="116"/>
        <v>SRY-2-2</v>
      </c>
      <c r="B518" s="15">
        <f>'Curvas SRY'!$B$9</f>
        <v>2</v>
      </c>
      <c r="C518" s="15">
        <f>'Curvas SRY'!$E$9</f>
        <v>1</v>
      </c>
      <c r="D518" s="14" t="str">
        <f>'Curvas SRY'!$B$14</f>
        <v>Uso variable</v>
      </c>
      <c r="E518" s="14">
        <f>35</f>
        <v>35</v>
      </c>
      <c r="F518" s="21">
        <f>'Hoja 4 - Cálculo'!A59</f>
        <v>30621</v>
      </c>
      <c r="G518" s="15">
        <f>'Hoja 4 - Cálculo'!H59</f>
        <v>28.075500000000002</v>
      </c>
      <c r="H518" s="15">
        <f>IF(D518="Uso único",'Hoja 4 - Cálculo'!I59,IF(D518="Uso múltiple",AVERAGE('Hoja 4 - Cálculo'!$I$25:$I$384)+AVERAGE('Hoja 4 - Cálculo'!$J$25:$J$384)+AVERAGE('Hoja 4 - Cálculo'!$K$25:$K$384),IF(D518="Uso prioritario",'Hoja 4 - Cálculo'!I59+'Hoja 4 - Cálculo'!K59,'Hoja 4 - Cálculo'!I59+'Hoja 4 - Cálculo'!J59+'Hoja 4 - Cálculo'!K59)))</f>
        <v>11.5</v>
      </c>
      <c r="I518" s="15">
        <f t="shared" si="117"/>
        <v>11.5</v>
      </c>
      <c r="J518" s="15">
        <f t="shared" si="123"/>
        <v>2</v>
      </c>
      <c r="K518" s="15">
        <f>MIN(J518+G518,(J518+G518)*'Hoja 4 - Cálculo'!$B$15)</f>
        <v>0.6015100000000001</v>
      </c>
      <c r="L518" s="15">
        <f t="shared" si="118"/>
        <v>29.473990000000001</v>
      </c>
      <c r="M518" s="15">
        <f t="shared" si="119"/>
        <v>11.5</v>
      </c>
      <c r="N518" s="15">
        <f t="shared" si="120"/>
        <v>2</v>
      </c>
      <c r="O518" s="15">
        <f t="shared" si="121"/>
        <v>15.973990000000001</v>
      </c>
      <c r="P518" s="15">
        <f t="shared" si="122"/>
        <v>0</v>
      </c>
      <c r="Q518" s="14" t="str">
        <f>IF(M518&gt;=I518*'Hoja 4 - Cálculo'!$B$16,"Satisfactorio","Falla")</f>
        <v>Satisfactorio</v>
      </c>
      <c r="R518" s="14">
        <f t="shared" si="124"/>
        <v>0</v>
      </c>
      <c r="S518" s="14">
        <f t="shared" si="125"/>
        <v>0</v>
      </c>
    </row>
    <row r="519" spans="1:19">
      <c r="A519" s="14" t="str">
        <f t="shared" si="116"/>
        <v>SRY-2-2</v>
      </c>
      <c r="B519" s="15">
        <f>'Curvas SRY'!$B$9</f>
        <v>2</v>
      </c>
      <c r="C519" s="15">
        <f>'Curvas SRY'!$E$9</f>
        <v>1</v>
      </c>
      <c r="D519" s="14" t="str">
        <f>'Curvas SRY'!$B$14</f>
        <v>Uso variable</v>
      </c>
      <c r="E519" s="14">
        <f>36</f>
        <v>36</v>
      </c>
      <c r="F519" s="21">
        <f>'Hoja 4 - Cálculo'!A60</f>
        <v>30651</v>
      </c>
      <c r="G519" s="15">
        <f>'Hoja 4 - Cálculo'!H60</f>
        <v>15.931125</v>
      </c>
      <c r="H519" s="15">
        <f>IF(D519="Uso único",'Hoja 4 - Cálculo'!I60,IF(D519="Uso múltiple",AVERAGE('Hoja 4 - Cálculo'!$I$25:$I$384)+AVERAGE('Hoja 4 - Cálculo'!$J$25:$J$384)+AVERAGE('Hoja 4 - Cálculo'!$K$25:$K$384),IF(D519="Uso prioritario",'Hoja 4 - Cálculo'!I60+'Hoja 4 - Cálculo'!K60,'Hoja 4 - Cálculo'!I60+'Hoja 4 - Cálculo'!J60+'Hoja 4 - Cálculo'!K60)))</f>
        <v>16</v>
      </c>
      <c r="I519" s="15">
        <f t="shared" si="117"/>
        <v>16</v>
      </c>
      <c r="J519" s="15">
        <f t="shared" si="123"/>
        <v>2</v>
      </c>
      <c r="K519" s="15">
        <f>MIN(J519+G519,(J519+G519)*'Hoja 4 - Cálculo'!$B$15)</f>
        <v>0.35862250000000001</v>
      </c>
      <c r="L519" s="15">
        <f t="shared" si="118"/>
        <v>17.572502500000002</v>
      </c>
      <c r="M519" s="15">
        <f t="shared" si="119"/>
        <v>16</v>
      </c>
      <c r="N519" s="15">
        <f t="shared" si="120"/>
        <v>1.5725025000000024</v>
      </c>
      <c r="O519" s="15">
        <f t="shared" si="121"/>
        <v>0</v>
      </c>
      <c r="P519" s="15">
        <f t="shared" si="122"/>
        <v>0</v>
      </c>
      <c r="Q519" s="14" t="str">
        <f>IF(M519&gt;=I519*'Hoja 4 - Cálculo'!$B$16,"Satisfactorio","Falla")</f>
        <v>Satisfactorio</v>
      </c>
      <c r="R519" s="14">
        <f t="shared" si="124"/>
        <v>0</v>
      </c>
      <c r="S519" s="14">
        <f t="shared" si="125"/>
        <v>0</v>
      </c>
    </row>
    <row r="520" spans="1:19">
      <c r="A520" s="14" t="str">
        <f t="shared" si="116"/>
        <v>SRY-2-2</v>
      </c>
      <c r="B520" s="15">
        <f>'Curvas SRY'!$B$9</f>
        <v>2</v>
      </c>
      <c r="C520" s="15">
        <f>'Curvas SRY'!$E$9</f>
        <v>1</v>
      </c>
      <c r="D520" s="14" t="str">
        <f>'Curvas SRY'!$B$14</f>
        <v>Uso variable</v>
      </c>
      <c r="E520" s="14">
        <f>37</f>
        <v>37</v>
      </c>
      <c r="F520" s="21">
        <f>'Hoja 4 - Cálculo'!A61</f>
        <v>30682</v>
      </c>
      <c r="G520" s="15">
        <f>'Hoja 4 - Cálculo'!H61</f>
        <v>10.920375</v>
      </c>
      <c r="H520" s="15">
        <f>IF(D520="Uso único",'Hoja 4 - Cálculo'!I61,IF(D520="Uso múltiple",AVERAGE('Hoja 4 - Cálculo'!$I$25:$I$384)+AVERAGE('Hoja 4 - Cálculo'!$J$25:$J$384)+AVERAGE('Hoja 4 - Cálculo'!$K$25:$K$384),IF(D520="Uso prioritario",'Hoja 4 - Cálculo'!I61+'Hoja 4 - Cálculo'!K61,'Hoja 4 - Cálculo'!I61+'Hoja 4 - Cálculo'!J61+'Hoja 4 - Cálculo'!K61)))</f>
        <v>16</v>
      </c>
      <c r="I520" s="15">
        <f t="shared" si="117"/>
        <v>16</v>
      </c>
      <c r="J520" s="15">
        <f t="shared" si="123"/>
        <v>1.5725025000000024</v>
      </c>
      <c r="K520" s="15">
        <f>MIN(J520+G520,(J520+G520)*'Hoja 4 - Cálculo'!$B$15)</f>
        <v>0.24985755000000004</v>
      </c>
      <c r="L520" s="15">
        <f t="shared" si="118"/>
        <v>12.243019950000003</v>
      </c>
      <c r="M520" s="15">
        <f t="shared" si="119"/>
        <v>12.243019950000003</v>
      </c>
      <c r="N520" s="15">
        <f t="shared" si="120"/>
        <v>0</v>
      </c>
      <c r="O520" s="15">
        <f t="shared" si="121"/>
        <v>0</v>
      </c>
      <c r="P520" s="15">
        <f t="shared" si="122"/>
        <v>3.7569800499999975</v>
      </c>
      <c r="Q520" s="14" t="str">
        <f>IF(M520&gt;=I520*'Hoja 4 - Cálculo'!$B$16,"Satisfactorio","Falla")</f>
        <v>Falla</v>
      </c>
      <c r="R520" s="14">
        <f t="shared" si="124"/>
        <v>0</v>
      </c>
      <c r="S520" s="14">
        <f t="shared" si="125"/>
        <v>1</v>
      </c>
    </row>
    <row r="521" spans="1:19">
      <c r="A521" s="14" t="str">
        <f t="shared" si="116"/>
        <v>SRY-2-2</v>
      </c>
      <c r="B521" s="15">
        <f>'Curvas SRY'!$B$9</f>
        <v>2</v>
      </c>
      <c r="C521" s="15">
        <f>'Curvas SRY'!$E$9</f>
        <v>1</v>
      </c>
      <c r="D521" s="14" t="str">
        <f>'Curvas SRY'!$B$14</f>
        <v>Uso variable</v>
      </c>
      <c r="E521" s="14">
        <f>38</f>
        <v>38</v>
      </c>
      <c r="F521" s="21">
        <f>'Hoja 4 - Cálculo'!A62</f>
        <v>30713</v>
      </c>
      <c r="G521" s="15">
        <f>'Hoja 4 - Cálculo'!H62</f>
        <v>13.04325</v>
      </c>
      <c r="H521" s="15">
        <f>IF(D521="Uso único",'Hoja 4 - Cálculo'!I62,IF(D521="Uso múltiple",AVERAGE('Hoja 4 - Cálculo'!$I$25:$I$384)+AVERAGE('Hoja 4 - Cálculo'!$J$25:$J$384)+AVERAGE('Hoja 4 - Cálculo'!$K$25:$K$384),IF(D521="Uso prioritario",'Hoja 4 - Cálculo'!I62+'Hoja 4 - Cálculo'!K62,'Hoja 4 - Cálculo'!I62+'Hoja 4 - Cálculo'!J62+'Hoja 4 - Cálculo'!K62)))</f>
        <v>16</v>
      </c>
      <c r="I521" s="15">
        <f t="shared" si="117"/>
        <v>16</v>
      </c>
      <c r="J521" s="15">
        <f t="shared" si="123"/>
        <v>0</v>
      </c>
      <c r="K521" s="15">
        <f>MIN(J521+G521,(J521+G521)*'Hoja 4 - Cálculo'!$B$15)</f>
        <v>0.26086500000000001</v>
      </c>
      <c r="L521" s="15">
        <f t="shared" si="118"/>
        <v>12.782385</v>
      </c>
      <c r="M521" s="15">
        <f t="shared" si="119"/>
        <v>12.782385</v>
      </c>
      <c r="N521" s="15">
        <f t="shared" si="120"/>
        <v>0</v>
      </c>
      <c r="O521" s="15">
        <f t="shared" si="121"/>
        <v>0</v>
      </c>
      <c r="P521" s="15">
        <f t="shared" si="122"/>
        <v>3.2176150000000003</v>
      </c>
      <c r="Q521" s="14" t="str">
        <f>IF(M521&gt;=I521*'Hoja 4 - Cálculo'!$B$16,"Satisfactorio","Falla")</f>
        <v>Falla</v>
      </c>
      <c r="R521" s="14">
        <f t="shared" si="124"/>
        <v>0</v>
      </c>
      <c r="S521" s="14">
        <f t="shared" si="125"/>
        <v>0</v>
      </c>
    </row>
    <row r="522" spans="1:19">
      <c r="A522" s="14" t="str">
        <f t="shared" si="116"/>
        <v>SRY-2-2</v>
      </c>
      <c r="B522" s="15">
        <f>'Curvas SRY'!$B$9</f>
        <v>2</v>
      </c>
      <c r="C522" s="15">
        <f>'Curvas SRY'!$E$9</f>
        <v>1</v>
      </c>
      <c r="D522" s="14" t="str">
        <f>'Curvas SRY'!$B$14</f>
        <v>Uso variable</v>
      </c>
      <c r="E522" s="14">
        <f>39</f>
        <v>39</v>
      </c>
      <c r="F522" s="21">
        <f>'Hoja 4 - Cálculo'!A63</f>
        <v>30742</v>
      </c>
      <c r="G522" s="15">
        <f>'Hoja 4 - Cálculo'!H63</f>
        <v>20.272500000000001</v>
      </c>
      <c r="H522" s="15">
        <f>IF(D522="Uso único",'Hoja 4 - Cálculo'!I63,IF(D522="Uso múltiple",AVERAGE('Hoja 4 - Cálculo'!$I$25:$I$384)+AVERAGE('Hoja 4 - Cálculo'!$J$25:$J$384)+AVERAGE('Hoja 4 - Cálculo'!$K$25:$K$384),IF(D522="Uso prioritario",'Hoja 4 - Cálculo'!I63+'Hoja 4 - Cálculo'!K63,'Hoja 4 - Cálculo'!I63+'Hoja 4 - Cálculo'!J63+'Hoja 4 - Cálculo'!K63)))</f>
        <v>16</v>
      </c>
      <c r="I522" s="15">
        <f t="shared" si="117"/>
        <v>16</v>
      </c>
      <c r="J522" s="15">
        <f t="shared" si="123"/>
        <v>0</v>
      </c>
      <c r="K522" s="15">
        <f>MIN(J522+G522,(J522+G522)*'Hoja 4 - Cálculo'!$B$15)</f>
        <v>0.40545000000000003</v>
      </c>
      <c r="L522" s="15">
        <f t="shared" si="118"/>
        <v>19.867050000000003</v>
      </c>
      <c r="M522" s="15">
        <f t="shared" si="119"/>
        <v>16</v>
      </c>
      <c r="N522" s="15">
        <f t="shared" si="120"/>
        <v>2</v>
      </c>
      <c r="O522" s="15">
        <f t="shared" si="121"/>
        <v>1.8670500000000025</v>
      </c>
      <c r="P522" s="15">
        <f t="shared" si="122"/>
        <v>0</v>
      </c>
      <c r="Q522" s="14" t="str">
        <f>IF(M522&gt;=I522*'Hoja 4 - Cálculo'!$B$16,"Satisfactorio","Falla")</f>
        <v>Satisfactorio</v>
      </c>
      <c r="R522" s="14">
        <f t="shared" si="124"/>
        <v>1</v>
      </c>
      <c r="S522" s="14">
        <f t="shared" si="125"/>
        <v>0</v>
      </c>
    </row>
    <row r="523" spans="1:19">
      <c r="A523" s="14" t="str">
        <f t="shared" si="116"/>
        <v>SRY-2-2</v>
      </c>
      <c r="B523" s="15">
        <f>'Curvas SRY'!$B$9</f>
        <v>2</v>
      </c>
      <c r="C523" s="15">
        <f>'Curvas SRY'!$E$9</f>
        <v>1</v>
      </c>
      <c r="D523" s="14" t="str">
        <f>'Curvas SRY'!$B$14</f>
        <v>Uso variable</v>
      </c>
      <c r="E523" s="14">
        <f>40</f>
        <v>40</v>
      </c>
      <c r="F523" s="21">
        <f>'Hoja 4 - Cálculo'!A64</f>
        <v>30773</v>
      </c>
      <c r="G523" s="15">
        <f>'Hoja 4 - Cálculo'!H64</f>
        <v>27.922499999999999</v>
      </c>
      <c r="H523" s="15">
        <f>IF(D523="Uso único",'Hoja 4 - Cálculo'!I64,IF(D523="Uso múltiple",AVERAGE('Hoja 4 - Cálculo'!$I$25:$I$384)+AVERAGE('Hoja 4 - Cálculo'!$J$25:$J$384)+AVERAGE('Hoja 4 - Cálculo'!$K$25:$K$384),IF(D523="Uso prioritario",'Hoja 4 - Cálculo'!I64+'Hoja 4 - Cálculo'!K64,'Hoja 4 - Cálculo'!I64+'Hoja 4 - Cálculo'!J64+'Hoja 4 - Cálculo'!K64)))</f>
        <v>11.5</v>
      </c>
      <c r="I523" s="15">
        <f t="shared" si="117"/>
        <v>11.5</v>
      </c>
      <c r="J523" s="15">
        <f t="shared" si="123"/>
        <v>2</v>
      </c>
      <c r="K523" s="15">
        <f>MIN(J523+G523,(J523+G523)*'Hoja 4 - Cálculo'!$B$15)</f>
        <v>0.59845000000000004</v>
      </c>
      <c r="L523" s="15">
        <f t="shared" si="118"/>
        <v>29.32405</v>
      </c>
      <c r="M523" s="15">
        <f t="shared" si="119"/>
        <v>11.5</v>
      </c>
      <c r="N523" s="15">
        <f t="shared" si="120"/>
        <v>2</v>
      </c>
      <c r="O523" s="15">
        <f t="shared" si="121"/>
        <v>15.82405</v>
      </c>
      <c r="P523" s="15">
        <f t="shared" si="122"/>
        <v>0</v>
      </c>
      <c r="Q523" s="14" t="str">
        <f>IF(M523&gt;=I523*'Hoja 4 - Cálculo'!$B$16,"Satisfactorio","Falla")</f>
        <v>Satisfactorio</v>
      </c>
      <c r="R523" s="14">
        <f t="shared" si="124"/>
        <v>0</v>
      </c>
      <c r="S523" s="14">
        <f t="shared" si="125"/>
        <v>0</v>
      </c>
    </row>
    <row r="524" spans="1:19">
      <c r="A524" s="14" t="str">
        <f t="shared" si="116"/>
        <v>SRY-2-2</v>
      </c>
      <c r="B524" s="15">
        <f>'Curvas SRY'!$B$9</f>
        <v>2</v>
      </c>
      <c r="C524" s="15">
        <f>'Curvas SRY'!$E$9</f>
        <v>1</v>
      </c>
      <c r="D524" s="14" t="str">
        <f>'Curvas SRY'!$B$14</f>
        <v>Uso variable</v>
      </c>
      <c r="E524" s="14">
        <f>41</f>
        <v>41</v>
      </c>
      <c r="F524" s="21">
        <f>'Hoja 4 - Cálculo'!A65</f>
        <v>30803</v>
      </c>
      <c r="G524" s="15">
        <f>'Hoja 4 - Cálculo'!H65</f>
        <v>23.657624999999999</v>
      </c>
      <c r="H524" s="15">
        <f>IF(D524="Uso único",'Hoja 4 - Cálculo'!I65,IF(D524="Uso múltiple",AVERAGE('Hoja 4 - Cálculo'!$I$25:$I$384)+AVERAGE('Hoja 4 - Cálculo'!$J$25:$J$384)+AVERAGE('Hoja 4 - Cálculo'!$K$25:$K$384),IF(D524="Uso prioritario",'Hoja 4 - Cálculo'!I65+'Hoja 4 - Cálculo'!K65,'Hoja 4 - Cálculo'!I65+'Hoja 4 - Cálculo'!J65+'Hoja 4 - Cálculo'!K65)))</f>
        <v>11.5</v>
      </c>
      <c r="I524" s="15">
        <f t="shared" si="117"/>
        <v>11.5</v>
      </c>
      <c r="J524" s="15">
        <f t="shared" si="123"/>
        <v>2</v>
      </c>
      <c r="K524" s="15">
        <f>MIN(J524+G524,(J524+G524)*'Hoja 4 - Cálculo'!$B$15)</f>
        <v>0.51315250000000001</v>
      </c>
      <c r="L524" s="15">
        <f t="shared" si="118"/>
        <v>25.144472499999999</v>
      </c>
      <c r="M524" s="15">
        <f t="shared" si="119"/>
        <v>11.5</v>
      </c>
      <c r="N524" s="15">
        <f t="shared" si="120"/>
        <v>2</v>
      </c>
      <c r="O524" s="15">
        <f t="shared" si="121"/>
        <v>11.644472499999999</v>
      </c>
      <c r="P524" s="15">
        <f t="shared" si="122"/>
        <v>0</v>
      </c>
      <c r="Q524" s="14" t="str">
        <f>IF(M524&gt;=I524*'Hoja 4 - Cálculo'!$B$16,"Satisfactorio","Falla")</f>
        <v>Satisfactorio</v>
      </c>
      <c r="R524" s="14">
        <f t="shared" si="124"/>
        <v>0</v>
      </c>
      <c r="S524" s="14">
        <f t="shared" si="125"/>
        <v>0</v>
      </c>
    </row>
    <row r="525" spans="1:19">
      <c r="A525" s="14" t="str">
        <f t="shared" si="116"/>
        <v>SRY-2-2</v>
      </c>
      <c r="B525" s="15">
        <f>'Curvas SRY'!$B$9</f>
        <v>2</v>
      </c>
      <c r="C525" s="15">
        <f>'Curvas SRY'!$E$9</f>
        <v>1</v>
      </c>
      <c r="D525" s="14" t="str">
        <f>'Curvas SRY'!$B$14</f>
        <v>Uso variable</v>
      </c>
      <c r="E525" s="14">
        <f>42</f>
        <v>42</v>
      </c>
      <c r="F525" s="21">
        <f>'Hoja 4 - Cálculo'!A66</f>
        <v>30834</v>
      </c>
      <c r="G525" s="15">
        <f>'Hoja 4 - Cálculo'!H66</f>
        <v>14.554125000000001</v>
      </c>
      <c r="H525" s="15">
        <f>IF(D525="Uso único",'Hoja 4 - Cálculo'!I66,IF(D525="Uso múltiple",AVERAGE('Hoja 4 - Cálculo'!$I$25:$I$384)+AVERAGE('Hoja 4 - Cálculo'!$J$25:$J$384)+AVERAGE('Hoja 4 - Cálculo'!$K$25:$K$384),IF(D525="Uso prioritario",'Hoja 4 - Cálculo'!I66+'Hoja 4 - Cálculo'!K66,'Hoja 4 - Cálculo'!I66+'Hoja 4 - Cálculo'!J66+'Hoja 4 - Cálculo'!K66)))</f>
        <v>11.5</v>
      </c>
      <c r="I525" s="15">
        <f t="shared" si="117"/>
        <v>11.5</v>
      </c>
      <c r="J525" s="15">
        <f t="shared" si="123"/>
        <v>2</v>
      </c>
      <c r="K525" s="15">
        <f>MIN(J525+G525,(J525+G525)*'Hoja 4 - Cálculo'!$B$15)</f>
        <v>0.3310825</v>
      </c>
      <c r="L525" s="15">
        <f t="shared" si="118"/>
        <v>16.223042499999998</v>
      </c>
      <c r="M525" s="15">
        <f t="shared" si="119"/>
        <v>11.5</v>
      </c>
      <c r="N525" s="15">
        <f t="shared" si="120"/>
        <v>2</v>
      </c>
      <c r="O525" s="15">
        <f t="shared" si="121"/>
        <v>2.7230424999999983</v>
      </c>
      <c r="P525" s="15">
        <f t="shared" si="122"/>
        <v>0</v>
      </c>
      <c r="Q525" s="14" t="str">
        <f>IF(M525&gt;=I525*'Hoja 4 - Cálculo'!$B$16,"Satisfactorio","Falla")</f>
        <v>Satisfactorio</v>
      </c>
      <c r="R525" s="14">
        <f t="shared" si="124"/>
        <v>0</v>
      </c>
      <c r="S525" s="14">
        <f t="shared" si="125"/>
        <v>0</v>
      </c>
    </row>
    <row r="526" spans="1:19">
      <c r="A526" s="14" t="str">
        <f t="shared" si="116"/>
        <v>SRY-2-2</v>
      </c>
      <c r="B526" s="15">
        <f>'Curvas SRY'!$B$9</f>
        <v>2</v>
      </c>
      <c r="C526" s="15">
        <f>'Curvas SRY'!$E$9</f>
        <v>1</v>
      </c>
      <c r="D526" s="14" t="str">
        <f>'Curvas SRY'!$B$14</f>
        <v>Uso variable</v>
      </c>
      <c r="E526" s="14">
        <f>43</f>
        <v>43</v>
      </c>
      <c r="F526" s="21">
        <f>'Hoja 4 - Cálculo'!A67</f>
        <v>30864</v>
      </c>
      <c r="G526" s="15">
        <f>'Hoja 4 - Cálculo'!H67</f>
        <v>12.794625</v>
      </c>
      <c r="H526" s="15">
        <f>IF(D526="Uso único",'Hoja 4 - Cálculo'!I67,IF(D526="Uso múltiple",AVERAGE('Hoja 4 - Cálculo'!$I$25:$I$384)+AVERAGE('Hoja 4 - Cálculo'!$J$25:$J$384)+AVERAGE('Hoja 4 - Cálculo'!$K$25:$K$384),IF(D526="Uso prioritario",'Hoja 4 - Cálculo'!I67+'Hoja 4 - Cálculo'!K67,'Hoja 4 - Cálculo'!I67+'Hoja 4 - Cálculo'!J67+'Hoja 4 - Cálculo'!K67)))</f>
        <v>16</v>
      </c>
      <c r="I526" s="15">
        <f t="shared" si="117"/>
        <v>16</v>
      </c>
      <c r="J526" s="15">
        <f t="shared" si="123"/>
        <v>2</v>
      </c>
      <c r="K526" s="15">
        <f>MIN(J526+G526,(J526+G526)*'Hoja 4 - Cálculo'!$B$15)</f>
        <v>0.2958925</v>
      </c>
      <c r="L526" s="15">
        <f t="shared" si="118"/>
        <v>14.498732499999999</v>
      </c>
      <c r="M526" s="15">
        <f t="shared" si="119"/>
        <v>14.498732499999999</v>
      </c>
      <c r="N526" s="15">
        <f t="shared" si="120"/>
        <v>0</v>
      </c>
      <c r="O526" s="15">
        <f t="shared" si="121"/>
        <v>0</v>
      </c>
      <c r="P526" s="15">
        <f t="shared" si="122"/>
        <v>1.5012675000000009</v>
      </c>
      <c r="Q526" s="14" t="str">
        <f>IF(M526&gt;=I526*'Hoja 4 - Cálculo'!$B$16,"Satisfactorio","Falla")</f>
        <v>Falla</v>
      </c>
      <c r="R526" s="14">
        <f t="shared" si="124"/>
        <v>0</v>
      </c>
      <c r="S526" s="14">
        <f t="shared" si="125"/>
        <v>1</v>
      </c>
    </row>
    <row r="527" spans="1:19">
      <c r="A527" s="14" t="str">
        <f t="shared" si="116"/>
        <v>SRY-2-2</v>
      </c>
      <c r="B527" s="15">
        <f>'Curvas SRY'!$B$9</f>
        <v>2</v>
      </c>
      <c r="C527" s="15">
        <f>'Curvas SRY'!$E$9</f>
        <v>1</v>
      </c>
      <c r="D527" s="14" t="str">
        <f>'Curvas SRY'!$B$14</f>
        <v>Uso variable</v>
      </c>
      <c r="E527" s="14">
        <f>44</f>
        <v>44</v>
      </c>
      <c r="F527" s="21">
        <f>'Hoja 4 - Cálculo'!A68</f>
        <v>30895</v>
      </c>
      <c r="G527" s="15">
        <f>'Hoja 4 - Cálculo'!H68</f>
        <v>13.6935</v>
      </c>
      <c r="H527" s="15">
        <f>IF(D527="Uso único",'Hoja 4 - Cálculo'!I68,IF(D527="Uso múltiple",AVERAGE('Hoja 4 - Cálculo'!$I$25:$I$384)+AVERAGE('Hoja 4 - Cálculo'!$J$25:$J$384)+AVERAGE('Hoja 4 - Cálculo'!$K$25:$K$384),IF(D527="Uso prioritario",'Hoja 4 - Cálculo'!I68+'Hoja 4 - Cálculo'!K68,'Hoja 4 - Cálculo'!I68+'Hoja 4 - Cálculo'!J68+'Hoja 4 - Cálculo'!K68)))</f>
        <v>16</v>
      </c>
      <c r="I527" s="15">
        <f t="shared" si="117"/>
        <v>16</v>
      </c>
      <c r="J527" s="15">
        <f t="shared" si="123"/>
        <v>0</v>
      </c>
      <c r="K527" s="15">
        <f>MIN(J527+G527,(J527+G527)*'Hoja 4 - Cálculo'!$B$15)</f>
        <v>0.27387</v>
      </c>
      <c r="L527" s="15">
        <f t="shared" si="118"/>
        <v>13.41963</v>
      </c>
      <c r="M527" s="15">
        <f t="shared" si="119"/>
        <v>13.41963</v>
      </c>
      <c r="N527" s="15">
        <f t="shared" si="120"/>
        <v>0</v>
      </c>
      <c r="O527" s="15">
        <f t="shared" si="121"/>
        <v>0</v>
      </c>
      <c r="P527" s="15">
        <f t="shared" si="122"/>
        <v>2.5803700000000003</v>
      </c>
      <c r="Q527" s="14" t="str">
        <f>IF(M527&gt;=I527*'Hoja 4 - Cálculo'!$B$16,"Satisfactorio","Falla")</f>
        <v>Falla</v>
      </c>
      <c r="R527" s="14">
        <f t="shared" si="124"/>
        <v>0</v>
      </c>
      <c r="S527" s="14">
        <f t="shared" si="125"/>
        <v>0</v>
      </c>
    </row>
    <row r="528" spans="1:19">
      <c r="A528" s="14" t="str">
        <f t="shared" si="116"/>
        <v>SRY-2-2</v>
      </c>
      <c r="B528" s="15">
        <f>'Curvas SRY'!$B$9</f>
        <v>2</v>
      </c>
      <c r="C528" s="15">
        <f>'Curvas SRY'!$E$9</f>
        <v>1</v>
      </c>
      <c r="D528" s="14" t="str">
        <f>'Curvas SRY'!$B$14</f>
        <v>Uso variable</v>
      </c>
      <c r="E528" s="14">
        <f>45</f>
        <v>45</v>
      </c>
      <c r="F528" s="21">
        <f>'Hoja 4 - Cálculo'!A69</f>
        <v>30926</v>
      </c>
      <c r="G528" s="15">
        <f>'Hoja 4 - Cálculo'!H69</f>
        <v>20.521125000000001</v>
      </c>
      <c r="H528" s="15">
        <f>IF(D528="Uso único",'Hoja 4 - Cálculo'!I69,IF(D528="Uso múltiple",AVERAGE('Hoja 4 - Cálculo'!$I$25:$I$384)+AVERAGE('Hoja 4 - Cálculo'!$J$25:$J$384)+AVERAGE('Hoja 4 - Cálculo'!$K$25:$K$384),IF(D528="Uso prioritario",'Hoja 4 - Cálculo'!I69+'Hoja 4 - Cálculo'!K69,'Hoja 4 - Cálculo'!I69+'Hoja 4 - Cálculo'!J69+'Hoja 4 - Cálculo'!K69)))</f>
        <v>11.5</v>
      </c>
      <c r="I528" s="15">
        <f t="shared" si="117"/>
        <v>11.5</v>
      </c>
      <c r="J528" s="15">
        <f t="shared" si="123"/>
        <v>0</v>
      </c>
      <c r="K528" s="15">
        <f>MIN(J528+G528,(J528+G528)*'Hoja 4 - Cálculo'!$B$15)</f>
        <v>0.41042250000000002</v>
      </c>
      <c r="L528" s="15">
        <f t="shared" si="118"/>
        <v>20.110702500000002</v>
      </c>
      <c r="M528" s="15">
        <f t="shared" si="119"/>
        <v>11.5</v>
      </c>
      <c r="N528" s="15">
        <f t="shared" si="120"/>
        <v>2</v>
      </c>
      <c r="O528" s="15">
        <f t="shared" si="121"/>
        <v>6.6107025000000021</v>
      </c>
      <c r="P528" s="15">
        <f t="shared" si="122"/>
        <v>0</v>
      </c>
      <c r="Q528" s="14" t="str">
        <f>IF(M528&gt;=I528*'Hoja 4 - Cálculo'!$B$16,"Satisfactorio","Falla")</f>
        <v>Satisfactorio</v>
      </c>
      <c r="R528" s="14">
        <f t="shared" si="124"/>
        <v>1</v>
      </c>
      <c r="S528" s="14">
        <f t="shared" si="125"/>
        <v>0</v>
      </c>
    </row>
    <row r="529" spans="1:19">
      <c r="A529" s="14" t="str">
        <f t="shared" si="116"/>
        <v>SRY-2-2</v>
      </c>
      <c r="B529" s="15">
        <f>'Curvas SRY'!$B$9</f>
        <v>2</v>
      </c>
      <c r="C529" s="15">
        <f>'Curvas SRY'!$E$9</f>
        <v>1</v>
      </c>
      <c r="D529" s="14" t="str">
        <f>'Curvas SRY'!$B$14</f>
        <v>Uso variable</v>
      </c>
      <c r="E529" s="14">
        <f>46</f>
        <v>46</v>
      </c>
      <c r="F529" s="21">
        <f>'Hoja 4 - Cálculo'!A70</f>
        <v>30956</v>
      </c>
      <c r="G529" s="15">
        <f>'Hoja 4 - Cálculo'!H70</f>
        <v>27.061875000000001</v>
      </c>
      <c r="H529" s="15">
        <f>IF(D529="Uso único",'Hoja 4 - Cálculo'!I70,IF(D529="Uso múltiple",AVERAGE('Hoja 4 - Cálculo'!$I$25:$I$384)+AVERAGE('Hoja 4 - Cálculo'!$J$25:$J$384)+AVERAGE('Hoja 4 - Cálculo'!$K$25:$K$384),IF(D529="Uso prioritario",'Hoja 4 - Cálculo'!I70+'Hoja 4 - Cálculo'!K70,'Hoja 4 - Cálculo'!I70+'Hoja 4 - Cálculo'!J70+'Hoja 4 - Cálculo'!K70)))</f>
        <v>11.5</v>
      </c>
      <c r="I529" s="15">
        <f t="shared" si="117"/>
        <v>11.5</v>
      </c>
      <c r="J529" s="15">
        <f t="shared" si="123"/>
        <v>2</v>
      </c>
      <c r="K529" s="15">
        <f>MIN(J529+G529,(J529+G529)*'Hoja 4 - Cálculo'!$B$15)</f>
        <v>0.58123750000000007</v>
      </c>
      <c r="L529" s="15">
        <f t="shared" si="118"/>
        <v>28.4806375</v>
      </c>
      <c r="M529" s="15">
        <f t="shared" si="119"/>
        <v>11.5</v>
      </c>
      <c r="N529" s="15">
        <f t="shared" si="120"/>
        <v>2</v>
      </c>
      <c r="O529" s="15">
        <f t="shared" si="121"/>
        <v>14.9806375</v>
      </c>
      <c r="P529" s="15">
        <f t="shared" si="122"/>
        <v>0</v>
      </c>
      <c r="Q529" s="14" t="str">
        <f>IF(M529&gt;=I529*'Hoja 4 - Cálculo'!$B$16,"Satisfactorio","Falla")</f>
        <v>Satisfactorio</v>
      </c>
      <c r="R529" s="14">
        <f t="shared" si="124"/>
        <v>0</v>
      </c>
      <c r="S529" s="14">
        <f t="shared" si="125"/>
        <v>0</v>
      </c>
    </row>
    <row r="530" spans="1:19">
      <c r="A530" s="14" t="str">
        <f t="shared" si="116"/>
        <v>SRY-2-2</v>
      </c>
      <c r="B530" s="15">
        <f>'Curvas SRY'!$B$9</f>
        <v>2</v>
      </c>
      <c r="C530" s="15">
        <f>'Curvas SRY'!$E$9</f>
        <v>1</v>
      </c>
      <c r="D530" s="14" t="str">
        <f>'Curvas SRY'!$B$14</f>
        <v>Uso variable</v>
      </c>
      <c r="E530" s="14">
        <f>47</f>
        <v>47</v>
      </c>
      <c r="F530" s="21">
        <f>'Hoja 4 - Cálculo'!A71</f>
        <v>30987</v>
      </c>
      <c r="G530" s="15">
        <f>'Hoja 4 - Cálculo'!H71</f>
        <v>24.346125000000001</v>
      </c>
      <c r="H530" s="15">
        <f>IF(D530="Uso único",'Hoja 4 - Cálculo'!I71,IF(D530="Uso múltiple",AVERAGE('Hoja 4 - Cálculo'!$I$25:$I$384)+AVERAGE('Hoja 4 - Cálculo'!$J$25:$J$384)+AVERAGE('Hoja 4 - Cálculo'!$K$25:$K$384),IF(D530="Uso prioritario",'Hoja 4 - Cálculo'!I71+'Hoja 4 - Cálculo'!K71,'Hoja 4 - Cálculo'!I71+'Hoja 4 - Cálculo'!J71+'Hoja 4 - Cálculo'!K71)))</f>
        <v>11.5</v>
      </c>
      <c r="I530" s="15">
        <f t="shared" si="117"/>
        <v>11.5</v>
      </c>
      <c r="J530" s="15">
        <f t="shared" si="123"/>
        <v>2</v>
      </c>
      <c r="K530" s="15">
        <f>MIN(J530+G530,(J530+G530)*'Hoja 4 - Cálculo'!$B$15)</f>
        <v>0.52692250000000007</v>
      </c>
      <c r="L530" s="15">
        <f t="shared" si="118"/>
        <v>25.819202499999999</v>
      </c>
      <c r="M530" s="15">
        <f t="shared" si="119"/>
        <v>11.5</v>
      </c>
      <c r="N530" s="15">
        <f t="shared" si="120"/>
        <v>2</v>
      </c>
      <c r="O530" s="15">
        <f t="shared" si="121"/>
        <v>12.319202499999999</v>
      </c>
      <c r="P530" s="15">
        <f t="shared" si="122"/>
        <v>0</v>
      </c>
      <c r="Q530" s="14" t="str">
        <f>IF(M530&gt;=I530*'Hoja 4 - Cálculo'!$B$16,"Satisfactorio","Falla")</f>
        <v>Satisfactorio</v>
      </c>
      <c r="R530" s="14">
        <f t="shared" si="124"/>
        <v>0</v>
      </c>
      <c r="S530" s="14">
        <f t="shared" si="125"/>
        <v>0</v>
      </c>
    </row>
    <row r="531" spans="1:19">
      <c r="A531" s="14" t="str">
        <f t="shared" si="116"/>
        <v>SRY-2-2</v>
      </c>
      <c r="B531" s="15">
        <f>'Curvas SRY'!$B$9</f>
        <v>2</v>
      </c>
      <c r="C531" s="15">
        <f>'Curvas SRY'!$E$9</f>
        <v>1</v>
      </c>
      <c r="D531" s="14" t="str">
        <f>'Curvas SRY'!$B$14</f>
        <v>Uso variable</v>
      </c>
      <c r="E531" s="14">
        <f>48</f>
        <v>48</v>
      </c>
      <c r="F531" s="21">
        <f>'Hoja 4 - Cálculo'!A72</f>
        <v>31017</v>
      </c>
      <c r="G531" s="15">
        <f>'Hoja 4 - Cálculo'!H72</f>
        <v>14.745374999999999</v>
      </c>
      <c r="H531" s="15">
        <f>IF(D531="Uso único",'Hoja 4 - Cálculo'!I72,IF(D531="Uso múltiple",AVERAGE('Hoja 4 - Cálculo'!$I$25:$I$384)+AVERAGE('Hoja 4 - Cálculo'!$J$25:$J$384)+AVERAGE('Hoja 4 - Cálculo'!$K$25:$K$384),IF(D531="Uso prioritario",'Hoja 4 - Cálculo'!I72+'Hoja 4 - Cálculo'!K72,'Hoja 4 - Cálculo'!I72+'Hoja 4 - Cálculo'!J72+'Hoja 4 - Cálculo'!K72)))</f>
        <v>16</v>
      </c>
      <c r="I531" s="15">
        <f t="shared" si="117"/>
        <v>16</v>
      </c>
      <c r="J531" s="15">
        <f t="shared" si="123"/>
        <v>2</v>
      </c>
      <c r="K531" s="15">
        <f>MIN(J531+G531,(J531+G531)*'Hoja 4 - Cálculo'!$B$15)</f>
        <v>0.33490749999999997</v>
      </c>
      <c r="L531" s="15">
        <f t="shared" si="118"/>
        <v>16.410467499999999</v>
      </c>
      <c r="M531" s="15">
        <f t="shared" si="119"/>
        <v>16</v>
      </c>
      <c r="N531" s="15">
        <f t="shared" si="120"/>
        <v>0.41046749999999932</v>
      </c>
      <c r="O531" s="15">
        <f t="shared" si="121"/>
        <v>0</v>
      </c>
      <c r="P531" s="15">
        <f t="shared" si="122"/>
        <v>0</v>
      </c>
      <c r="Q531" s="14" t="str">
        <f>IF(M531&gt;=I531*'Hoja 4 - Cálculo'!$B$16,"Satisfactorio","Falla")</f>
        <v>Satisfactorio</v>
      </c>
      <c r="R531" s="14">
        <f t="shared" si="124"/>
        <v>0</v>
      </c>
      <c r="S531" s="14">
        <f t="shared" si="125"/>
        <v>0</v>
      </c>
    </row>
    <row r="532" spans="1:19">
      <c r="A532" s="14" t="str">
        <f t="shared" si="116"/>
        <v>SRY-2-2</v>
      </c>
      <c r="B532" s="15">
        <f>'Curvas SRY'!$B$9</f>
        <v>2</v>
      </c>
      <c r="C532" s="15">
        <f>'Curvas SRY'!$E$9</f>
        <v>1</v>
      </c>
      <c r="D532" s="14" t="str">
        <f>'Curvas SRY'!$B$14</f>
        <v>Uso variable</v>
      </c>
      <c r="E532" s="14">
        <f>49</f>
        <v>49</v>
      </c>
      <c r="F532" s="21">
        <f>'Hoja 4 - Cálculo'!A73</f>
        <v>31048</v>
      </c>
      <c r="G532" s="15">
        <f>'Hoja 4 - Cálculo'!H73</f>
        <v>10.767374999999999</v>
      </c>
      <c r="H532" s="15">
        <f>IF(D532="Uso único",'Hoja 4 - Cálculo'!I73,IF(D532="Uso múltiple",AVERAGE('Hoja 4 - Cálculo'!$I$25:$I$384)+AVERAGE('Hoja 4 - Cálculo'!$J$25:$J$384)+AVERAGE('Hoja 4 - Cálculo'!$K$25:$K$384),IF(D532="Uso prioritario",'Hoja 4 - Cálculo'!I73+'Hoja 4 - Cálculo'!K73,'Hoja 4 - Cálculo'!I73+'Hoja 4 - Cálculo'!J73+'Hoja 4 - Cálculo'!K73)))</f>
        <v>16</v>
      </c>
      <c r="I532" s="15">
        <f t="shared" si="117"/>
        <v>16</v>
      </c>
      <c r="J532" s="15">
        <f t="shared" si="123"/>
        <v>0.41046749999999932</v>
      </c>
      <c r="K532" s="15">
        <f>MIN(J532+G532,(J532+G532)*'Hoja 4 - Cálculo'!$B$15)</f>
        <v>0.22355684999999997</v>
      </c>
      <c r="L532" s="15">
        <f t="shared" si="118"/>
        <v>10.954285649999999</v>
      </c>
      <c r="M532" s="15">
        <f t="shared" si="119"/>
        <v>10.954285649999999</v>
      </c>
      <c r="N532" s="15">
        <f t="shared" si="120"/>
        <v>0</v>
      </c>
      <c r="O532" s="15">
        <f t="shared" si="121"/>
        <v>0</v>
      </c>
      <c r="P532" s="15">
        <f t="shared" si="122"/>
        <v>5.0457143500000008</v>
      </c>
      <c r="Q532" s="14" t="str">
        <f>IF(M532&gt;=I532*'Hoja 4 - Cálculo'!$B$16,"Satisfactorio","Falla")</f>
        <v>Falla</v>
      </c>
      <c r="R532" s="14">
        <f t="shared" si="124"/>
        <v>0</v>
      </c>
      <c r="S532" s="14">
        <f t="shared" si="125"/>
        <v>1</v>
      </c>
    </row>
    <row r="533" spans="1:19">
      <c r="A533" s="14" t="str">
        <f t="shared" si="116"/>
        <v>SRY-2-2</v>
      </c>
      <c r="B533" s="15">
        <f>'Curvas SRY'!$B$9</f>
        <v>2</v>
      </c>
      <c r="C533" s="15">
        <f>'Curvas SRY'!$E$9</f>
        <v>1</v>
      </c>
      <c r="D533" s="14" t="str">
        <f>'Curvas SRY'!$B$14</f>
        <v>Uso variable</v>
      </c>
      <c r="E533" s="14">
        <f>50</f>
        <v>50</v>
      </c>
      <c r="F533" s="21">
        <f>'Hoja 4 - Cálculo'!A74</f>
        <v>31079</v>
      </c>
      <c r="G533" s="15">
        <f>'Hoja 4 - Cálculo'!H74</f>
        <v>13.464</v>
      </c>
      <c r="H533" s="15">
        <f>IF(D533="Uso único",'Hoja 4 - Cálculo'!I74,IF(D533="Uso múltiple",AVERAGE('Hoja 4 - Cálculo'!$I$25:$I$384)+AVERAGE('Hoja 4 - Cálculo'!$J$25:$J$384)+AVERAGE('Hoja 4 - Cálculo'!$K$25:$K$384),IF(D533="Uso prioritario",'Hoja 4 - Cálculo'!I74+'Hoja 4 - Cálculo'!K74,'Hoja 4 - Cálculo'!I74+'Hoja 4 - Cálculo'!J74+'Hoja 4 - Cálculo'!K74)))</f>
        <v>16</v>
      </c>
      <c r="I533" s="15">
        <f t="shared" si="117"/>
        <v>16</v>
      </c>
      <c r="J533" s="15">
        <f t="shared" si="123"/>
        <v>0</v>
      </c>
      <c r="K533" s="15">
        <f>MIN(J533+G533,(J533+G533)*'Hoja 4 - Cálculo'!$B$15)</f>
        <v>0.26928000000000002</v>
      </c>
      <c r="L533" s="15">
        <f t="shared" si="118"/>
        <v>13.19472</v>
      </c>
      <c r="M533" s="15">
        <f t="shared" si="119"/>
        <v>13.19472</v>
      </c>
      <c r="N533" s="15">
        <f t="shared" si="120"/>
        <v>0</v>
      </c>
      <c r="O533" s="15">
        <f t="shared" si="121"/>
        <v>0</v>
      </c>
      <c r="P533" s="15">
        <f t="shared" si="122"/>
        <v>2.8052799999999998</v>
      </c>
      <c r="Q533" s="14" t="str">
        <f>IF(M533&gt;=I533*'Hoja 4 - Cálculo'!$B$16,"Satisfactorio","Falla")</f>
        <v>Falla</v>
      </c>
      <c r="R533" s="14">
        <f t="shared" si="124"/>
        <v>0</v>
      </c>
      <c r="S533" s="14">
        <f t="shared" si="125"/>
        <v>0</v>
      </c>
    </row>
    <row r="534" spans="1:19">
      <c r="A534" s="14" t="str">
        <f t="shared" si="116"/>
        <v>SRY-2-2</v>
      </c>
      <c r="B534" s="15">
        <f>'Curvas SRY'!$B$9</f>
        <v>2</v>
      </c>
      <c r="C534" s="15">
        <f>'Curvas SRY'!$E$9</f>
        <v>1</v>
      </c>
      <c r="D534" s="14" t="str">
        <f>'Curvas SRY'!$B$14</f>
        <v>Uso variable</v>
      </c>
      <c r="E534" s="14">
        <f>51</f>
        <v>51</v>
      </c>
      <c r="F534" s="21">
        <f>'Hoja 4 - Cálculo'!A75</f>
        <v>31107</v>
      </c>
      <c r="G534" s="15">
        <f>'Hoja 4 - Cálculo'!H75</f>
        <v>19.450125</v>
      </c>
      <c r="H534" s="15">
        <f>IF(D534="Uso único",'Hoja 4 - Cálculo'!I75,IF(D534="Uso múltiple",AVERAGE('Hoja 4 - Cálculo'!$I$25:$I$384)+AVERAGE('Hoja 4 - Cálculo'!$J$25:$J$384)+AVERAGE('Hoja 4 - Cálculo'!$K$25:$K$384),IF(D534="Uso prioritario",'Hoja 4 - Cálculo'!I75+'Hoja 4 - Cálculo'!K75,'Hoja 4 - Cálculo'!I75+'Hoja 4 - Cálculo'!J75+'Hoja 4 - Cálculo'!K75)))</f>
        <v>16</v>
      </c>
      <c r="I534" s="15">
        <f t="shared" si="117"/>
        <v>16</v>
      </c>
      <c r="J534" s="15">
        <f t="shared" si="123"/>
        <v>0</v>
      </c>
      <c r="K534" s="15">
        <f>MIN(J534+G534,(J534+G534)*'Hoja 4 - Cálculo'!$B$15)</f>
        <v>0.38900250000000003</v>
      </c>
      <c r="L534" s="15">
        <f t="shared" si="118"/>
        <v>19.0611225</v>
      </c>
      <c r="M534" s="15">
        <f t="shared" si="119"/>
        <v>16</v>
      </c>
      <c r="N534" s="15">
        <f t="shared" si="120"/>
        <v>2</v>
      </c>
      <c r="O534" s="15">
        <f t="shared" si="121"/>
        <v>1.0611224999999997</v>
      </c>
      <c r="P534" s="15">
        <f t="shared" si="122"/>
        <v>0</v>
      </c>
      <c r="Q534" s="14" t="str">
        <f>IF(M534&gt;=I534*'Hoja 4 - Cálculo'!$B$16,"Satisfactorio","Falla")</f>
        <v>Satisfactorio</v>
      </c>
      <c r="R534" s="14">
        <f t="shared" si="124"/>
        <v>1</v>
      </c>
      <c r="S534" s="14">
        <f t="shared" si="125"/>
        <v>0</v>
      </c>
    </row>
    <row r="535" spans="1:19">
      <c r="A535" s="14" t="str">
        <f t="shared" si="116"/>
        <v>SRY-2-2</v>
      </c>
      <c r="B535" s="15">
        <f>'Curvas SRY'!$B$9</f>
        <v>2</v>
      </c>
      <c r="C535" s="15">
        <f>'Curvas SRY'!$E$9</f>
        <v>1</v>
      </c>
      <c r="D535" s="14" t="str">
        <f>'Curvas SRY'!$B$14</f>
        <v>Uso variable</v>
      </c>
      <c r="E535" s="14">
        <f>52</f>
        <v>52</v>
      </c>
      <c r="F535" s="21">
        <f>'Hoja 4 - Cálculo'!A76</f>
        <v>31138</v>
      </c>
      <c r="G535" s="15">
        <f>'Hoja 4 - Cálculo'!H76</f>
        <v>25.51275</v>
      </c>
      <c r="H535" s="15">
        <f>IF(D535="Uso único",'Hoja 4 - Cálculo'!I76,IF(D535="Uso múltiple",AVERAGE('Hoja 4 - Cálculo'!$I$25:$I$384)+AVERAGE('Hoja 4 - Cálculo'!$J$25:$J$384)+AVERAGE('Hoja 4 - Cálculo'!$K$25:$K$384),IF(D535="Uso prioritario",'Hoja 4 - Cálculo'!I76+'Hoja 4 - Cálculo'!K76,'Hoja 4 - Cálculo'!I76+'Hoja 4 - Cálculo'!J76+'Hoja 4 - Cálculo'!K76)))</f>
        <v>11.5</v>
      </c>
      <c r="I535" s="15">
        <f t="shared" si="117"/>
        <v>11.5</v>
      </c>
      <c r="J535" s="15">
        <f t="shared" si="123"/>
        <v>2</v>
      </c>
      <c r="K535" s="15">
        <f>MIN(J535+G535,(J535+G535)*'Hoja 4 - Cálculo'!$B$15)</f>
        <v>0.55025500000000005</v>
      </c>
      <c r="L535" s="15">
        <f t="shared" si="118"/>
        <v>26.962495000000001</v>
      </c>
      <c r="M535" s="15">
        <f t="shared" si="119"/>
        <v>11.5</v>
      </c>
      <c r="N535" s="15">
        <f t="shared" si="120"/>
        <v>2</v>
      </c>
      <c r="O535" s="15">
        <f t="shared" si="121"/>
        <v>13.462495000000001</v>
      </c>
      <c r="P535" s="15">
        <f t="shared" si="122"/>
        <v>0</v>
      </c>
      <c r="Q535" s="14" t="str">
        <f>IF(M535&gt;=I535*'Hoja 4 - Cálculo'!$B$16,"Satisfactorio","Falla")</f>
        <v>Satisfactorio</v>
      </c>
      <c r="R535" s="14">
        <f t="shared" si="124"/>
        <v>0</v>
      </c>
      <c r="S535" s="14">
        <f t="shared" si="125"/>
        <v>0</v>
      </c>
    </row>
    <row r="536" spans="1:19">
      <c r="A536" s="14" t="str">
        <f t="shared" si="116"/>
        <v>SRY-2-2</v>
      </c>
      <c r="B536" s="15">
        <f>'Curvas SRY'!$B$9</f>
        <v>2</v>
      </c>
      <c r="C536" s="15">
        <f>'Curvas SRY'!$E$9</f>
        <v>1</v>
      </c>
      <c r="D536" s="14" t="str">
        <f>'Curvas SRY'!$B$14</f>
        <v>Uso variable</v>
      </c>
      <c r="E536" s="14">
        <f>53</f>
        <v>53</v>
      </c>
      <c r="F536" s="21">
        <f>'Hoja 4 - Cálculo'!A77</f>
        <v>31168</v>
      </c>
      <c r="G536" s="15">
        <f>'Hoja 4 - Cálculo'!H77</f>
        <v>24.36525</v>
      </c>
      <c r="H536" s="15">
        <f>IF(D536="Uso único",'Hoja 4 - Cálculo'!I77,IF(D536="Uso múltiple",AVERAGE('Hoja 4 - Cálculo'!$I$25:$I$384)+AVERAGE('Hoja 4 - Cálculo'!$J$25:$J$384)+AVERAGE('Hoja 4 - Cálculo'!$K$25:$K$384),IF(D536="Uso prioritario",'Hoja 4 - Cálculo'!I77+'Hoja 4 - Cálculo'!K77,'Hoja 4 - Cálculo'!I77+'Hoja 4 - Cálculo'!J77+'Hoja 4 - Cálculo'!K77)))</f>
        <v>11.5</v>
      </c>
      <c r="I536" s="15">
        <f t="shared" si="117"/>
        <v>11.5</v>
      </c>
      <c r="J536" s="15">
        <f t="shared" si="123"/>
        <v>2</v>
      </c>
      <c r="K536" s="15">
        <f>MIN(J536+G536,(J536+G536)*'Hoja 4 - Cálculo'!$B$15)</f>
        <v>0.52730500000000002</v>
      </c>
      <c r="L536" s="15">
        <f t="shared" si="118"/>
        <v>25.837945000000001</v>
      </c>
      <c r="M536" s="15">
        <f t="shared" si="119"/>
        <v>11.5</v>
      </c>
      <c r="N536" s="15">
        <f t="shared" si="120"/>
        <v>2</v>
      </c>
      <c r="O536" s="15">
        <f t="shared" si="121"/>
        <v>12.337945000000001</v>
      </c>
      <c r="P536" s="15">
        <f t="shared" si="122"/>
        <v>0</v>
      </c>
      <c r="Q536" s="14" t="str">
        <f>IF(M536&gt;=I536*'Hoja 4 - Cálculo'!$B$16,"Satisfactorio","Falla")</f>
        <v>Satisfactorio</v>
      </c>
      <c r="R536" s="14">
        <f t="shared" si="124"/>
        <v>0</v>
      </c>
      <c r="S536" s="14">
        <f t="shared" si="125"/>
        <v>0</v>
      </c>
    </row>
    <row r="537" spans="1:19">
      <c r="A537" s="14" t="str">
        <f t="shared" si="116"/>
        <v>SRY-2-2</v>
      </c>
      <c r="B537" s="15">
        <f>'Curvas SRY'!$B$9</f>
        <v>2</v>
      </c>
      <c r="C537" s="15">
        <f>'Curvas SRY'!$E$9</f>
        <v>1</v>
      </c>
      <c r="D537" s="14" t="str">
        <f>'Curvas SRY'!$B$14</f>
        <v>Uso variable</v>
      </c>
      <c r="E537" s="14">
        <f>54</f>
        <v>54</v>
      </c>
      <c r="F537" s="21">
        <f>'Hoja 4 - Cálculo'!A78</f>
        <v>31199</v>
      </c>
      <c r="G537" s="15">
        <f>'Hoja 4 - Cálculo'!H78</f>
        <v>15.395625000000001</v>
      </c>
      <c r="H537" s="15">
        <f>IF(D537="Uso único",'Hoja 4 - Cálculo'!I78,IF(D537="Uso múltiple",AVERAGE('Hoja 4 - Cálculo'!$I$25:$I$384)+AVERAGE('Hoja 4 - Cálculo'!$J$25:$J$384)+AVERAGE('Hoja 4 - Cálculo'!$K$25:$K$384),IF(D537="Uso prioritario",'Hoja 4 - Cálculo'!I78+'Hoja 4 - Cálculo'!K78,'Hoja 4 - Cálculo'!I78+'Hoja 4 - Cálculo'!J78+'Hoja 4 - Cálculo'!K78)))</f>
        <v>11.5</v>
      </c>
      <c r="I537" s="15">
        <f t="shared" si="117"/>
        <v>11.5</v>
      </c>
      <c r="J537" s="15">
        <f t="shared" si="123"/>
        <v>2</v>
      </c>
      <c r="K537" s="15">
        <f>MIN(J537+G537,(J537+G537)*'Hoja 4 - Cálculo'!$B$15)</f>
        <v>0.34791250000000007</v>
      </c>
      <c r="L537" s="15">
        <f t="shared" si="118"/>
        <v>17.047712500000003</v>
      </c>
      <c r="M537" s="15">
        <f t="shared" si="119"/>
        <v>11.5</v>
      </c>
      <c r="N537" s="15">
        <f t="shared" si="120"/>
        <v>2</v>
      </c>
      <c r="O537" s="15">
        <f t="shared" si="121"/>
        <v>3.5477125000000029</v>
      </c>
      <c r="P537" s="15">
        <f t="shared" si="122"/>
        <v>0</v>
      </c>
      <c r="Q537" s="14" t="str">
        <f>IF(M537&gt;=I537*'Hoja 4 - Cálculo'!$B$16,"Satisfactorio","Falla")</f>
        <v>Satisfactorio</v>
      </c>
      <c r="R537" s="14">
        <f t="shared" si="124"/>
        <v>0</v>
      </c>
      <c r="S537" s="14">
        <f t="shared" si="125"/>
        <v>0</v>
      </c>
    </row>
    <row r="538" spans="1:19">
      <c r="A538" s="14" t="str">
        <f t="shared" si="116"/>
        <v>SRY-2-2</v>
      </c>
      <c r="B538" s="15">
        <f>'Curvas SRY'!$B$9</f>
        <v>2</v>
      </c>
      <c r="C538" s="15">
        <f>'Curvas SRY'!$E$9</f>
        <v>1</v>
      </c>
      <c r="D538" s="14" t="str">
        <f>'Curvas SRY'!$B$14</f>
        <v>Uso variable</v>
      </c>
      <c r="E538" s="14">
        <f>55</f>
        <v>55</v>
      </c>
      <c r="F538" s="21">
        <f>'Hoja 4 - Cálculo'!A79</f>
        <v>31229</v>
      </c>
      <c r="G538" s="15">
        <f>'Hoja 4 - Cálculo'!H79</f>
        <v>11.742749999999999</v>
      </c>
      <c r="H538" s="15">
        <f>IF(D538="Uso único",'Hoja 4 - Cálculo'!I79,IF(D538="Uso múltiple",AVERAGE('Hoja 4 - Cálculo'!$I$25:$I$384)+AVERAGE('Hoja 4 - Cálculo'!$J$25:$J$384)+AVERAGE('Hoja 4 - Cálculo'!$K$25:$K$384),IF(D538="Uso prioritario",'Hoja 4 - Cálculo'!I79+'Hoja 4 - Cálculo'!K79,'Hoja 4 - Cálculo'!I79+'Hoja 4 - Cálculo'!J79+'Hoja 4 - Cálculo'!K79)))</f>
        <v>16</v>
      </c>
      <c r="I538" s="15">
        <f t="shared" si="117"/>
        <v>16</v>
      </c>
      <c r="J538" s="15">
        <f t="shared" si="123"/>
        <v>2</v>
      </c>
      <c r="K538" s="15">
        <f>MIN(J538+G538,(J538+G538)*'Hoja 4 - Cálculo'!$B$15)</f>
        <v>0.27485500000000002</v>
      </c>
      <c r="L538" s="15">
        <f t="shared" si="118"/>
        <v>13.467894999999999</v>
      </c>
      <c r="M538" s="15">
        <f t="shared" si="119"/>
        <v>13.467894999999999</v>
      </c>
      <c r="N538" s="15">
        <f t="shared" si="120"/>
        <v>0</v>
      </c>
      <c r="O538" s="15">
        <f t="shared" si="121"/>
        <v>0</v>
      </c>
      <c r="P538" s="15">
        <f t="shared" si="122"/>
        <v>2.5321050000000014</v>
      </c>
      <c r="Q538" s="14" t="str">
        <f>IF(M538&gt;=I538*'Hoja 4 - Cálculo'!$B$16,"Satisfactorio","Falla")</f>
        <v>Falla</v>
      </c>
      <c r="R538" s="14">
        <f t="shared" si="124"/>
        <v>0</v>
      </c>
      <c r="S538" s="14">
        <f t="shared" si="125"/>
        <v>1</v>
      </c>
    </row>
    <row r="539" spans="1:19">
      <c r="A539" s="14" t="str">
        <f t="shared" si="116"/>
        <v>SRY-2-2</v>
      </c>
      <c r="B539" s="15">
        <f>'Curvas SRY'!$B$9</f>
        <v>2</v>
      </c>
      <c r="C539" s="15">
        <f>'Curvas SRY'!$E$9</f>
        <v>1</v>
      </c>
      <c r="D539" s="14" t="str">
        <f>'Curvas SRY'!$B$14</f>
        <v>Uso variable</v>
      </c>
      <c r="E539" s="14">
        <f>56</f>
        <v>56</v>
      </c>
      <c r="F539" s="21">
        <f>'Hoja 4 - Cálculo'!A80</f>
        <v>31260</v>
      </c>
      <c r="G539" s="15">
        <f>'Hoja 4 - Cálculo'!H80</f>
        <v>12.603375</v>
      </c>
      <c r="H539" s="15">
        <f>IF(D539="Uso único",'Hoja 4 - Cálculo'!I80,IF(D539="Uso múltiple",AVERAGE('Hoja 4 - Cálculo'!$I$25:$I$384)+AVERAGE('Hoja 4 - Cálculo'!$J$25:$J$384)+AVERAGE('Hoja 4 - Cálculo'!$K$25:$K$384),IF(D539="Uso prioritario",'Hoja 4 - Cálculo'!I80+'Hoja 4 - Cálculo'!K80,'Hoja 4 - Cálculo'!I80+'Hoja 4 - Cálculo'!J80+'Hoja 4 - Cálculo'!K80)))</f>
        <v>16</v>
      </c>
      <c r="I539" s="15">
        <f t="shared" si="117"/>
        <v>16</v>
      </c>
      <c r="J539" s="15">
        <f t="shared" si="123"/>
        <v>0</v>
      </c>
      <c r="K539" s="15">
        <f>MIN(J539+G539,(J539+G539)*'Hoja 4 - Cálculo'!$B$15)</f>
        <v>0.2520675</v>
      </c>
      <c r="L539" s="15">
        <f t="shared" si="118"/>
        <v>12.351307499999999</v>
      </c>
      <c r="M539" s="15">
        <f t="shared" si="119"/>
        <v>12.351307499999999</v>
      </c>
      <c r="N539" s="15">
        <f t="shared" si="120"/>
        <v>0</v>
      </c>
      <c r="O539" s="15">
        <f t="shared" si="121"/>
        <v>0</v>
      </c>
      <c r="P539" s="15">
        <f t="shared" si="122"/>
        <v>3.648692500000001</v>
      </c>
      <c r="Q539" s="14" t="str">
        <f>IF(M539&gt;=I539*'Hoja 4 - Cálculo'!$B$16,"Satisfactorio","Falla")</f>
        <v>Falla</v>
      </c>
      <c r="R539" s="14">
        <f t="shared" si="124"/>
        <v>0</v>
      </c>
      <c r="S539" s="14">
        <f t="shared" si="125"/>
        <v>0</v>
      </c>
    </row>
    <row r="540" spans="1:19">
      <c r="A540" s="14" t="str">
        <f t="shared" si="116"/>
        <v>SRY-2-2</v>
      </c>
      <c r="B540" s="15">
        <f>'Curvas SRY'!$B$9</f>
        <v>2</v>
      </c>
      <c r="C540" s="15">
        <f>'Curvas SRY'!$E$9</f>
        <v>1</v>
      </c>
      <c r="D540" s="14" t="str">
        <f>'Curvas SRY'!$B$14</f>
        <v>Uso variable</v>
      </c>
      <c r="E540" s="14">
        <f>57</f>
        <v>57</v>
      </c>
      <c r="F540" s="21">
        <f>'Hoja 4 - Cálculo'!A81</f>
        <v>31291</v>
      </c>
      <c r="G540" s="15">
        <f>'Hoja 4 - Cálculo'!H81</f>
        <v>21.745125000000002</v>
      </c>
      <c r="H540" s="15">
        <f>IF(D540="Uso único",'Hoja 4 - Cálculo'!I81,IF(D540="Uso múltiple",AVERAGE('Hoja 4 - Cálculo'!$I$25:$I$384)+AVERAGE('Hoja 4 - Cálculo'!$J$25:$J$384)+AVERAGE('Hoja 4 - Cálculo'!$K$25:$K$384),IF(D540="Uso prioritario",'Hoja 4 - Cálculo'!I81+'Hoja 4 - Cálculo'!K81,'Hoja 4 - Cálculo'!I81+'Hoja 4 - Cálculo'!J81+'Hoja 4 - Cálculo'!K81)))</f>
        <v>11.5</v>
      </c>
      <c r="I540" s="15">
        <f t="shared" si="117"/>
        <v>11.5</v>
      </c>
      <c r="J540" s="15">
        <f t="shared" si="123"/>
        <v>0</v>
      </c>
      <c r="K540" s="15">
        <f>MIN(J540+G540,(J540+G540)*'Hoja 4 - Cálculo'!$B$15)</f>
        <v>0.43490250000000003</v>
      </c>
      <c r="L540" s="15">
        <f t="shared" si="118"/>
        <v>21.310222500000002</v>
      </c>
      <c r="M540" s="15">
        <f t="shared" si="119"/>
        <v>11.5</v>
      </c>
      <c r="N540" s="15">
        <f t="shared" si="120"/>
        <v>2</v>
      </c>
      <c r="O540" s="15">
        <f t="shared" si="121"/>
        <v>7.8102225000000018</v>
      </c>
      <c r="P540" s="15">
        <f t="shared" si="122"/>
        <v>0</v>
      </c>
      <c r="Q540" s="14" t="str">
        <f>IF(M540&gt;=I540*'Hoja 4 - Cálculo'!$B$16,"Satisfactorio","Falla")</f>
        <v>Satisfactorio</v>
      </c>
      <c r="R540" s="14">
        <f t="shared" si="124"/>
        <v>1</v>
      </c>
      <c r="S540" s="14">
        <f t="shared" si="125"/>
        <v>0</v>
      </c>
    </row>
    <row r="541" spans="1:19">
      <c r="A541" s="14" t="str">
        <f t="shared" si="116"/>
        <v>SRY-2-2</v>
      </c>
      <c r="B541" s="15">
        <f>'Curvas SRY'!$B$9</f>
        <v>2</v>
      </c>
      <c r="C541" s="15">
        <f>'Curvas SRY'!$E$9</f>
        <v>1</v>
      </c>
      <c r="D541" s="14" t="str">
        <f>'Curvas SRY'!$B$14</f>
        <v>Uso variable</v>
      </c>
      <c r="E541" s="14">
        <f>58</f>
        <v>58</v>
      </c>
      <c r="F541" s="21">
        <f>'Hoja 4 - Cálculo'!A82</f>
        <v>31321</v>
      </c>
      <c r="G541" s="15">
        <f>'Hoja 4 - Cálculo'!H82</f>
        <v>27.788625</v>
      </c>
      <c r="H541" s="15">
        <f>IF(D541="Uso único",'Hoja 4 - Cálculo'!I82,IF(D541="Uso múltiple",AVERAGE('Hoja 4 - Cálculo'!$I$25:$I$384)+AVERAGE('Hoja 4 - Cálculo'!$J$25:$J$384)+AVERAGE('Hoja 4 - Cálculo'!$K$25:$K$384),IF(D541="Uso prioritario",'Hoja 4 - Cálculo'!I82+'Hoja 4 - Cálculo'!K82,'Hoja 4 - Cálculo'!I82+'Hoja 4 - Cálculo'!J82+'Hoja 4 - Cálculo'!K82)))</f>
        <v>11.5</v>
      </c>
      <c r="I541" s="15">
        <f t="shared" si="117"/>
        <v>11.5</v>
      </c>
      <c r="J541" s="15">
        <f t="shared" si="123"/>
        <v>2</v>
      </c>
      <c r="K541" s="15">
        <f>MIN(J541+G541,(J541+G541)*'Hoja 4 - Cálculo'!$B$15)</f>
        <v>0.59577250000000004</v>
      </c>
      <c r="L541" s="15">
        <f t="shared" si="118"/>
        <v>29.192852500000001</v>
      </c>
      <c r="M541" s="15">
        <f t="shared" si="119"/>
        <v>11.5</v>
      </c>
      <c r="N541" s="15">
        <f t="shared" si="120"/>
        <v>2</v>
      </c>
      <c r="O541" s="15">
        <f t="shared" si="121"/>
        <v>15.692852500000001</v>
      </c>
      <c r="P541" s="15">
        <f t="shared" si="122"/>
        <v>0</v>
      </c>
      <c r="Q541" s="14" t="str">
        <f>IF(M541&gt;=I541*'Hoja 4 - Cálculo'!$B$16,"Satisfactorio","Falla")</f>
        <v>Satisfactorio</v>
      </c>
      <c r="R541" s="14">
        <f t="shared" si="124"/>
        <v>0</v>
      </c>
      <c r="S541" s="14">
        <f t="shared" si="125"/>
        <v>0</v>
      </c>
    </row>
    <row r="542" spans="1:19">
      <c r="A542" s="14" t="str">
        <f t="shared" si="116"/>
        <v>SRY-2-2</v>
      </c>
      <c r="B542" s="15">
        <f>'Curvas SRY'!$B$9</f>
        <v>2</v>
      </c>
      <c r="C542" s="15">
        <f>'Curvas SRY'!$E$9</f>
        <v>1</v>
      </c>
      <c r="D542" s="14" t="str">
        <f>'Curvas SRY'!$B$14</f>
        <v>Uso variable</v>
      </c>
      <c r="E542" s="14">
        <f>59</f>
        <v>59</v>
      </c>
      <c r="F542" s="21">
        <f>'Hoja 4 - Cálculo'!A83</f>
        <v>31352</v>
      </c>
      <c r="G542" s="15">
        <f>'Hoja 4 - Cálculo'!H83</f>
        <v>22.22325</v>
      </c>
      <c r="H542" s="15">
        <f>IF(D542="Uso único",'Hoja 4 - Cálculo'!I83,IF(D542="Uso múltiple",AVERAGE('Hoja 4 - Cálculo'!$I$25:$I$384)+AVERAGE('Hoja 4 - Cálculo'!$J$25:$J$384)+AVERAGE('Hoja 4 - Cálculo'!$K$25:$K$384),IF(D542="Uso prioritario",'Hoja 4 - Cálculo'!I83+'Hoja 4 - Cálculo'!K83,'Hoja 4 - Cálculo'!I83+'Hoja 4 - Cálculo'!J83+'Hoja 4 - Cálculo'!K83)))</f>
        <v>11.5</v>
      </c>
      <c r="I542" s="15">
        <f t="shared" si="117"/>
        <v>11.5</v>
      </c>
      <c r="J542" s="15">
        <f t="shared" si="123"/>
        <v>2</v>
      </c>
      <c r="K542" s="15">
        <f>MIN(J542+G542,(J542+G542)*'Hoja 4 - Cálculo'!$B$15)</f>
        <v>0.48446500000000003</v>
      </c>
      <c r="L542" s="15">
        <f t="shared" si="118"/>
        <v>23.738785</v>
      </c>
      <c r="M542" s="15">
        <f t="shared" si="119"/>
        <v>11.5</v>
      </c>
      <c r="N542" s="15">
        <f t="shared" si="120"/>
        <v>2</v>
      </c>
      <c r="O542" s="15">
        <f t="shared" si="121"/>
        <v>10.238785</v>
      </c>
      <c r="P542" s="15">
        <f t="shared" si="122"/>
        <v>0</v>
      </c>
      <c r="Q542" s="14" t="str">
        <f>IF(M542&gt;=I542*'Hoja 4 - Cálculo'!$B$16,"Satisfactorio","Falla")</f>
        <v>Satisfactorio</v>
      </c>
      <c r="R542" s="14">
        <f t="shared" si="124"/>
        <v>0</v>
      </c>
      <c r="S542" s="14">
        <f t="shared" si="125"/>
        <v>0</v>
      </c>
    </row>
    <row r="543" spans="1:19">
      <c r="A543" s="14" t="str">
        <f t="shared" si="116"/>
        <v>SRY-2-2</v>
      </c>
      <c r="B543" s="15">
        <f>'Curvas SRY'!$B$9</f>
        <v>2</v>
      </c>
      <c r="C543" s="15">
        <f>'Curvas SRY'!$E$9</f>
        <v>1</v>
      </c>
      <c r="D543" s="14" t="str">
        <f>'Curvas SRY'!$B$14</f>
        <v>Uso variable</v>
      </c>
      <c r="E543" s="14">
        <f>60</f>
        <v>60</v>
      </c>
      <c r="F543" s="21">
        <f>'Hoja 4 - Cálculo'!A84</f>
        <v>31382</v>
      </c>
      <c r="G543" s="15">
        <f>'Hoja 4 - Cálculo'!H84</f>
        <v>14.171625000000001</v>
      </c>
      <c r="H543" s="15">
        <f>IF(D543="Uso único",'Hoja 4 - Cálculo'!I84,IF(D543="Uso múltiple",AVERAGE('Hoja 4 - Cálculo'!$I$25:$I$384)+AVERAGE('Hoja 4 - Cálculo'!$J$25:$J$384)+AVERAGE('Hoja 4 - Cálculo'!$K$25:$K$384),IF(D543="Uso prioritario",'Hoja 4 - Cálculo'!I84+'Hoja 4 - Cálculo'!K84,'Hoja 4 - Cálculo'!I84+'Hoja 4 - Cálculo'!J84+'Hoja 4 - Cálculo'!K84)))</f>
        <v>16</v>
      </c>
      <c r="I543" s="15">
        <f t="shared" si="117"/>
        <v>16</v>
      </c>
      <c r="J543" s="15">
        <f t="shared" si="123"/>
        <v>2</v>
      </c>
      <c r="K543" s="15">
        <f>MIN(J543+G543,(J543+G543)*'Hoja 4 - Cálculo'!$B$15)</f>
        <v>0.32343249999999996</v>
      </c>
      <c r="L543" s="15">
        <f t="shared" si="118"/>
        <v>15.8481925</v>
      </c>
      <c r="M543" s="15">
        <f t="shared" si="119"/>
        <v>15.8481925</v>
      </c>
      <c r="N543" s="15">
        <f t="shared" si="120"/>
        <v>0</v>
      </c>
      <c r="O543" s="15">
        <f t="shared" si="121"/>
        <v>0</v>
      </c>
      <c r="P543" s="15">
        <f t="shared" si="122"/>
        <v>0.15180750000000032</v>
      </c>
      <c r="Q543" s="14" t="str">
        <f>IF(M543&gt;=I543*'Hoja 4 - Cálculo'!$B$16,"Satisfactorio","Falla")</f>
        <v>Falla</v>
      </c>
      <c r="R543" s="14">
        <f t="shared" si="124"/>
        <v>0</v>
      </c>
      <c r="S543" s="14">
        <f t="shared" si="125"/>
        <v>1</v>
      </c>
    </row>
    <row r="544" spans="1:19">
      <c r="A544" s="14" t="str">
        <f t="shared" si="116"/>
        <v>SRY-2-2</v>
      </c>
      <c r="B544" s="15">
        <f>'Curvas SRY'!$B$9</f>
        <v>2</v>
      </c>
      <c r="C544" s="15">
        <f>'Curvas SRY'!$E$9</f>
        <v>1</v>
      </c>
      <c r="D544" s="14" t="str">
        <f>'Curvas SRY'!$B$14</f>
        <v>Uso variable</v>
      </c>
      <c r="E544" s="14">
        <f>61</f>
        <v>61</v>
      </c>
      <c r="F544" s="21">
        <f>'Hoja 4 - Cálculo'!A85</f>
        <v>31413</v>
      </c>
      <c r="G544" s="15">
        <f>'Hoja 4 - Cálculo'!H85</f>
        <v>12.641624999999999</v>
      </c>
      <c r="H544" s="15">
        <f>IF(D544="Uso único",'Hoja 4 - Cálculo'!I85,IF(D544="Uso múltiple",AVERAGE('Hoja 4 - Cálculo'!$I$25:$I$384)+AVERAGE('Hoja 4 - Cálculo'!$J$25:$J$384)+AVERAGE('Hoja 4 - Cálculo'!$K$25:$K$384),IF(D544="Uso prioritario",'Hoja 4 - Cálculo'!I85+'Hoja 4 - Cálculo'!K85,'Hoja 4 - Cálculo'!I85+'Hoja 4 - Cálculo'!J85+'Hoja 4 - Cálculo'!K85)))</f>
        <v>16</v>
      </c>
      <c r="I544" s="15">
        <f t="shared" si="117"/>
        <v>16</v>
      </c>
      <c r="J544" s="15">
        <f t="shared" si="123"/>
        <v>0</v>
      </c>
      <c r="K544" s="15">
        <f>MIN(J544+G544,(J544+G544)*'Hoja 4 - Cálculo'!$B$15)</f>
        <v>0.25283250000000002</v>
      </c>
      <c r="L544" s="15">
        <f t="shared" si="118"/>
        <v>12.388792499999999</v>
      </c>
      <c r="M544" s="15">
        <f t="shared" si="119"/>
        <v>12.388792499999999</v>
      </c>
      <c r="N544" s="15">
        <f t="shared" si="120"/>
        <v>0</v>
      </c>
      <c r="O544" s="15">
        <f t="shared" si="121"/>
        <v>0</v>
      </c>
      <c r="P544" s="15">
        <f t="shared" si="122"/>
        <v>3.6112075000000008</v>
      </c>
      <c r="Q544" s="14" t="str">
        <f>IF(M544&gt;=I544*'Hoja 4 - Cálculo'!$B$16,"Satisfactorio","Falla")</f>
        <v>Falla</v>
      </c>
      <c r="R544" s="14">
        <f t="shared" si="124"/>
        <v>0</v>
      </c>
      <c r="S544" s="14">
        <f t="shared" si="125"/>
        <v>0</v>
      </c>
    </row>
    <row r="545" spans="1:19">
      <c r="A545" s="14" t="str">
        <f t="shared" si="116"/>
        <v>SRY-2-2</v>
      </c>
      <c r="B545" s="15">
        <f>'Curvas SRY'!$B$9</f>
        <v>2</v>
      </c>
      <c r="C545" s="15">
        <f>'Curvas SRY'!$E$9</f>
        <v>1</v>
      </c>
      <c r="D545" s="14" t="str">
        <f>'Curvas SRY'!$B$14</f>
        <v>Uso variable</v>
      </c>
      <c r="E545" s="14">
        <f>62</f>
        <v>62</v>
      </c>
      <c r="F545" s="21">
        <f>'Hoja 4 - Cálculo'!A86</f>
        <v>31444</v>
      </c>
      <c r="G545" s="15">
        <f>'Hoja 4 - Cálculo'!H86</f>
        <v>15.357374999999999</v>
      </c>
      <c r="H545" s="15">
        <f>IF(D545="Uso único",'Hoja 4 - Cálculo'!I86,IF(D545="Uso múltiple",AVERAGE('Hoja 4 - Cálculo'!$I$25:$I$384)+AVERAGE('Hoja 4 - Cálculo'!$J$25:$J$384)+AVERAGE('Hoja 4 - Cálculo'!$K$25:$K$384),IF(D545="Uso prioritario",'Hoja 4 - Cálculo'!I86+'Hoja 4 - Cálculo'!K86,'Hoja 4 - Cálculo'!I86+'Hoja 4 - Cálculo'!J86+'Hoja 4 - Cálculo'!K86)))</f>
        <v>16</v>
      </c>
      <c r="I545" s="15">
        <f t="shared" si="117"/>
        <v>16</v>
      </c>
      <c r="J545" s="15">
        <f t="shared" si="123"/>
        <v>0</v>
      </c>
      <c r="K545" s="15">
        <f>MIN(J545+G545,(J545+G545)*'Hoja 4 - Cálculo'!$B$15)</f>
        <v>0.30714750000000002</v>
      </c>
      <c r="L545" s="15">
        <f t="shared" si="118"/>
        <v>15.0502275</v>
      </c>
      <c r="M545" s="15">
        <f t="shared" si="119"/>
        <v>15.0502275</v>
      </c>
      <c r="N545" s="15">
        <f t="shared" si="120"/>
        <v>0</v>
      </c>
      <c r="O545" s="15">
        <f t="shared" si="121"/>
        <v>0</v>
      </c>
      <c r="P545" s="15">
        <f t="shared" si="122"/>
        <v>0.94977249999999991</v>
      </c>
      <c r="Q545" s="14" t="str">
        <f>IF(M545&gt;=I545*'Hoja 4 - Cálculo'!$B$16,"Satisfactorio","Falla")</f>
        <v>Falla</v>
      </c>
      <c r="R545" s="14">
        <f t="shared" si="124"/>
        <v>0</v>
      </c>
      <c r="S545" s="14">
        <f t="shared" si="125"/>
        <v>0</v>
      </c>
    </row>
    <row r="546" spans="1:19">
      <c r="A546" s="14" t="str">
        <f t="shared" si="116"/>
        <v>SRY-2-2</v>
      </c>
      <c r="B546" s="15">
        <f>'Curvas SRY'!$B$9</f>
        <v>2</v>
      </c>
      <c r="C546" s="15">
        <f>'Curvas SRY'!$E$9</f>
        <v>1</v>
      </c>
      <c r="D546" s="14" t="str">
        <f>'Curvas SRY'!$B$14</f>
        <v>Uso variable</v>
      </c>
      <c r="E546" s="14">
        <f>63</f>
        <v>63</v>
      </c>
      <c r="F546" s="21">
        <f>'Hoja 4 - Cálculo'!A87</f>
        <v>31472</v>
      </c>
      <c r="G546" s="15">
        <f>'Hoja 4 - Cálculo'!H87</f>
        <v>20.846250000000001</v>
      </c>
      <c r="H546" s="15">
        <f>IF(D546="Uso único",'Hoja 4 - Cálculo'!I87,IF(D546="Uso múltiple",AVERAGE('Hoja 4 - Cálculo'!$I$25:$I$384)+AVERAGE('Hoja 4 - Cálculo'!$J$25:$J$384)+AVERAGE('Hoja 4 - Cálculo'!$K$25:$K$384),IF(D546="Uso prioritario",'Hoja 4 - Cálculo'!I87+'Hoja 4 - Cálculo'!K87,'Hoja 4 - Cálculo'!I87+'Hoja 4 - Cálculo'!J87+'Hoja 4 - Cálculo'!K87)))</f>
        <v>16</v>
      </c>
      <c r="I546" s="15">
        <f t="shared" si="117"/>
        <v>16</v>
      </c>
      <c r="J546" s="15">
        <f t="shared" si="123"/>
        <v>0</v>
      </c>
      <c r="K546" s="15">
        <f>MIN(J546+G546,(J546+G546)*'Hoja 4 - Cálculo'!$B$15)</f>
        <v>0.41692500000000005</v>
      </c>
      <c r="L546" s="15">
        <f t="shared" si="118"/>
        <v>20.429325000000002</v>
      </c>
      <c r="M546" s="15">
        <f t="shared" si="119"/>
        <v>16</v>
      </c>
      <c r="N546" s="15">
        <f t="shared" si="120"/>
        <v>2</v>
      </c>
      <c r="O546" s="15">
        <f t="shared" si="121"/>
        <v>2.4293250000000022</v>
      </c>
      <c r="P546" s="15">
        <f t="shared" si="122"/>
        <v>0</v>
      </c>
      <c r="Q546" s="14" t="str">
        <f>IF(M546&gt;=I546*'Hoja 4 - Cálculo'!$B$16,"Satisfactorio","Falla")</f>
        <v>Satisfactorio</v>
      </c>
      <c r="R546" s="14">
        <f t="shared" si="124"/>
        <v>1</v>
      </c>
      <c r="S546" s="14">
        <f t="shared" si="125"/>
        <v>0</v>
      </c>
    </row>
    <row r="547" spans="1:19">
      <c r="A547" s="14" t="str">
        <f t="shared" si="116"/>
        <v>SRY-2-2</v>
      </c>
      <c r="B547" s="15">
        <f>'Curvas SRY'!$B$9</f>
        <v>2</v>
      </c>
      <c r="C547" s="15">
        <f>'Curvas SRY'!$E$9</f>
        <v>1</v>
      </c>
      <c r="D547" s="14" t="str">
        <f>'Curvas SRY'!$B$14</f>
        <v>Uso variable</v>
      </c>
      <c r="E547" s="14">
        <f>64</f>
        <v>64</v>
      </c>
      <c r="F547" s="21">
        <f>'Hoja 4 - Cálculo'!A88</f>
        <v>31503</v>
      </c>
      <c r="G547" s="15">
        <f>'Hoja 4 - Cálculo'!H88</f>
        <v>30.638249999999999</v>
      </c>
      <c r="H547" s="15">
        <f>IF(D547="Uso único",'Hoja 4 - Cálculo'!I88,IF(D547="Uso múltiple",AVERAGE('Hoja 4 - Cálculo'!$I$25:$I$384)+AVERAGE('Hoja 4 - Cálculo'!$J$25:$J$384)+AVERAGE('Hoja 4 - Cálculo'!$K$25:$K$384),IF(D547="Uso prioritario",'Hoja 4 - Cálculo'!I88+'Hoja 4 - Cálculo'!K88,'Hoja 4 - Cálculo'!I88+'Hoja 4 - Cálculo'!J88+'Hoja 4 - Cálculo'!K88)))</f>
        <v>11.5</v>
      </c>
      <c r="I547" s="15">
        <f t="shared" si="117"/>
        <v>11.5</v>
      </c>
      <c r="J547" s="15">
        <f t="shared" si="123"/>
        <v>2</v>
      </c>
      <c r="K547" s="15">
        <f>MIN(J547+G547,(J547+G547)*'Hoja 4 - Cálculo'!$B$15)</f>
        <v>0.65276500000000004</v>
      </c>
      <c r="L547" s="15">
        <f t="shared" si="118"/>
        <v>31.985485000000001</v>
      </c>
      <c r="M547" s="15">
        <f t="shared" si="119"/>
        <v>11.5</v>
      </c>
      <c r="N547" s="15">
        <f t="shared" si="120"/>
        <v>2</v>
      </c>
      <c r="O547" s="15">
        <f t="shared" si="121"/>
        <v>18.485485000000001</v>
      </c>
      <c r="P547" s="15">
        <f t="shared" si="122"/>
        <v>0</v>
      </c>
      <c r="Q547" s="14" t="str">
        <f>IF(M547&gt;=I547*'Hoja 4 - Cálculo'!$B$16,"Satisfactorio","Falla")</f>
        <v>Satisfactorio</v>
      </c>
      <c r="R547" s="14">
        <f t="shared" si="124"/>
        <v>0</v>
      </c>
      <c r="S547" s="14">
        <f t="shared" si="125"/>
        <v>0</v>
      </c>
    </row>
    <row r="548" spans="1:19">
      <c r="A548" s="14" t="str">
        <f t="shared" ref="A548:A579" si="126">"SRY-2-2"</f>
        <v>SRY-2-2</v>
      </c>
      <c r="B548" s="15">
        <f>'Curvas SRY'!$B$9</f>
        <v>2</v>
      </c>
      <c r="C548" s="15">
        <f>'Curvas SRY'!$E$9</f>
        <v>1</v>
      </c>
      <c r="D548" s="14" t="str">
        <f>'Curvas SRY'!$B$14</f>
        <v>Uso variable</v>
      </c>
      <c r="E548" s="14">
        <f>65</f>
        <v>65</v>
      </c>
      <c r="F548" s="21">
        <f>'Hoja 4 - Cálculo'!A89</f>
        <v>31533</v>
      </c>
      <c r="G548" s="15">
        <f>'Hoja 4 - Cálculo'!H89</f>
        <v>28.438874999999999</v>
      </c>
      <c r="H548" s="15">
        <f>IF(D548="Uso único",'Hoja 4 - Cálculo'!I89,IF(D548="Uso múltiple",AVERAGE('Hoja 4 - Cálculo'!$I$25:$I$384)+AVERAGE('Hoja 4 - Cálculo'!$J$25:$J$384)+AVERAGE('Hoja 4 - Cálculo'!$K$25:$K$384),IF(D548="Uso prioritario",'Hoja 4 - Cálculo'!I89+'Hoja 4 - Cálculo'!K89,'Hoja 4 - Cálculo'!I89+'Hoja 4 - Cálculo'!J89+'Hoja 4 - Cálculo'!K89)))</f>
        <v>11.5</v>
      </c>
      <c r="I548" s="15">
        <f t="shared" si="117"/>
        <v>11.5</v>
      </c>
      <c r="J548" s="15">
        <f t="shared" si="123"/>
        <v>2</v>
      </c>
      <c r="K548" s="15">
        <f>MIN(J548+G548,(J548+G548)*'Hoja 4 - Cálculo'!$B$15)</f>
        <v>0.60877749999999997</v>
      </c>
      <c r="L548" s="15">
        <f t="shared" si="118"/>
        <v>29.830097500000001</v>
      </c>
      <c r="M548" s="15">
        <f t="shared" si="119"/>
        <v>11.5</v>
      </c>
      <c r="N548" s="15">
        <f t="shared" si="120"/>
        <v>2</v>
      </c>
      <c r="O548" s="15">
        <f t="shared" si="121"/>
        <v>16.330097500000001</v>
      </c>
      <c r="P548" s="15">
        <f t="shared" si="122"/>
        <v>0</v>
      </c>
      <c r="Q548" s="14" t="str">
        <f>IF(M548&gt;=I548*'Hoja 4 - Cálculo'!$B$16,"Satisfactorio","Falla")</f>
        <v>Satisfactorio</v>
      </c>
      <c r="R548" s="14">
        <f t="shared" si="124"/>
        <v>0</v>
      </c>
      <c r="S548" s="14">
        <f t="shared" si="125"/>
        <v>0</v>
      </c>
    </row>
    <row r="549" spans="1:19">
      <c r="A549" s="14" t="str">
        <f t="shared" si="126"/>
        <v>SRY-2-2</v>
      </c>
      <c r="B549" s="15">
        <f>'Curvas SRY'!$B$9</f>
        <v>2</v>
      </c>
      <c r="C549" s="15">
        <f>'Curvas SRY'!$E$9</f>
        <v>1</v>
      </c>
      <c r="D549" s="14" t="str">
        <f>'Curvas SRY'!$B$14</f>
        <v>Uso variable</v>
      </c>
      <c r="E549" s="14">
        <f>66</f>
        <v>66</v>
      </c>
      <c r="F549" s="21">
        <f>'Hoja 4 - Cálculo'!A90</f>
        <v>31564</v>
      </c>
      <c r="G549" s="15">
        <f>'Hoja 4 - Cálculo'!H90</f>
        <v>16.007625000000001</v>
      </c>
      <c r="H549" s="15">
        <f>IF(D549="Uso único",'Hoja 4 - Cálculo'!I90,IF(D549="Uso múltiple",AVERAGE('Hoja 4 - Cálculo'!$I$25:$I$384)+AVERAGE('Hoja 4 - Cálculo'!$J$25:$J$384)+AVERAGE('Hoja 4 - Cálculo'!$K$25:$K$384),IF(D549="Uso prioritario",'Hoja 4 - Cálculo'!I90+'Hoja 4 - Cálculo'!K90,'Hoja 4 - Cálculo'!I90+'Hoja 4 - Cálculo'!J90+'Hoja 4 - Cálculo'!K90)))</f>
        <v>11.5</v>
      </c>
      <c r="I549" s="15">
        <f t="shared" si="117"/>
        <v>11.5</v>
      </c>
      <c r="J549" s="15">
        <f t="shared" ref="J549:J580" si="127">N548</f>
        <v>2</v>
      </c>
      <c r="K549" s="15">
        <f>MIN(J549+G549,(J549+G549)*'Hoja 4 - Cálculo'!$B$15)</f>
        <v>0.36015250000000004</v>
      </c>
      <c r="L549" s="15">
        <f t="shared" si="118"/>
        <v>17.647472499999999</v>
      </c>
      <c r="M549" s="15">
        <f t="shared" si="119"/>
        <v>11.5</v>
      </c>
      <c r="N549" s="15">
        <f t="shared" si="120"/>
        <v>2</v>
      </c>
      <c r="O549" s="15">
        <f t="shared" si="121"/>
        <v>4.1474724999999992</v>
      </c>
      <c r="P549" s="15">
        <f t="shared" si="122"/>
        <v>0</v>
      </c>
      <c r="Q549" s="14" t="str">
        <f>IF(M549&gt;=I549*'Hoja 4 - Cálculo'!$B$16,"Satisfactorio","Falla")</f>
        <v>Satisfactorio</v>
      </c>
      <c r="R549" s="14">
        <f t="shared" ref="R549:R580" si="128">IF(AND(Q548="Falla",Q549="Satisfactorio"),1,0)</f>
        <v>0</v>
      </c>
      <c r="S549" s="14">
        <f t="shared" ref="S549:S580" si="129">IF(AND(Q549="Falla",Q548&lt;&gt;"Falla"),1,0)</f>
        <v>0</v>
      </c>
    </row>
    <row r="550" spans="1:19">
      <c r="A550" s="14" t="str">
        <f t="shared" si="126"/>
        <v>SRY-2-2</v>
      </c>
      <c r="B550" s="15">
        <f>'Curvas SRY'!$B$9</f>
        <v>2</v>
      </c>
      <c r="C550" s="15">
        <f>'Curvas SRY'!$E$9</f>
        <v>1</v>
      </c>
      <c r="D550" s="14" t="str">
        <f>'Curvas SRY'!$B$14</f>
        <v>Uso variable</v>
      </c>
      <c r="E550" s="14">
        <f>67</f>
        <v>67</v>
      </c>
      <c r="F550" s="21">
        <f>'Hoja 4 - Cálculo'!A91</f>
        <v>31594</v>
      </c>
      <c r="G550" s="15">
        <f>'Hoja 4 - Cálculo'!H91</f>
        <v>14.056875</v>
      </c>
      <c r="H550" s="15">
        <f>IF(D550="Uso único",'Hoja 4 - Cálculo'!I91,IF(D550="Uso múltiple",AVERAGE('Hoja 4 - Cálculo'!$I$25:$I$384)+AVERAGE('Hoja 4 - Cálculo'!$J$25:$J$384)+AVERAGE('Hoja 4 - Cálculo'!$K$25:$K$384),IF(D550="Uso prioritario",'Hoja 4 - Cálculo'!I91+'Hoja 4 - Cálculo'!K91,'Hoja 4 - Cálculo'!I91+'Hoja 4 - Cálculo'!J91+'Hoja 4 - Cálculo'!K91)))</f>
        <v>16</v>
      </c>
      <c r="I550" s="15">
        <f t="shared" si="117"/>
        <v>16</v>
      </c>
      <c r="J550" s="15">
        <f t="shared" si="127"/>
        <v>2</v>
      </c>
      <c r="K550" s="15">
        <f>MIN(J550+G550,(J550+G550)*'Hoja 4 - Cálculo'!$B$15)</f>
        <v>0.32113749999999996</v>
      </c>
      <c r="L550" s="15">
        <f t="shared" si="118"/>
        <v>15.735737499999997</v>
      </c>
      <c r="M550" s="15">
        <f t="shared" si="119"/>
        <v>15.735737499999997</v>
      </c>
      <c r="N550" s="15">
        <f t="shared" si="120"/>
        <v>0</v>
      </c>
      <c r="O550" s="15">
        <f t="shared" si="121"/>
        <v>0</v>
      </c>
      <c r="P550" s="15">
        <f t="shared" si="122"/>
        <v>0.26426250000000273</v>
      </c>
      <c r="Q550" s="14" t="str">
        <f>IF(M550&gt;=I550*'Hoja 4 - Cálculo'!$B$16,"Satisfactorio","Falla")</f>
        <v>Falla</v>
      </c>
      <c r="R550" s="14">
        <f t="shared" si="128"/>
        <v>0</v>
      </c>
      <c r="S550" s="14">
        <f t="shared" si="129"/>
        <v>1</v>
      </c>
    </row>
    <row r="551" spans="1:19">
      <c r="A551" s="14" t="str">
        <f t="shared" si="126"/>
        <v>SRY-2-2</v>
      </c>
      <c r="B551" s="15">
        <f>'Curvas SRY'!$B$9</f>
        <v>2</v>
      </c>
      <c r="C551" s="15">
        <f>'Curvas SRY'!$E$9</f>
        <v>1</v>
      </c>
      <c r="D551" s="14" t="str">
        <f>'Curvas SRY'!$B$14</f>
        <v>Uso variable</v>
      </c>
      <c r="E551" s="14">
        <f>68</f>
        <v>68</v>
      </c>
      <c r="F551" s="21">
        <f>'Hoja 4 - Cálculo'!A92</f>
        <v>31625</v>
      </c>
      <c r="G551" s="15">
        <f>'Hoja 4 - Cálculo'!H92</f>
        <v>15.032249999999999</v>
      </c>
      <c r="H551" s="15">
        <f>IF(D551="Uso único",'Hoja 4 - Cálculo'!I92,IF(D551="Uso múltiple",AVERAGE('Hoja 4 - Cálculo'!$I$25:$I$384)+AVERAGE('Hoja 4 - Cálculo'!$J$25:$J$384)+AVERAGE('Hoja 4 - Cálculo'!$K$25:$K$384),IF(D551="Uso prioritario",'Hoja 4 - Cálculo'!I92+'Hoja 4 - Cálculo'!K92,'Hoja 4 - Cálculo'!I92+'Hoja 4 - Cálculo'!J92+'Hoja 4 - Cálculo'!K92)))</f>
        <v>16</v>
      </c>
      <c r="I551" s="15">
        <f t="shared" si="117"/>
        <v>16</v>
      </c>
      <c r="J551" s="15">
        <f t="shared" si="127"/>
        <v>0</v>
      </c>
      <c r="K551" s="15">
        <f>MIN(J551+G551,(J551+G551)*'Hoja 4 - Cálculo'!$B$15)</f>
        <v>0.300645</v>
      </c>
      <c r="L551" s="15">
        <f t="shared" si="118"/>
        <v>14.731605</v>
      </c>
      <c r="M551" s="15">
        <f t="shared" si="119"/>
        <v>14.731605</v>
      </c>
      <c r="N551" s="15">
        <f t="shared" si="120"/>
        <v>0</v>
      </c>
      <c r="O551" s="15">
        <f t="shared" si="121"/>
        <v>0</v>
      </c>
      <c r="P551" s="15">
        <f t="shared" si="122"/>
        <v>1.2683949999999999</v>
      </c>
      <c r="Q551" s="14" t="str">
        <f>IF(M551&gt;=I551*'Hoja 4 - Cálculo'!$B$16,"Satisfactorio","Falla")</f>
        <v>Falla</v>
      </c>
      <c r="R551" s="14">
        <f t="shared" si="128"/>
        <v>0</v>
      </c>
      <c r="S551" s="14">
        <f t="shared" si="129"/>
        <v>0</v>
      </c>
    </row>
    <row r="552" spans="1:19">
      <c r="A552" s="14" t="str">
        <f t="shared" si="126"/>
        <v>SRY-2-2</v>
      </c>
      <c r="B552" s="15">
        <f>'Curvas SRY'!$B$9</f>
        <v>2</v>
      </c>
      <c r="C552" s="15">
        <f>'Curvas SRY'!$E$9</f>
        <v>1</v>
      </c>
      <c r="D552" s="14" t="str">
        <f>'Curvas SRY'!$B$14</f>
        <v>Uso variable</v>
      </c>
      <c r="E552" s="14">
        <f>69</f>
        <v>69</v>
      </c>
      <c r="F552" s="21">
        <f>'Hoja 4 - Cálculo'!A93</f>
        <v>31656</v>
      </c>
      <c r="G552" s="15">
        <f>'Hoja 4 - Cálculo'!H93</f>
        <v>22.60575</v>
      </c>
      <c r="H552" s="15">
        <f>IF(D552="Uso único",'Hoja 4 - Cálculo'!I93,IF(D552="Uso múltiple",AVERAGE('Hoja 4 - Cálculo'!$I$25:$I$384)+AVERAGE('Hoja 4 - Cálculo'!$J$25:$J$384)+AVERAGE('Hoja 4 - Cálculo'!$K$25:$K$384),IF(D552="Uso prioritario",'Hoja 4 - Cálculo'!I93+'Hoja 4 - Cálculo'!K93,'Hoja 4 - Cálculo'!I93+'Hoja 4 - Cálculo'!J93+'Hoja 4 - Cálculo'!K93)))</f>
        <v>11.5</v>
      </c>
      <c r="I552" s="15">
        <f t="shared" si="117"/>
        <v>11.5</v>
      </c>
      <c r="J552" s="15">
        <f t="shared" si="127"/>
        <v>0</v>
      </c>
      <c r="K552" s="15">
        <f>MIN(J552+G552,(J552+G552)*'Hoja 4 - Cálculo'!$B$15)</f>
        <v>0.45211500000000004</v>
      </c>
      <c r="L552" s="15">
        <f t="shared" si="118"/>
        <v>22.153635000000001</v>
      </c>
      <c r="M552" s="15">
        <f t="shared" si="119"/>
        <v>11.5</v>
      </c>
      <c r="N552" s="15">
        <f t="shared" si="120"/>
        <v>2</v>
      </c>
      <c r="O552" s="15">
        <f t="shared" si="121"/>
        <v>8.6536350000000013</v>
      </c>
      <c r="P552" s="15">
        <f t="shared" si="122"/>
        <v>0</v>
      </c>
      <c r="Q552" s="14" t="str">
        <f>IF(M552&gt;=I552*'Hoja 4 - Cálculo'!$B$16,"Satisfactorio","Falla")</f>
        <v>Satisfactorio</v>
      </c>
      <c r="R552" s="14">
        <f t="shared" si="128"/>
        <v>1</v>
      </c>
      <c r="S552" s="14">
        <f t="shared" si="129"/>
        <v>0</v>
      </c>
    </row>
    <row r="553" spans="1:19">
      <c r="A553" s="14" t="str">
        <f t="shared" si="126"/>
        <v>SRY-2-2</v>
      </c>
      <c r="B553" s="15">
        <f>'Curvas SRY'!$B$9</f>
        <v>2</v>
      </c>
      <c r="C553" s="15">
        <f>'Curvas SRY'!$E$9</f>
        <v>1</v>
      </c>
      <c r="D553" s="14" t="str">
        <f>'Curvas SRY'!$B$14</f>
        <v>Uso variable</v>
      </c>
      <c r="E553" s="14">
        <f>70</f>
        <v>70</v>
      </c>
      <c r="F553" s="21">
        <f>'Hoja 4 - Cálculo'!A94</f>
        <v>31686</v>
      </c>
      <c r="G553" s="15">
        <f>'Hoja 4 - Cálculo'!H94</f>
        <v>32.531624999999998</v>
      </c>
      <c r="H553" s="15">
        <f>IF(D553="Uso único",'Hoja 4 - Cálculo'!I94,IF(D553="Uso múltiple",AVERAGE('Hoja 4 - Cálculo'!$I$25:$I$384)+AVERAGE('Hoja 4 - Cálculo'!$J$25:$J$384)+AVERAGE('Hoja 4 - Cálculo'!$K$25:$K$384),IF(D553="Uso prioritario",'Hoja 4 - Cálculo'!I94+'Hoja 4 - Cálculo'!K94,'Hoja 4 - Cálculo'!I94+'Hoja 4 - Cálculo'!J94+'Hoja 4 - Cálculo'!K94)))</f>
        <v>11.5</v>
      </c>
      <c r="I553" s="15">
        <f t="shared" si="117"/>
        <v>11.5</v>
      </c>
      <c r="J553" s="15">
        <f t="shared" si="127"/>
        <v>2</v>
      </c>
      <c r="K553" s="15">
        <f>MIN(J553+G553,(J553+G553)*'Hoja 4 - Cálculo'!$B$15)</f>
        <v>0.69063249999999998</v>
      </c>
      <c r="L553" s="15">
        <f t="shared" si="118"/>
        <v>33.840992499999999</v>
      </c>
      <c r="M553" s="15">
        <f t="shared" si="119"/>
        <v>11.5</v>
      </c>
      <c r="N553" s="15">
        <f t="shared" si="120"/>
        <v>2</v>
      </c>
      <c r="O553" s="15">
        <f t="shared" si="121"/>
        <v>20.340992499999999</v>
      </c>
      <c r="P553" s="15">
        <f t="shared" si="122"/>
        <v>0</v>
      </c>
      <c r="Q553" s="14" t="str">
        <f>IF(M553&gt;=I553*'Hoja 4 - Cálculo'!$B$16,"Satisfactorio","Falla")</f>
        <v>Satisfactorio</v>
      </c>
      <c r="R553" s="14">
        <f t="shared" si="128"/>
        <v>0</v>
      </c>
      <c r="S553" s="14">
        <f t="shared" si="129"/>
        <v>0</v>
      </c>
    </row>
    <row r="554" spans="1:19">
      <c r="A554" s="14" t="str">
        <f t="shared" si="126"/>
        <v>SRY-2-2</v>
      </c>
      <c r="B554" s="15">
        <f>'Curvas SRY'!$B$9</f>
        <v>2</v>
      </c>
      <c r="C554" s="15">
        <f>'Curvas SRY'!$E$9</f>
        <v>1</v>
      </c>
      <c r="D554" s="14" t="str">
        <f>'Curvas SRY'!$B$14</f>
        <v>Uso variable</v>
      </c>
      <c r="E554" s="14">
        <f>71</f>
        <v>71</v>
      </c>
      <c r="F554" s="21">
        <f>'Hoja 4 - Cálculo'!A95</f>
        <v>31717</v>
      </c>
      <c r="G554" s="15">
        <f>'Hoja 4 - Cálculo'!H95</f>
        <v>26.641124999999999</v>
      </c>
      <c r="H554" s="15">
        <f>IF(D554="Uso único",'Hoja 4 - Cálculo'!I95,IF(D554="Uso múltiple",AVERAGE('Hoja 4 - Cálculo'!$I$25:$I$384)+AVERAGE('Hoja 4 - Cálculo'!$J$25:$J$384)+AVERAGE('Hoja 4 - Cálculo'!$K$25:$K$384),IF(D554="Uso prioritario",'Hoja 4 - Cálculo'!I95+'Hoja 4 - Cálculo'!K95,'Hoja 4 - Cálculo'!I95+'Hoja 4 - Cálculo'!J95+'Hoja 4 - Cálculo'!K95)))</f>
        <v>11.5</v>
      </c>
      <c r="I554" s="15">
        <f t="shared" si="117"/>
        <v>11.5</v>
      </c>
      <c r="J554" s="15">
        <f t="shared" si="127"/>
        <v>2</v>
      </c>
      <c r="K554" s="15">
        <f>MIN(J554+G554,(J554+G554)*'Hoja 4 - Cálculo'!$B$15)</f>
        <v>0.57282250000000001</v>
      </c>
      <c r="L554" s="15">
        <f t="shared" si="118"/>
        <v>28.068302499999998</v>
      </c>
      <c r="M554" s="15">
        <f t="shared" si="119"/>
        <v>11.5</v>
      </c>
      <c r="N554" s="15">
        <f t="shared" si="120"/>
        <v>2</v>
      </c>
      <c r="O554" s="15">
        <f t="shared" si="121"/>
        <v>14.568302499999998</v>
      </c>
      <c r="P554" s="15">
        <f t="shared" si="122"/>
        <v>0</v>
      </c>
      <c r="Q554" s="14" t="str">
        <f>IF(M554&gt;=I554*'Hoja 4 - Cálculo'!$B$16,"Satisfactorio","Falla")</f>
        <v>Satisfactorio</v>
      </c>
      <c r="R554" s="14">
        <f t="shared" si="128"/>
        <v>0</v>
      </c>
      <c r="S554" s="14">
        <f t="shared" si="129"/>
        <v>0</v>
      </c>
    </row>
    <row r="555" spans="1:19">
      <c r="A555" s="14" t="str">
        <f t="shared" si="126"/>
        <v>SRY-2-2</v>
      </c>
      <c r="B555" s="15">
        <f>'Curvas SRY'!$B$9</f>
        <v>2</v>
      </c>
      <c r="C555" s="15">
        <f>'Curvas SRY'!$E$9</f>
        <v>1</v>
      </c>
      <c r="D555" s="14" t="str">
        <f>'Curvas SRY'!$B$14</f>
        <v>Uso variable</v>
      </c>
      <c r="E555" s="14">
        <f>72</f>
        <v>72</v>
      </c>
      <c r="F555" s="21">
        <f>'Hoja 4 - Cálculo'!A96</f>
        <v>31747</v>
      </c>
      <c r="G555" s="15">
        <f>'Hoja 4 - Cálculo'!H96</f>
        <v>15.166124999999999</v>
      </c>
      <c r="H555" s="15">
        <f>IF(D555="Uso único",'Hoja 4 - Cálculo'!I96,IF(D555="Uso múltiple",AVERAGE('Hoja 4 - Cálculo'!$I$25:$I$384)+AVERAGE('Hoja 4 - Cálculo'!$J$25:$J$384)+AVERAGE('Hoja 4 - Cálculo'!$K$25:$K$384),IF(D555="Uso prioritario",'Hoja 4 - Cálculo'!I96+'Hoja 4 - Cálculo'!K96,'Hoja 4 - Cálculo'!I96+'Hoja 4 - Cálculo'!J96+'Hoja 4 - Cálculo'!K96)))</f>
        <v>16</v>
      </c>
      <c r="I555" s="15">
        <f t="shared" si="117"/>
        <v>16</v>
      </c>
      <c r="J555" s="15">
        <f t="shared" si="127"/>
        <v>2</v>
      </c>
      <c r="K555" s="15">
        <f>MIN(J555+G555,(J555+G555)*'Hoja 4 - Cálculo'!$B$15)</f>
        <v>0.34332250000000003</v>
      </c>
      <c r="L555" s="15">
        <f t="shared" si="118"/>
        <v>16.822802500000002</v>
      </c>
      <c r="M555" s="15">
        <f t="shared" si="119"/>
        <v>16</v>
      </c>
      <c r="N555" s="15">
        <f t="shared" si="120"/>
        <v>0.82280250000000166</v>
      </c>
      <c r="O555" s="15">
        <f t="shared" si="121"/>
        <v>0</v>
      </c>
      <c r="P555" s="15">
        <f t="shared" si="122"/>
        <v>0</v>
      </c>
      <c r="Q555" s="14" t="str">
        <f>IF(M555&gt;=I555*'Hoja 4 - Cálculo'!$B$16,"Satisfactorio","Falla")</f>
        <v>Satisfactorio</v>
      </c>
      <c r="R555" s="14">
        <f t="shared" si="128"/>
        <v>0</v>
      </c>
      <c r="S555" s="14">
        <f t="shared" si="129"/>
        <v>0</v>
      </c>
    </row>
    <row r="556" spans="1:19">
      <c r="A556" s="14" t="str">
        <f t="shared" si="126"/>
        <v>SRY-2-2</v>
      </c>
      <c r="B556" s="15">
        <f>'Curvas SRY'!$B$9</f>
        <v>2</v>
      </c>
      <c r="C556" s="15">
        <f>'Curvas SRY'!$E$9</f>
        <v>1</v>
      </c>
      <c r="D556" s="14" t="str">
        <f>'Curvas SRY'!$B$14</f>
        <v>Uso variable</v>
      </c>
      <c r="E556" s="14">
        <f>73</f>
        <v>73</v>
      </c>
      <c r="F556" s="21">
        <f>'Hoja 4 - Cálculo'!A97</f>
        <v>31778</v>
      </c>
      <c r="G556" s="15">
        <f>'Hoja 4 - Cálculo'!H97</f>
        <v>14.056875</v>
      </c>
      <c r="H556" s="15">
        <f>IF(D556="Uso único",'Hoja 4 - Cálculo'!I97,IF(D556="Uso múltiple",AVERAGE('Hoja 4 - Cálculo'!$I$25:$I$384)+AVERAGE('Hoja 4 - Cálculo'!$J$25:$J$384)+AVERAGE('Hoja 4 - Cálculo'!$K$25:$K$384),IF(D556="Uso prioritario",'Hoja 4 - Cálculo'!I97+'Hoja 4 - Cálculo'!K97,'Hoja 4 - Cálculo'!I97+'Hoja 4 - Cálculo'!J97+'Hoja 4 - Cálculo'!K97)))</f>
        <v>16</v>
      </c>
      <c r="I556" s="15">
        <f t="shared" si="117"/>
        <v>16</v>
      </c>
      <c r="J556" s="15">
        <f t="shared" si="127"/>
        <v>0.82280250000000166</v>
      </c>
      <c r="K556" s="15">
        <f>MIN(J556+G556,(J556+G556)*'Hoja 4 - Cálculo'!$B$15)</f>
        <v>0.29759355000000004</v>
      </c>
      <c r="L556" s="15">
        <f t="shared" si="118"/>
        <v>14.582083950000001</v>
      </c>
      <c r="M556" s="15">
        <f t="shared" si="119"/>
        <v>14.582083950000001</v>
      </c>
      <c r="N556" s="15">
        <f t="shared" si="120"/>
        <v>0</v>
      </c>
      <c r="O556" s="15">
        <f t="shared" si="121"/>
        <v>0</v>
      </c>
      <c r="P556" s="15">
        <f t="shared" si="122"/>
        <v>1.4179160499999988</v>
      </c>
      <c r="Q556" s="14" t="str">
        <f>IF(M556&gt;=I556*'Hoja 4 - Cálculo'!$B$16,"Satisfactorio","Falla")</f>
        <v>Falla</v>
      </c>
      <c r="R556" s="14">
        <f t="shared" si="128"/>
        <v>0</v>
      </c>
      <c r="S556" s="14">
        <f t="shared" si="129"/>
        <v>1</v>
      </c>
    </row>
    <row r="557" spans="1:19">
      <c r="A557" s="14" t="str">
        <f t="shared" si="126"/>
        <v>SRY-2-2</v>
      </c>
      <c r="B557" s="15">
        <f>'Curvas SRY'!$B$9</f>
        <v>2</v>
      </c>
      <c r="C557" s="15">
        <f>'Curvas SRY'!$E$9</f>
        <v>1</v>
      </c>
      <c r="D557" s="14" t="str">
        <f>'Curvas SRY'!$B$14</f>
        <v>Uso variable</v>
      </c>
      <c r="E557" s="14">
        <f>74</f>
        <v>74</v>
      </c>
      <c r="F557" s="21">
        <f>'Hoja 4 - Cálculo'!A98</f>
        <v>31809</v>
      </c>
      <c r="G557" s="15">
        <f>'Hoja 4 - Cálculo'!H98</f>
        <v>15.969374999999999</v>
      </c>
      <c r="H557" s="15">
        <f>IF(D557="Uso único",'Hoja 4 - Cálculo'!I98,IF(D557="Uso múltiple",AVERAGE('Hoja 4 - Cálculo'!$I$25:$I$384)+AVERAGE('Hoja 4 - Cálculo'!$J$25:$J$384)+AVERAGE('Hoja 4 - Cálculo'!$K$25:$K$384),IF(D557="Uso prioritario",'Hoja 4 - Cálculo'!I98+'Hoja 4 - Cálculo'!K98,'Hoja 4 - Cálculo'!I98+'Hoja 4 - Cálculo'!J98+'Hoja 4 - Cálculo'!K98)))</f>
        <v>16</v>
      </c>
      <c r="I557" s="15">
        <f t="shared" si="117"/>
        <v>16</v>
      </c>
      <c r="J557" s="15">
        <f t="shared" si="127"/>
        <v>0</v>
      </c>
      <c r="K557" s="15">
        <f>MIN(J557+G557,(J557+G557)*'Hoja 4 - Cálculo'!$B$15)</f>
        <v>0.31938749999999999</v>
      </c>
      <c r="L557" s="15">
        <f t="shared" si="118"/>
        <v>15.6499875</v>
      </c>
      <c r="M557" s="15">
        <f t="shared" si="119"/>
        <v>15.6499875</v>
      </c>
      <c r="N557" s="15">
        <f t="shared" si="120"/>
        <v>0</v>
      </c>
      <c r="O557" s="15">
        <f t="shared" si="121"/>
        <v>0</v>
      </c>
      <c r="P557" s="15">
        <f t="shared" si="122"/>
        <v>0.35001250000000006</v>
      </c>
      <c r="Q557" s="14" t="str">
        <f>IF(M557&gt;=I557*'Hoja 4 - Cálculo'!$B$16,"Satisfactorio","Falla")</f>
        <v>Falla</v>
      </c>
      <c r="R557" s="14">
        <f t="shared" si="128"/>
        <v>0</v>
      </c>
      <c r="S557" s="14">
        <f t="shared" si="129"/>
        <v>0</v>
      </c>
    </row>
    <row r="558" spans="1:19">
      <c r="A558" s="14" t="str">
        <f t="shared" si="126"/>
        <v>SRY-2-2</v>
      </c>
      <c r="B558" s="15">
        <f>'Curvas SRY'!$B$9</f>
        <v>2</v>
      </c>
      <c r="C558" s="15">
        <f>'Curvas SRY'!$E$9</f>
        <v>1</v>
      </c>
      <c r="D558" s="14" t="str">
        <f>'Curvas SRY'!$B$14</f>
        <v>Uso variable</v>
      </c>
      <c r="E558" s="14">
        <f>75</f>
        <v>75</v>
      </c>
      <c r="F558" s="21">
        <f>'Hoja 4 - Cálculo'!A99</f>
        <v>31837</v>
      </c>
      <c r="G558" s="15">
        <f>'Hoja 4 - Cálculo'!H99</f>
        <v>22.797000000000001</v>
      </c>
      <c r="H558" s="15">
        <f>IF(D558="Uso único",'Hoja 4 - Cálculo'!I99,IF(D558="Uso múltiple",AVERAGE('Hoja 4 - Cálculo'!$I$25:$I$384)+AVERAGE('Hoja 4 - Cálculo'!$J$25:$J$384)+AVERAGE('Hoja 4 - Cálculo'!$K$25:$K$384),IF(D558="Uso prioritario",'Hoja 4 - Cálculo'!I99+'Hoja 4 - Cálculo'!K99,'Hoja 4 - Cálculo'!I99+'Hoja 4 - Cálculo'!J99+'Hoja 4 - Cálculo'!K99)))</f>
        <v>16</v>
      </c>
      <c r="I558" s="15">
        <f t="shared" si="117"/>
        <v>16</v>
      </c>
      <c r="J558" s="15">
        <f t="shared" si="127"/>
        <v>0</v>
      </c>
      <c r="K558" s="15">
        <f>MIN(J558+G558,(J558+G558)*'Hoja 4 - Cálculo'!$B$15)</f>
        <v>0.45594000000000001</v>
      </c>
      <c r="L558" s="15">
        <f t="shared" si="118"/>
        <v>22.341059999999999</v>
      </c>
      <c r="M558" s="15">
        <f t="shared" si="119"/>
        <v>16</v>
      </c>
      <c r="N558" s="15">
        <f t="shared" si="120"/>
        <v>2</v>
      </c>
      <c r="O558" s="15">
        <f t="shared" si="121"/>
        <v>4.3410599999999988</v>
      </c>
      <c r="P558" s="15">
        <f t="shared" si="122"/>
        <v>0</v>
      </c>
      <c r="Q558" s="14" t="str">
        <f>IF(M558&gt;=I558*'Hoja 4 - Cálculo'!$B$16,"Satisfactorio","Falla")</f>
        <v>Satisfactorio</v>
      </c>
      <c r="R558" s="14">
        <f t="shared" si="128"/>
        <v>1</v>
      </c>
      <c r="S558" s="14">
        <f t="shared" si="129"/>
        <v>0</v>
      </c>
    </row>
    <row r="559" spans="1:19">
      <c r="A559" s="14" t="str">
        <f t="shared" si="126"/>
        <v>SRY-2-2</v>
      </c>
      <c r="B559" s="15">
        <f>'Curvas SRY'!$B$9</f>
        <v>2</v>
      </c>
      <c r="C559" s="15">
        <f>'Curvas SRY'!$E$9</f>
        <v>1</v>
      </c>
      <c r="D559" s="14" t="str">
        <f>'Curvas SRY'!$B$14</f>
        <v>Uso variable</v>
      </c>
      <c r="E559" s="14">
        <f>76</f>
        <v>76</v>
      </c>
      <c r="F559" s="21">
        <f>'Hoja 4 - Cálculo'!A100</f>
        <v>31868</v>
      </c>
      <c r="G559" s="15">
        <f>'Hoja 4 - Cálculo'!H100</f>
        <v>34.138125000000002</v>
      </c>
      <c r="H559" s="15">
        <f>IF(D559="Uso único",'Hoja 4 - Cálculo'!I100,IF(D559="Uso múltiple",AVERAGE('Hoja 4 - Cálculo'!$I$25:$I$384)+AVERAGE('Hoja 4 - Cálculo'!$J$25:$J$384)+AVERAGE('Hoja 4 - Cálculo'!$K$25:$K$384),IF(D559="Uso prioritario",'Hoja 4 - Cálculo'!I100+'Hoja 4 - Cálculo'!K100,'Hoja 4 - Cálculo'!I100+'Hoja 4 - Cálculo'!J100+'Hoja 4 - Cálculo'!K100)))</f>
        <v>11.5</v>
      </c>
      <c r="I559" s="15">
        <f t="shared" si="117"/>
        <v>11.5</v>
      </c>
      <c r="J559" s="15">
        <f t="shared" si="127"/>
        <v>2</v>
      </c>
      <c r="K559" s="15">
        <f>MIN(J559+G559,(J559+G559)*'Hoja 4 - Cálculo'!$B$15)</f>
        <v>0.72276250000000009</v>
      </c>
      <c r="L559" s="15">
        <f t="shared" si="118"/>
        <v>35.415362500000001</v>
      </c>
      <c r="M559" s="15">
        <f t="shared" si="119"/>
        <v>11.5</v>
      </c>
      <c r="N559" s="15">
        <f t="shared" si="120"/>
        <v>2</v>
      </c>
      <c r="O559" s="15">
        <f t="shared" si="121"/>
        <v>21.915362500000001</v>
      </c>
      <c r="P559" s="15">
        <f t="shared" si="122"/>
        <v>0</v>
      </c>
      <c r="Q559" s="14" t="str">
        <f>IF(M559&gt;=I559*'Hoja 4 - Cálculo'!$B$16,"Satisfactorio","Falla")</f>
        <v>Satisfactorio</v>
      </c>
      <c r="R559" s="14">
        <f t="shared" si="128"/>
        <v>0</v>
      </c>
      <c r="S559" s="14">
        <f t="shared" si="129"/>
        <v>0</v>
      </c>
    </row>
    <row r="560" spans="1:19">
      <c r="A560" s="14" t="str">
        <f t="shared" si="126"/>
        <v>SRY-2-2</v>
      </c>
      <c r="B560" s="15">
        <f>'Curvas SRY'!$B$9</f>
        <v>2</v>
      </c>
      <c r="C560" s="15">
        <f>'Curvas SRY'!$E$9</f>
        <v>1</v>
      </c>
      <c r="D560" s="14" t="str">
        <f>'Curvas SRY'!$B$14</f>
        <v>Uso variable</v>
      </c>
      <c r="E560" s="14">
        <f>77</f>
        <v>77</v>
      </c>
      <c r="F560" s="21">
        <f>'Hoja 4 - Cálculo'!A101</f>
        <v>31898</v>
      </c>
      <c r="G560" s="15">
        <f>'Hoja 4 - Cálculo'!H101</f>
        <v>28.534500000000001</v>
      </c>
      <c r="H560" s="15">
        <f>IF(D560="Uso único",'Hoja 4 - Cálculo'!I101,IF(D560="Uso múltiple",AVERAGE('Hoja 4 - Cálculo'!$I$25:$I$384)+AVERAGE('Hoja 4 - Cálculo'!$J$25:$J$384)+AVERAGE('Hoja 4 - Cálculo'!$K$25:$K$384),IF(D560="Uso prioritario",'Hoja 4 - Cálculo'!I101+'Hoja 4 - Cálculo'!K101,'Hoja 4 - Cálculo'!I101+'Hoja 4 - Cálculo'!J101+'Hoja 4 - Cálculo'!K101)))</f>
        <v>11.5</v>
      </c>
      <c r="I560" s="15">
        <f t="shared" si="117"/>
        <v>11.5</v>
      </c>
      <c r="J560" s="15">
        <f t="shared" si="127"/>
        <v>2</v>
      </c>
      <c r="K560" s="15">
        <f>MIN(J560+G560,(J560+G560)*'Hoja 4 - Cálculo'!$B$15)</f>
        <v>0.61069000000000007</v>
      </c>
      <c r="L560" s="15">
        <f t="shared" si="118"/>
        <v>29.92381</v>
      </c>
      <c r="M560" s="15">
        <f t="shared" si="119"/>
        <v>11.5</v>
      </c>
      <c r="N560" s="15">
        <f t="shared" si="120"/>
        <v>2</v>
      </c>
      <c r="O560" s="15">
        <f t="shared" si="121"/>
        <v>16.42381</v>
      </c>
      <c r="P560" s="15">
        <f t="shared" si="122"/>
        <v>0</v>
      </c>
      <c r="Q560" s="14" t="str">
        <f>IF(M560&gt;=I560*'Hoja 4 - Cálculo'!$B$16,"Satisfactorio","Falla")</f>
        <v>Satisfactorio</v>
      </c>
      <c r="R560" s="14">
        <f t="shared" si="128"/>
        <v>0</v>
      </c>
      <c r="S560" s="14">
        <f t="shared" si="129"/>
        <v>0</v>
      </c>
    </row>
    <row r="561" spans="1:19">
      <c r="A561" s="14" t="str">
        <f t="shared" si="126"/>
        <v>SRY-2-2</v>
      </c>
      <c r="B561" s="15">
        <f>'Curvas SRY'!$B$9</f>
        <v>2</v>
      </c>
      <c r="C561" s="15">
        <f>'Curvas SRY'!$E$9</f>
        <v>1</v>
      </c>
      <c r="D561" s="14" t="str">
        <f>'Curvas SRY'!$B$14</f>
        <v>Uso variable</v>
      </c>
      <c r="E561" s="14">
        <f>78</f>
        <v>78</v>
      </c>
      <c r="F561" s="21">
        <f>'Hoja 4 - Cálculo'!A102</f>
        <v>31929</v>
      </c>
      <c r="G561" s="15">
        <f>'Hoja 4 - Cálculo'!H102</f>
        <v>18.589500000000001</v>
      </c>
      <c r="H561" s="15">
        <f>IF(D561="Uso único",'Hoja 4 - Cálculo'!I102,IF(D561="Uso múltiple",AVERAGE('Hoja 4 - Cálculo'!$I$25:$I$384)+AVERAGE('Hoja 4 - Cálculo'!$J$25:$J$384)+AVERAGE('Hoja 4 - Cálculo'!$K$25:$K$384),IF(D561="Uso prioritario",'Hoja 4 - Cálculo'!I102+'Hoja 4 - Cálculo'!K102,'Hoja 4 - Cálculo'!I102+'Hoja 4 - Cálculo'!J102+'Hoja 4 - Cálculo'!K102)))</f>
        <v>11.5</v>
      </c>
      <c r="I561" s="15">
        <f t="shared" si="117"/>
        <v>11.5</v>
      </c>
      <c r="J561" s="15">
        <f t="shared" si="127"/>
        <v>2</v>
      </c>
      <c r="K561" s="15">
        <f>MIN(J561+G561,(J561+G561)*'Hoja 4 - Cálculo'!$B$15)</f>
        <v>0.41179000000000004</v>
      </c>
      <c r="L561" s="15">
        <f t="shared" si="118"/>
        <v>20.177710000000001</v>
      </c>
      <c r="M561" s="15">
        <f t="shared" si="119"/>
        <v>11.5</v>
      </c>
      <c r="N561" s="15">
        <f t="shared" si="120"/>
        <v>2</v>
      </c>
      <c r="O561" s="15">
        <f t="shared" si="121"/>
        <v>6.6777100000000011</v>
      </c>
      <c r="P561" s="15">
        <f t="shared" si="122"/>
        <v>0</v>
      </c>
      <c r="Q561" s="14" t="str">
        <f>IF(M561&gt;=I561*'Hoja 4 - Cálculo'!$B$16,"Satisfactorio","Falla")</f>
        <v>Satisfactorio</v>
      </c>
      <c r="R561" s="14">
        <f t="shared" si="128"/>
        <v>0</v>
      </c>
      <c r="S561" s="14">
        <f t="shared" si="129"/>
        <v>0</v>
      </c>
    </row>
    <row r="562" spans="1:19">
      <c r="A562" s="14" t="str">
        <f t="shared" si="126"/>
        <v>SRY-2-2</v>
      </c>
      <c r="B562" s="15">
        <f>'Curvas SRY'!$B$9</f>
        <v>2</v>
      </c>
      <c r="C562" s="15">
        <f>'Curvas SRY'!$E$9</f>
        <v>1</v>
      </c>
      <c r="D562" s="14" t="str">
        <f>'Curvas SRY'!$B$14</f>
        <v>Uso variable</v>
      </c>
      <c r="E562" s="14">
        <f>79</f>
        <v>79</v>
      </c>
      <c r="F562" s="21">
        <f>'Hoja 4 - Cálculo'!A103</f>
        <v>31959</v>
      </c>
      <c r="G562" s="15">
        <f>'Hoja 4 - Cálculo'!H103</f>
        <v>14.688000000000001</v>
      </c>
      <c r="H562" s="15">
        <f>IF(D562="Uso único",'Hoja 4 - Cálculo'!I103,IF(D562="Uso múltiple",AVERAGE('Hoja 4 - Cálculo'!$I$25:$I$384)+AVERAGE('Hoja 4 - Cálculo'!$J$25:$J$384)+AVERAGE('Hoja 4 - Cálculo'!$K$25:$K$384),IF(D562="Uso prioritario",'Hoja 4 - Cálculo'!I103+'Hoja 4 - Cálculo'!K103,'Hoja 4 - Cálculo'!I103+'Hoja 4 - Cálculo'!J103+'Hoja 4 - Cálculo'!K103)))</f>
        <v>16</v>
      </c>
      <c r="I562" s="15">
        <f t="shared" si="117"/>
        <v>16</v>
      </c>
      <c r="J562" s="15">
        <f t="shared" si="127"/>
        <v>2</v>
      </c>
      <c r="K562" s="15">
        <f>MIN(J562+G562,(J562+G562)*'Hoja 4 - Cálculo'!$B$15)</f>
        <v>0.33376000000000006</v>
      </c>
      <c r="L562" s="15">
        <f t="shared" si="118"/>
        <v>16.354240000000001</v>
      </c>
      <c r="M562" s="15">
        <f t="shared" si="119"/>
        <v>16</v>
      </c>
      <c r="N562" s="15">
        <f t="shared" si="120"/>
        <v>0.35424000000000078</v>
      </c>
      <c r="O562" s="15">
        <f t="shared" si="121"/>
        <v>0</v>
      </c>
      <c r="P562" s="15">
        <f t="shared" si="122"/>
        <v>0</v>
      </c>
      <c r="Q562" s="14" t="str">
        <f>IF(M562&gt;=I562*'Hoja 4 - Cálculo'!$B$16,"Satisfactorio","Falla")</f>
        <v>Satisfactorio</v>
      </c>
      <c r="R562" s="14">
        <f t="shared" si="128"/>
        <v>0</v>
      </c>
      <c r="S562" s="14">
        <f t="shared" si="129"/>
        <v>0</v>
      </c>
    </row>
    <row r="563" spans="1:19">
      <c r="A563" s="14" t="str">
        <f t="shared" si="126"/>
        <v>SRY-2-2</v>
      </c>
      <c r="B563" s="15">
        <f>'Curvas SRY'!$B$9</f>
        <v>2</v>
      </c>
      <c r="C563" s="15">
        <f>'Curvas SRY'!$E$9</f>
        <v>1</v>
      </c>
      <c r="D563" s="14" t="str">
        <f>'Curvas SRY'!$B$14</f>
        <v>Uso variable</v>
      </c>
      <c r="E563" s="14">
        <f>80</f>
        <v>80</v>
      </c>
      <c r="F563" s="21">
        <f>'Hoja 4 - Cálculo'!A104</f>
        <v>31990</v>
      </c>
      <c r="G563" s="15">
        <f>'Hoja 4 - Cálculo'!H104</f>
        <v>15.759</v>
      </c>
      <c r="H563" s="15">
        <f>IF(D563="Uso único",'Hoja 4 - Cálculo'!I104,IF(D563="Uso múltiple",AVERAGE('Hoja 4 - Cálculo'!$I$25:$I$384)+AVERAGE('Hoja 4 - Cálculo'!$J$25:$J$384)+AVERAGE('Hoja 4 - Cálculo'!$K$25:$K$384),IF(D563="Uso prioritario",'Hoja 4 - Cálculo'!I104+'Hoja 4 - Cálculo'!K104,'Hoja 4 - Cálculo'!I104+'Hoja 4 - Cálculo'!J104+'Hoja 4 - Cálculo'!K104)))</f>
        <v>16</v>
      </c>
      <c r="I563" s="15">
        <f t="shared" si="117"/>
        <v>16</v>
      </c>
      <c r="J563" s="15">
        <f t="shared" si="127"/>
        <v>0.35424000000000078</v>
      </c>
      <c r="K563" s="15">
        <f>MIN(J563+G563,(J563+G563)*'Hoja 4 - Cálculo'!$B$15)</f>
        <v>0.32226480000000002</v>
      </c>
      <c r="L563" s="15">
        <f t="shared" si="118"/>
        <v>15.790975200000002</v>
      </c>
      <c r="M563" s="15">
        <f t="shared" si="119"/>
        <v>15.790975200000002</v>
      </c>
      <c r="N563" s="15">
        <f t="shared" si="120"/>
        <v>0</v>
      </c>
      <c r="O563" s="15">
        <f t="shared" si="121"/>
        <v>0</v>
      </c>
      <c r="P563" s="15">
        <f t="shared" si="122"/>
        <v>0.20902479999999812</v>
      </c>
      <c r="Q563" s="14" t="str">
        <f>IF(M563&gt;=I563*'Hoja 4 - Cálculo'!$B$16,"Satisfactorio","Falla")</f>
        <v>Falla</v>
      </c>
      <c r="R563" s="14">
        <f t="shared" si="128"/>
        <v>0</v>
      </c>
      <c r="S563" s="14">
        <f t="shared" si="129"/>
        <v>1</v>
      </c>
    </row>
    <row r="564" spans="1:19">
      <c r="A564" s="14" t="str">
        <f t="shared" si="126"/>
        <v>SRY-2-2</v>
      </c>
      <c r="B564" s="15">
        <f>'Curvas SRY'!$B$9</f>
        <v>2</v>
      </c>
      <c r="C564" s="15">
        <f>'Curvas SRY'!$E$9</f>
        <v>1</v>
      </c>
      <c r="D564" s="14" t="str">
        <f>'Curvas SRY'!$B$14</f>
        <v>Uso variable</v>
      </c>
      <c r="E564" s="14">
        <f>81</f>
        <v>81</v>
      </c>
      <c r="F564" s="21">
        <f>'Hoja 4 - Cálculo'!A105</f>
        <v>32021</v>
      </c>
      <c r="G564" s="15">
        <f>'Hoja 4 - Cálculo'!H105</f>
        <v>26.220375000000001</v>
      </c>
      <c r="H564" s="15">
        <f>IF(D564="Uso único",'Hoja 4 - Cálculo'!I105,IF(D564="Uso múltiple",AVERAGE('Hoja 4 - Cálculo'!$I$25:$I$384)+AVERAGE('Hoja 4 - Cálculo'!$J$25:$J$384)+AVERAGE('Hoja 4 - Cálculo'!$K$25:$K$384),IF(D564="Uso prioritario",'Hoja 4 - Cálculo'!I105+'Hoja 4 - Cálculo'!K105,'Hoja 4 - Cálculo'!I105+'Hoja 4 - Cálculo'!J105+'Hoja 4 - Cálculo'!K105)))</f>
        <v>11.5</v>
      </c>
      <c r="I564" s="15">
        <f t="shared" si="117"/>
        <v>11.5</v>
      </c>
      <c r="J564" s="15">
        <f t="shared" si="127"/>
        <v>0</v>
      </c>
      <c r="K564" s="15">
        <f>MIN(J564+G564,(J564+G564)*'Hoja 4 - Cálculo'!$B$15)</f>
        <v>0.52440750000000003</v>
      </c>
      <c r="L564" s="15">
        <f t="shared" si="118"/>
        <v>25.695967500000002</v>
      </c>
      <c r="M564" s="15">
        <f t="shared" si="119"/>
        <v>11.5</v>
      </c>
      <c r="N564" s="15">
        <f t="shared" si="120"/>
        <v>2</v>
      </c>
      <c r="O564" s="15">
        <f t="shared" si="121"/>
        <v>12.195967500000002</v>
      </c>
      <c r="P564" s="15">
        <f t="shared" si="122"/>
        <v>0</v>
      </c>
      <c r="Q564" s="14" t="str">
        <f>IF(M564&gt;=I564*'Hoja 4 - Cálculo'!$B$16,"Satisfactorio","Falla")</f>
        <v>Satisfactorio</v>
      </c>
      <c r="R564" s="14">
        <f t="shared" si="128"/>
        <v>1</v>
      </c>
      <c r="S564" s="14">
        <f t="shared" si="129"/>
        <v>0</v>
      </c>
    </row>
    <row r="565" spans="1:19">
      <c r="A565" s="14" t="str">
        <f t="shared" si="126"/>
        <v>SRY-2-2</v>
      </c>
      <c r="B565" s="15">
        <f>'Curvas SRY'!$B$9</f>
        <v>2</v>
      </c>
      <c r="C565" s="15">
        <f>'Curvas SRY'!$E$9</f>
        <v>1</v>
      </c>
      <c r="D565" s="14" t="str">
        <f>'Curvas SRY'!$B$14</f>
        <v>Uso variable</v>
      </c>
      <c r="E565" s="14">
        <f>82</f>
        <v>82</v>
      </c>
      <c r="F565" s="21">
        <f>'Hoja 4 - Cálculo'!A106</f>
        <v>32051</v>
      </c>
      <c r="G565" s="15">
        <f>'Hoja 4 - Cálculo'!H106</f>
        <v>32.627249999999997</v>
      </c>
      <c r="H565" s="15">
        <f>IF(D565="Uso único",'Hoja 4 - Cálculo'!I106,IF(D565="Uso múltiple",AVERAGE('Hoja 4 - Cálculo'!$I$25:$I$384)+AVERAGE('Hoja 4 - Cálculo'!$J$25:$J$384)+AVERAGE('Hoja 4 - Cálculo'!$K$25:$K$384),IF(D565="Uso prioritario",'Hoja 4 - Cálculo'!I106+'Hoja 4 - Cálculo'!K106,'Hoja 4 - Cálculo'!I106+'Hoja 4 - Cálculo'!J106+'Hoja 4 - Cálculo'!K106)))</f>
        <v>11.5</v>
      </c>
      <c r="I565" s="15">
        <f t="shared" si="117"/>
        <v>11.5</v>
      </c>
      <c r="J565" s="15">
        <f t="shared" si="127"/>
        <v>2</v>
      </c>
      <c r="K565" s="15">
        <f>MIN(J565+G565,(J565+G565)*'Hoja 4 - Cálculo'!$B$15)</f>
        <v>0.69254499999999997</v>
      </c>
      <c r="L565" s="15">
        <f t="shared" si="118"/>
        <v>33.934704999999994</v>
      </c>
      <c r="M565" s="15">
        <f t="shared" si="119"/>
        <v>11.5</v>
      </c>
      <c r="N565" s="15">
        <f t="shared" si="120"/>
        <v>2</v>
      </c>
      <c r="O565" s="15">
        <f t="shared" si="121"/>
        <v>20.434704999999994</v>
      </c>
      <c r="P565" s="15">
        <f t="shared" si="122"/>
        <v>0</v>
      </c>
      <c r="Q565" s="14" t="str">
        <f>IF(M565&gt;=I565*'Hoja 4 - Cálculo'!$B$16,"Satisfactorio","Falla")</f>
        <v>Satisfactorio</v>
      </c>
      <c r="R565" s="14">
        <f t="shared" si="128"/>
        <v>0</v>
      </c>
      <c r="S565" s="14">
        <f t="shared" si="129"/>
        <v>0</v>
      </c>
    </row>
    <row r="566" spans="1:19">
      <c r="A566" s="14" t="str">
        <f t="shared" si="126"/>
        <v>SRY-2-2</v>
      </c>
      <c r="B566" s="15">
        <f>'Curvas SRY'!$B$9</f>
        <v>2</v>
      </c>
      <c r="C566" s="15">
        <f>'Curvas SRY'!$E$9</f>
        <v>1</v>
      </c>
      <c r="D566" s="14" t="str">
        <f>'Curvas SRY'!$B$14</f>
        <v>Uso variable</v>
      </c>
      <c r="E566" s="14">
        <f>83</f>
        <v>83</v>
      </c>
      <c r="F566" s="21">
        <f>'Hoja 4 - Cálculo'!A107</f>
        <v>32082</v>
      </c>
      <c r="G566" s="15">
        <f>'Hoja 4 - Cálculo'!H107</f>
        <v>29.758500000000002</v>
      </c>
      <c r="H566" s="15">
        <f>IF(D566="Uso único",'Hoja 4 - Cálculo'!I107,IF(D566="Uso múltiple",AVERAGE('Hoja 4 - Cálculo'!$I$25:$I$384)+AVERAGE('Hoja 4 - Cálculo'!$J$25:$J$384)+AVERAGE('Hoja 4 - Cálculo'!$K$25:$K$384),IF(D566="Uso prioritario",'Hoja 4 - Cálculo'!I107+'Hoja 4 - Cálculo'!K107,'Hoja 4 - Cálculo'!I107+'Hoja 4 - Cálculo'!J107+'Hoja 4 - Cálculo'!K107)))</f>
        <v>11.5</v>
      </c>
      <c r="I566" s="15">
        <f t="shared" si="117"/>
        <v>11.5</v>
      </c>
      <c r="J566" s="15">
        <f t="shared" si="127"/>
        <v>2</v>
      </c>
      <c r="K566" s="15">
        <f>MIN(J566+G566,(J566+G566)*'Hoja 4 - Cálculo'!$B$15)</f>
        <v>0.63517000000000001</v>
      </c>
      <c r="L566" s="15">
        <f t="shared" si="118"/>
        <v>31.123330000000003</v>
      </c>
      <c r="M566" s="15">
        <f t="shared" si="119"/>
        <v>11.5</v>
      </c>
      <c r="N566" s="15">
        <f t="shared" si="120"/>
        <v>2</v>
      </c>
      <c r="O566" s="15">
        <f t="shared" si="121"/>
        <v>17.623330000000003</v>
      </c>
      <c r="P566" s="15">
        <f t="shared" si="122"/>
        <v>0</v>
      </c>
      <c r="Q566" s="14" t="str">
        <f>IF(M566&gt;=I566*'Hoja 4 - Cálculo'!$B$16,"Satisfactorio","Falla")</f>
        <v>Satisfactorio</v>
      </c>
      <c r="R566" s="14">
        <f t="shared" si="128"/>
        <v>0</v>
      </c>
      <c r="S566" s="14">
        <f t="shared" si="129"/>
        <v>0</v>
      </c>
    </row>
    <row r="567" spans="1:19">
      <c r="A567" s="14" t="str">
        <f t="shared" si="126"/>
        <v>SRY-2-2</v>
      </c>
      <c r="B567" s="15">
        <f>'Curvas SRY'!$B$9</f>
        <v>2</v>
      </c>
      <c r="C567" s="15">
        <f>'Curvas SRY'!$E$9</f>
        <v>1</v>
      </c>
      <c r="D567" s="14" t="str">
        <f>'Curvas SRY'!$B$14</f>
        <v>Uso variable</v>
      </c>
      <c r="E567" s="14">
        <f>84</f>
        <v>84</v>
      </c>
      <c r="F567" s="21">
        <f>'Hoja 4 - Cálculo'!A108</f>
        <v>32112</v>
      </c>
      <c r="G567" s="15">
        <f>'Hoja 4 - Cálculo'!H108</f>
        <v>16.543125</v>
      </c>
      <c r="H567" s="15">
        <f>IF(D567="Uso único",'Hoja 4 - Cálculo'!I108,IF(D567="Uso múltiple",AVERAGE('Hoja 4 - Cálculo'!$I$25:$I$384)+AVERAGE('Hoja 4 - Cálculo'!$J$25:$J$384)+AVERAGE('Hoja 4 - Cálculo'!$K$25:$K$384),IF(D567="Uso prioritario",'Hoja 4 - Cálculo'!I108+'Hoja 4 - Cálculo'!K108,'Hoja 4 - Cálculo'!I108+'Hoja 4 - Cálculo'!J108+'Hoja 4 - Cálculo'!K108)))</f>
        <v>16</v>
      </c>
      <c r="I567" s="15">
        <f t="shared" si="117"/>
        <v>16</v>
      </c>
      <c r="J567" s="15">
        <f t="shared" si="127"/>
        <v>2</v>
      </c>
      <c r="K567" s="15">
        <f>MIN(J567+G567,(J567+G567)*'Hoja 4 - Cálculo'!$B$15)</f>
        <v>0.37086249999999998</v>
      </c>
      <c r="L567" s="15">
        <f t="shared" si="118"/>
        <v>18.172262499999999</v>
      </c>
      <c r="M567" s="15">
        <f t="shared" si="119"/>
        <v>16</v>
      </c>
      <c r="N567" s="15">
        <f t="shared" si="120"/>
        <v>2</v>
      </c>
      <c r="O567" s="15">
        <f t="shared" si="121"/>
        <v>0.17226249999999865</v>
      </c>
      <c r="P567" s="15">
        <f t="shared" si="122"/>
        <v>0</v>
      </c>
      <c r="Q567" s="14" t="str">
        <f>IF(M567&gt;=I567*'Hoja 4 - Cálculo'!$B$16,"Satisfactorio","Falla")</f>
        <v>Satisfactorio</v>
      </c>
      <c r="R567" s="14">
        <f t="shared" si="128"/>
        <v>0</v>
      </c>
      <c r="S567" s="14">
        <f t="shared" si="129"/>
        <v>0</v>
      </c>
    </row>
    <row r="568" spans="1:19">
      <c r="A568" s="14" t="str">
        <f t="shared" si="126"/>
        <v>SRY-2-2</v>
      </c>
      <c r="B568" s="15">
        <f>'Curvas SRY'!$B$9</f>
        <v>2</v>
      </c>
      <c r="C568" s="15">
        <f>'Curvas SRY'!$E$9</f>
        <v>1</v>
      </c>
      <c r="D568" s="14" t="str">
        <f>'Curvas SRY'!$B$14</f>
        <v>Uso variable</v>
      </c>
      <c r="E568" s="14">
        <f>85</f>
        <v>85</v>
      </c>
      <c r="F568" s="21">
        <f>'Hoja 4 - Cálculo'!A109</f>
        <v>32143</v>
      </c>
      <c r="G568" s="15">
        <f>'Hoja 4 - Cálculo'!H109</f>
        <v>13.291874999999999</v>
      </c>
      <c r="H568" s="15">
        <f>IF(D568="Uso único",'Hoja 4 - Cálculo'!I109,IF(D568="Uso múltiple",AVERAGE('Hoja 4 - Cálculo'!$I$25:$I$384)+AVERAGE('Hoja 4 - Cálculo'!$J$25:$J$384)+AVERAGE('Hoja 4 - Cálculo'!$K$25:$K$384),IF(D568="Uso prioritario",'Hoja 4 - Cálculo'!I109+'Hoja 4 - Cálculo'!K109,'Hoja 4 - Cálculo'!I109+'Hoja 4 - Cálculo'!J109+'Hoja 4 - Cálculo'!K109)))</f>
        <v>16</v>
      </c>
      <c r="I568" s="15">
        <f t="shared" si="117"/>
        <v>16</v>
      </c>
      <c r="J568" s="15">
        <f t="shared" si="127"/>
        <v>2</v>
      </c>
      <c r="K568" s="15">
        <f>MIN(J568+G568,(J568+G568)*'Hoja 4 - Cálculo'!$B$15)</f>
        <v>0.30583749999999998</v>
      </c>
      <c r="L568" s="15">
        <f t="shared" si="118"/>
        <v>14.986037499999998</v>
      </c>
      <c r="M568" s="15">
        <f t="shared" si="119"/>
        <v>14.986037499999998</v>
      </c>
      <c r="N568" s="15">
        <f t="shared" si="120"/>
        <v>0</v>
      </c>
      <c r="O568" s="15">
        <f t="shared" si="121"/>
        <v>0</v>
      </c>
      <c r="P568" s="15">
        <f t="shared" si="122"/>
        <v>1.0139625000000017</v>
      </c>
      <c r="Q568" s="14" t="str">
        <f>IF(M568&gt;=I568*'Hoja 4 - Cálculo'!$B$16,"Satisfactorio","Falla")</f>
        <v>Falla</v>
      </c>
      <c r="R568" s="14">
        <f t="shared" si="128"/>
        <v>0</v>
      </c>
      <c r="S568" s="14">
        <f t="shared" si="129"/>
        <v>1</v>
      </c>
    </row>
    <row r="569" spans="1:19">
      <c r="A569" s="14" t="str">
        <f t="shared" si="126"/>
        <v>SRY-2-2</v>
      </c>
      <c r="B569" s="15">
        <f>'Curvas SRY'!$B$9</f>
        <v>2</v>
      </c>
      <c r="C569" s="15">
        <f>'Curvas SRY'!$E$9</f>
        <v>1</v>
      </c>
      <c r="D569" s="14" t="str">
        <f>'Curvas SRY'!$B$14</f>
        <v>Uso variable</v>
      </c>
      <c r="E569" s="14">
        <f>86</f>
        <v>86</v>
      </c>
      <c r="F569" s="21">
        <f>'Hoja 4 - Cálculo'!A110</f>
        <v>32174</v>
      </c>
      <c r="G569" s="15">
        <f>'Hoja 4 - Cálculo'!H110</f>
        <v>14.19075</v>
      </c>
      <c r="H569" s="15">
        <f>IF(D569="Uso único",'Hoja 4 - Cálculo'!I110,IF(D569="Uso múltiple",AVERAGE('Hoja 4 - Cálculo'!$I$25:$I$384)+AVERAGE('Hoja 4 - Cálculo'!$J$25:$J$384)+AVERAGE('Hoja 4 - Cálculo'!$K$25:$K$384),IF(D569="Uso prioritario",'Hoja 4 - Cálculo'!I110+'Hoja 4 - Cálculo'!K110,'Hoja 4 - Cálculo'!I110+'Hoja 4 - Cálculo'!J110+'Hoja 4 - Cálculo'!K110)))</f>
        <v>16</v>
      </c>
      <c r="I569" s="15">
        <f t="shared" si="117"/>
        <v>16</v>
      </c>
      <c r="J569" s="15">
        <f t="shared" si="127"/>
        <v>0</v>
      </c>
      <c r="K569" s="15">
        <f>MIN(J569+G569,(J569+G569)*'Hoja 4 - Cálculo'!$B$15)</f>
        <v>0.28381499999999998</v>
      </c>
      <c r="L569" s="15">
        <f t="shared" si="118"/>
        <v>13.906934999999999</v>
      </c>
      <c r="M569" s="15">
        <f t="shared" si="119"/>
        <v>13.906934999999999</v>
      </c>
      <c r="N569" s="15">
        <f t="shared" si="120"/>
        <v>0</v>
      </c>
      <c r="O569" s="15">
        <f t="shared" si="121"/>
        <v>0</v>
      </c>
      <c r="P569" s="15">
        <f t="shared" si="122"/>
        <v>2.0930650000000011</v>
      </c>
      <c r="Q569" s="14" t="str">
        <f>IF(M569&gt;=I569*'Hoja 4 - Cálculo'!$B$16,"Satisfactorio","Falla")</f>
        <v>Falla</v>
      </c>
      <c r="R569" s="14">
        <f t="shared" si="128"/>
        <v>0</v>
      </c>
      <c r="S569" s="14">
        <f t="shared" si="129"/>
        <v>0</v>
      </c>
    </row>
    <row r="570" spans="1:19">
      <c r="A570" s="14" t="str">
        <f t="shared" si="126"/>
        <v>SRY-2-2</v>
      </c>
      <c r="B570" s="15">
        <f>'Curvas SRY'!$B$9</f>
        <v>2</v>
      </c>
      <c r="C570" s="15">
        <f>'Curvas SRY'!$E$9</f>
        <v>1</v>
      </c>
      <c r="D570" s="14" t="str">
        <f>'Curvas SRY'!$B$14</f>
        <v>Uso variable</v>
      </c>
      <c r="E570" s="14">
        <f>87</f>
        <v>87</v>
      </c>
      <c r="F570" s="21">
        <f>'Hoja 4 - Cálculo'!A111</f>
        <v>32203</v>
      </c>
      <c r="G570" s="15">
        <f>'Hoja 4 - Cálculo'!H111</f>
        <v>22.338000000000001</v>
      </c>
      <c r="H570" s="15">
        <f>IF(D570="Uso único",'Hoja 4 - Cálculo'!I111,IF(D570="Uso múltiple",AVERAGE('Hoja 4 - Cálculo'!$I$25:$I$384)+AVERAGE('Hoja 4 - Cálculo'!$J$25:$J$384)+AVERAGE('Hoja 4 - Cálculo'!$K$25:$K$384),IF(D570="Uso prioritario",'Hoja 4 - Cálculo'!I111+'Hoja 4 - Cálculo'!K111,'Hoja 4 - Cálculo'!I111+'Hoja 4 - Cálculo'!J111+'Hoja 4 - Cálculo'!K111)))</f>
        <v>16</v>
      </c>
      <c r="I570" s="15">
        <f t="shared" si="117"/>
        <v>16</v>
      </c>
      <c r="J570" s="15">
        <f t="shared" si="127"/>
        <v>0</v>
      </c>
      <c r="K570" s="15">
        <f>MIN(J570+G570,(J570+G570)*'Hoja 4 - Cálculo'!$B$15)</f>
        <v>0.44676000000000005</v>
      </c>
      <c r="L570" s="15">
        <f t="shared" si="118"/>
        <v>21.89124</v>
      </c>
      <c r="M570" s="15">
        <f t="shared" si="119"/>
        <v>16</v>
      </c>
      <c r="N570" s="15">
        <f t="shared" si="120"/>
        <v>2</v>
      </c>
      <c r="O570" s="15">
        <f t="shared" si="121"/>
        <v>3.8912399999999998</v>
      </c>
      <c r="P570" s="15">
        <f t="shared" si="122"/>
        <v>0</v>
      </c>
      <c r="Q570" s="14" t="str">
        <f>IF(M570&gt;=I570*'Hoja 4 - Cálculo'!$B$16,"Satisfactorio","Falla")</f>
        <v>Satisfactorio</v>
      </c>
      <c r="R570" s="14">
        <f t="shared" si="128"/>
        <v>1</v>
      </c>
      <c r="S570" s="14">
        <f t="shared" si="129"/>
        <v>0</v>
      </c>
    </row>
    <row r="571" spans="1:19">
      <c r="A571" s="14" t="str">
        <f t="shared" si="126"/>
        <v>SRY-2-2</v>
      </c>
      <c r="B571" s="15">
        <f>'Curvas SRY'!$B$9</f>
        <v>2</v>
      </c>
      <c r="C571" s="15">
        <f>'Curvas SRY'!$E$9</f>
        <v>1</v>
      </c>
      <c r="D571" s="14" t="str">
        <f>'Curvas SRY'!$B$14</f>
        <v>Uso variable</v>
      </c>
      <c r="E571" s="14">
        <f>88</f>
        <v>88</v>
      </c>
      <c r="F571" s="21">
        <f>'Hoja 4 - Cálculo'!A112</f>
        <v>32234</v>
      </c>
      <c r="G571" s="15">
        <f>'Hoja 4 - Cálculo'!H112</f>
        <v>29.643750000000001</v>
      </c>
      <c r="H571" s="15">
        <f>IF(D571="Uso único",'Hoja 4 - Cálculo'!I112,IF(D571="Uso múltiple",AVERAGE('Hoja 4 - Cálculo'!$I$25:$I$384)+AVERAGE('Hoja 4 - Cálculo'!$J$25:$J$384)+AVERAGE('Hoja 4 - Cálculo'!$K$25:$K$384),IF(D571="Uso prioritario",'Hoja 4 - Cálculo'!I112+'Hoja 4 - Cálculo'!K112,'Hoja 4 - Cálculo'!I112+'Hoja 4 - Cálculo'!J112+'Hoja 4 - Cálculo'!K112)))</f>
        <v>11.5</v>
      </c>
      <c r="I571" s="15">
        <f t="shared" si="117"/>
        <v>11.5</v>
      </c>
      <c r="J571" s="15">
        <f t="shared" si="127"/>
        <v>2</v>
      </c>
      <c r="K571" s="15">
        <f>MIN(J571+G571,(J571+G571)*'Hoja 4 - Cálculo'!$B$15)</f>
        <v>0.63287500000000008</v>
      </c>
      <c r="L571" s="15">
        <f t="shared" si="118"/>
        <v>31.010875000000002</v>
      </c>
      <c r="M571" s="15">
        <f t="shared" si="119"/>
        <v>11.5</v>
      </c>
      <c r="N571" s="15">
        <f t="shared" si="120"/>
        <v>2</v>
      </c>
      <c r="O571" s="15">
        <f t="shared" si="121"/>
        <v>17.510875000000002</v>
      </c>
      <c r="P571" s="15">
        <f t="shared" si="122"/>
        <v>0</v>
      </c>
      <c r="Q571" s="14" t="str">
        <f>IF(M571&gt;=I571*'Hoja 4 - Cálculo'!$B$16,"Satisfactorio","Falla")</f>
        <v>Satisfactorio</v>
      </c>
      <c r="R571" s="14">
        <f t="shared" si="128"/>
        <v>0</v>
      </c>
      <c r="S571" s="14">
        <f t="shared" si="129"/>
        <v>0</v>
      </c>
    </row>
    <row r="572" spans="1:19">
      <c r="A572" s="14" t="str">
        <f t="shared" si="126"/>
        <v>SRY-2-2</v>
      </c>
      <c r="B572" s="15">
        <f>'Curvas SRY'!$B$9</f>
        <v>2</v>
      </c>
      <c r="C572" s="15">
        <f>'Curvas SRY'!$E$9</f>
        <v>1</v>
      </c>
      <c r="D572" s="14" t="str">
        <f>'Curvas SRY'!$B$14</f>
        <v>Uso variable</v>
      </c>
      <c r="E572" s="14">
        <f>89</f>
        <v>89</v>
      </c>
      <c r="F572" s="21">
        <f>'Hoja 4 - Cálculo'!A113</f>
        <v>32264</v>
      </c>
      <c r="G572" s="15">
        <f>'Hoja 4 - Cálculo'!H113</f>
        <v>28.075500000000002</v>
      </c>
      <c r="H572" s="15">
        <f>IF(D572="Uso único",'Hoja 4 - Cálculo'!I113,IF(D572="Uso múltiple",AVERAGE('Hoja 4 - Cálculo'!$I$25:$I$384)+AVERAGE('Hoja 4 - Cálculo'!$J$25:$J$384)+AVERAGE('Hoja 4 - Cálculo'!$K$25:$K$384),IF(D572="Uso prioritario",'Hoja 4 - Cálculo'!I113+'Hoja 4 - Cálculo'!K113,'Hoja 4 - Cálculo'!I113+'Hoja 4 - Cálculo'!J113+'Hoja 4 - Cálculo'!K113)))</f>
        <v>11.5</v>
      </c>
      <c r="I572" s="15">
        <f t="shared" si="117"/>
        <v>11.5</v>
      </c>
      <c r="J572" s="15">
        <f t="shared" si="127"/>
        <v>2</v>
      </c>
      <c r="K572" s="15">
        <f>MIN(J572+G572,(J572+G572)*'Hoja 4 - Cálculo'!$B$15)</f>
        <v>0.6015100000000001</v>
      </c>
      <c r="L572" s="15">
        <f t="shared" si="118"/>
        <v>29.473990000000001</v>
      </c>
      <c r="M572" s="15">
        <f t="shared" si="119"/>
        <v>11.5</v>
      </c>
      <c r="N572" s="15">
        <f t="shared" si="120"/>
        <v>2</v>
      </c>
      <c r="O572" s="15">
        <f t="shared" si="121"/>
        <v>15.973990000000001</v>
      </c>
      <c r="P572" s="15">
        <f t="shared" si="122"/>
        <v>0</v>
      </c>
      <c r="Q572" s="14" t="str">
        <f>IF(M572&gt;=I572*'Hoja 4 - Cálculo'!$B$16,"Satisfactorio","Falla")</f>
        <v>Satisfactorio</v>
      </c>
      <c r="R572" s="14">
        <f t="shared" si="128"/>
        <v>0</v>
      </c>
      <c r="S572" s="14">
        <f t="shared" si="129"/>
        <v>0</v>
      </c>
    </row>
    <row r="573" spans="1:19">
      <c r="A573" s="14" t="str">
        <f t="shared" si="126"/>
        <v>SRY-2-2</v>
      </c>
      <c r="B573" s="15">
        <f>'Curvas SRY'!$B$9</f>
        <v>2</v>
      </c>
      <c r="C573" s="15">
        <f>'Curvas SRY'!$E$9</f>
        <v>1</v>
      </c>
      <c r="D573" s="14" t="str">
        <f>'Curvas SRY'!$B$14</f>
        <v>Uso variable</v>
      </c>
      <c r="E573" s="14">
        <f>90</f>
        <v>90</v>
      </c>
      <c r="F573" s="21">
        <f>'Hoja 4 - Cálculo'!A114</f>
        <v>32295</v>
      </c>
      <c r="G573" s="15">
        <f>'Hoja 4 - Cálculo'!H114</f>
        <v>16.485749999999999</v>
      </c>
      <c r="H573" s="15">
        <f>IF(D573="Uso único",'Hoja 4 - Cálculo'!I114,IF(D573="Uso múltiple",AVERAGE('Hoja 4 - Cálculo'!$I$25:$I$384)+AVERAGE('Hoja 4 - Cálculo'!$J$25:$J$384)+AVERAGE('Hoja 4 - Cálculo'!$K$25:$K$384),IF(D573="Uso prioritario",'Hoja 4 - Cálculo'!I114+'Hoja 4 - Cálculo'!K114,'Hoja 4 - Cálculo'!I114+'Hoja 4 - Cálculo'!J114+'Hoja 4 - Cálculo'!K114)))</f>
        <v>11.5</v>
      </c>
      <c r="I573" s="15">
        <f t="shared" si="117"/>
        <v>11.5</v>
      </c>
      <c r="J573" s="15">
        <f t="shared" si="127"/>
        <v>2</v>
      </c>
      <c r="K573" s="15">
        <f>MIN(J573+G573,(J573+G573)*'Hoja 4 - Cálculo'!$B$15)</f>
        <v>0.36971500000000002</v>
      </c>
      <c r="L573" s="15">
        <f t="shared" si="118"/>
        <v>18.116035</v>
      </c>
      <c r="M573" s="15">
        <f t="shared" si="119"/>
        <v>11.5</v>
      </c>
      <c r="N573" s="15">
        <f t="shared" si="120"/>
        <v>2</v>
      </c>
      <c r="O573" s="15">
        <f t="shared" si="121"/>
        <v>4.6160350000000001</v>
      </c>
      <c r="P573" s="15">
        <f t="shared" si="122"/>
        <v>0</v>
      </c>
      <c r="Q573" s="14" t="str">
        <f>IF(M573&gt;=I573*'Hoja 4 - Cálculo'!$B$16,"Satisfactorio","Falla")</f>
        <v>Satisfactorio</v>
      </c>
      <c r="R573" s="14">
        <f t="shared" si="128"/>
        <v>0</v>
      </c>
      <c r="S573" s="14">
        <f t="shared" si="129"/>
        <v>0</v>
      </c>
    </row>
    <row r="574" spans="1:19">
      <c r="A574" s="14" t="str">
        <f t="shared" si="126"/>
        <v>SRY-2-2</v>
      </c>
      <c r="B574" s="15">
        <f>'Curvas SRY'!$B$9</f>
        <v>2</v>
      </c>
      <c r="C574" s="15">
        <f>'Curvas SRY'!$E$9</f>
        <v>1</v>
      </c>
      <c r="D574" s="14" t="str">
        <f>'Curvas SRY'!$B$14</f>
        <v>Uso variable</v>
      </c>
      <c r="E574" s="14">
        <f>91</f>
        <v>91</v>
      </c>
      <c r="F574" s="21">
        <f>'Hoja 4 - Cálculo'!A115</f>
        <v>32325</v>
      </c>
      <c r="G574" s="15">
        <f>'Hoja 4 - Cálculo'!H115</f>
        <v>13.827375</v>
      </c>
      <c r="H574" s="15">
        <f>IF(D574="Uso único",'Hoja 4 - Cálculo'!I115,IF(D574="Uso múltiple",AVERAGE('Hoja 4 - Cálculo'!$I$25:$I$384)+AVERAGE('Hoja 4 - Cálculo'!$J$25:$J$384)+AVERAGE('Hoja 4 - Cálculo'!$K$25:$K$384),IF(D574="Uso prioritario",'Hoja 4 - Cálculo'!I115+'Hoja 4 - Cálculo'!K115,'Hoja 4 - Cálculo'!I115+'Hoja 4 - Cálculo'!J115+'Hoja 4 - Cálculo'!K115)))</f>
        <v>16</v>
      </c>
      <c r="I574" s="15">
        <f t="shared" si="117"/>
        <v>16</v>
      </c>
      <c r="J574" s="15">
        <f t="shared" si="127"/>
        <v>2</v>
      </c>
      <c r="K574" s="15">
        <f>MIN(J574+G574,(J574+G574)*'Hoja 4 - Cálculo'!$B$15)</f>
        <v>0.31654749999999998</v>
      </c>
      <c r="L574" s="15">
        <f t="shared" si="118"/>
        <v>15.5108275</v>
      </c>
      <c r="M574" s="15">
        <f t="shared" si="119"/>
        <v>15.5108275</v>
      </c>
      <c r="N574" s="15">
        <f t="shared" si="120"/>
        <v>0</v>
      </c>
      <c r="O574" s="15">
        <f t="shared" si="121"/>
        <v>0</v>
      </c>
      <c r="P574" s="15">
        <f t="shared" si="122"/>
        <v>0.48917250000000045</v>
      </c>
      <c r="Q574" s="14" t="str">
        <f>IF(M574&gt;=I574*'Hoja 4 - Cálculo'!$B$16,"Satisfactorio","Falla")</f>
        <v>Falla</v>
      </c>
      <c r="R574" s="14">
        <f t="shared" si="128"/>
        <v>0</v>
      </c>
      <c r="S574" s="14">
        <f t="shared" si="129"/>
        <v>1</v>
      </c>
    </row>
    <row r="575" spans="1:19">
      <c r="A575" s="14" t="str">
        <f t="shared" si="126"/>
        <v>SRY-2-2</v>
      </c>
      <c r="B575" s="15">
        <f>'Curvas SRY'!$B$9</f>
        <v>2</v>
      </c>
      <c r="C575" s="15">
        <f>'Curvas SRY'!$E$9</f>
        <v>1</v>
      </c>
      <c r="D575" s="14" t="str">
        <f>'Curvas SRY'!$B$14</f>
        <v>Uso variable</v>
      </c>
      <c r="E575" s="14">
        <f>92</f>
        <v>92</v>
      </c>
      <c r="F575" s="21">
        <f>'Hoja 4 - Cálculo'!A116</f>
        <v>32356</v>
      </c>
      <c r="G575" s="15">
        <f>'Hoja 4 - Cálculo'!H116</f>
        <v>14.783625000000001</v>
      </c>
      <c r="H575" s="15">
        <f>IF(D575="Uso único",'Hoja 4 - Cálculo'!I116,IF(D575="Uso múltiple",AVERAGE('Hoja 4 - Cálculo'!$I$25:$I$384)+AVERAGE('Hoja 4 - Cálculo'!$J$25:$J$384)+AVERAGE('Hoja 4 - Cálculo'!$K$25:$K$384),IF(D575="Uso prioritario",'Hoja 4 - Cálculo'!I116+'Hoja 4 - Cálculo'!K116,'Hoja 4 - Cálculo'!I116+'Hoja 4 - Cálculo'!J116+'Hoja 4 - Cálculo'!K116)))</f>
        <v>16</v>
      </c>
      <c r="I575" s="15">
        <f t="shared" si="117"/>
        <v>16</v>
      </c>
      <c r="J575" s="15">
        <f t="shared" si="127"/>
        <v>0</v>
      </c>
      <c r="K575" s="15">
        <f>MIN(J575+G575,(J575+G575)*'Hoja 4 - Cálculo'!$B$15)</f>
        <v>0.2956725</v>
      </c>
      <c r="L575" s="15">
        <f t="shared" si="118"/>
        <v>14.4879525</v>
      </c>
      <c r="M575" s="15">
        <f t="shared" si="119"/>
        <v>14.4879525</v>
      </c>
      <c r="N575" s="15">
        <f t="shared" si="120"/>
        <v>0</v>
      </c>
      <c r="O575" s="15">
        <f t="shared" si="121"/>
        <v>0</v>
      </c>
      <c r="P575" s="15">
        <f t="shared" si="122"/>
        <v>1.5120474999999995</v>
      </c>
      <c r="Q575" s="14" t="str">
        <f>IF(M575&gt;=I575*'Hoja 4 - Cálculo'!$B$16,"Satisfactorio","Falla")</f>
        <v>Falla</v>
      </c>
      <c r="R575" s="14">
        <f t="shared" si="128"/>
        <v>0</v>
      </c>
      <c r="S575" s="14">
        <f t="shared" si="129"/>
        <v>0</v>
      </c>
    </row>
    <row r="576" spans="1:19">
      <c r="A576" s="14" t="str">
        <f t="shared" si="126"/>
        <v>SRY-2-2</v>
      </c>
      <c r="B576" s="15">
        <f>'Curvas SRY'!$B$9</f>
        <v>2</v>
      </c>
      <c r="C576" s="15">
        <f>'Curvas SRY'!$E$9</f>
        <v>1</v>
      </c>
      <c r="D576" s="14" t="str">
        <f>'Curvas SRY'!$B$14</f>
        <v>Uso variable</v>
      </c>
      <c r="E576" s="14">
        <f>93</f>
        <v>93</v>
      </c>
      <c r="F576" s="21">
        <f>'Hoja 4 - Cálculo'!A117</f>
        <v>32387</v>
      </c>
      <c r="G576" s="15">
        <f>'Hoja 4 - Cálculo'!H117</f>
        <v>23.3325</v>
      </c>
      <c r="H576" s="15">
        <f>IF(D576="Uso único",'Hoja 4 - Cálculo'!I117,IF(D576="Uso múltiple",AVERAGE('Hoja 4 - Cálculo'!$I$25:$I$384)+AVERAGE('Hoja 4 - Cálculo'!$J$25:$J$384)+AVERAGE('Hoja 4 - Cálculo'!$K$25:$K$384),IF(D576="Uso prioritario",'Hoja 4 - Cálculo'!I117+'Hoja 4 - Cálculo'!K117,'Hoja 4 - Cálculo'!I117+'Hoja 4 - Cálculo'!J117+'Hoja 4 - Cálculo'!K117)))</f>
        <v>11.5</v>
      </c>
      <c r="I576" s="15">
        <f t="shared" si="117"/>
        <v>11.5</v>
      </c>
      <c r="J576" s="15">
        <f t="shared" si="127"/>
        <v>0</v>
      </c>
      <c r="K576" s="15">
        <f>MIN(J576+G576,(J576+G576)*'Hoja 4 - Cálculo'!$B$15)</f>
        <v>0.46665000000000001</v>
      </c>
      <c r="L576" s="15">
        <f t="shared" si="118"/>
        <v>22.865849999999998</v>
      </c>
      <c r="M576" s="15">
        <f t="shared" si="119"/>
        <v>11.5</v>
      </c>
      <c r="N576" s="15">
        <f t="shared" si="120"/>
        <v>2</v>
      </c>
      <c r="O576" s="15">
        <f t="shared" si="121"/>
        <v>9.3658499999999982</v>
      </c>
      <c r="P576" s="15">
        <f t="shared" si="122"/>
        <v>0</v>
      </c>
      <c r="Q576" s="14" t="str">
        <f>IF(M576&gt;=I576*'Hoja 4 - Cálculo'!$B$16,"Satisfactorio","Falla")</f>
        <v>Satisfactorio</v>
      </c>
      <c r="R576" s="14">
        <f t="shared" si="128"/>
        <v>1</v>
      </c>
      <c r="S576" s="14">
        <f t="shared" si="129"/>
        <v>0</v>
      </c>
    </row>
    <row r="577" spans="1:19">
      <c r="A577" s="14" t="str">
        <f t="shared" si="126"/>
        <v>SRY-2-2</v>
      </c>
      <c r="B577" s="15">
        <f>'Curvas SRY'!$B$9</f>
        <v>2</v>
      </c>
      <c r="C577" s="15">
        <f>'Curvas SRY'!$E$9</f>
        <v>1</v>
      </c>
      <c r="D577" s="14" t="str">
        <f>'Curvas SRY'!$B$14</f>
        <v>Uso variable</v>
      </c>
      <c r="E577" s="14">
        <f>94</f>
        <v>94</v>
      </c>
      <c r="F577" s="21">
        <f>'Hoja 4 - Cálculo'!A118</f>
        <v>32417</v>
      </c>
      <c r="G577" s="15">
        <f>'Hoja 4 - Cálculo'!H118</f>
        <v>32.015250000000002</v>
      </c>
      <c r="H577" s="15">
        <f>IF(D577="Uso único",'Hoja 4 - Cálculo'!I118,IF(D577="Uso múltiple",AVERAGE('Hoja 4 - Cálculo'!$I$25:$I$384)+AVERAGE('Hoja 4 - Cálculo'!$J$25:$J$384)+AVERAGE('Hoja 4 - Cálculo'!$K$25:$K$384),IF(D577="Uso prioritario",'Hoja 4 - Cálculo'!I118+'Hoja 4 - Cálculo'!K118,'Hoja 4 - Cálculo'!I118+'Hoja 4 - Cálculo'!J118+'Hoja 4 - Cálculo'!K118)))</f>
        <v>11.5</v>
      </c>
      <c r="I577" s="15">
        <f t="shared" si="117"/>
        <v>11.5</v>
      </c>
      <c r="J577" s="15">
        <f t="shared" si="127"/>
        <v>2</v>
      </c>
      <c r="K577" s="15">
        <f>MIN(J577+G577,(J577+G577)*'Hoja 4 - Cálculo'!$B$15)</f>
        <v>0.68030500000000005</v>
      </c>
      <c r="L577" s="15">
        <f t="shared" si="118"/>
        <v>33.334945000000005</v>
      </c>
      <c r="M577" s="15">
        <f t="shared" si="119"/>
        <v>11.5</v>
      </c>
      <c r="N577" s="15">
        <f t="shared" si="120"/>
        <v>2</v>
      </c>
      <c r="O577" s="15">
        <f t="shared" si="121"/>
        <v>19.834945000000005</v>
      </c>
      <c r="P577" s="15">
        <f t="shared" si="122"/>
        <v>0</v>
      </c>
      <c r="Q577" s="14" t="str">
        <f>IF(M577&gt;=I577*'Hoja 4 - Cálculo'!$B$16,"Satisfactorio","Falla")</f>
        <v>Satisfactorio</v>
      </c>
      <c r="R577" s="14">
        <f t="shared" si="128"/>
        <v>0</v>
      </c>
      <c r="S577" s="14">
        <f t="shared" si="129"/>
        <v>0</v>
      </c>
    </row>
    <row r="578" spans="1:19">
      <c r="A578" s="14" t="str">
        <f t="shared" si="126"/>
        <v>SRY-2-2</v>
      </c>
      <c r="B578" s="15">
        <f>'Curvas SRY'!$B$9</f>
        <v>2</v>
      </c>
      <c r="C578" s="15">
        <f>'Curvas SRY'!$E$9</f>
        <v>1</v>
      </c>
      <c r="D578" s="14" t="str">
        <f>'Curvas SRY'!$B$14</f>
        <v>Uso variable</v>
      </c>
      <c r="E578" s="14">
        <f>95</f>
        <v>95</v>
      </c>
      <c r="F578" s="21">
        <f>'Hoja 4 - Cálculo'!A119</f>
        <v>32448</v>
      </c>
      <c r="G578" s="15">
        <f>'Hoja 4 - Cálculo'!H119</f>
        <v>25.876124999999998</v>
      </c>
      <c r="H578" s="15">
        <f>IF(D578="Uso único",'Hoja 4 - Cálculo'!I119,IF(D578="Uso múltiple",AVERAGE('Hoja 4 - Cálculo'!$I$25:$I$384)+AVERAGE('Hoja 4 - Cálculo'!$J$25:$J$384)+AVERAGE('Hoja 4 - Cálculo'!$K$25:$K$384),IF(D578="Uso prioritario",'Hoja 4 - Cálculo'!I119+'Hoja 4 - Cálculo'!K119,'Hoja 4 - Cálculo'!I119+'Hoja 4 - Cálculo'!J119+'Hoja 4 - Cálculo'!K119)))</f>
        <v>11.5</v>
      </c>
      <c r="I578" s="15">
        <f t="shared" si="117"/>
        <v>11.5</v>
      </c>
      <c r="J578" s="15">
        <f t="shared" si="127"/>
        <v>2</v>
      </c>
      <c r="K578" s="15">
        <f>MIN(J578+G578,(J578+G578)*'Hoja 4 - Cálculo'!$B$15)</f>
        <v>0.55752250000000003</v>
      </c>
      <c r="L578" s="15">
        <f t="shared" si="118"/>
        <v>27.318602499999997</v>
      </c>
      <c r="M578" s="15">
        <f t="shared" si="119"/>
        <v>11.5</v>
      </c>
      <c r="N578" s="15">
        <f t="shared" si="120"/>
        <v>2</v>
      </c>
      <c r="O578" s="15">
        <f t="shared" si="121"/>
        <v>13.818602499999997</v>
      </c>
      <c r="P578" s="15">
        <f t="shared" si="122"/>
        <v>0</v>
      </c>
      <c r="Q578" s="14" t="str">
        <f>IF(M578&gt;=I578*'Hoja 4 - Cálculo'!$B$16,"Satisfactorio","Falla")</f>
        <v>Satisfactorio</v>
      </c>
      <c r="R578" s="14">
        <f t="shared" si="128"/>
        <v>0</v>
      </c>
      <c r="S578" s="14">
        <f t="shared" si="129"/>
        <v>0</v>
      </c>
    </row>
    <row r="579" spans="1:19">
      <c r="A579" s="14" t="str">
        <f t="shared" si="126"/>
        <v>SRY-2-2</v>
      </c>
      <c r="B579" s="15">
        <f>'Curvas SRY'!$B$9</f>
        <v>2</v>
      </c>
      <c r="C579" s="15">
        <f>'Curvas SRY'!$E$9</f>
        <v>1</v>
      </c>
      <c r="D579" s="14" t="str">
        <f>'Curvas SRY'!$B$14</f>
        <v>Uso variable</v>
      </c>
      <c r="E579" s="14">
        <f>96</f>
        <v>96</v>
      </c>
      <c r="F579" s="21">
        <f>'Hoja 4 - Cálculo'!A120</f>
        <v>32478</v>
      </c>
      <c r="G579" s="15">
        <f>'Hoja 4 - Cálculo'!H120</f>
        <v>16.218</v>
      </c>
      <c r="H579" s="15">
        <f>IF(D579="Uso único",'Hoja 4 - Cálculo'!I120,IF(D579="Uso múltiple",AVERAGE('Hoja 4 - Cálculo'!$I$25:$I$384)+AVERAGE('Hoja 4 - Cálculo'!$J$25:$J$384)+AVERAGE('Hoja 4 - Cálculo'!$K$25:$K$384),IF(D579="Uso prioritario",'Hoja 4 - Cálculo'!I120+'Hoja 4 - Cálculo'!K120,'Hoja 4 - Cálculo'!I120+'Hoja 4 - Cálculo'!J120+'Hoja 4 - Cálculo'!K120)))</f>
        <v>16</v>
      </c>
      <c r="I579" s="15">
        <f t="shared" si="117"/>
        <v>16</v>
      </c>
      <c r="J579" s="15">
        <f t="shared" si="127"/>
        <v>2</v>
      </c>
      <c r="K579" s="15">
        <f>MIN(J579+G579,(J579+G579)*'Hoja 4 - Cálculo'!$B$15)</f>
        <v>0.36436000000000002</v>
      </c>
      <c r="L579" s="15">
        <f t="shared" si="118"/>
        <v>17.853639999999999</v>
      </c>
      <c r="M579" s="15">
        <f t="shared" si="119"/>
        <v>16</v>
      </c>
      <c r="N579" s="15">
        <f t="shared" si="120"/>
        <v>1.8536399999999986</v>
      </c>
      <c r="O579" s="15">
        <f t="shared" si="121"/>
        <v>0</v>
      </c>
      <c r="P579" s="15">
        <f t="shared" si="122"/>
        <v>0</v>
      </c>
      <c r="Q579" s="14" t="str">
        <f>IF(M579&gt;=I579*'Hoja 4 - Cálculo'!$B$16,"Satisfactorio","Falla")</f>
        <v>Satisfactorio</v>
      </c>
      <c r="R579" s="14">
        <f t="shared" si="128"/>
        <v>0</v>
      </c>
      <c r="S579" s="14">
        <f t="shared" si="129"/>
        <v>0</v>
      </c>
    </row>
    <row r="580" spans="1:19">
      <c r="A580" s="14" t="str">
        <f t="shared" ref="A580:A603" si="130">"SRY-2-2"</f>
        <v>SRY-2-2</v>
      </c>
      <c r="B580" s="15">
        <f>'Curvas SRY'!$B$9</f>
        <v>2</v>
      </c>
      <c r="C580" s="15">
        <f>'Curvas SRY'!$E$9</f>
        <v>1</v>
      </c>
      <c r="D580" s="14" t="str">
        <f>'Curvas SRY'!$B$14</f>
        <v>Uso variable</v>
      </c>
      <c r="E580" s="14">
        <f>97</f>
        <v>97</v>
      </c>
      <c r="F580" s="21">
        <f>'Hoja 4 - Cálculo'!A121</f>
        <v>32509</v>
      </c>
      <c r="G580" s="15">
        <f>'Hoja 4 - Cálculo'!H121</f>
        <v>11.761875</v>
      </c>
      <c r="H580" s="15">
        <f>IF(D580="Uso único",'Hoja 4 - Cálculo'!I121,IF(D580="Uso múltiple",AVERAGE('Hoja 4 - Cálculo'!$I$25:$I$384)+AVERAGE('Hoja 4 - Cálculo'!$J$25:$J$384)+AVERAGE('Hoja 4 - Cálculo'!$K$25:$K$384),IF(D580="Uso prioritario",'Hoja 4 - Cálculo'!I121+'Hoja 4 - Cálculo'!K121,'Hoja 4 - Cálculo'!I121+'Hoja 4 - Cálculo'!J121+'Hoja 4 - Cálculo'!K121)))</f>
        <v>16</v>
      </c>
      <c r="I580" s="15">
        <f t="shared" ref="I580:I643" si="131">H580*C580</f>
        <v>16</v>
      </c>
      <c r="J580" s="15">
        <f t="shared" si="127"/>
        <v>1.8536399999999986</v>
      </c>
      <c r="K580" s="15">
        <f>MIN(J580+G580,(J580+G580)*'Hoja 4 - Cálculo'!$B$15)</f>
        <v>0.27231029999999995</v>
      </c>
      <c r="L580" s="15">
        <f t="shared" ref="L580:L643" si="132">MAX(0,J580+G580-K580)</f>
        <v>13.343204699999999</v>
      </c>
      <c r="M580" s="15">
        <f t="shared" ref="M580:M643" si="133">MIN(I580,L580)</f>
        <v>13.343204699999999</v>
      </c>
      <c r="N580" s="15">
        <f t="shared" ref="N580:N643" si="134">MIN(B580,MAX(0,L580-M580))</f>
        <v>0</v>
      </c>
      <c r="O580" s="15">
        <f t="shared" ref="O580:O643" si="135">MAX(0,L580-M580-B580)</f>
        <v>0</v>
      </c>
      <c r="P580" s="15">
        <f t="shared" ref="P580:P643" si="136">MAX(0,I580-M580)</f>
        <v>2.6567953000000006</v>
      </c>
      <c r="Q580" s="14" t="str">
        <f>IF(M580&gt;=I580*'Hoja 4 - Cálculo'!$B$16,"Satisfactorio","Falla")</f>
        <v>Falla</v>
      </c>
      <c r="R580" s="14">
        <f t="shared" si="128"/>
        <v>0</v>
      </c>
      <c r="S580" s="14">
        <f t="shared" si="129"/>
        <v>1</v>
      </c>
    </row>
    <row r="581" spans="1:19">
      <c r="A581" s="14" t="str">
        <f t="shared" si="130"/>
        <v>SRY-2-2</v>
      </c>
      <c r="B581" s="15">
        <f>'Curvas SRY'!$B$9</f>
        <v>2</v>
      </c>
      <c r="C581" s="15">
        <f>'Curvas SRY'!$E$9</f>
        <v>1</v>
      </c>
      <c r="D581" s="14" t="str">
        <f>'Curvas SRY'!$B$14</f>
        <v>Uso variable</v>
      </c>
      <c r="E581" s="14">
        <f>98</f>
        <v>98</v>
      </c>
      <c r="F581" s="21">
        <f>'Hoja 4 - Cálculo'!A122</f>
        <v>32540</v>
      </c>
      <c r="G581" s="15">
        <f>'Hoja 4 - Cálculo'!H122</f>
        <v>12.43125</v>
      </c>
      <c r="H581" s="15">
        <f>IF(D581="Uso único",'Hoja 4 - Cálculo'!I122,IF(D581="Uso múltiple",AVERAGE('Hoja 4 - Cálculo'!$I$25:$I$384)+AVERAGE('Hoja 4 - Cálculo'!$J$25:$J$384)+AVERAGE('Hoja 4 - Cálculo'!$K$25:$K$384),IF(D581="Uso prioritario",'Hoja 4 - Cálculo'!I122+'Hoja 4 - Cálculo'!K122,'Hoja 4 - Cálculo'!I122+'Hoja 4 - Cálculo'!J122+'Hoja 4 - Cálculo'!K122)))</f>
        <v>16</v>
      </c>
      <c r="I581" s="15">
        <f t="shared" si="131"/>
        <v>16</v>
      </c>
      <c r="J581" s="15">
        <f t="shared" ref="J581:J603" si="137">N580</f>
        <v>0</v>
      </c>
      <c r="K581" s="15">
        <f>MIN(J581+G581,(J581+G581)*'Hoja 4 - Cálculo'!$B$15)</f>
        <v>0.24862500000000001</v>
      </c>
      <c r="L581" s="15">
        <f t="shared" si="132"/>
        <v>12.182625</v>
      </c>
      <c r="M581" s="15">
        <f t="shared" si="133"/>
        <v>12.182625</v>
      </c>
      <c r="N581" s="15">
        <f t="shared" si="134"/>
        <v>0</v>
      </c>
      <c r="O581" s="15">
        <f t="shared" si="135"/>
        <v>0</v>
      </c>
      <c r="P581" s="15">
        <f t="shared" si="136"/>
        <v>3.8173750000000002</v>
      </c>
      <c r="Q581" s="14" t="str">
        <f>IF(M581&gt;=I581*'Hoja 4 - Cálculo'!$B$16,"Satisfactorio","Falla")</f>
        <v>Falla</v>
      </c>
      <c r="R581" s="14">
        <f t="shared" ref="R581:R612" si="138">IF(AND(Q580="Falla",Q581="Satisfactorio"),1,0)</f>
        <v>0</v>
      </c>
      <c r="S581" s="14">
        <f t="shared" ref="S581:S603" si="139">IF(AND(Q581="Falla",Q580&lt;&gt;"Falla"),1,0)</f>
        <v>0</v>
      </c>
    </row>
    <row r="582" spans="1:19">
      <c r="A582" s="14" t="str">
        <f t="shared" si="130"/>
        <v>SRY-2-2</v>
      </c>
      <c r="B582" s="15">
        <f>'Curvas SRY'!$B$9</f>
        <v>2</v>
      </c>
      <c r="C582" s="15">
        <f>'Curvas SRY'!$E$9</f>
        <v>1</v>
      </c>
      <c r="D582" s="14" t="str">
        <f>'Curvas SRY'!$B$14</f>
        <v>Uso variable</v>
      </c>
      <c r="E582" s="14">
        <f>99</f>
        <v>99</v>
      </c>
      <c r="F582" s="21">
        <f>'Hoja 4 - Cálculo'!A123</f>
        <v>32568</v>
      </c>
      <c r="G582" s="15">
        <f>'Hoja 4 - Cálculo'!H123</f>
        <v>19.717874999999999</v>
      </c>
      <c r="H582" s="15">
        <f>IF(D582="Uso único",'Hoja 4 - Cálculo'!I123,IF(D582="Uso múltiple",AVERAGE('Hoja 4 - Cálculo'!$I$25:$I$384)+AVERAGE('Hoja 4 - Cálculo'!$J$25:$J$384)+AVERAGE('Hoja 4 - Cálculo'!$K$25:$K$384),IF(D582="Uso prioritario",'Hoja 4 - Cálculo'!I123+'Hoja 4 - Cálculo'!K123,'Hoja 4 - Cálculo'!I123+'Hoja 4 - Cálculo'!J123+'Hoja 4 - Cálculo'!K123)))</f>
        <v>16</v>
      </c>
      <c r="I582" s="15">
        <f t="shared" si="131"/>
        <v>16</v>
      </c>
      <c r="J582" s="15">
        <f t="shared" si="137"/>
        <v>0</v>
      </c>
      <c r="K582" s="15">
        <f>MIN(J582+G582,(J582+G582)*'Hoja 4 - Cálculo'!$B$15)</f>
        <v>0.39435749999999997</v>
      </c>
      <c r="L582" s="15">
        <f t="shared" si="132"/>
        <v>19.323517499999998</v>
      </c>
      <c r="M582" s="15">
        <f t="shared" si="133"/>
        <v>16</v>
      </c>
      <c r="N582" s="15">
        <f t="shared" si="134"/>
        <v>2</v>
      </c>
      <c r="O582" s="15">
        <f t="shared" si="135"/>
        <v>1.3235174999999977</v>
      </c>
      <c r="P582" s="15">
        <f t="shared" si="136"/>
        <v>0</v>
      </c>
      <c r="Q582" s="14" t="str">
        <f>IF(M582&gt;=I582*'Hoja 4 - Cálculo'!$B$16,"Satisfactorio","Falla")</f>
        <v>Satisfactorio</v>
      </c>
      <c r="R582" s="14">
        <f t="shared" si="138"/>
        <v>1</v>
      </c>
      <c r="S582" s="14">
        <f t="shared" si="139"/>
        <v>0</v>
      </c>
    </row>
    <row r="583" spans="1:19">
      <c r="A583" s="14" t="str">
        <f t="shared" si="130"/>
        <v>SRY-2-2</v>
      </c>
      <c r="B583" s="15">
        <f>'Curvas SRY'!$B$9</f>
        <v>2</v>
      </c>
      <c r="C583" s="15">
        <f>'Curvas SRY'!$E$9</f>
        <v>1</v>
      </c>
      <c r="D583" s="14" t="str">
        <f>'Curvas SRY'!$B$14</f>
        <v>Uso variable</v>
      </c>
      <c r="E583" s="14">
        <f>100</f>
        <v>100</v>
      </c>
      <c r="F583" s="21">
        <f>'Hoja 4 - Cálculo'!A124</f>
        <v>32599</v>
      </c>
      <c r="G583" s="15">
        <f>'Hoja 4 - Cálculo'!H124</f>
        <v>26.029125000000001</v>
      </c>
      <c r="H583" s="15">
        <f>IF(D583="Uso único",'Hoja 4 - Cálculo'!I124,IF(D583="Uso múltiple",AVERAGE('Hoja 4 - Cálculo'!$I$25:$I$384)+AVERAGE('Hoja 4 - Cálculo'!$J$25:$J$384)+AVERAGE('Hoja 4 - Cálculo'!$K$25:$K$384),IF(D583="Uso prioritario",'Hoja 4 - Cálculo'!I124+'Hoja 4 - Cálculo'!K124,'Hoja 4 - Cálculo'!I124+'Hoja 4 - Cálculo'!J124+'Hoja 4 - Cálculo'!K124)))</f>
        <v>11.5</v>
      </c>
      <c r="I583" s="15">
        <f t="shared" si="131"/>
        <v>11.5</v>
      </c>
      <c r="J583" s="15">
        <f t="shared" si="137"/>
        <v>2</v>
      </c>
      <c r="K583" s="15">
        <f>MIN(J583+G583,(J583+G583)*'Hoja 4 - Cálculo'!$B$15)</f>
        <v>0.56058249999999998</v>
      </c>
      <c r="L583" s="15">
        <f t="shared" si="132"/>
        <v>27.468542500000002</v>
      </c>
      <c r="M583" s="15">
        <f t="shared" si="133"/>
        <v>11.5</v>
      </c>
      <c r="N583" s="15">
        <f t="shared" si="134"/>
        <v>2</v>
      </c>
      <c r="O583" s="15">
        <f t="shared" si="135"/>
        <v>13.968542500000002</v>
      </c>
      <c r="P583" s="15">
        <f t="shared" si="136"/>
        <v>0</v>
      </c>
      <c r="Q583" s="14" t="str">
        <f>IF(M583&gt;=I583*'Hoja 4 - Cálculo'!$B$16,"Satisfactorio","Falla")</f>
        <v>Satisfactorio</v>
      </c>
      <c r="R583" s="14">
        <f t="shared" si="138"/>
        <v>0</v>
      </c>
      <c r="S583" s="14">
        <f t="shared" si="139"/>
        <v>0</v>
      </c>
    </row>
    <row r="584" spans="1:19">
      <c r="A584" s="14" t="str">
        <f t="shared" si="130"/>
        <v>SRY-2-2</v>
      </c>
      <c r="B584" s="15">
        <f>'Curvas SRY'!$B$9</f>
        <v>2</v>
      </c>
      <c r="C584" s="15">
        <f>'Curvas SRY'!$E$9</f>
        <v>1</v>
      </c>
      <c r="D584" s="14" t="str">
        <f>'Curvas SRY'!$B$14</f>
        <v>Uso variable</v>
      </c>
      <c r="E584" s="14">
        <f>101</f>
        <v>101</v>
      </c>
      <c r="F584" s="21">
        <f>'Hoja 4 - Cálculo'!A125</f>
        <v>32629</v>
      </c>
      <c r="G584" s="15">
        <f>'Hoja 4 - Cálculo'!H125</f>
        <v>24.728625000000005</v>
      </c>
      <c r="H584" s="15">
        <f>IF(D584="Uso único",'Hoja 4 - Cálculo'!I125,IF(D584="Uso múltiple",AVERAGE('Hoja 4 - Cálculo'!$I$25:$I$384)+AVERAGE('Hoja 4 - Cálculo'!$J$25:$J$384)+AVERAGE('Hoja 4 - Cálculo'!$K$25:$K$384),IF(D584="Uso prioritario",'Hoja 4 - Cálculo'!I125+'Hoja 4 - Cálculo'!K125,'Hoja 4 - Cálculo'!I125+'Hoja 4 - Cálculo'!J125+'Hoja 4 - Cálculo'!K125)))</f>
        <v>11.5</v>
      </c>
      <c r="I584" s="15">
        <f t="shared" si="131"/>
        <v>11.5</v>
      </c>
      <c r="J584" s="15">
        <f t="shared" si="137"/>
        <v>2</v>
      </c>
      <c r="K584" s="15">
        <f>MIN(J584+G584,(J584+G584)*'Hoja 4 - Cálculo'!$B$15)</f>
        <v>0.53457250000000012</v>
      </c>
      <c r="L584" s="15">
        <f t="shared" si="132"/>
        <v>26.194052500000005</v>
      </c>
      <c r="M584" s="15">
        <f t="shared" si="133"/>
        <v>11.5</v>
      </c>
      <c r="N584" s="15">
        <f t="shared" si="134"/>
        <v>2</v>
      </c>
      <c r="O584" s="15">
        <f t="shared" si="135"/>
        <v>12.694052500000005</v>
      </c>
      <c r="P584" s="15">
        <f t="shared" si="136"/>
        <v>0</v>
      </c>
      <c r="Q584" s="14" t="str">
        <f>IF(M584&gt;=I584*'Hoja 4 - Cálculo'!$B$16,"Satisfactorio","Falla")</f>
        <v>Satisfactorio</v>
      </c>
      <c r="R584" s="14">
        <f t="shared" si="138"/>
        <v>0</v>
      </c>
      <c r="S584" s="14">
        <f t="shared" si="139"/>
        <v>0</v>
      </c>
    </row>
    <row r="585" spans="1:19">
      <c r="A585" s="14" t="str">
        <f t="shared" si="130"/>
        <v>SRY-2-2</v>
      </c>
      <c r="B585" s="15">
        <f>'Curvas SRY'!$B$9</f>
        <v>2</v>
      </c>
      <c r="C585" s="15">
        <f>'Curvas SRY'!$E$9</f>
        <v>1</v>
      </c>
      <c r="D585" s="14" t="str">
        <f>'Curvas SRY'!$B$14</f>
        <v>Uso variable</v>
      </c>
      <c r="E585" s="14">
        <f>102</f>
        <v>102</v>
      </c>
      <c r="F585" s="21">
        <f>'Hoja 4 - Cálculo'!A126</f>
        <v>32660</v>
      </c>
      <c r="G585" s="15">
        <f>'Hoja 4 - Cálculo'!H126</f>
        <v>14.515874999999999</v>
      </c>
      <c r="H585" s="15">
        <f>IF(D585="Uso único",'Hoja 4 - Cálculo'!I126,IF(D585="Uso múltiple",AVERAGE('Hoja 4 - Cálculo'!$I$25:$I$384)+AVERAGE('Hoja 4 - Cálculo'!$J$25:$J$384)+AVERAGE('Hoja 4 - Cálculo'!$K$25:$K$384),IF(D585="Uso prioritario",'Hoja 4 - Cálculo'!I126+'Hoja 4 - Cálculo'!K126,'Hoja 4 - Cálculo'!I126+'Hoja 4 - Cálculo'!J126+'Hoja 4 - Cálculo'!K126)))</f>
        <v>11.5</v>
      </c>
      <c r="I585" s="15">
        <f t="shared" si="131"/>
        <v>11.5</v>
      </c>
      <c r="J585" s="15">
        <f t="shared" si="137"/>
        <v>2</v>
      </c>
      <c r="K585" s="15">
        <f>MIN(J585+G585,(J585+G585)*'Hoja 4 - Cálculo'!$B$15)</f>
        <v>0.33031750000000004</v>
      </c>
      <c r="L585" s="15">
        <f t="shared" si="132"/>
        <v>16.185557500000002</v>
      </c>
      <c r="M585" s="15">
        <f t="shared" si="133"/>
        <v>11.5</v>
      </c>
      <c r="N585" s="15">
        <f t="shared" si="134"/>
        <v>2</v>
      </c>
      <c r="O585" s="15">
        <f t="shared" si="135"/>
        <v>2.6855575000000016</v>
      </c>
      <c r="P585" s="15">
        <f t="shared" si="136"/>
        <v>0</v>
      </c>
      <c r="Q585" s="14" t="str">
        <f>IF(M585&gt;=I585*'Hoja 4 - Cálculo'!$B$16,"Satisfactorio","Falla")</f>
        <v>Satisfactorio</v>
      </c>
      <c r="R585" s="14">
        <f t="shared" si="138"/>
        <v>0</v>
      </c>
      <c r="S585" s="14">
        <f t="shared" si="139"/>
        <v>0</v>
      </c>
    </row>
    <row r="586" spans="1:19">
      <c r="A586" s="14" t="str">
        <f t="shared" si="130"/>
        <v>SRY-2-2</v>
      </c>
      <c r="B586" s="15">
        <f>'Curvas SRY'!$B$9</f>
        <v>2</v>
      </c>
      <c r="C586" s="15">
        <f>'Curvas SRY'!$E$9</f>
        <v>1</v>
      </c>
      <c r="D586" s="14" t="str">
        <f>'Curvas SRY'!$B$14</f>
        <v>Uso variable</v>
      </c>
      <c r="E586" s="14">
        <f>103</f>
        <v>103</v>
      </c>
      <c r="F586" s="21">
        <f>'Hoja 4 - Cálculo'!A127</f>
        <v>32690</v>
      </c>
      <c r="G586" s="15">
        <f>'Hoja 4 - Cálculo'!H127</f>
        <v>12.144375</v>
      </c>
      <c r="H586" s="15">
        <f>IF(D586="Uso único",'Hoja 4 - Cálculo'!I127,IF(D586="Uso múltiple",AVERAGE('Hoja 4 - Cálculo'!$I$25:$I$384)+AVERAGE('Hoja 4 - Cálculo'!$J$25:$J$384)+AVERAGE('Hoja 4 - Cálculo'!$K$25:$K$384),IF(D586="Uso prioritario",'Hoja 4 - Cálculo'!I127+'Hoja 4 - Cálculo'!K127,'Hoja 4 - Cálculo'!I127+'Hoja 4 - Cálculo'!J127+'Hoja 4 - Cálculo'!K127)))</f>
        <v>16</v>
      </c>
      <c r="I586" s="15">
        <f t="shared" si="131"/>
        <v>16</v>
      </c>
      <c r="J586" s="15">
        <f t="shared" si="137"/>
        <v>2</v>
      </c>
      <c r="K586" s="15">
        <f>MIN(J586+G586,(J586+G586)*'Hoja 4 - Cálculo'!$B$15)</f>
        <v>0.28288750000000001</v>
      </c>
      <c r="L586" s="15">
        <f t="shared" si="132"/>
        <v>13.861487500000001</v>
      </c>
      <c r="M586" s="15">
        <f t="shared" si="133"/>
        <v>13.861487500000001</v>
      </c>
      <c r="N586" s="15">
        <f t="shared" si="134"/>
        <v>0</v>
      </c>
      <c r="O586" s="15">
        <f t="shared" si="135"/>
        <v>0</v>
      </c>
      <c r="P586" s="15">
        <f t="shared" si="136"/>
        <v>2.1385124999999992</v>
      </c>
      <c r="Q586" s="14" t="str">
        <f>IF(M586&gt;=I586*'Hoja 4 - Cálculo'!$B$16,"Satisfactorio","Falla")</f>
        <v>Falla</v>
      </c>
      <c r="R586" s="14">
        <f t="shared" si="138"/>
        <v>0</v>
      </c>
      <c r="S586" s="14">
        <f t="shared" si="139"/>
        <v>1</v>
      </c>
    </row>
    <row r="587" spans="1:19">
      <c r="A587" s="14" t="str">
        <f t="shared" si="130"/>
        <v>SRY-2-2</v>
      </c>
      <c r="B587" s="15">
        <f>'Curvas SRY'!$B$9</f>
        <v>2</v>
      </c>
      <c r="C587" s="15">
        <f>'Curvas SRY'!$E$9</f>
        <v>1</v>
      </c>
      <c r="D587" s="14" t="str">
        <f>'Curvas SRY'!$B$14</f>
        <v>Uso variable</v>
      </c>
      <c r="E587" s="14">
        <f>104</f>
        <v>104</v>
      </c>
      <c r="F587" s="21">
        <f>'Hoja 4 - Cálculo'!A128</f>
        <v>32721</v>
      </c>
      <c r="G587" s="15">
        <f>'Hoja 4 - Cálculo'!H128</f>
        <v>13.04325</v>
      </c>
      <c r="H587" s="15">
        <f>IF(D587="Uso único",'Hoja 4 - Cálculo'!I128,IF(D587="Uso múltiple",AVERAGE('Hoja 4 - Cálculo'!$I$25:$I$384)+AVERAGE('Hoja 4 - Cálculo'!$J$25:$J$384)+AVERAGE('Hoja 4 - Cálculo'!$K$25:$K$384),IF(D587="Uso prioritario",'Hoja 4 - Cálculo'!I128+'Hoja 4 - Cálculo'!K128,'Hoja 4 - Cálculo'!I128+'Hoja 4 - Cálculo'!J128+'Hoja 4 - Cálculo'!K128)))</f>
        <v>16</v>
      </c>
      <c r="I587" s="15">
        <f t="shared" si="131"/>
        <v>16</v>
      </c>
      <c r="J587" s="15">
        <f t="shared" si="137"/>
        <v>0</v>
      </c>
      <c r="K587" s="15">
        <f>MIN(J587+G587,(J587+G587)*'Hoja 4 - Cálculo'!$B$15)</f>
        <v>0.26086500000000001</v>
      </c>
      <c r="L587" s="15">
        <f t="shared" si="132"/>
        <v>12.782385</v>
      </c>
      <c r="M587" s="15">
        <f t="shared" si="133"/>
        <v>12.782385</v>
      </c>
      <c r="N587" s="15">
        <f t="shared" si="134"/>
        <v>0</v>
      </c>
      <c r="O587" s="15">
        <f t="shared" si="135"/>
        <v>0</v>
      </c>
      <c r="P587" s="15">
        <f t="shared" si="136"/>
        <v>3.2176150000000003</v>
      </c>
      <c r="Q587" s="14" t="str">
        <f>IF(M587&gt;=I587*'Hoja 4 - Cálculo'!$B$16,"Satisfactorio","Falla")</f>
        <v>Falla</v>
      </c>
      <c r="R587" s="14">
        <f t="shared" si="138"/>
        <v>0</v>
      </c>
      <c r="S587" s="14">
        <f t="shared" si="139"/>
        <v>0</v>
      </c>
    </row>
    <row r="588" spans="1:19">
      <c r="A588" s="14" t="str">
        <f t="shared" si="130"/>
        <v>SRY-2-2</v>
      </c>
      <c r="B588" s="15">
        <f>'Curvas SRY'!$B$9</f>
        <v>2</v>
      </c>
      <c r="C588" s="15">
        <f>'Curvas SRY'!$E$9</f>
        <v>1</v>
      </c>
      <c r="D588" s="14" t="str">
        <f>'Curvas SRY'!$B$14</f>
        <v>Uso variable</v>
      </c>
      <c r="E588" s="14">
        <f>105</f>
        <v>105</v>
      </c>
      <c r="F588" s="21">
        <f>'Hoja 4 - Cálculo'!A129</f>
        <v>32752</v>
      </c>
      <c r="G588" s="15">
        <f>'Hoja 4 - Cálculo'!H129</f>
        <v>20.444624999999998</v>
      </c>
      <c r="H588" s="15">
        <f>IF(D588="Uso único",'Hoja 4 - Cálculo'!I129,IF(D588="Uso múltiple",AVERAGE('Hoja 4 - Cálculo'!$I$25:$I$384)+AVERAGE('Hoja 4 - Cálculo'!$J$25:$J$384)+AVERAGE('Hoja 4 - Cálculo'!$K$25:$K$384),IF(D588="Uso prioritario",'Hoja 4 - Cálculo'!I129+'Hoja 4 - Cálculo'!K129,'Hoja 4 - Cálculo'!I129+'Hoja 4 - Cálculo'!J129+'Hoja 4 - Cálculo'!K129)))</f>
        <v>11.5</v>
      </c>
      <c r="I588" s="15">
        <f t="shared" si="131"/>
        <v>11.5</v>
      </c>
      <c r="J588" s="15">
        <f t="shared" si="137"/>
        <v>0</v>
      </c>
      <c r="K588" s="15">
        <f>MIN(J588+G588,(J588+G588)*'Hoja 4 - Cálculo'!$B$15)</f>
        <v>0.40889249999999999</v>
      </c>
      <c r="L588" s="15">
        <f t="shared" si="132"/>
        <v>20.035732499999998</v>
      </c>
      <c r="M588" s="15">
        <f t="shared" si="133"/>
        <v>11.5</v>
      </c>
      <c r="N588" s="15">
        <f t="shared" si="134"/>
        <v>2</v>
      </c>
      <c r="O588" s="15">
        <f t="shared" si="135"/>
        <v>6.5357324999999982</v>
      </c>
      <c r="P588" s="15">
        <f t="shared" si="136"/>
        <v>0</v>
      </c>
      <c r="Q588" s="14" t="str">
        <f>IF(M588&gt;=I588*'Hoja 4 - Cálculo'!$B$16,"Satisfactorio","Falla")</f>
        <v>Satisfactorio</v>
      </c>
      <c r="R588" s="14">
        <f t="shared" si="138"/>
        <v>1</v>
      </c>
      <c r="S588" s="14">
        <f t="shared" si="139"/>
        <v>0</v>
      </c>
    </row>
    <row r="589" spans="1:19">
      <c r="A589" s="14" t="str">
        <f t="shared" si="130"/>
        <v>SRY-2-2</v>
      </c>
      <c r="B589" s="15">
        <f>'Curvas SRY'!$B$9</f>
        <v>2</v>
      </c>
      <c r="C589" s="15">
        <f>'Curvas SRY'!$E$9</f>
        <v>1</v>
      </c>
      <c r="D589" s="14" t="str">
        <f>'Curvas SRY'!$B$14</f>
        <v>Uso variable</v>
      </c>
      <c r="E589" s="14">
        <f>106</f>
        <v>106</v>
      </c>
      <c r="F589" s="21">
        <f>'Hoja 4 - Cálculo'!A130</f>
        <v>32782</v>
      </c>
      <c r="G589" s="15">
        <f>'Hoja 4 - Cálculo'!H130</f>
        <v>28.343250000000001</v>
      </c>
      <c r="H589" s="15">
        <f>IF(D589="Uso único",'Hoja 4 - Cálculo'!I130,IF(D589="Uso múltiple",AVERAGE('Hoja 4 - Cálculo'!$I$25:$I$384)+AVERAGE('Hoja 4 - Cálculo'!$J$25:$J$384)+AVERAGE('Hoja 4 - Cálculo'!$K$25:$K$384),IF(D589="Uso prioritario",'Hoja 4 - Cálculo'!I130+'Hoja 4 - Cálculo'!K130,'Hoja 4 - Cálculo'!I130+'Hoja 4 - Cálculo'!J130+'Hoja 4 - Cálculo'!K130)))</f>
        <v>11.5</v>
      </c>
      <c r="I589" s="15">
        <f t="shared" si="131"/>
        <v>11.5</v>
      </c>
      <c r="J589" s="15">
        <f t="shared" si="137"/>
        <v>2</v>
      </c>
      <c r="K589" s="15">
        <f>MIN(J589+G589,(J589+G589)*'Hoja 4 - Cálculo'!$B$15)</f>
        <v>0.60686499999999999</v>
      </c>
      <c r="L589" s="15">
        <f t="shared" si="132"/>
        <v>29.736385000000002</v>
      </c>
      <c r="M589" s="15">
        <f t="shared" si="133"/>
        <v>11.5</v>
      </c>
      <c r="N589" s="15">
        <f t="shared" si="134"/>
        <v>2</v>
      </c>
      <c r="O589" s="15">
        <f t="shared" si="135"/>
        <v>16.236385000000002</v>
      </c>
      <c r="P589" s="15">
        <f t="shared" si="136"/>
        <v>0</v>
      </c>
      <c r="Q589" s="14" t="str">
        <f>IF(M589&gt;=I589*'Hoja 4 - Cálculo'!$B$16,"Satisfactorio","Falla")</f>
        <v>Satisfactorio</v>
      </c>
      <c r="R589" s="14">
        <f t="shared" si="138"/>
        <v>0</v>
      </c>
      <c r="S589" s="14">
        <f t="shared" si="139"/>
        <v>0</v>
      </c>
    </row>
    <row r="590" spans="1:19">
      <c r="A590" s="14" t="str">
        <f t="shared" si="130"/>
        <v>SRY-2-2</v>
      </c>
      <c r="B590" s="15">
        <f>'Curvas SRY'!$B$9</f>
        <v>2</v>
      </c>
      <c r="C590" s="15">
        <f>'Curvas SRY'!$E$9</f>
        <v>1</v>
      </c>
      <c r="D590" s="14" t="str">
        <f>'Curvas SRY'!$B$14</f>
        <v>Uso variable</v>
      </c>
      <c r="E590" s="14">
        <f>107</f>
        <v>107</v>
      </c>
      <c r="F590" s="21">
        <f>'Hoja 4 - Cálculo'!A131</f>
        <v>32813</v>
      </c>
      <c r="G590" s="15">
        <f>'Hoja 4 - Cálculo'!H131</f>
        <v>22.60575</v>
      </c>
      <c r="H590" s="15">
        <f>IF(D590="Uso único",'Hoja 4 - Cálculo'!I131,IF(D590="Uso múltiple",AVERAGE('Hoja 4 - Cálculo'!$I$25:$I$384)+AVERAGE('Hoja 4 - Cálculo'!$J$25:$J$384)+AVERAGE('Hoja 4 - Cálculo'!$K$25:$K$384),IF(D590="Uso prioritario",'Hoja 4 - Cálculo'!I131+'Hoja 4 - Cálculo'!K131,'Hoja 4 - Cálculo'!I131+'Hoja 4 - Cálculo'!J131+'Hoja 4 - Cálculo'!K131)))</f>
        <v>11.5</v>
      </c>
      <c r="I590" s="15">
        <f t="shared" si="131"/>
        <v>11.5</v>
      </c>
      <c r="J590" s="15">
        <f t="shared" si="137"/>
        <v>2</v>
      </c>
      <c r="K590" s="15">
        <f>MIN(J590+G590,(J590+G590)*'Hoja 4 - Cálculo'!$B$15)</f>
        <v>0.49211500000000002</v>
      </c>
      <c r="L590" s="15">
        <f t="shared" si="132"/>
        <v>24.113635000000002</v>
      </c>
      <c r="M590" s="15">
        <f t="shared" si="133"/>
        <v>11.5</v>
      </c>
      <c r="N590" s="15">
        <f t="shared" si="134"/>
        <v>2</v>
      </c>
      <c r="O590" s="15">
        <f t="shared" si="135"/>
        <v>10.613635000000002</v>
      </c>
      <c r="P590" s="15">
        <f t="shared" si="136"/>
        <v>0</v>
      </c>
      <c r="Q590" s="14" t="str">
        <f>IF(M590&gt;=I590*'Hoja 4 - Cálculo'!$B$16,"Satisfactorio","Falla")</f>
        <v>Satisfactorio</v>
      </c>
      <c r="R590" s="14">
        <f t="shared" si="138"/>
        <v>0</v>
      </c>
      <c r="S590" s="14">
        <f t="shared" si="139"/>
        <v>0</v>
      </c>
    </row>
    <row r="591" spans="1:19">
      <c r="A591" s="14" t="str">
        <f t="shared" si="130"/>
        <v>SRY-2-2</v>
      </c>
      <c r="B591" s="15">
        <f>'Curvas SRY'!$B$9</f>
        <v>2</v>
      </c>
      <c r="C591" s="15">
        <f>'Curvas SRY'!$E$9</f>
        <v>1</v>
      </c>
      <c r="D591" s="14" t="str">
        <f>'Curvas SRY'!$B$14</f>
        <v>Uso variable</v>
      </c>
      <c r="E591" s="14">
        <f>108</f>
        <v>108</v>
      </c>
      <c r="F591" s="21">
        <f>'Hoja 4 - Cálculo'!A132</f>
        <v>32843</v>
      </c>
      <c r="G591" s="15">
        <f>'Hoja 4 - Cálculo'!H132</f>
        <v>14.362875000000001</v>
      </c>
      <c r="H591" s="15">
        <f>IF(D591="Uso único",'Hoja 4 - Cálculo'!I132,IF(D591="Uso múltiple",AVERAGE('Hoja 4 - Cálculo'!$I$25:$I$384)+AVERAGE('Hoja 4 - Cálculo'!$J$25:$J$384)+AVERAGE('Hoja 4 - Cálculo'!$K$25:$K$384),IF(D591="Uso prioritario",'Hoja 4 - Cálculo'!I132+'Hoja 4 - Cálculo'!K132,'Hoja 4 - Cálculo'!I132+'Hoja 4 - Cálculo'!J132+'Hoja 4 - Cálculo'!K132)))</f>
        <v>16</v>
      </c>
      <c r="I591" s="15">
        <f t="shared" si="131"/>
        <v>16</v>
      </c>
      <c r="J591" s="15">
        <f t="shared" si="137"/>
        <v>2</v>
      </c>
      <c r="K591" s="15">
        <f>MIN(J591+G591,(J591+G591)*'Hoja 4 - Cálculo'!$B$15)</f>
        <v>0.32725750000000003</v>
      </c>
      <c r="L591" s="15">
        <f t="shared" si="132"/>
        <v>16.035617500000001</v>
      </c>
      <c r="M591" s="15">
        <f t="shared" si="133"/>
        <v>16</v>
      </c>
      <c r="N591" s="15">
        <f t="shared" si="134"/>
        <v>3.5617500000000746E-2</v>
      </c>
      <c r="O591" s="15">
        <f t="shared" si="135"/>
        <v>0</v>
      </c>
      <c r="P591" s="15">
        <f t="shared" si="136"/>
        <v>0</v>
      </c>
      <c r="Q591" s="14" t="str">
        <f>IF(M591&gt;=I591*'Hoja 4 - Cálculo'!$B$16,"Satisfactorio","Falla")</f>
        <v>Satisfactorio</v>
      </c>
      <c r="R591" s="14">
        <f t="shared" si="138"/>
        <v>0</v>
      </c>
      <c r="S591" s="14">
        <f t="shared" si="139"/>
        <v>0</v>
      </c>
    </row>
    <row r="592" spans="1:19">
      <c r="A592" s="14" t="str">
        <f t="shared" si="130"/>
        <v>SRY-2-2</v>
      </c>
      <c r="B592" s="15">
        <f>'Curvas SRY'!$B$9</f>
        <v>2</v>
      </c>
      <c r="C592" s="15">
        <f>'Curvas SRY'!$E$9</f>
        <v>1</v>
      </c>
      <c r="D592" s="14" t="str">
        <f>'Curvas SRY'!$B$14</f>
        <v>Uso variable</v>
      </c>
      <c r="E592" s="14">
        <f>109</f>
        <v>109</v>
      </c>
      <c r="F592" s="21">
        <f>'Hoja 4 - Cálculo'!A133</f>
        <v>32874</v>
      </c>
      <c r="G592" s="15">
        <f>'Hoja 4 - Cálculo'!H133</f>
        <v>11.723625</v>
      </c>
      <c r="H592" s="15">
        <f>IF(D592="Uso único",'Hoja 4 - Cálculo'!I133,IF(D592="Uso múltiple",AVERAGE('Hoja 4 - Cálculo'!$I$25:$I$384)+AVERAGE('Hoja 4 - Cálculo'!$J$25:$J$384)+AVERAGE('Hoja 4 - Cálculo'!$K$25:$K$384),IF(D592="Uso prioritario",'Hoja 4 - Cálculo'!I133+'Hoja 4 - Cálculo'!K133,'Hoja 4 - Cálculo'!I133+'Hoja 4 - Cálculo'!J133+'Hoja 4 - Cálculo'!K133)))</f>
        <v>16</v>
      </c>
      <c r="I592" s="15">
        <f t="shared" si="131"/>
        <v>16</v>
      </c>
      <c r="J592" s="15">
        <f t="shared" si="137"/>
        <v>3.5617500000000746E-2</v>
      </c>
      <c r="K592" s="15">
        <f>MIN(J592+G592,(J592+G592)*'Hoja 4 - Cálculo'!$B$15)</f>
        <v>0.23518485000000003</v>
      </c>
      <c r="L592" s="15">
        <f t="shared" si="132"/>
        <v>11.524057650000001</v>
      </c>
      <c r="M592" s="15">
        <f t="shared" si="133"/>
        <v>11.524057650000001</v>
      </c>
      <c r="N592" s="15">
        <f t="shared" si="134"/>
        <v>0</v>
      </c>
      <c r="O592" s="15">
        <f t="shared" si="135"/>
        <v>0</v>
      </c>
      <c r="P592" s="15">
        <f t="shared" si="136"/>
        <v>4.4759423499999986</v>
      </c>
      <c r="Q592" s="14" t="str">
        <f>IF(M592&gt;=I592*'Hoja 4 - Cálculo'!$B$16,"Satisfactorio","Falla")</f>
        <v>Falla</v>
      </c>
      <c r="R592" s="14">
        <f t="shared" si="138"/>
        <v>0</v>
      </c>
      <c r="S592" s="14">
        <f t="shared" si="139"/>
        <v>1</v>
      </c>
    </row>
    <row r="593" spans="1:19">
      <c r="A593" s="14" t="str">
        <f t="shared" si="130"/>
        <v>SRY-2-2</v>
      </c>
      <c r="B593" s="15">
        <f>'Curvas SRY'!$B$9</f>
        <v>2</v>
      </c>
      <c r="C593" s="15">
        <f>'Curvas SRY'!$E$9</f>
        <v>1</v>
      </c>
      <c r="D593" s="14" t="str">
        <f>'Curvas SRY'!$B$14</f>
        <v>Uso variable</v>
      </c>
      <c r="E593" s="14">
        <f>110</f>
        <v>110</v>
      </c>
      <c r="F593" s="21">
        <f>'Hoja 4 - Cálculo'!A134</f>
        <v>32905</v>
      </c>
      <c r="G593" s="15">
        <f>'Hoja 4 - Cálculo'!H134</f>
        <v>13.311</v>
      </c>
      <c r="H593" s="15">
        <f>IF(D593="Uso único",'Hoja 4 - Cálculo'!I134,IF(D593="Uso múltiple",AVERAGE('Hoja 4 - Cálculo'!$I$25:$I$384)+AVERAGE('Hoja 4 - Cálculo'!$J$25:$J$384)+AVERAGE('Hoja 4 - Cálculo'!$K$25:$K$384),IF(D593="Uso prioritario",'Hoja 4 - Cálculo'!I134+'Hoja 4 - Cálculo'!K134,'Hoja 4 - Cálculo'!I134+'Hoja 4 - Cálculo'!J134+'Hoja 4 - Cálculo'!K134)))</f>
        <v>16</v>
      </c>
      <c r="I593" s="15">
        <f t="shared" si="131"/>
        <v>16</v>
      </c>
      <c r="J593" s="15">
        <f t="shared" si="137"/>
        <v>0</v>
      </c>
      <c r="K593" s="15">
        <f>MIN(J593+G593,(J593+G593)*'Hoja 4 - Cálculo'!$B$15)</f>
        <v>0.26622000000000001</v>
      </c>
      <c r="L593" s="15">
        <f t="shared" si="132"/>
        <v>13.044779999999999</v>
      </c>
      <c r="M593" s="15">
        <f t="shared" si="133"/>
        <v>13.044779999999999</v>
      </c>
      <c r="N593" s="15">
        <f t="shared" si="134"/>
        <v>0</v>
      </c>
      <c r="O593" s="15">
        <f t="shared" si="135"/>
        <v>0</v>
      </c>
      <c r="P593" s="15">
        <f t="shared" si="136"/>
        <v>2.9552200000000006</v>
      </c>
      <c r="Q593" s="14" t="str">
        <f>IF(M593&gt;=I593*'Hoja 4 - Cálculo'!$B$16,"Satisfactorio","Falla")</f>
        <v>Falla</v>
      </c>
      <c r="R593" s="14">
        <f t="shared" si="138"/>
        <v>0</v>
      </c>
      <c r="S593" s="14">
        <f t="shared" si="139"/>
        <v>0</v>
      </c>
    </row>
    <row r="594" spans="1:19">
      <c r="A594" s="14" t="str">
        <f t="shared" si="130"/>
        <v>SRY-2-2</v>
      </c>
      <c r="B594" s="15">
        <f>'Curvas SRY'!$B$9</f>
        <v>2</v>
      </c>
      <c r="C594" s="15">
        <f>'Curvas SRY'!$E$9</f>
        <v>1</v>
      </c>
      <c r="D594" s="14" t="str">
        <f>'Curvas SRY'!$B$14</f>
        <v>Uso variable</v>
      </c>
      <c r="E594" s="14">
        <f>111</f>
        <v>111</v>
      </c>
      <c r="F594" s="21">
        <f>'Hoja 4 - Cálculo'!A135</f>
        <v>32933</v>
      </c>
      <c r="G594" s="15">
        <f>'Hoja 4 - Cálculo'!H135</f>
        <v>18.838125000000002</v>
      </c>
      <c r="H594" s="15">
        <f>IF(D594="Uso único",'Hoja 4 - Cálculo'!I135,IF(D594="Uso múltiple",AVERAGE('Hoja 4 - Cálculo'!$I$25:$I$384)+AVERAGE('Hoja 4 - Cálculo'!$J$25:$J$384)+AVERAGE('Hoja 4 - Cálculo'!$K$25:$K$384),IF(D594="Uso prioritario",'Hoja 4 - Cálculo'!I135+'Hoja 4 - Cálculo'!K135,'Hoja 4 - Cálculo'!I135+'Hoja 4 - Cálculo'!J135+'Hoja 4 - Cálculo'!K135)))</f>
        <v>16</v>
      </c>
      <c r="I594" s="15">
        <f t="shared" si="131"/>
        <v>16</v>
      </c>
      <c r="J594" s="15">
        <f t="shared" si="137"/>
        <v>0</v>
      </c>
      <c r="K594" s="15">
        <f>MIN(J594+G594,(J594+G594)*'Hoja 4 - Cálculo'!$B$15)</f>
        <v>0.37676250000000006</v>
      </c>
      <c r="L594" s="15">
        <f t="shared" si="132"/>
        <v>18.4613625</v>
      </c>
      <c r="M594" s="15">
        <f t="shared" si="133"/>
        <v>16</v>
      </c>
      <c r="N594" s="15">
        <f t="shared" si="134"/>
        <v>2</v>
      </c>
      <c r="O594" s="15">
        <f t="shared" si="135"/>
        <v>0.4613624999999999</v>
      </c>
      <c r="P594" s="15">
        <f t="shared" si="136"/>
        <v>0</v>
      </c>
      <c r="Q594" s="14" t="str">
        <f>IF(M594&gt;=I594*'Hoja 4 - Cálculo'!$B$16,"Satisfactorio","Falla")</f>
        <v>Satisfactorio</v>
      </c>
      <c r="R594" s="14">
        <f t="shared" si="138"/>
        <v>1</v>
      </c>
      <c r="S594" s="14">
        <f t="shared" si="139"/>
        <v>0</v>
      </c>
    </row>
    <row r="595" spans="1:19">
      <c r="A595" s="14" t="str">
        <f t="shared" si="130"/>
        <v>SRY-2-2</v>
      </c>
      <c r="B595" s="15">
        <f>'Curvas SRY'!$B$9</f>
        <v>2</v>
      </c>
      <c r="C595" s="15">
        <f>'Curvas SRY'!$E$9</f>
        <v>1</v>
      </c>
      <c r="D595" s="14" t="str">
        <f>'Curvas SRY'!$B$14</f>
        <v>Uso variable</v>
      </c>
      <c r="E595" s="14">
        <f>112</f>
        <v>112</v>
      </c>
      <c r="F595" s="21">
        <f>'Hoja 4 - Cálculo'!A136</f>
        <v>32964</v>
      </c>
      <c r="G595" s="15">
        <f>'Hoja 4 - Cálculo'!H136</f>
        <v>28.611000000000001</v>
      </c>
      <c r="H595" s="15">
        <f>IF(D595="Uso único",'Hoja 4 - Cálculo'!I136,IF(D595="Uso múltiple",AVERAGE('Hoja 4 - Cálculo'!$I$25:$I$384)+AVERAGE('Hoja 4 - Cálculo'!$J$25:$J$384)+AVERAGE('Hoja 4 - Cálculo'!$K$25:$K$384),IF(D595="Uso prioritario",'Hoja 4 - Cálculo'!I136+'Hoja 4 - Cálculo'!K136,'Hoja 4 - Cálculo'!I136+'Hoja 4 - Cálculo'!J136+'Hoja 4 - Cálculo'!K136)))</f>
        <v>11.5</v>
      </c>
      <c r="I595" s="15">
        <f t="shared" si="131"/>
        <v>11.5</v>
      </c>
      <c r="J595" s="15">
        <f t="shared" si="137"/>
        <v>2</v>
      </c>
      <c r="K595" s="15">
        <f>MIN(J595+G595,(J595+G595)*'Hoja 4 - Cálculo'!$B$15)</f>
        <v>0.61221999999999999</v>
      </c>
      <c r="L595" s="15">
        <f t="shared" si="132"/>
        <v>29.99878</v>
      </c>
      <c r="M595" s="15">
        <f t="shared" si="133"/>
        <v>11.5</v>
      </c>
      <c r="N595" s="15">
        <f t="shared" si="134"/>
        <v>2</v>
      </c>
      <c r="O595" s="15">
        <f t="shared" si="135"/>
        <v>16.49878</v>
      </c>
      <c r="P595" s="15">
        <f t="shared" si="136"/>
        <v>0</v>
      </c>
      <c r="Q595" s="14" t="str">
        <f>IF(M595&gt;=I595*'Hoja 4 - Cálculo'!$B$16,"Satisfactorio","Falla")</f>
        <v>Satisfactorio</v>
      </c>
      <c r="R595" s="14">
        <f t="shared" si="138"/>
        <v>0</v>
      </c>
      <c r="S595" s="14">
        <f t="shared" si="139"/>
        <v>0</v>
      </c>
    </row>
    <row r="596" spans="1:19">
      <c r="A596" s="14" t="str">
        <f t="shared" si="130"/>
        <v>SRY-2-2</v>
      </c>
      <c r="B596" s="15">
        <f>'Curvas SRY'!$B$9</f>
        <v>2</v>
      </c>
      <c r="C596" s="15">
        <f>'Curvas SRY'!$E$9</f>
        <v>1</v>
      </c>
      <c r="D596" s="14" t="str">
        <f>'Curvas SRY'!$B$14</f>
        <v>Uso variable</v>
      </c>
      <c r="E596" s="14">
        <f>113</f>
        <v>113</v>
      </c>
      <c r="F596" s="21">
        <f>'Hoja 4 - Cálculo'!A137</f>
        <v>32994</v>
      </c>
      <c r="G596" s="15">
        <f>'Hoja 4 - Cálculo'!H137</f>
        <v>23.52375</v>
      </c>
      <c r="H596" s="15">
        <f>IF(D596="Uso único",'Hoja 4 - Cálculo'!I137,IF(D596="Uso múltiple",AVERAGE('Hoja 4 - Cálculo'!$I$25:$I$384)+AVERAGE('Hoja 4 - Cálculo'!$J$25:$J$384)+AVERAGE('Hoja 4 - Cálculo'!$K$25:$K$384),IF(D596="Uso prioritario",'Hoja 4 - Cálculo'!I137+'Hoja 4 - Cálculo'!K137,'Hoja 4 - Cálculo'!I137+'Hoja 4 - Cálculo'!J137+'Hoja 4 - Cálculo'!K137)))</f>
        <v>11.5</v>
      </c>
      <c r="I596" s="15">
        <f t="shared" si="131"/>
        <v>11.5</v>
      </c>
      <c r="J596" s="15">
        <f t="shared" si="137"/>
        <v>2</v>
      </c>
      <c r="K596" s="15">
        <f>MIN(J596+G596,(J596+G596)*'Hoja 4 - Cálculo'!$B$15)</f>
        <v>0.51047500000000001</v>
      </c>
      <c r="L596" s="15">
        <f t="shared" si="132"/>
        <v>25.013275</v>
      </c>
      <c r="M596" s="15">
        <f t="shared" si="133"/>
        <v>11.5</v>
      </c>
      <c r="N596" s="15">
        <f t="shared" si="134"/>
        <v>2</v>
      </c>
      <c r="O596" s="15">
        <f t="shared" si="135"/>
        <v>11.513275</v>
      </c>
      <c r="P596" s="15">
        <f t="shared" si="136"/>
        <v>0</v>
      </c>
      <c r="Q596" s="14" t="str">
        <f>IF(M596&gt;=I596*'Hoja 4 - Cálculo'!$B$16,"Satisfactorio","Falla")</f>
        <v>Satisfactorio</v>
      </c>
      <c r="R596" s="14">
        <f t="shared" si="138"/>
        <v>0</v>
      </c>
      <c r="S596" s="14">
        <f t="shared" si="139"/>
        <v>0</v>
      </c>
    </row>
    <row r="597" spans="1:19">
      <c r="A597" s="14" t="str">
        <f t="shared" si="130"/>
        <v>SRY-2-2</v>
      </c>
      <c r="B597" s="15">
        <f>'Curvas SRY'!$B$9</f>
        <v>2</v>
      </c>
      <c r="C597" s="15">
        <f>'Curvas SRY'!$E$9</f>
        <v>1</v>
      </c>
      <c r="D597" s="14" t="str">
        <f>'Curvas SRY'!$B$14</f>
        <v>Uso variable</v>
      </c>
      <c r="E597" s="14">
        <f>114</f>
        <v>114</v>
      </c>
      <c r="F597" s="21">
        <f>'Hoja 4 - Cálculo'!A138</f>
        <v>33025</v>
      </c>
      <c r="G597" s="15">
        <f>'Hoja 4 - Cálculo'!H138</f>
        <v>15.529500000000001</v>
      </c>
      <c r="H597" s="15">
        <f>IF(D597="Uso único",'Hoja 4 - Cálculo'!I138,IF(D597="Uso múltiple",AVERAGE('Hoja 4 - Cálculo'!$I$25:$I$384)+AVERAGE('Hoja 4 - Cálculo'!$J$25:$J$384)+AVERAGE('Hoja 4 - Cálculo'!$K$25:$K$384),IF(D597="Uso prioritario",'Hoja 4 - Cálculo'!I138+'Hoja 4 - Cálculo'!K138,'Hoja 4 - Cálculo'!I138+'Hoja 4 - Cálculo'!J138+'Hoja 4 - Cálculo'!K138)))</f>
        <v>11.5</v>
      </c>
      <c r="I597" s="15">
        <f t="shared" si="131"/>
        <v>11.5</v>
      </c>
      <c r="J597" s="15">
        <f t="shared" si="137"/>
        <v>2</v>
      </c>
      <c r="K597" s="15">
        <f>MIN(J597+G597,(J597+G597)*'Hoja 4 - Cálculo'!$B$15)</f>
        <v>0.35058999999999996</v>
      </c>
      <c r="L597" s="15">
        <f t="shared" si="132"/>
        <v>17.178909999999998</v>
      </c>
      <c r="M597" s="15">
        <f t="shared" si="133"/>
        <v>11.5</v>
      </c>
      <c r="N597" s="15">
        <f t="shared" si="134"/>
        <v>2</v>
      </c>
      <c r="O597" s="15">
        <f t="shared" si="135"/>
        <v>3.6789099999999983</v>
      </c>
      <c r="P597" s="15">
        <f t="shared" si="136"/>
        <v>0</v>
      </c>
      <c r="Q597" s="14" t="str">
        <f>IF(M597&gt;=I597*'Hoja 4 - Cálculo'!$B$16,"Satisfactorio","Falla")</f>
        <v>Satisfactorio</v>
      </c>
      <c r="R597" s="14">
        <f t="shared" si="138"/>
        <v>0</v>
      </c>
      <c r="S597" s="14">
        <f t="shared" si="139"/>
        <v>0</v>
      </c>
    </row>
    <row r="598" spans="1:19">
      <c r="A598" s="14" t="str">
        <f t="shared" si="130"/>
        <v>SRY-2-2</v>
      </c>
      <c r="B598" s="15">
        <f>'Curvas SRY'!$B$9</f>
        <v>2</v>
      </c>
      <c r="C598" s="15">
        <f>'Curvas SRY'!$E$9</f>
        <v>1</v>
      </c>
      <c r="D598" s="14" t="str">
        <f>'Curvas SRY'!$B$14</f>
        <v>Uso variable</v>
      </c>
      <c r="E598" s="14">
        <f>115</f>
        <v>115</v>
      </c>
      <c r="F598" s="21">
        <f>'Hoja 4 - Cálculo'!A139</f>
        <v>33055</v>
      </c>
      <c r="G598" s="15">
        <f>'Hoja 4 - Cálculo'!H139</f>
        <v>12.201750000000001</v>
      </c>
      <c r="H598" s="15">
        <f>IF(D598="Uso único",'Hoja 4 - Cálculo'!I139,IF(D598="Uso múltiple",AVERAGE('Hoja 4 - Cálculo'!$I$25:$I$384)+AVERAGE('Hoja 4 - Cálculo'!$J$25:$J$384)+AVERAGE('Hoja 4 - Cálculo'!$K$25:$K$384),IF(D598="Uso prioritario",'Hoja 4 - Cálculo'!I139+'Hoja 4 - Cálculo'!K139,'Hoja 4 - Cálculo'!I139+'Hoja 4 - Cálculo'!J139+'Hoja 4 - Cálculo'!K139)))</f>
        <v>16</v>
      </c>
      <c r="I598" s="15">
        <f t="shared" si="131"/>
        <v>16</v>
      </c>
      <c r="J598" s="15">
        <f t="shared" si="137"/>
        <v>2</v>
      </c>
      <c r="K598" s="15">
        <f>MIN(J598+G598,(J598+G598)*'Hoja 4 - Cálculo'!$B$15)</f>
        <v>0.28403500000000004</v>
      </c>
      <c r="L598" s="15">
        <f t="shared" si="132"/>
        <v>13.917715000000001</v>
      </c>
      <c r="M598" s="15">
        <f t="shared" si="133"/>
        <v>13.917715000000001</v>
      </c>
      <c r="N598" s="15">
        <f t="shared" si="134"/>
        <v>0</v>
      </c>
      <c r="O598" s="15">
        <f t="shared" si="135"/>
        <v>0</v>
      </c>
      <c r="P598" s="15">
        <f t="shared" si="136"/>
        <v>2.0822849999999988</v>
      </c>
      <c r="Q598" s="14" t="str">
        <f>IF(M598&gt;=I598*'Hoja 4 - Cálculo'!$B$16,"Satisfactorio","Falla")</f>
        <v>Falla</v>
      </c>
      <c r="R598" s="14">
        <f t="shared" si="138"/>
        <v>0</v>
      </c>
      <c r="S598" s="14">
        <f t="shared" si="139"/>
        <v>1</v>
      </c>
    </row>
    <row r="599" spans="1:19">
      <c r="A599" s="14" t="str">
        <f t="shared" si="130"/>
        <v>SRY-2-2</v>
      </c>
      <c r="B599" s="15">
        <f>'Curvas SRY'!$B$9</f>
        <v>2</v>
      </c>
      <c r="C599" s="15">
        <f>'Curvas SRY'!$E$9</f>
        <v>1</v>
      </c>
      <c r="D599" s="14" t="str">
        <f>'Curvas SRY'!$B$14</f>
        <v>Uso variable</v>
      </c>
      <c r="E599" s="14">
        <f>116</f>
        <v>116</v>
      </c>
      <c r="F599" s="21">
        <f>'Hoja 4 - Cálculo'!A140</f>
        <v>33086</v>
      </c>
      <c r="G599" s="15">
        <f>'Hoja 4 - Cálculo'!H140</f>
        <v>13.04325</v>
      </c>
      <c r="H599" s="15">
        <f>IF(D599="Uso único",'Hoja 4 - Cálculo'!I140,IF(D599="Uso múltiple",AVERAGE('Hoja 4 - Cálculo'!$I$25:$I$384)+AVERAGE('Hoja 4 - Cálculo'!$J$25:$J$384)+AVERAGE('Hoja 4 - Cálculo'!$K$25:$K$384),IF(D599="Uso prioritario",'Hoja 4 - Cálculo'!I140+'Hoja 4 - Cálculo'!K140,'Hoja 4 - Cálculo'!I140+'Hoja 4 - Cálculo'!J140+'Hoja 4 - Cálculo'!K140)))</f>
        <v>16</v>
      </c>
      <c r="I599" s="15">
        <f t="shared" si="131"/>
        <v>16</v>
      </c>
      <c r="J599" s="15">
        <f t="shared" si="137"/>
        <v>0</v>
      </c>
      <c r="K599" s="15">
        <f>MIN(J599+G599,(J599+G599)*'Hoja 4 - Cálculo'!$B$15)</f>
        <v>0.26086500000000001</v>
      </c>
      <c r="L599" s="15">
        <f t="shared" si="132"/>
        <v>12.782385</v>
      </c>
      <c r="M599" s="15">
        <f t="shared" si="133"/>
        <v>12.782385</v>
      </c>
      <c r="N599" s="15">
        <f t="shared" si="134"/>
        <v>0</v>
      </c>
      <c r="O599" s="15">
        <f t="shared" si="135"/>
        <v>0</v>
      </c>
      <c r="P599" s="15">
        <f t="shared" si="136"/>
        <v>3.2176150000000003</v>
      </c>
      <c r="Q599" s="14" t="str">
        <f>IF(M599&gt;=I599*'Hoja 4 - Cálculo'!$B$16,"Satisfactorio","Falla")</f>
        <v>Falla</v>
      </c>
      <c r="R599" s="14">
        <f t="shared" si="138"/>
        <v>0</v>
      </c>
      <c r="S599" s="14">
        <f t="shared" si="139"/>
        <v>0</v>
      </c>
    </row>
    <row r="600" spans="1:19">
      <c r="A600" s="14" t="str">
        <f t="shared" si="130"/>
        <v>SRY-2-2</v>
      </c>
      <c r="B600" s="15">
        <f>'Curvas SRY'!$B$9</f>
        <v>2</v>
      </c>
      <c r="C600" s="15">
        <f>'Curvas SRY'!$E$9</f>
        <v>1</v>
      </c>
      <c r="D600" s="14" t="str">
        <f>'Curvas SRY'!$B$14</f>
        <v>Uso variable</v>
      </c>
      <c r="E600" s="14">
        <f>117</f>
        <v>117</v>
      </c>
      <c r="F600" s="21">
        <f>'Hoja 4 - Cálculo'!A141</f>
        <v>33117</v>
      </c>
      <c r="G600" s="15">
        <f>'Hoja 4 - Cálculo'!H141</f>
        <v>21.974625</v>
      </c>
      <c r="H600" s="15">
        <f>IF(D600="Uso único",'Hoja 4 - Cálculo'!I141,IF(D600="Uso múltiple",AVERAGE('Hoja 4 - Cálculo'!$I$25:$I$384)+AVERAGE('Hoja 4 - Cálculo'!$J$25:$J$384)+AVERAGE('Hoja 4 - Cálculo'!$K$25:$K$384),IF(D600="Uso prioritario",'Hoja 4 - Cálculo'!I141+'Hoja 4 - Cálculo'!K141,'Hoja 4 - Cálculo'!I141+'Hoja 4 - Cálculo'!J141+'Hoja 4 - Cálculo'!K141)))</f>
        <v>11.5</v>
      </c>
      <c r="I600" s="15">
        <f t="shared" si="131"/>
        <v>11.5</v>
      </c>
      <c r="J600" s="15">
        <f t="shared" si="137"/>
        <v>0</v>
      </c>
      <c r="K600" s="15">
        <f>MIN(J600+G600,(J600+G600)*'Hoja 4 - Cálculo'!$B$15)</f>
        <v>0.43949250000000001</v>
      </c>
      <c r="L600" s="15">
        <f t="shared" si="132"/>
        <v>21.5351325</v>
      </c>
      <c r="M600" s="15">
        <f t="shared" si="133"/>
        <v>11.5</v>
      </c>
      <c r="N600" s="15">
        <f t="shared" si="134"/>
        <v>2</v>
      </c>
      <c r="O600" s="15">
        <f t="shared" si="135"/>
        <v>8.0351324999999996</v>
      </c>
      <c r="P600" s="15">
        <f t="shared" si="136"/>
        <v>0</v>
      </c>
      <c r="Q600" s="14" t="str">
        <f>IF(M600&gt;=I600*'Hoja 4 - Cálculo'!$B$16,"Satisfactorio","Falla")</f>
        <v>Satisfactorio</v>
      </c>
      <c r="R600" s="14">
        <f t="shared" si="138"/>
        <v>1</v>
      </c>
      <c r="S600" s="14">
        <f t="shared" si="139"/>
        <v>0</v>
      </c>
    </row>
    <row r="601" spans="1:19">
      <c r="A601" s="14" t="str">
        <f t="shared" si="130"/>
        <v>SRY-2-2</v>
      </c>
      <c r="B601" s="15">
        <f>'Curvas SRY'!$B$9</f>
        <v>2</v>
      </c>
      <c r="C601" s="15">
        <f>'Curvas SRY'!$E$9</f>
        <v>1</v>
      </c>
      <c r="D601" s="14" t="str">
        <f>'Curvas SRY'!$B$14</f>
        <v>Uso variable</v>
      </c>
      <c r="E601" s="14">
        <f>118</f>
        <v>118</v>
      </c>
      <c r="F601" s="21">
        <f>'Hoja 4 - Cálculo'!A142</f>
        <v>33147</v>
      </c>
      <c r="G601" s="15">
        <f>'Hoja 4 - Cálculo'!H142</f>
        <v>26.870625</v>
      </c>
      <c r="H601" s="15">
        <f>IF(D601="Uso único",'Hoja 4 - Cálculo'!I142,IF(D601="Uso múltiple",AVERAGE('Hoja 4 - Cálculo'!$I$25:$I$384)+AVERAGE('Hoja 4 - Cálculo'!$J$25:$J$384)+AVERAGE('Hoja 4 - Cálculo'!$K$25:$K$384),IF(D601="Uso prioritario",'Hoja 4 - Cálculo'!I142+'Hoja 4 - Cálculo'!K142,'Hoja 4 - Cálculo'!I142+'Hoja 4 - Cálculo'!J142+'Hoja 4 - Cálculo'!K142)))</f>
        <v>11.5</v>
      </c>
      <c r="I601" s="15">
        <f t="shared" si="131"/>
        <v>11.5</v>
      </c>
      <c r="J601" s="15">
        <f t="shared" si="137"/>
        <v>2</v>
      </c>
      <c r="K601" s="15">
        <f>MIN(J601+G601,(J601+G601)*'Hoja 4 - Cálculo'!$B$15)</f>
        <v>0.5774125</v>
      </c>
      <c r="L601" s="15">
        <f t="shared" si="132"/>
        <v>28.293212499999999</v>
      </c>
      <c r="M601" s="15">
        <f t="shared" si="133"/>
        <v>11.5</v>
      </c>
      <c r="N601" s="15">
        <f t="shared" si="134"/>
        <v>2</v>
      </c>
      <c r="O601" s="15">
        <f t="shared" si="135"/>
        <v>14.793212499999999</v>
      </c>
      <c r="P601" s="15">
        <f t="shared" si="136"/>
        <v>0</v>
      </c>
      <c r="Q601" s="14" t="str">
        <f>IF(M601&gt;=I601*'Hoja 4 - Cálculo'!$B$16,"Satisfactorio","Falla")</f>
        <v>Satisfactorio</v>
      </c>
      <c r="R601" s="14">
        <f t="shared" si="138"/>
        <v>0</v>
      </c>
      <c r="S601" s="14">
        <f t="shared" si="139"/>
        <v>0</v>
      </c>
    </row>
    <row r="602" spans="1:19">
      <c r="A602" s="14" t="str">
        <f t="shared" si="130"/>
        <v>SRY-2-2</v>
      </c>
      <c r="B602" s="15">
        <f>'Curvas SRY'!$B$9</f>
        <v>2</v>
      </c>
      <c r="C602" s="15">
        <f>'Curvas SRY'!$E$9</f>
        <v>1</v>
      </c>
      <c r="D602" s="14" t="str">
        <f>'Curvas SRY'!$B$14</f>
        <v>Uso variable</v>
      </c>
      <c r="E602" s="14">
        <f>119</f>
        <v>119</v>
      </c>
      <c r="F602" s="21">
        <f>'Hoja 4 - Cálculo'!A143</f>
        <v>33178</v>
      </c>
      <c r="G602" s="15">
        <f>'Hoja 4 - Cálculo'!H143</f>
        <v>24.881625</v>
      </c>
      <c r="H602" s="15">
        <f>IF(D602="Uso único",'Hoja 4 - Cálculo'!I143,IF(D602="Uso múltiple",AVERAGE('Hoja 4 - Cálculo'!$I$25:$I$384)+AVERAGE('Hoja 4 - Cálculo'!$J$25:$J$384)+AVERAGE('Hoja 4 - Cálculo'!$K$25:$K$384),IF(D602="Uso prioritario",'Hoja 4 - Cálculo'!I143+'Hoja 4 - Cálculo'!K143,'Hoja 4 - Cálculo'!I143+'Hoja 4 - Cálculo'!J143+'Hoja 4 - Cálculo'!K143)))</f>
        <v>11.5</v>
      </c>
      <c r="I602" s="15">
        <f t="shared" si="131"/>
        <v>11.5</v>
      </c>
      <c r="J602" s="15">
        <f t="shared" si="137"/>
        <v>2</v>
      </c>
      <c r="K602" s="15">
        <f>MIN(J602+G602,(J602+G602)*'Hoja 4 - Cálculo'!$B$15)</f>
        <v>0.53763249999999996</v>
      </c>
      <c r="L602" s="15">
        <f t="shared" si="132"/>
        <v>26.343992499999999</v>
      </c>
      <c r="M602" s="15">
        <f t="shared" si="133"/>
        <v>11.5</v>
      </c>
      <c r="N602" s="15">
        <f t="shared" si="134"/>
        <v>2</v>
      </c>
      <c r="O602" s="15">
        <f t="shared" si="135"/>
        <v>12.843992499999999</v>
      </c>
      <c r="P602" s="15">
        <f t="shared" si="136"/>
        <v>0</v>
      </c>
      <c r="Q602" s="14" t="str">
        <f>IF(M602&gt;=I602*'Hoja 4 - Cálculo'!$B$16,"Satisfactorio","Falla")</f>
        <v>Satisfactorio</v>
      </c>
      <c r="R602" s="14">
        <f t="shared" si="138"/>
        <v>0</v>
      </c>
      <c r="S602" s="14">
        <f t="shared" si="139"/>
        <v>0</v>
      </c>
    </row>
    <row r="603" spans="1:19">
      <c r="A603" s="14" t="str">
        <f t="shared" si="130"/>
        <v>SRY-2-2</v>
      </c>
      <c r="B603" s="15">
        <f>'Curvas SRY'!$B$9</f>
        <v>2</v>
      </c>
      <c r="C603" s="15">
        <f>'Curvas SRY'!$E$9</f>
        <v>1</v>
      </c>
      <c r="D603" s="14" t="str">
        <f>'Curvas SRY'!$B$14</f>
        <v>Uso variable</v>
      </c>
      <c r="E603" s="14">
        <f>120</f>
        <v>120</v>
      </c>
      <c r="F603" s="21">
        <f>'Hoja 4 - Cálculo'!A144</f>
        <v>33208</v>
      </c>
      <c r="G603" s="15">
        <f>'Hoja 4 - Cálculo'!H144</f>
        <v>13.73175</v>
      </c>
      <c r="H603" s="15">
        <f>IF(D603="Uso único",'Hoja 4 - Cálculo'!I144,IF(D603="Uso múltiple",AVERAGE('Hoja 4 - Cálculo'!$I$25:$I$384)+AVERAGE('Hoja 4 - Cálculo'!$J$25:$J$384)+AVERAGE('Hoja 4 - Cálculo'!$K$25:$K$384),IF(D603="Uso prioritario",'Hoja 4 - Cálculo'!I144+'Hoja 4 - Cálculo'!K144,'Hoja 4 - Cálculo'!I144+'Hoja 4 - Cálculo'!J144+'Hoja 4 - Cálculo'!K144)))</f>
        <v>16</v>
      </c>
      <c r="I603" s="15">
        <f t="shared" si="131"/>
        <v>16</v>
      </c>
      <c r="J603" s="15">
        <f t="shared" si="137"/>
        <v>2</v>
      </c>
      <c r="K603" s="15">
        <f>MIN(J603+G603,(J603+G603)*'Hoja 4 - Cálculo'!$B$15)</f>
        <v>0.314635</v>
      </c>
      <c r="L603" s="15">
        <f t="shared" si="132"/>
        <v>15.417114999999999</v>
      </c>
      <c r="M603" s="15">
        <f t="shared" si="133"/>
        <v>15.417114999999999</v>
      </c>
      <c r="N603" s="15">
        <f t="shared" si="134"/>
        <v>0</v>
      </c>
      <c r="O603" s="15">
        <f t="shared" si="135"/>
        <v>0</v>
      </c>
      <c r="P603" s="15">
        <f t="shared" si="136"/>
        <v>0.58288500000000099</v>
      </c>
      <c r="Q603" s="14" t="str">
        <f>IF(M603&gt;=I603*'Hoja 4 - Cálculo'!$B$16,"Satisfactorio","Falla")</f>
        <v>Falla</v>
      </c>
      <c r="R603" s="14">
        <f t="shared" si="138"/>
        <v>0</v>
      </c>
      <c r="S603" s="14">
        <f t="shared" si="139"/>
        <v>1</v>
      </c>
    </row>
    <row r="604" spans="1:19">
      <c r="A604" s="14" t="str">
        <f t="shared" ref="A604:A635" si="140">"SRY-2-3"</f>
        <v>SRY-2-3</v>
      </c>
      <c r="B604" s="15">
        <f>'Curvas SRY'!$B$9</f>
        <v>2</v>
      </c>
      <c r="C604" s="15">
        <f>'Curvas SRY'!$E$10</f>
        <v>1.25</v>
      </c>
      <c r="D604" s="14" t="str">
        <f>'Curvas SRY'!$B$14</f>
        <v>Uso variable</v>
      </c>
      <c r="E604" s="14">
        <f>1</f>
        <v>1</v>
      </c>
      <c r="F604" s="21">
        <f>'Hoja 4 - Cálculo'!A25</f>
        <v>29587</v>
      </c>
      <c r="G604" s="15">
        <f>'Hoja 4 - Cálculo'!H25</f>
        <v>12.852</v>
      </c>
      <c r="H604" s="15">
        <f>IF(D604="Uso único",'Hoja 4 - Cálculo'!I25,IF(D604="Uso múltiple",AVERAGE('Hoja 4 - Cálculo'!$I$25:$I$384)+AVERAGE('Hoja 4 - Cálculo'!$J$25:$J$384)+AVERAGE('Hoja 4 - Cálculo'!$K$25:$K$384),IF(D604="Uso prioritario",'Hoja 4 - Cálculo'!I25+'Hoja 4 - Cálculo'!K25,'Hoja 4 - Cálculo'!I25+'Hoja 4 - Cálculo'!J25+'Hoja 4 - Cálculo'!K25)))</f>
        <v>16</v>
      </c>
      <c r="I604" s="15">
        <f t="shared" si="131"/>
        <v>20</v>
      </c>
      <c r="J604" s="15">
        <f>0</f>
        <v>0</v>
      </c>
      <c r="K604" s="15">
        <f>MIN(J604+G604,(J604+G604)*'Hoja 4 - Cálculo'!$B$15)</f>
        <v>0.25703999999999999</v>
      </c>
      <c r="L604" s="15">
        <f t="shared" si="132"/>
        <v>12.59496</v>
      </c>
      <c r="M604" s="15">
        <f t="shared" si="133"/>
        <v>12.59496</v>
      </c>
      <c r="N604" s="15">
        <f t="shared" si="134"/>
        <v>0</v>
      </c>
      <c r="O604" s="15">
        <f t="shared" si="135"/>
        <v>0</v>
      </c>
      <c r="P604" s="15">
        <f t="shared" si="136"/>
        <v>7.4050399999999996</v>
      </c>
      <c r="Q604" s="14" t="str">
        <f>IF(M604&gt;=I604*'Hoja 4 - Cálculo'!$B$16,"Satisfactorio","Falla")</f>
        <v>Falla</v>
      </c>
      <c r="R604" s="14">
        <f>0</f>
        <v>0</v>
      </c>
      <c r="S604" s="14">
        <f>IF(Q604="Falla",1,0)</f>
        <v>1</v>
      </c>
    </row>
    <row r="605" spans="1:19">
      <c r="A605" s="14" t="str">
        <f t="shared" si="140"/>
        <v>SRY-2-3</v>
      </c>
      <c r="B605" s="15">
        <f>'Curvas SRY'!$B$9</f>
        <v>2</v>
      </c>
      <c r="C605" s="15">
        <f>'Curvas SRY'!$E$10</f>
        <v>1.25</v>
      </c>
      <c r="D605" s="14" t="str">
        <f>'Curvas SRY'!$B$14</f>
        <v>Uso variable</v>
      </c>
      <c r="E605" s="14">
        <f>2</f>
        <v>2</v>
      </c>
      <c r="F605" s="21">
        <f>'Hoja 4 - Cálculo'!A26</f>
        <v>29618</v>
      </c>
      <c r="G605" s="15">
        <f>'Hoja 4 - Cálculo'!H26</f>
        <v>14.630625</v>
      </c>
      <c r="H605" s="15">
        <f>IF(D605="Uso único",'Hoja 4 - Cálculo'!I26,IF(D605="Uso múltiple",AVERAGE('Hoja 4 - Cálculo'!$I$25:$I$384)+AVERAGE('Hoja 4 - Cálculo'!$J$25:$J$384)+AVERAGE('Hoja 4 - Cálculo'!$K$25:$K$384),IF(D605="Uso prioritario",'Hoja 4 - Cálculo'!I26+'Hoja 4 - Cálculo'!K26,'Hoja 4 - Cálculo'!I26+'Hoja 4 - Cálculo'!J26+'Hoja 4 - Cálculo'!K26)))</f>
        <v>16</v>
      </c>
      <c r="I605" s="15">
        <f t="shared" si="131"/>
        <v>20</v>
      </c>
      <c r="J605" s="15">
        <f t="shared" ref="J605:J636" si="141">N604</f>
        <v>0</v>
      </c>
      <c r="K605" s="15">
        <f>MIN(J605+G605,(J605+G605)*'Hoja 4 - Cálculo'!$B$15)</f>
        <v>0.2926125</v>
      </c>
      <c r="L605" s="15">
        <f t="shared" si="132"/>
        <v>14.3380125</v>
      </c>
      <c r="M605" s="15">
        <f t="shared" si="133"/>
        <v>14.3380125</v>
      </c>
      <c r="N605" s="15">
        <f t="shared" si="134"/>
        <v>0</v>
      </c>
      <c r="O605" s="15">
        <f t="shared" si="135"/>
        <v>0</v>
      </c>
      <c r="P605" s="15">
        <f t="shared" si="136"/>
        <v>5.6619875000000004</v>
      </c>
      <c r="Q605" s="14" t="str">
        <f>IF(M605&gt;=I605*'Hoja 4 - Cálculo'!$B$16,"Satisfactorio","Falla")</f>
        <v>Falla</v>
      </c>
      <c r="R605" s="14">
        <f t="shared" ref="R605:R636" si="142">IF(AND(Q604="Falla",Q605="Satisfactorio"),1,0)</f>
        <v>0</v>
      </c>
      <c r="S605" s="14">
        <f t="shared" ref="S605:S636" si="143">IF(AND(Q605="Falla",Q604&lt;&gt;"Falla"),1,0)</f>
        <v>0</v>
      </c>
    </row>
    <row r="606" spans="1:19">
      <c r="A606" s="14" t="str">
        <f t="shared" si="140"/>
        <v>SRY-2-3</v>
      </c>
      <c r="B606" s="15">
        <f>'Curvas SRY'!$B$9</f>
        <v>2</v>
      </c>
      <c r="C606" s="15">
        <f>'Curvas SRY'!$E$10</f>
        <v>1.25</v>
      </c>
      <c r="D606" s="14" t="str">
        <f>'Curvas SRY'!$B$14</f>
        <v>Uso variable</v>
      </c>
      <c r="E606" s="14">
        <f>3</f>
        <v>3</v>
      </c>
      <c r="F606" s="21">
        <f>'Hoja 4 - Cálculo'!A27</f>
        <v>29646</v>
      </c>
      <c r="G606" s="15">
        <f>'Hoja 4 - Cálculo'!H27</f>
        <v>21.114000000000001</v>
      </c>
      <c r="H606" s="15">
        <f>IF(D606="Uso único",'Hoja 4 - Cálculo'!I27,IF(D606="Uso múltiple",AVERAGE('Hoja 4 - Cálculo'!$I$25:$I$384)+AVERAGE('Hoja 4 - Cálculo'!$J$25:$J$384)+AVERAGE('Hoja 4 - Cálculo'!$K$25:$K$384),IF(D606="Uso prioritario",'Hoja 4 - Cálculo'!I27+'Hoja 4 - Cálculo'!K27,'Hoja 4 - Cálculo'!I27+'Hoja 4 - Cálculo'!J27+'Hoja 4 - Cálculo'!K27)))</f>
        <v>16</v>
      </c>
      <c r="I606" s="15">
        <f t="shared" si="131"/>
        <v>20</v>
      </c>
      <c r="J606" s="15">
        <f t="shared" si="141"/>
        <v>0</v>
      </c>
      <c r="K606" s="15">
        <f>MIN(J606+G606,(J606+G606)*'Hoja 4 - Cálculo'!$B$15)</f>
        <v>0.42228000000000004</v>
      </c>
      <c r="L606" s="15">
        <f t="shared" si="132"/>
        <v>20.69172</v>
      </c>
      <c r="M606" s="15">
        <f t="shared" si="133"/>
        <v>20</v>
      </c>
      <c r="N606" s="15">
        <f t="shared" si="134"/>
        <v>0.69172000000000011</v>
      </c>
      <c r="O606" s="15">
        <f t="shared" si="135"/>
        <v>0</v>
      </c>
      <c r="P606" s="15">
        <f t="shared" si="136"/>
        <v>0</v>
      </c>
      <c r="Q606" s="14" t="str">
        <f>IF(M606&gt;=I606*'Hoja 4 - Cálculo'!$B$16,"Satisfactorio","Falla")</f>
        <v>Satisfactorio</v>
      </c>
      <c r="R606" s="14">
        <f t="shared" si="142"/>
        <v>1</v>
      </c>
      <c r="S606" s="14">
        <f t="shared" si="143"/>
        <v>0</v>
      </c>
    </row>
    <row r="607" spans="1:19">
      <c r="A607" s="14" t="str">
        <f t="shared" si="140"/>
        <v>SRY-2-3</v>
      </c>
      <c r="B607" s="15">
        <f>'Curvas SRY'!$B$9</f>
        <v>2</v>
      </c>
      <c r="C607" s="15">
        <f>'Curvas SRY'!$E$10</f>
        <v>1.25</v>
      </c>
      <c r="D607" s="14" t="str">
        <f>'Curvas SRY'!$B$14</f>
        <v>Uso variable</v>
      </c>
      <c r="E607" s="14">
        <f>4</f>
        <v>4</v>
      </c>
      <c r="F607" s="21">
        <f>'Hoja 4 - Cálculo'!A28</f>
        <v>29677</v>
      </c>
      <c r="G607" s="15">
        <f>'Hoja 4 - Cálculo'!H28</f>
        <v>29.280374999999999</v>
      </c>
      <c r="H607" s="15">
        <f>IF(D607="Uso único",'Hoja 4 - Cálculo'!I28,IF(D607="Uso múltiple",AVERAGE('Hoja 4 - Cálculo'!$I$25:$I$384)+AVERAGE('Hoja 4 - Cálculo'!$J$25:$J$384)+AVERAGE('Hoja 4 - Cálculo'!$K$25:$K$384),IF(D607="Uso prioritario",'Hoja 4 - Cálculo'!I28+'Hoja 4 - Cálculo'!K28,'Hoja 4 - Cálculo'!I28+'Hoja 4 - Cálculo'!J28+'Hoja 4 - Cálculo'!K28)))</f>
        <v>11.5</v>
      </c>
      <c r="I607" s="15">
        <f t="shared" si="131"/>
        <v>14.375</v>
      </c>
      <c r="J607" s="15">
        <f t="shared" si="141"/>
        <v>0.69172000000000011</v>
      </c>
      <c r="K607" s="15">
        <f>MIN(J607+G607,(J607+G607)*'Hoja 4 - Cálculo'!$B$15)</f>
        <v>0.59944189999999997</v>
      </c>
      <c r="L607" s="15">
        <f t="shared" si="132"/>
        <v>29.372653100000001</v>
      </c>
      <c r="M607" s="15">
        <f t="shared" si="133"/>
        <v>14.375</v>
      </c>
      <c r="N607" s="15">
        <f t="shared" si="134"/>
        <v>2</v>
      </c>
      <c r="O607" s="15">
        <f t="shared" si="135"/>
        <v>12.997653100000001</v>
      </c>
      <c r="P607" s="15">
        <f t="shared" si="136"/>
        <v>0</v>
      </c>
      <c r="Q607" s="14" t="str">
        <f>IF(M607&gt;=I607*'Hoja 4 - Cálculo'!$B$16,"Satisfactorio","Falla")</f>
        <v>Satisfactorio</v>
      </c>
      <c r="R607" s="14">
        <f t="shared" si="142"/>
        <v>0</v>
      </c>
      <c r="S607" s="14">
        <f t="shared" si="143"/>
        <v>0</v>
      </c>
    </row>
    <row r="608" spans="1:19">
      <c r="A608" s="14" t="str">
        <f t="shared" si="140"/>
        <v>SRY-2-3</v>
      </c>
      <c r="B608" s="15">
        <f>'Curvas SRY'!$B$9</f>
        <v>2</v>
      </c>
      <c r="C608" s="15">
        <f>'Curvas SRY'!$E$10</f>
        <v>1.25</v>
      </c>
      <c r="D608" s="14" t="str">
        <f>'Curvas SRY'!$B$14</f>
        <v>Uso variable</v>
      </c>
      <c r="E608" s="14">
        <f>5</f>
        <v>5</v>
      </c>
      <c r="F608" s="21">
        <f>'Hoja 4 - Cálculo'!A29</f>
        <v>29707</v>
      </c>
      <c r="G608" s="15">
        <f>'Hoja 4 - Cálculo'!H29</f>
        <v>26.048249999999999</v>
      </c>
      <c r="H608" s="15">
        <f>IF(D608="Uso único",'Hoja 4 - Cálculo'!I29,IF(D608="Uso múltiple",AVERAGE('Hoja 4 - Cálculo'!$I$25:$I$384)+AVERAGE('Hoja 4 - Cálculo'!$J$25:$J$384)+AVERAGE('Hoja 4 - Cálculo'!$K$25:$K$384),IF(D608="Uso prioritario",'Hoja 4 - Cálculo'!I29+'Hoja 4 - Cálculo'!K29,'Hoja 4 - Cálculo'!I29+'Hoja 4 - Cálculo'!J29+'Hoja 4 - Cálculo'!K29)))</f>
        <v>11.5</v>
      </c>
      <c r="I608" s="15">
        <f t="shared" si="131"/>
        <v>14.375</v>
      </c>
      <c r="J608" s="15">
        <f t="shared" si="141"/>
        <v>2</v>
      </c>
      <c r="K608" s="15">
        <f>MIN(J608+G608,(J608+G608)*'Hoja 4 - Cálculo'!$B$15)</f>
        <v>0.56096500000000005</v>
      </c>
      <c r="L608" s="15">
        <f t="shared" si="132"/>
        <v>27.487285</v>
      </c>
      <c r="M608" s="15">
        <f t="shared" si="133"/>
        <v>14.375</v>
      </c>
      <c r="N608" s="15">
        <f t="shared" si="134"/>
        <v>2</v>
      </c>
      <c r="O608" s="15">
        <f t="shared" si="135"/>
        <v>11.112285</v>
      </c>
      <c r="P608" s="15">
        <f t="shared" si="136"/>
        <v>0</v>
      </c>
      <c r="Q608" s="14" t="str">
        <f>IF(M608&gt;=I608*'Hoja 4 - Cálculo'!$B$16,"Satisfactorio","Falla")</f>
        <v>Satisfactorio</v>
      </c>
      <c r="R608" s="14">
        <f t="shared" si="142"/>
        <v>0</v>
      </c>
      <c r="S608" s="14">
        <f t="shared" si="143"/>
        <v>0</v>
      </c>
    </row>
    <row r="609" spans="1:19">
      <c r="A609" s="14" t="str">
        <f t="shared" si="140"/>
        <v>SRY-2-3</v>
      </c>
      <c r="B609" s="15">
        <f>'Curvas SRY'!$B$9</f>
        <v>2</v>
      </c>
      <c r="C609" s="15">
        <f>'Curvas SRY'!$E$10</f>
        <v>1.25</v>
      </c>
      <c r="D609" s="14" t="str">
        <f>'Curvas SRY'!$B$14</f>
        <v>Uso variable</v>
      </c>
      <c r="E609" s="14">
        <f>6</f>
        <v>6</v>
      </c>
      <c r="F609" s="21">
        <f>'Hoja 4 - Cálculo'!A30</f>
        <v>29738</v>
      </c>
      <c r="G609" s="15">
        <f>'Hoja 4 - Cálculo'!H30</f>
        <v>15.625125000000001</v>
      </c>
      <c r="H609" s="15">
        <f>IF(D609="Uso único",'Hoja 4 - Cálculo'!I30,IF(D609="Uso múltiple",AVERAGE('Hoja 4 - Cálculo'!$I$25:$I$384)+AVERAGE('Hoja 4 - Cálculo'!$J$25:$J$384)+AVERAGE('Hoja 4 - Cálculo'!$K$25:$K$384),IF(D609="Uso prioritario",'Hoja 4 - Cálculo'!I30+'Hoja 4 - Cálculo'!K30,'Hoja 4 - Cálculo'!I30+'Hoja 4 - Cálculo'!J30+'Hoja 4 - Cálculo'!K30)))</f>
        <v>11.5</v>
      </c>
      <c r="I609" s="15">
        <f t="shared" si="131"/>
        <v>14.375</v>
      </c>
      <c r="J609" s="15">
        <f t="shared" si="141"/>
        <v>2</v>
      </c>
      <c r="K609" s="15">
        <f>MIN(J609+G609,(J609+G609)*'Hoja 4 - Cálculo'!$B$15)</f>
        <v>0.3525025</v>
      </c>
      <c r="L609" s="15">
        <f t="shared" si="132"/>
        <v>17.272622500000001</v>
      </c>
      <c r="M609" s="15">
        <f t="shared" si="133"/>
        <v>14.375</v>
      </c>
      <c r="N609" s="15">
        <f t="shared" si="134"/>
        <v>2</v>
      </c>
      <c r="O609" s="15">
        <f t="shared" si="135"/>
        <v>0.89762250000000066</v>
      </c>
      <c r="P609" s="15">
        <f t="shared" si="136"/>
        <v>0</v>
      </c>
      <c r="Q609" s="14" t="str">
        <f>IF(M609&gt;=I609*'Hoja 4 - Cálculo'!$B$16,"Satisfactorio","Falla")</f>
        <v>Satisfactorio</v>
      </c>
      <c r="R609" s="14">
        <f t="shared" si="142"/>
        <v>0</v>
      </c>
      <c r="S609" s="14">
        <f t="shared" si="143"/>
        <v>0</v>
      </c>
    </row>
    <row r="610" spans="1:19">
      <c r="A610" s="14" t="str">
        <f t="shared" si="140"/>
        <v>SRY-2-3</v>
      </c>
      <c r="B610" s="15">
        <f>'Curvas SRY'!$B$9</f>
        <v>2</v>
      </c>
      <c r="C610" s="15">
        <f>'Curvas SRY'!$E$10</f>
        <v>1.25</v>
      </c>
      <c r="D610" s="14" t="str">
        <f>'Curvas SRY'!$B$14</f>
        <v>Uso variable</v>
      </c>
      <c r="E610" s="14">
        <f>7</f>
        <v>7</v>
      </c>
      <c r="F610" s="21">
        <f>'Hoja 4 - Cálculo'!A31</f>
        <v>29768</v>
      </c>
      <c r="G610" s="15">
        <f>'Hoja 4 - Cálculo'!H31</f>
        <v>12.794625</v>
      </c>
      <c r="H610" s="15">
        <f>IF(D610="Uso único",'Hoja 4 - Cálculo'!I31,IF(D610="Uso múltiple",AVERAGE('Hoja 4 - Cálculo'!$I$25:$I$384)+AVERAGE('Hoja 4 - Cálculo'!$J$25:$J$384)+AVERAGE('Hoja 4 - Cálculo'!$K$25:$K$384),IF(D610="Uso prioritario",'Hoja 4 - Cálculo'!I31+'Hoja 4 - Cálculo'!K31,'Hoja 4 - Cálculo'!I31+'Hoja 4 - Cálculo'!J31+'Hoja 4 - Cálculo'!K31)))</f>
        <v>16</v>
      </c>
      <c r="I610" s="15">
        <f t="shared" si="131"/>
        <v>20</v>
      </c>
      <c r="J610" s="15">
        <f t="shared" si="141"/>
        <v>2</v>
      </c>
      <c r="K610" s="15">
        <f>MIN(J610+G610,(J610+G610)*'Hoja 4 - Cálculo'!$B$15)</f>
        <v>0.2958925</v>
      </c>
      <c r="L610" s="15">
        <f t="shared" si="132"/>
        <v>14.498732499999999</v>
      </c>
      <c r="M610" s="15">
        <f t="shared" si="133"/>
        <v>14.498732499999999</v>
      </c>
      <c r="N610" s="15">
        <f t="shared" si="134"/>
        <v>0</v>
      </c>
      <c r="O610" s="15">
        <f t="shared" si="135"/>
        <v>0</v>
      </c>
      <c r="P610" s="15">
        <f t="shared" si="136"/>
        <v>5.5012675000000009</v>
      </c>
      <c r="Q610" s="14" t="str">
        <f>IF(M610&gt;=I610*'Hoja 4 - Cálculo'!$B$16,"Satisfactorio","Falla")</f>
        <v>Falla</v>
      </c>
      <c r="R610" s="14">
        <f t="shared" si="142"/>
        <v>0</v>
      </c>
      <c r="S610" s="14">
        <f t="shared" si="143"/>
        <v>1</v>
      </c>
    </row>
    <row r="611" spans="1:19">
      <c r="A611" s="14" t="str">
        <f t="shared" si="140"/>
        <v>SRY-2-3</v>
      </c>
      <c r="B611" s="15">
        <f>'Curvas SRY'!$B$9</f>
        <v>2</v>
      </c>
      <c r="C611" s="15">
        <f>'Curvas SRY'!$E$10</f>
        <v>1.25</v>
      </c>
      <c r="D611" s="14" t="str">
        <f>'Curvas SRY'!$B$14</f>
        <v>Uso variable</v>
      </c>
      <c r="E611" s="14">
        <f>8</f>
        <v>8</v>
      </c>
      <c r="F611" s="21">
        <f>'Hoja 4 - Cálculo'!A32</f>
        <v>29799</v>
      </c>
      <c r="G611" s="15">
        <f>'Hoja 4 - Cálculo'!H32</f>
        <v>13.712624999999999</v>
      </c>
      <c r="H611" s="15">
        <f>IF(D611="Uso único",'Hoja 4 - Cálculo'!I32,IF(D611="Uso múltiple",AVERAGE('Hoja 4 - Cálculo'!$I$25:$I$384)+AVERAGE('Hoja 4 - Cálculo'!$J$25:$J$384)+AVERAGE('Hoja 4 - Cálculo'!$K$25:$K$384),IF(D611="Uso prioritario",'Hoja 4 - Cálculo'!I32+'Hoja 4 - Cálculo'!K32,'Hoja 4 - Cálculo'!I32+'Hoja 4 - Cálculo'!J32+'Hoja 4 - Cálculo'!K32)))</f>
        <v>16</v>
      </c>
      <c r="I611" s="15">
        <f t="shared" si="131"/>
        <v>20</v>
      </c>
      <c r="J611" s="15">
        <f t="shared" si="141"/>
        <v>0</v>
      </c>
      <c r="K611" s="15">
        <f>MIN(J611+G611,(J611+G611)*'Hoja 4 - Cálculo'!$B$15)</f>
        <v>0.27425250000000001</v>
      </c>
      <c r="L611" s="15">
        <f t="shared" si="132"/>
        <v>13.4383725</v>
      </c>
      <c r="M611" s="15">
        <f t="shared" si="133"/>
        <v>13.4383725</v>
      </c>
      <c r="N611" s="15">
        <f t="shared" si="134"/>
        <v>0</v>
      </c>
      <c r="O611" s="15">
        <f t="shared" si="135"/>
        <v>0</v>
      </c>
      <c r="P611" s="15">
        <f t="shared" si="136"/>
        <v>6.5616275000000002</v>
      </c>
      <c r="Q611" s="14" t="str">
        <f>IF(M611&gt;=I611*'Hoja 4 - Cálculo'!$B$16,"Satisfactorio","Falla")</f>
        <v>Falla</v>
      </c>
      <c r="R611" s="14">
        <f t="shared" si="142"/>
        <v>0</v>
      </c>
      <c r="S611" s="14">
        <f t="shared" si="143"/>
        <v>0</v>
      </c>
    </row>
    <row r="612" spans="1:19">
      <c r="A612" s="14" t="str">
        <f t="shared" si="140"/>
        <v>SRY-2-3</v>
      </c>
      <c r="B612" s="15">
        <f>'Curvas SRY'!$B$9</f>
        <v>2</v>
      </c>
      <c r="C612" s="15">
        <f>'Curvas SRY'!$E$10</f>
        <v>1.25</v>
      </c>
      <c r="D612" s="14" t="str">
        <f>'Curvas SRY'!$B$14</f>
        <v>Uso variable</v>
      </c>
      <c r="E612" s="14">
        <f>9</f>
        <v>9</v>
      </c>
      <c r="F612" s="21">
        <f>'Hoja 4 - Cálculo'!A33</f>
        <v>29830</v>
      </c>
      <c r="G612" s="15">
        <f>'Hoja 4 - Cálculo'!H33</f>
        <v>22.070250000000001</v>
      </c>
      <c r="H612" s="15">
        <f>IF(D612="Uso único",'Hoja 4 - Cálculo'!I33,IF(D612="Uso múltiple",AVERAGE('Hoja 4 - Cálculo'!$I$25:$I$384)+AVERAGE('Hoja 4 - Cálculo'!$J$25:$J$384)+AVERAGE('Hoja 4 - Cálculo'!$K$25:$K$384),IF(D612="Uso prioritario",'Hoja 4 - Cálculo'!I33+'Hoja 4 - Cálculo'!K33,'Hoja 4 - Cálculo'!I33+'Hoja 4 - Cálculo'!J33+'Hoja 4 - Cálculo'!K33)))</f>
        <v>11.5</v>
      </c>
      <c r="I612" s="15">
        <f t="shared" si="131"/>
        <v>14.375</v>
      </c>
      <c r="J612" s="15">
        <f t="shared" si="141"/>
        <v>0</v>
      </c>
      <c r="K612" s="15">
        <f>MIN(J612+G612,(J612+G612)*'Hoja 4 - Cálculo'!$B$15)</f>
        <v>0.44140500000000005</v>
      </c>
      <c r="L612" s="15">
        <f t="shared" si="132"/>
        <v>21.628845000000002</v>
      </c>
      <c r="M612" s="15">
        <f t="shared" si="133"/>
        <v>14.375</v>
      </c>
      <c r="N612" s="15">
        <f t="shared" si="134"/>
        <v>2</v>
      </c>
      <c r="O612" s="15">
        <f t="shared" si="135"/>
        <v>5.2538450000000019</v>
      </c>
      <c r="P612" s="15">
        <f t="shared" si="136"/>
        <v>0</v>
      </c>
      <c r="Q612" s="14" t="str">
        <f>IF(M612&gt;=I612*'Hoja 4 - Cálculo'!$B$16,"Satisfactorio","Falla")</f>
        <v>Satisfactorio</v>
      </c>
      <c r="R612" s="14">
        <f t="shared" si="142"/>
        <v>1</v>
      </c>
      <c r="S612" s="14">
        <f t="shared" si="143"/>
        <v>0</v>
      </c>
    </row>
    <row r="613" spans="1:19">
      <c r="A613" s="14" t="str">
        <f t="shared" si="140"/>
        <v>SRY-2-3</v>
      </c>
      <c r="B613" s="15">
        <f>'Curvas SRY'!$B$9</f>
        <v>2</v>
      </c>
      <c r="C613" s="15">
        <f>'Curvas SRY'!$E$10</f>
        <v>1.25</v>
      </c>
      <c r="D613" s="14" t="str">
        <f>'Curvas SRY'!$B$14</f>
        <v>Uso variable</v>
      </c>
      <c r="E613" s="14">
        <f>10</f>
        <v>10</v>
      </c>
      <c r="F613" s="21">
        <f>'Hoja 4 - Cálculo'!A34</f>
        <v>29860</v>
      </c>
      <c r="G613" s="15">
        <f>'Hoja 4 - Cálculo'!H34</f>
        <v>29.777625</v>
      </c>
      <c r="H613" s="15">
        <f>IF(D613="Uso único",'Hoja 4 - Cálculo'!I34,IF(D613="Uso múltiple",AVERAGE('Hoja 4 - Cálculo'!$I$25:$I$384)+AVERAGE('Hoja 4 - Cálculo'!$J$25:$J$384)+AVERAGE('Hoja 4 - Cálculo'!$K$25:$K$384),IF(D613="Uso prioritario",'Hoja 4 - Cálculo'!I34+'Hoja 4 - Cálculo'!K34,'Hoja 4 - Cálculo'!I34+'Hoja 4 - Cálculo'!J34+'Hoja 4 - Cálculo'!K34)))</f>
        <v>11.5</v>
      </c>
      <c r="I613" s="15">
        <f t="shared" si="131"/>
        <v>14.375</v>
      </c>
      <c r="J613" s="15">
        <f t="shared" si="141"/>
        <v>2</v>
      </c>
      <c r="K613" s="15">
        <f>MIN(J613+G613,(J613+G613)*'Hoja 4 - Cálculo'!$B$15)</f>
        <v>0.63555250000000008</v>
      </c>
      <c r="L613" s="15">
        <f t="shared" si="132"/>
        <v>31.142072500000001</v>
      </c>
      <c r="M613" s="15">
        <f t="shared" si="133"/>
        <v>14.375</v>
      </c>
      <c r="N613" s="15">
        <f t="shared" si="134"/>
        <v>2</v>
      </c>
      <c r="O613" s="15">
        <f t="shared" si="135"/>
        <v>14.767072500000001</v>
      </c>
      <c r="P613" s="15">
        <f t="shared" si="136"/>
        <v>0</v>
      </c>
      <c r="Q613" s="14" t="str">
        <f>IF(M613&gt;=I613*'Hoja 4 - Cálculo'!$B$16,"Satisfactorio","Falla")</f>
        <v>Satisfactorio</v>
      </c>
      <c r="R613" s="14">
        <f t="shared" si="142"/>
        <v>0</v>
      </c>
      <c r="S613" s="14">
        <f t="shared" si="143"/>
        <v>0</v>
      </c>
    </row>
    <row r="614" spans="1:19">
      <c r="A614" s="14" t="str">
        <f t="shared" si="140"/>
        <v>SRY-2-3</v>
      </c>
      <c r="B614" s="15">
        <f>'Curvas SRY'!$B$9</f>
        <v>2</v>
      </c>
      <c r="C614" s="15">
        <f>'Curvas SRY'!$E$10</f>
        <v>1.25</v>
      </c>
      <c r="D614" s="14" t="str">
        <f>'Curvas SRY'!$B$14</f>
        <v>Uso variable</v>
      </c>
      <c r="E614" s="14">
        <f>11</f>
        <v>11</v>
      </c>
      <c r="F614" s="21">
        <f>'Hoja 4 - Cálculo'!A35</f>
        <v>29891</v>
      </c>
      <c r="G614" s="15">
        <f>'Hoja 4 - Cálculo'!H35</f>
        <v>25.51275</v>
      </c>
      <c r="H614" s="15">
        <f>IF(D614="Uso único",'Hoja 4 - Cálculo'!I35,IF(D614="Uso múltiple",AVERAGE('Hoja 4 - Cálculo'!$I$25:$I$384)+AVERAGE('Hoja 4 - Cálculo'!$J$25:$J$384)+AVERAGE('Hoja 4 - Cálculo'!$K$25:$K$384),IF(D614="Uso prioritario",'Hoja 4 - Cálculo'!I35+'Hoja 4 - Cálculo'!K35,'Hoja 4 - Cálculo'!I35+'Hoja 4 - Cálculo'!J35+'Hoja 4 - Cálculo'!K35)))</f>
        <v>11.5</v>
      </c>
      <c r="I614" s="15">
        <f t="shared" si="131"/>
        <v>14.375</v>
      </c>
      <c r="J614" s="15">
        <f t="shared" si="141"/>
        <v>2</v>
      </c>
      <c r="K614" s="15">
        <f>MIN(J614+G614,(J614+G614)*'Hoja 4 - Cálculo'!$B$15)</f>
        <v>0.55025500000000005</v>
      </c>
      <c r="L614" s="15">
        <f t="shared" si="132"/>
        <v>26.962495000000001</v>
      </c>
      <c r="M614" s="15">
        <f t="shared" si="133"/>
        <v>14.375</v>
      </c>
      <c r="N614" s="15">
        <f t="shared" si="134"/>
        <v>2</v>
      </c>
      <c r="O614" s="15">
        <f t="shared" si="135"/>
        <v>10.587495000000001</v>
      </c>
      <c r="P614" s="15">
        <f t="shared" si="136"/>
        <v>0</v>
      </c>
      <c r="Q614" s="14" t="str">
        <f>IF(M614&gt;=I614*'Hoja 4 - Cálculo'!$B$16,"Satisfactorio","Falla")</f>
        <v>Satisfactorio</v>
      </c>
      <c r="R614" s="14">
        <f t="shared" si="142"/>
        <v>0</v>
      </c>
      <c r="S614" s="14">
        <f t="shared" si="143"/>
        <v>0</v>
      </c>
    </row>
    <row r="615" spans="1:19">
      <c r="A615" s="14" t="str">
        <f t="shared" si="140"/>
        <v>SRY-2-3</v>
      </c>
      <c r="B615" s="15">
        <f>'Curvas SRY'!$B$9</f>
        <v>2</v>
      </c>
      <c r="C615" s="15">
        <f>'Curvas SRY'!$E$10</f>
        <v>1.25</v>
      </c>
      <c r="D615" s="14" t="str">
        <f>'Curvas SRY'!$B$14</f>
        <v>Uso variable</v>
      </c>
      <c r="E615" s="14">
        <f>12</f>
        <v>12</v>
      </c>
      <c r="F615" s="21">
        <f>'Hoja 4 - Cálculo'!A36</f>
        <v>29921</v>
      </c>
      <c r="G615" s="15">
        <f>'Hoja 4 - Cálculo'!H36</f>
        <v>15.3765</v>
      </c>
      <c r="H615" s="15">
        <f>IF(D615="Uso único",'Hoja 4 - Cálculo'!I36,IF(D615="Uso múltiple",AVERAGE('Hoja 4 - Cálculo'!$I$25:$I$384)+AVERAGE('Hoja 4 - Cálculo'!$J$25:$J$384)+AVERAGE('Hoja 4 - Cálculo'!$K$25:$K$384),IF(D615="Uso prioritario",'Hoja 4 - Cálculo'!I36+'Hoja 4 - Cálculo'!K36,'Hoja 4 - Cálculo'!I36+'Hoja 4 - Cálculo'!J36+'Hoja 4 - Cálculo'!K36)))</f>
        <v>16</v>
      </c>
      <c r="I615" s="15">
        <f t="shared" si="131"/>
        <v>20</v>
      </c>
      <c r="J615" s="15">
        <f t="shared" si="141"/>
        <v>2</v>
      </c>
      <c r="K615" s="15">
        <f>MIN(J615+G615,(J615+G615)*'Hoja 4 - Cálculo'!$B$15)</f>
        <v>0.34753000000000001</v>
      </c>
      <c r="L615" s="15">
        <f t="shared" si="132"/>
        <v>17.028970000000001</v>
      </c>
      <c r="M615" s="15">
        <f t="shared" si="133"/>
        <v>17.028970000000001</v>
      </c>
      <c r="N615" s="15">
        <f t="shared" si="134"/>
        <v>0</v>
      </c>
      <c r="O615" s="15">
        <f t="shared" si="135"/>
        <v>0</v>
      </c>
      <c r="P615" s="15">
        <f t="shared" si="136"/>
        <v>2.9710299999999989</v>
      </c>
      <c r="Q615" s="14" t="str">
        <f>IF(M615&gt;=I615*'Hoja 4 - Cálculo'!$B$16,"Satisfactorio","Falla")</f>
        <v>Falla</v>
      </c>
      <c r="R615" s="14">
        <f t="shared" si="142"/>
        <v>0</v>
      </c>
      <c r="S615" s="14">
        <f t="shared" si="143"/>
        <v>1</v>
      </c>
    </row>
    <row r="616" spans="1:19">
      <c r="A616" s="14" t="str">
        <f t="shared" si="140"/>
        <v>SRY-2-3</v>
      </c>
      <c r="B616" s="15">
        <f>'Curvas SRY'!$B$9</f>
        <v>2</v>
      </c>
      <c r="C616" s="15">
        <f>'Curvas SRY'!$E$10</f>
        <v>1.25</v>
      </c>
      <c r="D616" s="14" t="str">
        <f>'Curvas SRY'!$B$14</f>
        <v>Uso variable</v>
      </c>
      <c r="E616" s="14">
        <f>13</f>
        <v>13</v>
      </c>
      <c r="F616" s="21">
        <f>'Hoja 4 - Cálculo'!A37</f>
        <v>29952</v>
      </c>
      <c r="G616" s="15">
        <f>'Hoja 4 - Cálculo'!H37</f>
        <v>13.808249999999999</v>
      </c>
      <c r="H616" s="15">
        <f>IF(D616="Uso único",'Hoja 4 - Cálculo'!I37,IF(D616="Uso múltiple",AVERAGE('Hoja 4 - Cálculo'!$I$25:$I$384)+AVERAGE('Hoja 4 - Cálculo'!$J$25:$J$384)+AVERAGE('Hoja 4 - Cálculo'!$K$25:$K$384),IF(D616="Uso prioritario",'Hoja 4 - Cálculo'!I37+'Hoja 4 - Cálculo'!K37,'Hoja 4 - Cálculo'!I37+'Hoja 4 - Cálculo'!J37+'Hoja 4 - Cálculo'!K37)))</f>
        <v>16</v>
      </c>
      <c r="I616" s="15">
        <f t="shared" si="131"/>
        <v>20</v>
      </c>
      <c r="J616" s="15">
        <f t="shared" si="141"/>
        <v>0</v>
      </c>
      <c r="K616" s="15">
        <f>MIN(J616+G616,(J616+G616)*'Hoja 4 - Cálculo'!$B$15)</f>
        <v>0.27616499999999999</v>
      </c>
      <c r="L616" s="15">
        <f t="shared" si="132"/>
        <v>13.532084999999999</v>
      </c>
      <c r="M616" s="15">
        <f t="shared" si="133"/>
        <v>13.532084999999999</v>
      </c>
      <c r="N616" s="15">
        <f t="shared" si="134"/>
        <v>0</v>
      </c>
      <c r="O616" s="15">
        <f t="shared" si="135"/>
        <v>0</v>
      </c>
      <c r="P616" s="15">
        <f t="shared" si="136"/>
        <v>6.4679150000000014</v>
      </c>
      <c r="Q616" s="14" t="str">
        <f>IF(M616&gt;=I616*'Hoja 4 - Cálculo'!$B$16,"Satisfactorio","Falla")</f>
        <v>Falla</v>
      </c>
      <c r="R616" s="14">
        <f t="shared" si="142"/>
        <v>0</v>
      </c>
      <c r="S616" s="14">
        <f t="shared" si="143"/>
        <v>0</v>
      </c>
    </row>
    <row r="617" spans="1:19">
      <c r="A617" s="14" t="str">
        <f t="shared" si="140"/>
        <v>SRY-2-3</v>
      </c>
      <c r="B617" s="15">
        <f>'Curvas SRY'!$B$9</f>
        <v>2</v>
      </c>
      <c r="C617" s="15">
        <f>'Curvas SRY'!$E$10</f>
        <v>1.25</v>
      </c>
      <c r="D617" s="14" t="str">
        <f>'Curvas SRY'!$B$14</f>
        <v>Uso variable</v>
      </c>
      <c r="E617" s="14">
        <f>14</f>
        <v>14</v>
      </c>
      <c r="F617" s="21">
        <f>'Hoja 4 - Cálculo'!A38</f>
        <v>29983</v>
      </c>
      <c r="G617" s="15">
        <f>'Hoja 4 - Cálculo'!H38</f>
        <v>15.472125</v>
      </c>
      <c r="H617" s="15">
        <f>IF(D617="Uso único",'Hoja 4 - Cálculo'!I38,IF(D617="Uso múltiple",AVERAGE('Hoja 4 - Cálculo'!$I$25:$I$384)+AVERAGE('Hoja 4 - Cálculo'!$J$25:$J$384)+AVERAGE('Hoja 4 - Cálculo'!$K$25:$K$384),IF(D617="Uso prioritario",'Hoja 4 - Cálculo'!I38+'Hoja 4 - Cálculo'!K38,'Hoja 4 - Cálculo'!I38+'Hoja 4 - Cálculo'!J38+'Hoja 4 - Cálculo'!K38)))</f>
        <v>16</v>
      </c>
      <c r="I617" s="15">
        <f t="shared" si="131"/>
        <v>20</v>
      </c>
      <c r="J617" s="15">
        <f t="shared" si="141"/>
        <v>0</v>
      </c>
      <c r="K617" s="15">
        <f>MIN(J617+G617,(J617+G617)*'Hoja 4 - Cálculo'!$B$15)</f>
        <v>0.30944250000000001</v>
      </c>
      <c r="L617" s="15">
        <f t="shared" si="132"/>
        <v>15.162682500000001</v>
      </c>
      <c r="M617" s="15">
        <f t="shared" si="133"/>
        <v>15.162682500000001</v>
      </c>
      <c r="N617" s="15">
        <f t="shared" si="134"/>
        <v>0</v>
      </c>
      <c r="O617" s="15">
        <f t="shared" si="135"/>
        <v>0</v>
      </c>
      <c r="P617" s="15">
        <f t="shared" si="136"/>
        <v>4.8373174999999993</v>
      </c>
      <c r="Q617" s="14" t="str">
        <f>IF(M617&gt;=I617*'Hoja 4 - Cálculo'!$B$16,"Satisfactorio","Falla")</f>
        <v>Falla</v>
      </c>
      <c r="R617" s="14">
        <f t="shared" si="142"/>
        <v>0</v>
      </c>
      <c r="S617" s="14">
        <f t="shared" si="143"/>
        <v>0</v>
      </c>
    </row>
    <row r="618" spans="1:19">
      <c r="A618" s="14" t="str">
        <f t="shared" si="140"/>
        <v>SRY-2-3</v>
      </c>
      <c r="B618" s="15">
        <f>'Curvas SRY'!$B$9</f>
        <v>2</v>
      </c>
      <c r="C618" s="15">
        <f>'Curvas SRY'!$E$10</f>
        <v>1.25</v>
      </c>
      <c r="D618" s="14" t="str">
        <f>'Curvas SRY'!$B$14</f>
        <v>Uso variable</v>
      </c>
      <c r="E618" s="14">
        <f>15</f>
        <v>15</v>
      </c>
      <c r="F618" s="21">
        <f>'Hoja 4 - Cálculo'!A39</f>
        <v>30011</v>
      </c>
      <c r="G618" s="15">
        <f>'Hoja 4 - Cálculo'!H39</f>
        <v>22.338000000000001</v>
      </c>
      <c r="H618" s="15">
        <f>IF(D618="Uso único",'Hoja 4 - Cálculo'!I39,IF(D618="Uso múltiple",AVERAGE('Hoja 4 - Cálculo'!$I$25:$I$384)+AVERAGE('Hoja 4 - Cálculo'!$J$25:$J$384)+AVERAGE('Hoja 4 - Cálculo'!$K$25:$K$384),IF(D618="Uso prioritario",'Hoja 4 - Cálculo'!I39+'Hoja 4 - Cálculo'!K39,'Hoja 4 - Cálculo'!I39+'Hoja 4 - Cálculo'!J39+'Hoja 4 - Cálculo'!K39)))</f>
        <v>16</v>
      </c>
      <c r="I618" s="15">
        <f t="shared" si="131"/>
        <v>20</v>
      </c>
      <c r="J618" s="15">
        <f t="shared" si="141"/>
        <v>0</v>
      </c>
      <c r="K618" s="15">
        <f>MIN(J618+G618,(J618+G618)*'Hoja 4 - Cálculo'!$B$15)</f>
        <v>0.44676000000000005</v>
      </c>
      <c r="L618" s="15">
        <f t="shared" si="132"/>
        <v>21.89124</v>
      </c>
      <c r="M618" s="15">
        <f t="shared" si="133"/>
        <v>20</v>
      </c>
      <c r="N618" s="15">
        <f t="shared" si="134"/>
        <v>1.8912399999999998</v>
      </c>
      <c r="O618" s="15">
        <f t="shared" si="135"/>
        <v>0</v>
      </c>
      <c r="P618" s="15">
        <f t="shared" si="136"/>
        <v>0</v>
      </c>
      <c r="Q618" s="14" t="str">
        <f>IF(M618&gt;=I618*'Hoja 4 - Cálculo'!$B$16,"Satisfactorio","Falla")</f>
        <v>Satisfactorio</v>
      </c>
      <c r="R618" s="14">
        <f t="shared" si="142"/>
        <v>1</v>
      </c>
      <c r="S618" s="14">
        <f t="shared" si="143"/>
        <v>0</v>
      </c>
    </row>
    <row r="619" spans="1:19">
      <c r="A619" s="14" t="str">
        <f t="shared" si="140"/>
        <v>SRY-2-3</v>
      </c>
      <c r="B619" s="15">
        <f>'Curvas SRY'!$B$9</f>
        <v>2</v>
      </c>
      <c r="C619" s="15">
        <f>'Curvas SRY'!$E$10</f>
        <v>1.25</v>
      </c>
      <c r="D619" s="14" t="str">
        <f>'Curvas SRY'!$B$14</f>
        <v>Uso variable</v>
      </c>
      <c r="E619" s="14">
        <f>16</f>
        <v>16</v>
      </c>
      <c r="F619" s="21">
        <f>'Hoja 4 - Cálculo'!A40</f>
        <v>30042</v>
      </c>
      <c r="G619" s="15">
        <f>'Hoja 4 - Cálculo'!H40</f>
        <v>31.670999999999999</v>
      </c>
      <c r="H619" s="15">
        <f>IF(D619="Uso único",'Hoja 4 - Cálculo'!I40,IF(D619="Uso múltiple",AVERAGE('Hoja 4 - Cálculo'!$I$25:$I$384)+AVERAGE('Hoja 4 - Cálculo'!$J$25:$J$384)+AVERAGE('Hoja 4 - Cálculo'!$K$25:$K$384),IF(D619="Uso prioritario",'Hoja 4 - Cálculo'!I40+'Hoja 4 - Cálculo'!K40,'Hoja 4 - Cálculo'!I40+'Hoja 4 - Cálculo'!J40+'Hoja 4 - Cálculo'!K40)))</f>
        <v>11.5</v>
      </c>
      <c r="I619" s="15">
        <f t="shared" si="131"/>
        <v>14.375</v>
      </c>
      <c r="J619" s="15">
        <f t="shared" si="141"/>
        <v>1.8912399999999998</v>
      </c>
      <c r="K619" s="15">
        <f>MIN(J619+G619,(J619+G619)*'Hoja 4 - Cálculo'!$B$15)</f>
        <v>0.67124480000000009</v>
      </c>
      <c r="L619" s="15">
        <f t="shared" si="132"/>
        <v>32.890995200000006</v>
      </c>
      <c r="M619" s="15">
        <f t="shared" si="133"/>
        <v>14.375</v>
      </c>
      <c r="N619" s="15">
        <f t="shared" si="134"/>
        <v>2</v>
      </c>
      <c r="O619" s="15">
        <f t="shared" si="135"/>
        <v>16.515995200000006</v>
      </c>
      <c r="P619" s="15">
        <f t="shared" si="136"/>
        <v>0</v>
      </c>
      <c r="Q619" s="14" t="str">
        <f>IF(M619&gt;=I619*'Hoja 4 - Cálculo'!$B$16,"Satisfactorio","Falla")</f>
        <v>Satisfactorio</v>
      </c>
      <c r="R619" s="14">
        <f t="shared" si="142"/>
        <v>0</v>
      </c>
      <c r="S619" s="14">
        <f t="shared" si="143"/>
        <v>0</v>
      </c>
    </row>
    <row r="620" spans="1:19">
      <c r="A620" s="14" t="str">
        <f t="shared" si="140"/>
        <v>SRY-2-3</v>
      </c>
      <c r="B620" s="15">
        <f>'Curvas SRY'!$B$9</f>
        <v>2</v>
      </c>
      <c r="C620" s="15">
        <f>'Curvas SRY'!$E$10</f>
        <v>1.25</v>
      </c>
      <c r="D620" s="14" t="str">
        <f>'Curvas SRY'!$B$14</f>
        <v>Uso variable</v>
      </c>
      <c r="E620" s="14">
        <f>17</f>
        <v>17</v>
      </c>
      <c r="F620" s="21">
        <f>'Hoja 4 - Cálculo'!A41</f>
        <v>30072</v>
      </c>
      <c r="G620" s="15">
        <f>'Hoja 4 - Cálculo'!H41</f>
        <v>29.299499999999998</v>
      </c>
      <c r="H620" s="15">
        <f>IF(D620="Uso único",'Hoja 4 - Cálculo'!I41,IF(D620="Uso múltiple",AVERAGE('Hoja 4 - Cálculo'!$I$25:$I$384)+AVERAGE('Hoja 4 - Cálculo'!$J$25:$J$384)+AVERAGE('Hoja 4 - Cálculo'!$K$25:$K$384),IF(D620="Uso prioritario",'Hoja 4 - Cálculo'!I41+'Hoja 4 - Cálculo'!K41,'Hoja 4 - Cálculo'!I41+'Hoja 4 - Cálculo'!J41+'Hoja 4 - Cálculo'!K41)))</f>
        <v>11.5</v>
      </c>
      <c r="I620" s="15">
        <f t="shared" si="131"/>
        <v>14.375</v>
      </c>
      <c r="J620" s="15">
        <f t="shared" si="141"/>
        <v>2</v>
      </c>
      <c r="K620" s="15">
        <f>MIN(J620+G620,(J620+G620)*'Hoja 4 - Cálculo'!$B$15)</f>
        <v>0.62598999999999994</v>
      </c>
      <c r="L620" s="15">
        <f t="shared" si="132"/>
        <v>30.673509999999997</v>
      </c>
      <c r="M620" s="15">
        <f t="shared" si="133"/>
        <v>14.375</v>
      </c>
      <c r="N620" s="15">
        <f t="shared" si="134"/>
        <v>2</v>
      </c>
      <c r="O620" s="15">
        <f t="shared" si="135"/>
        <v>14.298509999999997</v>
      </c>
      <c r="P620" s="15">
        <f t="shared" si="136"/>
        <v>0</v>
      </c>
      <c r="Q620" s="14" t="str">
        <f>IF(M620&gt;=I620*'Hoja 4 - Cálculo'!$B$16,"Satisfactorio","Falla")</f>
        <v>Satisfactorio</v>
      </c>
      <c r="R620" s="14">
        <f t="shared" si="142"/>
        <v>0</v>
      </c>
      <c r="S620" s="14">
        <f t="shared" si="143"/>
        <v>0</v>
      </c>
    </row>
    <row r="621" spans="1:19">
      <c r="A621" s="14" t="str">
        <f t="shared" si="140"/>
        <v>SRY-2-3</v>
      </c>
      <c r="B621" s="15">
        <f>'Curvas SRY'!$B$9</f>
        <v>2</v>
      </c>
      <c r="C621" s="15">
        <f>'Curvas SRY'!$E$10</f>
        <v>1.25</v>
      </c>
      <c r="D621" s="14" t="str">
        <f>'Curvas SRY'!$B$14</f>
        <v>Uso variable</v>
      </c>
      <c r="E621" s="14">
        <f>18</f>
        <v>18</v>
      </c>
      <c r="F621" s="21">
        <f>'Hoja 4 - Cálculo'!A42</f>
        <v>30103</v>
      </c>
      <c r="G621" s="15">
        <f>'Hoja 4 - Cálculo'!H42</f>
        <v>18.321750000000002</v>
      </c>
      <c r="H621" s="15">
        <f>IF(D621="Uso único",'Hoja 4 - Cálculo'!I42,IF(D621="Uso múltiple",AVERAGE('Hoja 4 - Cálculo'!$I$25:$I$384)+AVERAGE('Hoja 4 - Cálculo'!$J$25:$J$384)+AVERAGE('Hoja 4 - Cálculo'!$K$25:$K$384),IF(D621="Uso prioritario",'Hoja 4 - Cálculo'!I42+'Hoja 4 - Cálculo'!K42,'Hoja 4 - Cálculo'!I42+'Hoja 4 - Cálculo'!J42+'Hoja 4 - Cálculo'!K42)))</f>
        <v>11.5</v>
      </c>
      <c r="I621" s="15">
        <f t="shared" si="131"/>
        <v>14.375</v>
      </c>
      <c r="J621" s="15">
        <f t="shared" si="141"/>
        <v>2</v>
      </c>
      <c r="K621" s="15">
        <f>MIN(J621+G621,(J621+G621)*'Hoja 4 - Cálculo'!$B$15)</f>
        <v>0.40643500000000005</v>
      </c>
      <c r="L621" s="15">
        <f t="shared" si="132"/>
        <v>19.915315000000003</v>
      </c>
      <c r="M621" s="15">
        <f t="shared" si="133"/>
        <v>14.375</v>
      </c>
      <c r="N621" s="15">
        <f t="shared" si="134"/>
        <v>2</v>
      </c>
      <c r="O621" s="15">
        <f t="shared" si="135"/>
        <v>3.5403150000000032</v>
      </c>
      <c r="P621" s="15">
        <f t="shared" si="136"/>
        <v>0</v>
      </c>
      <c r="Q621" s="14" t="str">
        <f>IF(M621&gt;=I621*'Hoja 4 - Cálculo'!$B$16,"Satisfactorio","Falla")</f>
        <v>Satisfactorio</v>
      </c>
      <c r="R621" s="14">
        <f t="shared" si="142"/>
        <v>0</v>
      </c>
      <c r="S621" s="14">
        <f t="shared" si="143"/>
        <v>0</v>
      </c>
    </row>
    <row r="622" spans="1:19">
      <c r="A622" s="14" t="str">
        <f t="shared" si="140"/>
        <v>SRY-2-3</v>
      </c>
      <c r="B622" s="15">
        <f>'Curvas SRY'!$B$9</f>
        <v>2</v>
      </c>
      <c r="C622" s="15">
        <f>'Curvas SRY'!$E$10</f>
        <v>1.25</v>
      </c>
      <c r="D622" s="14" t="str">
        <f>'Curvas SRY'!$B$14</f>
        <v>Uso variable</v>
      </c>
      <c r="E622" s="14">
        <f>19</f>
        <v>19</v>
      </c>
      <c r="F622" s="21">
        <f>'Hoja 4 - Cálculo'!A43</f>
        <v>30133</v>
      </c>
      <c r="G622" s="15">
        <f>'Hoja 4 - Cálculo'!H43</f>
        <v>15.3765</v>
      </c>
      <c r="H622" s="15">
        <f>IF(D622="Uso único",'Hoja 4 - Cálculo'!I43,IF(D622="Uso múltiple",AVERAGE('Hoja 4 - Cálculo'!$I$25:$I$384)+AVERAGE('Hoja 4 - Cálculo'!$J$25:$J$384)+AVERAGE('Hoja 4 - Cálculo'!$K$25:$K$384),IF(D622="Uso prioritario",'Hoja 4 - Cálculo'!I43+'Hoja 4 - Cálculo'!K43,'Hoja 4 - Cálculo'!I43+'Hoja 4 - Cálculo'!J43+'Hoja 4 - Cálculo'!K43)))</f>
        <v>16</v>
      </c>
      <c r="I622" s="15">
        <f t="shared" si="131"/>
        <v>20</v>
      </c>
      <c r="J622" s="15">
        <f t="shared" si="141"/>
        <v>2</v>
      </c>
      <c r="K622" s="15">
        <f>MIN(J622+G622,(J622+G622)*'Hoja 4 - Cálculo'!$B$15)</f>
        <v>0.34753000000000001</v>
      </c>
      <c r="L622" s="15">
        <f t="shared" si="132"/>
        <v>17.028970000000001</v>
      </c>
      <c r="M622" s="15">
        <f t="shared" si="133"/>
        <v>17.028970000000001</v>
      </c>
      <c r="N622" s="15">
        <f t="shared" si="134"/>
        <v>0</v>
      </c>
      <c r="O622" s="15">
        <f t="shared" si="135"/>
        <v>0</v>
      </c>
      <c r="P622" s="15">
        <f t="shared" si="136"/>
        <v>2.9710299999999989</v>
      </c>
      <c r="Q622" s="14" t="str">
        <f>IF(M622&gt;=I622*'Hoja 4 - Cálculo'!$B$16,"Satisfactorio","Falla")</f>
        <v>Falla</v>
      </c>
      <c r="R622" s="14">
        <f t="shared" si="142"/>
        <v>0</v>
      </c>
      <c r="S622" s="14">
        <f t="shared" si="143"/>
        <v>1</v>
      </c>
    </row>
    <row r="623" spans="1:19">
      <c r="A623" s="14" t="str">
        <f t="shared" si="140"/>
        <v>SRY-2-3</v>
      </c>
      <c r="B623" s="15">
        <f>'Curvas SRY'!$B$9</f>
        <v>2</v>
      </c>
      <c r="C623" s="15">
        <f>'Curvas SRY'!$E$10</f>
        <v>1.25</v>
      </c>
      <c r="D623" s="14" t="str">
        <f>'Curvas SRY'!$B$14</f>
        <v>Uso variable</v>
      </c>
      <c r="E623" s="14">
        <f>20</f>
        <v>20</v>
      </c>
      <c r="F623" s="21">
        <f>'Hoja 4 - Cálculo'!A44</f>
        <v>30164</v>
      </c>
      <c r="G623" s="15">
        <f>'Hoja 4 - Cálculo'!H44</f>
        <v>16.466625000000001</v>
      </c>
      <c r="H623" s="15">
        <f>IF(D623="Uso único",'Hoja 4 - Cálculo'!I44,IF(D623="Uso múltiple",AVERAGE('Hoja 4 - Cálculo'!$I$25:$I$384)+AVERAGE('Hoja 4 - Cálculo'!$J$25:$J$384)+AVERAGE('Hoja 4 - Cálculo'!$K$25:$K$384),IF(D623="Uso prioritario",'Hoja 4 - Cálculo'!I44+'Hoja 4 - Cálculo'!K44,'Hoja 4 - Cálculo'!I44+'Hoja 4 - Cálculo'!J44+'Hoja 4 - Cálculo'!K44)))</f>
        <v>16</v>
      </c>
      <c r="I623" s="15">
        <f t="shared" si="131"/>
        <v>20</v>
      </c>
      <c r="J623" s="15">
        <f t="shared" si="141"/>
        <v>0</v>
      </c>
      <c r="K623" s="15">
        <f>MIN(J623+G623,(J623+G623)*'Hoja 4 - Cálculo'!$B$15)</f>
        <v>0.32933250000000003</v>
      </c>
      <c r="L623" s="15">
        <f t="shared" si="132"/>
        <v>16.137292500000001</v>
      </c>
      <c r="M623" s="15">
        <f t="shared" si="133"/>
        <v>16.137292500000001</v>
      </c>
      <c r="N623" s="15">
        <f t="shared" si="134"/>
        <v>0</v>
      </c>
      <c r="O623" s="15">
        <f t="shared" si="135"/>
        <v>0</v>
      </c>
      <c r="P623" s="15">
        <f t="shared" si="136"/>
        <v>3.8627074999999991</v>
      </c>
      <c r="Q623" s="14" t="str">
        <f>IF(M623&gt;=I623*'Hoja 4 - Cálculo'!$B$16,"Satisfactorio","Falla")</f>
        <v>Falla</v>
      </c>
      <c r="R623" s="14">
        <f t="shared" si="142"/>
        <v>0</v>
      </c>
      <c r="S623" s="14">
        <f t="shared" si="143"/>
        <v>0</v>
      </c>
    </row>
    <row r="624" spans="1:19">
      <c r="A624" s="14" t="str">
        <f t="shared" si="140"/>
        <v>SRY-2-3</v>
      </c>
      <c r="B624" s="15">
        <f>'Curvas SRY'!$B$9</f>
        <v>2</v>
      </c>
      <c r="C624" s="15">
        <f>'Curvas SRY'!$E$10</f>
        <v>1.25</v>
      </c>
      <c r="D624" s="14" t="str">
        <f>'Curvas SRY'!$B$14</f>
        <v>Uso variable</v>
      </c>
      <c r="E624" s="14">
        <f>21</f>
        <v>21</v>
      </c>
      <c r="F624" s="21">
        <f>'Hoja 4 - Cálculo'!A45</f>
        <v>30195</v>
      </c>
      <c r="G624" s="15">
        <f>'Hoja 4 - Cálculo'!H45</f>
        <v>25.837875</v>
      </c>
      <c r="H624" s="15">
        <f>IF(D624="Uso único",'Hoja 4 - Cálculo'!I45,IF(D624="Uso múltiple",AVERAGE('Hoja 4 - Cálculo'!$I$25:$I$384)+AVERAGE('Hoja 4 - Cálculo'!$J$25:$J$384)+AVERAGE('Hoja 4 - Cálculo'!$K$25:$K$384),IF(D624="Uso prioritario",'Hoja 4 - Cálculo'!I45+'Hoja 4 - Cálculo'!K45,'Hoja 4 - Cálculo'!I45+'Hoja 4 - Cálculo'!J45+'Hoja 4 - Cálculo'!K45)))</f>
        <v>11.5</v>
      </c>
      <c r="I624" s="15">
        <f t="shared" si="131"/>
        <v>14.375</v>
      </c>
      <c r="J624" s="15">
        <f t="shared" si="141"/>
        <v>0</v>
      </c>
      <c r="K624" s="15">
        <f>MIN(J624+G624,(J624+G624)*'Hoja 4 - Cálculo'!$B$15)</f>
        <v>0.51675749999999998</v>
      </c>
      <c r="L624" s="15">
        <f t="shared" si="132"/>
        <v>25.3211175</v>
      </c>
      <c r="M624" s="15">
        <f t="shared" si="133"/>
        <v>14.375</v>
      </c>
      <c r="N624" s="15">
        <f t="shared" si="134"/>
        <v>2</v>
      </c>
      <c r="O624" s="15">
        <f t="shared" si="135"/>
        <v>8.9461174999999997</v>
      </c>
      <c r="P624" s="15">
        <f t="shared" si="136"/>
        <v>0</v>
      </c>
      <c r="Q624" s="14" t="str">
        <f>IF(M624&gt;=I624*'Hoja 4 - Cálculo'!$B$16,"Satisfactorio","Falla")</f>
        <v>Satisfactorio</v>
      </c>
      <c r="R624" s="14">
        <f t="shared" si="142"/>
        <v>1</v>
      </c>
      <c r="S624" s="14">
        <f t="shared" si="143"/>
        <v>0</v>
      </c>
    </row>
    <row r="625" spans="1:19">
      <c r="A625" s="14" t="str">
        <f t="shared" si="140"/>
        <v>SRY-2-3</v>
      </c>
      <c r="B625" s="15">
        <f>'Curvas SRY'!$B$9</f>
        <v>2</v>
      </c>
      <c r="C625" s="15">
        <f>'Curvas SRY'!$E$10</f>
        <v>1.25</v>
      </c>
      <c r="D625" s="14" t="str">
        <f>'Curvas SRY'!$B$14</f>
        <v>Uso variable</v>
      </c>
      <c r="E625" s="14">
        <f>22</f>
        <v>22</v>
      </c>
      <c r="F625" s="21">
        <f>'Hoja 4 - Cálculo'!A46</f>
        <v>30225</v>
      </c>
      <c r="G625" s="15">
        <f>'Hoja 4 - Cálculo'!H46</f>
        <v>33.46875</v>
      </c>
      <c r="H625" s="15">
        <f>IF(D625="Uso único",'Hoja 4 - Cálculo'!I46,IF(D625="Uso múltiple",AVERAGE('Hoja 4 - Cálculo'!$I$25:$I$384)+AVERAGE('Hoja 4 - Cálculo'!$J$25:$J$384)+AVERAGE('Hoja 4 - Cálculo'!$K$25:$K$384),IF(D625="Uso prioritario",'Hoja 4 - Cálculo'!I46+'Hoja 4 - Cálculo'!K46,'Hoja 4 - Cálculo'!I46+'Hoja 4 - Cálculo'!J46+'Hoja 4 - Cálculo'!K46)))</f>
        <v>11.5</v>
      </c>
      <c r="I625" s="15">
        <f t="shared" si="131"/>
        <v>14.375</v>
      </c>
      <c r="J625" s="15">
        <f t="shared" si="141"/>
        <v>2</v>
      </c>
      <c r="K625" s="15">
        <f>MIN(J625+G625,(J625+G625)*'Hoja 4 - Cálculo'!$B$15)</f>
        <v>0.70937499999999998</v>
      </c>
      <c r="L625" s="15">
        <f t="shared" si="132"/>
        <v>34.759374999999999</v>
      </c>
      <c r="M625" s="15">
        <f t="shared" si="133"/>
        <v>14.375</v>
      </c>
      <c r="N625" s="15">
        <f t="shared" si="134"/>
        <v>2</v>
      </c>
      <c r="O625" s="15">
        <f t="shared" si="135"/>
        <v>18.384374999999999</v>
      </c>
      <c r="P625" s="15">
        <f t="shared" si="136"/>
        <v>0</v>
      </c>
      <c r="Q625" s="14" t="str">
        <f>IF(M625&gt;=I625*'Hoja 4 - Cálculo'!$B$16,"Satisfactorio","Falla")</f>
        <v>Satisfactorio</v>
      </c>
      <c r="R625" s="14">
        <f t="shared" si="142"/>
        <v>0</v>
      </c>
      <c r="S625" s="14">
        <f t="shared" si="143"/>
        <v>0</v>
      </c>
    </row>
    <row r="626" spans="1:19">
      <c r="A626" s="14" t="str">
        <f t="shared" si="140"/>
        <v>SRY-2-3</v>
      </c>
      <c r="B626" s="15">
        <f>'Curvas SRY'!$B$9</f>
        <v>2</v>
      </c>
      <c r="C626" s="15">
        <f>'Curvas SRY'!$E$10</f>
        <v>1.25</v>
      </c>
      <c r="D626" s="14" t="str">
        <f>'Curvas SRY'!$B$14</f>
        <v>Uso variable</v>
      </c>
      <c r="E626" s="14">
        <f>23</f>
        <v>23</v>
      </c>
      <c r="F626" s="21">
        <f>'Hoja 4 - Cálculo'!A47</f>
        <v>30256</v>
      </c>
      <c r="G626" s="15">
        <f>'Hoja 4 - Cálculo'!H47</f>
        <v>27.578250000000001</v>
      </c>
      <c r="H626" s="15">
        <f>IF(D626="Uso único",'Hoja 4 - Cálculo'!I47,IF(D626="Uso múltiple",AVERAGE('Hoja 4 - Cálculo'!$I$25:$I$384)+AVERAGE('Hoja 4 - Cálculo'!$J$25:$J$384)+AVERAGE('Hoja 4 - Cálculo'!$K$25:$K$384),IF(D626="Uso prioritario",'Hoja 4 - Cálculo'!I47+'Hoja 4 - Cálculo'!K47,'Hoja 4 - Cálculo'!I47+'Hoja 4 - Cálculo'!J47+'Hoja 4 - Cálculo'!K47)))</f>
        <v>11.5</v>
      </c>
      <c r="I626" s="15">
        <f t="shared" si="131"/>
        <v>14.375</v>
      </c>
      <c r="J626" s="15">
        <f t="shared" si="141"/>
        <v>2</v>
      </c>
      <c r="K626" s="15">
        <f>MIN(J626+G626,(J626+G626)*'Hoja 4 - Cálculo'!$B$15)</f>
        <v>0.59156500000000001</v>
      </c>
      <c r="L626" s="15">
        <f t="shared" si="132"/>
        <v>28.986685000000001</v>
      </c>
      <c r="M626" s="15">
        <f t="shared" si="133"/>
        <v>14.375</v>
      </c>
      <c r="N626" s="15">
        <f t="shared" si="134"/>
        <v>2</v>
      </c>
      <c r="O626" s="15">
        <f t="shared" si="135"/>
        <v>12.611685000000001</v>
      </c>
      <c r="P626" s="15">
        <f t="shared" si="136"/>
        <v>0</v>
      </c>
      <c r="Q626" s="14" t="str">
        <f>IF(M626&gt;=I626*'Hoja 4 - Cálculo'!$B$16,"Satisfactorio","Falla")</f>
        <v>Satisfactorio</v>
      </c>
      <c r="R626" s="14">
        <f t="shared" si="142"/>
        <v>0</v>
      </c>
      <c r="S626" s="14">
        <f t="shared" si="143"/>
        <v>0</v>
      </c>
    </row>
    <row r="627" spans="1:19">
      <c r="A627" s="14" t="str">
        <f t="shared" si="140"/>
        <v>SRY-2-3</v>
      </c>
      <c r="B627" s="15">
        <f>'Curvas SRY'!$B$9</f>
        <v>2</v>
      </c>
      <c r="C627" s="15">
        <f>'Curvas SRY'!$E$10</f>
        <v>1.25</v>
      </c>
      <c r="D627" s="14" t="str">
        <f>'Curvas SRY'!$B$14</f>
        <v>Uso variable</v>
      </c>
      <c r="E627" s="14">
        <f>24</f>
        <v>24</v>
      </c>
      <c r="F627" s="21">
        <f>'Hoja 4 - Cálculo'!A48</f>
        <v>30286</v>
      </c>
      <c r="G627" s="15">
        <f>'Hoja 4 - Cálculo'!H48</f>
        <v>16.256250000000001</v>
      </c>
      <c r="H627" s="15">
        <f>IF(D627="Uso único",'Hoja 4 - Cálculo'!I48,IF(D627="Uso múltiple",AVERAGE('Hoja 4 - Cálculo'!$I$25:$I$384)+AVERAGE('Hoja 4 - Cálculo'!$J$25:$J$384)+AVERAGE('Hoja 4 - Cálculo'!$K$25:$K$384),IF(D627="Uso prioritario",'Hoja 4 - Cálculo'!I48+'Hoja 4 - Cálculo'!K48,'Hoja 4 - Cálculo'!I48+'Hoja 4 - Cálculo'!J48+'Hoja 4 - Cálculo'!K48)))</f>
        <v>16</v>
      </c>
      <c r="I627" s="15">
        <f t="shared" si="131"/>
        <v>20</v>
      </c>
      <c r="J627" s="15">
        <f t="shared" si="141"/>
        <v>2</v>
      </c>
      <c r="K627" s="15">
        <f>MIN(J627+G627,(J627+G627)*'Hoja 4 - Cálculo'!$B$15)</f>
        <v>0.36512500000000003</v>
      </c>
      <c r="L627" s="15">
        <f t="shared" si="132"/>
        <v>17.891125000000002</v>
      </c>
      <c r="M627" s="15">
        <f t="shared" si="133"/>
        <v>17.891125000000002</v>
      </c>
      <c r="N627" s="15">
        <f t="shared" si="134"/>
        <v>0</v>
      </c>
      <c r="O627" s="15">
        <f t="shared" si="135"/>
        <v>0</v>
      </c>
      <c r="P627" s="15">
        <f t="shared" si="136"/>
        <v>2.1088749999999976</v>
      </c>
      <c r="Q627" s="14" t="str">
        <f>IF(M627&gt;=I627*'Hoja 4 - Cálculo'!$B$16,"Satisfactorio","Falla")</f>
        <v>Falla</v>
      </c>
      <c r="R627" s="14">
        <f t="shared" si="142"/>
        <v>0</v>
      </c>
      <c r="S627" s="14">
        <f t="shared" si="143"/>
        <v>1</v>
      </c>
    </row>
    <row r="628" spans="1:19">
      <c r="A628" s="14" t="str">
        <f t="shared" si="140"/>
        <v>SRY-2-3</v>
      </c>
      <c r="B628" s="15">
        <f>'Curvas SRY'!$B$9</f>
        <v>2</v>
      </c>
      <c r="C628" s="15">
        <f>'Curvas SRY'!$E$10</f>
        <v>1.25</v>
      </c>
      <c r="D628" s="14" t="str">
        <f>'Curvas SRY'!$B$14</f>
        <v>Uso variable</v>
      </c>
      <c r="E628" s="14">
        <f>25</f>
        <v>25</v>
      </c>
      <c r="F628" s="21">
        <f>'Hoja 4 - Cálculo'!A49</f>
        <v>30317</v>
      </c>
      <c r="G628" s="15">
        <f>'Hoja 4 - Cálculo'!H49</f>
        <v>12.775499999999999</v>
      </c>
      <c r="H628" s="15">
        <f>IF(D628="Uso único",'Hoja 4 - Cálculo'!I49,IF(D628="Uso múltiple",AVERAGE('Hoja 4 - Cálculo'!$I$25:$I$384)+AVERAGE('Hoja 4 - Cálculo'!$J$25:$J$384)+AVERAGE('Hoja 4 - Cálculo'!$K$25:$K$384),IF(D628="Uso prioritario",'Hoja 4 - Cálculo'!I49+'Hoja 4 - Cálculo'!K49,'Hoja 4 - Cálculo'!I49+'Hoja 4 - Cálculo'!J49+'Hoja 4 - Cálculo'!K49)))</f>
        <v>16</v>
      </c>
      <c r="I628" s="15">
        <f t="shared" si="131"/>
        <v>20</v>
      </c>
      <c r="J628" s="15">
        <f t="shared" si="141"/>
        <v>0</v>
      </c>
      <c r="K628" s="15">
        <f>MIN(J628+G628,(J628+G628)*'Hoja 4 - Cálculo'!$B$15)</f>
        <v>0.25551000000000001</v>
      </c>
      <c r="L628" s="15">
        <f t="shared" si="132"/>
        <v>12.51999</v>
      </c>
      <c r="M628" s="15">
        <f t="shared" si="133"/>
        <v>12.51999</v>
      </c>
      <c r="N628" s="15">
        <f t="shared" si="134"/>
        <v>0</v>
      </c>
      <c r="O628" s="15">
        <f t="shared" si="135"/>
        <v>0</v>
      </c>
      <c r="P628" s="15">
        <f t="shared" si="136"/>
        <v>7.48001</v>
      </c>
      <c r="Q628" s="14" t="str">
        <f>IF(M628&gt;=I628*'Hoja 4 - Cálculo'!$B$16,"Satisfactorio","Falla")</f>
        <v>Falla</v>
      </c>
      <c r="R628" s="14">
        <f t="shared" si="142"/>
        <v>0</v>
      </c>
      <c r="S628" s="14">
        <f t="shared" si="143"/>
        <v>0</v>
      </c>
    </row>
    <row r="629" spans="1:19">
      <c r="A629" s="14" t="str">
        <f t="shared" si="140"/>
        <v>SRY-2-3</v>
      </c>
      <c r="B629" s="15">
        <f>'Curvas SRY'!$B$9</f>
        <v>2</v>
      </c>
      <c r="C629" s="15">
        <f>'Curvas SRY'!$E$10</f>
        <v>1.25</v>
      </c>
      <c r="D629" s="14" t="str">
        <f>'Curvas SRY'!$B$14</f>
        <v>Uso variable</v>
      </c>
      <c r="E629" s="14">
        <f>26</f>
        <v>26</v>
      </c>
      <c r="F629" s="21">
        <f>'Hoja 4 - Cálculo'!A50</f>
        <v>30348</v>
      </c>
      <c r="G629" s="15">
        <f>'Hoja 4 - Cálculo'!H50</f>
        <v>14.49675</v>
      </c>
      <c r="H629" s="15">
        <f>IF(D629="Uso único",'Hoja 4 - Cálculo'!I50,IF(D629="Uso múltiple",AVERAGE('Hoja 4 - Cálculo'!$I$25:$I$384)+AVERAGE('Hoja 4 - Cálculo'!$J$25:$J$384)+AVERAGE('Hoja 4 - Cálculo'!$K$25:$K$384),IF(D629="Uso prioritario",'Hoja 4 - Cálculo'!I50+'Hoja 4 - Cálculo'!K50,'Hoja 4 - Cálculo'!I50+'Hoja 4 - Cálculo'!J50+'Hoja 4 - Cálculo'!K50)))</f>
        <v>16</v>
      </c>
      <c r="I629" s="15">
        <f t="shared" si="131"/>
        <v>20</v>
      </c>
      <c r="J629" s="15">
        <f t="shared" si="141"/>
        <v>0</v>
      </c>
      <c r="K629" s="15">
        <f>MIN(J629+G629,(J629+G629)*'Hoja 4 - Cálculo'!$B$15)</f>
        <v>0.289935</v>
      </c>
      <c r="L629" s="15">
        <f t="shared" si="132"/>
        <v>14.206815000000001</v>
      </c>
      <c r="M629" s="15">
        <f t="shared" si="133"/>
        <v>14.206815000000001</v>
      </c>
      <c r="N629" s="15">
        <f t="shared" si="134"/>
        <v>0</v>
      </c>
      <c r="O629" s="15">
        <f t="shared" si="135"/>
        <v>0</v>
      </c>
      <c r="P629" s="15">
        <f t="shared" si="136"/>
        <v>5.7931849999999994</v>
      </c>
      <c r="Q629" s="14" t="str">
        <f>IF(M629&gt;=I629*'Hoja 4 - Cálculo'!$B$16,"Satisfactorio","Falla")</f>
        <v>Falla</v>
      </c>
      <c r="R629" s="14">
        <f t="shared" si="142"/>
        <v>0</v>
      </c>
      <c r="S629" s="14">
        <f t="shared" si="143"/>
        <v>0</v>
      </c>
    </row>
    <row r="630" spans="1:19">
      <c r="A630" s="14" t="str">
        <f t="shared" si="140"/>
        <v>SRY-2-3</v>
      </c>
      <c r="B630" s="15">
        <f>'Curvas SRY'!$B$9</f>
        <v>2</v>
      </c>
      <c r="C630" s="15">
        <f>'Curvas SRY'!$E$10</f>
        <v>1.25</v>
      </c>
      <c r="D630" s="14" t="str">
        <f>'Curvas SRY'!$B$14</f>
        <v>Uso variable</v>
      </c>
      <c r="E630" s="14">
        <f>27</f>
        <v>27</v>
      </c>
      <c r="F630" s="21">
        <f>'Hoja 4 - Cálculo'!A51</f>
        <v>30376</v>
      </c>
      <c r="G630" s="15">
        <f>'Hoja 4 - Cálculo'!H51</f>
        <v>21.936375000000002</v>
      </c>
      <c r="H630" s="15">
        <f>IF(D630="Uso único",'Hoja 4 - Cálculo'!I51,IF(D630="Uso múltiple",AVERAGE('Hoja 4 - Cálculo'!$I$25:$I$384)+AVERAGE('Hoja 4 - Cálculo'!$J$25:$J$384)+AVERAGE('Hoja 4 - Cálculo'!$K$25:$K$384),IF(D630="Uso prioritario",'Hoja 4 - Cálculo'!I51+'Hoja 4 - Cálculo'!K51,'Hoja 4 - Cálculo'!I51+'Hoja 4 - Cálculo'!J51+'Hoja 4 - Cálculo'!K51)))</f>
        <v>16</v>
      </c>
      <c r="I630" s="15">
        <f t="shared" si="131"/>
        <v>20</v>
      </c>
      <c r="J630" s="15">
        <f t="shared" si="141"/>
        <v>0</v>
      </c>
      <c r="K630" s="15">
        <f>MIN(J630+G630,(J630+G630)*'Hoja 4 - Cálculo'!$B$15)</f>
        <v>0.43872750000000005</v>
      </c>
      <c r="L630" s="15">
        <f t="shared" si="132"/>
        <v>21.497647500000003</v>
      </c>
      <c r="M630" s="15">
        <f t="shared" si="133"/>
        <v>20</v>
      </c>
      <c r="N630" s="15">
        <f t="shared" si="134"/>
        <v>1.4976475000000029</v>
      </c>
      <c r="O630" s="15">
        <f t="shared" si="135"/>
        <v>0</v>
      </c>
      <c r="P630" s="15">
        <f t="shared" si="136"/>
        <v>0</v>
      </c>
      <c r="Q630" s="14" t="str">
        <f>IF(M630&gt;=I630*'Hoja 4 - Cálculo'!$B$16,"Satisfactorio","Falla")</f>
        <v>Satisfactorio</v>
      </c>
      <c r="R630" s="14">
        <f t="shared" si="142"/>
        <v>1</v>
      </c>
      <c r="S630" s="14">
        <f t="shared" si="143"/>
        <v>0</v>
      </c>
    </row>
    <row r="631" spans="1:19">
      <c r="A631" s="14" t="str">
        <f t="shared" si="140"/>
        <v>SRY-2-3</v>
      </c>
      <c r="B631" s="15">
        <f>'Curvas SRY'!$B$9</f>
        <v>2</v>
      </c>
      <c r="C631" s="15">
        <f>'Curvas SRY'!$E$10</f>
        <v>1.25</v>
      </c>
      <c r="D631" s="14" t="str">
        <f>'Curvas SRY'!$B$14</f>
        <v>Uso variable</v>
      </c>
      <c r="E631" s="14">
        <f>28</f>
        <v>28</v>
      </c>
      <c r="F631" s="21">
        <f>'Hoja 4 - Cálculo'!A52</f>
        <v>30407</v>
      </c>
      <c r="G631" s="15">
        <f>'Hoja 4 - Cálculo'!H52</f>
        <v>32.263874999999999</v>
      </c>
      <c r="H631" s="15">
        <f>IF(D631="Uso único",'Hoja 4 - Cálculo'!I52,IF(D631="Uso múltiple",AVERAGE('Hoja 4 - Cálculo'!$I$25:$I$384)+AVERAGE('Hoja 4 - Cálculo'!$J$25:$J$384)+AVERAGE('Hoja 4 - Cálculo'!$K$25:$K$384),IF(D631="Uso prioritario",'Hoja 4 - Cálculo'!I52+'Hoja 4 - Cálculo'!K52,'Hoja 4 - Cálculo'!I52+'Hoja 4 - Cálculo'!J52+'Hoja 4 - Cálculo'!K52)))</f>
        <v>11.5</v>
      </c>
      <c r="I631" s="15">
        <f t="shared" si="131"/>
        <v>14.375</v>
      </c>
      <c r="J631" s="15">
        <f t="shared" si="141"/>
        <v>1.4976475000000029</v>
      </c>
      <c r="K631" s="15">
        <f>MIN(J631+G631,(J631+G631)*'Hoja 4 - Cálculo'!$B$15)</f>
        <v>0.67523044999999993</v>
      </c>
      <c r="L631" s="15">
        <f t="shared" si="132"/>
        <v>33.086292049999997</v>
      </c>
      <c r="M631" s="15">
        <f t="shared" si="133"/>
        <v>14.375</v>
      </c>
      <c r="N631" s="15">
        <f t="shared" si="134"/>
        <v>2</v>
      </c>
      <c r="O631" s="15">
        <f t="shared" si="135"/>
        <v>16.711292049999997</v>
      </c>
      <c r="P631" s="15">
        <f t="shared" si="136"/>
        <v>0</v>
      </c>
      <c r="Q631" s="14" t="str">
        <f>IF(M631&gt;=I631*'Hoja 4 - Cálculo'!$B$16,"Satisfactorio","Falla")</f>
        <v>Satisfactorio</v>
      </c>
      <c r="R631" s="14">
        <f t="shared" si="142"/>
        <v>0</v>
      </c>
      <c r="S631" s="14">
        <f t="shared" si="143"/>
        <v>0</v>
      </c>
    </row>
    <row r="632" spans="1:19">
      <c r="A632" s="14" t="str">
        <f t="shared" si="140"/>
        <v>SRY-2-3</v>
      </c>
      <c r="B632" s="15">
        <f>'Curvas SRY'!$B$9</f>
        <v>2</v>
      </c>
      <c r="C632" s="15">
        <f>'Curvas SRY'!$E$10</f>
        <v>1.25</v>
      </c>
      <c r="D632" s="14" t="str">
        <f>'Curvas SRY'!$B$14</f>
        <v>Uso variable</v>
      </c>
      <c r="E632" s="14">
        <f>29</f>
        <v>29</v>
      </c>
      <c r="F632" s="21">
        <f>'Hoja 4 - Cálculo'!A53</f>
        <v>30437</v>
      </c>
      <c r="G632" s="15">
        <f>'Hoja 4 - Cálculo'!H53</f>
        <v>29.356874999999999</v>
      </c>
      <c r="H632" s="15">
        <f>IF(D632="Uso único",'Hoja 4 - Cálculo'!I53,IF(D632="Uso múltiple",AVERAGE('Hoja 4 - Cálculo'!$I$25:$I$384)+AVERAGE('Hoja 4 - Cálculo'!$J$25:$J$384)+AVERAGE('Hoja 4 - Cálculo'!$K$25:$K$384),IF(D632="Uso prioritario",'Hoja 4 - Cálculo'!I53+'Hoja 4 - Cálculo'!K53,'Hoja 4 - Cálculo'!I53+'Hoja 4 - Cálculo'!J53+'Hoja 4 - Cálculo'!K53)))</f>
        <v>11.5</v>
      </c>
      <c r="I632" s="15">
        <f t="shared" si="131"/>
        <v>14.375</v>
      </c>
      <c r="J632" s="15">
        <f t="shared" si="141"/>
        <v>2</v>
      </c>
      <c r="K632" s="15">
        <f>MIN(J632+G632,(J632+G632)*'Hoja 4 - Cálculo'!$B$15)</f>
        <v>0.62713750000000001</v>
      </c>
      <c r="L632" s="15">
        <f t="shared" si="132"/>
        <v>30.729737499999999</v>
      </c>
      <c r="M632" s="15">
        <f t="shared" si="133"/>
        <v>14.375</v>
      </c>
      <c r="N632" s="15">
        <f t="shared" si="134"/>
        <v>2</v>
      </c>
      <c r="O632" s="15">
        <f t="shared" si="135"/>
        <v>14.354737499999999</v>
      </c>
      <c r="P632" s="15">
        <f t="shared" si="136"/>
        <v>0</v>
      </c>
      <c r="Q632" s="14" t="str">
        <f>IF(M632&gt;=I632*'Hoja 4 - Cálculo'!$B$16,"Satisfactorio","Falla")</f>
        <v>Satisfactorio</v>
      </c>
      <c r="R632" s="14">
        <f t="shared" si="142"/>
        <v>0</v>
      </c>
      <c r="S632" s="14">
        <f t="shared" si="143"/>
        <v>0</v>
      </c>
    </row>
    <row r="633" spans="1:19">
      <c r="A633" s="14" t="str">
        <f t="shared" si="140"/>
        <v>SRY-2-3</v>
      </c>
      <c r="B633" s="15">
        <f>'Curvas SRY'!$B$9</f>
        <v>2</v>
      </c>
      <c r="C633" s="15">
        <f>'Curvas SRY'!$E$10</f>
        <v>1.25</v>
      </c>
      <c r="D633" s="14" t="str">
        <f>'Curvas SRY'!$B$14</f>
        <v>Uso variable</v>
      </c>
      <c r="E633" s="14">
        <f>30</f>
        <v>30</v>
      </c>
      <c r="F633" s="21">
        <f>'Hoja 4 - Cálculo'!A54</f>
        <v>30468</v>
      </c>
      <c r="G633" s="15">
        <f>'Hoja 4 - Cálculo'!H54</f>
        <v>17.212499999999999</v>
      </c>
      <c r="H633" s="15">
        <f>IF(D633="Uso único",'Hoja 4 - Cálculo'!I54,IF(D633="Uso múltiple",AVERAGE('Hoja 4 - Cálculo'!$I$25:$I$384)+AVERAGE('Hoja 4 - Cálculo'!$J$25:$J$384)+AVERAGE('Hoja 4 - Cálculo'!$K$25:$K$384),IF(D633="Uso prioritario",'Hoja 4 - Cálculo'!I54+'Hoja 4 - Cálculo'!K54,'Hoja 4 - Cálculo'!I54+'Hoja 4 - Cálculo'!J54+'Hoja 4 - Cálculo'!K54)))</f>
        <v>11.5</v>
      </c>
      <c r="I633" s="15">
        <f t="shared" si="131"/>
        <v>14.375</v>
      </c>
      <c r="J633" s="15">
        <f t="shared" si="141"/>
        <v>2</v>
      </c>
      <c r="K633" s="15">
        <f>MIN(J633+G633,(J633+G633)*'Hoja 4 - Cálculo'!$B$15)</f>
        <v>0.38424999999999998</v>
      </c>
      <c r="L633" s="15">
        <f t="shared" si="132"/>
        <v>18.828249999999997</v>
      </c>
      <c r="M633" s="15">
        <f t="shared" si="133"/>
        <v>14.375</v>
      </c>
      <c r="N633" s="15">
        <f t="shared" si="134"/>
        <v>2</v>
      </c>
      <c r="O633" s="15">
        <f t="shared" si="135"/>
        <v>2.453249999999997</v>
      </c>
      <c r="P633" s="15">
        <f t="shared" si="136"/>
        <v>0</v>
      </c>
      <c r="Q633" s="14" t="str">
        <f>IF(M633&gt;=I633*'Hoja 4 - Cálculo'!$B$16,"Satisfactorio","Falla")</f>
        <v>Satisfactorio</v>
      </c>
      <c r="R633" s="14">
        <f t="shared" si="142"/>
        <v>0</v>
      </c>
      <c r="S633" s="14">
        <f t="shared" si="143"/>
        <v>0</v>
      </c>
    </row>
    <row r="634" spans="1:19">
      <c r="A634" s="14" t="str">
        <f t="shared" si="140"/>
        <v>SRY-2-3</v>
      </c>
      <c r="B634" s="15">
        <f>'Curvas SRY'!$B$9</f>
        <v>2</v>
      </c>
      <c r="C634" s="15">
        <f>'Curvas SRY'!$E$10</f>
        <v>1.25</v>
      </c>
      <c r="D634" s="14" t="str">
        <f>'Curvas SRY'!$B$14</f>
        <v>Uso variable</v>
      </c>
      <c r="E634" s="14">
        <f>31</f>
        <v>31</v>
      </c>
      <c r="F634" s="21">
        <f>'Hoja 4 - Cálculo'!A55</f>
        <v>30498</v>
      </c>
      <c r="G634" s="15">
        <f>'Hoja 4 - Cálculo'!H55</f>
        <v>13.597875</v>
      </c>
      <c r="H634" s="15">
        <f>IF(D634="Uso único",'Hoja 4 - Cálculo'!I55,IF(D634="Uso múltiple",AVERAGE('Hoja 4 - Cálculo'!$I$25:$I$384)+AVERAGE('Hoja 4 - Cálculo'!$J$25:$J$384)+AVERAGE('Hoja 4 - Cálculo'!$K$25:$K$384),IF(D634="Uso prioritario",'Hoja 4 - Cálculo'!I55+'Hoja 4 - Cálculo'!K55,'Hoja 4 - Cálculo'!I55+'Hoja 4 - Cálculo'!J55+'Hoja 4 - Cálculo'!K55)))</f>
        <v>16</v>
      </c>
      <c r="I634" s="15">
        <f t="shared" si="131"/>
        <v>20</v>
      </c>
      <c r="J634" s="15">
        <f t="shared" si="141"/>
        <v>2</v>
      </c>
      <c r="K634" s="15">
        <f>MIN(J634+G634,(J634+G634)*'Hoja 4 - Cálculo'!$B$15)</f>
        <v>0.3119575</v>
      </c>
      <c r="L634" s="15">
        <f t="shared" si="132"/>
        <v>15.2859175</v>
      </c>
      <c r="M634" s="15">
        <f t="shared" si="133"/>
        <v>15.2859175</v>
      </c>
      <c r="N634" s="15">
        <f t="shared" si="134"/>
        <v>0</v>
      </c>
      <c r="O634" s="15">
        <f t="shared" si="135"/>
        <v>0</v>
      </c>
      <c r="P634" s="15">
        <f t="shared" si="136"/>
        <v>4.7140825</v>
      </c>
      <c r="Q634" s="14" t="str">
        <f>IF(M634&gt;=I634*'Hoja 4 - Cálculo'!$B$16,"Satisfactorio","Falla")</f>
        <v>Falla</v>
      </c>
      <c r="R634" s="14">
        <f t="shared" si="142"/>
        <v>0</v>
      </c>
      <c r="S634" s="14">
        <f t="shared" si="143"/>
        <v>1</v>
      </c>
    </row>
    <row r="635" spans="1:19">
      <c r="A635" s="14" t="str">
        <f t="shared" si="140"/>
        <v>SRY-2-3</v>
      </c>
      <c r="B635" s="15">
        <f>'Curvas SRY'!$B$9</f>
        <v>2</v>
      </c>
      <c r="C635" s="15">
        <f>'Curvas SRY'!$E$10</f>
        <v>1.25</v>
      </c>
      <c r="D635" s="14" t="str">
        <f>'Curvas SRY'!$B$14</f>
        <v>Uso variable</v>
      </c>
      <c r="E635" s="14">
        <f>32</f>
        <v>32</v>
      </c>
      <c r="F635" s="21">
        <f>'Hoja 4 - Cálculo'!A56</f>
        <v>30529</v>
      </c>
      <c r="G635" s="15">
        <f>'Hoja 4 - Cálculo'!H56</f>
        <v>14.592375000000001</v>
      </c>
      <c r="H635" s="15">
        <f>IF(D635="Uso único",'Hoja 4 - Cálculo'!I56,IF(D635="Uso múltiple",AVERAGE('Hoja 4 - Cálculo'!$I$25:$I$384)+AVERAGE('Hoja 4 - Cálculo'!$J$25:$J$384)+AVERAGE('Hoja 4 - Cálculo'!$K$25:$K$384),IF(D635="Uso prioritario",'Hoja 4 - Cálculo'!I56+'Hoja 4 - Cálculo'!K56,'Hoja 4 - Cálculo'!I56+'Hoja 4 - Cálculo'!J56+'Hoja 4 - Cálculo'!K56)))</f>
        <v>16</v>
      </c>
      <c r="I635" s="15">
        <f t="shared" si="131"/>
        <v>20</v>
      </c>
      <c r="J635" s="15">
        <f t="shared" si="141"/>
        <v>0</v>
      </c>
      <c r="K635" s="15">
        <f>MIN(J635+G635,(J635+G635)*'Hoja 4 - Cálculo'!$B$15)</f>
        <v>0.29184750000000004</v>
      </c>
      <c r="L635" s="15">
        <f t="shared" si="132"/>
        <v>14.300527500000001</v>
      </c>
      <c r="M635" s="15">
        <f t="shared" si="133"/>
        <v>14.300527500000001</v>
      </c>
      <c r="N635" s="15">
        <f t="shared" si="134"/>
        <v>0</v>
      </c>
      <c r="O635" s="15">
        <f t="shared" si="135"/>
        <v>0</v>
      </c>
      <c r="P635" s="15">
        <f t="shared" si="136"/>
        <v>5.6994724999999988</v>
      </c>
      <c r="Q635" s="14" t="str">
        <f>IF(M635&gt;=I635*'Hoja 4 - Cálculo'!$B$16,"Satisfactorio","Falla")</f>
        <v>Falla</v>
      </c>
      <c r="R635" s="14">
        <f t="shared" si="142"/>
        <v>0</v>
      </c>
      <c r="S635" s="14">
        <f t="shared" si="143"/>
        <v>0</v>
      </c>
    </row>
    <row r="636" spans="1:19">
      <c r="A636" s="14" t="str">
        <f t="shared" ref="A636:A667" si="144">"SRY-2-3"</f>
        <v>SRY-2-3</v>
      </c>
      <c r="B636" s="15">
        <f>'Curvas SRY'!$B$9</f>
        <v>2</v>
      </c>
      <c r="C636" s="15">
        <f>'Curvas SRY'!$E$10</f>
        <v>1.25</v>
      </c>
      <c r="D636" s="14" t="str">
        <f>'Curvas SRY'!$B$14</f>
        <v>Uso variable</v>
      </c>
      <c r="E636" s="14">
        <f>33</f>
        <v>33</v>
      </c>
      <c r="F636" s="21">
        <f>'Hoja 4 - Cálculo'!A57</f>
        <v>30560</v>
      </c>
      <c r="G636" s="15">
        <f>'Hoja 4 - Cálculo'!H57</f>
        <v>24.307874999999999</v>
      </c>
      <c r="H636" s="15">
        <f>IF(D636="Uso único",'Hoja 4 - Cálculo'!I57,IF(D636="Uso múltiple",AVERAGE('Hoja 4 - Cálculo'!$I$25:$I$384)+AVERAGE('Hoja 4 - Cálculo'!$J$25:$J$384)+AVERAGE('Hoja 4 - Cálculo'!$K$25:$K$384),IF(D636="Uso prioritario",'Hoja 4 - Cálculo'!I57+'Hoja 4 - Cálculo'!K57,'Hoja 4 - Cálculo'!I57+'Hoja 4 - Cálculo'!J57+'Hoja 4 - Cálculo'!K57)))</f>
        <v>11.5</v>
      </c>
      <c r="I636" s="15">
        <f t="shared" si="131"/>
        <v>14.375</v>
      </c>
      <c r="J636" s="15">
        <f t="shared" si="141"/>
        <v>0</v>
      </c>
      <c r="K636" s="15">
        <f>MIN(J636+G636,(J636+G636)*'Hoja 4 - Cálculo'!$B$15)</f>
        <v>0.48615750000000002</v>
      </c>
      <c r="L636" s="15">
        <f t="shared" si="132"/>
        <v>23.821717499999998</v>
      </c>
      <c r="M636" s="15">
        <f t="shared" si="133"/>
        <v>14.375</v>
      </c>
      <c r="N636" s="15">
        <f t="shared" si="134"/>
        <v>2</v>
      </c>
      <c r="O636" s="15">
        <f t="shared" si="135"/>
        <v>7.4467174999999983</v>
      </c>
      <c r="P636" s="15">
        <f t="shared" si="136"/>
        <v>0</v>
      </c>
      <c r="Q636" s="14" t="str">
        <f>IF(M636&gt;=I636*'Hoja 4 - Cálculo'!$B$16,"Satisfactorio","Falla")</f>
        <v>Satisfactorio</v>
      </c>
      <c r="R636" s="14">
        <f t="shared" si="142"/>
        <v>1</v>
      </c>
      <c r="S636" s="14">
        <f t="shared" si="143"/>
        <v>0</v>
      </c>
    </row>
    <row r="637" spans="1:19">
      <c r="A637" s="14" t="str">
        <f t="shared" si="144"/>
        <v>SRY-2-3</v>
      </c>
      <c r="B637" s="15">
        <f>'Curvas SRY'!$B$9</f>
        <v>2</v>
      </c>
      <c r="C637" s="15">
        <f>'Curvas SRY'!$E$10</f>
        <v>1.25</v>
      </c>
      <c r="D637" s="14" t="str">
        <f>'Curvas SRY'!$B$14</f>
        <v>Uso variable</v>
      </c>
      <c r="E637" s="14">
        <f>34</f>
        <v>34</v>
      </c>
      <c r="F637" s="21">
        <f>'Hoja 4 - Cálculo'!A58</f>
        <v>30590</v>
      </c>
      <c r="G637" s="15">
        <f>'Hoja 4 - Cálculo'!H58</f>
        <v>33.564374999999998</v>
      </c>
      <c r="H637" s="15">
        <f>IF(D637="Uso único",'Hoja 4 - Cálculo'!I58,IF(D637="Uso múltiple",AVERAGE('Hoja 4 - Cálculo'!$I$25:$I$384)+AVERAGE('Hoja 4 - Cálculo'!$J$25:$J$384)+AVERAGE('Hoja 4 - Cálculo'!$K$25:$K$384),IF(D637="Uso prioritario",'Hoja 4 - Cálculo'!I58+'Hoja 4 - Cálculo'!K58,'Hoja 4 - Cálculo'!I58+'Hoja 4 - Cálculo'!J58+'Hoja 4 - Cálculo'!K58)))</f>
        <v>11.5</v>
      </c>
      <c r="I637" s="15">
        <f t="shared" si="131"/>
        <v>14.375</v>
      </c>
      <c r="J637" s="15">
        <f t="shared" ref="J637:J668" si="145">N636</f>
        <v>2</v>
      </c>
      <c r="K637" s="15">
        <f>MIN(J637+G637,(J637+G637)*'Hoja 4 - Cálculo'!$B$15)</f>
        <v>0.71128749999999996</v>
      </c>
      <c r="L637" s="15">
        <f t="shared" si="132"/>
        <v>34.853087500000001</v>
      </c>
      <c r="M637" s="15">
        <f t="shared" si="133"/>
        <v>14.375</v>
      </c>
      <c r="N637" s="15">
        <f t="shared" si="134"/>
        <v>2</v>
      </c>
      <c r="O637" s="15">
        <f t="shared" si="135"/>
        <v>18.478087500000001</v>
      </c>
      <c r="P637" s="15">
        <f t="shared" si="136"/>
        <v>0</v>
      </c>
      <c r="Q637" s="14" t="str">
        <f>IF(M637&gt;=I637*'Hoja 4 - Cálculo'!$B$16,"Satisfactorio","Falla")</f>
        <v>Satisfactorio</v>
      </c>
      <c r="R637" s="14">
        <f t="shared" ref="R637:R668" si="146">IF(AND(Q636="Falla",Q637="Satisfactorio"),1,0)</f>
        <v>0</v>
      </c>
      <c r="S637" s="14">
        <f t="shared" ref="S637:S668" si="147">IF(AND(Q637="Falla",Q636&lt;&gt;"Falla"),1,0)</f>
        <v>0</v>
      </c>
    </row>
    <row r="638" spans="1:19">
      <c r="A638" s="14" t="str">
        <f t="shared" si="144"/>
        <v>SRY-2-3</v>
      </c>
      <c r="B638" s="15">
        <f>'Curvas SRY'!$B$9</f>
        <v>2</v>
      </c>
      <c r="C638" s="15">
        <f>'Curvas SRY'!$E$10</f>
        <v>1.25</v>
      </c>
      <c r="D638" s="14" t="str">
        <f>'Curvas SRY'!$B$14</f>
        <v>Uso variable</v>
      </c>
      <c r="E638" s="14">
        <f>35</f>
        <v>35</v>
      </c>
      <c r="F638" s="21">
        <f>'Hoja 4 - Cálculo'!A59</f>
        <v>30621</v>
      </c>
      <c r="G638" s="15">
        <f>'Hoja 4 - Cálculo'!H59</f>
        <v>28.075500000000002</v>
      </c>
      <c r="H638" s="15">
        <f>IF(D638="Uso único",'Hoja 4 - Cálculo'!I59,IF(D638="Uso múltiple",AVERAGE('Hoja 4 - Cálculo'!$I$25:$I$384)+AVERAGE('Hoja 4 - Cálculo'!$J$25:$J$384)+AVERAGE('Hoja 4 - Cálculo'!$K$25:$K$384),IF(D638="Uso prioritario",'Hoja 4 - Cálculo'!I59+'Hoja 4 - Cálculo'!K59,'Hoja 4 - Cálculo'!I59+'Hoja 4 - Cálculo'!J59+'Hoja 4 - Cálculo'!K59)))</f>
        <v>11.5</v>
      </c>
      <c r="I638" s="15">
        <f t="shared" si="131"/>
        <v>14.375</v>
      </c>
      <c r="J638" s="15">
        <f t="shared" si="145"/>
        <v>2</v>
      </c>
      <c r="K638" s="15">
        <f>MIN(J638+G638,(J638+G638)*'Hoja 4 - Cálculo'!$B$15)</f>
        <v>0.6015100000000001</v>
      </c>
      <c r="L638" s="15">
        <f t="shared" si="132"/>
        <v>29.473990000000001</v>
      </c>
      <c r="M638" s="15">
        <f t="shared" si="133"/>
        <v>14.375</v>
      </c>
      <c r="N638" s="15">
        <f t="shared" si="134"/>
        <v>2</v>
      </c>
      <c r="O638" s="15">
        <f t="shared" si="135"/>
        <v>13.098990000000001</v>
      </c>
      <c r="P638" s="15">
        <f t="shared" si="136"/>
        <v>0</v>
      </c>
      <c r="Q638" s="14" t="str">
        <f>IF(M638&gt;=I638*'Hoja 4 - Cálculo'!$B$16,"Satisfactorio","Falla")</f>
        <v>Satisfactorio</v>
      </c>
      <c r="R638" s="14">
        <f t="shared" si="146"/>
        <v>0</v>
      </c>
      <c r="S638" s="14">
        <f t="shared" si="147"/>
        <v>0</v>
      </c>
    </row>
    <row r="639" spans="1:19">
      <c r="A639" s="14" t="str">
        <f t="shared" si="144"/>
        <v>SRY-2-3</v>
      </c>
      <c r="B639" s="15">
        <f>'Curvas SRY'!$B$9</f>
        <v>2</v>
      </c>
      <c r="C639" s="15">
        <f>'Curvas SRY'!$E$10</f>
        <v>1.25</v>
      </c>
      <c r="D639" s="14" t="str">
        <f>'Curvas SRY'!$B$14</f>
        <v>Uso variable</v>
      </c>
      <c r="E639" s="14">
        <f>36</f>
        <v>36</v>
      </c>
      <c r="F639" s="21">
        <f>'Hoja 4 - Cálculo'!A60</f>
        <v>30651</v>
      </c>
      <c r="G639" s="15">
        <f>'Hoja 4 - Cálculo'!H60</f>
        <v>15.931125</v>
      </c>
      <c r="H639" s="15">
        <f>IF(D639="Uso único",'Hoja 4 - Cálculo'!I60,IF(D639="Uso múltiple",AVERAGE('Hoja 4 - Cálculo'!$I$25:$I$384)+AVERAGE('Hoja 4 - Cálculo'!$J$25:$J$384)+AVERAGE('Hoja 4 - Cálculo'!$K$25:$K$384),IF(D639="Uso prioritario",'Hoja 4 - Cálculo'!I60+'Hoja 4 - Cálculo'!K60,'Hoja 4 - Cálculo'!I60+'Hoja 4 - Cálculo'!J60+'Hoja 4 - Cálculo'!K60)))</f>
        <v>16</v>
      </c>
      <c r="I639" s="15">
        <f t="shared" si="131"/>
        <v>20</v>
      </c>
      <c r="J639" s="15">
        <f t="shared" si="145"/>
        <v>2</v>
      </c>
      <c r="K639" s="15">
        <f>MIN(J639+G639,(J639+G639)*'Hoja 4 - Cálculo'!$B$15)</f>
        <v>0.35862250000000001</v>
      </c>
      <c r="L639" s="15">
        <f t="shared" si="132"/>
        <v>17.572502500000002</v>
      </c>
      <c r="M639" s="15">
        <f t="shared" si="133"/>
        <v>17.572502500000002</v>
      </c>
      <c r="N639" s="15">
        <f t="shared" si="134"/>
        <v>0</v>
      </c>
      <c r="O639" s="15">
        <f t="shared" si="135"/>
        <v>0</v>
      </c>
      <c r="P639" s="15">
        <f t="shared" si="136"/>
        <v>2.4274974999999976</v>
      </c>
      <c r="Q639" s="14" t="str">
        <f>IF(M639&gt;=I639*'Hoja 4 - Cálculo'!$B$16,"Satisfactorio","Falla")</f>
        <v>Falla</v>
      </c>
      <c r="R639" s="14">
        <f t="shared" si="146"/>
        <v>0</v>
      </c>
      <c r="S639" s="14">
        <f t="shared" si="147"/>
        <v>1</v>
      </c>
    </row>
    <row r="640" spans="1:19">
      <c r="A640" s="14" t="str">
        <f t="shared" si="144"/>
        <v>SRY-2-3</v>
      </c>
      <c r="B640" s="15">
        <f>'Curvas SRY'!$B$9</f>
        <v>2</v>
      </c>
      <c r="C640" s="15">
        <f>'Curvas SRY'!$E$10</f>
        <v>1.25</v>
      </c>
      <c r="D640" s="14" t="str">
        <f>'Curvas SRY'!$B$14</f>
        <v>Uso variable</v>
      </c>
      <c r="E640" s="14">
        <f>37</f>
        <v>37</v>
      </c>
      <c r="F640" s="21">
        <f>'Hoja 4 - Cálculo'!A61</f>
        <v>30682</v>
      </c>
      <c r="G640" s="15">
        <f>'Hoja 4 - Cálculo'!H61</f>
        <v>10.920375</v>
      </c>
      <c r="H640" s="15">
        <f>IF(D640="Uso único",'Hoja 4 - Cálculo'!I61,IF(D640="Uso múltiple",AVERAGE('Hoja 4 - Cálculo'!$I$25:$I$384)+AVERAGE('Hoja 4 - Cálculo'!$J$25:$J$384)+AVERAGE('Hoja 4 - Cálculo'!$K$25:$K$384),IF(D640="Uso prioritario",'Hoja 4 - Cálculo'!I61+'Hoja 4 - Cálculo'!K61,'Hoja 4 - Cálculo'!I61+'Hoja 4 - Cálculo'!J61+'Hoja 4 - Cálculo'!K61)))</f>
        <v>16</v>
      </c>
      <c r="I640" s="15">
        <f t="shared" si="131"/>
        <v>20</v>
      </c>
      <c r="J640" s="15">
        <f t="shared" si="145"/>
        <v>0</v>
      </c>
      <c r="K640" s="15">
        <f>MIN(J640+G640,(J640+G640)*'Hoja 4 - Cálculo'!$B$15)</f>
        <v>0.2184075</v>
      </c>
      <c r="L640" s="15">
        <f t="shared" si="132"/>
        <v>10.7019675</v>
      </c>
      <c r="M640" s="15">
        <f t="shared" si="133"/>
        <v>10.7019675</v>
      </c>
      <c r="N640" s="15">
        <f t="shared" si="134"/>
        <v>0</v>
      </c>
      <c r="O640" s="15">
        <f t="shared" si="135"/>
        <v>0</v>
      </c>
      <c r="P640" s="15">
        <f t="shared" si="136"/>
        <v>9.2980324999999997</v>
      </c>
      <c r="Q640" s="14" t="str">
        <f>IF(M640&gt;=I640*'Hoja 4 - Cálculo'!$B$16,"Satisfactorio","Falla")</f>
        <v>Falla</v>
      </c>
      <c r="R640" s="14">
        <f t="shared" si="146"/>
        <v>0</v>
      </c>
      <c r="S640" s="14">
        <f t="shared" si="147"/>
        <v>0</v>
      </c>
    </row>
    <row r="641" spans="1:19">
      <c r="A641" s="14" t="str">
        <f t="shared" si="144"/>
        <v>SRY-2-3</v>
      </c>
      <c r="B641" s="15">
        <f>'Curvas SRY'!$B$9</f>
        <v>2</v>
      </c>
      <c r="C641" s="15">
        <f>'Curvas SRY'!$E$10</f>
        <v>1.25</v>
      </c>
      <c r="D641" s="14" t="str">
        <f>'Curvas SRY'!$B$14</f>
        <v>Uso variable</v>
      </c>
      <c r="E641" s="14">
        <f>38</f>
        <v>38</v>
      </c>
      <c r="F641" s="21">
        <f>'Hoja 4 - Cálculo'!A62</f>
        <v>30713</v>
      </c>
      <c r="G641" s="15">
        <f>'Hoja 4 - Cálculo'!H62</f>
        <v>13.04325</v>
      </c>
      <c r="H641" s="15">
        <f>IF(D641="Uso único",'Hoja 4 - Cálculo'!I62,IF(D641="Uso múltiple",AVERAGE('Hoja 4 - Cálculo'!$I$25:$I$384)+AVERAGE('Hoja 4 - Cálculo'!$J$25:$J$384)+AVERAGE('Hoja 4 - Cálculo'!$K$25:$K$384),IF(D641="Uso prioritario",'Hoja 4 - Cálculo'!I62+'Hoja 4 - Cálculo'!K62,'Hoja 4 - Cálculo'!I62+'Hoja 4 - Cálculo'!J62+'Hoja 4 - Cálculo'!K62)))</f>
        <v>16</v>
      </c>
      <c r="I641" s="15">
        <f t="shared" si="131"/>
        <v>20</v>
      </c>
      <c r="J641" s="15">
        <f t="shared" si="145"/>
        <v>0</v>
      </c>
      <c r="K641" s="15">
        <f>MIN(J641+G641,(J641+G641)*'Hoja 4 - Cálculo'!$B$15)</f>
        <v>0.26086500000000001</v>
      </c>
      <c r="L641" s="15">
        <f t="shared" si="132"/>
        <v>12.782385</v>
      </c>
      <c r="M641" s="15">
        <f t="shared" si="133"/>
        <v>12.782385</v>
      </c>
      <c r="N641" s="15">
        <f t="shared" si="134"/>
        <v>0</v>
      </c>
      <c r="O641" s="15">
        <f t="shared" si="135"/>
        <v>0</v>
      </c>
      <c r="P641" s="15">
        <f t="shared" si="136"/>
        <v>7.2176150000000003</v>
      </c>
      <c r="Q641" s="14" t="str">
        <f>IF(M641&gt;=I641*'Hoja 4 - Cálculo'!$B$16,"Satisfactorio","Falla")</f>
        <v>Falla</v>
      </c>
      <c r="R641" s="14">
        <f t="shared" si="146"/>
        <v>0</v>
      </c>
      <c r="S641" s="14">
        <f t="shared" si="147"/>
        <v>0</v>
      </c>
    </row>
    <row r="642" spans="1:19">
      <c r="A642" s="14" t="str">
        <f t="shared" si="144"/>
        <v>SRY-2-3</v>
      </c>
      <c r="B642" s="15">
        <f>'Curvas SRY'!$B$9</f>
        <v>2</v>
      </c>
      <c r="C642" s="15">
        <f>'Curvas SRY'!$E$10</f>
        <v>1.25</v>
      </c>
      <c r="D642" s="14" t="str">
        <f>'Curvas SRY'!$B$14</f>
        <v>Uso variable</v>
      </c>
      <c r="E642" s="14">
        <f>39</f>
        <v>39</v>
      </c>
      <c r="F642" s="21">
        <f>'Hoja 4 - Cálculo'!A63</f>
        <v>30742</v>
      </c>
      <c r="G642" s="15">
        <f>'Hoja 4 - Cálculo'!H63</f>
        <v>20.272500000000001</v>
      </c>
      <c r="H642" s="15">
        <f>IF(D642="Uso único",'Hoja 4 - Cálculo'!I63,IF(D642="Uso múltiple",AVERAGE('Hoja 4 - Cálculo'!$I$25:$I$384)+AVERAGE('Hoja 4 - Cálculo'!$J$25:$J$384)+AVERAGE('Hoja 4 - Cálculo'!$K$25:$K$384),IF(D642="Uso prioritario",'Hoja 4 - Cálculo'!I63+'Hoja 4 - Cálculo'!K63,'Hoja 4 - Cálculo'!I63+'Hoja 4 - Cálculo'!J63+'Hoja 4 - Cálculo'!K63)))</f>
        <v>16</v>
      </c>
      <c r="I642" s="15">
        <f t="shared" si="131"/>
        <v>20</v>
      </c>
      <c r="J642" s="15">
        <f t="shared" si="145"/>
        <v>0</v>
      </c>
      <c r="K642" s="15">
        <f>MIN(J642+G642,(J642+G642)*'Hoja 4 - Cálculo'!$B$15)</f>
        <v>0.40545000000000003</v>
      </c>
      <c r="L642" s="15">
        <f t="shared" si="132"/>
        <v>19.867050000000003</v>
      </c>
      <c r="M642" s="15">
        <f t="shared" si="133"/>
        <v>19.867050000000003</v>
      </c>
      <c r="N642" s="15">
        <f t="shared" si="134"/>
        <v>0</v>
      </c>
      <c r="O642" s="15">
        <f t="shared" si="135"/>
        <v>0</v>
      </c>
      <c r="P642" s="15">
        <f t="shared" si="136"/>
        <v>0.13294999999999746</v>
      </c>
      <c r="Q642" s="14" t="str">
        <f>IF(M642&gt;=I642*'Hoja 4 - Cálculo'!$B$16,"Satisfactorio","Falla")</f>
        <v>Falla</v>
      </c>
      <c r="R642" s="14">
        <f t="shared" si="146"/>
        <v>0</v>
      </c>
      <c r="S642" s="14">
        <f t="shared" si="147"/>
        <v>0</v>
      </c>
    </row>
    <row r="643" spans="1:19">
      <c r="A643" s="14" t="str">
        <f t="shared" si="144"/>
        <v>SRY-2-3</v>
      </c>
      <c r="B643" s="15">
        <f>'Curvas SRY'!$B$9</f>
        <v>2</v>
      </c>
      <c r="C643" s="15">
        <f>'Curvas SRY'!$E$10</f>
        <v>1.25</v>
      </c>
      <c r="D643" s="14" t="str">
        <f>'Curvas SRY'!$B$14</f>
        <v>Uso variable</v>
      </c>
      <c r="E643" s="14">
        <f>40</f>
        <v>40</v>
      </c>
      <c r="F643" s="21">
        <f>'Hoja 4 - Cálculo'!A64</f>
        <v>30773</v>
      </c>
      <c r="G643" s="15">
        <f>'Hoja 4 - Cálculo'!H64</f>
        <v>27.922499999999999</v>
      </c>
      <c r="H643" s="15">
        <f>IF(D643="Uso único",'Hoja 4 - Cálculo'!I64,IF(D643="Uso múltiple",AVERAGE('Hoja 4 - Cálculo'!$I$25:$I$384)+AVERAGE('Hoja 4 - Cálculo'!$J$25:$J$384)+AVERAGE('Hoja 4 - Cálculo'!$K$25:$K$384),IF(D643="Uso prioritario",'Hoja 4 - Cálculo'!I64+'Hoja 4 - Cálculo'!K64,'Hoja 4 - Cálculo'!I64+'Hoja 4 - Cálculo'!J64+'Hoja 4 - Cálculo'!K64)))</f>
        <v>11.5</v>
      </c>
      <c r="I643" s="15">
        <f t="shared" si="131"/>
        <v>14.375</v>
      </c>
      <c r="J643" s="15">
        <f t="shared" si="145"/>
        <v>0</v>
      </c>
      <c r="K643" s="15">
        <f>MIN(J643+G643,(J643+G643)*'Hoja 4 - Cálculo'!$B$15)</f>
        <v>0.55845</v>
      </c>
      <c r="L643" s="15">
        <f t="shared" si="132"/>
        <v>27.364049999999999</v>
      </c>
      <c r="M643" s="15">
        <f t="shared" si="133"/>
        <v>14.375</v>
      </c>
      <c r="N643" s="15">
        <f t="shared" si="134"/>
        <v>2</v>
      </c>
      <c r="O643" s="15">
        <f t="shared" si="135"/>
        <v>10.989049999999999</v>
      </c>
      <c r="P643" s="15">
        <f t="shared" si="136"/>
        <v>0</v>
      </c>
      <c r="Q643" s="14" t="str">
        <f>IF(M643&gt;=I643*'Hoja 4 - Cálculo'!$B$16,"Satisfactorio","Falla")</f>
        <v>Satisfactorio</v>
      </c>
      <c r="R643" s="14">
        <f t="shared" si="146"/>
        <v>1</v>
      </c>
      <c r="S643" s="14">
        <f t="shared" si="147"/>
        <v>0</v>
      </c>
    </row>
    <row r="644" spans="1:19">
      <c r="A644" s="14" t="str">
        <f t="shared" si="144"/>
        <v>SRY-2-3</v>
      </c>
      <c r="B644" s="15">
        <f>'Curvas SRY'!$B$9</f>
        <v>2</v>
      </c>
      <c r="C644" s="15">
        <f>'Curvas SRY'!$E$10</f>
        <v>1.25</v>
      </c>
      <c r="D644" s="14" t="str">
        <f>'Curvas SRY'!$B$14</f>
        <v>Uso variable</v>
      </c>
      <c r="E644" s="14">
        <f>41</f>
        <v>41</v>
      </c>
      <c r="F644" s="21">
        <f>'Hoja 4 - Cálculo'!A65</f>
        <v>30803</v>
      </c>
      <c r="G644" s="15">
        <f>'Hoja 4 - Cálculo'!H65</f>
        <v>23.657624999999999</v>
      </c>
      <c r="H644" s="15">
        <f>IF(D644="Uso único",'Hoja 4 - Cálculo'!I65,IF(D644="Uso múltiple",AVERAGE('Hoja 4 - Cálculo'!$I$25:$I$384)+AVERAGE('Hoja 4 - Cálculo'!$J$25:$J$384)+AVERAGE('Hoja 4 - Cálculo'!$K$25:$K$384),IF(D644="Uso prioritario",'Hoja 4 - Cálculo'!I65+'Hoja 4 - Cálculo'!K65,'Hoja 4 - Cálculo'!I65+'Hoja 4 - Cálculo'!J65+'Hoja 4 - Cálculo'!K65)))</f>
        <v>11.5</v>
      </c>
      <c r="I644" s="15">
        <f t="shared" ref="I644:I707" si="148">H644*C644</f>
        <v>14.375</v>
      </c>
      <c r="J644" s="15">
        <f t="shared" si="145"/>
        <v>2</v>
      </c>
      <c r="K644" s="15">
        <f>MIN(J644+G644,(J644+G644)*'Hoja 4 - Cálculo'!$B$15)</f>
        <v>0.51315250000000001</v>
      </c>
      <c r="L644" s="15">
        <f t="shared" ref="L644:L707" si="149">MAX(0,J644+G644-K644)</f>
        <v>25.144472499999999</v>
      </c>
      <c r="M644" s="15">
        <f t="shared" ref="M644:M707" si="150">MIN(I644,L644)</f>
        <v>14.375</v>
      </c>
      <c r="N644" s="15">
        <f t="shared" ref="N644:N707" si="151">MIN(B644,MAX(0,L644-M644))</f>
        <v>2</v>
      </c>
      <c r="O644" s="15">
        <f t="shared" ref="O644:O707" si="152">MAX(0,L644-M644-B644)</f>
        <v>8.7694724999999991</v>
      </c>
      <c r="P644" s="15">
        <f t="shared" ref="P644:P707" si="153">MAX(0,I644-M644)</f>
        <v>0</v>
      </c>
      <c r="Q644" s="14" t="str">
        <f>IF(M644&gt;=I644*'Hoja 4 - Cálculo'!$B$16,"Satisfactorio","Falla")</f>
        <v>Satisfactorio</v>
      </c>
      <c r="R644" s="14">
        <f t="shared" si="146"/>
        <v>0</v>
      </c>
      <c r="S644" s="14">
        <f t="shared" si="147"/>
        <v>0</v>
      </c>
    </row>
    <row r="645" spans="1:19">
      <c r="A645" s="14" t="str">
        <f t="shared" si="144"/>
        <v>SRY-2-3</v>
      </c>
      <c r="B645" s="15">
        <f>'Curvas SRY'!$B$9</f>
        <v>2</v>
      </c>
      <c r="C645" s="15">
        <f>'Curvas SRY'!$E$10</f>
        <v>1.25</v>
      </c>
      <c r="D645" s="14" t="str">
        <f>'Curvas SRY'!$B$14</f>
        <v>Uso variable</v>
      </c>
      <c r="E645" s="14">
        <f>42</f>
        <v>42</v>
      </c>
      <c r="F645" s="21">
        <f>'Hoja 4 - Cálculo'!A66</f>
        <v>30834</v>
      </c>
      <c r="G645" s="15">
        <f>'Hoja 4 - Cálculo'!H66</f>
        <v>14.554125000000001</v>
      </c>
      <c r="H645" s="15">
        <f>IF(D645="Uso único",'Hoja 4 - Cálculo'!I66,IF(D645="Uso múltiple",AVERAGE('Hoja 4 - Cálculo'!$I$25:$I$384)+AVERAGE('Hoja 4 - Cálculo'!$J$25:$J$384)+AVERAGE('Hoja 4 - Cálculo'!$K$25:$K$384),IF(D645="Uso prioritario",'Hoja 4 - Cálculo'!I66+'Hoja 4 - Cálculo'!K66,'Hoja 4 - Cálculo'!I66+'Hoja 4 - Cálculo'!J66+'Hoja 4 - Cálculo'!K66)))</f>
        <v>11.5</v>
      </c>
      <c r="I645" s="15">
        <f t="shared" si="148"/>
        <v>14.375</v>
      </c>
      <c r="J645" s="15">
        <f t="shared" si="145"/>
        <v>2</v>
      </c>
      <c r="K645" s="15">
        <f>MIN(J645+G645,(J645+G645)*'Hoja 4 - Cálculo'!$B$15)</f>
        <v>0.3310825</v>
      </c>
      <c r="L645" s="15">
        <f t="shared" si="149"/>
        <v>16.223042499999998</v>
      </c>
      <c r="M645" s="15">
        <f t="shared" si="150"/>
        <v>14.375</v>
      </c>
      <c r="N645" s="15">
        <f t="shared" si="151"/>
        <v>1.8480424999999983</v>
      </c>
      <c r="O645" s="15">
        <f t="shared" si="152"/>
        <v>0</v>
      </c>
      <c r="P645" s="15">
        <f t="shared" si="153"/>
        <v>0</v>
      </c>
      <c r="Q645" s="14" t="str">
        <f>IF(M645&gt;=I645*'Hoja 4 - Cálculo'!$B$16,"Satisfactorio","Falla")</f>
        <v>Satisfactorio</v>
      </c>
      <c r="R645" s="14">
        <f t="shared" si="146"/>
        <v>0</v>
      </c>
      <c r="S645" s="14">
        <f t="shared" si="147"/>
        <v>0</v>
      </c>
    </row>
    <row r="646" spans="1:19">
      <c r="A646" s="14" t="str">
        <f t="shared" si="144"/>
        <v>SRY-2-3</v>
      </c>
      <c r="B646" s="15">
        <f>'Curvas SRY'!$B$9</f>
        <v>2</v>
      </c>
      <c r="C646" s="15">
        <f>'Curvas SRY'!$E$10</f>
        <v>1.25</v>
      </c>
      <c r="D646" s="14" t="str">
        <f>'Curvas SRY'!$B$14</f>
        <v>Uso variable</v>
      </c>
      <c r="E646" s="14">
        <f>43</f>
        <v>43</v>
      </c>
      <c r="F646" s="21">
        <f>'Hoja 4 - Cálculo'!A67</f>
        <v>30864</v>
      </c>
      <c r="G646" s="15">
        <f>'Hoja 4 - Cálculo'!H67</f>
        <v>12.794625</v>
      </c>
      <c r="H646" s="15">
        <f>IF(D646="Uso único",'Hoja 4 - Cálculo'!I67,IF(D646="Uso múltiple",AVERAGE('Hoja 4 - Cálculo'!$I$25:$I$384)+AVERAGE('Hoja 4 - Cálculo'!$J$25:$J$384)+AVERAGE('Hoja 4 - Cálculo'!$K$25:$K$384),IF(D646="Uso prioritario",'Hoja 4 - Cálculo'!I67+'Hoja 4 - Cálculo'!K67,'Hoja 4 - Cálculo'!I67+'Hoja 4 - Cálculo'!J67+'Hoja 4 - Cálculo'!K67)))</f>
        <v>16</v>
      </c>
      <c r="I646" s="15">
        <f t="shared" si="148"/>
        <v>20</v>
      </c>
      <c r="J646" s="15">
        <f t="shared" si="145"/>
        <v>1.8480424999999983</v>
      </c>
      <c r="K646" s="15">
        <f>MIN(J646+G646,(J646+G646)*'Hoja 4 - Cálculo'!$B$15)</f>
        <v>0.29285334999999996</v>
      </c>
      <c r="L646" s="15">
        <f t="shared" si="149"/>
        <v>14.349814149999998</v>
      </c>
      <c r="M646" s="15">
        <f t="shared" si="150"/>
        <v>14.349814149999998</v>
      </c>
      <c r="N646" s="15">
        <f t="shared" si="151"/>
        <v>0</v>
      </c>
      <c r="O646" s="15">
        <f t="shared" si="152"/>
        <v>0</v>
      </c>
      <c r="P646" s="15">
        <f t="shared" si="153"/>
        <v>5.6501858500000015</v>
      </c>
      <c r="Q646" s="14" t="str">
        <f>IF(M646&gt;=I646*'Hoja 4 - Cálculo'!$B$16,"Satisfactorio","Falla")</f>
        <v>Falla</v>
      </c>
      <c r="R646" s="14">
        <f t="shared" si="146"/>
        <v>0</v>
      </c>
      <c r="S646" s="14">
        <f t="shared" si="147"/>
        <v>1</v>
      </c>
    </row>
    <row r="647" spans="1:19">
      <c r="A647" s="14" t="str">
        <f t="shared" si="144"/>
        <v>SRY-2-3</v>
      </c>
      <c r="B647" s="15">
        <f>'Curvas SRY'!$B$9</f>
        <v>2</v>
      </c>
      <c r="C647" s="15">
        <f>'Curvas SRY'!$E$10</f>
        <v>1.25</v>
      </c>
      <c r="D647" s="14" t="str">
        <f>'Curvas SRY'!$B$14</f>
        <v>Uso variable</v>
      </c>
      <c r="E647" s="14">
        <f>44</f>
        <v>44</v>
      </c>
      <c r="F647" s="21">
        <f>'Hoja 4 - Cálculo'!A68</f>
        <v>30895</v>
      </c>
      <c r="G647" s="15">
        <f>'Hoja 4 - Cálculo'!H68</f>
        <v>13.6935</v>
      </c>
      <c r="H647" s="15">
        <f>IF(D647="Uso único",'Hoja 4 - Cálculo'!I68,IF(D647="Uso múltiple",AVERAGE('Hoja 4 - Cálculo'!$I$25:$I$384)+AVERAGE('Hoja 4 - Cálculo'!$J$25:$J$384)+AVERAGE('Hoja 4 - Cálculo'!$K$25:$K$384),IF(D647="Uso prioritario",'Hoja 4 - Cálculo'!I68+'Hoja 4 - Cálculo'!K68,'Hoja 4 - Cálculo'!I68+'Hoja 4 - Cálculo'!J68+'Hoja 4 - Cálculo'!K68)))</f>
        <v>16</v>
      </c>
      <c r="I647" s="15">
        <f t="shared" si="148"/>
        <v>20</v>
      </c>
      <c r="J647" s="15">
        <f t="shared" si="145"/>
        <v>0</v>
      </c>
      <c r="K647" s="15">
        <f>MIN(J647+G647,(J647+G647)*'Hoja 4 - Cálculo'!$B$15)</f>
        <v>0.27387</v>
      </c>
      <c r="L647" s="15">
        <f t="shared" si="149"/>
        <v>13.41963</v>
      </c>
      <c r="M647" s="15">
        <f t="shared" si="150"/>
        <v>13.41963</v>
      </c>
      <c r="N647" s="15">
        <f t="shared" si="151"/>
        <v>0</v>
      </c>
      <c r="O647" s="15">
        <f t="shared" si="152"/>
        <v>0</v>
      </c>
      <c r="P647" s="15">
        <f t="shared" si="153"/>
        <v>6.5803700000000003</v>
      </c>
      <c r="Q647" s="14" t="str">
        <f>IF(M647&gt;=I647*'Hoja 4 - Cálculo'!$B$16,"Satisfactorio","Falla")</f>
        <v>Falla</v>
      </c>
      <c r="R647" s="14">
        <f t="shared" si="146"/>
        <v>0</v>
      </c>
      <c r="S647" s="14">
        <f t="shared" si="147"/>
        <v>0</v>
      </c>
    </row>
    <row r="648" spans="1:19">
      <c r="A648" s="14" t="str">
        <f t="shared" si="144"/>
        <v>SRY-2-3</v>
      </c>
      <c r="B648" s="15">
        <f>'Curvas SRY'!$B$9</f>
        <v>2</v>
      </c>
      <c r="C648" s="15">
        <f>'Curvas SRY'!$E$10</f>
        <v>1.25</v>
      </c>
      <c r="D648" s="14" t="str">
        <f>'Curvas SRY'!$B$14</f>
        <v>Uso variable</v>
      </c>
      <c r="E648" s="14">
        <f>45</f>
        <v>45</v>
      </c>
      <c r="F648" s="21">
        <f>'Hoja 4 - Cálculo'!A69</f>
        <v>30926</v>
      </c>
      <c r="G648" s="15">
        <f>'Hoja 4 - Cálculo'!H69</f>
        <v>20.521125000000001</v>
      </c>
      <c r="H648" s="15">
        <f>IF(D648="Uso único",'Hoja 4 - Cálculo'!I69,IF(D648="Uso múltiple",AVERAGE('Hoja 4 - Cálculo'!$I$25:$I$384)+AVERAGE('Hoja 4 - Cálculo'!$J$25:$J$384)+AVERAGE('Hoja 4 - Cálculo'!$K$25:$K$384),IF(D648="Uso prioritario",'Hoja 4 - Cálculo'!I69+'Hoja 4 - Cálculo'!K69,'Hoja 4 - Cálculo'!I69+'Hoja 4 - Cálculo'!J69+'Hoja 4 - Cálculo'!K69)))</f>
        <v>11.5</v>
      </c>
      <c r="I648" s="15">
        <f t="shared" si="148"/>
        <v>14.375</v>
      </c>
      <c r="J648" s="15">
        <f t="shared" si="145"/>
        <v>0</v>
      </c>
      <c r="K648" s="15">
        <f>MIN(J648+G648,(J648+G648)*'Hoja 4 - Cálculo'!$B$15)</f>
        <v>0.41042250000000002</v>
      </c>
      <c r="L648" s="15">
        <f t="shared" si="149"/>
        <v>20.110702500000002</v>
      </c>
      <c r="M648" s="15">
        <f t="shared" si="150"/>
        <v>14.375</v>
      </c>
      <c r="N648" s="15">
        <f t="shared" si="151"/>
        <v>2</v>
      </c>
      <c r="O648" s="15">
        <f t="shared" si="152"/>
        <v>3.7357025000000021</v>
      </c>
      <c r="P648" s="15">
        <f t="shared" si="153"/>
        <v>0</v>
      </c>
      <c r="Q648" s="14" t="str">
        <f>IF(M648&gt;=I648*'Hoja 4 - Cálculo'!$B$16,"Satisfactorio","Falla")</f>
        <v>Satisfactorio</v>
      </c>
      <c r="R648" s="14">
        <f t="shared" si="146"/>
        <v>1</v>
      </c>
      <c r="S648" s="14">
        <f t="shared" si="147"/>
        <v>0</v>
      </c>
    </row>
    <row r="649" spans="1:19">
      <c r="A649" s="14" t="str">
        <f t="shared" si="144"/>
        <v>SRY-2-3</v>
      </c>
      <c r="B649" s="15">
        <f>'Curvas SRY'!$B$9</f>
        <v>2</v>
      </c>
      <c r="C649" s="15">
        <f>'Curvas SRY'!$E$10</f>
        <v>1.25</v>
      </c>
      <c r="D649" s="14" t="str">
        <f>'Curvas SRY'!$B$14</f>
        <v>Uso variable</v>
      </c>
      <c r="E649" s="14">
        <f>46</f>
        <v>46</v>
      </c>
      <c r="F649" s="21">
        <f>'Hoja 4 - Cálculo'!A70</f>
        <v>30956</v>
      </c>
      <c r="G649" s="15">
        <f>'Hoja 4 - Cálculo'!H70</f>
        <v>27.061875000000001</v>
      </c>
      <c r="H649" s="15">
        <f>IF(D649="Uso único",'Hoja 4 - Cálculo'!I70,IF(D649="Uso múltiple",AVERAGE('Hoja 4 - Cálculo'!$I$25:$I$384)+AVERAGE('Hoja 4 - Cálculo'!$J$25:$J$384)+AVERAGE('Hoja 4 - Cálculo'!$K$25:$K$384),IF(D649="Uso prioritario",'Hoja 4 - Cálculo'!I70+'Hoja 4 - Cálculo'!K70,'Hoja 4 - Cálculo'!I70+'Hoja 4 - Cálculo'!J70+'Hoja 4 - Cálculo'!K70)))</f>
        <v>11.5</v>
      </c>
      <c r="I649" s="15">
        <f t="shared" si="148"/>
        <v>14.375</v>
      </c>
      <c r="J649" s="15">
        <f t="shared" si="145"/>
        <v>2</v>
      </c>
      <c r="K649" s="15">
        <f>MIN(J649+G649,(J649+G649)*'Hoja 4 - Cálculo'!$B$15)</f>
        <v>0.58123750000000007</v>
      </c>
      <c r="L649" s="15">
        <f t="shared" si="149"/>
        <v>28.4806375</v>
      </c>
      <c r="M649" s="15">
        <f t="shared" si="150"/>
        <v>14.375</v>
      </c>
      <c r="N649" s="15">
        <f t="shared" si="151"/>
        <v>2</v>
      </c>
      <c r="O649" s="15">
        <f t="shared" si="152"/>
        <v>12.1056375</v>
      </c>
      <c r="P649" s="15">
        <f t="shared" si="153"/>
        <v>0</v>
      </c>
      <c r="Q649" s="14" t="str">
        <f>IF(M649&gt;=I649*'Hoja 4 - Cálculo'!$B$16,"Satisfactorio","Falla")</f>
        <v>Satisfactorio</v>
      </c>
      <c r="R649" s="14">
        <f t="shared" si="146"/>
        <v>0</v>
      </c>
      <c r="S649" s="14">
        <f t="shared" si="147"/>
        <v>0</v>
      </c>
    </row>
    <row r="650" spans="1:19">
      <c r="A650" s="14" t="str">
        <f t="shared" si="144"/>
        <v>SRY-2-3</v>
      </c>
      <c r="B650" s="15">
        <f>'Curvas SRY'!$B$9</f>
        <v>2</v>
      </c>
      <c r="C650" s="15">
        <f>'Curvas SRY'!$E$10</f>
        <v>1.25</v>
      </c>
      <c r="D650" s="14" t="str">
        <f>'Curvas SRY'!$B$14</f>
        <v>Uso variable</v>
      </c>
      <c r="E650" s="14">
        <f>47</f>
        <v>47</v>
      </c>
      <c r="F650" s="21">
        <f>'Hoja 4 - Cálculo'!A71</f>
        <v>30987</v>
      </c>
      <c r="G650" s="15">
        <f>'Hoja 4 - Cálculo'!H71</f>
        <v>24.346125000000001</v>
      </c>
      <c r="H650" s="15">
        <f>IF(D650="Uso único",'Hoja 4 - Cálculo'!I71,IF(D650="Uso múltiple",AVERAGE('Hoja 4 - Cálculo'!$I$25:$I$384)+AVERAGE('Hoja 4 - Cálculo'!$J$25:$J$384)+AVERAGE('Hoja 4 - Cálculo'!$K$25:$K$384),IF(D650="Uso prioritario",'Hoja 4 - Cálculo'!I71+'Hoja 4 - Cálculo'!K71,'Hoja 4 - Cálculo'!I71+'Hoja 4 - Cálculo'!J71+'Hoja 4 - Cálculo'!K71)))</f>
        <v>11.5</v>
      </c>
      <c r="I650" s="15">
        <f t="shared" si="148"/>
        <v>14.375</v>
      </c>
      <c r="J650" s="15">
        <f t="shared" si="145"/>
        <v>2</v>
      </c>
      <c r="K650" s="15">
        <f>MIN(J650+G650,(J650+G650)*'Hoja 4 - Cálculo'!$B$15)</f>
        <v>0.52692250000000007</v>
      </c>
      <c r="L650" s="15">
        <f t="shared" si="149"/>
        <v>25.819202499999999</v>
      </c>
      <c r="M650" s="15">
        <f t="shared" si="150"/>
        <v>14.375</v>
      </c>
      <c r="N650" s="15">
        <f t="shared" si="151"/>
        <v>2</v>
      </c>
      <c r="O650" s="15">
        <f t="shared" si="152"/>
        <v>9.4442024999999994</v>
      </c>
      <c r="P650" s="15">
        <f t="shared" si="153"/>
        <v>0</v>
      </c>
      <c r="Q650" s="14" t="str">
        <f>IF(M650&gt;=I650*'Hoja 4 - Cálculo'!$B$16,"Satisfactorio","Falla")</f>
        <v>Satisfactorio</v>
      </c>
      <c r="R650" s="14">
        <f t="shared" si="146"/>
        <v>0</v>
      </c>
      <c r="S650" s="14">
        <f t="shared" si="147"/>
        <v>0</v>
      </c>
    </row>
    <row r="651" spans="1:19">
      <c r="A651" s="14" t="str">
        <f t="shared" si="144"/>
        <v>SRY-2-3</v>
      </c>
      <c r="B651" s="15">
        <f>'Curvas SRY'!$B$9</f>
        <v>2</v>
      </c>
      <c r="C651" s="15">
        <f>'Curvas SRY'!$E$10</f>
        <v>1.25</v>
      </c>
      <c r="D651" s="14" t="str">
        <f>'Curvas SRY'!$B$14</f>
        <v>Uso variable</v>
      </c>
      <c r="E651" s="14">
        <f>48</f>
        <v>48</v>
      </c>
      <c r="F651" s="21">
        <f>'Hoja 4 - Cálculo'!A72</f>
        <v>31017</v>
      </c>
      <c r="G651" s="15">
        <f>'Hoja 4 - Cálculo'!H72</f>
        <v>14.745374999999999</v>
      </c>
      <c r="H651" s="15">
        <f>IF(D651="Uso único",'Hoja 4 - Cálculo'!I72,IF(D651="Uso múltiple",AVERAGE('Hoja 4 - Cálculo'!$I$25:$I$384)+AVERAGE('Hoja 4 - Cálculo'!$J$25:$J$384)+AVERAGE('Hoja 4 - Cálculo'!$K$25:$K$384),IF(D651="Uso prioritario",'Hoja 4 - Cálculo'!I72+'Hoja 4 - Cálculo'!K72,'Hoja 4 - Cálculo'!I72+'Hoja 4 - Cálculo'!J72+'Hoja 4 - Cálculo'!K72)))</f>
        <v>16</v>
      </c>
      <c r="I651" s="15">
        <f t="shared" si="148"/>
        <v>20</v>
      </c>
      <c r="J651" s="15">
        <f t="shared" si="145"/>
        <v>2</v>
      </c>
      <c r="K651" s="15">
        <f>MIN(J651+G651,(J651+G651)*'Hoja 4 - Cálculo'!$B$15)</f>
        <v>0.33490749999999997</v>
      </c>
      <c r="L651" s="15">
        <f t="shared" si="149"/>
        <v>16.410467499999999</v>
      </c>
      <c r="M651" s="15">
        <f t="shared" si="150"/>
        <v>16.410467499999999</v>
      </c>
      <c r="N651" s="15">
        <f t="shared" si="151"/>
        <v>0</v>
      </c>
      <c r="O651" s="15">
        <f t="shared" si="152"/>
        <v>0</v>
      </c>
      <c r="P651" s="15">
        <f t="shared" si="153"/>
        <v>3.5895325000000007</v>
      </c>
      <c r="Q651" s="14" t="str">
        <f>IF(M651&gt;=I651*'Hoja 4 - Cálculo'!$B$16,"Satisfactorio","Falla")</f>
        <v>Falla</v>
      </c>
      <c r="R651" s="14">
        <f t="shared" si="146"/>
        <v>0</v>
      </c>
      <c r="S651" s="14">
        <f t="shared" si="147"/>
        <v>1</v>
      </c>
    </row>
    <row r="652" spans="1:19">
      <c r="A652" s="14" t="str">
        <f t="shared" si="144"/>
        <v>SRY-2-3</v>
      </c>
      <c r="B652" s="15">
        <f>'Curvas SRY'!$B$9</f>
        <v>2</v>
      </c>
      <c r="C652" s="15">
        <f>'Curvas SRY'!$E$10</f>
        <v>1.25</v>
      </c>
      <c r="D652" s="14" t="str">
        <f>'Curvas SRY'!$B$14</f>
        <v>Uso variable</v>
      </c>
      <c r="E652" s="14">
        <f>49</f>
        <v>49</v>
      </c>
      <c r="F652" s="21">
        <f>'Hoja 4 - Cálculo'!A73</f>
        <v>31048</v>
      </c>
      <c r="G652" s="15">
        <f>'Hoja 4 - Cálculo'!H73</f>
        <v>10.767374999999999</v>
      </c>
      <c r="H652" s="15">
        <f>IF(D652="Uso único",'Hoja 4 - Cálculo'!I73,IF(D652="Uso múltiple",AVERAGE('Hoja 4 - Cálculo'!$I$25:$I$384)+AVERAGE('Hoja 4 - Cálculo'!$J$25:$J$384)+AVERAGE('Hoja 4 - Cálculo'!$K$25:$K$384),IF(D652="Uso prioritario",'Hoja 4 - Cálculo'!I73+'Hoja 4 - Cálculo'!K73,'Hoja 4 - Cálculo'!I73+'Hoja 4 - Cálculo'!J73+'Hoja 4 - Cálculo'!K73)))</f>
        <v>16</v>
      </c>
      <c r="I652" s="15">
        <f t="shared" si="148"/>
        <v>20</v>
      </c>
      <c r="J652" s="15">
        <f t="shared" si="145"/>
        <v>0</v>
      </c>
      <c r="K652" s="15">
        <f>MIN(J652+G652,(J652+G652)*'Hoja 4 - Cálculo'!$B$15)</f>
        <v>0.2153475</v>
      </c>
      <c r="L652" s="15">
        <f t="shared" si="149"/>
        <v>10.552027499999999</v>
      </c>
      <c r="M652" s="15">
        <f t="shared" si="150"/>
        <v>10.552027499999999</v>
      </c>
      <c r="N652" s="15">
        <f t="shared" si="151"/>
        <v>0</v>
      </c>
      <c r="O652" s="15">
        <f t="shared" si="152"/>
        <v>0</v>
      </c>
      <c r="P652" s="15">
        <f t="shared" si="153"/>
        <v>9.4479725000000006</v>
      </c>
      <c r="Q652" s="14" t="str">
        <f>IF(M652&gt;=I652*'Hoja 4 - Cálculo'!$B$16,"Satisfactorio","Falla")</f>
        <v>Falla</v>
      </c>
      <c r="R652" s="14">
        <f t="shared" si="146"/>
        <v>0</v>
      </c>
      <c r="S652" s="14">
        <f t="shared" si="147"/>
        <v>0</v>
      </c>
    </row>
    <row r="653" spans="1:19">
      <c r="A653" s="14" t="str">
        <f t="shared" si="144"/>
        <v>SRY-2-3</v>
      </c>
      <c r="B653" s="15">
        <f>'Curvas SRY'!$B$9</f>
        <v>2</v>
      </c>
      <c r="C653" s="15">
        <f>'Curvas SRY'!$E$10</f>
        <v>1.25</v>
      </c>
      <c r="D653" s="14" t="str">
        <f>'Curvas SRY'!$B$14</f>
        <v>Uso variable</v>
      </c>
      <c r="E653" s="14">
        <f>50</f>
        <v>50</v>
      </c>
      <c r="F653" s="21">
        <f>'Hoja 4 - Cálculo'!A74</f>
        <v>31079</v>
      </c>
      <c r="G653" s="15">
        <f>'Hoja 4 - Cálculo'!H74</f>
        <v>13.464</v>
      </c>
      <c r="H653" s="15">
        <f>IF(D653="Uso único",'Hoja 4 - Cálculo'!I74,IF(D653="Uso múltiple",AVERAGE('Hoja 4 - Cálculo'!$I$25:$I$384)+AVERAGE('Hoja 4 - Cálculo'!$J$25:$J$384)+AVERAGE('Hoja 4 - Cálculo'!$K$25:$K$384),IF(D653="Uso prioritario",'Hoja 4 - Cálculo'!I74+'Hoja 4 - Cálculo'!K74,'Hoja 4 - Cálculo'!I74+'Hoja 4 - Cálculo'!J74+'Hoja 4 - Cálculo'!K74)))</f>
        <v>16</v>
      </c>
      <c r="I653" s="15">
        <f t="shared" si="148"/>
        <v>20</v>
      </c>
      <c r="J653" s="15">
        <f t="shared" si="145"/>
        <v>0</v>
      </c>
      <c r="K653" s="15">
        <f>MIN(J653+G653,(J653+G653)*'Hoja 4 - Cálculo'!$B$15)</f>
        <v>0.26928000000000002</v>
      </c>
      <c r="L653" s="15">
        <f t="shared" si="149"/>
        <v>13.19472</v>
      </c>
      <c r="M653" s="15">
        <f t="shared" si="150"/>
        <v>13.19472</v>
      </c>
      <c r="N653" s="15">
        <f t="shared" si="151"/>
        <v>0</v>
      </c>
      <c r="O653" s="15">
        <f t="shared" si="152"/>
        <v>0</v>
      </c>
      <c r="P653" s="15">
        <f t="shared" si="153"/>
        <v>6.8052799999999998</v>
      </c>
      <c r="Q653" s="14" t="str">
        <f>IF(M653&gt;=I653*'Hoja 4 - Cálculo'!$B$16,"Satisfactorio","Falla")</f>
        <v>Falla</v>
      </c>
      <c r="R653" s="14">
        <f t="shared" si="146"/>
        <v>0</v>
      </c>
      <c r="S653" s="14">
        <f t="shared" si="147"/>
        <v>0</v>
      </c>
    </row>
    <row r="654" spans="1:19">
      <c r="A654" s="14" t="str">
        <f t="shared" si="144"/>
        <v>SRY-2-3</v>
      </c>
      <c r="B654" s="15">
        <f>'Curvas SRY'!$B$9</f>
        <v>2</v>
      </c>
      <c r="C654" s="15">
        <f>'Curvas SRY'!$E$10</f>
        <v>1.25</v>
      </c>
      <c r="D654" s="14" t="str">
        <f>'Curvas SRY'!$B$14</f>
        <v>Uso variable</v>
      </c>
      <c r="E654" s="14">
        <f>51</f>
        <v>51</v>
      </c>
      <c r="F654" s="21">
        <f>'Hoja 4 - Cálculo'!A75</f>
        <v>31107</v>
      </c>
      <c r="G654" s="15">
        <f>'Hoja 4 - Cálculo'!H75</f>
        <v>19.450125</v>
      </c>
      <c r="H654" s="15">
        <f>IF(D654="Uso único",'Hoja 4 - Cálculo'!I75,IF(D654="Uso múltiple",AVERAGE('Hoja 4 - Cálculo'!$I$25:$I$384)+AVERAGE('Hoja 4 - Cálculo'!$J$25:$J$384)+AVERAGE('Hoja 4 - Cálculo'!$K$25:$K$384),IF(D654="Uso prioritario",'Hoja 4 - Cálculo'!I75+'Hoja 4 - Cálculo'!K75,'Hoja 4 - Cálculo'!I75+'Hoja 4 - Cálculo'!J75+'Hoja 4 - Cálculo'!K75)))</f>
        <v>16</v>
      </c>
      <c r="I654" s="15">
        <f t="shared" si="148"/>
        <v>20</v>
      </c>
      <c r="J654" s="15">
        <f t="shared" si="145"/>
        <v>0</v>
      </c>
      <c r="K654" s="15">
        <f>MIN(J654+G654,(J654+G654)*'Hoja 4 - Cálculo'!$B$15)</f>
        <v>0.38900250000000003</v>
      </c>
      <c r="L654" s="15">
        <f t="shared" si="149"/>
        <v>19.0611225</v>
      </c>
      <c r="M654" s="15">
        <f t="shared" si="150"/>
        <v>19.0611225</v>
      </c>
      <c r="N654" s="15">
        <f t="shared" si="151"/>
        <v>0</v>
      </c>
      <c r="O654" s="15">
        <f t="shared" si="152"/>
        <v>0</v>
      </c>
      <c r="P654" s="15">
        <f t="shared" si="153"/>
        <v>0.93887750000000025</v>
      </c>
      <c r="Q654" s="14" t="str">
        <f>IF(M654&gt;=I654*'Hoja 4 - Cálculo'!$B$16,"Satisfactorio","Falla")</f>
        <v>Falla</v>
      </c>
      <c r="R654" s="14">
        <f t="shared" si="146"/>
        <v>0</v>
      </c>
      <c r="S654" s="14">
        <f t="shared" si="147"/>
        <v>0</v>
      </c>
    </row>
    <row r="655" spans="1:19">
      <c r="A655" s="14" t="str">
        <f t="shared" si="144"/>
        <v>SRY-2-3</v>
      </c>
      <c r="B655" s="15">
        <f>'Curvas SRY'!$B$9</f>
        <v>2</v>
      </c>
      <c r="C655" s="15">
        <f>'Curvas SRY'!$E$10</f>
        <v>1.25</v>
      </c>
      <c r="D655" s="14" t="str">
        <f>'Curvas SRY'!$B$14</f>
        <v>Uso variable</v>
      </c>
      <c r="E655" s="14">
        <f>52</f>
        <v>52</v>
      </c>
      <c r="F655" s="21">
        <f>'Hoja 4 - Cálculo'!A76</f>
        <v>31138</v>
      </c>
      <c r="G655" s="15">
        <f>'Hoja 4 - Cálculo'!H76</f>
        <v>25.51275</v>
      </c>
      <c r="H655" s="15">
        <f>IF(D655="Uso único",'Hoja 4 - Cálculo'!I76,IF(D655="Uso múltiple",AVERAGE('Hoja 4 - Cálculo'!$I$25:$I$384)+AVERAGE('Hoja 4 - Cálculo'!$J$25:$J$384)+AVERAGE('Hoja 4 - Cálculo'!$K$25:$K$384),IF(D655="Uso prioritario",'Hoja 4 - Cálculo'!I76+'Hoja 4 - Cálculo'!K76,'Hoja 4 - Cálculo'!I76+'Hoja 4 - Cálculo'!J76+'Hoja 4 - Cálculo'!K76)))</f>
        <v>11.5</v>
      </c>
      <c r="I655" s="15">
        <f t="shared" si="148"/>
        <v>14.375</v>
      </c>
      <c r="J655" s="15">
        <f t="shared" si="145"/>
        <v>0</v>
      </c>
      <c r="K655" s="15">
        <f>MIN(J655+G655,(J655+G655)*'Hoja 4 - Cálculo'!$B$15)</f>
        <v>0.51025500000000001</v>
      </c>
      <c r="L655" s="15">
        <f t="shared" si="149"/>
        <v>25.002495</v>
      </c>
      <c r="M655" s="15">
        <f t="shared" si="150"/>
        <v>14.375</v>
      </c>
      <c r="N655" s="15">
        <f t="shared" si="151"/>
        <v>2</v>
      </c>
      <c r="O655" s="15">
        <f t="shared" si="152"/>
        <v>8.6274949999999997</v>
      </c>
      <c r="P655" s="15">
        <f t="shared" si="153"/>
        <v>0</v>
      </c>
      <c r="Q655" s="14" t="str">
        <f>IF(M655&gt;=I655*'Hoja 4 - Cálculo'!$B$16,"Satisfactorio","Falla")</f>
        <v>Satisfactorio</v>
      </c>
      <c r="R655" s="14">
        <f t="shared" si="146"/>
        <v>1</v>
      </c>
      <c r="S655" s="14">
        <f t="shared" si="147"/>
        <v>0</v>
      </c>
    </row>
    <row r="656" spans="1:19">
      <c r="A656" s="14" t="str">
        <f t="shared" si="144"/>
        <v>SRY-2-3</v>
      </c>
      <c r="B656" s="15">
        <f>'Curvas SRY'!$B$9</f>
        <v>2</v>
      </c>
      <c r="C656" s="15">
        <f>'Curvas SRY'!$E$10</f>
        <v>1.25</v>
      </c>
      <c r="D656" s="14" t="str">
        <f>'Curvas SRY'!$B$14</f>
        <v>Uso variable</v>
      </c>
      <c r="E656" s="14">
        <f>53</f>
        <v>53</v>
      </c>
      <c r="F656" s="21">
        <f>'Hoja 4 - Cálculo'!A77</f>
        <v>31168</v>
      </c>
      <c r="G656" s="15">
        <f>'Hoja 4 - Cálculo'!H77</f>
        <v>24.36525</v>
      </c>
      <c r="H656" s="15">
        <f>IF(D656="Uso único",'Hoja 4 - Cálculo'!I77,IF(D656="Uso múltiple",AVERAGE('Hoja 4 - Cálculo'!$I$25:$I$384)+AVERAGE('Hoja 4 - Cálculo'!$J$25:$J$384)+AVERAGE('Hoja 4 - Cálculo'!$K$25:$K$384),IF(D656="Uso prioritario",'Hoja 4 - Cálculo'!I77+'Hoja 4 - Cálculo'!K77,'Hoja 4 - Cálculo'!I77+'Hoja 4 - Cálculo'!J77+'Hoja 4 - Cálculo'!K77)))</f>
        <v>11.5</v>
      </c>
      <c r="I656" s="15">
        <f t="shared" si="148"/>
        <v>14.375</v>
      </c>
      <c r="J656" s="15">
        <f t="shared" si="145"/>
        <v>2</v>
      </c>
      <c r="K656" s="15">
        <f>MIN(J656+G656,(J656+G656)*'Hoja 4 - Cálculo'!$B$15)</f>
        <v>0.52730500000000002</v>
      </c>
      <c r="L656" s="15">
        <f t="shared" si="149"/>
        <v>25.837945000000001</v>
      </c>
      <c r="M656" s="15">
        <f t="shared" si="150"/>
        <v>14.375</v>
      </c>
      <c r="N656" s="15">
        <f t="shared" si="151"/>
        <v>2</v>
      </c>
      <c r="O656" s="15">
        <f t="shared" si="152"/>
        <v>9.4629450000000013</v>
      </c>
      <c r="P656" s="15">
        <f t="shared" si="153"/>
        <v>0</v>
      </c>
      <c r="Q656" s="14" t="str">
        <f>IF(M656&gt;=I656*'Hoja 4 - Cálculo'!$B$16,"Satisfactorio","Falla")</f>
        <v>Satisfactorio</v>
      </c>
      <c r="R656" s="14">
        <f t="shared" si="146"/>
        <v>0</v>
      </c>
      <c r="S656" s="14">
        <f t="shared" si="147"/>
        <v>0</v>
      </c>
    </row>
    <row r="657" spans="1:19">
      <c r="A657" s="14" t="str">
        <f t="shared" si="144"/>
        <v>SRY-2-3</v>
      </c>
      <c r="B657" s="15">
        <f>'Curvas SRY'!$B$9</f>
        <v>2</v>
      </c>
      <c r="C657" s="15">
        <f>'Curvas SRY'!$E$10</f>
        <v>1.25</v>
      </c>
      <c r="D657" s="14" t="str">
        <f>'Curvas SRY'!$B$14</f>
        <v>Uso variable</v>
      </c>
      <c r="E657" s="14">
        <f>54</f>
        <v>54</v>
      </c>
      <c r="F657" s="21">
        <f>'Hoja 4 - Cálculo'!A78</f>
        <v>31199</v>
      </c>
      <c r="G657" s="15">
        <f>'Hoja 4 - Cálculo'!H78</f>
        <v>15.395625000000001</v>
      </c>
      <c r="H657" s="15">
        <f>IF(D657="Uso único",'Hoja 4 - Cálculo'!I78,IF(D657="Uso múltiple",AVERAGE('Hoja 4 - Cálculo'!$I$25:$I$384)+AVERAGE('Hoja 4 - Cálculo'!$J$25:$J$384)+AVERAGE('Hoja 4 - Cálculo'!$K$25:$K$384),IF(D657="Uso prioritario",'Hoja 4 - Cálculo'!I78+'Hoja 4 - Cálculo'!K78,'Hoja 4 - Cálculo'!I78+'Hoja 4 - Cálculo'!J78+'Hoja 4 - Cálculo'!K78)))</f>
        <v>11.5</v>
      </c>
      <c r="I657" s="15">
        <f t="shared" si="148"/>
        <v>14.375</v>
      </c>
      <c r="J657" s="15">
        <f t="shared" si="145"/>
        <v>2</v>
      </c>
      <c r="K657" s="15">
        <f>MIN(J657+G657,(J657+G657)*'Hoja 4 - Cálculo'!$B$15)</f>
        <v>0.34791250000000007</v>
      </c>
      <c r="L657" s="15">
        <f t="shared" si="149"/>
        <v>17.047712500000003</v>
      </c>
      <c r="M657" s="15">
        <f t="shared" si="150"/>
        <v>14.375</v>
      </c>
      <c r="N657" s="15">
        <f t="shared" si="151"/>
        <v>2</v>
      </c>
      <c r="O657" s="15">
        <f t="shared" si="152"/>
        <v>0.67271250000000293</v>
      </c>
      <c r="P657" s="15">
        <f t="shared" si="153"/>
        <v>0</v>
      </c>
      <c r="Q657" s="14" t="str">
        <f>IF(M657&gt;=I657*'Hoja 4 - Cálculo'!$B$16,"Satisfactorio","Falla")</f>
        <v>Satisfactorio</v>
      </c>
      <c r="R657" s="14">
        <f t="shared" si="146"/>
        <v>0</v>
      </c>
      <c r="S657" s="14">
        <f t="shared" si="147"/>
        <v>0</v>
      </c>
    </row>
    <row r="658" spans="1:19">
      <c r="A658" s="14" t="str">
        <f t="shared" si="144"/>
        <v>SRY-2-3</v>
      </c>
      <c r="B658" s="15">
        <f>'Curvas SRY'!$B$9</f>
        <v>2</v>
      </c>
      <c r="C658" s="15">
        <f>'Curvas SRY'!$E$10</f>
        <v>1.25</v>
      </c>
      <c r="D658" s="14" t="str">
        <f>'Curvas SRY'!$B$14</f>
        <v>Uso variable</v>
      </c>
      <c r="E658" s="14">
        <f>55</f>
        <v>55</v>
      </c>
      <c r="F658" s="21">
        <f>'Hoja 4 - Cálculo'!A79</f>
        <v>31229</v>
      </c>
      <c r="G658" s="15">
        <f>'Hoja 4 - Cálculo'!H79</f>
        <v>11.742749999999999</v>
      </c>
      <c r="H658" s="15">
        <f>IF(D658="Uso único",'Hoja 4 - Cálculo'!I79,IF(D658="Uso múltiple",AVERAGE('Hoja 4 - Cálculo'!$I$25:$I$384)+AVERAGE('Hoja 4 - Cálculo'!$J$25:$J$384)+AVERAGE('Hoja 4 - Cálculo'!$K$25:$K$384),IF(D658="Uso prioritario",'Hoja 4 - Cálculo'!I79+'Hoja 4 - Cálculo'!K79,'Hoja 4 - Cálculo'!I79+'Hoja 4 - Cálculo'!J79+'Hoja 4 - Cálculo'!K79)))</f>
        <v>16</v>
      </c>
      <c r="I658" s="15">
        <f t="shared" si="148"/>
        <v>20</v>
      </c>
      <c r="J658" s="15">
        <f t="shared" si="145"/>
        <v>2</v>
      </c>
      <c r="K658" s="15">
        <f>MIN(J658+G658,(J658+G658)*'Hoja 4 - Cálculo'!$B$15)</f>
        <v>0.27485500000000002</v>
      </c>
      <c r="L658" s="15">
        <f t="shared" si="149"/>
        <v>13.467894999999999</v>
      </c>
      <c r="M658" s="15">
        <f t="shared" si="150"/>
        <v>13.467894999999999</v>
      </c>
      <c r="N658" s="15">
        <f t="shared" si="151"/>
        <v>0</v>
      </c>
      <c r="O658" s="15">
        <f t="shared" si="152"/>
        <v>0</v>
      </c>
      <c r="P658" s="15">
        <f t="shared" si="153"/>
        <v>6.5321050000000014</v>
      </c>
      <c r="Q658" s="14" t="str">
        <f>IF(M658&gt;=I658*'Hoja 4 - Cálculo'!$B$16,"Satisfactorio","Falla")</f>
        <v>Falla</v>
      </c>
      <c r="R658" s="14">
        <f t="shared" si="146"/>
        <v>0</v>
      </c>
      <c r="S658" s="14">
        <f t="shared" si="147"/>
        <v>1</v>
      </c>
    </row>
    <row r="659" spans="1:19">
      <c r="A659" s="14" t="str">
        <f t="shared" si="144"/>
        <v>SRY-2-3</v>
      </c>
      <c r="B659" s="15">
        <f>'Curvas SRY'!$B$9</f>
        <v>2</v>
      </c>
      <c r="C659" s="15">
        <f>'Curvas SRY'!$E$10</f>
        <v>1.25</v>
      </c>
      <c r="D659" s="14" t="str">
        <f>'Curvas SRY'!$B$14</f>
        <v>Uso variable</v>
      </c>
      <c r="E659" s="14">
        <f>56</f>
        <v>56</v>
      </c>
      <c r="F659" s="21">
        <f>'Hoja 4 - Cálculo'!A80</f>
        <v>31260</v>
      </c>
      <c r="G659" s="15">
        <f>'Hoja 4 - Cálculo'!H80</f>
        <v>12.603375</v>
      </c>
      <c r="H659" s="15">
        <f>IF(D659="Uso único",'Hoja 4 - Cálculo'!I80,IF(D659="Uso múltiple",AVERAGE('Hoja 4 - Cálculo'!$I$25:$I$384)+AVERAGE('Hoja 4 - Cálculo'!$J$25:$J$384)+AVERAGE('Hoja 4 - Cálculo'!$K$25:$K$384),IF(D659="Uso prioritario",'Hoja 4 - Cálculo'!I80+'Hoja 4 - Cálculo'!K80,'Hoja 4 - Cálculo'!I80+'Hoja 4 - Cálculo'!J80+'Hoja 4 - Cálculo'!K80)))</f>
        <v>16</v>
      </c>
      <c r="I659" s="15">
        <f t="shared" si="148"/>
        <v>20</v>
      </c>
      <c r="J659" s="15">
        <f t="shared" si="145"/>
        <v>0</v>
      </c>
      <c r="K659" s="15">
        <f>MIN(J659+G659,(J659+G659)*'Hoja 4 - Cálculo'!$B$15)</f>
        <v>0.2520675</v>
      </c>
      <c r="L659" s="15">
        <f t="shared" si="149"/>
        <v>12.351307499999999</v>
      </c>
      <c r="M659" s="15">
        <f t="shared" si="150"/>
        <v>12.351307499999999</v>
      </c>
      <c r="N659" s="15">
        <f t="shared" si="151"/>
        <v>0</v>
      </c>
      <c r="O659" s="15">
        <f t="shared" si="152"/>
        <v>0</v>
      </c>
      <c r="P659" s="15">
        <f t="shared" si="153"/>
        <v>7.648692500000001</v>
      </c>
      <c r="Q659" s="14" t="str">
        <f>IF(M659&gt;=I659*'Hoja 4 - Cálculo'!$B$16,"Satisfactorio","Falla")</f>
        <v>Falla</v>
      </c>
      <c r="R659" s="14">
        <f t="shared" si="146"/>
        <v>0</v>
      </c>
      <c r="S659" s="14">
        <f t="shared" si="147"/>
        <v>0</v>
      </c>
    </row>
    <row r="660" spans="1:19">
      <c r="A660" s="14" t="str">
        <f t="shared" si="144"/>
        <v>SRY-2-3</v>
      </c>
      <c r="B660" s="15">
        <f>'Curvas SRY'!$B$9</f>
        <v>2</v>
      </c>
      <c r="C660" s="15">
        <f>'Curvas SRY'!$E$10</f>
        <v>1.25</v>
      </c>
      <c r="D660" s="14" t="str">
        <f>'Curvas SRY'!$B$14</f>
        <v>Uso variable</v>
      </c>
      <c r="E660" s="14">
        <f>57</f>
        <v>57</v>
      </c>
      <c r="F660" s="21">
        <f>'Hoja 4 - Cálculo'!A81</f>
        <v>31291</v>
      </c>
      <c r="G660" s="15">
        <f>'Hoja 4 - Cálculo'!H81</f>
        <v>21.745125000000002</v>
      </c>
      <c r="H660" s="15">
        <f>IF(D660="Uso único",'Hoja 4 - Cálculo'!I81,IF(D660="Uso múltiple",AVERAGE('Hoja 4 - Cálculo'!$I$25:$I$384)+AVERAGE('Hoja 4 - Cálculo'!$J$25:$J$384)+AVERAGE('Hoja 4 - Cálculo'!$K$25:$K$384),IF(D660="Uso prioritario",'Hoja 4 - Cálculo'!I81+'Hoja 4 - Cálculo'!K81,'Hoja 4 - Cálculo'!I81+'Hoja 4 - Cálculo'!J81+'Hoja 4 - Cálculo'!K81)))</f>
        <v>11.5</v>
      </c>
      <c r="I660" s="15">
        <f t="shared" si="148"/>
        <v>14.375</v>
      </c>
      <c r="J660" s="15">
        <f t="shared" si="145"/>
        <v>0</v>
      </c>
      <c r="K660" s="15">
        <f>MIN(J660+G660,(J660+G660)*'Hoja 4 - Cálculo'!$B$15)</f>
        <v>0.43490250000000003</v>
      </c>
      <c r="L660" s="15">
        <f t="shared" si="149"/>
        <v>21.310222500000002</v>
      </c>
      <c r="M660" s="15">
        <f t="shared" si="150"/>
        <v>14.375</v>
      </c>
      <c r="N660" s="15">
        <f t="shared" si="151"/>
        <v>2</v>
      </c>
      <c r="O660" s="15">
        <f t="shared" si="152"/>
        <v>4.9352225000000018</v>
      </c>
      <c r="P660" s="15">
        <f t="shared" si="153"/>
        <v>0</v>
      </c>
      <c r="Q660" s="14" t="str">
        <f>IF(M660&gt;=I660*'Hoja 4 - Cálculo'!$B$16,"Satisfactorio","Falla")</f>
        <v>Satisfactorio</v>
      </c>
      <c r="R660" s="14">
        <f t="shared" si="146"/>
        <v>1</v>
      </c>
      <c r="S660" s="14">
        <f t="shared" si="147"/>
        <v>0</v>
      </c>
    </row>
    <row r="661" spans="1:19">
      <c r="A661" s="14" t="str">
        <f t="shared" si="144"/>
        <v>SRY-2-3</v>
      </c>
      <c r="B661" s="15">
        <f>'Curvas SRY'!$B$9</f>
        <v>2</v>
      </c>
      <c r="C661" s="15">
        <f>'Curvas SRY'!$E$10</f>
        <v>1.25</v>
      </c>
      <c r="D661" s="14" t="str">
        <f>'Curvas SRY'!$B$14</f>
        <v>Uso variable</v>
      </c>
      <c r="E661" s="14">
        <f>58</f>
        <v>58</v>
      </c>
      <c r="F661" s="21">
        <f>'Hoja 4 - Cálculo'!A82</f>
        <v>31321</v>
      </c>
      <c r="G661" s="15">
        <f>'Hoja 4 - Cálculo'!H82</f>
        <v>27.788625</v>
      </c>
      <c r="H661" s="15">
        <f>IF(D661="Uso único",'Hoja 4 - Cálculo'!I82,IF(D661="Uso múltiple",AVERAGE('Hoja 4 - Cálculo'!$I$25:$I$384)+AVERAGE('Hoja 4 - Cálculo'!$J$25:$J$384)+AVERAGE('Hoja 4 - Cálculo'!$K$25:$K$384),IF(D661="Uso prioritario",'Hoja 4 - Cálculo'!I82+'Hoja 4 - Cálculo'!K82,'Hoja 4 - Cálculo'!I82+'Hoja 4 - Cálculo'!J82+'Hoja 4 - Cálculo'!K82)))</f>
        <v>11.5</v>
      </c>
      <c r="I661" s="15">
        <f t="shared" si="148"/>
        <v>14.375</v>
      </c>
      <c r="J661" s="15">
        <f t="shared" si="145"/>
        <v>2</v>
      </c>
      <c r="K661" s="15">
        <f>MIN(J661+G661,(J661+G661)*'Hoja 4 - Cálculo'!$B$15)</f>
        <v>0.59577250000000004</v>
      </c>
      <c r="L661" s="15">
        <f t="shared" si="149"/>
        <v>29.192852500000001</v>
      </c>
      <c r="M661" s="15">
        <f t="shared" si="150"/>
        <v>14.375</v>
      </c>
      <c r="N661" s="15">
        <f t="shared" si="151"/>
        <v>2</v>
      </c>
      <c r="O661" s="15">
        <f t="shared" si="152"/>
        <v>12.817852500000001</v>
      </c>
      <c r="P661" s="15">
        <f t="shared" si="153"/>
        <v>0</v>
      </c>
      <c r="Q661" s="14" t="str">
        <f>IF(M661&gt;=I661*'Hoja 4 - Cálculo'!$B$16,"Satisfactorio","Falla")</f>
        <v>Satisfactorio</v>
      </c>
      <c r="R661" s="14">
        <f t="shared" si="146"/>
        <v>0</v>
      </c>
      <c r="S661" s="14">
        <f t="shared" si="147"/>
        <v>0</v>
      </c>
    </row>
    <row r="662" spans="1:19">
      <c r="A662" s="14" t="str">
        <f t="shared" si="144"/>
        <v>SRY-2-3</v>
      </c>
      <c r="B662" s="15">
        <f>'Curvas SRY'!$B$9</f>
        <v>2</v>
      </c>
      <c r="C662" s="15">
        <f>'Curvas SRY'!$E$10</f>
        <v>1.25</v>
      </c>
      <c r="D662" s="14" t="str">
        <f>'Curvas SRY'!$B$14</f>
        <v>Uso variable</v>
      </c>
      <c r="E662" s="14">
        <f>59</f>
        <v>59</v>
      </c>
      <c r="F662" s="21">
        <f>'Hoja 4 - Cálculo'!A83</f>
        <v>31352</v>
      </c>
      <c r="G662" s="15">
        <f>'Hoja 4 - Cálculo'!H83</f>
        <v>22.22325</v>
      </c>
      <c r="H662" s="15">
        <f>IF(D662="Uso único",'Hoja 4 - Cálculo'!I83,IF(D662="Uso múltiple",AVERAGE('Hoja 4 - Cálculo'!$I$25:$I$384)+AVERAGE('Hoja 4 - Cálculo'!$J$25:$J$384)+AVERAGE('Hoja 4 - Cálculo'!$K$25:$K$384),IF(D662="Uso prioritario",'Hoja 4 - Cálculo'!I83+'Hoja 4 - Cálculo'!K83,'Hoja 4 - Cálculo'!I83+'Hoja 4 - Cálculo'!J83+'Hoja 4 - Cálculo'!K83)))</f>
        <v>11.5</v>
      </c>
      <c r="I662" s="15">
        <f t="shared" si="148"/>
        <v>14.375</v>
      </c>
      <c r="J662" s="15">
        <f t="shared" si="145"/>
        <v>2</v>
      </c>
      <c r="K662" s="15">
        <f>MIN(J662+G662,(J662+G662)*'Hoja 4 - Cálculo'!$B$15)</f>
        <v>0.48446500000000003</v>
      </c>
      <c r="L662" s="15">
        <f t="shared" si="149"/>
        <v>23.738785</v>
      </c>
      <c r="M662" s="15">
        <f t="shared" si="150"/>
        <v>14.375</v>
      </c>
      <c r="N662" s="15">
        <f t="shared" si="151"/>
        <v>2</v>
      </c>
      <c r="O662" s="15">
        <f t="shared" si="152"/>
        <v>7.363785</v>
      </c>
      <c r="P662" s="15">
        <f t="shared" si="153"/>
        <v>0</v>
      </c>
      <c r="Q662" s="14" t="str">
        <f>IF(M662&gt;=I662*'Hoja 4 - Cálculo'!$B$16,"Satisfactorio","Falla")</f>
        <v>Satisfactorio</v>
      </c>
      <c r="R662" s="14">
        <f t="shared" si="146"/>
        <v>0</v>
      </c>
      <c r="S662" s="14">
        <f t="shared" si="147"/>
        <v>0</v>
      </c>
    </row>
    <row r="663" spans="1:19">
      <c r="A663" s="14" t="str">
        <f t="shared" si="144"/>
        <v>SRY-2-3</v>
      </c>
      <c r="B663" s="15">
        <f>'Curvas SRY'!$B$9</f>
        <v>2</v>
      </c>
      <c r="C663" s="15">
        <f>'Curvas SRY'!$E$10</f>
        <v>1.25</v>
      </c>
      <c r="D663" s="14" t="str">
        <f>'Curvas SRY'!$B$14</f>
        <v>Uso variable</v>
      </c>
      <c r="E663" s="14">
        <f>60</f>
        <v>60</v>
      </c>
      <c r="F663" s="21">
        <f>'Hoja 4 - Cálculo'!A84</f>
        <v>31382</v>
      </c>
      <c r="G663" s="15">
        <f>'Hoja 4 - Cálculo'!H84</f>
        <v>14.171625000000001</v>
      </c>
      <c r="H663" s="15">
        <f>IF(D663="Uso único",'Hoja 4 - Cálculo'!I84,IF(D663="Uso múltiple",AVERAGE('Hoja 4 - Cálculo'!$I$25:$I$384)+AVERAGE('Hoja 4 - Cálculo'!$J$25:$J$384)+AVERAGE('Hoja 4 - Cálculo'!$K$25:$K$384),IF(D663="Uso prioritario",'Hoja 4 - Cálculo'!I84+'Hoja 4 - Cálculo'!K84,'Hoja 4 - Cálculo'!I84+'Hoja 4 - Cálculo'!J84+'Hoja 4 - Cálculo'!K84)))</f>
        <v>16</v>
      </c>
      <c r="I663" s="15">
        <f t="shared" si="148"/>
        <v>20</v>
      </c>
      <c r="J663" s="15">
        <f t="shared" si="145"/>
        <v>2</v>
      </c>
      <c r="K663" s="15">
        <f>MIN(J663+G663,(J663+G663)*'Hoja 4 - Cálculo'!$B$15)</f>
        <v>0.32343249999999996</v>
      </c>
      <c r="L663" s="15">
        <f t="shared" si="149"/>
        <v>15.8481925</v>
      </c>
      <c r="M663" s="15">
        <f t="shared" si="150"/>
        <v>15.8481925</v>
      </c>
      <c r="N663" s="15">
        <f t="shared" si="151"/>
        <v>0</v>
      </c>
      <c r="O663" s="15">
        <f t="shared" si="152"/>
        <v>0</v>
      </c>
      <c r="P663" s="15">
        <f t="shared" si="153"/>
        <v>4.1518075000000003</v>
      </c>
      <c r="Q663" s="14" t="str">
        <f>IF(M663&gt;=I663*'Hoja 4 - Cálculo'!$B$16,"Satisfactorio","Falla")</f>
        <v>Falla</v>
      </c>
      <c r="R663" s="14">
        <f t="shared" si="146"/>
        <v>0</v>
      </c>
      <c r="S663" s="14">
        <f t="shared" si="147"/>
        <v>1</v>
      </c>
    </row>
    <row r="664" spans="1:19">
      <c r="A664" s="14" t="str">
        <f t="shared" si="144"/>
        <v>SRY-2-3</v>
      </c>
      <c r="B664" s="15">
        <f>'Curvas SRY'!$B$9</f>
        <v>2</v>
      </c>
      <c r="C664" s="15">
        <f>'Curvas SRY'!$E$10</f>
        <v>1.25</v>
      </c>
      <c r="D664" s="14" t="str">
        <f>'Curvas SRY'!$B$14</f>
        <v>Uso variable</v>
      </c>
      <c r="E664" s="14">
        <f>61</f>
        <v>61</v>
      </c>
      <c r="F664" s="21">
        <f>'Hoja 4 - Cálculo'!A85</f>
        <v>31413</v>
      </c>
      <c r="G664" s="15">
        <f>'Hoja 4 - Cálculo'!H85</f>
        <v>12.641624999999999</v>
      </c>
      <c r="H664" s="15">
        <f>IF(D664="Uso único",'Hoja 4 - Cálculo'!I85,IF(D664="Uso múltiple",AVERAGE('Hoja 4 - Cálculo'!$I$25:$I$384)+AVERAGE('Hoja 4 - Cálculo'!$J$25:$J$384)+AVERAGE('Hoja 4 - Cálculo'!$K$25:$K$384),IF(D664="Uso prioritario",'Hoja 4 - Cálculo'!I85+'Hoja 4 - Cálculo'!K85,'Hoja 4 - Cálculo'!I85+'Hoja 4 - Cálculo'!J85+'Hoja 4 - Cálculo'!K85)))</f>
        <v>16</v>
      </c>
      <c r="I664" s="15">
        <f t="shared" si="148"/>
        <v>20</v>
      </c>
      <c r="J664" s="15">
        <f t="shared" si="145"/>
        <v>0</v>
      </c>
      <c r="K664" s="15">
        <f>MIN(J664+G664,(J664+G664)*'Hoja 4 - Cálculo'!$B$15)</f>
        <v>0.25283250000000002</v>
      </c>
      <c r="L664" s="15">
        <f t="shared" si="149"/>
        <v>12.388792499999999</v>
      </c>
      <c r="M664" s="15">
        <f t="shared" si="150"/>
        <v>12.388792499999999</v>
      </c>
      <c r="N664" s="15">
        <f t="shared" si="151"/>
        <v>0</v>
      </c>
      <c r="O664" s="15">
        <f t="shared" si="152"/>
        <v>0</v>
      </c>
      <c r="P664" s="15">
        <f t="shared" si="153"/>
        <v>7.6112075000000008</v>
      </c>
      <c r="Q664" s="14" t="str">
        <f>IF(M664&gt;=I664*'Hoja 4 - Cálculo'!$B$16,"Satisfactorio","Falla")</f>
        <v>Falla</v>
      </c>
      <c r="R664" s="14">
        <f t="shared" si="146"/>
        <v>0</v>
      </c>
      <c r="S664" s="14">
        <f t="shared" si="147"/>
        <v>0</v>
      </c>
    </row>
    <row r="665" spans="1:19">
      <c r="A665" s="14" t="str">
        <f t="shared" si="144"/>
        <v>SRY-2-3</v>
      </c>
      <c r="B665" s="15">
        <f>'Curvas SRY'!$B$9</f>
        <v>2</v>
      </c>
      <c r="C665" s="15">
        <f>'Curvas SRY'!$E$10</f>
        <v>1.25</v>
      </c>
      <c r="D665" s="14" t="str">
        <f>'Curvas SRY'!$B$14</f>
        <v>Uso variable</v>
      </c>
      <c r="E665" s="14">
        <f>62</f>
        <v>62</v>
      </c>
      <c r="F665" s="21">
        <f>'Hoja 4 - Cálculo'!A86</f>
        <v>31444</v>
      </c>
      <c r="G665" s="15">
        <f>'Hoja 4 - Cálculo'!H86</f>
        <v>15.357374999999999</v>
      </c>
      <c r="H665" s="15">
        <f>IF(D665="Uso único",'Hoja 4 - Cálculo'!I86,IF(D665="Uso múltiple",AVERAGE('Hoja 4 - Cálculo'!$I$25:$I$384)+AVERAGE('Hoja 4 - Cálculo'!$J$25:$J$384)+AVERAGE('Hoja 4 - Cálculo'!$K$25:$K$384),IF(D665="Uso prioritario",'Hoja 4 - Cálculo'!I86+'Hoja 4 - Cálculo'!K86,'Hoja 4 - Cálculo'!I86+'Hoja 4 - Cálculo'!J86+'Hoja 4 - Cálculo'!K86)))</f>
        <v>16</v>
      </c>
      <c r="I665" s="15">
        <f t="shared" si="148"/>
        <v>20</v>
      </c>
      <c r="J665" s="15">
        <f t="shared" si="145"/>
        <v>0</v>
      </c>
      <c r="K665" s="15">
        <f>MIN(J665+G665,(J665+G665)*'Hoja 4 - Cálculo'!$B$15)</f>
        <v>0.30714750000000002</v>
      </c>
      <c r="L665" s="15">
        <f t="shared" si="149"/>
        <v>15.0502275</v>
      </c>
      <c r="M665" s="15">
        <f t="shared" si="150"/>
        <v>15.0502275</v>
      </c>
      <c r="N665" s="15">
        <f t="shared" si="151"/>
        <v>0</v>
      </c>
      <c r="O665" s="15">
        <f t="shared" si="152"/>
        <v>0</v>
      </c>
      <c r="P665" s="15">
        <f t="shared" si="153"/>
        <v>4.9497724999999999</v>
      </c>
      <c r="Q665" s="14" t="str">
        <f>IF(M665&gt;=I665*'Hoja 4 - Cálculo'!$B$16,"Satisfactorio","Falla")</f>
        <v>Falla</v>
      </c>
      <c r="R665" s="14">
        <f t="shared" si="146"/>
        <v>0</v>
      </c>
      <c r="S665" s="14">
        <f t="shared" si="147"/>
        <v>0</v>
      </c>
    </row>
    <row r="666" spans="1:19">
      <c r="A666" s="14" t="str">
        <f t="shared" si="144"/>
        <v>SRY-2-3</v>
      </c>
      <c r="B666" s="15">
        <f>'Curvas SRY'!$B$9</f>
        <v>2</v>
      </c>
      <c r="C666" s="15">
        <f>'Curvas SRY'!$E$10</f>
        <v>1.25</v>
      </c>
      <c r="D666" s="14" t="str">
        <f>'Curvas SRY'!$B$14</f>
        <v>Uso variable</v>
      </c>
      <c r="E666" s="14">
        <f>63</f>
        <v>63</v>
      </c>
      <c r="F666" s="21">
        <f>'Hoja 4 - Cálculo'!A87</f>
        <v>31472</v>
      </c>
      <c r="G666" s="15">
        <f>'Hoja 4 - Cálculo'!H87</f>
        <v>20.846250000000001</v>
      </c>
      <c r="H666" s="15">
        <f>IF(D666="Uso único",'Hoja 4 - Cálculo'!I87,IF(D666="Uso múltiple",AVERAGE('Hoja 4 - Cálculo'!$I$25:$I$384)+AVERAGE('Hoja 4 - Cálculo'!$J$25:$J$384)+AVERAGE('Hoja 4 - Cálculo'!$K$25:$K$384),IF(D666="Uso prioritario",'Hoja 4 - Cálculo'!I87+'Hoja 4 - Cálculo'!K87,'Hoja 4 - Cálculo'!I87+'Hoja 4 - Cálculo'!J87+'Hoja 4 - Cálculo'!K87)))</f>
        <v>16</v>
      </c>
      <c r="I666" s="15">
        <f t="shared" si="148"/>
        <v>20</v>
      </c>
      <c r="J666" s="15">
        <f t="shared" si="145"/>
        <v>0</v>
      </c>
      <c r="K666" s="15">
        <f>MIN(J666+G666,(J666+G666)*'Hoja 4 - Cálculo'!$B$15)</f>
        <v>0.41692500000000005</v>
      </c>
      <c r="L666" s="15">
        <f t="shared" si="149"/>
        <v>20.429325000000002</v>
      </c>
      <c r="M666" s="15">
        <f t="shared" si="150"/>
        <v>20</v>
      </c>
      <c r="N666" s="15">
        <f t="shared" si="151"/>
        <v>0.42932500000000218</v>
      </c>
      <c r="O666" s="15">
        <f t="shared" si="152"/>
        <v>0</v>
      </c>
      <c r="P666" s="15">
        <f t="shared" si="153"/>
        <v>0</v>
      </c>
      <c r="Q666" s="14" t="str">
        <f>IF(M666&gt;=I666*'Hoja 4 - Cálculo'!$B$16,"Satisfactorio","Falla")</f>
        <v>Satisfactorio</v>
      </c>
      <c r="R666" s="14">
        <f t="shared" si="146"/>
        <v>1</v>
      </c>
      <c r="S666" s="14">
        <f t="shared" si="147"/>
        <v>0</v>
      </c>
    </row>
    <row r="667" spans="1:19">
      <c r="A667" s="14" t="str">
        <f t="shared" si="144"/>
        <v>SRY-2-3</v>
      </c>
      <c r="B667" s="15">
        <f>'Curvas SRY'!$B$9</f>
        <v>2</v>
      </c>
      <c r="C667" s="15">
        <f>'Curvas SRY'!$E$10</f>
        <v>1.25</v>
      </c>
      <c r="D667" s="14" t="str">
        <f>'Curvas SRY'!$B$14</f>
        <v>Uso variable</v>
      </c>
      <c r="E667" s="14">
        <f>64</f>
        <v>64</v>
      </c>
      <c r="F667" s="21">
        <f>'Hoja 4 - Cálculo'!A88</f>
        <v>31503</v>
      </c>
      <c r="G667" s="15">
        <f>'Hoja 4 - Cálculo'!H88</f>
        <v>30.638249999999999</v>
      </c>
      <c r="H667" s="15">
        <f>IF(D667="Uso único",'Hoja 4 - Cálculo'!I88,IF(D667="Uso múltiple",AVERAGE('Hoja 4 - Cálculo'!$I$25:$I$384)+AVERAGE('Hoja 4 - Cálculo'!$J$25:$J$384)+AVERAGE('Hoja 4 - Cálculo'!$K$25:$K$384),IF(D667="Uso prioritario",'Hoja 4 - Cálculo'!I88+'Hoja 4 - Cálculo'!K88,'Hoja 4 - Cálculo'!I88+'Hoja 4 - Cálculo'!J88+'Hoja 4 - Cálculo'!K88)))</f>
        <v>11.5</v>
      </c>
      <c r="I667" s="15">
        <f t="shared" si="148"/>
        <v>14.375</v>
      </c>
      <c r="J667" s="15">
        <f t="shared" si="145"/>
        <v>0.42932500000000218</v>
      </c>
      <c r="K667" s="15">
        <f>MIN(J667+G667,(J667+G667)*'Hoja 4 - Cálculo'!$B$15)</f>
        <v>0.62135150000000006</v>
      </c>
      <c r="L667" s="15">
        <f t="shared" si="149"/>
        <v>30.446223500000002</v>
      </c>
      <c r="M667" s="15">
        <f t="shared" si="150"/>
        <v>14.375</v>
      </c>
      <c r="N667" s="15">
        <f t="shared" si="151"/>
        <v>2</v>
      </c>
      <c r="O667" s="15">
        <f t="shared" si="152"/>
        <v>14.071223500000002</v>
      </c>
      <c r="P667" s="15">
        <f t="shared" si="153"/>
        <v>0</v>
      </c>
      <c r="Q667" s="14" t="str">
        <f>IF(M667&gt;=I667*'Hoja 4 - Cálculo'!$B$16,"Satisfactorio","Falla")</f>
        <v>Satisfactorio</v>
      </c>
      <c r="R667" s="14">
        <f t="shared" si="146"/>
        <v>0</v>
      </c>
      <c r="S667" s="14">
        <f t="shared" si="147"/>
        <v>0</v>
      </c>
    </row>
    <row r="668" spans="1:19">
      <c r="A668" s="14" t="str">
        <f t="shared" ref="A668:A699" si="154">"SRY-2-3"</f>
        <v>SRY-2-3</v>
      </c>
      <c r="B668" s="15">
        <f>'Curvas SRY'!$B$9</f>
        <v>2</v>
      </c>
      <c r="C668" s="15">
        <f>'Curvas SRY'!$E$10</f>
        <v>1.25</v>
      </c>
      <c r="D668" s="14" t="str">
        <f>'Curvas SRY'!$B$14</f>
        <v>Uso variable</v>
      </c>
      <c r="E668" s="14">
        <f>65</f>
        <v>65</v>
      </c>
      <c r="F668" s="21">
        <f>'Hoja 4 - Cálculo'!A89</f>
        <v>31533</v>
      </c>
      <c r="G668" s="15">
        <f>'Hoja 4 - Cálculo'!H89</f>
        <v>28.438874999999999</v>
      </c>
      <c r="H668" s="15">
        <f>IF(D668="Uso único",'Hoja 4 - Cálculo'!I89,IF(D668="Uso múltiple",AVERAGE('Hoja 4 - Cálculo'!$I$25:$I$384)+AVERAGE('Hoja 4 - Cálculo'!$J$25:$J$384)+AVERAGE('Hoja 4 - Cálculo'!$K$25:$K$384),IF(D668="Uso prioritario",'Hoja 4 - Cálculo'!I89+'Hoja 4 - Cálculo'!K89,'Hoja 4 - Cálculo'!I89+'Hoja 4 - Cálculo'!J89+'Hoja 4 - Cálculo'!K89)))</f>
        <v>11.5</v>
      </c>
      <c r="I668" s="15">
        <f t="shared" si="148"/>
        <v>14.375</v>
      </c>
      <c r="J668" s="15">
        <f t="shared" si="145"/>
        <v>2</v>
      </c>
      <c r="K668" s="15">
        <f>MIN(J668+G668,(J668+G668)*'Hoja 4 - Cálculo'!$B$15)</f>
        <v>0.60877749999999997</v>
      </c>
      <c r="L668" s="15">
        <f t="shared" si="149"/>
        <v>29.830097500000001</v>
      </c>
      <c r="M668" s="15">
        <f t="shared" si="150"/>
        <v>14.375</v>
      </c>
      <c r="N668" s="15">
        <f t="shared" si="151"/>
        <v>2</v>
      </c>
      <c r="O668" s="15">
        <f t="shared" si="152"/>
        <v>13.455097500000001</v>
      </c>
      <c r="P668" s="15">
        <f t="shared" si="153"/>
        <v>0</v>
      </c>
      <c r="Q668" s="14" t="str">
        <f>IF(M668&gt;=I668*'Hoja 4 - Cálculo'!$B$16,"Satisfactorio","Falla")</f>
        <v>Satisfactorio</v>
      </c>
      <c r="R668" s="14">
        <f t="shared" si="146"/>
        <v>0</v>
      </c>
      <c r="S668" s="14">
        <f t="shared" si="147"/>
        <v>0</v>
      </c>
    </row>
    <row r="669" spans="1:19">
      <c r="A669" s="14" t="str">
        <f t="shared" si="154"/>
        <v>SRY-2-3</v>
      </c>
      <c r="B669" s="15">
        <f>'Curvas SRY'!$B$9</f>
        <v>2</v>
      </c>
      <c r="C669" s="15">
        <f>'Curvas SRY'!$E$10</f>
        <v>1.25</v>
      </c>
      <c r="D669" s="14" t="str">
        <f>'Curvas SRY'!$B$14</f>
        <v>Uso variable</v>
      </c>
      <c r="E669" s="14">
        <f>66</f>
        <v>66</v>
      </c>
      <c r="F669" s="21">
        <f>'Hoja 4 - Cálculo'!A90</f>
        <v>31564</v>
      </c>
      <c r="G669" s="15">
        <f>'Hoja 4 - Cálculo'!H90</f>
        <v>16.007625000000001</v>
      </c>
      <c r="H669" s="15">
        <f>IF(D669="Uso único",'Hoja 4 - Cálculo'!I90,IF(D669="Uso múltiple",AVERAGE('Hoja 4 - Cálculo'!$I$25:$I$384)+AVERAGE('Hoja 4 - Cálculo'!$J$25:$J$384)+AVERAGE('Hoja 4 - Cálculo'!$K$25:$K$384),IF(D669="Uso prioritario",'Hoja 4 - Cálculo'!I90+'Hoja 4 - Cálculo'!K90,'Hoja 4 - Cálculo'!I90+'Hoja 4 - Cálculo'!J90+'Hoja 4 - Cálculo'!K90)))</f>
        <v>11.5</v>
      </c>
      <c r="I669" s="15">
        <f t="shared" si="148"/>
        <v>14.375</v>
      </c>
      <c r="J669" s="15">
        <f t="shared" ref="J669:J700" si="155">N668</f>
        <v>2</v>
      </c>
      <c r="K669" s="15">
        <f>MIN(J669+G669,(J669+G669)*'Hoja 4 - Cálculo'!$B$15)</f>
        <v>0.36015250000000004</v>
      </c>
      <c r="L669" s="15">
        <f t="shared" si="149"/>
        <v>17.647472499999999</v>
      </c>
      <c r="M669" s="15">
        <f t="shared" si="150"/>
        <v>14.375</v>
      </c>
      <c r="N669" s="15">
        <f t="shared" si="151"/>
        <v>2</v>
      </c>
      <c r="O669" s="15">
        <f t="shared" si="152"/>
        <v>1.2724724999999992</v>
      </c>
      <c r="P669" s="15">
        <f t="shared" si="153"/>
        <v>0</v>
      </c>
      <c r="Q669" s="14" t="str">
        <f>IF(M669&gt;=I669*'Hoja 4 - Cálculo'!$B$16,"Satisfactorio","Falla")</f>
        <v>Satisfactorio</v>
      </c>
      <c r="R669" s="14">
        <f t="shared" ref="R669:R700" si="156">IF(AND(Q668="Falla",Q669="Satisfactorio"),1,0)</f>
        <v>0</v>
      </c>
      <c r="S669" s="14">
        <f t="shared" ref="S669:S700" si="157">IF(AND(Q669="Falla",Q668&lt;&gt;"Falla"),1,0)</f>
        <v>0</v>
      </c>
    </row>
    <row r="670" spans="1:19">
      <c r="A670" s="14" t="str">
        <f t="shared" si="154"/>
        <v>SRY-2-3</v>
      </c>
      <c r="B670" s="15">
        <f>'Curvas SRY'!$B$9</f>
        <v>2</v>
      </c>
      <c r="C670" s="15">
        <f>'Curvas SRY'!$E$10</f>
        <v>1.25</v>
      </c>
      <c r="D670" s="14" t="str">
        <f>'Curvas SRY'!$B$14</f>
        <v>Uso variable</v>
      </c>
      <c r="E670" s="14">
        <f>67</f>
        <v>67</v>
      </c>
      <c r="F670" s="21">
        <f>'Hoja 4 - Cálculo'!A91</f>
        <v>31594</v>
      </c>
      <c r="G670" s="15">
        <f>'Hoja 4 - Cálculo'!H91</f>
        <v>14.056875</v>
      </c>
      <c r="H670" s="15">
        <f>IF(D670="Uso único",'Hoja 4 - Cálculo'!I91,IF(D670="Uso múltiple",AVERAGE('Hoja 4 - Cálculo'!$I$25:$I$384)+AVERAGE('Hoja 4 - Cálculo'!$J$25:$J$384)+AVERAGE('Hoja 4 - Cálculo'!$K$25:$K$384),IF(D670="Uso prioritario",'Hoja 4 - Cálculo'!I91+'Hoja 4 - Cálculo'!K91,'Hoja 4 - Cálculo'!I91+'Hoja 4 - Cálculo'!J91+'Hoja 4 - Cálculo'!K91)))</f>
        <v>16</v>
      </c>
      <c r="I670" s="15">
        <f t="shared" si="148"/>
        <v>20</v>
      </c>
      <c r="J670" s="15">
        <f t="shared" si="155"/>
        <v>2</v>
      </c>
      <c r="K670" s="15">
        <f>MIN(J670+G670,(J670+G670)*'Hoja 4 - Cálculo'!$B$15)</f>
        <v>0.32113749999999996</v>
      </c>
      <c r="L670" s="15">
        <f t="shared" si="149"/>
        <v>15.735737499999997</v>
      </c>
      <c r="M670" s="15">
        <f t="shared" si="150"/>
        <v>15.735737499999997</v>
      </c>
      <c r="N670" s="15">
        <f t="shared" si="151"/>
        <v>0</v>
      </c>
      <c r="O670" s="15">
        <f t="shared" si="152"/>
        <v>0</v>
      </c>
      <c r="P670" s="15">
        <f t="shared" si="153"/>
        <v>4.2642625000000027</v>
      </c>
      <c r="Q670" s="14" t="str">
        <f>IF(M670&gt;=I670*'Hoja 4 - Cálculo'!$B$16,"Satisfactorio","Falla")</f>
        <v>Falla</v>
      </c>
      <c r="R670" s="14">
        <f t="shared" si="156"/>
        <v>0</v>
      </c>
      <c r="S670" s="14">
        <f t="shared" si="157"/>
        <v>1</v>
      </c>
    </row>
    <row r="671" spans="1:19">
      <c r="A671" s="14" t="str">
        <f t="shared" si="154"/>
        <v>SRY-2-3</v>
      </c>
      <c r="B671" s="15">
        <f>'Curvas SRY'!$B$9</f>
        <v>2</v>
      </c>
      <c r="C671" s="15">
        <f>'Curvas SRY'!$E$10</f>
        <v>1.25</v>
      </c>
      <c r="D671" s="14" t="str">
        <f>'Curvas SRY'!$B$14</f>
        <v>Uso variable</v>
      </c>
      <c r="E671" s="14">
        <f>68</f>
        <v>68</v>
      </c>
      <c r="F671" s="21">
        <f>'Hoja 4 - Cálculo'!A92</f>
        <v>31625</v>
      </c>
      <c r="G671" s="15">
        <f>'Hoja 4 - Cálculo'!H92</f>
        <v>15.032249999999999</v>
      </c>
      <c r="H671" s="15">
        <f>IF(D671="Uso único",'Hoja 4 - Cálculo'!I92,IF(D671="Uso múltiple",AVERAGE('Hoja 4 - Cálculo'!$I$25:$I$384)+AVERAGE('Hoja 4 - Cálculo'!$J$25:$J$384)+AVERAGE('Hoja 4 - Cálculo'!$K$25:$K$384),IF(D671="Uso prioritario",'Hoja 4 - Cálculo'!I92+'Hoja 4 - Cálculo'!K92,'Hoja 4 - Cálculo'!I92+'Hoja 4 - Cálculo'!J92+'Hoja 4 - Cálculo'!K92)))</f>
        <v>16</v>
      </c>
      <c r="I671" s="15">
        <f t="shared" si="148"/>
        <v>20</v>
      </c>
      <c r="J671" s="15">
        <f t="shared" si="155"/>
        <v>0</v>
      </c>
      <c r="K671" s="15">
        <f>MIN(J671+G671,(J671+G671)*'Hoja 4 - Cálculo'!$B$15)</f>
        <v>0.300645</v>
      </c>
      <c r="L671" s="15">
        <f t="shared" si="149"/>
        <v>14.731605</v>
      </c>
      <c r="M671" s="15">
        <f t="shared" si="150"/>
        <v>14.731605</v>
      </c>
      <c r="N671" s="15">
        <f t="shared" si="151"/>
        <v>0</v>
      </c>
      <c r="O671" s="15">
        <f t="shared" si="152"/>
        <v>0</v>
      </c>
      <c r="P671" s="15">
        <f t="shared" si="153"/>
        <v>5.2683949999999999</v>
      </c>
      <c r="Q671" s="14" t="str">
        <f>IF(M671&gt;=I671*'Hoja 4 - Cálculo'!$B$16,"Satisfactorio","Falla")</f>
        <v>Falla</v>
      </c>
      <c r="R671" s="14">
        <f t="shared" si="156"/>
        <v>0</v>
      </c>
      <c r="S671" s="14">
        <f t="shared" si="157"/>
        <v>0</v>
      </c>
    </row>
    <row r="672" spans="1:19">
      <c r="A672" s="14" t="str">
        <f t="shared" si="154"/>
        <v>SRY-2-3</v>
      </c>
      <c r="B672" s="15">
        <f>'Curvas SRY'!$B$9</f>
        <v>2</v>
      </c>
      <c r="C672" s="15">
        <f>'Curvas SRY'!$E$10</f>
        <v>1.25</v>
      </c>
      <c r="D672" s="14" t="str">
        <f>'Curvas SRY'!$B$14</f>
        <v>Uso variable</v>
      </c>
      <c r="E672" s="14">
        <f>69</f>
        <v>69</v>
      </c>
      <c r="F672" s="21">
        <f>'Hoja 4 - Cálculo'!A93</f>
        <v>31656</v>
      </c>
      <c r="G672" s="15">
        <f>'Hoja 4 - Cálculo'!H93</f>
        <v>22.60575</v>
      </c>
      <c r="H672" s="15">
        <f>IF(D672="Uso único",'Hoja 4 - Cálculo'!I93,IF(D672="Uso múltiple",AVERAGE('Hoja 4 - Cálculo'!$I$25:$I$384)+AVERAGE('Hoja 4 - Cálculo'!$J$25:$J$384)+AVERAGE('Hoja 4 - Cálculo'!$K$25:$K$384),IF(D672="Uso prioritario",'Hoja 4 - Cálculo'!I93+'Hoja 4 - Cálculo'!K93,'Hoja 4 - Cálculo'!I93+'Hoja 4 - Cálculo'!J93+'Hoja 4 - Cálculo'!K93)))</f>
        <v>11.5</v>
      </c>
      <c r="I672" s="15">
        <f t="shared" si="148"/>
        <v>14.375</v>
      </c>
      <c r="J672" s="15">
        <f t="shared" si="155"/>
        <v>0</v>
      </c>
      <c r="K672" s="15">
        <f>MIN(J672+G672,(J672+G672)*'Hoja 4 - Cálculo'!$B$15)</f>
        <v>0.45211500000000004</v>
      </c>
      <c r="L672" s="15">
        <f t="shared" si="149"/>
        <v>22.153635000000001</v>
      </c>
      <c r="M672" s="15">
        <f t="shared" si="150"/>
        <v>14.375</v>
      </c>
      <c r="N672" s="15">
        <f t="shared" si="151"/>
        <v>2</v>
      </c>
      <c r="O672" s="15">
        <f t="shared" si="152"/>
        <v>5.7786350000000013</v>
      </c>
      <c r="P672" s="15">
        <f t="shared" si="153"/>
        <v>0</v>
      </c>
      <c r="Q672" s="14" t="str">
        <f>IF(M672&gt;=I672*'Hoja 4 - Cálculo'!$B$16,"Satisfactorio","Falla")</f>
        <v>Satisfactorio</v>
      </c>
      <c r="R672" s="14">
        <f t="shared" si="156"/>
        <v>1</v>
      </c>
      <c r="S672" s="14">
        <f t="shared" si="157"/>
        <v>0</v>
      </c>
    </row>
    <row r="673" spans="1:19">
      <c r="A673" s="14" t="str">
        <f t="shared" si="154"/>
        <v>SRY-2-3</v>
      </c>
      <c r="B673" s="15">
        <f>'Curvas SRY'!$B$9</f>
        <v>2</v>
      </c>
      <c r="C673" s="15">
        <f>'Curvas SRY'!$E$10</f>
        <v>1.25</v>
      </c>
      <c r="D673" s="14" t="str">
        <f>'Curvas SRY'!$B$14</f>
        <v>Uso variable</v>
      </c>
      <c r="E673" s="14">
        <f>70</f>
        <v>70</v>
      </c>
      <c r="F673" s="21">
        <f>'Hoja 4 - Cálculo'!A94</f>
        <v>31686</v>
      </c>
      <c r="G673" s="15">
        <f>'Hoja 4 - Cálculo'!H94</f>
        <v>32.531624999999998</v>
      </c>
      <c r="H673" s="15">
        <f>IF(D673="Uso único",'Hoja 4 - Cálculo'!I94,IF(D673="Uso múltiple",AVERAGE('Hoja 4 - Cálculo'!$I$25:$I$384)+AVERAGE('Hoja 4 - Cálculo'!$J$25:$J$384)+AVERAGE('Hoja 4 - Cálculo'!$K$25:$K$384),IF(D673="Uso prioritario",'Hoja 4 - Cálculo'!I94+'Hoja 4 - Cálculo'!K94,'Hoja 4 - Cálculo'!I94+'Hoja 4 - Cálculo'!J94+'Hoja 4 - Cálculo'!K94)))</f>
        <v>11.5</v>
      </c>
      <c r="I673" s="15">
        <f t="shared" si="148"/>
        <v>14.375</v>
      </c>
      <c r="J673" s="15">
        <f t="shared" si="155"/>
        <v>2</v>
      </c>
      <c r="K673" s="15">
        <f>MIN(J673+G673,(J673+G673)*'Hoja 4 - Cálculo'!$B$15)</f>
        <v>0.69063249999999998</v>
      </c>
      <c r="L673" s="15">
        <f t="shared" si="149"/>
        <v>33.840992499999999</v>
      </c>
      <c r="M673" s="15">
        <f t="shared" si="150"/>
        <v>14.375</v>
      </c>
      <c r="N673" s="15">
        <f t="shared" si="151"/>
        <v>2</v>
      </c>
      <c r="O673" s="15">
        <f t="shared" si="152"/>
        <v>17.465992499999999</v>
      </c>
      <c r="P673" s="15">
        <f t="shared" si="153"/>
        <v>0</v>
      </c>
      <c r="Q673" s="14" t="str">
        <f>IF(M673&gt;=I673*'Hoja 4 - Cálculo'!$B$16,"Satisfactorio","Falla")</f>
        <v>Satisfactorio</v>
      </c>
      <c r="R673" s="14">
        <f t="shared" si="156"/>
        <v>0</v>
      </c>
      <c r="S673" s="14">
        <f t="shared" si="157"/>
        <v>0</v>
      </c>
    </row>
    <row r="674" spans="1:19">
      <c r="A674" s="14" t="str">
        <f t="shared" si="154"/>
        <v>SRY-2-3</v>
      </c>
      <c r="B674" s="15">
        <f>'Curvas SRY'!$B$9</f>
        <v>2</v>
      </c>
      <c r="C674" s="15">
        <f>'Curvas SRY'!$E$10</f>
        <v>1.25</v>
      </c>
      <c r="D674" s="14" t="str">
        <f>'Curvas SRY'!$B$14</f>
        <v>Uso variable</v>
      </c>
      <c r="E674" s="14">
        <f>71</f>
        <v>71</v>
      </c>
      <c r="F674" s="21">
        <f>'Hoja 4 - Cálculo'!A95</f>
        <v>31717</v>
      </c>
      <c r="G674" s="15">
        <f>'Hoja 4 - Cálculo'!H95</f>
        <v>26.641124999999999</v>
      </c>
      <c r="H674" s="15">
        <f>IF(D674="Uso único",'Hoja 4 - Cálculo'!I95,IF(D674="Uso múltiple",AVERAGE('Hoja 4 - Cálculo'!$I$25:$I$384)+AVERAGE('Hoja 4 - Cálculo'!$J$25:$J$384)+AVERAGE('Hoja 4 - Cálculo'!$K$25:$K$384),IF(D674="Uso prioritario",'Hoja 4 - Cálculo'!I95+'Hoja 4 - Cálculo'!K95,'Hoja 4 - Cálculo'!I95+'Hoja 4 - Cálculo'!J95+'Hoja 4 - Cálculo'!K95)))</f>
        <v>11.5</v>
      </c>
      <c r="I674" s="15">
        <f t="shared" si="148"/>
        <v>14.375</v>
      </c>
      <c r="J674" s="15">
        <f t="shared" si="155"/>
        <v>2</v>
      </c>
      <c r="K674" s="15">
        <f>MIN(J674+G674,(J674+G674)*'Hoja 4 - Cálculo'!$B$15)</f>
        <v>0.57282250000000001</v>
      </c>
      <c r="L674" s="15">
        <f t="shared" si="149"/>
        <v>28.068302499999998</v>
      </c>
      <c r="M674" s="15">
        <f t="shared" si="150"/>
        <v>14.375</v>
      </c>
      <c r="N674" s="15">
        <f t="shared" si="151"/>
        <v>2</v>
      </c>
      <c r="O674" s="15">
        <f t="shared" si="152"/>
        <v>11.693302499999998</v>
      </c>
      <c r="P674" s="15">
        <f t="shared" si="153"/>
        <v>0</v>
      </c>
      <c r="Q674" s="14" t="str">
        <f>IF(M674&gt;=I674*'Hoja 4 - Cálculo'!$B$16,"Satisfactorio","Falla")</f>
        <v>Satisfactorio</v>
      </c>
      <c r="R674" s="14">
        <f t="shared" si="156"/>
        <v>0</v>
      </c>
      <c r="S674" s="14">
        <f t="shared" si="157"/>
        <v>0</v>
      </c>
    </row>
    <row r="675" spans="1:19">
      <c r="A675" s="14" t="str">
        <f t="shared" si="154"/>
        <v>SRY-2-3</v>
      </c>
      <c r="B675" s="15">
        <f>'Curvas SRY'!$B$9</f>
        <v>2</v>
      </c>
      <c r="C675" s="15">
        <f>'Curvas SRY'!$E$10</f>
        <v>1.25</v>
      </c>
      <c r="D675" s="14" t="str">
        <f>'Curvas SRY'!$B$14</f>
        <v>Uso variable</v>
      </c>
      <c r="E675" s="14">
        <f>72</f>
        <v>72</v>
      </c>
      <c r="F675" s="21">
        <f>'Hoja 4 - Cálculo'!A96</f>
        <v>31747</v>
      </c>
      <c r="G675" s="15">
        <f>'Hoja 4 - Cálculo'!H96</f>
        <v>15.166124999999999</v>
      </c>
      <c r="H675" s="15">
        <f>IF(D675="Uso único",'Hoja 4 - Cálculo'!I96,IF(D675="Uso múltiple",AVERAGE('Hoja 4 - Cálculo'!$I$25:$I$384)+AVERAGE('Hoja 4 - Cálculo'!$J$25:$J$384)+AVERAGE('Hoja 4 - Cálculo'!$K$25:$K$384),IF(D675="Uso prioritario",'Hoja 4 - Cálculo'!I96+'Hoja 4 - Cálculo'!K96,'Hoja 4 - Cálculo'!I96+'Hoja 4 - Cálculo'!J96+'Hoja 4 - Cálculo'!K96)))</f>
        <v>16</v>
      </c>
      <c r="I675" s="15">
        <f t="shared" si="148"/>
        <v>20</v>
      </c>
      <c r="J675" s="15">
        <f t="shared" si="155"/>
        <v>2</v>
      </c>
      <c r="K675" s="15">
        <f>MIN(J675+G675,(J675+G675)*'Hoja 4 - Cálculo'!$B$15)</f>
        <v>0.34332250000000003</v>
      </c>
      <c r="L675" s="15">
        <f t="shared" si="149"/>
        <v>16.822802500000002</v>
      </c>
      <c r="M675" s="15">
        <f t="shared" si="150"/>
        <v>16.822802500000002</v>
      </c>
      <c r="N675" s="15">
        <f t="shared" si="151"/>
        <v>0</v>
      </c>
      <c r="O675" s="15">
        <f t="shared" si="152"/>
        <v>0</v>
      </c>
      <c r="P675" s="15">
        <f t="shared" si="153"/>
        <v>3.1771974999999983</v>
      </c>
      <c r="Q675" s="14" t="str">
        <f>IF(M675&gt;=I675*'Hoja 4 - Cálculo'!$B$16,"Satisfactorio","Falla")</f>
        <v>Falla</v>
      </c>
      <c r="R675" s="14">
        <f t="shared" si="156"/>
        <v>0</v>
      </c>
      <c r="S675" s="14">
        <f t="shared" si="157"/>
        <v>1</v>
      </c>
    </row>
    <row r="676" spans="1:19">
      <c r="A676" s="14" t="str">
        <f t="shared" si="154"/>
        <v>SRY-2-3</v>
      </c>
      <c r="B676" s="15">
        <f>'Curvas SRY'!$B$9</f>
        <v>2</v>
      </c>
      <c r="C676" s="15">
        <f>'Curvas SRY'!$E$10</f>
        <v>1.25</v>
      </c>
      <c r="D676" s="14" t="str">
        <f>'Curvas SRY'!$B$14</f>
        <v>Uso variable</v>
      </c>
      <c r="E676" s="14">
        <f>73</f>
        <v>73</v>
      </c>
      <c r="F676" s="21">
        <f>'Hoja 4 - Cálculo'!A97</f>
        <v>31778</v>
      </c>
      <c r="G676" s="15">
        <f>'Hoja 4 - Cálculo'!H97</f>
        <v>14.056875</v>
      </c>
      <c r="H676" s="15">
        <f>IF(D676="Uso único",'Hoja 4 - Cálculo'!I97,IF(D676="Uso múltiple",AVERAGE('Hoja 4 - Cálculo'!$I$25:$I$384)+AVERAGE('Hoja 4 - Cálculo'!$J$25:$J$384)+AVERAGE('Hoja 4 - Cálculo'!$K$25:$K$384),IF(D676="Uso prioritario",'Hoja 4 - Cálculo'!I97+'Hoja 4 - Cálculo'!K97,'Hoja 4 - Cálculo'!I97+'Hoja 4 - Cálculo'!J97+'Hoja 4 - Cálculo'!K97)))</f>
        <v>16</v>
      </c>
      <c r="I676" s="15">
        <f t="shared" si="148"/>
        <v>20</v>
      </c>
      <c r="J676" s="15">
        <f t="shared" si="155"/>
        <v>0</v>
      </c>
      <c r="K676" s="15">
        <f>MIN(J676+G676,(J676+G676)*'Hoja 4 - Cálculo'!$B$15)</f>
        <v>0.28113749999999998</v>
      </c>
      <c r="L676" s="15">
        <f t="shared" si="149"/>
        <v>13.7757375</v>
      </c>
      <c r="M676" s="15">
        <f t="shared" si="150"/>
        <v>13.7757375</v>
      </c>
      <c r="N676" s="15">
        <f t="shared" si="151"/>
        <v>0</v>
      </c>
      <c r="O676" s="15">
        <f t="shared" si="152"/>
        <v>0</v>
      </c>
      <c r="P676" s="15">
        <f t="shared" si="153"/>
        <v>6.2242625</v>
      </c>
      <c r="Q676" s="14" t="str">
        <f>IF(M676&gt;=I676*'Hoja 4 - Cálculo'!$B$16,"Satisfactorio","Falla")</f>
        <v>Falla</v>
      </c>
      <c r="R676" s="14">
        <f t="shared" si="156"/>
        <v>0</v>
      </c>
      <c r="S676" s="14">
        <f t="shared" si="157"/>
        <v>0</v>
      </c>
    </row>
    <row r="677" spans="1:19">
      <c r="A677" s="14" t="str">
        <f t="shared" si="154"/>
        <v>SRY-2-3</v>
      </c>
      <c r="B677" s="15">
        <f>'Curvas SRY'!$B$9</f>
        <v>2</v>
      </c>
      <c r="C677" s="15">
        <f>'Curvas SRY'!$E$10</f>
        <v>1.25</v>
      </c>
      <c r="D677" s="14" t="str">
        <f>'Curvas SRY'!$B$14</f>
        <v>Uso variable</v>
      </c>
      <c r="E677" s="14">
        <f>74</f>
        <v>74</v>
      </c>
      <c r="F677" s="21">
        <f>'Hoja 4 - Cálculo'!A98</f>
        <v>31809</v>
      </c>
      <c r="G677" s="15">
        <f>'Hoja 4 - Cálculo'!H98</f>
        <v>15.969374999999999</v>
      </c>
      <c r="H677" s="15">
        <f>IF(D677="Uso único",'Hoja 4 - Cálculo'!I98,IF(D677="Uso múltiple",AVERAGE('Hoja 4 - Cálculo'!$I$25:$I$384)+AVERAGE('Hoja 4 - Cálculo'!$J$25:$J$384)+AVERAGE('Hoja 4 - Cálculo'!$K$25:$K$384),IF(D677="Uso prioritario",'Hoja 4 - Cálculo'!I98+'Hoja 4 - Cálculo'!K98,'Hoja 4 - Cálculo'!I98+'Hoja 4 - Cálculo'!J98+'Hoja 4 - Cálculo'!K98)))</f>
        <v>16</v>
      </c>
      <c r="I677" s="15">
        <f t="shared" si="148"/>
        <v>20</v>
      </c>
      <c r="J677" s="15">
        <f t="shared" si="155"/>
        <v>0</v>
      </c>
      <c r="K677" s="15">
        <f>MIN(J677+G677,(J677+G677)*'Hoja 4 - Cálculo'!$B$15)</f>
        <v>0.31938749999999999</v>
      </c>
      <c r="L677" s="15">
        <f t="shared" si="149"/>
        <v>15.6499875</v>
      </c>
      <c r="M677" s="15">
        <f t="shared" si="150"/>
        <v>15.6499875</v>
      </c>
      <c r="N677" s="15">
        <f t="shared" si="151"/>
        <v>0</v>
      </c>
      <c r="O677" s="15">
        <f t="shared" si="152"/>
        <v>0</v>
      </c>
      <c r="P677" s="15">
        <f t="shared" si="153"/>
        <v>4.3500125000000001</v>
      </c>
      <c r="Q677" s="14" t="str">
        <f>IF(M677&gt;=I677*'Hoja 4 - Cálculo'!$B$16,"Satisfactorio","Falla")</f>
        <v>Falla</v>
      </c>
      <c r="R677" s="14">
        <f t="shared" si="156"/>
        <v>0</v>
      </c>
      <c r="S677" s="14">
        <f t="shared" si="157"/>
        <v>0</v>
      </c>
    </row>
    <row r="678" spans="1:19">
      <c r="A678" s="14" t="str">
        <f t="shared" si="154"/>
        <v>SRY-2-3</v>
      </c>
      <c r="B678" s="15">
        <f>'Curvas SRY'!$B$9</f>
        <v>2</v>
      </c>
      <c r="C678" s="15">
        <f>'Curvas SRY'!$E$10</f>
        <v>1.25</v>
      </c>
      <c r="D678" s="14" t="str">
        <f>'Curvas SRY'!$B$14</f>
        <v>Uso variable</v>
      </c>
      <c r="E678" s="14">
        <f>75</f>
        <v>75</v>
      </c>
      <c r="F678" s="21">
        <f>'Hoja 4 - Cálculo'!A99</f>
        <v>31837</v>
      </c>
      <c r="G678" s="15">
        <f>'Hoja 4 - Cálculo'!H99</f>
        <v>22.797000000000001</v>
      </c>
      <c r="H678" s="15">
        <f>IF(D678="Uso único",'Hoja 4 - Cálculo'!I99,IF(D678="Uso múltiple",AVERAGE('Hoja 4 - Cálculo'!$I$25:$I$384)+AVERAGE('Hoja 4 - Cálculo'!$J$25:$J$384)+AVERAGE('Hoja 4 - Cálculo'!$K$25:$K$384),IF(D678="Uso prioritario",'Hoja 4 - Cálculo'!I99+'Hoja 4 - Cálculo'!K99,'Hoja 4 - Cálculo'!I99+'Hoja 4 - Cálculo'!J99+'Hoja 4 - Cálculo'!K99)))</f>
        <v>16</v>
      </c>
      <c r="I678" s="15">
        <f t="shared" si="148"/>
        <v>20</v>
      </c>
      <c r="J678" s="15">
        <f t="shared" si="155"/>
        <v>0</v>
      </c>
      <c r="K678" s="15">
        <f>MIN(J678+G678,(J678+G678)*'Hoja 4 - Cálculo'!$B$15)</f>
        <v>0.45594000000000001</v>
      </c>
      <c r="L678" s="15">
        <f t="shared" si="149"/>
        <v>22.341059999999999</v>
      </c>
      <c r="M678" s="15">
        <f t="shared" si="150"/>
        <v>20</v>
      </c>
      <c r="N678" s="15">
        <f t="shared" si="151"/>
        <v>2</v>
      </c>
      <c r="O678" s="15">
        <f t="shared" si="152"/>
        <v>0.34105999999999881</v>
      </c>
      <c r="P678" s="15">
        <f t="shared" si="153"/>
        <v>0</v>
      </c>
      <c r="Q678" s="14" t="str">
        <f>IF(M678&gt;=I678*'Hoja 4 - Cálculo'!$B$16,"Satisfactorio","Falla")</f>
        <v>Satisfactorio</v>
      </c>
      <c r="R678" s="14">
        <f t="shared" si="156"/>
        <v>1</v>
      </c>
      <c r="S678" s="14">
        <f t="shared" si="157"/>
        <v>0</v>
      </c>
    </row>
    <row r="679" spans="1:19">
      <c r="A679" s="14" t="str">
        <f t="shared" si="154"/>
        <v>SRY-2-3</v>
      </c>
      <c r="B679" s="15">
        <f>'Curvas SRY'!$B$9</f>
        <v>2</v>
      </c>
      <c r="C679" s="15">
        <f>'Curvas SRY'!$E$10</f>
        <v>1.25</v>
      </c>
      <c r="D679" s="14" t="str">
        <f>'Curvas SRY'!$B$14</f>
        <v>Uso variable</v>
      </c>
      <c r="E679" s="14">
        <f>76</f>
        <v>76</v>
      </c>
      <c r="F679" s="21">
        <f>'Hoja 4 - Cálculo'!A100</f>
        <v>31868</v>
      </c>
      <c r="G679" s="15">
        <f>'Hoja 4 - Cálculo'!H100</f>
        <v>34.138125000000002</v>
      </c>
      <c r="H679" s="15">
        <f>IF(D679="Uso único",'Hoja 4 - Cálculo'!I100,IF(D679="Uso múltiple",AVERAGE('Hoja 4 - Cálculo'!$I$25:$I$384)+AVERAGE('Hoja 4 - Cálculo'!$J$25:$J$384)+AVERAGE('Hoja 4 - Cálculo'!$K$25:$K$384),IF(D679="Uso prioritario",'Hoja 4 - Cálculo'!I100+'Hoja 4 - Cálculo'!K100,'Hoja 4 - Cálculo'!I100+'Hoja 4 - Cálculo'!J100+'Hoja 4 - Cálculo'!K100)))</f>
        <v>11.5</v>
      </c>
      <c r="I679" s="15">
        <f t="shared" si="148"/>
        <v>14.375</v>
      </c>
      <c r="J679" s="15">
        <f t="shared" si="155"/>
        <v>2</v>
      </c>
      <c r="K679" s="15">
        <f>MIN(J679+G679,(J679+G679)*'Hoja 4 - Cálculo'!$B$15)</f>
        <v>0.72276250000000009</v>
      </c>
      <c r="L679" s="15">
        <f t="shared" si="149"/>
        <v>35.415362500000001</v>
      </c>
      <c r="M679" s="15">
        <f t="shared" si="150"/>
        <v>14.375</v>
      </c>
      <c r="N679" s="15">
        <f t="shared" si="151"/>
        <v>2</v>
      </c>
      <c r="O679" s="15">
        <f t="shared" si="152"/>
        <v>19.040362500000001</v>
      </c>
      <c r="P679" s="15">
        <f t="shared" si="153"/>
        <v>0</v>
      </c>
      <c r="Q679" s="14" t="str">
        <f>IF(M679&gt;=I679*'Hoja 4 - Cálculo'!$B$16,"Satisfactorio","Falla")</f>
        <v>Satisfactorio</v>
      </c>
      <c r="R679" s="14">
        <f t="shared" si="156"/>
        <v>0</v>
      </c>
      <c r="S679" s="14">
        <f t="shared" si="157"/>
        <v>0</v>
      </c>
    </row>
    <row r="680" spans="1:19">
      <c r="A680" s="14" t="str">
        <f t="shared" si="154"/>
        <v>SRY-2-3</v>
      </c>
      <c r="B680" s="15">
        <f>'Curvas SRY'!$B$9</f>
        <v>2</v>
      </c>
      <c r="C680" s="15">
        <f>'Curvas SRY'!$E$10</f>
        <v>1.25</v>
      </c>
      <c r="D680" s="14" t="str">
        <f>'Curvas SRY'!$B$14</f>
        <v>Uso variable</v>
      </c>
      <c r="E680" s="14">
        <f>77</f>
        <v>77</v>
      </c>
      <c r="F680" s="21">
        <f>'Hoja 4 - Cálculo'!A101</f>
        <v>31898</v>
      </c>
      <c r="G680" s="15">
        <f>'Hoja 4 - Cálculo'!H101</f>
        <v>28.534500000000001</v>
      </c>
      <c r="H680" s="15">
        <f>IF(D680="Uso único",'Hoja 4 - Cálculo'!I101,IF(D680="Uso múltiple",AVERAGE('Hoja 4 - Cálculo'!$I$25:$I$384)+AVERAGE('Hoja 4 - Cálculo'!$J$25:$J$384)+AVERAGE('Hoja 4 - Cálculo'!$K$25:$K$384),IF(D680="Uso prioritario",'Hoja 4 - Cálculo'!I101+'Hoja 4 - Cálculo'!K101,'Hoja 4 - Cálculo'!I101+'Hoja 4 - Cálculo'!J101+'Hoja 4 - Cálculo'!K101)))</f>
        <v>11.5</v>
      </c>
      <c r="I680" s="15">
        <f t="shared" si="148"/>
        <v>14.375</v>
      </c>
      <c r="J680" s="15">
        <f t="shared" si="155"/>
        <v>2</v>
      </c>
      <c r="K680" s="15">
        <f>MIN(J680+G680,(J680+G680)*'Hoja 4 - Cálculo'!$B$15)</f>
        <v>0.61069000000000007</v>
      </c>
      <c r="L680" s="15">
        <f t="shared" si="149"/>
        <v>29.92381</v>
      </c>
      <c r="M680" s="15">
        <f t="shared" si="150"/>
        <v>14.375</v>
      </c>
      <c r="N680" s="15">
        <f t="shared" si="151"/>
        <v>2</v>
      </c>
      <c r="O680" s="15">
        <f t="shared" si="152"/>
        <v>13.54881</v>
      </c>
      <c r="P680" s="15">
        <f t="shared" si="153"/>
        <v>0</v>
      </c>
      <c r="Q680" s="14" t="str">
        <f>IF(M680&gt;=I680*'Hoja 4 - Cálculo'!$B$16,"Satisfactorio","Falla")</f>
        <v>Satisfactorio</v>
      </c>
      <c r="R680" s="14">
        <f t="shared" si="156"/>
        <v>0</v>
      </c>
      <c r="S680" s="14">
        <f t="shared" si="157"/>
        <v>0</v>
      </c>
    </row>
    <row r="681" spans="1:19">
      <c r="A681" s="14" t="str">
        <f t="shared" si="154"/>
        <v>SRY-2-3</v>
      </c>
      <c r="B681" s="15">
        <f>'Curvas SRY'!$B$9</f>
        <v>2</v>
      </c>
      <c r="C681" s="15">
        <f>'Curvas SRY'!$E$10</f>
        <v>1.25</v>
      </c>
      <c r="D681" s="14" t="str">
        <f>'Curvas SRY'!$B$14</f>
        <v>Uso variable</v>
      </c>
      <c r="E681" s="14">
        <f>78</f>
        <v>78</v>
      </c>
      <c r="F681" s="21">
        <f>'Hoja 4 - Cálculo'!A102</f>
        <v>31929</v>
      </c>
      <c r="G681" s="15">
        <f>'Hoja 4 - Cálculo'!H102</f>
        <v>18.589500000000001</v>
      </c>
      <c r="H681" s="15">
        <f>IF(D681="Uso único",'Hoja 4 - Cálculo'!I102,IF(D681="Uso múltiple",AVERAGE('Hoja 4 - Cálculo'!$I$25:$I$384)+AVERAGE('Hoja 4 - Cálculo'!$J$25:$J$384)+AVERAGE('Hoja 4 - Cálculo'!$K$25:$K$384),IF(D681="Uso prioritario",'Hoja 4 - Cálculo'!I102+'Hoja 4 - Cálculo'!K102,'Hoja 4 - Cálculo'!I102+'Hoja 4 - Cálculo'!J102+'Hoja 4 - Cálculo'!K102)))</f>
        <v>11.5</v>
      </c>
      <c r="I681" s="15">
        <f t="shared" si="148"/>
        <v>14.375</v>
      </c>
      <c r="J681" s="15">
        <f t="shared" si="155"/>
        <v>2</v>
      </c>
      <c r="K681" s="15">
        <f>MIN(J681+G681,(J681+G681)*'Hoja 4 - Cálculo'!$B$15)</f>
        <v>0.41179000000000004</v>
      </c>
      <c r="L681" s="15">
        <f t="shared" si="149"/>
        <v>20.177710000000001</v>
      </c>
      <c r="M681" s="15">
        <f t="shared" si="150"/>
        <v>14.375</v>
      </c>
      <c r="N681" s="15">
        <f t="shared" si="151"/>
        <v>2</v>
      </c>
      <c r="O681" s="15">
        <f t="shared" si="152"/>
        <v>3.8027100000000011</v>
      </c>
      <c r="P681" s="15">
        <f t="shared" si="153"/>
        <v>0</v>
      </c>
      <c r="Q681" s="14" t="str">
        <f>IF(M681&gt;=I681*'Hoja 4 - Cálculo'!$B$16,"Satisfactorio","Falla")</f>
        <v>Satisfactorio</v>
      </c>
      <c r="R681" s="14">
        <f t="shared" si="156"/>
        <v>0</v>
      </c>
      <c r="S681" s="14">
        <f t="shared" si="157"/>
        <v>0</v>
      </c>
    </row>
    <row r="682" spans="1:19">
      <c r="A682" s="14" t="str">
        <f t="shared" si="154"/>
        <v>SRY-2-3</v>
      </c>
      <c r="B682" s="15">
        <f>'Curvas SRY'!$B$9</f>
        <v>2</v>
      </c>
      <c r="C682" s="15">
        <f>'Curvas SRY'!$E$10</f>
        <v>1.25</v>
      </c>
      <c r="D682" s="14" t="str">
        <f>'Curvas SRY'!$B$14</f>
        <v>Uso variable</v>
      </c>
      <c r="E682" s="14">
        <f>79</f>
        <v>79</v>
      </c>
      <c r="F682" s="21">
        <f>'Hoja 4 - Cálculo'!A103</f>
        <v>31959</v>
      </c>
      <c r="G682" s="15">
        <f>'Hoja 4 - Cálculo'!H103</f>
        <v>14.688000000000001</v>
      </c>
      <c r="H682" s="15">
        <f>IF(D682="Uso único",'Hoja 4 - Cálculo'!I103,IF(D682="Uso múltiple",AVERAGE('Hoja 4 - Cálculo'!$I$25:$I$384)+AVERAGE('Hoja 4 - Cálculo'!$J$25:$J$384)+AVERAGE('Hoja 4 - Cálculo'!$K$25:$K$384),IF(D682="Uso prioritario",'Hoja 4 - Cálculo'!I103+'Hoja 4 - Cálculo'!K103,'Hoja 4 - Cálculo'!I103+'Hoja 4 - Cálculo'!J103+'Hoja 4 - Cálculo'!K103)))</f>
        <v>16</v>
      </c>
      <c r="I682" s="15">
        <f t="shared" si="148"/>
        <v>20</v>
      </c>
      <c r="J682" s="15">
        <f t="shared" si="155"/>
        <v>2</v>
      </c>
      <c r="K682" s="15">
        <f>MIN(J682+G682,(J682+G682)*'Hoja 4 - Cálculo'!$B$15)</f>
        <v>0.33376000000000006</v>
      </c>
      <c r="L682" s="15">
        <f t="shared" si="149"/>
        <v>16.354240000000001</v>
      </c>
      <c r="M682" s="15">
        <f t="shared" si="150"/>
        <v>16.354240000000001</v>
      </c>
      <c r="N682" s="15">
        <f t="shared" si="151"/>
        <v>0</v>
      </c>
      <c r="O682" s="15">
        <f t="shared" si="152"/>
        <v>0</v>
      </c>
      <c r="P682" s="15">
        <f t="shared" si="153"/>
        <v>3.6457599999999992</v>
      </c>
      <c r="Q682" s="14" t="str">
        <f>IF(M682&gt;=I682*'Hoja 4 - Cálculo'!$B$16,"Satisfactorio","Falla")</f>
        <v>Falla</v>
      </c>
      <c r="R682" s="14">
        <f t="shared" si="156"/>
        <v>0</v>
      </c>
      <c r="S682" s="14">
        <f t="shared" si="157"/>
        <v>1</v>
      </c>
    </row>
    <row r="683" spans="1:19">
      <c r="A683" s="14" t="str">
        <f t="shared" si="154"/>
        <v>SRY-2-3</v>
      </c>
      <c r="B683" s="15">
        <f>'Curvas SRY'!$B$9</f>
        <v>2</v>
      </c>
      <c r="C683" s="15">
        <f>'Curvas SRY'!$E$10</f>
        <v>1.25</v>
      </c>
      <c r="D683" s="14" t="str">
        <f>'Curvas SRY'!$B$14</f>
        <v>Uso variable</v>
      </c>
      <c r="E683" s="14">
        <f>80</f>
        <v>80</v>
      </c>
      <c r="F683" s="21">
        <f>'Hoja 4 - Cálculo'!A104</f>
        <v>31990</v>
      </c>
      <c r="G683" s="15">
        <f>'Hoja 4 - Cálculo'!H104</f>
        <v>15.759</v>
      </c>
      <c r="H683" s="15">
        <f>IF(D683="Uso único",'Hoja 4 - Cálculo'!I104,IF(D683="Uso múltiple",AVERAGE('Hoja 4 - Cálculo'!$I$25:$I$384)+AVERAGE('Hoja 4 - Cálculo'!$J$25:$J$384)+AVERAGE('Hoja 4 - Cálculo'!$K$25:$K$384),IF(D683="Uso prioritario",'Hoja 4 - Cálculo'!I104+'Hoja 4 - Cálculo'!K104,'Hoja 4 - Cálculo'!I104+'Hoja 4 - Cálculo'!J104+'Hoja 4 - Cálculo'!K104)))</f>
        <v>16</v>
      </c>
      <c r="I683" s="15">
        <f t="shared" si="148"/>
        <v>20</v>
      </c>
      <c r="J683" s="15">
        <f t="shared" si="155"/>
        <v>0</v>
      </c>
      <c r="K683" s="15">
        <f>MIN(J683+G683,(J683+G683)*'Hoja 4 - Cálculo'!$B$15)</f>
        <v>0.31518000000000002</v>
      </c>
      <c r="L683" s="15">
        <f t="shared" si="149"/>
        <v>15.443820000000001</v>
      </c>
      <c r="M683" s="15">
        <f t="shared" si="150"/>
        <v>15.443820000000001</v>
      </c>
      <c r="N683" s="15">
        <f t="shared" si="151"/>
        <v>0</v>
      </c>
      <c r="O683" s="15">
        <f t="shared" si="152"/>
        <v>0</v>
      </c>
      <c r="P683" s="15">
        <f t="shared" si="153"/>
        <v>4.5561799999999995</v>
      </c>
      <c r="Q683" s="14" t="str">
        <f>IF(M683&gt;=I683*'Hoja 4 - Cálculo'!$B$16,"Satisfactorio","Falla")</f>
        <v>Falla</v>
      </c>
      <c r="R683" s="14">
        <f t="shared" si="156"/>
        <v>0</v>
      </c>
      <c r="S683" s="14">
        <f t="shared" si="157"/>
        <v>0</v>
      </c>
    </row>
    <row r="684" spans="1:19">
      <c r="A684" s="14" t="str">
        <f t="shared" si="154"/>
        <v>SRY-2-3</v>
      </c>
      <c r="B684" s="15">
        <f>'Curvas SRY'!$B$9</f>
        <v>2</v>
      </c>
      <c r="C684" s="15">
        <f>'Curvas SRY'!$E$10</f>
        <v>1.25</v>
      </c>
      <c r="D684" s="14" t="str">
        <f>'Curvas SRY'!$B$14</f>
        <v>Uso variable</v>
      </c>
      <c r="E684" s="14">
        <f>81</f>
        <v>81</v>
      </c>
      <c r="F684" s="21">
        <f>'Hoja 4 - Cálculo'!A105</f>
        <v>32021</v>
      </c>
      <c r="G684" s="15">
        <f>'Hoja 4 - Cálculo'!H105</f>
        <v>26.220375000000001</v>
      </c>
      <c r="H684" s="15">
        <f>IF(D684="Uso único",'Hoja 4 - Cálculo'!I105,IF(D684="Uso múltiple",AVERAGE('Hoja 4 - Cálculo'!$I$25:$I$384)+AVERAGE('Hoja 4 - Cálculo'!$J$25:$J$384)+AVERAGE('Hoja 4 - Cálculo'!$K$25:$K$384),IF(D684="Uso prioritario",'Hoja 4 - Cálculo'!I105+'Hoja 4 - Cálculo'!K105,'Hoja 4 - Cálculo'!I105+'Hoja 4 - Cálculo'!J105+'Hoja 4 - Cálculo'!K105)))</f>
        <v>11.5</v>
      </c>
      <c r="I684" s="15">
        <f t="shared" si="148"/>
        <v>14.375</v>
      </c>
      <c r="J684" s="15">
        <f t="shared" si="155"/>
        <v>0</v>
      </c>
      <c r="K684" s="15">
        <f>MIN(J684+G684,(J684+G684)*'Hoja 4 - Cálculo'!$B$15)</f>
        <v>0.52440750000000003</v>
      </c>
      <c r="L684" s="15">
        <f t="shared" si="149"/>
        <v>25.695967500000002</v>
      </c>
      <c r="M684" s="15">
        <f t="shared" si="150"/>
        <v>14.375</v>
      </c>
      <c r="N684" s="15">
        <f t="shared" si="151"/>
        <v>2</v>
      </c>
      <c r="O684" s="15">
        <f t="shared" si="152"/>
        <v>9.3209675000000018</v>
      </c>
      <c r="P684" s="15">
        <f t="shared" si="153"/>
        <v>0</v>
      </c>
      <c r="Q684" s="14" t="str">
        <f>IF(M684&gt;=I684*'Hoja 4 - Cálculo'!$B$16,"Satisfactorio","Falla")</f>
        <v>Satisfactorio</v>
      </c>
      <c r="R684" s="14">
        <f t="shared" si="156"/>
        <v>1</v>
      </c>
      <c r="S684" s="14">
        <f t="shared" si="157"/>
        <v>0</v>
      </c>
    </row>
    <row r="685" spans="1:19">
      <c r="A685" s="14" t="str">
        <f t="shared" si="154"/>
        <v>SRY-2-3</v>
      </c>
      <c r="B685" s="15">
        <f>'Curvas SRY'!$B$9</f>
        <v>2</v>
      </c>
      <c r="C685" s="15">
        <f>'Curvas SRY'!$E$10</f>
        <v>1.25</v>
      </c>
      <c r="D685" s="14" t="str">
        <f>'Curvas SRY'!$B$14</f>
        <v>Uso variable</v>
      </c>
      <c r="E685" s="14">
        <f>82</f>
        <v>82</v>
      </c>
      <c r="F685" s="21">
        <f>'Hoja 4 - Cálculo'!A106</f>
        <v>32051</v>
      </c>
      <c r="G685" s="15">
        <f>'Hoja 4 - Cálculo'!H106</f>
        <v>32.627249999999997</v>
      </c>
      <c r="H685" s="15">
        <f>IF(D685="Uso único",'Hoja 4 - Cálculo'!I106,IF(D685="Uso múltiple",AVERAGE('Hoja 4 - Cálculo'!$I$25:$I$384)+AVERAGE('Hoja 4 - Cálculo'!$J$25:$J$384)+AVERAGE('Hoja 4 - Cálculo'!$K$25:$K$384),IF(D685="Uso prioritario",'Hoja 4 - Cálculo'!I106+'Hoja 4 - Cálculo'!K106,'Hoja 4 - Cálculo'!I106+'Hoja 4 - Cálculo'!J106+'Hoja 4 - Cálculo'!K106)))</f>
        <v>11.5</v>
      </c>
      <c r="I685" s="15">
        <f t="shared" si="148"/>
        <v>14.375</v>
      </c>
      <c r="J685" s="15">
        <f t="shared" si="155"/>
        <v>2</v>
      </c>
      <c r="K685" s="15">
        <f>MIN(J685+G685,(J685+G685)*'Hoja 4 - Cálculo'!$B$15)</f>
        <v>0.69254499999999997</v>
      </c>
      <c r="L685" s="15">
        <f t="shared" si="149"/>
        <v>33.934704999999994</v>
      </c>
      <c r="M685" s="15">
        <f t="shared" si="150"/>
        <v>14.375</v>
      </c>
      <c r="N685" s="15">
        <f t="shared" si="151"/>
        <v>2</v>
      </c>
      <c r="O685" s="15">
        <f t="shared" si="152"/>
        <v>17.559704999999994</v>
      </c>
      <c r="P685" s="15">
        <f t="shared" si="153"/>
        <v>0</v>
      </c>
      <c r="Q685" s="14" t="str">
        <f>IF(M685&gt;=I685*'Hoja 4 - Cálculo'!$B$16,"Satisfactorio","Falla")</f>
        <v>Satisfactorio</v>
      </c>
      <c r="R685" s="14">
        <f t="shared" si="156"/>
        <v>0</v>
      </c>
      <c r="S685" s="14">
        <f t="shared" si="157"/>
        <v>0</v>
      </c>
    </row>
    <row r="686" spans="1:19">
      <c r="A686" s="14" t="str">
        <f t="shared" si="154"/>
        <v>SRY-2-3</v>
      </c>
      <c r="B686" s="15">
        <f>'Curvas SRY'!$B$9</f>
        <v>2</v>
      </c>
      <c r="C686" s="15">
        <f>'Curvas SRY'!$E$10</f>
        <v>1.25</v>
      </c>
      <c r="D686" s="14" t="str">
        <f>'Curvas SRY'!$B$14</f>
        <v>Uso variable</v>
      </c>
      <c r="E686" s="14">
        <f>83</f>
        <v>83</v>
      </c>
      <c r="F686" s="21">
        <f>'Hoja 4 - Cálculo'!A107</f>
        <v>32082</v>
      </c>
      <c r="G686" s="15">
        <f>'Hoja 4 - Cálculo'!H107</f>
        <v>29.758500000000002</v>
      </c>
      <c r="H686" s="15">
        <f>IF(D686="Uso único",'Hoja 4 - Cálculo'!I107,IF(D686="Uso múltiple",AVERAGE('Hoja 4 - Cálculo'!$I$25:$I$384)+AVERAGE('Hoja 4 - Cálculo'!$J$25:$J$384)+AVERAGE('Hoja 4 - Cálculo'!$K$25:$K$384),IF(D686="Uso prioritario",'Hoja 4 - Cálculo'!I107+'Hoja 4 - Cálculo'!K107,'Hoja 4 - Cálculo'!I107+'Hoja 4 - Cálculo'!J107+'Hoja 4 - Cálculo'!K107)))</f>
        <v>11.5</v>
      </c>
      <c r="I686" s="15">
        <f t="shared" si="148"/>
        <v>14.375</v>
      </c>
      <c r="J686" s="15">
        <f t="shared" si="155"/>
        <v>2</v>
      </c>
      <c r="K686" s="15">
        <f>MIN(J686+G686,(J686+G686)*'Hoja 4 - Cálculo'!$B$15)</f>
        <v>0.63517000000000001</v>
      </c>
      <c r="L686" s="15">
        <f t="shared" si="149"/>
        <v>31.123330000000003</v>
      </c>
      <c r="M686" s="15">
        <f t="shared" si="150"/>
        <v>14.375</v>
      </c>
      <c r="N686" s="15">
        <f t="shared" si="151"/>
        <v>2</v>
      </c>
      <c r="O686" s="15">
        <f t="shared" si="152"/>
        <v>14.748330000000003</v>
      </c>
      <c r="P686" s="15">
        <f t="shared" si="153"/>
        <v>0</v>
      </c>
      <c r="Q686" s="14" t="str">
        <f>IF(M686&gt;=I686*'Hoja 4 - Cálculo'!$B$16,"Satisfactorio","Falla")</f>
        <v>Satisfactorio</v>
      </c>
      <c r="R686" s="14">
        <f t="shared" si="156"/>
        <v>0</v>
      </c>
      <c r="S686" s="14">
        <f t="shared" si="157"/>
        <v>0</v>
      </c>
    </row>
    <row r="687" spans="1:19">
      <c r="A687" s="14" t="str">
        <f t="shared" si="154"/>
        <v>SRY-2-3</v>
      </c>
      <c r="B687" s="15">
        <f>'Curvas SRY'!$B$9</f>
        <v>2</v>
      </c>
      <c r="C687" s="15">
        <f>'Curvas SRY'!$E$10</f>
        <v>1.25</v>
      </c>
      <c r="D687" s="14" t="str">
        <f>'Curvas SRY'!$B$14</f>
        <v>Uso variable</v>
      </c>
      <c r="E687" s="14">
        <f>84</f>
        <v>84</v>
      </c>
      <c r="F687" s="21">
        <f>'Hoja 4 - Cálculo'!A108</f>
        <v>32112</v>
      </c>
      <c r="G687" s="15">
        <f>'Hoja 4 - Cálculo'!H108</f>
        <v>16.543125</v>
      </c>
      <c r="H687" s="15">
        <f>IF(D687="Uso único",'Hoja 4 - Cálculo'!I108,IF(D687="Uso múltiple",AVERAGE('Hoja 4 - Cálculo'!$I$25:$I$384)+AVERAGE('Hoja 4 - Cálculo'!$J$25:$J$384)+AVERAGE('Hoja 4 - Cálculo'!$K$25:$K$384),IF(D687="Uso prioritario",'Hoja 4 - Cálculo'!I108+'Hoja 4 - Cálculo'!K108,'Hoja 4 - Cálculo'!I108+'Hoja 4 - Cálculo'!J108+'Hoja 4 - Cálculo'!K108)))</f>
        <v>16</v>
      </c>
      <c r="I687" s="15">
        <f t="shared" si="148"/>
        <v>20</v>
      </c>
      <c r="J687" s="15">
        <f t="shared" si="155"/>
        <v>2</v>
      </c>
      <c r="K687" s="15">
        <f>MIN(J687+G687,(J687+G687)*'Hoja 4 - Cálculo'!$B$15)</f>
        <v>0.37086249999999998</v>
      </c>
      <c r="L687" s="15">
        <f t="shared" si="149"/>
        <v>18.172262499999999</v>
      </c>
      <c r="M687" s="15">
        <f t="shared" si="150"/>
        <v>18.172262499999999</v>
      </c>
      <c r="N687" s="15">
        <f t="shared" si="151"/>
        <v>0</v>
      </c>
      <c r="O687" s="15">
        <f t="shared" si="152"/>
        <v>0</v>
      </c>
      <c r="P687" s="15">
        <f t="shared" si="153"/>
        <v>1.8277375000000013</v>
      </c>
      <c r="Q687" s="14" t="str">
        <f>IF(M687&gt;=I687*'Hoja 4 - Cálculo'!$B$16,"Satisfactorio","Falla")</f>
        <v>Falla</v>
      </c>
      <c r="R687" s="14">
        <f t="shared" si="156"/>
        <v>0</v>
      </c>
      <c r="S687" s="14">
        <f t="shared" si="157"/>
        <v>1</v>
      </c>
    </row>
    <row r="688" spans="1:19">
      <c r="A688" s="14" t="str">
        <f t="shared" si="154"/>
        <v>SRY-2-3</v>
      </c>
      <c r="B688" s="15">
        <f>'Curvas SRY'!$B$9</f>
        <v>2</v>
      </c>
      <c r="C688" s="15">
        <f>'Curvas SRY'!$E$10</f>
        <v>1.25</v>
      </c>
      <c r="D688" s="14" t="str">
        <f>'Curvas SRY'!$B$14</f>
        <v>Uso variable</v>
      </c>
      <c r="E688" s="14">
        <f>85</f>
        <v>85</v>
      </c>
      <c r="F688" s="21">
        <f>'Hoja 4 - Cálculo'!A109</f>
        <v>32143</v>
      </c>
      <c r="G688" s="15">
        <f>'Hoja 4 - Cálculo'!H109</f>
        <v>13.291874999999999</v>
      </c>
      <c r="H688" s="15">
        <f>IF(D688="Uso único",'Hoja 4 - Cálculo'!I109,IF(D688="Uso múltiple",AVERAGE('Hoja 4 - Cálculo'!$I$25:$I$384)+AVERAGE('Hoja 4 - Cálculo'!$J$25:$J$384)+AVERAGE('Hoja 4 - Cálculo'!$K$25:$K$384),IF(D688="Uso prioritario",'Hoja 4 - Cálculo'!I109+'Hoja 4 - Cálculo'!K109,'Hoja 4 - Cálculo'!I109+'Hoja 4 - Cálculo'!J109+'Hoja 4 - Cálculo'!K109)))</f>
        <v>16</v>
      </c>
      <c r="I688" s="15">
        <f t="shared" si="148"/>
        <v>20</v>
      </c>
      <c r="J688" s="15">
        <f t="shared" si="155"/>
        <v>0</v>
      </c>
      <c r="K688" s="15">
        <f>MIN(J688+G688,(J688+G688)*'Hoja 4 - Cálculo'!$B$15)</f>
        <v>0.2658375</v>
      </c>
      <c r="L688" s="15">
        <f t="shared" si="149"/>
        <v>13.026037499999999</v>
      </c>
      <c r="M688" s="15">
        <f t="shared" si="150"/>
        <v>13.026037499999999</v>
      </c>
      <c r="N688" s="15">
        <f t="shared" si="151"/>
        <v>0</v>
      </c>
      <c r="O688" s="15">
        <f t="shared" si="152"/>
        <v>0</v>
      </c>
      <c r="P688" s="15">
        <f t="shared" si="153"/>
        <v>6.9739625000000007</v>
      </c>
      <c r="Q688" s="14" t="str">
        <f>IF(M688&gt;=I688*'Hoja 4 - Cálculo'!$B$16,"Satisfactorio","Falla")</f>
        <v>Falla</v>
      </c>
      <c r="R688" s="14">
        <f t="shared" si="156"/>
        <v>0</v>
      </c>
      <c r="S688" s="14">
        <f t="shared" si="157"/>
        <v>0</v>
      </c>
    </row>
    <row r="689" spans="1:19">
      <c r="A689" s="14" t="str">
        <f t="shared" si="154"/>
        <v>SRY-2-3</v>
      </c>
      <c r="B689" s="15">
        <f>'Curvas SRY'!$B$9</f>
        <v>2</v>
      </c>
      <c r="C689" s="15">
        <f>'Curvas SRY'!$E$10</f>
        <v>1.25</v>
      </c>
      <c r="D689" s="14" t="str">
        <f>'Curvas SRY'!$B$14</f>
        <v>Uso variable</v>
      </c>
      <c r="E689" s="14">
        <f>86</f>
        <v>86</v>
      </c>
      <c r="F689" s="21">
        <f>'Hoja 4 - Cálculo'!A110</f>
        <v>32174</v>
      </c>
      <c r="G689" s="15">
        <f>'Hoja 4 - Cálculo'!H110</f>
        <v>14.19075</v>
      </c>
      <c r="H689" s="15">
        <f>IF(D689="Uso único",'Hoja 4 - Cálculo'!I110,IF(D689="Uso múltiple",AVERAGE('Hoja 4 - Cálculo'!$I$25:$I$384)+AVERAGE('Hoja 4 - Cálculo'!$J$25:$J$384)+AVERAGE('Hoja 4 - Cálculo'!$K$25:$K$384),IF(D689="Uso prioritario",'Hoja 4 - Cálculo'!I110+'Hoja 4 - Cálculo'!K110,'Hoja 4 - Cálculo'!I110+'Hoja 4 - Cálculo'!J110+'Hoja 4 - Cálculo'!K110)))</f>
        <v>16</v>
      </c>
      <c r="I689" s="15">
        <f t="shared" si="148"/>
        <v>20</v>
      </c>
      <c r="J689" s="15">
        <f t="shared" si="155"/>
        <v>0</v>
      </c>
      <c r="K689" s="15">
        <f>MIN(J689+G689,(J689+G689)*'Hoja 4 - Cálculo'!$B$15)</f>
        <v>0.28381499999999998</v>
      </c>
      <c r="L689" s="15">
        <f t="shared" si="149"/>
        <v>13.906934999999999</v>
      </c>
      <c r="M689" s="15">
        <f t="shared" si="150"/>
        <v>13.906934999999999</v>
      </c>
      <c r="N689" s="15">
        <f t="shared" si="151"/>
        <v>0</v>
      </c>
      <c r="O689" s="15">
        <f t="shared" si="152"/>
        <v>0</v>
      </c>
      <c r="P689" s="15">
        <f t="shared" si="153"/>
        <v>6.0930650000000011</v>
      </c>
      <c r="Q689" s="14" t="str">
        <f>IF(M689&gt;=I689*'Hoja 4 - Cálculo'!$B$16,"Satisfactorio","Falla")</f>
        <v>Falla</v>
      </c>
      <c r="R689" s="14">
        <f t="shared" si="156"/>
        <v>0</v>
      </c>
      <c r="S689" s="14">
        <f t="shared" si="157"/>
        <v>0</v>
      </c>
    </row>
    <row r="690" spans="1:19">
      <c r="A690" s="14" t="str">
        <f t="shared" si="154"/>
        <v>SRY-2-3</v>
      </c>
      <c r="B690" s="15">
        <f>'Curvas SRY'!$B$9</f>
        <v>2</v>
      </c>
      <c r="C690" s="15">
        <f>'Curvas SRY'!$E$10</f>
        <v>1.25</v>
      </c>
      <c r="D690" s="14" t="str">
        <f>'Curvas SRY'!$B$14</f>
        <v>Uso variable</v>
      </c>
      <c r="E690" s="14">
        <f>87</f>
        <v>87</v>
      </c>
      <c r="F690" s="21">
        <f>'Hoja 4 - Cálculo'!A111</f>
        <v>32203</v>
      </c>
      <c r="G690" s="15">
        <f>'Hoja 4 - Cálculo'!H111</f>
        <v>22.338000000000001</v>
      </c>
      <c r="H690" s="15">
        <f>IF(D690="Uso único",'Hoja 4 - Cálculo'!I111,IF(D690="Uso múltiple",AVERAGE('Hoja 4 - Cálculo'!$I$25:$I$384)+AVERAGE('Hoja 4 - Cálculo'!$J$25:$J$384)+AVERAGE('Hoja 4 - Cálculo'!$K$25:$K$384),IF(D690="Uso prioritario",'Hoja 4 - Cálculo'!I111+'Hoja 4 - Cálculo'!K111,'Hoja 4 - Cálculo'!I111+'Hoja 4 - Cálculo'!J111+'Hoja 4 - Cálculo'!K111)))</f>
        <v>16</v>
      </c>
      <c r="I690" s="15">
        <f t="shared" si="148"/>
        <v>20</v>
      </c>
      <c r="J690" s="15">
        <f t="shared" si="155"/>
        <v>0</v>
      </c>
      <c r="K690" s="15">
        <f>MIN(J690+G690,(J690+G690)*'Hoja 4 - Cálculo'!$B$15)</f>
        <v>0.44676000000000005</v>
      </c>
      <c r="L690" s="15">
        <f t="shared" si="149"/>
        <v>21.89124</v>
      </c>
      <c r="M690" s="15">
        <f t="shared" si="150"/>
        <v>20</v>
      </c>
      <c r="N690" s="15">
        <f t="shared" si="151"/>
        <v>1.8912399999999998</v>
      </c>
      <c r="O690" s="15">
        <f t="shared" si="152"/>
        <v>0</v>
      </c>
      <c r="P690" s="15">
        <f t="shared" si="153"/>
        <v>0</v>
      </c>
      <c r="Q690" s="14" t="str">
        <f>IF(M690&gt;=I690*'Hoja 4 - Cálculo'!$B$16,"Satisfactorio","Falla")</f>
        <v>Satisfactorio</v>
      </c>
      <c r="R690" s="14">
        <f t="shared" si="156"/>
        <v>1</v>
      </c>
      <c r="S690" s="14">
        <f t="shared" si="157"/>
        <v>0</v>
      </c>
    </row>
    <row r="691" spans="1:19">
      <c r="A691" s="14" t="str">
        <f t="shared" si="154"/>
        <v>SRY-2-3</v>
      </c>
      <c r="B691" s="15">
        <f>'Curvas SRY'!$B$9</f>
        <v>2</v>
      </c>
      <c r="C691" s="15">
        <f>'Curvas SRY'!$E$10</f>
        <v>1.25</v>
      </c>
      <c r="D691" s="14" t="str">
        <f>'Curvas SRY'!$B$14</f>
        <v>Uso variable</v>
      </c>
      <c r="E691" s="14">
        <f>88</f>
        <v>88</v>
      </c>
      <c r="F691" s="21">
        <f>'Hoja 4 - Cálculo'!A112</f>
        <v>32234</v>
      </c>
      <c r="G691" s="15">
        <f>'Hoja 4 - Cálculo'!H112</f>
        <v>29.643750000000001</v>
      </c>
      <c r="H691" s="15">
        <f>IF(D691="Uso único",'Hoja 4 - Cálculo'!I112,IF(D691="Uso múltiple",AVERAGE('Hoja 4 - Cálculo'!$I$25:$I$384)+AVERAGE('Hoja 4 - Cálculo'!$J$25:$J$384)+AVERAGE('Hoja 4 - Cálculo'!$K$25:$K$384),IF(D691="Uso prioritario",'Hoja 4 - Cálculo'!I112+'Hoja 4 - Cálculo'!K112,'Hoja 4 - Cálculo'!I112+'Hoja 4 - Cálculo'!J112+'Hoja 4 - Cálculo'!K112)))</f>
        <v>11.5</v>
      </c>
      <c r="I691" s="15">
        <f t="shared" si="148"/>
        <v>14.375</v>
      </c>
      <c r="J691" s="15">
        <f t="shared" si="155"/>
        <v>1.8912399999999998</v>
      </c>
      <c r="K691" s="15">
        <f>MIN(J691+G691,(J691+G691)*'Hoja 4 - Cálculo'!$B$15)</f>
        <v>0.63069980000000003</v>
      </c>
      <c r="L691" s="15">
        <f t="shared" si="149"/>
        <v>30.904290200000002</v>
      </c>
      <c r="M691" s="15">
        <f t="shared" si="150"/>
        <v>14.375</v>
      </c>
      <c r="N691" s="15">
        <f t="shared" si="151"/>
        <v>2</v>
      </c>
      <c r="O691" s="15">
        <f t="shared" si="152"/>
        <v>14.529290200000002</v>
      </c>
      <c r="P691" s="15">
        <f t="shared" si="153"/>
        <v>0</v>
      </c>
      <c r="Q691" s="14" t="str">
        <f>IF(M691&gt;=I691*'Hoja 4 - Cálculo'!$B$16,"Satisfactorio","Falla")</f>
        <v>Satisfactorio</v>
      </c>
      <c r="R691" s="14">
        <f t="shared" si="156"/>
        <v>0</v>
      </c>
      <c r="S691" s="14">
        <f t="shared" si="157"/>
        <v>0</v>
      </c>
    </row>
    <row r="692" spans="1:19">
      <c r="A692" s="14" t="str">
        <f t="shared" si="154"/>
        <v>SRY-2-3</v>
      </c>
      <c r="B692" s="15">
        <f>'Curvas SRY'!$B$9</f>
        <v>2</v>
      </c>
      <c r="C692" s="15">
        <f>'Curvas SRY'!$E$10</f>
        <v>1.25</v>
      </c>
      <c r="D692" s="14" t="str">
        <f>'Curvas SRY'!$B$14</f>
        <v>Uso variable</v>
      </c>
      <c r="E692" s="14">
        <f>89</f>
        <v>89</v>
      </c>
      <c r="F692" s="21">
        <f>'Hoja 4 - Cálculo'!A113</f>
        <v>32264</v>
      </c>
      <c r="G692" s="15">
        <f>'Hoja 4 - Cálculo'!H113</f>
        <v>28.075500000000002</v>
      </c>
      <c r="H692" s="15">
        <f>IF(D692="Uso único",'Hoja 4 - Cálculo'!I113,IF(D692="Uso múltiple",AVERAGE('Hoja 4 - Cálculo'!$I$25:$I$384)+AVERAGE('Hoja 4 - Cálculo'!$J$25:$J$384)+AVERAGE('Hoja 4 - Cálculo'!$K$25:$K$384),IF(D692="Uso prioritario",'Hoja 4 - Cálculo'!I113+'Hoja 4 - Cálculo'!K113,'Hoja 4 - Cálculo'!I113+'Hoja 4 - Cálculo'!J113+'Hoja 4 - Cálculo'!K113)))</f>
        <v>11.5</v>
      </c>
      <c r="I692" s="15">
        <f t="shared" si="148"/>
        <v>14.375</v>
      </c>
      <c r="J692" s="15">
        <f t="shared" si="155"/>
        <v>2</v>
      </c>
      <c r="K692" s="15">
        <f>MIN(J692+G692,(J692+G692)*'Hoja 4 - Cálculo'!$B$15)</f>
        <v>0.6015100000000001</v>
      </c>
      <c r="L692" s="15">
        <f t="shared" si="149"/>
        <v>29.473990000000001</v>
      </c>
      <c r="M692" s="15">
        <f t="shared" si="150"/>
        <v>14.375</v>
      </c>
      <c r="N692" s="15">
        <f t="shared" si="151"/>
        <v>2</v>
      </c>
      <c r="O692" s="15">
        <f t="shared" si="152"/>
        <v>13.098990000000001</v>
      </c>
      <c r="P692" s="15">
        <f t="shared" si="153"/>
        <v>0</v>
      </c>
      <c r="Q692" s="14" t="str">
        <f>IF(M692&gt;=I692*'Hoja 4 - Cálculo'!$B$16,"Satisfactorio","Falla")</f>
        <v>Satisfactorio</v>
      </c>
      <c r="R692" s="14">
        <f t="shared" si="156"/>
        <v>0</v>
      </c>
      <c r="S692" s="14">
        <f t="shared" si="157"/>
        <v>0</v>
      </c>
    </row>
    <row r="693" spans="1:19">
      <c r="A693" s="14" t="str">
        <f t="shared" si="154"/>
        <v>SRY-2-3</v>
      </c>
      <c r="B693" s="15">
        <f>'Curvas SRY'!$B$9</f>
        <v>2</v>
      </c>
      <c r="C693" s="15">
        <f>'Curvas SRY'!$E$10</f>
        <v>1.25</v>
      </c>
      <c r="D693" s="14" t="str">
        <f>'Curvas SRY'!$B$14</f>
        <v>Uso variable</v>
      </c>
      <c r="E693" s="14">
        <f>90</f>
        <v>90</v>
      </c>
      <c r="F693" s="21">
        <f>'Hoja 4 - Cálculo'!A114</f>
        <v>32295</v>
      </c>
      <c r="G693" s="15">
        <f>'Hoja 4 - Cálculo'!H114</f>
        <v>16.485749999999999</v>
      </c>
      <c r="H693" s="15">
        <f>IF(D693="Uso único",'Hoja 4 - Cálculo'!I114,IF(D693="Uso múltiple",AVERAGE('Hoja 4 - Cálculo'!$I$25:$I$384)+AVERAGE('Hoja 4 - Cálculo'!$J$25:$J$384)+AVERAGE('Hoja 4 - Cálculo'!$K$25:$K$384),IF(D693="Uso prioritario",'Hoja 4 - Cálculo'!I114+'Hoja 4 - Cálculo'!K114,'Hoja 4 - Cálculo'!I114+'Hoja 4 - Cálculo'!J114+'Hoja 4 - Cálculo'!K114)))</f>
        <v>11.5</v>
      </c>
      <c r="I693" s="15">
        <f t="shared" si="148"/>
        <v>14.375</v>
      </c>
      <c r="J693" s="15">
        <f t="shared" si="155"/>
        <v>2</v>
      </c>
      <c r="K693" s="15">
        <f>MIN(J693+G693,(J693+G693)*'Hoja 4 - Cálculo'!$B$15)</f>
        <v>0.36971500000000002</v>
      </c>
      <c r="L693" s="15">
        <f t="shared" si="149"/>
        <v>18.116035</v>
      </c>
      <c r="M693" s="15">
        <f t="shared" si="150"/>
        <v>14.375</v>
      </c>
      <c r="N693" s="15">
        <f t="shared" si="151"/>
        <v>2</v>
      </c>
      <c r="O693" s="15">
        <f t="shared" si="152"/>
        <v>1.7410350000000001</v>
      </c>
      <c r="P693" s="15">
        <f t="shared" si="153"/>
        <v>0</v>
      </c>
      <c r="Q693" s="14" t="str">
        <f>IF(M693&gt;=I693*'Hoja 4 - Cálculo'!$B$16,"Satisfactorio","Falla")</f>
        <v>Satisfactorio</v>
      </c>
      <c r="R693" s="14">
        <f t="shared" si="156"/>
        <v>0</v>
      </c>
      <c r="S693" s="14">
        <f t="shared" si="157"/>
        <v>0</v>
      </c>
    </row>
    <row r="694" spans="1:19">
      <c r="A694" s="14" t="str">
        <f t="shared" si="154"/>
        <v>SRY-2-3</v>
      </c>
      <c r="B694" s="15">
        <f>'Curvas SRY'!$B$9</f>
        <v>2</v>
      </c>
      <c r="C694" s="15">
        <f>'Curvas SRY'!$E$10</f>
        <v>1.25</v>
      </c>
      <c r="D694" s="14" t="str">
        <f>'Curvas SRY'!$B$14</f>
        <v>Uso variable</v>
      </c>
      <c r="E694" s="14">
        <f>91</f>
        <v>91</v>
      </c>
      <c r="F694" s="21">
        <f>'Hoja 4 - Cálculo'!A115</f>
        <v>32325</v>
      </c>
      <c r="G694" s="15">
        <f>'Hoja 4 - Cálculo'!H115</f>
        <v>13.827375</v>
      </c>
      <c r="H694" s="15">
        <f>IF(D694="Uso único",'Hoja 4 - Cálculo'!I115,IF(D694="Uso múltiple",AVERAGE('Hoja 4 - Cálculo'!$I$25:$I$384)+AVERAGE('Hoja 4 - Cálculo'!$J$25:$J$384)+AVERAGE('Hoja 4 - Cálculo'!$K$25:$K$384),IF(D694="Uso prioritario",'Hoja 4 - Cálculo'!I115+'Hoja 4 - Cálculo'!K115,'Hoja 4 - Cálculo'!I115+'Hoja 4 - Cálculo'!J115+'Hoja 4 - Cálculo'!K115)))</f>
        <v>16</v>
      </c>
      <c r="I694" s="15">
        <f t="shared" si="148"/>
        <v>20</v>
      </c>
      <c r="J694" s="15">
        <f t="shared" si="155"/>
        <v>2</v>
      </c>
      <c r="K694" s="15">
        <f>MIN(J694+G694,(J694+G694)*'Hoja 4 - Cálculo'!$B$15)</f>
        <v>0.31654749999999998</v>
      </c>
      <c r="L694" s="15">
        <f t="shared" si="149"/>
        <v>15.5108275</v>
      </c>
      <c r="M694" s="15">
        <f t="shared" si="150"/>
        <v>15.5108275</v>
      </c>
      <c r="N694" s="15">
        <f t="shared" si="151"/>
        <v>0</v>
      </c>
      <c r="O694" s="15">
        <f t="shared" si="152"/>
        <v>0</v>
      </c>
      <c r="P694" s="15">
        <f t="shared" si="153"/>
        <v>4.4891725000000005</v>
      </c>
      <c r="Q694" s="14" t="str">
        <f>IF(M694&gt;=I694*'Hoja 4 - Cálculo'!$B$16,"Satisfactorio","Falla")</f>
        <v>Falla</v>
      </c>
      <c r="R694" s="14">
        <f t="shared" si="156"/>
        <v>0</v>
      </c>
      <c r="S694" s="14">
        <f t="shared" si="157"/>
        <v>1</v>
      </c>
    </row>
    <row r="695" spans="1:19">
      <c r="A695" s="14" t="str">
        <f t="shared" si="154"/>
        <v>SRY-2-3</v>
      </c>
      <c r="B695" s="15">
        <f>'Curvas SRY'!$B$9</f>
        <v>2</v>
      </c>
      <c r="C695" s="15">
        <f>'Curvas SRY'!$E$10</f>
        <v>1.25</v>
      </c>
      <c r="D695" s="14" t="str">
        <f>'Curvas SRY'!$B$14</f>
        <v>Uso variable</v>
      </c>
      <c r="E695" s="14">
        <f>92</f>
        <v>92</v>
      </c>
      <c r="F695" s="21">
        <f>'Hoja 4 - Cálculo'!A116</f>
        <v>32356</v>
      </c>
      <c r="G695" s="15">
        <f>'Hoja 4 - Cálculo'!H116</f>
        <v>14.783625000000001</v>
      </c>
      <c r="H695" s="15">
        <f>IF(D695="Uso único",'Hoja 4 - Cálculo'!I116,IF(D695="Uso múltiple",AVERAGE('Hoja 4 - Cálculo'!$I$25:$I$384)+AVERAGE('Hoja 4 - Cálculo'!$J$25:$J$384)+AVERAGE('Hoja 4 - Cálculo'!$K$25:$K$384),IF(D695="Uso prioritario",'Hoja 4 - Cálculo'!I116+'Hoja 4 - Cálculo'!K116,'Hoja 4 - Cálculo'!I116+'Hoja 4 - Cálculo'!J116+'Hoja 4 - Cálculo'!K116)))</f>
        <v>16</v>
      </c>
      <c r="I695" s="15">
        <f t="shared" si="148"/>
        <v>20</v>
      </c>
      <c r="J695" s="15">
        <f t="shared" si="155"/>
        <v>0</v>
      </c>
      <c r="K695" s="15">
        <f>MIN(J695+G695,(J695+G695)*'Hoja 4 - Cálculo'!$B$15)</f>
        <v>0.2956725</v>
      </c>
      <c r="L695" s="15">
        <f t="shared" si="149"/>
        <v>14.4879525</v>
      </c>
      <c r="M695" s="15">
        <f t="shared" si="150"/>
        <v>14.4879525</v>
      </c>
      <c r="N695" s="15">
        <f t="shared" si="151"/>
        <v>0</v>
      </c>
      <c r="O695" s="15">
        <f t="shared" si="152"/>
        <v>0</v>
      </c>
      <c r="P695" s="15">
        <f t="shared" si="153"/>
        <v>5.5120474999999995</v>
      </c>
      <c r="Q695" s="14" t="str">
        <f>IF(M695&gt;=I695*'Hoja 4 - Cálculo'!$B$16,"Satisfactorio","Falla")</f>
        <v>Falla</v>
      </c>
      <c r="R695" s="14">
        <f t="shared" si="156"/>
        <v>0</v>
      </c>
      <c r="S695" s="14">
        <f t="shared" si="157"/>
        <v>0</v>
      </c>
    </row>
    <row r="696" spans="1:19">
      <c r="A696" s="14" t="str">
        <f t="shared" si="154"/>
        <v>SRY-2-3</v>
      </c>
      <c r="B696" s="15">
        <f>'Curvas SRY'!$B$9</f>
        <v>2</v>
      </c>
      <c r="C696" s="15">
        <f>'Curvas SRY'!$E$10</f>
        <v>1.25</v>
      </c>
      <c r="D696" s="14" t="str">
        <f>'Curvas SRY'!$B$14</f>
        <v>Uso variable</v>
      </c>
      <c r="E696" s="14">
        <f>93</f>
        <v>93</v>
      </c>
      <c r="F696" s="21">
        <f>'Hoja 4 - Cálculo'!A117</f>
        <v>32387</v>
      </c>
      <c r="G696" s="15">
        <f>'Hoja 4 - Cálculo'!H117</f>
        <v>23.3325</v>
      </c>
      <c r="H696" s="15">
        <f>IF(D696="Uso único",'Hoja 4 - Cálculo'!I117,IF(D696="Uso múltiple",AVERAGE('Hoja 4 - Cálculo'!$I$25:$I$384)+AVERAGE('Hoja 4 - Cálculo'!$J$25:$J$384)+AVERAGE('Hoja 4 - Cálculo'!$K$25:$K$384),IF(D696="Uso prioritario",'Hoja 4 - Cálculo'!I117+'Hoja 4 - Cálculo'!K117,'Hoja 4 - Cálculo'!I117+'Hoja 4 - Cálculo'!J117+'Hoja 4 - Cálculo'!K117)))</f>
        <v>11.5</v>
      </c>
      <c r="I696" s="15">
        <f t="shared" si="148"/>
        <v>14.375</v>
      </c>
      <c r="J696" s="15">
        <f t="shared" si="155"/>
        <v>0</v>
      </c>
      <c r="K696" s="15">
        <f>MIN(J696+G696,(J696+G696)*'Hoja 4 - Cálculo'!$B$15)</f>
        <v>0.46665000000000001</v>
      </c>
      <c r="L696" s="15">
        <f t="shared" si="149"/>
        <v>22.865849999999998</v>
      </c>
      <c r="M696" s="15">
        <f t="shared" si="150"/>
        <v>14.375</v>
      </c>
      <c r="N696" s="15">
        <f t="shared" si="151"/>
        <v>2</v>
      </c>
      <c r="O696" s="15">
        <f t="shared" si="152"/>
        <v>6.4908499999999982</v>
      </c>
      <c r="P696" s="15">
        <f t="shared" si="153"/>
        <v>0</v>
      </c>
      <c r="Q696" s="14" t="str">
        <f>IF(M696&gt;=I696*'Hoja 4 - Cálculo'!$B$16,"Satisfactorio","Falla")</f>
        <v>Satisfactorio</v>
      </c>
      <c r="R696" s="14">
        <f t="shared" si="156"/>
        <v>1</v>
      </c>
      <c r="S696" s="14">
        <f t="shared" si="157"/>
        <v>0</v>
      </c>
    </row>
    <row r="697" spans="1:19">
      <c r="A697" s="14" t="str">
        <f t="shared" si="154"/>
        <v>SRY-2-3</v>
      </c>
      <c r="B697" s="15">
        <f>'Curvas SRY'!$B$9</f>
        <v>2</v>
      </c>
      <c r="C697" s="15">
        <f>'Curvas SRY'!$E$10</f>
        <v>1.25</v>
      </c>
      <c r="D697" s="14" t="str">
        <f>'Curvas SRY'!$B$14</f>
        <v>Uso variable</v>
      </c>
      <c r="E697" s="14">
        <f>94</f>
        <v>94</v>
      </c>
      <c r="F697" s="21">
        <f>'Hoja 4 - Cálculo'!A118</f>
        <v>32417</v>
      </c>
      <c r="G697" s="15">
        <f>'Hoja 4 - Cálculo'!H118</f>
        <v>32.015250000000002</v>
      </c>
      <c r="H697" s="15">
        <f>IF(D697="Uso único",'Hoja 4 - Cálculo'!I118,IF(D697="Uso múltiple",AVERAGE('Hoja 4 - Cálculo'!$I$25:$I$384)+AVERAGE('Hoja 4 - Cálculo'!$J$25:$J$384)+AVERAGE('Hoja 4 - Cálculo'!$K$25:$K$384),IF(D697="Uso prioritario",'Hoja 4 - Cálculo'!I118+'Hoja 4 - Cálculo'!K118,'Hoja 4 - Cálculo'!I118+'Hoja 4 - Cálculo'!J118+'Hoja 4 - Cálculo'!K118)))</f>
        <v>11.5</v>
      </c>
      <c r="I697" s="15">
        <f t="shared" si="148"/>
        <v>14.375</v>
      </c>
      <c r="J697" s="15">
        <f t="shared" si="155"/>
        <v>2</v>
      </c>
      <c r="K697" s="15">
        <f>MIN(J697+G697,(J697+G697)*'Hoja 4 - Cálculo'!$B$15)</f>
        <v>0.68030500000000005</v>
      </c>
      <c r="L697" s="15">
        <f t="shared" si="149"/>
        <v>33.334945000000005</v>
      </c>
      <c r="M697" s="15">
        <f t="shared" si="150"/>
        <v>14.375</v>
      </c>
      <c r="N697" s="15">
        <f t="shared" si="151"/>
        <v>2</v>
      </c>
      <c r="O697" s="15">
        <f t="shared" si="152"/>
        <v>16.959945000000005</v>
      </c>
      <c r="P697" s="15">
        <f t="shared" si="153"/>
        <v>0</v>
      </c>
      <c r="Q697" s="14" t="str">
        <f>IF(M697&gt;=I697*'Hoja 4 - Cálculo'!$B$16,"Satisfactorio","Falla")</f>
        <v>Satisfactorio</v>
      </c>
      <c r="R697" s="14">
        <f t="shared" si="156"/>
        <v>0</v>
      </c>
      <c r="S697" s="14">
        <f t="shared" si="157"/>
        <v>0</v>
      </c>
    </row>
    <row r="698" spans="1:19">
      <c r="A698" s="14" t="str">
        <f t="shared" si="154"/>
        <v>SRY-2-3</v>
      </c>
      <c r="B698" s="15">
        <f>'Curvas SRY'!$B$9</f>
        <v>2</v>
      </c>
      <c r="C698" s="15">
        <f>'Curvas SRY'!$E$10</f>
        <v>1.25</v>
      </c>
      <c r="D698" s="14" t="str">
        <f>'Curvas SRY'!$B$14</f>
        <v>Uso variable</v>
      </c>
      <c r="E698" s="14">
        <f>95</f>
        <v>95</v>
      </c>
      <c r="F698" s="21">
        <f>'Hoja 4 - Cálculo'!A119</f>
        <v>32448</v>
      </c>
      <c r="G698" s="15">
        <f>'Hoja 4 - Cálculo'!H119</f>
        <v>25.876124999999998</v>
      </c>
      <c r="H698" s="15">
        <f>IF(D698="Uso único",'Hoja 4 - Cálculo'!I119,IF(D698="Uso múltiple",AVERAGE('Hoja 4 - Cálculo'!$I$25:$I$384)+AVERAGE('Hoja 4 - Cálculo'!$J$25:$J$384)+AVERAGE('Hoja 4 - Cálculo'!$K$25:$K$384),IF(D698="Uso prioritario",'Hoja 4 - Cálculo'!I119+'Hoja 4 - Cálculo'!K119,'Hoja 4 - Cálculo'!I119+'Hoja 4 - Cálculo'!J119+'Hoja 4 - Cálculo'!K119)))</f>
        <v>11.5</v>
      </c>
      <c r="I698" s="15">
        <f t="shared" si="148"/>
        <v>14.375</v>
      </c>
      <c r="J698" s="15">
        <f t="shared" si="155"/>
        <v>2</v>
      </c>
      <c r="K698" s="15">
        <f>MIN(J698+G698,(J698+G698)*'Hoja 4 - Cálculo'!$B$15)</f>
        <v>0.55752250000000003</v>
      </c>
      <c r="L698" s="15">
        <f t="shared" si="149"/>
        <v>27.318602499999997</v>
      </c>
      <c r="M698" s="15">
        <f t="shared" si="150"/>
        <v>14.375</v>
      </c>
      <c r="N698" s="15">
        <f t="shared" si="151"/>
        <v>2</v>
      </c>
      <c r="O698" s="15">
        <f t="shared" si="152"/>
        <v>10.943602499999997</v>
      </c>
      <c r="P698" s="15">
        <f t="shared" si="153"/>
        <v>0</v>
      </c>
      <c r="Q698" s="14" t="str">
        <f>IF(M698&gt;=I698*'Hoja 4 - Cálculo'!$B$16,"Satisfactorio","Falla")</f>
        <v>Satisfactorio</v>
      </c>
      <c r="R698" s="14">
        <f t="shared" si="156"/>
        <v>0</v>
      </c>
      <c r="S698" s="14">
        <f t="shared" si="157"/>
        <v>0</v>
      </c>
    </row>
    <row r="699" spans="1:19">
      <c r="A699" s="14" t="str">
        <f t="shared" si="154"/>
        <v>SRY-2-3</v>
      </c>
      <c r="B699" s="15">
        <f>'Curvas SRY'!$B$9</f>
        <v>2</v>
      </c>
      <c r="C699" s="15">
        <f>'Curvas SRY'!$E$10</f>
        <v>1.25</v>
      </c>
      <c r="D699" s="14" t="str">
        <f>'Curvas SRY'!$B$14</f>
        <v>Uso variable</v>
      </c>
      <c r="E699" s="14">
        <f>96</f>
        <v>96</v>
      </c>
      <c r="F699" s="21">
        <f>'Hoja 4 - Cálculo'!A120</f>
        <v>32478</v>
      </c>
      <c r="G699" s="15">
        <f>'Hoja 4 - Cálculo'!H120</f>
        <v>16.218</v>
      </c>
      <c r="H699" s="15">
        <f>IF(D699="Uso único",'Hoja 4 - Cálculo'!I120,IF(D699="Uso múltiple",AVERAGE('Hoja 4 - Cálculo'!$I$25:$I$384)+AVERAGE('Hoja 4 - Cálculo'!$J$25:$J$384)+AVERAGE('Hoja 4 - Cálculo'!$K$25:$K$384),IF(D699="Uso prioritario",'Hoja 4 - Cálculo'!I120+'Hoja 4 - Cálculo'!K120,'Hoja 4 - Cálculo'!I120+'Hoja 4 - Cálculo'!J120+'Hoja 4 - Cálculo'!K120)))</f>
        <v>16</v>
      </c>
      <c r="I699" s="15">
        <f t="shared" si="148"/>
        <v>20</v>
      </c>
      <c r="J699" s="15">
        <f t="shared" si="155"/>
        <v>2</v>
      </c>
      <c r="K699" s="15">
        <f>MIN(J699+G699,(J699+G699)*'Hoja 4 - Cálculo'!$B$15)</f>
        <v>0.36436000000000002</v>
      </c>
      <c r="L699" s="15">
        <f t="shared" si="149"/>
        <v>17.853639999999999</v>
      </c>
      <c r="M699" s="15">
        <f t="shared" si="150"/>
        <v>17.853639999999999</v>
      </c>
      <c r="N699" s="15">
        <f t="shared" si="151"/>
        <v>0</v>
      </c>
      <c r="O699" s="15">
        <f t="shared" si="152"/>
        <v>0</v>
      </c>
      <c r="P699" s="15">
        <f t="shared" si="153"/>
        <v>2.1463600000000014</v>
      </c>
      <c r="Q699" s="14" t="str">
        <f>IF(M699&gt;=I699*'Hoja 4 - Cálculo'!$B$16,"Satisfactorio","Falla")</f>
        <v>Falla</v>
      </c>
      <c r="R699" s="14">
        <f t="shared" si="156"/>
        <v>0</v>
      </c>
      <c r="S699" s="14">
        <f t="shared" si="157"/>
        <v>1</v>
      </c>
    </row>
    <row r="700" spans="1:19">
      <c r="A700" s="14" t="str">
        <f t="shared" ref="A700:A723" si="158">"SRY-2-3"</f>
        <v>SRY-2-3</v>
      </c>
      <c r="B700" s="15">
        <f>'Curvas SRY'!$B$9</f>
        <v>2</v>
      </c>
      <c r="C700" s="15">
        <f>'Curvas SRY'!$E$10</f>
        <v>1.25</v>
      </c>
      <c r="D700" s="14" t="str">
        <f>'Curvas SRY'!$B$14</f>
        <v>Uso variable</v>
      </c>
      <c r="E700" s="14">
        <f>97</f>
        <v>97</v>
      </c>
      <c r="F700" s="21">
        <f>'Hoja 4 - Cálculo'!A121</f>
        <v>32509</v>
      </c>
      <c r="G700" s="15">
        <f>'Hoja 4 - Cálculo'!H121</f>
        <v>11.761875</v>
      </c>
      <c r="H700" s="15">
        <f>IF(D700="Uso único",'Hoja 4 - Cálculo'!I121,IF(D700="Uso múltiple",AVERAGE('Hoja 4 - Cálculo'!$I$25:$I$384)+AVERAGE('Hoja 4 - Cálculo'!$J$25:$J$384)+AVERAGE('Hoja 4 - Cálculo'!$K$25:$K$384),IF(D700="Uso prioritario",'Hoja 4 - Cálculo'!I121+'Hoja 4 - Cálculo'!K121,'Hoja 4 - Cálculo'!I121+'Hoja 4 - Cálculo'!J121+'Hoja 4 - Cálculo'!K121)))</f>
        <v>16</v>
      </c>
      <c r="I700" s="15">
        <f t="shared" si="148"/>
        <v>20</v>
      </c>
      <c r="J700" s="15">
        <f t="shared" si="155"/>
        <v>0</v>
      </c>
      <c r="K700" s="15">
        <f>MIN(J700+G700,(J700+G700)*'Hoja 4 - Cálculo'!$B$15)</f>
        <v>0.23523749999999999</v>
      </c>
      <c r="L700" s="15">
        <f t="shared" si="149"/>
        <v>11.5266375</v>
      </c>
      <c r="M700" s="15">
        <f t="shared" si="150"/>
        <v>11.5266375</v>
      </c>
      <c r="N700" s="15">
        <f t="shared" si="151"/>
        <v>0</v>
      </c>
      <c r="O700" s="15">
        <f t="shared" si="152"/>
        <v>0</v>
      </c>
      <c r="P700" s="15">
        <f t="shared" si="153"/>
        <v>8.4733625000000004</v>
      </c>
      <c r="Q700" s="14" t="str">
        <f>IF(M700&gt;=I700*'Hoja 4 - Cálculo'!$B$16,"Satisfactorio","Falla")</f>
        <v>Falla</v>
      </c>
      <c r="R700" s="14">
        <f t="shared" si="156"/>
        <v>0</v>
      </c>
      <c r="S700" s="14">
        <f t="shared" si="157"/>
        <v>0</v>
      </c>
    </row>
    <row r="701" spans="1:19">
      <c r="A701" s="14" t="str">
        <f t="shared" si="158"/>
        <v>SRY-2-3</v>
      </c>
      <c r="B701" s="15">
        <f>'Curvas SRY'!$B$9</f>
        <v>2</v>
      </c>
      <c r="C701" s="15">
        <f>'Curvas SRY'!$E$10</f>
        <v>1.25</v>
      </c>
      <c r="D701" s="14" t="str">
        <f>'Curvas SRY'!$B$14</f>
        <v>Uso variable</v>
      </c>
      <c r="E701" s="14">
        <f>98</f>
        <v>98</v>
      </c>
      <c r="F701" s="21">
        <f>'Hoja 4 - Cálculo'!A122</f>
        <v>32540</v>
      </c>
      <c r="G701" s="15">
        <f>'Hoja 4 - Cálculo'!H122</f>
        <v>12.43125</v>
      </c>
      <c r="H701" s="15">
        <f>IF(D701="Uso único",'Hoja 4 - Cálculo'!I122,IF(D701="Uso múltiple",AVERAGE('Hoja 4 - Cálculo'!$I$25:$I$384)+AVERAGE('Hoja 4 - Cálculo'!$J$25:$J$384)+AVERAGE('Hoja 4 - Cálculo'!$K$25:$K$384),IF(D701="Uso prioritario",'Hoja 4 - Cálculo'!I122+'Hoja 4 - Cálculo'!K122,'Hoja 4 - Cálculo'!I122+'Hoja 4 - Cálculo'!J122+'Hoja 4 - Cálculo'!K122)))</f>
        <v>16</v>
      </c>
      <c r="I701" s="15">
        <f t="shared" si="148"/>
        <v>20</v>
      </c>
      <c r="J701" s="15">
        <f t="shared" ref="J701:J723" si="159">N700</f>
        <v>0</v>
      </c>
      <c r="K701" s="15">
        <f>MIN(J701+G701,(J701+G701)*'Hoja 4 - Cálculo'!$B$15)</f>
        <v>0.24862500000000001</v>
      </c>
      <c r="L701" s="15">
        <f t="shared" si="149"/>
        <v>12.182625</v>
      </c>
      <c r="M701" s="15">
        <f t="shared" si="150"/>
        <v>12.182625</v>
      </c>
      <c r="N701" s="15">
        <f t="shared" si="151"/>
        <v>0</v>
      </c>
      <c r="O701" s="15">
        <f t="shared" si="152"/>
        <v>0</v>
      </c>
      <c r="P701" s="15">
        <f t="shared" si="153"/>
        <v>7.8173750000000002</v>
      </c>
      <c r="Q701" s="14" t="str">
        <f>IF(M701&gt;=I701*'Hoja 4 - Cálculo'!$B$16,"Satisfactorio","Falla")</f>
        <v>Falla</v>
      </c>
      <c r="R701" s="14">
        <f t="shared" ref="R701:R732" si="160">IF(AND(Q700="Falla",Q701="Satisfactorio"),1,0)</f>
        <v>0</v>
      </c>
      <c r="S701" s="14">
        <f t="shared" ref="S701:S723" si="161">IF(AND(Q701="Falla",Q700&lt;&gt;"Falla"),1,0)</f>
        <v>0</v>
      </c>
    </row>
    <row r="702" spans="1:19">
      <c r="A702" s="14" t="str">
        <f t="shared" si="158"/>
        <v>SRY-2-3</v>
      </c>
      <c r="B702" s="15">
        <f>'Curvas SRY'!$B$9</f>
        <v>2</v>
      </c>
      <c r="C702" s="15">
        <f>'Curvas SRY'!$E$10</f>
        <v>1.25</v>
      </c>
      <c r="D702" s="14" t="str">
        <f>'Curvas SRY'!$B$14</f>
        <v>Uso variable</v>
      </c>
      <c r="E702" s="14">
        <f>99</f>
        <v>99</v>
      </c>
      <c r="F702" s="21">
        <f>'Hoja 4 - Cálculo'!A123</f>
        <v>32568</v>
      </c>
      <c r="G702" s="15">
        <f>'Hoja 4 - Cálculo'!H123</f>
        <v>19.717874999999999</v>
      </c>
      <c r="H702" s="15">
        <f>IF(D702="Uso único",'Hoja 4 - Cálculo'!I123,IF(D702="Uso múltiple",AVERAGE('Hoja 4 - Cálculo'!$I$25:$I$384)+AVERAGE('Hoja 4 - Cálculo'!$J$25:$J$384)+AVERAGE('Hoja 4 - Cálculo'!$K$25:$K$384),IF(D702="Uso prioritario",'Hoja 4 - Cálculo'!I123+'Hoja 4 - Cálculo'!K123,'Hoja 4 - Cálculo'!I123+'Hoja 4 - Cálculo'!J123+'Hoja 4 - Cálculo'!K123)))</f>
        <v>16</v>
      </c>
      <c r="I702" s="15">
        <f t="shared" si="148"/>
        <v>20</v>
      </c>
      <c r="J702" s="15">
        <f t="shared" si="159"/>
        <v>0</v>
      </c>
      <c r="K702" s="15">
        <f>MIN(J702+G702,(J702+G702)*'Hoja 4 - Cálculo'!$B$15)</f>
        <v>0.39435749999999997</v>
      </c>
      <c r="L702" s="15">
        <f t="shared" si="149"/>
        <v>19.323517499999998</v>
      </c>
      <c r="M702" s="15">
        <f t="shared" si="150"/>
        <v>19.323517499999998</v>
      </c>
      <c r="N702" s="15">
        <f t="shared" si="151"/>
        <v>0</v>
      </c>
      <c r="O702" s="15">
        <f t="shared" si="152"/>
        <v>0</v>
      </c>
      <c r="P702" s="15">
        <f t="shared" si="153"/>
        <v>0.67648250000000232</v>
      </c>
      <c r="Q702" s="14" t="str">
        <f>IF(M702&gt;=I702*'Hoja 4 - Cálculo'!$B$16,"Satisfactorio","Falla")</f>
        <v>Falla</v>
      </c>
      <c r="R702" s="14">
        <f t="shared" si="160"/>
        <v>0</v>
      </c>
      <c r="S702" s="14">
        <f t="shared" si="161"/>
        <v>0</v>
      </c>
    </row>
    <row r="703" spans="1:19">
      <c r="A703" s="14" t="str">
        <f t="shared" si="158"/>
        <v>SRY-2-3</v>
      </c>
      <c r="B703" s="15">
        <f>'Curvas SRY'!$B$9</f>
        <v>2</v>
      </c>
      <c r="C703" s="15">
        <f>'Curvas SRY'!$E$10</f>
        <v>1.25</v>
      </c>
      <c r="D703" s="14" t="str">
        <f>'Curvas SRY'!$B$14</f>
        <v>Uso variable</v>
      </c>
      <c r="E703" s="14">
        <f>100</f>
        <v>100</v>
      </c>
      <c r="F703" s="21">
        <f>'Hoja 4 - Cálculo'!A124</f>
        <v>32599</v>
      </c>
      <c r="G703" s="15">
        <f>'Hoja 4 - Cálculo'!H124</f>
        <v>26.029125000000001</v>
      </c>
      <c r="H703" s="15">
        <f>IF(D703="Uso único",'Hoja 4 - Cálculo'!I124,IF(D703="Uso múltiple",AVERAGE('Hoja 4 - Cálculo'!$I$25:$I$384)+AVERAGE('Hoja 4 - Cálculo'!$J$25:$J$384)+AVERAGE('Hoja 4 - Cálculo'!$K$25:$K$384),IF(D703="Uso prioritario",'Hoja 4 - Cálculo'!I124+'Hoja 4 - Cálculo'!K124,'Hoja 4 - Cálculo'!I124+'Hoja 4 - Cálculo'!J124+'Hoja 4 - Cálculo'!K124)))</f>
        <v>11.5</v>
      </c>
      <c r="I703" s="15">
        <f t="shared" si="148"/>
        <v>14.375</v>
      </c>
      <c r="J703" s="15">
        <f t="shared" si="159"/>
        <v>0</v>
      </c>
      <c r="K703" s="15">
        <f>MIN(J703+G703,(J703+G703)*'Hoja 4 - Cálculo'!$B$15)</f>
        <v>0.52058250000000006</v>
      </c>
      <c r="L703" s="15">
        <f t="shared" si="149"/>
        <v>25.508542500000001</v>
      </c>
      <c r="M703" s="15">
        <f t="shared" si="150"/>
        <v>14.375</v>
      </c>
      <c r="N703" s="15">
        <f t="shared" si="151"/>
        <v>2</v>
      </c>
      <c r="O703" s="15">
        <f t="shared" si="152"/>
        <v>9.1335425000000008</v>
      </c>
      <c r="P703" s="15">
        <f t="shared" si="153"/>
        <v>0</v>
      </c>
      <c r="Q703" s="14" t="str">
        <f>IF(M703&gt;=I703*'Hoja 4 - Cálculo'!$B$16,"Satisfactorio","Falla")</f>
        <v>Satisfactorio</v>
      </c>
      <c r="R703" s="14">
        <f t="shared" si="160"/>
        <v>1</v>
      </c>
      <c r="S703" s="14">
        <f t="shared" si="161"/>
        <v>0</v>
      </c>
    </row>
    <row r="704" spans="1:19">
      <c r="A704" s="14" t="str">
        <f t="shared" si="158"/>
        <v>SRY-2-3</v>
      </c>
      <c r="B704" s="15">
        <f>'Curvas SRY'!$B$9</f>
        <v>2</v>
      </c>
      <c r="C704" s="15">
        <f>'Curvas SRY'!$E$10</f>
        <v>1.25</v>
      </c>
      <c r="D704" s="14" t="str">
        <f>'Curvas SRY'!$B$14</f>
        <v>Uso variable</v>
      </c>
      <c r="E704" s="14">
        <f>101</f>
        <v>101</v>
      </c>
      <c r="F704" s="21">
        <f>'Hoja 4 - Cálculo'!A125</f>
        <v>32629</v>
      </c>
      <c r="G704" s="15">
        <f>'Hoja 4 - Cálculo'!H125</f>
        <v>24.728625000000005</v>
      </c>
      <c r="H704" s="15">
        <f>IF(D704="Uso único",'Hoja 4 - Cálculo'!I125,IF(D704="Uso múltiple",AVERAGE('Hoja 4 - Cálculo'!$I$25:$I$384)+AVERAGE('Hoja 4 - Cálculo'!$J$25:$J$384)+AVERAGE('Hoja 4 - Cálculo'!$K$25:$K$384),IF(D704="Uso prioritario",'Hoja 4 - Cálculo'!I125+'Hoja 4 - Cálculo'!K125,'Hoja 4 - Cálculo'!I125+'Hoja 4 - Cálculo'!J125+'Hoja 4 - Cálculo'!K125)))</f>
        <v>11.5</v>
      </c>
      <c r="I704" s="15">
        <f t="shared" si="148"/>
        <v>14.375</v>
      </c>
      <c r="J704" s="15">
        <f t="shared" si="159"/>
        <v>2</v>
      </c>
      <c r="K704" s="15">
        <f>MIN(J704+G704,(J704+G704)*'Hoja 4 - Cálculo'!$B$15)</f>
        <v>0.53457250000000012</v>
      </c>
      <c r="L704" s="15">
        <f t="shared" si="149"/>
        <v>26.194052500000005</v>
      </c>
      <c r="M704" s="15">
        <f t="shared" si="150"/>
        <v>14.375</v>
      </c>
      <c r="N704" s="15">
        <f t="shared" si="151"/>
        <v>2</v>
      </c>
      <c r="O704" s="15">
        <f t="shared" si="152"/>
        <v>9.8190525000000051</v>
      </c>
      <c r="P704" s="15">
        <f t="shared" si="153"/>
        <v>0</v>
      </c>
      <c r="Q704" s="14" t="str">
        <f>IF(M704&gt;=I704*'Hoja 4 - Cálculo'!$B$16,"Satisfactorio","Falla")</f>
        <v>Satisfactorio</v>
      </c>
      <c r="R704" s="14">
        <f t="shared" si="160"/>
        <v>0</v>
      </c>
      <c r="S704" s="14">
        <f t="shared" si="161"/>
        <v>0</v>
      </c>
    </row>
    <row r="705" spans="1:19">
      <c r="A705" s="14" t="str">
        <f t="shared" si="158"/>
        <v>SRY-2-3</v>
      </c>
      <c r="B705" s="15">
        <f>'Curvas SRY'!$B$9</f>
        <v>2</v>
      </c>
      <c r="C705" s="15">
        <f>'Curvas SRY'!$E$10</f>
        <v>1.25</v>
      </c>
      <c r="D705" s="14" t="str">
        <f>'Curvas SRY'!$B$14</f>
        <v>Uso variable</v>
      </c>
      <c r="E705" s="14">
        <f>102</f>
        <v>102</v>
      </c>
      <c r="F705" s="21">
        <f>'Hoja 4 - Cálculo'!A126</f>
        <v>32660</v>
      </c>
      <c r="G705" s="15">
        <f>'Hoja 4 - Cálculo'!H126</f>
        <v>14.515874999999999</v>
      </c>
      <c r="H705" s="15">
        <f>IF(D705="Uso único",'Hoja 4 - Cálculo'!I126,IF(D705="Uso múltiple",AVERAGE('Hoja 4 - Cálculo'!$I$25:$I$384)+AVERAGE('Hoja 4 - Cálculo'!$J$25:$J$384)+AVERAGE('Hoja 4 - Cálculo'!$K$25:$K$384),IF(D705="Uso prioritario",'Hoja 4 - Cálculo'!I126+'Hoja 4 - Cálculo'!K126,'Hoja 4 - Cálculo'!I126+'Hoja 4 - Cálculo'!J126+'Hoja 4 - Cálculo'!K126)))</f>
        <v>11.5</v>
      </c>
      <c r="I705" s="15">
        <f t="shared" si="148"/>
        <v>14.375</v>
      </c>
      <c r="J705" s="15">
        <f t="shared" si="159"/>
        <v>2</v>
      </c>
      <c r="K705" s="15">
        <f>MIN(J705+G705,(J705+G705)*'Hoja 4 - Cálculo'!$B$15)</f>
        <v>0.33031750000000004</v>
      </c>
      <c r="L705" s="15">
        <f t="shared" si="149"/>
        <v>16.185557500000002</v>
      </c>
      <c r="M705" s="15">
        <f t="shared" si="150"/>
        <v>14.375</v>
      </c>
      <c r="N705" s="15">
        <f t="shared" si="151"/>
        <v>1.8105575000000016</v>
      </c>
      <c r="O705" s="15">
        <f t="shared" si="152"/>
        <v>0</v>
      </c>
      <c r="P705" s="15">
        <f t="shared" si="153"/>
        <v>0</v>
      </c>
      <c r="Q705" s="14" t="str">
        <f>IF(M705&gt;=I705*'Hoja 4 - Cálculo'!$B$16,"Satisfactorio","Falla")</f>
        <v>Satisfactorio</v>
      </c>
      <c r="R705" s="14">
        <f t="shared" si="160"/>
        <v>0</v>
      </c>
      <c r="S705" s="14">
        <f t="shared" si="161"/>
        <v>0</v>
      </c>
    </row>
    <row r="706" spans="1:19">
      <c r="A706" s="14" t="str">
        <f t="shared" si="158"/>
        <v>SRY-2-3</v>
      </c>
      <c r="B706" s="15">
        <f>'Curvas SRY'!$B$9</f>
        <v>2</v>
      </c>
      <c r="C706" s="15">
        <f>'Curvas SRY'!$E$10</f>
        <v>1.25</v>
      </c>
      <c r="D706" s="14" t="str">
        <f>'Curvas SRY'!$B$14</f>
        <v>Uso variable</v>
      </c>
      <c r="E706" s="14">
        <f>103</f>
        <v>103</v>
      </c>
      <c r="F706" s="21">
        <f>'Hoja 4 - Cálculo'!A127</f>
        <v>32690</v>
      </c>
      <c r="G706" s="15">
        <f>'Hoja 4 - Cálculo'!H127</f>
        <v>12.144375</v>
      </c>
      <c r="H706" s="15">
        <f>IF(D706="Uso único",'Hoja 4 - Cálculo'!I127,IF(D706="Uso múltiple",AVERAGE('Hoja 4 - Cálculo'!$I$25:$I$384)+AVERAGE('Hoja 4 - Cálculo'!$J$25:$J$384)+AVERAGE('Hoja 4 - Cálculo'!$K$25:$K$384),IF(D706="Uso prioritario",'Hoja 4 - Cálculo'!I127+'Hoja 4 - Cálculo'!K127,'Hoja 4 - Cálculo'!I127+'Hoja 4 - Cálculo'!J127+'Hoja 4 - Cálculo'!K127)))</f>
        <v>16</v>
      </c>
      <c r="I706" s="15">
        <f t="shared" si="148"/>
        <v>20</v>
      </c>
      <c r="J706" s="15">
        <f t="shared" si="159"/>
        <v>1.8105575000000016</v>
      </c>
      <c r="K706" s="15">
        <f>MIN(J706+G706,(J706+G706)*'Hoja 4 - Cálculo'!$B$15)</f>
        <v>0.27909865000000006</v>
      </c>
      <c r="L706" s="15">
        <f t="shared" si="149"/>
        <v>13.675833850000002</v>
      </c>
      <c r="M706" s="15">
        <f t="shared" si="150"/>
        <v>13.675833850000002</v>
      </c>
      <c r="N706" s="15">
        <f t="shared" si="151"/>
        <v>0</v>
      </c>
      <c r="O706" s="15">
        <f t="shared" si="152"/>
        <v>0</v>
      </c>
      <c r="P706" s="15">
        <f t="shared" si="153"/>
        <v>6.3241661499999982</v>
      </c>
      <c r="Q706" s="14" t="str">
        <f>IF(M706&gt;=I706*'Hoja 4 - Cálculo'!$B$16,"Satisfactorio","Falla")</f>
        <v>Falla</v>
      </c>
      <c r="R706" s="14">
        <f t="shared" si="160"/>
        <v>0</v>
      </c>
      <c r="S706" s="14">
        <f t="shared" si="161"/>
        <v>1</v>
      </c>
    </row>
    <row r="707" spans="1:19">
      <c r="A707" s="14" t="str">
        <f t="shared" si="158"/>
        <v>SRY-2-3</v>
      </c>
      <c r="B707" s="15">
        <f>'Curvas SRY'!$B$9</f>
        <v>2</v>
      </c>
      <c r="C707" s="15">
        <f>'Curvas SRY'!$E$10</f>
        <v>1.25</v>
      </c>
      <c r="D707" s="14" t="str">
        <f>'Curvas SRY'!$B$14</f>
        <v>Uso variable</v>
      </c>
      <c r="E707" s="14">
        <f>104</f>
        <v>104</v>
      </c>
      <c r="F707" s="21">
        <f>'Hoja 4 - Cálculo'!A128</f>
        <v>32721</v>
      </c>
      <c r="G707" s="15">
        <f>'Hoja 4 - Cálculo'!H128</f>
        <v>13.04325</v>
      </c>
      <c r="H707" s="15">
        <f>IF(D707="Uso único",'Hoja 4 - Cálculo'!I128,IF(D707="Uso múltiple",AVERAGE('Hoja 4 - Cálculo'!$I$25:$I$384)+AVERAGE('Hoja 4 - Cálculo'!$J$25:$J$384)+AVERAGE('Hoja 4 - Cálculo'!$K$25:$K$384),IF(D707="Uso prioritario",'Hoja 4 - Cálculo'!I128+'Hoja 4 - Cálculo'!K128,'Hoja 4 - Cálculo'!I128+'Hoja 4 - Cálculo'!J128+'Hoja 4 - Cálculo'!K128)))</f>
        <v>16</v>
      </c>
      <c r="I707" s="15">
        <f t="shared" si="148"/>
        <v>20</v>
      </c>
      <c r="J707" s="15">
        <f t="shared" si="159"/>
        <v>0</v>
      </c>
      <c r="K707" s="15">
        <f>MIN(J707+G707,(J707+G707)*'Hoja 4 - Cálculo'!$B$15)</f>
        <v>0.26086500000000001</v>
      </c>
      <c r="L707" s="15">
        <f t="shared" si="149"/>
        <v>12.782385</v>
      </c>
      <c r="M707" s="15">
        <f t="shared" si="150"/>
        <v>12.782385</v>
      </c>
      <c r="N707" s="15">
        <f t="shared" si="151"/>
        <v>0</v>
      </c>
      <c r="O707" s="15">
        <f t="shared" si="152"/>
        <v>0</v>
      </c>
      <c r="P707" s="15">
        <f t="shared" si="153"/>
        <v>7.2176150000000003</v>
      </c>
      <c r="Q707" s="14" t="str">
        <f>IF(M707&gt;=I707*'Hoja 4 - Cálculo'!$B$16,"Satisfactorio","Falla")</f>
        <v>Falla</v>
      </c>
      <c r="R707" s="14">
        <f t="shared" si="160"/>
        <v>0</v>
      </c>
      <c r="S707" s="14">
        <f t="shared" si="161"/>
        <v>0</v>
      </c>
    </row>
    <row r="708" spans="1:19">
      <c r="A708" s="14" t="str">
        <f t="shared" si="158"/>
        <v>SRY-2-3</v>
      </c>
      <c r="B708" s="15">
        <f>'Curvas SRY'!$B$9</f>
        <v>2</v>
      </c>
      <c r="C708" s="15">
        <f>'Curvas SRY'!$E$10</f>
        <v>1.25</v>
      </c>
      <c r="D708" s="14" t="str">
        <f>'Curvas SRY'!$B$14</f>
        <v>Uso variable</v>
      </c>
      <c r="E708" s="14">
        <f>105</f>
        <v>105</v>
      </c>
      <c r="F708" s="21">
        <f>'Hoja 4 - Cálculo'!A129</f>
        <v>32752</v>
      </c>
      <c r="G708" s="15">
        <f>'Hoja 4 - Cálculo'!H129</f>
        <v>20.444624999999998</v>
      </c>
      <c r="H708" s="15">
        <f>IF(D708="Uso único",'Hoja 4 - Cálculo'!I129,IF(D708="Uso múltiple",AVERAGE('Hoja 4 - Cálculo'!$I$25:$I$384)+AVERAGE('Hoja 4 - Cálculo'!$J$25:$J$384)+AVERAGE('Hoja 4 - Cálculo'!$K$25:$K$384),IF(D708="Uso prioritario",'Hoja 4 - Cálculo'!I129+'Hoja 4 - Cálculo'!K129,'Hoja 4 - Cálculo'!I129+'Hoja 4 - Cálculo'!J129+'Hoja 4 - Cálculo'!K129)))</f>
        <v>11.5</v>
      </c>
      <c r="I708" s="15">
        <f t="shared" ref="I708:I771" si="162">H708*C708</f>
        <v>14.375</v>
      </c>
      <c r="J708" s="15">
        <f t="shared" si="159"/>
        <v>0</v>
      </c>
      <c r="K708" s="15">
        <f>MIN(J708+G708,(J708+G708)*'Hoja 4 - Cálculo'!$B$15)</f>
        <v>0.40889249999999999</v>
      </c>
      <c r="L708" s="15">
        <f t="shared" ref="L708:L771" si="163">MAX(0,J708+G708-K708)</f>
        <v>20.035732499999998</v>
      </c>
      <c r="M708" s="15">
        <f t="shared" ref="M708:M771" si="164">MIN(I708,L708)</f>
        <v>14.375</v>
      </c>
      <c r="N708" s="15">
        <f t="shared" ref="N708:N771" si="165">MIN(B708,MAX(0,L708-M708))</f>
        <v>2</v>
      </c>
      <c r="O708" s="15">
        <f t="shared" ref="O708:O771" si="166">MAX(0,L708-M708-B708)</f>
        <v>3.6607324999999982</v>
      </c>
      <c r="P708" s="15">
        <f t="shared" ref="P708:P771" si="167">MAX(0,I708-M708)</f>
        <v>0</v>
      </c>
      <c r="Q708" s="14" t="str">
        <f>IF(M708&gt;=I708*'Hoja 4 - Cálculo'!$B$16,"Satisfactorio","Falla")</f>
        <v>Satisfactorio</v>
      </c>
      <c r="R708" s="14">
        <f t="shared" si="160"/>
        <v>1</v>
      </c>
      <c r="S708" s="14">
        <f t="shared" si="161"/>
        <v>0</v>
      </c>
    </row>
    <row r="709" spans="1:19">
      <c r="A709" s="14" t="str">
        <f t="shared" si="158"/>
        <v>SRY-2-3</v>
      </c>
      <c r="B709" s="15">
        <f>'Curvas SRY'!$B$9</f>
        <v>2</v>
      </c>
      <c r="C709" s="15">
        <f>'Curvas SRY'!$E$10</f>
        <v>1.25</v>
      </c>
      <c r="D709" s="14" t="str">
        <f>'Curvas SRY'!$B$14</f>
        <v>Uso variable</v>
      </c>
      <c r="E709" s="14">
        <f>106</f>
        <v>106</v>
      </c>
      <c r="F709" s="21">
        <f>'Hoja 4 - Cálculo'!A130</f>
        <v>32782</v>
      </c>
      <c r="G709" s="15">
        <f>'Hoja 4 - Cálculo'!H130</f>
        <v>28.343250000000001</v>
      </c>
      <c r="H709" s="15">
        <f>IF(D709="Uso único",'Hoja 4 - Cálculo'!I130,IF(D709="Uso múltiple",AVERAGE('Hoja 4 - Cálculo'!$I$25:$I$384)+AVERAGE('Hoja 4 - Cálculo'!$J$25:$J$384)+AVERAGE('Hoja 4 - Cálculo'!$K$25:$K$384),IF(D709="Uso prioritario",'Hoja 4 - Cálculo'!I130+'Hoja 4 - Cálculo'!K130,'Hoja 4 - Cálculo'!I130+'Hoja 4 - Cálculo'!J130+'Hoja 4 - Cálculo'!K130)))</f>
        <v>11.5</v>
      </c>
      <c r="I709" s="15">
        <f t="shared" si="162"/>
        <v>14.375</v>
      </c>
      <c r="J709" s="15">
        <f t="shared" si="159"/>
        <v>2</v>
      </c>
      <c r="K709" s="15">
        <f>MIN(J709+G709,(J709+G709)*'Hoja 4 - Cálculo'!$B$15)</f>
        <v>0.60686499999999999</v>
      </c>
      <c r="L709" s="15">
        <f t="shared" si="163"/>
        <v>29.736385000000002</v>
      </c>
      <c r="M709" s="15">
        <f t="shared" si="164"/>
        <v>14.375</v>
      </c>
      <c r="N709" s="15">
        <f t="shared" si="165"/>
        <v>2</v>
      </c>
      <c r="O709" s="15">
        <f t="shared" si="166"/>
        <v>13.361385000000002</v>
      </c>
      <c r="P709" s="15">
        <f t="shared" si="167"/>
        <v>0</v>
      </c>
      <c r="Q709" s="14" t="str">
        <f>IF(M709&gt;=I709*'Hoja 4 - Cálculo'!$B$16,"Satisfactorio","Falla")</f>
        <v>Satisfactorio</v>
      </c>
      <c r="R709" s="14">
        <f t="shared" si="160"/>
        <v>0</v>
      </c>
      <c r="S709" s="14">
        <f t="shared" si="161"/>
        <v>0</v>
      </c>
    </row>
    <row r="710" spans="1:19">
      <c r="A710" s="14" t="str">
        <f t="shared" si="158"/>
        <v>SRY-2-3</v>
      </c>
      <c r="B710" s="15">
        <f>'Curvas SRY'!$B$9</f>
        <v>2</v>
      </c>
      <c r="C710" s="15">
        <f>'Curvas SRY'!$E$10</f>
        <v>1.25</v>
      </c>
      <c r="D710" s="14" t="str">
        <f>'Curvas SRY'!$B$14</f>
        <v>Uso variable</v>
      </c>
      <c r="E710" s="14">
        <f>107</f>
        <v>107</v>
      </c>
      <c r="F710" s="21">
        <f>'Hoja 4 - Cálculo'!A131</f>
        <v>32813</v>
      </c>
      <c r="G710" s="15">
        <f>'Hoja 4 - Cálculo'!H131</f>
        <v>22.60575</v>
      </c>
      <c r="H710" s="15">
        <f>IF(D710="Uso único",'Hoja 4 - Cálculo'!I131,IF(D710="Uso múltiple",AVERAGE('Hoja 4 - Cálculo'!$I$25:$I$384)+AVERAGE('Hoja 4 - Cálculo'!$J$25:$J$384)+AVERAGE('Hoja 4 - Cálculo'!$K$25:$K$384),IF(D710="Uso prioritario",'Hoja 4 - Cálculo'!I131+'Hoja 4 - Cálculo'!K131,'Hoja 4 - Cálculo'!I131+'Hoja 4 - Cálculo'!J131+'Hoja 4 - Cálculo'!K131)))</f>
        <v>11.5</v>
      </c>
      <c r="I710" s="15">
        <f t="shared" si="162"/>
        <v>14.375</v>
      </c>
      <c r="J710" s="15">
        <f t="shared" si="159"/>
        <v>2</v>
      </c>
      <c r="K710" s="15">
        <f>MIN(J710+G710,(J710+G710)*'Hoja 4 - Cálculo'!$B$15)</f>
        <v>0.49211500000000002</v>
      </c>
      <c r="L710" s="15">
        <f t="shared" si="163"/>
        <v>24.113635000000002</v>
      </c>
      <c r="M710" s="15">
        <f t="shared" si="164"/>
        <v>14.375</v>
      </c>
      <c r="N710" s="15">
        <f t="shared" si="165"/>
        <v>2</v>
      </c>
      <c r="O710" s="15">
        <f t="shared" si="166"/>
        <v>7.7386350000000022</v>
      </c>
      <c r="P710" s="15">
        <f t="shared" si="167"/>
        <v>0</v>
      </c>
      <c r="Q710" s="14" t="str">
        <f>IF(M710&gt;=I710*'Hoja 4 - Cálculo'!$B$16,"Satisfactorio","Falla")</f>
        <v>Satisfactorio</v>
      </c>
      <c r="R710" s="14">
        <f t="shared" si="160"/>
        <v>0</v>
      </c>
      <c r="S710" s="14">
        <f t="shared" si="161"/>
        <v>0</v>
      </c>
    </row>
    <row r="711" spans="1:19">
      <c r="A711" s="14" t="str">
        <f t="shared" si="158"/>
        <v>SRY-2-3</v>
      </c>
      <c r="B711" s="15">
        <f>'Curvas SRY'!$B$9</f>
        <v>2</v>
      </c>
      <c r="C711" s="15">
        <f>'Curvas SRY'!$E$10</f>
        <v>1.25</v>
      </c>
      <c r="D711" s="14" t="str">
        <f>'Curvas SRY'!$B$14</f>
        <v>Uso variable</v>
      </c>
      <c r="E711" s="14">
        <f>108</f>
        <v>108</v>
      </c>
      <c r="F711" s="21">
        <f>'Hoja 4 - Cálculo'!A132</f>
        <v>32843</v>
      </c>
      <c r="G711" s="15">
        <f>'Hoja 4 - Cálculo'!H132</f>
        <v>14.362875000000001</v>
      </c>
      <c r="H711" s="15">
        <f>IF(D711="Uso único",'Hoja 4 - Cálculo'!I132,IF(D711="Uso múltiple",AVERAGE('Hoja 4 - Cálculo'!$I$25:$I$384)+AVERAGE('Hoja 4 - Cálculo'!$J$25:$J$384)+AVERAGE('Hoja 4 - Cálculo'!$K$25:$K$384),IF(D711="Uso prioritario",'Hoja 4 - Cálculo'!I132+'Hoja 4 - Cálculo'!K132,'Hoja 4 - Cálculo'!I132+'Hoja 4 - Cálculo'!J132+'Hoja 4 - Cálculo'!K132)))</f>
        <v>16</v>
      </c>
      <c r="I711" s="15">
        <f t="shared" si="162"/>
        <v>20</v>
      </c>
      <c r="J711" s="15">
        <f t="shared" si="159"/>
        <v>2</v>
      </c>
      <c r="K711" s="15">
        <f>MIN(J711+G711,(J711+G711)*'Hoja 4 - Cálculo'!$B$15)</f>
        <v>0.32725750000000003</v>
      </c>
      <c r="L711" s="15">
        <f t="shared" si="163"/>
        <v>16.035617500000001</v>
      </c>
      <c r="M711" s="15">
        <f t="shared" si="164"/>
        <v>16.035617500000001</v>
      </c>
      <c r="N711" s="15">
        <f t="shared" si="165"/>
        <v>0</v>
      </c>
      <c r="O711" s="15">
        <f t="shared" si="166"/>
        <v>0</v>
      </c>
      <c r="P711" s="15">
        <f t="shared" si="167"/>
        <v>3.9643824999999993</v>
      </c>
      <c r="Q711" s="14" t="str">
        <f>IF(M711&gt;=I711*'Hoja 4 - Cálculo'!$B$16,"Satisfactorio","Falla")</f>
        <v>Falla</v>
      </c>
      <c r="R711" s="14">
        <f t="shared" si="160"/>
        <v>0</v>
      </c>
      <c r="S711" s="14">
        <f t="shared" si="161"/>
        <v>1</v>
      </c>
    </row>
    <row r="712" spans="1:19">
      <c r="A712" s="14" t="str">
        <f t="shared" si="158"/>
        <v>SRY-2-3</v>
      </c>
      <c r="B712" s="15">
        <f>'Curvas SRY'!$B$9</f>
        <v>2</v>
      </c>
      <c r="C712" s="15">
        <f>'Curvas SRY'!$E$10</f>
        <v>1.25</v>
      </c>
      <c r="D712" s="14" t="str">
        <f>'Curvas SRY'!$B$14</f>
        <v>Uso variable</v>
      </c>
      <c r="E712" s="14">
        <f>109</f>
        <v>109</v>
      </c>
      <c r="F712" s="21">
        <f>'Hoja 4 - Cálculo'!A133</f>
        <v>32874</v>
      </c>
      <c r="G712" s="15">
        <f>'Hoja 4 - Cálculo'!H133</f>
        <v>11.723625</v>
      </c>
      <c r="H712" s="15">
        <f>IF(D712="Uso único",'Hoja 4 - Cálculo'!I133,IF(D712="Uso múltiple",AVERAGE('Hoja 4 - Cálculo'!$I$25:$I$384)+AVERAGE('Hoja 4 - Cálculo'!$J$25:$J$384)+AVERAGE('Hoja 4 - Cálculo'!$K$25:$K$384),IF(D712="Uso prioritario",'Hoja 4 - Cálculo'!I133+'Hoja 4 - Cálculo'!K133,'Hoja 4 - Cálculo'!I133+'Hoja 4 - Cálculo'!J133+'Hoja 4 - Cálculo'!K133)))</f>
        <v>16</v>
      </c>
      <c r="I712" s="15">
        <f t="shared" si="162"/>
        <v>20</v>
      </c>
      <c r="J712" s="15">
        <f t="shared" si="159"/>
        <v>0</v>
      </c>
      <c r="K712" s="15">
        <f>MIN(J712+G712,(J712+G712)*'Hoja 4 - Cálculo'!$B$15)</f>
        <v>0.2344725</v>
      </c>
      <c r="L712" s="15">
        <f t="shared" si="163"/>
        <v>11.489152499999999</v>
      </c>
      <c r="M712" s="15">
        <f t="shared" si="164"/>
        <v>11.489152499999999</v>
      </c>
      <c r="N712" s="15">
        <f t="shared" si="165"/>
        <v>0</v>
      </c>
      <c r="O712" s="15">
        <f t="shared" si="166"/>
        <v>0</v>
      </c>
      <c r="P712" s="15">
        <f t="shared" si="167"/>
        <v>8.5108475000000006</v>
      </c>
      <c r="Q712" s="14" t="str">
        <f>IF(M712&gt;=I712*'Hoja 4 - Cálculo'!$B$16,"Satisfactorio","Falla")</f>
        <v>Falla</v>
      </c>
      <c r="R712" s="14">
        <f t="shared" si="160"/>
        <v>0</v>
      </c>
      <c r="S712" s="14">
        <f t="shared" si="161"/>
        <v>0</v>
      </c>
    </row>
    <row r="713" spans="1:19">
      <c r="A713" s="14" t="str">
        <f t="shared" si="158"/>
        <v>SRY-2-3</v>
      </c>
      <c r="B713" s="15">
        <f>'Curvas SRY'!$B$9</f>
        <v>2</v>
      </c>
      <c r="C713" s="15">
        <f>'Curvas SRY'!$E$10</f>
        <v>1.25</v>
      </c>
      <c r="D713" s="14" t="str">
        <f>'Curvas SRY'!$B$14</f>
        <v>Uso variable</v>
      </c>
      <c r="E713" s="14">
        <f>110</f>
        <v>110</v>
      </c>
      <c r="F713" s="21">
        <f>'Hoja 4 - Cálculo'!A134</f>
        <v>32905</v>
      </c>
      <c r="G713" s="15">
        <f>'Hoja 4 - Cálculo'!H134</f>
        <v>13.311</v>
      </c>
      <c r="H713" s="15">
        <f>IF(D713="Uso único",'Hoja 4 - Cálculo'!I134,IF(D713="Uso múltiple",AVERAGE('Hoja 4 - Cálculo'!$I$25:$I$384)+AVERAGE('Hoja 4 - Cálculo'!$J$25:$J$384)+AVERAGE('Hoja 4 - Cálculo'!$K$25:$K$384),IF(D713="Uso prioritario",'Hoja 4 - Cálculo'!I134+'Hoja 4 - Cálculo'!K134,'Hoja 4 - Cálculo'!I134+'Hoja 4 - Cálculo'!J134+'Hoja 4 - Cálculo'!K134)))</f>
        <v>16</v>
      </c>
      <c r="I713" s="15">
        <f t="shared" si="162"/>
        <v>20</v>
      </c>
      <c r="J713" s="15">
        <f t="shared" si="159"/>
        <v>0</v>
      </c>
      <c r="K713" s="15">
        <f>MIN(J713+G713,(J713+G713)*'Hoja 4 - Cálculo'!$B$15)</f>
        <v>0.26622000000000001</v>
      </c>
      <c r="L713" s="15">
        <f t="shared" si="163"/>
        <v>13.044779999999999</v>
      </c>
      <c r="M713" s="15">
        <f t="shared" si="164"/>
        <v>13.044779999999999</v>
      </c>
      <c r="N713" s="15">
        <f t="shared" si="165"/>
        <v>0</v>
      </c>
      <c r="O713" s="15">
        <f t="shared" si="166"/>
        <v>0</v>
      </c>
      <c r="P713" s="15">
        <f t="shared" si="167"/>
        <v>6.9552200000000006</v>
      </c>
      <c r="Q713" s="14" t="str">
        <f>IF(M713&gt;=I713*'Hoja 4 - Cálculo'!$B$16,"Satisfactorio","Falla")</f>
        <v>Falla</v>
      </c>
      <c r="R713" s="14">
        <f t="shared" si="160"/>
        <v>0</v>
      </c>
      <c r="S713" s="14">
        <f t="shared" si="161"/>
        <v>0</v>
      </c>
    </row>
    <row r="714" spans="1:19">
      <c r="A714" s="14" t="str">
        <f t="shared" si="158"/>
        <v>SRY-2-3</v>
      </c>
      <c r="B714" s="15">
        <f>'Curvas SRY'!$B$9</f>
        <v>2</v>
      </c>
      <c r="C714" s="15">
        <f>'Curvas SRY'!$E$10</f>
        <v>1.25</v>
      </c>
      <c r="D714" s="14" t="str">
        <f>'Curvas SRY'!$B$14</f>
        <v>Uso variable</v>
      </c>
      <c r="E714" s="14">
        <f>111</f>
        <v>111</v>
      </c>
      <c r="F714" s="21">
        <f>'Hoja 4 - Cálculo'!A135</f>
        <v>32933</v>
      </c>
      <c r="G714" s="15">
        <f>'Hoja 4 - Cálculo'!H135</f>
        <v>18.838125000000002</v>
      </c>
      <c r="H714" s="15">
        <f>IF(D714="Uso único",'Hoja 4 - Cálculo'!I135,IF(D714="Uso múltiple",AVERAGE('Hoja 4 - Cálculo'!$I$25:$I$384)+AVERAGE('Hoja 4 - Cálculo'!$J$25:$J$384)+AVERAGE('Hoja 4 - Cálculo'!$K$25:$K$384),IF(D714="Uso prioritario",'Hoja 4 - Cálculo'!I135+'Hoja 4 - Cálculo'!K135,'Hoja 4 - Cálculo'!I135+'Hoja 4 - Cálculo'!J135+'Hoja 4 - Cálculo'!K135)))</f>
        <v>16</v>
      </c>
      <c r="I714" s="15">
        <f t="shared" si="162"/>
        <v>20</v>
      </c>
      <c r="J714" s="15">
        <f t="shared" si="159"/>
        <v>0</v>
      </c>
      <c r="K714" s="15">
        <f>MIN(J714+G714,(J714+G714)*'Hoja 4 - Cálculo'!$B$15)</f>
        <v>0.37676250000000006</v>
      </c>
      <c r="L714" s="15">
        <f t="shared" si="163"/>
        <v>18.4613625</v>
      </c>
      <c r="M714" s="15">
        <f t="shared" si="164"/>
        <v>18.4613625</v>
      </c>
      <c r="N714" s="15">
        <f t="shared" si="165"/>
        <v>0</v>
      </c>
      <c r="O714" s="15">
        <f t="shared" si="166"/>
        <v>0</v>
      </c>
      <c r="P714" s="15">
        <f t="shared" si="167"/>
        <v>1.5386375000000001</v>
      </c>
      <c r="Q714" s="14" t="str">
        <f>IF(M714&gt;=I714*'Hoja 4 - Cálculo'!$B$16,"Satisfactorio","Falla")</f>
        <v>Falla</v>
      </c>
      <c r="R714" s="14">
        <f t="shared" si="160"/>
        <v>0</v>
      </c>
      <c r="S714" s="14">
        <f t="shared" si="161"/>
        <v>0</v>
      </c>
    </row>
    <row r="715" spans="1:19">
      <c r="A715" s="14" t="str">
        <f t="shared" si="158"/>
        <v>SRY-2-3</v>
      </c>
      <c r="B715" s="15">
        <f>'Curvas SRY'!$B$9</f>
        <v>2</v>
      </c>
      <c r="C715" s="15">
        <f>'Curvas SRY'!$E$10</f>
        <v>1.25</v>
      </c>
      <c r="D715" s="14" t="str">
        <f>'Curvas SRY'!$B$14</f>
        <v>Uso variable</v>
      </c>
      <c r="E715" s="14">
        <f>112</f>
        <v>112</v>
      </c>
      <c r="F715" s="21">
        <f>'Hoja 4 - Cálculo'!A136</f>
        <v>32964</v>
      </c>
      <c r="G715" s="15">
        <f>'Hoja 4 - Cálculo'!H136</f>
        <v>28.611000000000001</v>
      </c>
      <c r="H715" s="15">
        <f>IF(D715="Uso único",'Hoja 4 - Cálculo'!I136,IF(D715="Uso múltiple",AVERAGE('Hoja 4 - Cálculo'!$I$25:$I$384)+AVERAGE('Hoja 4 - Cálculo'!$J$25:$J$384)+AVERAGE('Hoja 4 - Cálculo'!$K$25:$K$384),IF(D715="Uso prioritario",'Hoja 4 - Cálculo'!I136+'Hoja 4 - Cálculo'!K136,'Hoja 4 - Cálculo'!I136+'Hoja 4 - Cálculo'!J136+'Hoja 4 - Cálculo'!K136)))</f>
        <v>11.5</v>
      </c>
      <c r="I715" s="15">
        <f t="shared" si="162"/>
        <v>14.375</v>
      </c>
      <c r="J715" s="15">
        <f t="shared" si="159"/>
        <v>0</v>
      </c>
      <c r="K715" s="15">
        <f>MIN(J715+G715,(J715+G715)*'Hoja 4 - Cálculo'!$B$15)</f>
        <v>0.57222000000000006</v>
      </c>
      <c r="L715" s="15">
        <f t="shared" si="163"/>
        <v>28.038779999999999</v>
      </c>
      <c r="M715" s="15">
        <f t="shared" si="164"/>
        <v>14.375</v>
      </c>
      <c r="N715" s="15">
        <f t="shared" si="165"/>
        <v>2</v>
      </c>
      <c r="O715" s="15">
        <f t="shared" si="166"/>
        <v>11.663779999999999</v>
      </c>
      <c r="P715" s="15">
        <f t="shared" si="167"/>
        <v>0</v>
      </c>
      <c r="Q715" s="14" t="str">
        <f>IF(M715&gt;=I715*'Hoja 4 - Cálculo'!$B$16,"Satisfactorio","Falla")</f>
        <v>Satisfactorio</v>
      </c>
      <c r="R715" s="14">
        <f t="shared" si="160"/>
        <v>1</v>
      </c>
      <c r="S715" s="14">
        <f t="shared" si="161"/>
        <v>0</v>
      </c>
    </row>
    <row r="716" spans="1:19">
      <c r="A716" s="14" t="str">
        <f t="shared" si="158"/>
        <v>SRY-2-3</v>
      </c>
      <c r="B716" s="15">
        <f>'Curvas SRY'!$B$9</f>
        <v>2</v>
      </c>
      <c r="C716" s="15">
        <f>'Curvas SRY'!$E$10</f>
        <v>1.25</v>
      </c>
      <c r="D716" s="14" t="str">
        <f>'Curvas SRY'!$B$14</f>
        <v>Uso variable</v>
      </c>
      <c r="E716" s="14">
        <f>113</f>
        <v>113</v>
      </c>
      <c r="F716" s="21">
        <f>'Hoja 4 - Cálculo'!A137</f>
        <v>32994</v>
      </c>
      <c r="G716" s="15">
        <f>'Hoja 4 - Cálculo'!H137</f>
        <v>23.52375</v>
      </c>
      <c r="H716" s="15">
        <f>IF(D716="Uso único",'Hoja 4 - Cálculo'!I137,IF(D716="Uso múltiple",AVERAGE('Hoja 4 - Cálculo'!$I$25:$I$384)+AVERAGE('Hoja 4 - Cálculo'!$J$25:$J$384)+AVERAGE('Hoja 4 - Cálculo'!$K$25:$K$384),IF(D716="Uso prioritario",'Hoja 4 - Cálculo'!I137+'Hoja 4 - Cálculo'!K137,'Hoja 4 - Cálculo'!I137+'Hoja 4 - Cálculo'!J137+'Hoja 4 - Cálculo'!K137)))</f>
        <v>11.5</v>
      </c>
      <c r="I716" s="15">
        <f t="shared" si="162"/>
        <v>14.375</v>
      </c>
      <c r="J716" s="15">
        <f t="shared" si="159"/>
        <v>2</v>
      </c>
      <c r="K716" s="15">
        <f>MIN(J716+G716,(J716+G716)*'Hoja 4 - Cálculo'!$B$15)</f>
        <v>0.51047500000000001</v>
      </c>
      <c r="L716" s="15">
        <f t="shared" si="163"/>
        <v>25.013275</v>
      </c>
      <c r="M716" s="15">
        <f t="shared" si="164"/>
        <v>14.375</v>
      </c>
      <c r="N716" s="15">
        <f t="shared" si="165"/>
        <v>2</v>
      </c>
      <c r="O716" s="15">
        <f t="shared" si="166"/>
        <v>8.6382750000000001</v>
      </c>
      <c r="P716" s="15">
        <f t="shared" si="167"/>
        <v>0</v>
      </c>
      <c r="Q716" s="14" t="str">
        <f>IF(M716&gt;=I716*'Hoja 4 - Cálculo'!$B$16,"Satisfactorio","Falla")</f>
        <v>Satisfactorio</v>
      </c>
      <c r="R716" s="14">
        <f t="shared" si="160"/>
        <v>0</v>
      </c>
      <c r="S716" s="14">
        <f t="shared" si="161"/>
        <v>0</v>
      </c>
    </row>
    <row r="717" spans="1:19">
      <c r="A717" s="14" t="str">
        <f t="shared" si="158"/>
        <v>SRY-2-3</v>
      </c>
      <c r="B717" s="15">
        <f>'Curvas SRY'!$B$9</f>
        <v>2</v>
      </c>
      <c r="C717" s="15">
        <f>'Curvas SRY'!$E$10</f>
        <v>1.25</v>
      </c>
      <c r="D717" s="14" t="str">
        <f>'Curvas SRY'!$B$14</f>
        <v>Uso variable</v>
      </c>
      <c r="E717" s="14">
        <f>114</f>
        <v>114</v>
      </c>
      <c r="F717" s="21">
        <f>'Hoja 4 - Cálculo'!A138</f>
        <v>33025</v>
      </c>
      <c r="G717" s="15">
        <f>'Hoja 4 - Cálculo'!H138</f>
        <v>15.529500000000001</v>
      </c>
      <c r="H717" s="15">
        <f>IF(D717="Uso único",'Hoja 4 - Cálculo'!I138,IF(D717="Uso múltiple",AVERAGE('Hoja 4 - Cálculo'!$I$25:$I$384)+AVERAGE('Hoja 4 - Cálculo'!$J$25:$J$384)+AVERAGE('Hoja 4 - Cálculo'!$K$25:$K$384),IF(D717="Uso prioritario",'Hoja 4 - Cálculo'!I138+'Hoja 4 - Cálculo'!K138,'Hoja 4 - Cálculo'!I138+'Hoja 4 - Cálculo'!J138+'Hoja 4 - Cálculo'!K138)))</f>
        <v>11.5</v>
      </c>
      <c r="I717" s="15">
        <f t="shared" si="162"/>
        <v>14.375</v>
      </c>
      <c r="J717" s="15">
        <f t="shared" si="159"/>
        <v>2</v>
      </c>
      <c r="K717" s="15">
        <f>MIN(J717+G717,(J717+G717)*'Hoja 4 - Cálculo'!$B$15)</f>
        <v>0.35058999999999996</v>
      </c>
      <c r="L717" s="15">
        <f t="shared" si="163"/>
        <v>17.178909999999998</v>
      </c>
      <c r="M717" s="15">
        <f t="shared" si="164"/>
        <v>14.375</v>
      </c>
      <c r="N717" s="15">
        <f t="shared" si="165"/>
        <v>2</v>
      </c>
      <c r="O717" s="15">
        <f t="shared" si="166"/>
        <v>0.80390999999999835</v>
      </c>
      <c r="P717" s="15">
        <f t="shared" si="167"/>
        <v>0</v>
      </c>
      <c r="Q717" s="14" t="str">
        <f>IF(M717&gt;=I717*'Hoja 4 - Cálculo'!$B$16,"Satisfactorio","Falla")</f>
        <v>Satisfactorio</v>
      </c>
      <c r="R717" s="14">
        <f t="shared" si="160"/>
        <v>0</v>
      </c>
      <c r="S717" s="14">
        <f t="shared" si="161"/>
        <v>0</v>
      </c>
    </row>
    <row r="718" spans="1:19">
      <c r="A718" s="14" t="str">
        <f t="shared" si="158"/>
        <v>SRY-2-3</v>
      </c>
      <c r="B718" s="15">
        <f>'Curvas SRY'!$B$9</f>
        <v>2</v>
      </c>
      <c r="C718" s="15">
        <f>'Curvas SRY'!$E$10</f>
        <v>1.25</v>
      </c>
      <c r="D718" s="14" t="str">
        <f>'Curvas SRY'!$B$14</f>
        <v>Uso variable</v>
      </c>
      <c r="E718" s="14">
        <f>115</f>
        <v>115</v>
      </c>
      <c r="F718" s="21">
        <f>'Hoja 4 - Cálculo'!A139</f>
        <v>33055</v>
      </c>
      <c r="G718" s="15">
        <f>'Hoja 4 - Cálculo'!H139</f>
        <v>12.201750000000001</v>
      </c>
      <c r="H718" s="15">
        <f>IF(D718="Uso único",'Hoja 4 - Cálculo'!I139,IF(D718="Uso múltiple",AVERAGE('Hoja 4 - Cálculo'!$I$25:$I$384)+AVERAGE('Hoja 4 - Cálculo'!$J$25:$J$384)+AVERAGE('Hoja 4 - Cálculo'!$K$25:$K$384),IF(D718="Uso prioritario",'Hoja 4 - Cálculo'!I139+'Hoja 4 - Cálculo'!K139,'Hoja 4 - Cálculo'!I139+'Hoja 4 - Cálculo'!J139+'Hoja 4 - Cálculo'!K139)))</f>
        <v>16</v>
      </c>
      <c r="I718" s="15">
        <f t="shared" si="162"/>
        <v>20</v>
      </c>
      <c r="J718" s="15">
        <f t="shared" si="159"/>
        <v>2</v>
      </c>
      <c r="K718" s="15">
        <f>MIN(J718+G718,(J718+G718)*'Hoja 4 - Cálculo'!$B$15)</f>
        <v>0.28403500000000004</v>
      </c>
      <c r="L718" s="15">
        <f t="shared" si="163"/>
        <v>13.917715000000001</v>
      </c>
      <c r="M718" s="15">
        <f t="shared" si="164"/>
        <v>13.917715000000001</v>
      </c>
      <c r="N718" s="15">
        <f t="shared" si="165"/>
        <v>0</v>
      </c>
      <c r="O718" s="15">
        <f t="shared" si="166"/>
        <v>0</v>
      </c>
      <c r="P718" s="15">
        <f t="shared" si="167"/>
        <v>6.0822849999999988</v>
      </c>
      <c r="Q718" s="14" t="str">
        <f>IF(M718&gt;=I718*'Hoja 4 - Cálculo'!$B$16,"Satisfactorio","Falla")</f>
        <v>Falla</v>
      </c>
      <c r="R718" s="14">
        <f t="shared" si="160"/>
        <v>0</v>
      </c>
      <c r="S718" s="14">
        <f t="shared" si="161"/>
        <v>1</v>
      </c>
    </row>
    <row r="719" spans="1:19">
      <c r="A719" s="14" t="str">
        <f t="shared" si="158"/>
        <v>SRY-2-3</v>
      </c>
      <c r="B719" s="15">
        <f>'Curvas SRY'!$B$9</f>
        <v>2</v>
      </c>
      <c r="C719" s="15">
        <f>'Curvas SRY'!$E$10</f>
        <v>1.25</v>
      </c>
      <c r="D719" s="14" t="str">
        <f>'Curvas SRY'!$B$14</f>
        <v>Uso variable</v>
      </c>
      <c r="E719" s="14">
        <f>116</f>
        <v>116</v>
      </c>
      <c r="F719" s="21">
        <f>'Hoja 4 - Cálculo'!A140</f>
        <v>33086</v>
      </c>
      <c r="G719" s="15">
        <f>'Hoja 4 - Cálculo'!H140</f>
        <v>13.04325</v>
      </c>
      <c r="H719" s="15">
        <f>IF(D719="Uso único",'Hoja 4 - Cálculo'!I140,IF(D719="Uso múltiple",AVERAGE('Hoja 4 - Cálculo'!$I$25:$I$384)+AVERAGE('Hoja 4 - Cálculo'!$J$25:$J$384)+AVERAGE('Hoja 4 - Cálculo'!$K$25:$K$384),IF(D719="Uso prioritario",'Hoja 4 - Cálculo'!I140+'Hoja 4 - Cálculo'!K140,'Hoja 4 - Cálculo'!I140+'Hoja 4 - Cálculo'!J140+'Hoja 4 - Cálculo'!K140)))</f>
        <v>16</v>
      </c>
      <c r="I719" s="15">
        <f t="shared" si="162"/>
        <v>20</v>
      </c>
      <c r="J719" s="15">
        <f t="shared" si="159"/>
        <v>0</v>
      </c>
      <c r="K719" s="15">
        <f>MIN(J719+G719,(J719+G719)*'Hoja 4 - Cálculo'!$B$15)</f>
        <v>0.26086500000000001</v>
      </c>
      <c r="L719" s="15">
        <f t="shared" si="163"/>
        <v>12.782385</v>
      </c>
      <c r="M719" s="15">
        <f t="shared" si="164"/>
        <v>12.782385</v>
      </c>
      <c r="N719" s="15">
        <f t="shared" si="165"/>
        <v>0</v>
      </c>
      <c r="O719" s="15">
        <f t="shared" si="166"/>
        <v>0</v>
      </c>
      <c r="P719" s="15">
        <f t="shared" si="167"/>
        <v>7.2176150000000003</v>
      </c>
      <c r="Q719" s="14" t="str">
        <f>IF(M719&gt;=I719*'Hoja 4 - Cálculo'!$B$16,"Satisfactorio","Falla")</f>
        <v>Falla</v>
      </c>
      <c r="R719" s="14">
        <f t="shared" si="160"/>
        <v>0</v>
      </c>
      <c r="S719" s="14">
        <f t="shared" si="161"/>
        <v>0</v>
      </c>
    </row>
    <row r="720" spans="1:19">
      <c r="A720" s="14" t="str">
        <f t="shared" si="158"/>
        <v>SRY-2-3</v>
      </c>
      <c r="B720" s="15">
        <f>'Curvas SRY'!$B$9</f>
        <v>2</v>
      </c>
      <c r="C720" s="15">
        <f>'Curvas SRY'!$E$10</f>
        <v>1.25</v>
      </c>
      <c r="D720" s="14" t="str">
        <f>'Curvas SRY'!$B$14</f>
        <v>Uso variable</v>
      </c>
      <c r="E720" s="14">
        <f>117</f>
        <v>117</v>
      </c>
      <c r="F720" s="21">
        <f>'Hoja 4 - Cálculo'!A141</f>
        <v>33117</v>
      </c>
      <c r="G720" s="15">
        <f>'Hoja 4 - Cálculo'!H141</f>
        <v>21.974625</v>
      </c>
      <c r="H720" s="15">
        <f>IF(D720="Uso único",'Hoja 4 - Cálculo'!I141,IF(D720="Uso múltiple",AVERAGE('Hoja 4 - Cálculo'!$I$25:$I$384)+AVERAGE('Hoja 4 - Cálculo'!$J$25:$J$384)+AVERAGE('Hoja 4 - Cálculo'!$K$25:$K$384),IF(D720="Uso prioritario",'Hoja 4 - Cálculo'!I141+'Hoja 4 - Cálculo'!K141,'Hoja 4 - Cálculo'!I141+'Hoja 4 - Cálculo'!J141+'Hoja 4 - Cálculo'!K141)))</f>
        <v>11.5</v>
      </c>
      <c r="I720" s="15">
        <f t="shared" si="162"/>
        <v>14.375</v>
      </c>
      <c r="J720" s="15">
        <f t="shared" si="159"/>
        <v>0</v>
      </c>
      <c r="K720" s="15">
        <f>MIN(J720+G720,(J720+G720)*'Hoja 4 - Cálculo'!$B$15)</f>
        <v>0.43949250000000001</v>
      </c>
      <c r="L720" s="15">
        <f t="shared" si="163"/>
        <v>21.5351325</v>
      </c>
      <c r="M720" s="15">
        <f t="shared" si="164"/>
        <v>14.375</v>
      </c>
      <c r="N720" s="15">
        <f t="shared" si="165"/>
        <v>2</v>
      </c>
      <c r="O720" s="15">
        <f t="shared" si="166"/>
        <v>5.1601324999999996</v>
      </c>
      <c r="P720" s="15">
        <f t="shared" si="167"/>
        <v>0</v>
      </c>
      <c r="Q720" s="14" t="str">
        <f>IF(M720&gt;=I720*'Hoja 4 - Cálculo'!$B$16,"Satisfactorio","Falla")</f>
        <v>Satisfactorio</v>
      </c>
      <c r="R720" s="14">
        <f t="shared" si="160"/>
        <v>1</v>
      </c>
      <c r="S720" s="14">
        <f t="shared" si="161"/>
        <v>0</v>
      </c>
    </row>
    <row r="721" spans="1:19">
      <c r="A721" s="14" t="str">
        <f t="shared" si="158"/>
        <v>SRY-2-3</v>
      </c>
      <c r="B721" s="15">
        <f>'Curvas SRY'!$B$9</f>
        <v>2</v>
      </c>
      <c r="C721" s="15">
        <f>'Curvas SRY'!$E$10</f>
        <v>1.25</v>
      </c>
      <c r="D721" s="14" t="str">
        <f>'Curvas SRY'!$B$14</f>
        <v>Uso variable</v>
      </c>
      <c r="E721" s="14">
        <f>118</f>
        <v>118</v>
      </c>
      <c r="F721" s="21">
        <f>'Hoja 4 - Cálculo'!A142</f>
        <v>33147</v>
      </c>
      <c r="G721" s="15">
        <f>'Hoja 4 - Cálculo'!H142</f>
        <v>26.870625</v>
      </c>
      <c r="H721" s="15">
        <f>IF(D721="Uso único",'Hoja 4 - Cálculo'!I142,IF(D721="Uso múltiple",AVERAGE('Hoja 4 - Cálculo'!$I$25:$I$384)+AVERAGE('Hoja 4 - Cálculo'!$J$25:$J$384)+AVERAGE('Hoja 4 - Cálculo'!$K$25:$K$384),IF(D721="Uso prioritario",'Hoja 4 - Cálculo'!I142+'Hoja 4 - Cálculo'!K142,'Hoja 4 - Cálculo'!I142+'Hoja 4 - Cálculo'!J142+'Hoja 4 - Cálculo'!K142)))</f>
        <v>11.5</v>
      </c>
      <c r="I721" s="15">
        <f t="shared" si="162"/>
        <v>14.375</v>
      </c>
      <c r="J721" s="15">
        <f t="shared" si="159"/>
        <v>2</v>
      </c>
      <c r="K721" s="15">
        <f>MIN(J721+G721,(J721+G721)*'Hoja 4 - Cálculo'!$B$15)</f>
        <v>0.5774125</v>
      </c>
      <c r="L721" s="15">
        <f t="shared" si="163"/>
        <v>28.293212499999999</v>
      </c>
      <c r="M721" s="15">
        <f t="shared" si="164"/>
        <v>14.375</v>
      </c>
      <c r="N721" s="15">
        <f t="shared" si="165"/>
        <v>2</v>
      </c>
      <c r="O721" s="15">
        <f t="shared" si="166"/>
        <v>11.918212499999999</v>
      </c>
      <c r="P721" s="15">
        <f t="shared" si="167"/>
        <v>0</v>
      </c>
      <c r="Q721" s="14" t="str">
        <f>IF(M721&gt;=I721*'Hoja 4 - Cálculo'!$B$16,"Satisfactorio","Falla")</f>
        <v>Satisfactorio</v>
      </c>
      <c r="R721" s="14">
        <f t="shared" si="160"/>
        <v>0</v>
      </c>
      <c r="S721" s="14">
        <f t="shared" si="161"/>
        <v>0</v>
      </c>
    </row>
    <row r="722" spans="1:19">
      <c r="A722" s="14" t="str">
        <f t="shared" si="158"/>
        <v>SRY-2-3</v>
      </c>
      <c r="B722" s="15">
        <f>'Curvas SRY'!$B$9</f>
        <v>2</v>
      </c>
      <c r="C722" s="15">
        <f>'Curvas SRY'!$E$10</f>
        <v>1.25</v>
      </c>
      <c r="D722" s="14" t="str">
        <f>'Curvas SRY'!$B$14</f>
        <v>Uso variable</v>
      </c>
      <c r="E722" s="14">
        <f>119</f>
        <v>119</v>
      </c>
      <c r="F722" s="21">
        <f>'Hoja 4 - Cálculo'!A143</f>
        <v>33178</v>
      </c>
      <c r="G722" s="15">
        <f>'Hoja 4 - Cálculo'!H143</f>
        <v>24.881625</v>
      </c>
      <c r="H722" s="15">
        <f>IF(D722="Uso único",'Hoja 4 - Cálculo'!I143,IF(D722="Uso múltiple",AVERAGE('Hoja 4 - Cálculo'!$I$25:$I$384)+AVERAGE('Hoja 4 - Cálculo'!$J$25:$J$384)+AVERAGE('Hoja 4 - Cálculo'!$K$25:$K$384),IF(D722="Uso prioritario",'Hoja 4 - Cálculo'!I143+'Hoja 4 - Cálculo'!K143,'Hoja 4 - Cálculo'!I143+'Hoja 4 - Cálculo'!J143+'Hoja 4 - Cálculo'!K143)))</f>
        <v>11.5</v>
      </c>
      <c r="I722" s="15">
        <f t="shared" si="162"/>
        <v>14.375</v>
      </c>
      <c r="J722" s="15">
        <f t="shared" si="159"/>
        <v>2</v>
      </c>
      <c r="K722" s="15">
        <f>MIN(J722+G722,(J722+G722)*'Hoja 4 - Cálculo'!$B$15)</f>
        <v>0.53763249999999996</v>
      </c>
      <c r="L722" s="15">
        <f t="shared" si="163"/>
        <v>26.343992499999999</v>
      </c>
      <c r="M722" s="15">
        <f t="shared" si="164"/>
        <v>14.375</v>
      </c>
      <c r="N722" s="15">
        <f t="shared" si="165"/>
        <v>2</v>
      </c>
      <c r="O722" s="15">
        <f t="shared" si="166"/>
        <v>9.9689924999999988</v>
      </c>
      <c r="P722" s="15">
        <f t="shared" si="167"/>
        <v>0</v>
      </c>
      <c r="Q722" s="14" t="str">
        <f>IF(M722&gt;=I722*'Hoja 4 - Cálculo'!$B$16,"Satisfactorio","Falla")</f>
        <v>Satisfactorio</v>
      </c>
      <c r="R722" s="14">
        <f t="shared" si="160"/>
        <v>0</v>
      </c>
      <c r="S722" s="14">
        <f t="shared" si="161"/>
        <v>0</v>
      </c>
    </row>
    <row r="723" spans="1:19">
      <c r="A723" s="14" t="str">
        <f t="shared" si="158"/>
        <v>SRY-2-3</v>
      </c>
      <c r="B723" s="15">
        <f>'Curvas SRY'!$B$9</f>
        <v>2</v>
      </c>
      <c r="C723" s="15">
        <f>'Curvas SRY'!$E$10</f>
        <v>1.25</v>
      </c>
      <c r="D723" s="14" t="str">
        <f>'Curvas SRY'!$B$14</f>
        <v>Uso variable</v>
      </c>
      <c r="E723" s="14">
        <f>120</f>
        <v>120</v>
      </c>
      <c r="F723" s="21">
        <f>'Hoja 4 - Cálculo'!A144</f>
        <v>33208</v>
      </c>
      <c r="G723" s="15">
        <f>'Hoja 4 - Cálculo'!H144</f>
        <v>13.73175</v>
      </c>
      <c r="H723" s="15">
        <f>IF(D723="Uso único",'Hoja 4 - Cálculo'!I144,IF(D723="Uso múltiple",AVERAGE('Hoja 4 - Cálculo'!$I$25:$I$384)+AVERAGE('Hoja 4 - Cálculo'!$J$25:$J$384)+AVERAGE('Hoja 4 - Cálculo'!$K$25:$K$384),IF(D723="Uso prioritario",'Hoja 4 - Cálculo'!I144+'Hoja 4 - Cálculo'!K144,'Hoja 4 - Cálculo'!I144+'Hoja 4 - Cálculo'!J144+'Hoja 4 - Cálculo'!K144)))</f>
        <v>16</v>
      </c>
      <c r="I723" s="15">
        <f t="shared" si="162"/>
        <v>20</v>
      </c>
      <c r="J723" s="15">
        <f t="shared" si="159"/>
        <v>2</v>
      </c>
      <c r="K723" s="15">
        <f>MIN(J723+G723,(J723+G723)*'Hoja 4 - Cálculo'!$B$15)</f>
        <v>0.314635</v>
      </c>
      <c r="L723" s="15">
        <f t="shared" si="163"/>
        <v>15.417114999999999</v>
      </c>
      <c r="M723" s="15">
        <f t="shared" si="164"/>
        <v>15.417114999999999</v>
      </c>
      <c r="N723" s="15">
        <f t="shared" si="165"/>
        <v>0</v>
      </c>
      <c r="O723" s="15">
        <f t="shared" si="166"/>
        <v>0</v>
      </c>
      <c r="P723" s="15">
        <f t="shared" si="167"/>
        <v>4.582885000000001</v>
      </c>
      <c r="Q723" s="14" t="str">
        <f>IF(M723&gt;=I723*'Hoja 4 - Cálculo'!$B$16,"Satisfactorio","Falla")</f>
        <v>Falla</v>
      </c>
      <c r="R723" s="14">
        <f t="shared" si="160"/>
        <v>0</v>
      </c>
      <c r="S723" s="14">
        <f t="shared" si="161"/>
        <v>1</v>
      </c>
    </row>
    <row r="724" spans="1:19">
      <c r="A724" s="14" t="str">
        <f t="shared" ref="A724:A755" si="168">"SRY-3-1"</f>
        <v>SRY-3-1</v>
      </c>
      <c r="B724" s="15">
        <f>'Curvas SRY'!$B$10</f>
        <v>3</v>
      </c>
      <c r="C724" s="15">
        <f>'Curvas SRY'!$E$8</f>
        <v>0.75</v>
      </c>
      <c r="D724" s="14" t="str">
        <f>'Curvas SRY'!$B$14</f>
        <v>Uso variable</v>
      </c>
      <c r="E724" s="14">
        <f>1</f>
        <v>1</v>
      </c>
      <c r="F724" s="21">
        <f>'Hoja 4 - Cálculo'!A25</f>
        <v>29587</v>
      </c>
      <c r="G724" s="15">
        <f>'Hoja 4 - Cálculo'!H25</f>
        <v>12.852</v>
      </c>
      <c r="H724" s="15">
        <f>IF(D724="Uso único",'Hoja 4 - Cálculo'!I25,IF(D724="Uso múltiple",AVERAGE('Hoja 4 - Cálculo'!$I$25:$I$384)+AVERAGE('Hoja 4 - Cálculo'!$J$25:$J$384)+AVERAGE('Hoja 4 - Cálculo'!$K$25:$K$384),IF(D724="Uso prioritario",'Hoja 4 - Cálculo'!I25+'Hoja 4 - Cálculo'!K25,'Hoja 4 - Cálculo'!I25+'Hoja 4 - Cálculo'!J25+'Hoja 4 - Cálculo'!K25)))</f>
        <v>16</v>
      </c>
      <c r="I724" s="15">
        <f t="shared" si="162"/>
        <v>12</v>
      </c>
      <c r="J724" s="15">
        <f>0</f>
        <v>0</v>
      </c>
      <c r="K724" s="15">
        <f>MIN(J724+G724,(J724+G724)*'Hoja 4 - Cálculo'!$B$15)</f>
        <v>0.25703999999999999</v>
      </c>
      <c r="L724" s="15">
        <f t="shared" si="163"/>
        <v>12.59496</v>
      </c>
      <c r="M724" s="15">
        <f t="shared" si="164"/>
        <v>12</v>
      </c>
      <c r="N724" s="15">
        <f t="shared" si="165"/>
        <v>0.59496000000000038</v>
      </c>
      <c r="O724" s="15">
        <f t="shared" si="166"/>
        <v>0</v>
      </c>
      <c r="P724" s="15">
        <f t="shared" si="167"/>
        <v>0</v>
      </c>
      <c r="Q724" s="14" t="str">
        <f>IF(M724&gt;=I724*'Hoja 4 - Cálculo'!$B$16,"Satisfactorio","Falla")</f>
        <v>Satisfactorio</v>
      </c>
      <c r="R724" s="14">
        <f>0</f>
        <v>0</v>
      </c>
      <c r="S724" s="14">
        <f>IF(Q724="Falla",1,0)</f>
        <v>0</v>
      </c>
    </row>
    <row r="725" spans="1:19">
      <c r="A725" s="14" t="str">
        <f t="shared" si="168"/>
        <v>SRY-3-1</v>
      </c>
      <c r="B725" s="15">
        <f>'Curvas SRY'!$B$10</f>
        <v>3</v>
      </c>
      <c r="C725" s="15">
        <f>'Curvas SRY'!$E$8</f>
        <v>0.75</v>
      </c>
      <c r="D725" s="14" t="str">
        <f>'Curvas SRY'!$B$14</f>
        <v>Uso variable</v>
      </c>
      <c r="E725" s="14">
        <f>2</f>
        <v>2</v>
      </c>
      <c r="F725" s="21">
        <f>'Hoja 4 - Cálculo'!A26</f>
        <v>29618</v>
      </c>
      <c r="G725" s="15">
        <f>'Hoja 4 - Cálculo'!H26</f>
        <v>14.630625</v>
      </c>
      <c r="H725" s="15">
        <f>IF(D725="Uso único",'Hoja 4 - Cálculo'!I26,IF(D725="Uso múltiple",AVERAGE('Hoja 4 - Cálculo'!$I$25:$I$384)+AVERAGE('Hoja 4 - Cálculo'!$J$25:$J$384)+AVERAGE('Hoja 4 - Cálculo'!$K$25:$K$384),IF(D725="Uso prioritario",'Hoja 4 - Cálculo'!I26+'Hoja 4 - Cálculo'!K26,'Hoja 4 - Cálculo'!I26+'Hoja 4 - Cálculo'!J26+'Hoja 4 - Cálculo'!K26)))</f>
        <v>16</v>
      </c>
      <c r="I725" s="15">
        <f t="shared" si="162"/>
        <v>12</v>
      </c>
      <c r="J725" s="15">
        <f t="shared" ref="J725:J756" si="169">N724</f>
        <v>0.59496000000000038</v>
      </c>
      <c r="K725" s="15">
        <f>MIN(J725+G725,(J725+G725)*'Hoja 4 - Cálculo'!$B$15)</f>
        <v>0.3045117</v>
      </c>
      <c r="L725" s="15">
        <f t="shared" si="163"/>
        <v>14.9210733</v>
      </c>
      <c r="M725" s="15">
        <f t="shared" si="164"/>
        <v>12</v>
      </c>
      <c r="N725" s="15">
        <f t="shared" si="165"/>
        <v>2.9210732999999998</v>
      </c>
      <c r="O725" s="15">
        <f t="shared" si="166"/>
        <v>0</v>
      </c>
      <c r="P725" s="15">
        <f t="shared" si="167"/>
        <v>0</v>
      </c>
      <c r="Q725" s="14" t="str">
        <f>IF(M725&gt;=I725*'Hoja 4 - Cálculo'!$B$16,"Satisfactorio","Falla")</f>
        <v>Satisfactorio</v>
      </c>
      <c r="R725" s="14">
        <f t="shared" ref="R725:R756" si="170">IF(AND(Q724="Falla",Q725="Satisfactorio"),1,0)</f>
        <v>0</v>
      </c>
      <c r="S725" s="14">
        <f t="shared" ref="S725:S756" si="171">IF(AND(Q725="Falla",Q724&lt;&gt;"Falla"),1,0)</f>
        <v>0</v>
      </c>
    </row>
    <row r="726" spans="1:19">
      <c r="A726" s="14" t="str">
        <f t="shared" si="168"/>
        <v>SRY-3-1</v>
      </c>
      <c r="B726" s="15">
        <f>'Curvas SRY'!$B$10</f>
        <v>3</v>
      </c>
      <c r="C726" s="15">
        <f>'Curvas SRY'!$E$8</f>
        <v>0.75</v>
      </c>
      <c r="D726" s="14" t="str">
        <f>'Curvas SRY'!$B$14</f>
        <v>Uso variable</v>
      </c>
      <c r="E726" s="14">
        <f>3</f>
        <v>3</v>
      </c>
      <c r="F726" s="21">
        <f>'Hoja 4 - Cálculo'!A27</f>
        <v>29646</v>
      </c>
      <c r="G726" s="15">
        <f>'Hoja 4 - Cálculo'!H27</f>
        <v>21.114000000000001</v>
      </c>
      <c r="H726" s="15">
        <f>IF(D726="Uso único",'Hoja 4 - Cálculo'!I27,IF(D726="Uso múltiple",AVERAGE('Hoja 4 - Cálculo'!$I$25:$I$384)+AVERAGE('Hoja 4 - Cálculo'!$J$25:$J$384)+AVERAGE('Hoja 4 - Cálculo'!$K$25:$K$384),IF(D726="Uso prioritario",'Hoja 4 - Cálculo'!I27+'Hoja 4 - Cálculo'!K27,'Hoja 4 - Cálculo'!I27+'Hoja 4 - Cálculo'!J27+'Hoja 4 - Cálculo'!K27)))</f>
        <v>16</v>
      </c>
      <c r="I726" s="15">
        <f t="shared" si="162"/>
        <v>12</v>
      </c>
      <c r="J726" s="15">
        <f t="shared" si="169"/>
        <v>2.9210732999999998</v>
      </c>
      <c r="K726" s="15">
        <f>MIN(J726+G726,(J726+G726)*'Hoja 4 - Cálculo'!$B$15)</f>
        <v>0.48070146600000002</v>
      </c>
      <c r="L726" s="15">
        <f t="shared" si="163"/>
        <v>23.554371834000001</v>
      </c>
      <c r="M726" s="15">
        <f t="shared" si="164"/>
        <v>12</v>
      </c>
      <c r="N726" s="15">
        <f t="shared" si="165"/>
        <v>3</v>
      </c>
      <c r="O726" s="15">
        <f t="shared" si="166"/>
        <v>8.5543718340000012</v>
      </c>
      <c r="P726" s="15">
        <f t="shared" si="167"/>
        <v>0</v>
      </c>
      <c r="Q726" s="14" t="str">
        <f>IF(M726&gt;=I726*'Hoja 4 - Cálculo'!$B$16,"Satisfactorio","Falla")</f>
        <v>Satisfactorio</v>
      </c>
      <c r="R726" s="14">
        <f t="shared" si="170"/>
        <v>0</v>
      </c>
      <c r="S726" s="14">
        <f t="shared" si="171"/>
        <v>0</v>
      </c>
    </row>
    <row r="727" spans="1:19">
      <c r="A727" s="14" t="str">
        <f t="shared" si="168"/>
        <v>SRY-3-1</v>
      </c>
      <c r="B727" s="15">
        <f>'Curvas SRY'!$B$10</f>
        <v>3</v>
      </c>
      <c r="C727" s="15">
        <f>'Curvas SRY'!$E$8</f>
        <v>0.75</v>
      </c>
      <c r="D727" s="14" t="str">
        <f>'Curvas SRY'!$B$14</f>
        <v>Uso variable</v>
      </c>
      <c r="E727" s="14">
        <f>4</f>
        <v>4</v>
      </c>
      <c r="F727" s="21">
        <f>'Hoja 4 - Cálculo'!A28</f>
        <v>29677</v>
      </c>
      <c r="G727" s="15">
        <f>'Hoja 4 - Cálculo'!H28</f>
        <v>29.280374999999999</v>
      </c>
      <c r="H727" s="15">
        <f>IF(D727="Uso único",'Hoja 4 - Cálculo'!I28,IF(D727="Uso múltiple",AVERAGE('Hoja 4 - Cálculo'!$I$25:$I$384)+AVERAGE('Hoja 4 - Cálculo'!$J$25:$J$384)+AVERAGE('Hoja 4 - Cálculo'!$K$25:$K$384),IF(D727="Uso prioritario",'Hoja 4 - Cálculo'!I28+'Hoja 4 - Cálculo'!K28,'Hoja 4 - Cálculo'!I28+'Hoja 4 - Cálculo'!J28+'Hoja 4 - Cálculo'!K28)))</f>
        <v>11.5</v>
      </c>
      <c r="I727" s="15">
        <f t="shared" si="162"/>
        <v>8.625</v>
      </c>
      <c r="J727" s="15">
        <f t="shared" si="169"/>
        <v>3</v>
      </c>
      <c r="K727" s="15">
        <f>MIN(J727+G727,(J727+G727)*'Hoja 4 - Cálculo'!$B$15)</f>
        <v>0.6456075</v>
      </c>
      <c r="L727" s="15">
        <f t="shared" si="163"/>
        <v>31.634767499999999</v>
      </c>
      <c r="M727" s="15">
        <f t="shared" si="164"/>
        <v>8.625</v>
      </c>
      <c r="N727" s="15">
        <f t="shared" si="165"/>
        <v>3</v>
      </c>
      <c r="O727" s="15">
        <f t="shared" si="166"/>
        <v>20.009767499999999</v>
      </c>
      <c r="P727" s="15">
        <f t="shared" si="167"/>
        <v>0</v>
      </c>
      <c r="Q727" s="14" t="str">
        <f>IF(M727&gt;=I727*'Hoja 4 - Cálculo'!$B$16,"Satisfactorio","Falla")</f>
        <v>Satisfactorio</v>
      </c>
      <c r="R727" s="14">
        <f t="shared" si="170"/>
        <v>0</v>
      </c>
      <c r="S727" s="14">
        <f t="shared" si="171"/>
        <v>0</v>
      </c>
    </row>
    <row r="728" spans="1:19">
      <c r="A728" s="14" t="str">
        <f t="shared" si="168"/>
        <v>SRY-3-1</v>
      </c>
      <c r="B728" s="15">
        <f>'Curvas SRY'!$B$10</f>
        <v>3</v>
      </c>
      <c r="C728" s="15">
        <f>'Curvas SRY'!$E$8</f>
        <v>0.75</v>
      </c>
      <c r="D728" s="14" t="str">
        <f>'Curvas SRY'!$B$14</f>
        <v>Uso variable</v>
      </c>
      <c r="E728" s="14">
        <f>5</f>
        <v>5</v>
      </c>
      <c r="F728" s="21">
        <f>'Hoja 4 - Cálculo'!A29</f>
        <v>29707</v>
      </c>
      <c r="G728" s="15">
        <f>'Hoja 4 - Cálculo'!H29</f>
        <v>26.048249999999999</v>
      </c>
      <c r="H728" s="15">
        <f>IF(D728="Uso único",'Hoja 4 - Cálculo'!I29,IF(D728="Uso múltiple",AVERAGE('Hoja 4 - Cálculo'!$I$25:$I$384)+AVERAGE('Hoja 4 - Cálculo'!$J$25:$J$384)+AVERAGE('Hoja 4 - Cálculo'!$K$25:$K$384),IF(D728="Uso prioritario",'Hoja 4 - Cálculo'!I29+'Hoja 4 - Cálculo'!K29,'Hoja 4 - Cálculo'!I29+'Hoja 4 - Cálculo'!J29+'Hoja 4 - Cálculo'!K29)))</f>
        <v>11.5</v>
      </c>
      <c r="I728" s="15">
        <f t="shared" si="162"/>
        <v>8.625</v>
      </c>
      <c r="J728" s="15">
        <f t="shared" si="169"/>
        <v>3</v>
      </c>
      <c r="K728" s="15">
        <f>MIN(J728+G728,(J728+G728)*'Hoja 4 - Cálculo'!$B$15)</f>
        <v>0.58096499999999995</v>
      </c>
      <c r="L728" s="15">
        <f t="shared" si="163"/>
        <v>28.467285</v>
      </c>
      <c r="M728" s="15">
        <f t="shared" si="164"/>
        <v>8.625</v>
      </c>
      <c r="N728" s="15">
        <f t="shared" si="165"/>
        <v>3</v>
      </c>
      <c r="O728" s="15">
        <f t="shared" si="166"/>
        <v>16.842285</v>
      </c>
      <c r="P728" s="15">
        <f t="shared" si="167"/>
        <v>0</v>
      </c>
      <c r="Q728" s="14" t="str">
        <f>IF(M728&gt;=I728*'Hoja 4 - Cálculo'!$B$16,"Satisfactorio","Falla")</f>
        <v>Satisfactorio</v>
      </c>
      <c r="R728" s="14">
        <f t="shared" si="170"/>
        <v>0</v>
      </c>
      <c r="S728" s="14">
        <f t="shared" si="171"/>
        <v>0</v>
      </c>
    </row>
    <row r="729" spans="1:19">
      <c r="A729" s="14" t="str">
        <f t="shared" si="168"/>
        <v>SRY-3-1</v>
      </c>
      <c r="B729" s="15">
        <f>'Curvas SRY'!$B$10</f>
        <v>3</v>
      </c>
      <c r="C729" s="15">
        <f>'Curvas SRY'!$E$8</f>
        <v>0.75</v>
      </c>
      <c r="D729" s="14" t="str">
        <f>'Curvas SRY'!$B$14</f>
        <v>Uso variable</v>
      </c>
      <c r="E729" s="14">
        <f>6</f>
        <v>6</v>
      </c>
      <c r="F729" s="21">
        <f>'Hoja 4 - Cálculo'!A30</f>
        <v>29738</v>
      </c>
      <c r="G729" s="15">
        <f>'Hoja 4 - Cálculo'!H30</f>
        <v>15.625125000000001</v>
      </c>
      <c r="H729" s="15">
        <f>IF(D729="Uso único",'Hoja 4 - Cálculo'!I30,IF(D729="Uso múltiple",AVERAGE('Hoja 4 - Cálculo'!$I$25:$I$384)+AVERAGE('Hoja 4 - Cálculo'!$J$25:$J$384)+AVERAGE('Hoja 4 - Cálculo'!$K$25:$K$384),IF(D729="Uso prioritario",'Hoja 4 - Cálculo'!I30+'Hoja 4 - Cálculo'!K30,'Hoja 4 - Cálculo'!I30+'Hoja 4 - Cálculo'!J30+'Hoja 4 - Cálculo'!K30)))</f>
        <v>11.5</v>
      </c>
      <c r="I729" s="15">
        <f t="shared" si="162"/>
        <v>8.625</v>
      </c>
      <c r="J729" s="15">
        <f t="shared" si="169"/>
        <v>3</v>
      </c>
      <c r="K729" s="15">
        <f>MIN(J729+G729,(J729+G729)*'Hoja 4 - Cálculo'!$B$15)</f>
        <v>0.37250250000000001</v>
      </c>
      <c r="L729" s="15">
        <f t="shared" si="163"/>
        <v>18.252622500000001</v>
      </c>
      <c r="M729" s="15">
        <f t="shared" si="164"/>
        <v>8.625</v>
      </c>
      <c r="N729" s="15">
        <f t="shared" si="165"/>
        <v>3</v>
      </c>
      <c r="O729" s="15">
        <f t="shared" si="166"/>
        <v>6.6276225000000011</v>
      </c>
      <c r="P729" s="15">
        <f t="shared" si="167"/>
        <v>0</v>
      </c>
      <c r="Q729" s="14" t="str">
        <f>IF(M729&gt;=I729*'Hoja 4 - Cálculo'!$B$16,"Satisfactorio","Falla")</f>
        <v>Satisfactorio</v>
      </c>
      <c r="R729" s="14">
        <f t="shared" si="170"/>
        <v>0</v>
      </c>
      <c r="S729" s="14">
        <f t="shared" si="171"/>
        <v>0</v>
      </c>
    </row>
    <row r="730" spans="1:19">
      <c r="A730" s="14" t="str">
        <f t="shared" si="168"/>
        <v>SRY-3-1</v>
      </c>
      <c r="B730" s="15">
        <f>'Curvas SRY'!$B$10</f>
        <v>3</v>
      </c>
      <c r="C730" s="15">
        <f>'Curvas SRY'!$E$8</f>
        <v>0.75</v>
      </c>
      <c r="D730" s="14" t="str">
        <f>'Curvas SRY'!$B$14</f>
        <v>Uso variable</v>
      </c>
      <c r="E730" s="14">
        <f>7</f>
        <v>7</v>
      </c>
      <c r="F730" s="21">
        <f>'Hoja 4 - Cálculo'!A31</f>
        <v>29768</v>
      </c>
      <c r="G730" s="15">
        <f>'Hoja 4 - Cálculo'!H31</f>
        <v>12.794625</v>
      </c>
      <c r="H730" s="15">
        <f>IF(D730="Uso único",'Hoja 4 - Cálculo'!I31,IF(D730="Uso múltiple",AVERAGE('Hoja 4 - Cálculo'!$I$25:$I$384)+AVERAGE('Hoja 4 - Cálculo'!$J$25:$J$384)+AVERAGE('Hoja 4 - Cálculo'!$K$25:$K$384),IF(D730="Uso prioritario",'Hoja 4 - Cálculo'!I31+'Hoja 4 - Cálculo'!K31,'Hoja 4 - Cálculo'!I31+'Hoja 4 - Cálculo'!J31+'Hoja 4 - Cálculo'!K31)))</f>
        <v>16</v>
      </c>
      <c r="I730" s="15">
        <f t="shared" si="162"/>
        <v>12</v>
      </c>
      <c r="J730" s="15">
        <f t="shared" si="169"/>
        <v>3</v>
      </c>
      <c r="K730" s="15">
        <f>MIN(J730+G730,(J730+G730)*'Hoja 4 - Cálculo'!$B$15)</f>
        <v>0.31589250000000002</v>
      </c>
      <c r="L730" s="15">
        <f t="shared" si="163"/>
        <v>15.4787325</v>
      </c>
      <c r="M730" s="15">
        <f t="shared" si="164"/>
        <v>12</v>
      </c>
      <c r="N730" s="15">
        <f t="shared" si="165"/>
        <v>3</v>
      </c>
      <c r="O730" s="15">
        <f t="shared" si="166"/>
        <v>0.47873249999999956</v>
      </c>
      <c r="P730" s="15">
        <f t="shared" si="167"/>
        <v>0</v>
      </c>
      <c r="Q730" s="14" t="str">
        <f>IF(M730&gt;=I730*'Hoja 4 - Cálculo'!$B$16,"Satisfactorio","Falla")</f>
        <v>Satisfactorio</v>
      </c>
      <c r="R730" s="14">
        <f t="shared" si="170"/>
        <v>0</v>
      </c>
      <c r="S730" s="14">
        <f t="shared" si="171"/>
        <v>0</v>
      </c>
    </row>
    <row r="731" spans="1:19">
      <c r="A731" s="14" t="str">
        <f t="shared" si="168"/>
        <v>SRY-3-1</v>
      </c>
      <c r="B731" s="15">
        <f>'Curvas SRY'!$B$10</f>
        <v>3</v>
      </c>
      <c r="C731" s="15">
        <f>'Curvas SRY'!$E$8</f>
        <v>0.75</v>
      </c>
      <c r="D731" s="14" t="str">
        <f>'Curvas SRY'!$B$14</f>
        <v>Uso variable</v>
      </c>
      <c r="E731" s="14">
        <f>8</f>
        <v>8</v>
      </c>
      <c r="F731" s="21">
        <f>'Hoja 4 - Cálculo'!A32</f>
        <v>29799</v>
      </c>
      <c r="G731" s="15">
        <f>'Hoja 4 - Cálculo'!H32</f>
        <v>13.712624999999999</v>
      </c>
      <c r="H731" s="15">
        <f>IF(D731="Uso único",'Hoja 4 - Cálculo'!I32,IF(D731="Uso múltiple",AVERAGE('Hoja 4 - Cálculo'!$I$25:$I$384)+AVERAGE('Hoja 4 - Cálculo'!$J$25:$J$384)+AVERAGE('Hoja 4 - Cálculo'!$K$25:$K$384),IF(D731="Uso prioritario",'Hoja 4 - Cálculo'!I32+'Hoja 4 - Cálculo'!K32,'Hoja 4 - Cálculo'!I32+'Hoja 4 - Cálculo'!J32+'Hoja 4 - Cálculo'!K32)))</f>
        <v>16</v>
      </c>
      <c r="I731" s="15">
        <f t="shared" si="162"/>
        <v>12</v>
      </c>
      <c r="J731" s="15">
        <f t="shared" si="169"/>
        <v>3</v>
      </c>
      <c r="K731" s="15">
        <f>MIN(J731+G731,(J731+G731)*'Hoja 4 - Cálculo'!$B$15)</f>
        <v>0.33425250000000001</v>
      </c>
      <c r="L731" s="15">
        <f t="shared" si="163"/>
        <v>16.378372499999998</v>
      </c>
      <c r="M731" s="15">
        <f t="shared" si="164"/>
        <v>12</v>
      </c>
      <c r="N731" s="15">
        <f t="shared" si="165"/>
        <v>3</v>
      </c>
      <c r="O731" s="15">
        <f t="shared" si="166"/>
        <v>1.3783724999999976</v>
      </c>
      <c r="P731" s="15">
        <f t="shared" si="167"/>
        <v>0</v>
      </c>
      <c r="Q731" s="14" t="str">
        <f>IF(M731&gt;=I731*'Hoja 4 - Cálculo'!$B$16,"Satisfactorio","Falla")</f>
        <v>Satisfactorio</v>
      </c>
      <c r="R731" s="14">
        <f t="shared" si="170"/>
        <v>0</v>
      </c>
      <c r="S731" s="14">
        <f t="shared" si="171"/>
        <v>0</v>
      </c>
    </row>
    <row r="732" spans="1:19">
      <c r="A732" s="14" t="str">
        <f t="shared" si="168"/>
        <v>SRY-3-1</v>
      </c>
      <c r="B732" s="15">
        <f>'Curvas SRY'!$B$10</f>
        <v>3</v>
      </c>
      <c r="C732" s="15">
        <f>'Curvas SRY'!$E$8</f>
        <v>0.75</v>
      </c>
      <c r="D732" s="14" t="str">
        <f>'Curvas SRY'!$B$14</f>
        <v>Uso variable</v>
      </c>
      <c r="E732" s="14">
        <f>9</f>
        <v>9</v>
      </c>
      <c r="F732" s="21">
        <f>'Hoja 4 - Cálculo'!A33</f>
        <v>29830</v>
      </c>
      <c r="G732" s="15">
        <f>'Hoja 4 - Cálculo'!H33</f>
        <v>22.070250000000001</v>
      </c>
      <c r="H732" s="15">
        <f>IF(D732="Uso único",'Hoja 4 - Cálculo'!I33,IF(D732="Uso múltiple",AVERAGE('Hoja 4 - Cálculo'!$I$25:$I$384)+AVERAGE('Hoja 4 - Cálculo'!$J$25:$J$384)+AVERAGE('Hoja 4 - Cálculo'!$K$25:$K$384),IF(D732="Uso prioritario",'Hoja 4 - Cálculo'!I33+'Hoja 4 - Cálculo'!K33,'Hoja 4 - Cálculo'!I33+'Hoja 4 - Cálculo'!J33+'Hoja 4 - Cálculo'!K33)))</f>
        <v>11.5</v>
      </c>
      <c r="I732" s="15">
        <f t="shared" si="162"/>
        <v>8.625</v>
      </c>
      <c r="J732" s="15">
        <f t="shared" si="169"/>
        <v>3</v>
      </c>
      <c r="K732" s="15">
        <f>MIN(J732+G732,(J732+G732)*'Hoja 4 - Cálculo'!$B$15)</f>
        <v>0.50140499999999999</v>
      </c>
      <c r="L732" s="15">
        <f t="shared" si="163"/>
        <v>24.568845000000003</v>
      </c>
      <c r="M732" s="15">
        <f t="shared" si="164"/>
        <v>8.625</v>
      </c>
      <c r="N732" s="15">
        <f t="shared" si="165"/>
        <v>3</v>
      </c>
      <c r="O732" s="15">
        <f t="shared" si="166"/>
        <v>12.943845000000003</v>
      </c>
      <c r="P732" s="15">
        <f t="shared" si="167"/>
        <v>0</v>
      </c>
      <c r="Q732" s="14" t="str">
        <f>IF(M732&gt;=I732*'Hoja 4 - Cálculo'!$B$16,"Satisfactorio","Falla")</f>
        <v>Satisfactorio</v>
      </c>
      <c r="R732" s="14">
        <f t="shared" si="170"/>
        <v>0</v>
      </c>
      <c r="S732" s="14">
        <f t="shared" si="171"/>
        <v>0</v>
      </c>
    </row>
    <row r="733" spans="1:19">
      <c r="A733" s="14" t="str">
        <f t="shared" si="168"/>
        <v>SRY-3-1</v>
      </c>
      <c r="B733" s="15">
        <f>'Curvas SRY'!$B$10</f>
        <v>3</v>
      </c>
      <c r="C733" s="15">
        <f>'Curvas SRY'!$E$8</f>
        <v>0.75</v>
      </c>
      <c r="D733" s="14" t="str">
        <f>'Curvas SRY'!$B$14</f>
        <v>Uso variable</v>
      </c>
      <c r="E733" s="14">
        <f>10</f>
        <v>10</v>
      </c>
      <c r="F733" s="21">
        <f>'Hoja 4 - Cálculo'!A34</f>
        <v>29860</v>
      </c>
      <c r="G733" s="15">
        <f>'Hoja 4 - Cálculo'!H34</f>
        <v>29.777625</v>
      </c>
      <c r="H733" s="15">
        <f>IF(D733="Uso único",'Hoja 4 - Cálculo'!I34,IF(D733="Uso múltiple",AVERAGE('Hoja 4 - Cálculo'!$I$25:$I$384)+AVERAGE('Hoja 4 - Cálculo'!$J$25:$J$384)+AVERAGE('Hoja 4 - Cálculo'!$K$25:$K$384),IF(D733="Uso prioritario",'Hoja 4 - Cálculo'!I34+'Hoja 4 - Cálculo'!K34,'Hoja 4 - Cálculo'!I34+'Hoja 4 - Cálculo'!J34+'Hoja 4 - Cálculo'!K34)))</f>
        <v>11.5</v>
      </c>
      <c r="I733" s="15">
        <f t="shared" si="162"/>
        <v>8.625</v>
      </c>
      <c r="J733" s="15">
        <f t="shared" si="169"/>
        <v>3</v>
      </c>
      <c r="K733" s="15">
        <f>MIN(J733+G733,(J733+G733)*'Hoja 4 - Cálculo'!$B$15)</f>
        <v>0.65555249999999998</v>
      </c>
      <c r="L733" s="15">
        <f t="shared" si="163"/>
        <v>32.122072500000002</v>
      </c>
      <c r="M733" s="15">
        <f t="shared" si="164"/>
        <v>8.625</v>
      </c>
      <c r="N733" s="15">
        <f t="shared" si="165"/>
        <v>3</v>
      </c>
      <c r="O733" s="15">
        <f t="shared" si="166"/>
        <v>20.497072500000002</v>
      </c>
      <c r="P733" s="15">
        <f t="shared" si="167"/>
        <v>0</v>
      </c>
      <c r="Q733" s="14" t="str">
        <f>IF(M733&gt;=I733*'Hoja 4 - Cálculo'!$B$16,"Satisfactorio","Falla")</f>
        <v>Satisfactorio</v>
      </c>
      <c r="R733" s="14">
        <f t="shared" si="170"/>
        <v>0</v>
      </c>
      <c r="S733" s="14">
        <f t="shared" si="171"/>
        <v>0</v>
      </c>
    </row>
    <row r="734" spans="1:19">
      <c r="A734" s="14" t="str">
        <f t="shared" si="168"/>
        <v>SRY-3-1</v>
      </c>
      <c r="B734" s="15">
        <f>'Curvas SRY'!$B$10</f>
        <v>3</v>
      </c>
      <c r="C734" s="15">
        <f>'Curvas SRY'!$E$8</f>
        <v>0.75</v>
      </c>
      <c r="D734" s="14" t="str">
        <f>'Curvas SRY'!$B$14</f>
        <v>Uso variable</v>
      </c>
      <c r="E734" s="14">
        <f>11</f>
        <v>11</v>
      </c>
      <c r="F734" s="21">
        <f>'Hoja 4 - Cálculo'!A35</f>
        <v>29891</v>
      </c>
      <c r="G734" s="15">
        <f>'Hoja 4 - Cálculo'!H35</f>
        <v>25.51275</v>
      </c>
      <c r="H734" s="15">
        <f>IF(D734="Uso único",'Hoja 4 - Cálculo'!I35,IF(D734="Uso múltiple",AVERAGE('Hoja 4 - Cálculo'!$I$25:$I$384)+AVERAGE('Hoja 4 - Cálculo'!$J$25:$J$384)+AVERAGE('Hoja 4 - Cálculo'!$K$25:$K$384),IF(D734="Uso prioritario",'Hoja 4 - Cálculo'!I35+'Hoja 4 - Cálculo'!K35,'Hoja 4 - Cálculo'!I35+'Hoja 4 - Cálculo'!J35+'Hoja 4 - Cálculo'!K35)))</f>
        <v>11.5</v>
      </c>
      <c r="I734" s="15">
        <f t="shared" si="162"/>
        <v>8.625</v>
      </c>
      <c r="J734" s="15">
        <f t="shared" si="169"/>
        <v>3</v>
      </c>
      <c r="K734" s="15">
        <f>MIN(J734+G734,(J734+G734)*'Hoja 4 - Cálculo'!$B$15)</f>
        <v>0.57025500000000007</v>
      </c>
      <c r="L734" s="15">
        <f t="shared" si="163"/>
        <v>27.942495000000001</v>
      </c>
      <c r="M734" s="15">
        <f t="shared" si="164"/>
        <v>8.625</v>
      </c>
      <c r="N734" s="15">
        <f t="shared" si="165"/>
        <v>3</v>
      </c>
      <c r="O734" s="15">
        <f t="shared" si="166"/>
        <v>16.317495000000001</v>
      </c>
      <c r="P734" s="15">
        <f t="shared" si="167"/>
        <v>0</v>
      </c>
      <c r="Q734" s="14" t="str">
        <f>IF(M734&gt;=I734*'Hoja 4 - Cálculo'!$B$16,"Satisfactorio","Falla")</f>
        <v>Satisfactorio</v>
      </c>
      <c r="R734" s="14">
        <f t="shared" si="170"/>
        <v>0</v>
      </c>
      <c r="S734" s="14">
        <f t="shared" si="171"/>
        <v>0</v>
      </c>
    </row>
    <row r="735" spans="1:19">
      <c r="A735" s="14" t="str">
        <f t="shared" si="168"/>
        <v>SRY-3-1</v>
      </c>
      <c r="B735" s="15">
        <f>'Curvas SRY'!$B$10</f>
        <v>3</v>
      </c>
      <c r="C735" s="15">
        <f>'Curvas SRY'!$E$8</f>
        <v>0.75</v>
      </c>
      <c r="D735" s="14" t="str">
        <f>'Curvas SRY'!$B$14</f>
        <v>Uso variable</v>
      </c>
      <c r="E735" s="14">
        <f>12</f>
        <v>12</v>
      </c>
      <c r="F735" s="21">
        <f>'Hoja 4 - Cálculo'!A36</f>
        <v>29921</v>
      </c>
      <c r="G735" s="15">
        <f>'Hoja 4 - Cálculo'!H36</f>
        <v>15.3765</v>
      </c>
      <c r="H735" s="15">
        <f>IF(D735="Uso único",'Hoja 4 - Cálculo'!I36,IF(D735="Uso múltiple",AVERAGE('Hoja 4 - Cálculo'!$I$25:$I$384)+AVERAGE('Hoja 4 - Cálculo'!$J$25:$J$384)+AVERAGE('Hoja 4 - Cálculo'!$K$25:$K$384),IF(D735="Uso prioritario",'Hoja 4 - Cálculo'!I36+'Hoja 4 - Cálculo'!K36,'Hoja 4 - Cálculo'!I36+'Hoja 4 - Cálculo'!J36+'Hoja 4 - Cálculo'!K36)))</f>
        <v>16</v>
      </c>
      <c r="I735" s="15">
        <f t="shared" si="162"/>
        <v>12</v>
      </c>
      <c r="J735" s="15">
        <f t="shared" si="169"/>
        <v>3</v>
      </c>
      <c r="K735" s="15">
        <f>MIN(J735+G735,(J735+G735)*'Hoja 4 - Cálculo'!$B$15)</f>
        <v>0.36753000000000002</v>
      </c>
      <c r="L735" s="15">
        <f t="shared" si="163"/>
        <v>18.008970000000001</v>
      </c>
      <c r="M735" s="15">
        <f t="shared" si="164"/>
        <v>12</v>
      </c>
      <c r="N735" s="15">
        <f t="shared" si="165"/>
        <v>3</v>
      </c>
      <c r="O735" s="15">
        <f t="shared" si="166"/>
        <v>3.0089700000000015</v>
      </c>
      <c r="P735" s="15">
        <f t="shared" si="167"/>
        <v>0</v>
      </c>
      <c r="Q735" s="14" t="str">
        <f>IF(M735&gt;=I735*'Hoja 4 - Cálculo'!$B$16,"Satisfactorio","Falla")</f>
        <v>Satisfactorio</v>
      </c>
      <c r="R735" s="14">
        <f t="shared" si="170"/>
        <v>0</v>
      </c>
      <c r="S735" s="14">
        <f t="shared" si="171"/>
        <v>0</v>
      </c>
    </row>
    <row r="736" spans="1:19">
      <c r="A736" s="14" t="str">
        <f t="shared" si="168"/>
        <v>SRY-3-1</v>
      </c>
      <c r="B736" s="15">
        <f>'Curvas SRY'!$B$10</f>
        <v>3</v>
      </c>
      <c r="C736" s="15">
        <f>'Curvas SRY'!$E$8</f>
        <v>0.75</v>
      </c>
      <c r="D736" s="14" t="str">
        <f>'Curvas SRY'!$B$14</f>
        <v>Uso variable</v>
      </c>
      <c r="E736" s="14">
        <f>13</f>
        <v>13</v>
      </c>
      <c r="F736" s="21">
        <f>'Hoja 4 - Cálculo'!A37</f>
        <v>29952</v>
      </c>
      <c r="G736" s="15">
        <f>'Hoja 4 - Cálculo'!H37</f>
        <v>13.808249999999999</v>
      </c>
      <c r="H736" s="15">
        <f>IF(D736="Uso único",'Hoja 4 - Cálculo'!I37,IF(D736="Uso múltiple",AVERAGE('Hoja 4 - Cálculo'!$I$25:$I$384)+AVERAGE('Hoja 4 - Cálculo'!$J$25:$J$384)+AVERAGE('Hoja 4 - Cálculo'!$K$25:$K$384),IF(D736="Uso prioritario",'Hoja 4 - Cálculo'!I37+'Hoja 4 - Cálculo'!K37,'Hoja 4 - Cálculo'!I37+'Hoja 4 - Cálculo'!J37+'Hoja 4 - Cálculo'!K37)))</f>
        <v>16</v>
      </c>
      <c r="I736" s="15">
        <f t="shared" si="162"/>
        <v>12</v>
      </c>
      <c r="J736" s="15">
        <f t="shared" si="169"/>
        <v>3</v>
      </c>
      <c r="K736" s="15">
        <f>MIN(J736+G736,(J736+G736)*'Hoja 4 - Cálculo'!$B$15)</f>
        <v>0.33616500000000005</v>
      </c>
      <c r="L736" s="15">
        <f t="shared" si="163"/>
        <v>16.472085</v>
      </c>
      <c r="M736" s="15">
        <f t="shared" si="164"/>
        <v>12</v>
      </c>
      <c r="N736" s="15">
        <f t="shared" si="165"/>
        <v>3</v>
      </c>
      <c r="O736" s="15">
        <f t="shared" si="166"/>
        <v>1.4720849999999999</v>
      </c>
      <c r="P736" s="15">
        <f t="shared" si="167"/>
        <v>0</v>
      </c>
      <c r="Q736" s="14" t="str">
        <f>IF(M736&gt;=I736*'Hoja 4 - Cálculo'!$B$16,"Satisfactorio","Falla")</f>
        <v>Satisfactorio</v>
      </c>
      <c r="R736" s="14">
        <f t="shared" si="170"/>
        <v>0</v>
      </c>
      <c r="S736" s="14">
        <f t="shared" si="171"/>
        <v>0</v>
      </c>
    </row>
    <row r="737" spans="1:19">
      <c r="A737" s="14" t="str">
        <f t="shared" si="168"/>
        <v>SRY-3-1</v>
      </c>
      <c r="B737" s="15">
        <f>'Curvas SRY'!$B$10</f>
        <v>3</v>
      </c>
      <c r="C737" s="15">
        <f>'Curvas SRY'!$E$8</f>
        <v>0.75</v>
      </c>
      <c r="D737" s="14" t="str">
        <f>'Curvas SRY'!$B$14</f>
        <v>Uso variable</v>
      </c>
      <c r="E737" s="14">
        <f>14</f>
        <v>14</v>
      </c>
      <c r="F737" s="21">
        <f>'Hoja 4 - Cálculo'!A38</f>
        <v>29983</v>
      </c>
      <c r="G737" s="15">
        <f>'Hoja 4 - Cálculo'!H38</f>
        <v>15.472125</v>
      </c>
      <c r="H737" s="15">
        <f>IF(D737="Uso único",'Hoja 4 - Cálculo'!I38,IF(D737="Uso múltiple",AVERAGE('Hoja 4 - Cálculo'!$I$25:$I$384)+AVERAGE('Hoja 4 - Cálculo'!$J$25:$J$384)+AVERAGE('Hoja 4 - Cálculo'!$K$25:$K$384),IF(D737="Uso prioritario",'Hoja 4 - Cálculo'!I38+'Hoja 4 - Cálculo'!K38,'Hoja 4 - Cálculo'!I38+'Hoja 4 - Cálculo'!J38+'Hoja 4 - Cálculo'!K38)))</f>
        <v>16</v>
      </c>
      <c r="I737" s="15">
        <f t="shared" si="162"/>
        <v>12</v>
      </c>
      <c r="J737" s="15">
        <f t="shared" si="169"/>
        <v>3</v>
      </c>
      <c r="K737" s="15">
        <f>MIN(J737+G737,(J737+G737)*'Hoja 4 - Cálculo'!$B$15)</f>
        <v>0.36944249999999995</v>
      </c>
      <c r="L737" s="15">
        <f t="shared" si="163"/>
        <v>18.102682499999997</v>
      </c>
      <c r="M737" s="15">
        <f t="shared" si="164"/>
        <v>12</v>
      </c>
      <c r="N737" s="15">
        <f t="shared" si="165"/>
        <v>3</v>
      </c>
      <c r="O737" s="15">
        <f t="shared" si="166"/>
        <v>3.1026824999999967</v>
      </c>
      <c r="P737" s="15">
        <f t="shared" si="167"/>
        <v>0</v>
      </c>
      <c r="Q737" s="14" t="str">
        <f>IF(M737&gt;=I737*'Hoja 4 - Cálculo'!$B$16,"Satisfactorio","Falla")</f>
        <v>Satisfactorio</v>
      </c>
      <c r="R737" s="14">
        <f t="shared" si="170"/>
        <v>0</v>
      </c>
      <c r="S737" s="14">
        <f t="shared" si="171"/>
        <v>0</v>
      </c>
    </row>
    <row r="738" spans="1:19">
      <c r="A738" s="14" t="str">
        <f t="shared" si="168"/>
        <v>SRY-3-1</v>
      </c>
      <c r="B738" s="15">
        <f>'Curvas SRY'!$B$10</f>
        <v>3</v>
      </c>
      <c r="C738" s="15">
        <f>'Curvas SRY'!$E$8</f>
        <v>0.75</v>
      </c>
      <c r="D738" s="14" t="str">
        <f>'Curvas SRY'!$B$14</f>
        <v>Uso variable</v>
      </c>
      <c r="E738" s="14">
        <f>15</f>
        <v>15</v>
      </c>
      <c r="F738" s="21">
        <f>'Hoja 4 - Cálculo'!A39</f>
        <v>30011</v>
      </c>
      <c r="G738" s="15">
        <f>'Hoja 4 - Cálculo'!H39</f>
        <v>22.338000000000001</v>
      </c>
      <c r="H738" s="15">
        <f>IF(D738="Uso único",'Hoja 4 - Cálculo'!I39,IF(D738="Uso múltiple",AVERAGE('Hoja 4 - Cálculo'!$I$25:$I$384)+AVERAGE('Hoja 4 - Cálculo'!$J$25:$J$384)+AVERAGE('Hoja 4 - Cálculo'!$K$25:$K$384),IF(D738="Uso prioritario",'Hoja 4 - Cálculo'!I39+'Hoja 4 - Cálculo'!K39,'Hoja 4 - Cálculo'!I39+'Hoja 4 - Cálculo'!J39+'Hoja 4 - Cálculo'!K39)))</f>
        <v>16</v>
      </c>
      <c r="I738" s="15">
        <f t="shared" si="162"/>
        <v>12</v>
      </c>
      <c r="J738" s="15">
        <f t="shared" si="169"/>
        <v>3</v>
      </c>
      <c r="K738" s="15">
        <f>MIN(J738+G738,(J738+G738)*'Hoja 4 - Cálculo'!$B$15)</f>
        <v>0.50675999999999999</v>
      </c>
      <c r="L738" s="15">
        <f t="shared" si="163"/>
        <v>24.831240000000001</v>
      </c>
      <c r="M738" s="15">
        <f t="shared" si="164"/>
        <v>12</v>
      </c>
      <c r="N738" s="15">
        <f t="shared" si="165"/>
        <v>3</v>
      </c>
      <c r="O738" s="15">
        <f t="shared" si="166"/>
        <v>9.8312400000000011</v>
      </c>
      <c r="P738" s="15">
        <f t="shared" si="167"/>
        <v>0</v>
      </c>
      <c r="Q738" s="14" t="str">
        <f>IF(M738&gt;=I738*'Hoja 4 - Cálculo'!$B$16,"Satisfactorio","Falla")</f>
        <v>Satisfactorio</v>
      </c>
      <c r="R738" s="14">
        <f t="shared" si="170"/>
        <v>0</v>
      </c>
      <c r="S738" s="14">
        <f t="shared" si="171"/>
        <v>0</v>
      </c>
    </row>
    <row r="739" spans="1:19">
      <c r="A739" s="14" t="str">
        <f t="shared" si="168"/>
        <v>SRY-3-1</v>
      </c>
      <c r="B739" s="15">
        <f>'Curvas SRY'!$B$10</f>
        <v>3</v>
      </c>
      <c r="C739" s="15">
        <f>'Curvas SRY'!$E$8</f>
        <v>0.75</v>
      </c>
      <c r="D739" s="14" t="str">
        <f>'Curvas SRY'!$B$14</f>
        <v>Uso variable</v>
      </c>
      <c r="E739" s="14">
        <f>16</f>
        <v>16</v>
      </c>
      <c r="F739" s="21">
        <f>'Hoja 4 - Cálculo'!A40</f>
        <v>30042</v>
      </c>
      <c r="G739" s="15">
        <f>'Hoja 4 - Cálculo'!H40</f>
        <v>31.670999999999999</v>
      </c>
      <c r="H739" s="15">
        <f>IF(D739="Uso único",'Hoja 4 - Cálculo'!I40,IF(D739="Uso múltiple",AVERAGE('Hoja 4 - Cálculo'!$I$25:$I$384)+AVERAGE('Hoja 4 - Cálculo'!$J$25:$J$384)+AVERAGE('Hoja 4 - Cálculo'!$K$25:$K$384),IF(D739="Uso prioritario",'Hoja 4 - Cálculo'!I40+'Hoja 4 - Cálculo'!K40,'Hoja 4 - Cálculo'!I40+'Hoja 4 - Cálculo'!J40+'Hoja 4 - Cálculo'!K40)))</f>
        <v>11.5</v>
      </c>
      <c r="I739" s="15">
        <f t="shared" si="162"/>
        <v>8.625</v>
      </c>
      <c r="J739" s="15">
        <f t="shared" si="169"/>
        <v>3</v>
      </c>
      <c r="K739" s="15">
        <f>MIN(J739+G739,(J739+G739)*'Hoja 4 - Cálculo'!$B$15)</f>
        <v>0.69342000000000004</v>
      </c>
      <c r="L739" s="15">
        <f t="shared" si="163"/>
        <v>33.977579999999996</v>
      </c>
      <c r="M739" s="15">
        <f t="shared" si="164"/>
        <v>8.625</v>
      </c>
      <c r="N739" s="15">
        <f t="shared" si="165"/>
        <v>3</v>
      </c>
      <c r="O739" s="15">
        <f t="shared" si="166"/>
        <v>22.352579999999996</v>
      </c>
      <c r="P739" s="15">
        <f t="shared" si="167"/>
        <v>0</v>
      </c>
      <c r="Q739" s="14" t="str">
        <f>IF(M739&gt;=I739*'Hoja 4 - Cálculo'!$B$16,"Satisfactorio","Falla")</f>
        <v>Satisfactorio</v>
      </c>
      <c r="R739" s="14">
        <f t="shared" si="170"/>
        <v>0</v>
      </c>
      <c r="S739" s="14">
        <f t="shared" si="171"/>
        <v>0</v>
      </c>
    </row>
    <row r="740" spans="1:19">
      <c r="A740" s="14" t="str">
        <f t="shared" si="168"/>
        <v>SRY-3-1</v>
      </c>
      <c r="B740" s="15">
        <f>'Curvas SRY'!$B$10</f>
        <v>3</v>
      </c>
      <c r="C740" s="15">
        <f>'Curvas SRY'!$E$8</f>
        <v>0.75</v>
      </c>
      <c r="D740" s="14" t="str">
        <f>'Curvas SRY'!$B$14</f>
        <v>Uso variable</v>
      </c>
      <c r="E740" s="14">
        <f>17</f>
        <v>17</v>
      </c>
      <c r="F740" s="21">
        <f>'Hoja 4 - Cálculo'!A41</f>
        <v>30072</v>
      </c>
      <c r="G740" s="15">
        <f>'Hoja 4 - Cálculo'!H41</f>
        <v>29.299499999999998</v>
      </c>
      <c r="H740" s="15">
        <f>IF(D740="Uso único",'Hoja 4 - Cálculo'!I41,IF(D740="Uso múltiple",AVERAGE('Hoja 4 - Cálculo'!$I$25:$I$384)+AVERAGE('Hoja 4 - Cálculo'!$J$25:$J$384)+AVERAGE('Hoja 4 - Cálculo'!$K$25:$K$384),IF(D740="Uso prioritario",'Hoja 4 - Cálculo'!I41+'Hoja 4 - Cálculo'!K41,'Hoja 4 - Cálculo'!I41+'Hoja 4 - Cálculo'!J41+'Hoja 4 - Cálculo'!K41)))</f>
        <v>11.5</v>
      </c>
      <c r="I740" s="15">
        <f t="shared" si="162"/>
        <v>8.625</v>
      </c>
      <c r="J740" s="15">
        <f t="shared" si="169"/>
        <v>3</v>
      </c>
      <c r="K740" s="15">
        <f>MIN(J740+G740,(J740+G740)*'Hoja 4 - Cálculo'!$B$15)</f>
        <v>0.64598999999999995</v>
      </c>
      <c r="L740" s="15">
        <f t="shared" si="163"/>
        <v>31.653509999999994</v>
      </c>
      <c r="M740" s="15">
        <f t="shared" si="164"/>
        <v>8.625</v>
      </c>
      <c r="N740" s="15">
        <f t="shared" si="165"/>
        <v>3</v>
      </c>
      <c r="O740" s="15">
        <f t="shared" si="166"/>
        <v>20.028509999999994</v>
      </c>
      <c r="P740" s="15">
        <f t="shared" si="167"/>
        <v>0</v>
      </c>
      <c r="Q740" s="14" t="str">
        <f>IF(M740&gt;=I740*'Hoja 4 - Cálculo'!$B$16,"Satisfactorio","Falla")</f>
        <v>Satisfactorio</v>
      </c>
      <c r="R740" s="14">
        <f t="shared" si="170"/>
        <v>0</v>
      </c>
      <c r="S740" s="14">
        <f t="shared" si="171"/>
        <v>0</v>
      </c>
    </row>
    <row r="741" spans="1:19">
      <c r="A741" s="14" t="str">
        <f t="shared" si="168"/>
        <v>SRY-3-1</v>
      </c>
      <c r="B741" s="15">
        <f>'Curvas SRY'!$B$10</f>
        <v>3</v>
      </c>
      <c r="C741" s="15">
        <f>'Curvas SRY'!$E$8</f>
        <v>0.75</v>
      </c>
      <c r="D741" s="14" t="str">
        <f>'Curvas SRY'!$B$14</f>
        <v>Uso variable</v>
      </c>
      <c r="E741" s="14">
        <f>18</f>
        <v>18</v>
      </c>
      <c r="F741" s="21">
        <f>'Hoja 4 - Cálculo'!A42</f>
        <v>30103</v>
      </c>
      <c r="G741" s="15">
        <f>'Hoja 4 - Cálculo'!H42</f>
        <v>18.321750000000002</v>
      </c>
      <c r="H741" s="15">
        <f>IF(D741="Uso único",'Hoja 4 - Cálculo'!I42,IF(D741="Uso múltiple",AVERAGE('Hoja 4 - Cálculo'!$I$25:$I$384)+AVERAGE('Hoja 4 - Cálculo'!$J$25:$J$384)+AVERAGE('Hoja 4 - Cálculo'!$K$25:$K$384),IF(D741="Uso prioritario",'Hoja 4 - Cálculo'!I42+'Hoja 4 - Cálculo'!K42,'Hoja 4 - Cálculo'!I42+'Hoja 4 - Cálculo'!J42+'Hoja 4 - Cálculo'!K42)))</f>
        <v>11.5</v>
      </c>
      <c r="I741" s="15">
        <f t="shared" si="162"/>
        <v>8.625</v>
      </c>
      <c r="J741" s="15">
        <f t="shared" si="169"/>
        <v>3</v>
      </c>
      <c r="K741" s="15">
        <f>MIN(J741+G741,(J741+G741)*'Hoja 4 - Cálculo'!$B$15)</f>
        <v>0.42643500000000006</v>
      </c>
      <c r="L741" s="15">
        <f t="shared" si="163"/>
        <v>20.895315</v>
      </c>
      <c r="M741" s="15">
        <f t="shared" si="164"/>
        <v>8.625</v>
      </c>
      <c r="N741" s="15">
        <f t="shared" si="165"/>
        <v>3</v>
      </c>
      <c r="O741" s="15">
        <f t="shared" si="166"/>
        <v>9.2703150000000001</v>
      </c>
      <c r="P741" s="15">
        <f t="shared" si="167"/>
        <v>0</v>
      </c>
      <c r="Q741" s="14" t="str">
        <f>IF(M741&gt;=I741*'Hoja 4 - Cálculo'!$B$16,"Satisfactorio","Falla")</f>
        <v>Satisfactorio</v>
      </c>
      <c r="R741" s="14">
        <f t="shared" si="170"/>
        <v>0</v>
      </c>
      <c r="S741" s="14">
        <f t="shared" si="171"/>
        <v>0</v>
      </c>
    </row>
    <row r="742" spans="1:19">
      <c r="A742" s="14" t="str">
        <f t="shared" si="168"/>
        <v>SRY-3-1</v>
      </c>
      <c r="B742" s="15">
        <f>'Curvas SRY'!$B$10</f>
        <v>3</v>
      </c>
      <c r="C742" s="15">
        <f>'Curvas SRY'!$E$8</f>
        <v>0.75</v>
      </c>
      <c r="D742" s="14" t="str">
        <f>'Curvas SRY'!$B$14</f>
        <v>Uso variable</v>
      </c>
      <c r="E742" s="14">
        <f>19</f>
        <v>19</v>
      </c>
      <c r="F742" s="21">
        <f>'Hoja 4 - Cálculo'!A43</f>
        <v>30133</v>
      </c>
      <c r="G742" s="15">
        <f>'Hoja 4 - Cálculo'!H43</f>
        <v>15.3765</v>
      </c>
      <c r="H742" s="15">
        <f>IF(D742="Uso único",'Hoja 4 - Cálculo'!I43,IF(D742="Uso múltiple",AVERAGE('Hoja 4 - Cálculo'!$I$25:$I$384)+AVERAGE('Hoja 4 - Cálculo'!$J$25:$J$384)+AVERAGE('Hoja 4 - Cálculo'!$K$25:$K$384),IF(D742="Uso prioritario",'Hoja 4 - Cálculo'!I43+'Hoja 4 - Cálculo'!K43,'Hoja 4 - Cálculo'!I43+'Hoja 4 - Cálculo'!J43+'Hoja 4 - Cálculo'!K43)))</f>
        <v>16</v>
      </c>
      <c r="I742" s="15">
        <f t="shared" si="162"/>
        <v>12</v>
      </c>
      <c r="J742" s="15">
        <f t="shared" si="169"/>
        <v>3</v>
      </c>
      <c r="K742" s="15">
        <f>MIN(J742+G742,(J742+G742)*'Hoja 4 - Cálculo'!$B$15)</f>
        <v>0.36753000000000002</v>
      </c>
      <c r="L742" s="15">
        <f t="shared" si="163"/>
        <v>18.008970000000001</v>
      </c>
      <c r="M742" s="15">
        <f t="shared" si="164"/>
        <v>12</v>
      </c>
      <c r="N742" s="15">
        <f t="shared" si="165"/>
        <v>3</v>
      </c>
      <c r="O742" s="15">
        <f t="shared" si="166"/>
        <v>3.0089700000000015</v>
      </c>
      <c r="P742" s="15">
        <f t="shared" si="167"/>
        <v>0</v>
      </c>
      <c r="Q742" s="14" t="str">
        <f>IF(M742&gt;=I742*'Hoja 4 - Cálculo'!$B$16,"Satisfactorio","Falla")</f>
        <v>Satisfactorio</v>
      </c>
      <c r="R742" s="14">
        <f t="shared" si="170"/>
        <v>0</v>
      </c>
      <c r="S742" s="14">
        <f t="shared" si="171"/>
        <v>0</v>
      </c>
    </row>
    <row r="743" spans="1:19">
      <c r="A743" s="14" t="str">
        <f t="shared" si="168"/>
        <v>SRY-3-1</v>
      </c>
      <c r="B743" s="15">
        <f>'Curvas SRY'!$B$10</f>
        <v>3</v>
      </c>
      <c r="C743" s="15">
        <f>'Curvas SRY'!$E$8</f>
        <v>0.75</v>
      </c>
      <c r="D743" s="14" t="str">
        <f>'Curvas SRY'!$B$14</f>
        <v>Uso variable</v>
      </c>
      <c r="E743" s="14">
        <f>20</f>
        <v>20</v>
      </c>
      <c r="F743" s="21">
        <f>'Hoja 4 - Cálculo'!A44</f>
        <v>30164</v>
      </c>
      <c r="G743" s="15">
        <f>'Hoja 4 - Cálculo'!H44</f>
        <v>16.466625000000001</v>
      </c>
      <c r="H743" s="15">
        <f>IF(D743="Uso único",'Hoja 4 - Cálculo'!I44,IF(D743="Uso múltiple",AVERAGE('Hoja 4 - Cálculo'!$I$25:$I$384)+AVERAGE('Hoja 4 - Cálculo'!$J$25:$J$384)+AVERAGE('Hoja 4 - Cálculo'!$K$25:$K$384),IF(D743="Uso prioritario",'Hoja 4 - Cálculo'!I44+'Hoja 4 - Cálculo'!K44,'Hoja 4 - Cálculo'!I44+'Hoja 4 - Cálculo'!J44+'Hoja 4 - Cálculo'!K44)))</f>
        <v>16</v>
      </c>
      <c r="I743" s="15">
        <f t="shared" si="162"/>
        <v>12</v>
      </c>
      <c r="J743" s="15">
        <f t="shared" si="169"/>
        <v>3</v>
      </c>
      <c r="K743" s="15">
        <f>MIN(J743+G743,(J743+G743)*'Hoja 4 - Cálculo'!$B$15)</f>
        <v>0.38933250000000003</v>
      </c>
      <c r="L743" s="15">
        <f t="shared" si="163"/>
        <v>19.077292500000002</v>
      </c>
      <c r="M743" s="15">
        <f t="shared" si="164"/>
        <v>12</v>
      </c>
      <c r="N743" s="15">
        <f t="shared" si="165"/>
        <v>3</v>
      </c>
      <c r="O743" s="15">
        <f t="shared" si="166"/>
        <v>4.0772925000000022</v>
      </c>
      <c r="P743" s="15">
        <f t="shared" si="167"/>
        <v>0</v>
      </c>
      <c r="Q743" s="14" t="str">
        <f>IF(M743&gt;=I743*'Hoja 4 - Cálculo'!$B$16,"Satisfactorio","Falla")</f>
        <v>Satisfactorio</v>
      </c>
      <c r="R743" s="14">
        <f t="shared" si="170"/>
        <v>0</v>
      </c>
      <c r="S743" s="14">
        <f t="shared" si="171"/>
        <v>0</v>
      </c>
    </row>
    <row r="744" spans="1:19">
      <c r="A744" s="14" t="str">
        <f t="shared" si="168"/>
        <v>SRY-3-1</v>
      </c>
      <c r="B744" s="15">
        <f>'Curvas SRY'!$B$10</f>
        <v>3</v>
      </c>
      <c r="C744" s="15">
        <f>'Curvas SRY'!$E$8</f>
        <v>0.75</v>
      </c>
      <c r="D744" s="14" t="str">
        <f>'Curvas SRY'!$B$14</f>
        <v>Uso variable</v>
      </c>
      <c r="E744" s="14">
        <f>21</f>
        <v>21</v>
      </c>
      <c r="F744" s="21">
        <f>'Hoja 4 - Cálculo'!A45</f>
        <v>30195</v>
      </c>
      <c r="G744" s="15">
        <f>'Hoja 4 - Cálculo'!H45</f>
        <v>25.837875</v>
      </c>
      <c r="H744" s="15">
        <f>IF(D744="Uso único",'Hoja 4 - Cálculo'!I45,IF(D744="Uso múltiple",AVERAGE('Hoja 4 - Cálculo'!$I$25:$I$384)+AVERAGE('Hoja 4 - Cálculo'!$J$25:$J$384)+AVERAGE('Hoja 4 - Cálculo'!$K$25:$K$384),IF(D744="Uso prioritario",'Hoja 4 - Cálculo'!I45+'Hoja 4 - Cálculo'!K45,'Hoja 4 - Cálculo'!I45+'Hoja 4 - Cálculo'!J45+'Hoja 4 - Cálculo'!K45)))</f>
        <v>11.5</v>
      </c>
      <c r="I744" s="15">
        <f t="shared" si="162"/>
        <v>8.625</v>
      </c>
      <c r="J744" s="15">
        <f t="shared" si="169"/>
        <v>3</v>
      </c>
      <c r="K744" s="15">
        <f>MIN(J744+G744,(J744+G744)*'Hoja 4 - Cálculo'!$B$15)</f>
        <v>0.57675750000000003</v>
      </c>
      <c r="L744" s="15">
        <f t="shared" si="163"/>
        <v>28.261117500000001</v>
      </c>
      <c r="M744" s="15">
        <f t="shared" si="164"/>
        <v>8.625</v>
      </c>
      <c r="N744" s="15">
        <f t="shared" si="165"/>
        <v>3</v>
      </c>
      <c r="O744" s="15">
        <f t="shared" si="166"/>
        <v>16.636117500000001</v>
      </c>
      <c r="P744" s="15">
        <f t="shared" si="167"/>
        <v>0</v>
      </c>
      <c r="Q744" s="14" t="str">
        <f>IF(M744&gt;=I744*'Hoja 4 - Cálculo'!$B$16,"Satisfactorio","Falla")</f>
        <v>Satisfactorio</v>
      </c>
      <c r="R744" s="14">
        <f t="shared" si="170"/>
        <v>0</v>
      </c>
      <c r="S744" s="14">
        <f t="shared" si="171"/>
        <v>0</v>
      </c>
    </row>
    <row r="745" spans="1:19">
      <c r="A745" s="14" t="str">
        <f t="shared" si="168"/>
        <v>SRY-3-1</v>
      </c>
      <c r="B745" s="15">
        <f>'Curvas SRY'!$B$10</f>
        <v>3</v>
      </c>
      <c r="C745" s="15">
        <f>'Curvas SRY'!$E$8</f>
        <v>0.75</v>
      </c>
      <c r="D745" s="14" t="str">
        <f>'Curvas SRY'!$B$14</f>
        <v>Uso variable</v>
      </c>
      <c r="E745" s="14">
        <f>22</f>
        <v>22</v>
      </c>
      <c r="F745" s="21">
        <f>'Hoja 4 - Cálculo'!A46</f>
        <v>30225</v>
      </c>
      <c r="G745" s="15">
        <f>'Hoja 4 - Cálculo'!H46</f>
        <v>33.46875</v>
      </c>
      <c r="H745" s="15">
        <f>IF(D745="Uso único",'Hoja 4 - Cálculo'!I46,IF(D745="Uso múltiple",AVERAGE('Hoja 4 - Cálculo'!$I$25:$I$384)+AVERAGE('Hoja 4 - Cálculo'!$J$25:$J$384)+AVERAGE('Hoja 4 - Cálculo'!$K$25:$K$384),IF(D745="Uso prioritario",'Hoja 4 - Cálculo'!I46+'Hoja 4 - Cálculo'!K46,'Hoja 4 - Cálculo'!I46+'Hoja 4 - Cálculo'!J46+'Hoja 4 - Cálculo'!K46)))</f>
        <v>11.5</v>
      </c>
      <c r="I745" s="15">
        <f t="shared" si="162"/>
        <v>8.625</v>
      </c>
      <c r="J745" s="15">
        <f t="shared" si="169"/>
        <v>3</v>
      </c>
      <c r="K745" s="15">
        <f>MIN(J745+G745,(J745+G745)*'Hoja 4 - Cálculo'!$B$15)</f>
        <v>0.729375</v>
      </c>
      <c r="L745" s="15">
        <f t="shared" si="163"/>
        <v>35.739375000000003</v>
      </c>
      <c r="M745" s="15">
        <f t="shared" si="164"/>
        <v>8.625</v>
      </c>
      <c r="N745" s="15">
        <f t="shared" si="165"/>
        <v>3</v>
      </c>
      <c r="O745" s="15">
        <f t="shared" si="166"/>
        <v>24.114375000000003</v>
      </c>
      <c r="P745" s="15">
        <f t="shared" si="167"/>
        <v>0</v>
      </c>
      <c r="Q745" s="14" t="str">
        <f>IF(M745&gt;=I745*'Hoja 4 - Cálculo'!$B$16,"Satisfactorio","Falla")</f>
        <v>Satisfactorio</v>
      </c>
      <c r="R745" s="14">
        <f t="shared" si="170"/>
        <v>0</v>
      </c>
      <c r="S745" s="14">
        <f t="shared" si="171"/>
        <v>0</v>
      </c>
    </row>
    <row r="746" spans="1:19">
      <c r="A746" s="14" t="str">
        <f t="shared" si="168"/>
        <v>SRY-3-1</v>
      </c>
      <c r="B746" s="15">
        <f>'Curvas SRY'!$B$10</f>
        <v>3</v>
      </c>
      <c r="C746" s="15">
        <f>'Curvas SRY'!$E$8</f>
        <v>0.75</v>
      </c>
      <c r="D746" s="14" t="str">
        <f>'Curvas SRY'!$B$14</f>
        <v>Uso variable</v>
      </c>
      <c r="E746" s="14">
        <f>23</f>
        <v>23</v>
      </c>
      <c r="F746" s="21">
        <f>'Hoja 4 - Cálculo'!A47</f>
        <v>30256</v>
      </c>
      <c r="G746" s="15">
        <f>'Hoja 4 - Cálculo'!H47</f>
        <v>27.578250000000001</v>
      </c>
      <c r="H746" s="15">
        <f>IF(D746="Uso único",'Hoja 4 - Cálculo'!I47,IF(D746="Uso múltiple",AVERAGE('Hoja 4 - Cálculo'!$I$25:$I$384)+AVERAGE('Hoja 4 - Cálculo'!$J$25:$J$384)+AVERAGE('Hoja 4 - Cálculo'!$K$25:$K$384),IF(D746="Uso prioritario",'Hoja 4 - Cálculo'!I47+'Hoja 4 - Cálculo'!K47,'Hoja 4 - Cálculo'!I47+'Hoja 4 - Cálculo'!J47+'Hoja 4 - Cálculo'!K47)))</f>
        <v>11.5</v>
      </c>
      <c r="I746" s="15">
        <f t="shared" si="162"/>
        <v>8.625</v>
      </c>
      <c r="J746" s="15">
        <f t="shared" si="169"/>
        <v>3</v>
      </c>
      <c r="K746" s="15">
        <f>MIN(J746+G746,(J746+G746)*'Hoja 4 - Cálculo'!$B$15)</f>
        <v>0.61156500000000003</v>
      </c>
      <c r="L746" s="15">
        <f t="shared" si="163"/>
        <v>29.966685000000002</v>
      </c>
      <c r="M746" s="15">
        <f t="shared" si="164"/>
        <v>8.625</v>
      </c>
      <c r="N746" s="15">
        <f t="shared" si="165"/>
        <v>3</v>
      </c>
      <c r="O746" s="15">
        <f t="shared" si="166"/>
        <v>18.341685000000002</v>
      </c>
      <c r="P746" s="15">
        <f t="shared" si="167"/>
        <v>0</v>
      </c>
      <c r="Q746" s="14" t="str">
        <f>IF(M746&gt;=I746*'Hoja 4 - Cálculo'!$B$16,"Satisfactorio","Falla")</f>
        <v>Satisfactorio</v>
      </c>
      <c r="R746" s="14">
        <f t="shared" si="170"/>
        <v>0</v>
      </c>
      <c r="S746" s="14">
        <f t="shared" si="171"/>
        <v>0</v>
      </c>
    </row>
    <row r="747" spans="1:19">
      <c r="A747" s="14" t="str">
        <f t="shared" si="168"/>
        <v>SRY-3-1</v>
      </c>
      <c r="B747" s="15">
        <f>'Curvas SRY'!$B$10</f>
        <v>3</v>
      </c>
      <c r="C747" s="15">
        <f>'Curvas SRY'!$E$8</f>
        <v>0.75</v>
      </c>
      <c r="D747" s="14" t="str">
        <f>'Curvas SRY'!$B$14</f>
        <v>Uso variable</v>
      </c>
      <c r="E747" s="14">
        <f>24</f>
        <v>24</v>
      </c>
      <c r="F747" s="21">
        <f>'Hoja 4 - Cálculo'!A48</f>
        <v>30286</v>
      </c>
      <c r="G747" s="15">
        <f>'Hoja 4 - Cálculo'!H48</f>
        <v>16.256250000000001</v>
      </c>
      <c r="H747" s="15">
        <f>IF(D747="Uso único",'Hoja 4 - Cálculo'!I48,IF(D747="Uso múltiple",AVERAGE('Hoja 4 - Cálculo'!$I$25:$I$384)+AVERAGE('Hoja 4 - Cálculo'!$J$25:$J$384)+AVERAGE('Hoja 4 - Cálculo'!$K$25:$K$384),IF(D747="Uso prioritario",'Hoja 4 - Cálculo'!I48+'Hoja 4 - Cálculo'!K48,'Hoja 4 - Cálculo'!I48+'Hoja 4 - Cálculo'!J48+'Hoja 4 - Cálculo'!K48)))</f>
        <v>16</v>
      </c>
      <c r="I747" s="15">
        <f t="shared" si="162"/>
        <v>12</v>
      </c>
      <c r="J747" s="15">
        <f t="shared" si="169"/>
        <v>3</v>
      </c>
      <c r="K747" s="15">
        <f>MIN(J747+G747,(J747+G747)*'Hoja 4 - Cálculo'!$B$15)</f>
        <v>0.38512500000000005</v>
      </c>
      <c r="L747" s="15">
        <f t="shared" si="163"/>
        <v>18.871125000000003</v>
      </c>
      <c r="M747" s="15">
        <f t="shared" si="164"/>
        <v>12</v>
      </c>
      <c r="N747" s="15">
        <f t="shared" si="165"/>
        <v>3</v>
      </c>
      <c r="O747" s="15">
        <f t="shared" si="166"/>
        <v>3.8711250000000028</v>
      </c>
      <c r="P747" s="15">
        <f t="shared" si="167"/>
        <v>0</v>
      </c>
      <c r="Q747" s="14" t="str">
        <f>IF(M747&gt;=I747*'Hoja 4 - Cálculo'!$B$16,"Satisfactorio","Falla")</f>
        <v>Satisfactorio</v>
      </c>
      <c r="R747" s="14">
        <f t="shared" si="170"/>
        <v>0</v>
      </c>
      <c r="S747" s="14">
        <f t="shared" si="171"/>
        <v>0</v>
      </c>
    </row>
    <row r="748" spans="1:19">
      <c r="A748" s="14" t="str">
        <f t="shared" si="168"/>
        <v>SRY-3-1</v>
      </c>
      <c r="B748" s="15">
        <f>'Curvas SRY'!$B$10</f>
        <v>3</v>
      </c>
      <c r="C748" s="15">
        <f>'Curvas SRY'!$E$8</f>
        <v>0.75</v>
      </c>
      <c r="D748" s="14" t="str">
        <f>'Curvas SRY'!$B$14</f>
        <v>Uso variable</v>
      </c>
      <c r="E748" s="14">
        <f>25</f>
        <v>25</v>
      </c>
      <c r="F748" s="21">
        <f>'Hoja 4 - Cálculo'!A49</f>
        <v>30317</v>
      </c>
      <c r="G748" s="15">
        <f>'Hoja 4 - Cálculo'!H49</f>
        <v>12.775499999999999</v>
      </c>
      <c r="H748" s="15">
        <f>IF(D748="Uso único",'Hoja 4 - Cálculo'!I49,IF(D748="Uso múltiple",AVERAGE('Hoja 4 - Cálculo'!$I$25:$I$384)+AVERAGE('Hoja 4 - Cálculo'!$J$25:$J$384)+AVERAGE('Hoja 4 - Cálculo'!$K$25:$K$384),IF(D748="Uso prioritario",'Hoja 4 - Cálculo'!I49+'Hoja 4 - Cálculo'!K49,'Hoja 4 - Cálculo'!I49+'Hoja 4 - Cálculo'!J49+'Hoja 4 - Cálculo'!K49)))</f>
        <v>16</v>
      </c>
      <c r="I748" s="15">
        <f t="shared" si="162"/>
        <v>12</v>
      </c>
      <c r="J748" s="15">
        <f t="shared" si="169"/>
        <v>3</v>
      </c>
      <c r="K748" s="15">
        <f>MIN(J748+G748,(J748+G748)*'Hoja 4 - Cálculo'!$B$15)</f>
        <v>0.31551000000000001</v>
      </c>
      <c r="L748" s="15">
        <f t="shared" si="163"/>
        <v>15.459989999999999</v>
      </c>
      <c r="M748" s="15">
        <f t="shared" si="164"/>
        <v>12</v>
      </c>
      <c r="N748" s="15">
        <f t="shared" si="165"/>
        <v>3</v>
      </c>
      <c r="O748" s="15">
        <f t="shared" si="166"/>
        <v>0.45998999999999945</v>
      </c>
      <c r="P748" s="15">
        <f t="shared" si="167"/>
        <v>0</v>
      </c>
      <c r="Q748" s="14" t="str">
        <f>IF(M748&gt;=I748*'Hoja 4 - Cálculo'!$B$16,"Satisfactorio","Falla")</f>
        <v>Satisfactorio</v>
      </c>
      <c r="R748" s="14">
        <f t="shared" si="170"/>
        <v>0</v>
      </c>
      <c r="S748" s="14">
        <f t="shared" si="171"/>
        <v>0</v>
      </c>
    </row>
    <row r="749" spans="1:19">
      <c r="A749" s="14" t="str">
        <f t="shared" si="168"/>
        <v>SRY-3-1</v>
      </c>
      <c r="B749" s="15">
        <f>'Curvas SRY'!$B$10</f>
        <v>3</v>
      </c>
      <c r="C749" s="15">
        <f>'Curvas SRY'!$E$8</f>
        <v>0.75</v>
      </c>
      <c r="D749" s="14" t="str">
        <f>'Curvas SRY'!$B$14</f>
        <v>Uso variable</v>
      </c>
      <c r="E749" s="14">
        <f>26</f>
        <v>26</v>
      </c>
      <c r="F749" s="21">
        <f>'Hoja 4 - Cálculo'!A50</f>
        <v>30348</v>
      </c>
      <c r="G749" s="15">
        <f>'Hoja 4 - Cálculo'!H50</f>
        <v>14.49675</v>
      </c>
      <c r="H749" s="15">
        <f>IF(D749="Uso único",'Hoja 4 - Cálculo'!I50,IF(D749="Uso múltiple",AVERAGE('Hoja 4 - Cálculo'!$I$25:$I$384)+AVERAGE('Hoja 4 - Cálculo'!$J$25:$J$384)+AVERAGE('Hoja 4 - Cálculo'!$K$25:$K$384),IF(D749="Uso prioritario",'Hoja 4 - Cálculo'!I50+'Hoja 4 - Cálculo'!K50,'Hoja 4 - Cálculo'!I50+'Hoja 4 - Cálculo'!J50+'Hoja 4 - Cálculo'!K50)))</f>
        <v>16</v>
      </c>
      <c r="I749" s="15">
        <f t="shared" si="162"/>
        <v>12</v>
      </c>
      <c r="J749" s="15">
        <f t="shared" si="169"/>
        <v>3</v>
      </c>
      <c r="K749" s="15">
        <f>MIN(J749+G749,(J749+G749)*'Hoja 4 - Cálculo'!$B$15)</f>
        <v>0.349935</v>
      </c>
      <c r="L749" s="15">
        <f t="shared" si="163"/>
        <v>17.146815</v>
      </c>
      <c r="M749" s="15">
        <f t="shared" si="164"/>
        <v>12</v>
      </c>
      <c r="N749" s="15">
        <f t="shared" si="165"/>
        <v>3</v>
      </c>
      <c r="O749" s="15">
        <f t="shared" si="166"/>
        <v>2.1468150000000001</v>
      </c>
      <c r="P749" s="15">
        <f t="shared" si="167"/>
        <v>0</v>
      </c>
      <c r="Q749" s="14" t="str">
        <f>IF(M749&gt;=I749*'Hoja 4 - Cálculo'!$B$16,"Satisfactorio","Falla")</f>
        <v>Satisfactorio</v>
      </c>
      <c r="R749" s="14">
        <f t="shared" si="170"/>
        <v>0</v>
      </c>
      <c r="S749" s="14">
        <f t="shared" si="171"/>
        <v>0</v>
      </c>
    </row>
    <row r="750" spans="1:19">
      <c r="A750" s="14" t="str">
        <f t="shared" si="168"/>
        <v>SRY-3-1</v>
      </c>
      <c r="B750" s="15">
        <f>'Curvas SRY'!$B$10</f>
        <v>3</v>
      </c>
      <c r="C750" s="15">
        <f>'Curvas SRY'!$E$8</f>
        <v>0.75</v>
      </c>
      <c r="D750" s="14" t="str">
        <f>'Curvas SRY'!$B$14</f>
        <v>Uso variable</v>
      </c>
      <c r="E750" s="14">
        <f>27</f>
        <v>27</v>
      </c>
      <c r="F750" s="21">
        <f>'Hoja 4 - Cálculo'!A51</f>
        <v>30376</v>
      </c>
      <c r="G750" s="15">
        <f>'Hoja 4 - Cálculo'!H51</f>
        <v>21.936375000000002</v>
      </c>
      <c r="H750" s="15">
        <f>IF(D750="Uso único",'Hoja 4 - Cálculo'!I51,IF(D750="Uso múltiple",AVERAGE('Hoja 4 - Cálculo'!$I$25:$I$384)+AVERAGE('Hoja 4 - Cálculo'!$J$25:$J$384)+AVERAGE('Hoja 4 - Cálculo'!$K$25:$K$384),IF(D750="Uso prioritario",'Hoja 4 - Cálculo'!I51+'Hoja 4 - Cálculo'!K51,'Hoja 4 - Cálculo'!I51+'Hoja 4 - Cálculo'!J51+'Hoja 4 - Cálculo'!K51)))</f>
        <v>16</v>
      </c>
      <c r="I750" s="15">
        <f t="shared" si="162"/>
        <v>12</v>
      </c>
      <c r="J750" s="15">
        <f t="shared" si="169"/>
        <v>3</v>
      </c>
      <c r="K750" s="15">
        <f>MIN(J750+G750,(J750+G750)*'Hoja 4 - Cálculo'!$B$15)</f>
        <v>0.49872750000000005</v>
      </c>
      <c r="L750" s="15">
        <f t="shared" si="163"/>
        <v>24.437647500000001</v>
      </c>
      <c r="M750" s="15">
        <f t="shared" si="164"/>
        <v>12</v>
      </c>
      <c r="N750" s="15">
        <f t="shared" si="165"/>
        <v>3</v>
      </c>
      <c r="O750" s="15">
        <f t="shared" si="166"/>
        <v>9.4376475000000006</v>
      </c>
      <c r="P750" s="15">
        <f t="shared" si="167"/>
        <v>0</v>
      </c>
      <c r="Q750" s="14" t="str">
        <f>IF(M750&gt;=I750*'Hoja 4 - Cálculo'!$B$16,"Satisfactorio","Falla")</f>
        <v>Satisfactorio</v>
      </c>
      <c r="R750" s="14">
        <f t="shared" si="170"/>
        <v>0</v>
      </c>
      <c r="S750" s="14">
        <f t="shared" si="171"/>
        <v>0</v>
      </c>
    </row>
    <row r="751" spans="1:19">
      <c r="A751" s="14" t="str">
        <f t="shared" si="168"/>
        <v>SRY-3-1</v>
      </c>
      <c r="B751" s="15">
        <f>'Curvas SRY'!$B$10</f>
        <v>3</v>
      </c>
      <c r="C751" s="15">
        <f>'Curvas SRY'!$E$8</f>
        <v>0.75</v>
      </c>
      <c r="D751" s="14" t="str">
        <f>'Curvas SRY'!$B$14</f>
        <v>Uso variable</v>
      </c>
      <c r="E751" s="14">
        <f>28</f>
        <v>28</v>
      </c>
      <c r="F751" s="21">
        <f>'Hoja 4 - Cálculo'!A52</f>
        <v>30407</v>
      </c>
      <c r="G751" s="15">
        <f>'Hoja 4 - Cálculo'!H52</f>
        <v>32.263874999999999</v>
      </c>
      <c r="H751" s="15">
        <f>IF(D751="Uso único",'Hoja 4 - Cálculo'!I52,IF(D751="Uso múltiple",AVERAGE('Hoja 4 - Cálculo'!$I$25:$I$384)+AVERAGE('Hoja 4 - Cálculo'!$J$25:$J$384)+AVERAGE('Hoja 4 - Cálculo'!$K$25:$K$384),IF(D751="Uso prioritario",'Hoja 4 - Cálculo'!I52+'Hoja 4 - Cálculo'!K52,'Hoja 4 - Cálculo'!I52+'Hoja 4 - Cálculo'!J52+'Hoja 4 - Cálculo'!K52)))</f>
        <v>11.5</v>
      </c>
      <c r="I751" s="15">
        <f t="shared" si="162"/>
        <v>8.625</v>
      </c>
      <c r="J751" s="15">
        <f t="shared" si="169"/>
        <v>3</v>
      </c>
      <c r="K751" s="15">
        <f>MIN(J751+G751,(J751+G751)*'Hoja 4 - Cálculo'!$B$15)</f>
        <v>0.7052775</v>
      </c>
      <c r="L751" s="15">
        <f t="shared" si="163"/>
        <v>34.558597499999998</v>
      </c>
      <c r="M751" s="15">
        <f t="shared" si="164"/>
        <v>8.625</v>
      </c>
      <c r="N751" s="15">
        <f t="shared" si="165"/>
        <v>3</v>
      </c>
      <c r="O751" s="15">
        <f t="shared" si="166"/>
        <v>22.933597499999998</v>
      </c>
      <c r="P751" s="15">
        <f t="shared" si="167"/>
        <v>0</v>
      </c>
      <c r="Q751" s="14" t="str">
        <f>IF(M751&gt;=I751*'Hoja 4 - Cálculo'!$B$16,"Satisfactorio","Falla")</f>
        <v>Satisfactorio</v>
      </c>
      <c r="R751" s="14">
        <f t="shared" si="170"/>
        <v>0</v>
      </c>
      <c r="S751" s="14">
        <f t="shared" si="171"/>
        <v>0</v>
      </c>
    </row>
    <row r="752" spans="1:19">
      <c r="A752" s="14" t="str">
        <f t="shared" si="168"/>
        <v>SRY-3-1</v>
      </c>
      <c r="B752" s="15">
        <f>'Curvas SRY'!$B$10</f>
        <v>3</v>
      </c>
      <c r="C752" s="15">
        <f>'Curvas SRY'!$E$8</f>
        <v>0.75</v>
      </c>
      <c r="D752" s="14" t="str">
        <f>'Curvas SRY'!$B$14</f>
        <v>Uso variable</v>
      </c>
      <c r="E752" s="14">
        <f>29</f>
        <v>29</v>
      </c>
      <c r="F752" s="21">
        <f>'Hoja 4 - Cálculo'!A53</f>
        <v>30437</v>
      </c>
      <c r="G752" s="15">
        <f>'Hoja 4 - Cálculo'!H53</f>
        <v>29.356874999999999</v>
      </c>
      <c r="H752" s="15">
        <f>IF(D752="Uso único",'Hoja 4 - Cálculo'!I53,IF(D752="Uso múltiple",AVERAGE('Hoja 4 - Cálculo'!$I$25:$I$384)+AVERAGE('Hoja 4 - Cálculo'!$J$25:$J$384)+AVERAGE('Hoja 4 - Cálculo'!$K$25:$K$384),IF(D752="Uso prioritario",'Hoja 4 - Cálculo'!I53+'Hoja 4 - Cálculo'!K53,'Hoja 4 - Cálculo'!I53+'Hoja 4 - Cálculo'!J53+'Hoja 4 - Cálculo'!K53)))</f>
        <v>11.5</v>
      </c>
      <c r="I752" s="15">
        <f t="shared" si="162"/>
        <v>8.625</v>
      </c>
      <c r="J752" s="15">
        <f t="shared" si="169"/>
        <v>3</v>
      </c>
      <c r="K752" s="15">
        <f>MIN(J752+G752,(J752+G752)*'Hoja 4 - Cálculo'!$B$15)</f>
        <v>0.64713750000000003</v>
      </c>
      <c r="L752" s="15">
        <f t="shared" si="163"/>
        <v>31.709737500000003</v>
      </c>
      <c r="M752" s="15">
        <f t="shared" si="164"/>
        <v>8.625</v>
      </c>
      <c r="N752" s="15">
        <f t="shared" si="165"/>
        <v>3</v>
      </c>
      <c r="O752" s="15">
        <f t="shared" si="166"/>
        <v>20.084737500000003</v>
      </c>
      <c r="P752" s="15">
        <f t="shared" si="167"/>
        <v>0</v>
      </c>
      <c r="Q752" s="14" t="str">
        <f>IF(M752&gt;=I752*'Hoja 4 - Cálculo'!$B$16,"Satisfactorio","Falla")</f>
        <v>Satisfactorio</v>
      </c>
      <c r="R752" s="14">
        <f t="shared" si="170"/>
        <v>0</v>
      </c>
      <c r="S752" s="14">
        <f t="shared" si="171"/>
        <v>0</v>
      </c>
    </row>
    <row r="753" spans="1:19">
      <c r="A753" s="14" t="str">
        <f t="shared" si="168"/>
        <v>SRY-3-1</v>
      </c>
      <c r="B753" s="15">
        <f>'Curvas SRY'!$B$10</f>
        <v>3</v>
      </c>
      <c r="C753" s="15">
        <f>'Curvas SRY'!$E$8</f>
        <v>0.75</v>
      </c>
      <c r="D753" s="14" t="str">
        <f>'Curvas SRY'!$B$14</f>
        <v>Uso variable</v>
      </c>
      <c r="E753" s="14">
        <f>30</f>
        <v>30</v>
      </c>
      <c r="F753" s="21">
        <f>'Hoja 4 - Cálculo'!A54</f>
        <v>30468</v>
      </c>
      <c r="G753" s="15">
        <f>'Hoja 4 - Cálculo'!H54</f>
        <v>17.212499999999999</v>
      </c>
      <c r="H753" s="15">
        <f>IF(D753="Uso único",'Hoja 4 - Cálculo'!I54,IF(D753="Uso múltiple",AVERAGE('Hoja 4 - Cálculo'!$I$25:$I$384)+AVERAGE('Hoja 4 - Cálculo'!$J$25:$J$384)+AVERAGE('Hoja 4 - Cálculo'!$K$25:$K$384),IF(D753="Uso prioritario",'Hoja 4 - Cálculo'!I54+'Hoja 4 - Cálculo'!K54,'Hoja 4 - Cálculo'!I54+'Hoja 4 - Cálculo'!J54+'Hoja 4 - Cálculo'!K54)))</f>
        <v>11.5</v>
      </c>
      <c r="I753" s="15">
        <f t="shared" si="162"/>
        <v>8.625</v>
      </c>
      <c r="J753" s="15">
        <f t="shared" si="169"/>
        <v>3</v>
      </c>
      <c r="K753" s="15">
        <f>MIN(J753+G753,(J753+G753)*'Hoja 4 - Cálculo'!$B$15)</f>
        <v>0.40425</v>
      </c>
      <c r="L753" s="15">
        <f t="shared" si="163"/>
        <v>19.808249999999997</v>
      </c>
      <c r="M753" s="15">
        <f t="shared" si="164"/>
        <v>8.625</v>
      </c>
      <c r="N753" s="15">
        <f t="shared" si="165"/>
        <v>3</v>
      </c>
      <c r="O753" s="15">
        <f t="shared" si="166"/>
        <v>8.1832499999999975</v>
      </c>
      <c r="P753" s="15">
        <f t="shared" si="167"/>
        <v>0</v>
      </c>
      <c r="Q753" s="14" t="str">
        <f>IF(M753&gt;=I753*'Hoja 4 - Cálculo'!$B$16,"Satisfactorio","Falla")</f>
        <v>Satisfactorio</v>
      </c>
      <c r="R753" s="14">
        <f t="shared" si="170"/>
        <v>0</v>
      </c>
      <c r="S753" s="14">
        <f t="shared" si="171"/>
        <v>0</v>
      </c>
    </row>
    <row r="754" spans="1:19">
      <c r="A754" s="14" t="str">
        <f t="shared" si="168"/>
        <v>SRY-3-1</v>
      </c>
      <c r="B754" s="15">
        <f>'Curvas SRY'!$B$10</f>
        <v>3</v>
      </c>
      <c r="C754" s="15">
        <f>'Curvas SRY'!$E$8</f>
        <v>0.75</v>
      </c>
      <c r="D754" s="14" t="str">
        <f>'Curvas SRY'!$B$14</f>
        <v>Uso variable</v>
      </c>
      <c r="E754" s="14">
        <f>31</f>
        <v>31</v>
      </c>
      <c r="F754" s="21">
        <f>'Hoja 4 - Cálculo'!A55</f>
        <v>30498</v>
      </c>
      <c r="G754" s="15">
        <f>'Hoja 4 - Cálculo'!H55</f>
        <v>13.597875</v>
      </c>
      <c r="H754" s="15">
        <f>IF(D754="Uso único",'Hoja 4 - Cálculo'!I55,IF(D754="Uso múltiple",AVERAGE('Hoja 4 - Cálculo'!$I$25:$I$384)+AVERAGE('Hoja 4 - Cálculo'!$J$25:$J$384)+AVERAGE('Hoja 4 - Cálculo'!$K$25:$K$384),IF(D754="Uso prioritario",'Hoja 4 - Cálculo'!I55+'Hoja 4 - Cálculo'!K55,'Hoja 4 - Cálculo'!I55+'Hoja 4 - Cálculo'!J55+'Hoja 4 - Cálculo'!K55)))</f>
        <v>16</v>
      </c>
      <c r="I754" s="15">
        <f t="shared" si="162"/>
        <v>12</v>
      </c>
      <c r="J754" s="15">
        <f t="shared" si="169"/>
        <v>3</v>
      </c>
      <c r="K754" s="15">
        <f>MIN(J754+G754,(J754+G754)*'Hoja 4 - Cálculo'!$B$15)</f>
        <v>0.33195750000000007</v>
      </c>
      <c r="L754" s="15">
        <f t="shared" si="163"/>
        <v>16.2659175</v>
      </c>
      <c r="M754" s="15">
        <f t="shared" si="164"/>
        <v>12</v>
      </c>
      <c r="N754" s="15">
        <f t="shared" si="165"/>
        <v>3</v>
      </c>
      <c r="O754" s="15">
        <f t="shared" si="166"/>
        <v>1.2659175000000005</v>
      </c>
      <c r="P754" s="15">
        <f t="shared" si="167"/>
        <v>0</v>
      </c>
      <c r="Q754" s="14" t="str">
        <f>IF(M754&gt;=I754*'Hoja 4 - Cálculo'!$B$16,"Satisfactorio","Falla")</f>
        <v>Satisfactorio</v>
      </c>
      <c r="R754" s="14">
        <f t="shared" si="170"/>
        <v>0</v>
      </c>
      <c r="S754" s="14">
        <f t="shared" si="171"/>
        <v>0</v>
      </c>
    </row>
    <row r="755" spans="1:19">
      <c r="A755" s="14" t="str">
        <f t="shared" si="168"/>
        <v>SRY-3-1</v>
      </c>
      <c r="B755" s="15">
        <f>'Curvas SRY'!$B$10</f>
        <v>3</v>
      </c>
      <c r="C755" s="15">
        <f>'Curvas SRY'!$E$8</f>
        <v>0.75</v>
      </c>
      <c r="D755" s="14" t="str">
        <f>'Curvas SRY'!$B$14</f>
        <v>Uso variable</v>
      </c>
      <c r="E755" s="14">
        <f>32</f>
        <v>32</v>
      </c>
      <c r="F755" s="21">
        <f>'Hoja 4 - Cálculo'!A56</f>
        <v>30529</v>
      </c>
      <c r="G755" s="15">
        <f>'Hoja 4 - Cálculo'!H56</f>
        <v>14.592375000000001</v>
      </c>
      <c r="H755" s="15">
        <f>IF(D755="Uso único",'Hoja 4 - Cálculo'!I56,IF(D755="Uso múltiple",AVERAGE('Hoja 4 - Cálculo'!$I$25:$I$384)+AVERAGE('Hoja 4 - Cálculo'!$J$25:$J$384)+AVERAGE('Hoja 4 - Cálculo'!$K$25:$K$384),IF(D755="Uso prioritario",'Hoja 4 - Cálculo'!I56+'Hoja 4 - Cálculo'!K56,'Hoja 4 - Cálculo'!I56+'Hoja 4 - Cálculo'!J56+'Hoja 4 - Cálculo'!K56)))</f>
        <v>16</v>
      </c>
      <c r="I755" s="15">
        <f t="shared" si="162"/>
        <v>12</v>
      </c>
      <c r="J755" s="15">
        <f t="shared" si="169"/>
        <v>3</v>
      </c>
      <c r="K755" s="15">
        <f>MIN(J755+G755,(J755+G755)*'Hoja 4 - Cálculo'!$B$15)</f>
        <v>0.35184750000000004</v>
      </c>
      <c r="L755" s="15">
        <f t="shared" si="163"/>
        <v>17.240527499999999</v>
      </c>
      <c r="M755" s="15">
        <f t="shared" si="164"/>
        <v>12</v>
      </c>
      <c r="N755" s="15">
        <f t="shared" si="165"/>
        <v>3</v>
      </c>
      <c r="O755" s="15">
        <f t="shared" si="166"/>
        <v>2.2405274999999989</v>
      </c>
      <c r="P755" s="15">
        <f t="shared" si="167"/>
        <v>0</v>
      </c>
      <c r="Q755" s="14" t="str">
        <f>IF(M755&gt;=I755*'Hoja 4 - Cálculo'!$B$16,"Satisfactorio","Falla")</f>
        <v>Satisfactorio</v>
      </c>
      <c r="R755" s="14">
        <f t="shared" si="170"/>
        <v>0</v>
      </c>
      <c r="S755" s="14">
        <f t="shared" si="171"/>
        <v>0</v>
      </c>
    </row>
    <row r="756" spans="1:19">
      <c r="A756" s="14" t="str">
        <f t="shared" ref="A756:A787" si="172">"SRY-3-1"</f>
        <v>SRY-3-1</v>
      </c>
      <c r="B756" s="15">
        <f>'Curvas SRY'!$B$10</f>
        <v>3</v>
      </c>
      <c r="C756" s="15">
        <f>'Curvas SRY'!$E$8</f>
        <v>0.75</v>
      </c>
      <c r="D756" s="14" t="str">
        <f>'Curvas SRY'!$B$14</f>
        <v>Uso variable</v>
      </c>
      <c r="E756" s="14">
        <f>33</f>
        <v>33</v>
      </c>
      <c r="F756" s="21">
        <f>'Hoja 4 - Cálculo'!A57</f>
        <v>30560</v>
      </c>
      <c r="G756" s="15">
        <f>'Hoja 4 - Cálculo'!H57</f>
        <v>24.307874999999999</v>
      </c>
      <c r="H756" s="15">
        <f>IF(D756="Uso único",'Hoja 4 - Cálculo'!I57,IF(D756="Uso múltiple",AVERAGE('Hoja 4 - Cálculo'!$I$25:$I$384)+AVERAGE('Hoja 4 - Cálculo'!$J$25:$J$384)+AVERAGE('Hoja 4 - Cálculo'!$K$25:$K$384),IF(D756="Uso prioritario",'Hoja 4 - Cálculo'!I57+'Hoja 4 - Cálculo'!K57,'Hoja 4 - Cálculo'!I57+'Hoja 4 - Cálculo'!J57+'Hoja 4 - Cálculo'!K57)))</f>
        <v>11.5</v>
      </c>
      <c r="I756" s="15">
        <f t="shared" si="162"/>
        <v>8.625</v>
      </c>
      <c r="J756" s="15">
        <f t="shared" si="169"/>
        <v>3</v>
      </c>
      <c r="K756" s="15">
        <f>MIN(J756+G756,(J756+G756)*'Hoja 4 - Cálculo'!$B$15)</f>
        <v>0.54615749999999996</v>
      </c>
      <c r="L756" s="15">
        <f t="shared" si="163"/>
        <v>26.7617175</v>
      </c>
      <c r="M756" s="15">
        <f t="shared" si="164"/>
        <v>8.625</v>
      </c>
      <c r="N756" s="15">
        <f t="shared" si="165"/>
        <v>3</v>
      </c>
      <c r="O756" s="15">
        <f t="shared" si="166"/>
        <v>15.1367175</v>
      </c>
      <c r="P756" s="15">
        <f t="shared" si="167"/>
        <v>0</v>
      </c>
      <c r="Q756" s="14" t="str">
        <f>IF(M756&gt;=I756*'Hoja 4 - Cálculo'!$B$16,"Satisfactorio","Falla")</f>
        <v>Satisfactorio</v>
      </c>
      <c r="R756" s="14">
        <f t="shared" si="170"/>
        <v>0</v>
      </c>
      <c r="S756" s="14">
        <f t="shared" si="171"/>
        <v>0</v>
      </c>
    </row>
    <row r="757" spans="1:19">
      <c r="A757" s="14" t="str">
        <f t="shared" si="172"/>
        <v>SRY-3-1</v>
      </c>
      <c r="B757" s="15">
        <f>'Curvas SRY'!$B$10</f>
        <v>3</v>
      </c>
      <c r="C757" s="15">
        <f>'Curvas SRY'!$E$8</f>
        <v>0.75</v>
      </c>
      <c r="D757" s="14" t="str">
        <f>'Curvas SRY'!$B$14</f>
        <v>Uso variable</v>
      </c>
      <c r="E757" s="14">
        <f>34</f>
        <v>34</v>
      </c>
      <c r="F757" s="21">
        <f>'Hoja 4 - Cálculo'!A58</f>
        <v>30590</v>
      </c>
      <c r="G757" s="15">
        <f>'Hoja 4 - Cálculo'!H58</f>
        <v>33.564374999999998</v>
      </c>
      <c r="H757" s="15">
        <f>IF(D757="Uso único",'Hoja 4 - Cálculo'!I58,IF(D757="Uso múltiple",AVERAGE('Hoja 4 - Cálculo'!$I$25:$I$384)+AVERAGE('Hoja 4 - Cálculo'!$J$25:$J$384)+AVERAGE('Hoja 4 - Cálculo'!$K$25:$K$384),IF(D757="Uso prioritario",'Hoja 4 - Cálculo'!I58+'Hoja 4 - Cálculo'!K58,'Hoja 4 - Cálculo'!I58+'Hoja 4 - Cálculo'!J58+'Hoja 4 - Cálculo'!K58)))</f>
        <v>11.5</v>
      </c>
      <c r="I757" s="15">
        <f t="shared" si="162"/>
        <v>8.625</v>
      </c>
      <c r="J757" s="15">
        <f t="shared" ref="J757:J788" si="173">N756</f>
        <v>3</v>
      </c>
      <c r="K757" s="15">
        <f>MIN(J757+G757,(J757+G757)*'Hoja 4 - Cálculo'!$B$15)</f>
        <v>0.73128749999999998</v>
      </c>
      <c r="L757" s="15">
        <f t="shared" si="163"/>
        <v>35.833087499999998</v>
      </c>
      <c r="M757" s="15">
        <f t="shared" si="164"/>
        <v>8.625</v>
      </c>
      <c r="N757" s="15">
        <f t="shared" si="165"/>
        <v>3</v>
      </c>
      <c r="O757" s="15">
        <f t="shared" si="166"/>
        <v>24.208087499999998</v>
      </c>
      <c r="P757" s="15">
        <f t="shared" si="167"/>
        <v>0</v>
      </c>
      <c r="Q757" s="14" t="str">
        <f>IF(M757&gt;=I757*'Hoja 4 - Cálculo'!$B$16,"Satisfactorio","Falla")</f>
        <v>Satisfactorio</v>
      </c>
      <c r="R757" s="14">
        <f t="shared" ref="R757:R788" si="174">IF(AND(Q756="Falla",Q757="Satisfactorio"),1,0)</f>
        <v>0</v>
      </c>
      <c r="S757" s="14">
        <f t="shared" ref="S757:S788" si="175">IF(AND(Q757="Falla",Q756&lt;&gt;"Falla"),1,0)</f>
        <v>0</v>
      </c>
    </row>
    <row r="758" spans="1:19">
      <c r="A758" s="14" t="str">
        <f t="shared" si="172"/>
        <v>SRY-3-1</v>
      </c>
      <c r="B758" s="15">
        <f>'Curvas SRY'!$B$10</f>
        <v>3</v>
      </c>
      <c r="C758" s="15">
        <f>'Curvas SRY'!$E$8</f>
        <v>0.75</v>
      </c>
      <c r="D758" s="14" t="str">
        <f>'Curvas SRY'!$B$14</f>
        <v>Uso variable</v>
      </c>
      <c r="E758" s="14">
        <f>35</f>
        <v>35</v>
      </c>
      <c r="F758" s="21">
        <f>'Hoja 4 - Cálculo'!A59</f>
        <v>30621</v>
      </c>
      <c r="G758" s="15">
        <f>'Hoja 4 - Cálculo'!H59</f>
        <v>28.075500000000002</v>
      </c>
      <c r="H758" s="15">
        <f>IF(D758="Uso único",'Hoja 4 - Cálculo'!I59,IF(D758="Uso múltiple",AVERAGE('Hoja 4 - Cálculo'!$I$25:$I$384)+AVERAGE('Hoja 4 - Cálculo'!$J$25:$J$384)+AVERAGE('Hoja 4 - Cálculo'!$K$25:$K$384),IF(D758="Uso prioritario",'Hoja 4 - Cálculo'!I59+'Hoja 4 - Cálculo'!K59,'Hoja 4 - Cálculo'!I59+'Hoja 4 - Cálculo'!J59+'Hoja 4 - Cálculo'!K59)))</f>
        <v>11.5</v>
      </c>
      <c r="I758" s="15">
        <f t="shared" si="162"/>
        <v>8.625</v>
      </c>
      <c r="J758" s="15">
        <f t="shared" si="173"/>
        <v>3</v>
      </c>
      <c r="K758" s="15">
        <f>MIN(J758+G758,(J758+G758)*'Hoja 4 - Cálculo'!$B$15)</f>
        <v>0.62151000000000001</v>
      </c>
      <c r="L758" s="15">
        <f t="shared" si="163"/>
        <v>30.453990000000001</v>
      </c>
      <c r="M758" s="15">
        <f t="shared" si="164"/>
        <v>8.625</v>
      </c>
      <c r="N758" s="15">
        <f t="shared" si="165"/>
        <v>3</v>
      </c>
      <c r="O758" s="15">
        <f t="shared" si="166"/>
        <v>18.828990000000001</v>
      </c>
      <c r="P758" s="15">
        <f t="shared" si="167"/>
        <v>0</v>
      </c>
      <c r="Q758" s="14" t="str">
        <f>IF(M758&gt;=I758*'Hoja 4 - Cálculo'!$B$16,"Satisfactorio","Falla")</f>
        <v>Satisfactorio</v>
      </c>
      <c r="R758" s="14">
        <f t="shared" si="174"/>
        <v>0</v>
      </c>
      <c r="S758" s="14">
        <f t="shared" si="175"/>
        <v>0</v>
      </c>
    </row>
    <row r="759" spans="1:19">
      <c r="A759" s="14" t="str">
        <f t="shared" si="172"/>
        <v>SRY-3-1</v>
      </c>
      <c r="B759" s="15">
        <f>'Curvas SRY'!$B$10</f>
        <v>3</v>
      </c>
      <c r="C759" s="15">
        <f>'Curvas SRY'!$E$8</f>
        <v>0.75</v>
      </c>
      <c r="D759" s="14" t="str">
        <f>'Curvas SRY'!$B$14</f>
        <v>Uso variable</v>
      </c>
      <c r="E759" s="14">
        <f>36</f>
        <v>36</v>
      </c>
      <c r="F759" s="21">
        <f>'Hoja 4 - Cálculo'!A60</f>
        <v>30651</v>
      </c>
      <c r="G759" s="15">
        <f>'Hoja 4 - Cálculo'!H60</f>
        <v>15.931125</v>
      </c>
      <c r="H759" s="15">
        <f>IF(D759="Uso único",'Hoja 4 - Cálculo'!I60,IF(D759="Uso múltiple",AVERAGE('Hoja 4 - Cálculo'!$I$25:$I$384)+AVERAGE('Hoja 4 - Cálculo'!$J$25:$J$384)+AVERAGE('Hoja 4 - Cálculo'!$K$25:$K$384),IF(D759="Uso prioritario",'Hoja 4 - Cálculo'!I60+'Hoja 4 - Cálculo'!K60,'Hoja 4 - Cálculo'!I60+'Hoja 4 - Cálculo'!J60+'Hoja 4 - Cálculo'!K60)))</f>
        <v>16</v>
      </c>
      <c r="I759" s="15">
        <f t="shared" si="162"/>
        <v>12</v>
      </c>
      <c r="J759" s="15">
        <f t="shared" si="173"/>
        <v>3</v>
      </c>
      <c r="K759" s="15">
        <f>MIN(J759+G759,(J759+G759)*'Hoja 4 - Cálculo'!$B$15)</f>
        <v>0.37862250000000003</v>
      </c>
      <c r="L759" s="15">
        <f t="shared" si="163"/>
        <v>18.552502500000003</v>
      </c>
      <c r="M759" s="15">
        <f t="shared" si="164"/>
        <v>12</v>
      </c>
      <c r="N759" s="15">
        <f t="shared" si="165"/>
        <v>3</v>
      </c>
      <c r="O759" s="15">
        <f t="shared" si="166"/>
        <v>3.5525025000000028</v>
      </c>
      <c r="P759" s="15">
        <f t="shared" si="167"/>
        <v>0</v>
      </c>
      <c r="Q759" s="14" t="str">
        <f>IF(M759&gt;=I759*'Hoja 4 - Cálculo'!$B$16,"Satisfactorio","Falla")</f>
        <v>Satisfactorio</v>
      </c>
      <c r="R759" s="14">
        <f t="shared" si="174"/>
        <v>0</v>
      </c>
      <c r="S759" s="14">
        <f t="shared" si="175"/>
        <v>0</v>
      </c>
    </row>
    <row r="760" spans="1:19">
      <c r="A760" s="14" t="str">
        <f t="shared" si="172"/>
        <v>SRY-3-1</v>
      </c>
      <c r="B760" s="15">
        <f>'Curvas SRY'!$B$10</f>
        <v>3</v>
      </c>
      <c r="C760" s="15">
        <f>'Curvas SRY'!$E$8</f>
        <v>0.75</v>
      </c>
      <c r="D760" s="14" t="str">
        <f>'Curvas SRY'!$B$14</f>
        <v>Uso variable</v>
      </c>
      <c r="E760" s="14">
        <f>37</f>
        <v>37</v>
      </c>
      <c r="F760" s="21">
        <f>'Hoja 4 - Cálculo'!A61</f>
        <v>30682</v>
      </c>
      <c r="G760" s="15">
        <f>'Hoja 4 - Cálculo'!H61</f>
        <v>10.920375</v>
      </c>
      <c r="H760" s="15">
        <f>IF(D760="Uso único",'Hoja 4 - Cálculo'!I61,IF(D760="Uso múltiple",AVERAGE('Hoja 4 - Cálculo'!$I$25:$I$384)+AVERAGE('Hoja 4 - Cálculo'!$J$25:$J$384)+AVERAGE('Hoja 4 - Cálculo'!$K$25:$K$384),IF(D760="Uso prioritario",'Hoja 4 - Cálculo'!I61+'Hoja 4 - Cálculo'!K61,'Hoja 4 - Cálculo'!I61+'Hoja 4 - Cálculo'!J61+'Hoja 4 - Cálculo'!K61)))</f>
        <v>16</v>
      </c>
      <c r="I760" s="15">
        <f t="shared" si="162"/>
        <v>12</v>
      </c>
      <c r="J760" s="15">
        <f t="shared" si="173"/>
        <v>3</v>
      </c>
      <c r="K760" s="15">
        <f>MIN(J760+G760,(J760+G760)*'Hoja 4 - Cálculo'!$B$15)</f>
        <v>0.27840750000000003</v>
      </c>
      <c r="L760" s="15">
        <f t="shared" si="163"/>
        <v>13.6419675</v>
      </c>
      <c r="M760" s="15">
        <f t="shared" si="164"/>
        <v>12</v>
      </c>
      <c r="N760" s="15">
        <f t="shared" si="165"/>
        <v>1.6419674999999998</v>
      </c>
      <c r="O760" s="15">
        <f t="shared" si="166"/>
        <v>0</v>
      </c>
      <c r="P760" s="15">
        <f t="shared" si="167"/>
        <v>0</v>
      </c>
      <c r="Q760" s="14" t="str">
        <f>IF(M760&gt;=I760*'Hoja 4 - Cálculo'!$B$16,"Satisfactorio","Falla")</f>
        <v>Satisfactorio</v>
      </c>
      <c r="R760" s="14">
        <f t="shared" si="174"/>
        <v>0</v>
      </c>
      <c r="S760" s="14">
        <f t="shared" si="175"/>
        <v>0</v>
      </c>
    </row>
    <row r="761" spans="1:19">
      <c r="A761" s="14" t="str">
        <f t="shared" si="172"/>
        <v>SRY-3-1</v>
      </c>
      <c r="B761" s="15">
        <f>'Curvas SRY'!$B$10</f>
        <v>3</v>
      </c>
      <c r="C761" s="15">
        <f>'Curvas SRY'!$E$8</f>
        <v>0.75</v>
      </c>
      <c r="D761" s="14" t="str">
        <f>'Curvas SRY'!$B$14</f>
        <v>Uso variable</v>
      </c>
      <c r="E761" s="14">
        <f>38</f>
        <v>38</v>
      </c>
      <c r="F761" s="21">
        <f>'Hoja 4 - Cálculo'!A62</f>
        <v>30713</v>
      </c>
      <c r="G761" s="15">
        <f>'Hoja 4 - Cálculo'!H62</f>
        <v>13.04325</v>
      </c>
      <c r="H761" s="15">
        <f>IF(D761="Uso único",'Hoja 4 - Cálculo'!I62,IF(D761="Uso múltiple",AVERAGE('Hoja 4 - Cálculo'!$I$25:$I$384)+AVERAGE('Hoja 4 - Cálculo'!$J$25:$J$384)+AVERAGE('Hoja 4 - Cálculo'!$K$25:$K$384),IF(D761="Uso prioritario",'Hoja 4 - Cálculo'!I62+'Hoja 4 - Cálculo'!K62,'Hoja 4 - Cálculo'!I62+'Hoja 4 - Cálculo'!J62+'Hoja 4 - Cálculo'!K62)))</f>
        <v>16</v>
      </c>
      <c r="I761" s="15">
        <f t="shared" si="162"/>
        <v>12</v>
      </c>
      <c r="J761" s="15">
        <f t="shared" si="173"/>
        <v>1.6419674999999998</v>
      </c>
      <c r="K761" s="15">
        <f>MIN(J761+G761,(J761+G761)*'Hoja 4 - Cálculo'!$B$15)</f>
        <v>0.29370435</v>
      </c>
      <c r="L761" s="15">
        <f t="shared" si="163"/>
        <v>14.39151315</v>
      </c>
      <c r="M761" s="15">
        <f t="shared" si="164"/>
        <v>12</v>
      </c>
      <c r="N761" s="15">
        <f t="shared" si="165"/>
        <v>2.3915131499999998</v>
      </c>
      <c r="O761" s="15">
        <f t="shared" si="166"/>
        <v>0</v>
      </c>
      <c r="P761" s="15">
        <f t="shared" si="167"/>
        <v>0</v>
      </c>
      <c r="Q761" s="14" t="str">
        <f>IF(M761&gt;=I761*'Hoja 4 - Cálculo'!$B$16,"Satisfactorio","Falla")</f>
        <v>Satisfactorio</v>
      </c>
      <c r="R761" s="14">
        <f t="shared" si="174"/>
        <v>0</v>
      </c>
      <c r="S761" s="14">
        <f t="shared" si="175"/>
        <v>0</v>
      </c>
    </row>
    <row r="762" spans="1:19">
      <c r="A762" s="14" t="str">
        <f t="shared" si="172"/>
        <v>SRY-3-1</v>
      </c>
      <c r="B762" s="15">
        <f>'Curvas SRY'!$B$10</f>
        <v>3</v>
      </c>
      <c r="C762" s="15">
        <f>'Curvas SRY'!$E$8</f>
        <v>0.75</v>
      </c>
      <c r="D762" s="14" t="str">
        <f>'Curvas SRY'!$B$14</f>
        <v>Uso variable</v>
      </c>
      <c r="E762" s="14">
        <f>39</f>
        <v>39</v>
      </c>
      <c r="F762" s="21">
        <f>'Hoja 4 - Cálculo'!A63</f>
        <v>30742</v>
      </c>
      <c r="G762" s="15">
        <f>'Hoja 4 - Cálculo'!H63</f>
        <v>20.272500000000001</v>
      </c>
      <c r="H762" s="15">
        <f>IF(D762="Uso único",'Hoja 4 - Cálculo'!I63,IF(D762="Uso múltiple",AVERAGE('Hoja 4 - Cálculo'!$I$25:$I$384)+AVERAGE('Hoja 4 - Cálculo'!$J$25:$J$384)+AVERAGE('Hoja 4 - Cálculo'!$K$25:$K$384),IF(D762="Uso prioritario",'Hoja 4 - Cálculo'!I63+'Hoja 4 - Cálculo'!K63,'Hoja 4 - Cálculo'!I63+'Hoja 4 - Cálculo'!J63+'Hoja 4 - Cálculo'!K63)))</f>
        <v>16</v>
      </c>
      <c r="I762" s="15">
        <f t="shared" si="162"/>
        <v>12</v>
      </c>
      <c r="J762" s="15">
        <f t="shared" si="173"/>
        <v>2.3915131499999998</v>
      </c>
      <c r="K762" s="15">
        <f>MIN(J762+G762,(J762+G762)*'Hoja 4 - Cálculo'!$B$15)</f>
        <v>0.45328026300000007</v>
      </c>
      <c r="L762" s="15">
        <f t="shared" si="163"/>
        <v>22.210732887000002</v>
      </c>
      <c r="M762" s="15">
        <f t="shared" si="164"/>
        <v>12</v>
      </c>
      <c r="N762" s="15">
        <f t="shared" si="165"/>
        <v>3</v>
      </c>
      <c r="O762" s="15">
        <f t="shared" si="166"/>
        <v>7.2107328870000025</v>
      </c>
      <c r="P762" s="15">
        <f t="shared" si="167"/>
        <v>0</v>
      </c>
      <c r="Q762" s="14" t="str">
        <f>IF(M762&gt;=I762*'Hoja 4 - Cálculo'!$B$16,"Satisfactorio","Falla")</f>
        <v>Satisfactorio</v>
      </c>
      <c r="R762" s="14">
        <f t="shared" si="174"/>
        <v>0</v>
      </c>
      <c r="S762" s="14">
        <f t="shared" si="175"/>
        <v>0</v>
      </c>
    </row>
    <row r="763" spans="1:19">
      <c r="A763" s="14" t="str">
        <f t="shared" si="172"/>
        <v>SRY-3-1</v>
      </c>
      <c r="B763" s="15">
        <f>'Curvas SRY'!$B$10</f>
        <v>3</v>
      </c>
      <c r="C763" s="15">
        <f>'Curvas SRY'!$E$8</f>
        <v>0.75</v>
      </c>
      <c r="D763" s="14" t="str">
        <f>'Curvas SRY'!$B$14</f>
        <v>Uso variable</v>
      </c>
      <c r="E763" s="14">
        <f>40</f>
        <v>40</v>
      </c>
      <c r="F763" s="21">
        <f>'Hoja 4 - Cálculo'!A64</f>
        <v>30773</v>
      </c>
      <c r="G763" s="15">
        <f>'Hoja 4 - Cálculo'!H64</f>
        <v>27.922499999999999</v>
      </c>
      <c r="H763" s="15">
        <f>IF(D763="Uso único",'Hoja 4 - Cálculo'!I64,IF(D763="Uso múltiple",AVERAGE('Hoja 4 - Cálculo'!$I$25:$I$384)+AVERAGE('Hoja 4 - Cálculo'!$J$25:$J$384)+AVERAGE('Hoja 4 - Cálculo'!$K$25:$K$384),IF(D763="Uso prioritario",'Hoja 4 - Cálculo'!I64+'Hoja 4 - Cálculo'!K64,'Hoja 4 - Cálculo'!I64+'Hoja 4 - Cálculo'!J64+'Hoja 4 - Cálculo'!K64)))</f>
        <v>11.5</v>
      </c>
      <c r="I763" s="15">
        <f t="shared" si="162"/>
        <v>8.625</v>
      </c>
      <c r="J763" s="15">
        <f t="shared" si="173"/>
        <v>3</v>
      </c>
      <c r="K763" s="15">
        <f>MIN(J763+G763,(J763+G763)*'Hoja 4 - Cálculo'!$B$15)</f>
        <v>0.61845000000000006</v>
      </c>
      <c r="L763" s="15">
        <f t="shared" si="163"/>
        <v>30.30405</v>
      </c>
      <c r="M763" s="15">
        <f t="shared" si="164"/>
        <v>8.625</v>
      </c>
      <c r="N763" s="15">
        <f t="shared" si="165"/>
        <v>3</v>
      </c>
      <c r="O763" s="15">
        <f t="shared" si="166"/>
        <v>18.67905</v>
      </c>
      <c r="P763" s="15">
        <f t="shared" si="167"/>
        <v>0</v>
      </c>
      <c r="Q763" s="14" t="str">
        <f>IF(M763&gt;=I763*'Hoja 4 - Cálculo'!$B$16,"Satisfactorio","Falla")</f>
        <v>Satisfactorio</v>
      </c>
      <c r="R763" s="14">
        <f t="shared" si="174"/>
        <v>0</v>
      </c>
      <c r="S763" s="14">
        <f t="shared" si="175"/>
        <v>0</v>
      </c>
    </row>
    <row r="764" spans="1:19">
      <c r="A764" s="14" t="str">
        <f t="shared" si="172"/>
        <v>SRY-3-1</v>
      </c>
      <c r="B764" s="15">
        <f>'Curvas SRY'!$B$10</f>
        <v>3</v>
      </c>
      <c r="C764" s="15">
        <f>'Curvas SRY'!$E$8</f>
        <v>0.75</v>
      </c>
      <c r="D764" s="14" t="str">
        <f>'Curvas SRY'!$B$14</f>
        <v>Uso variable</v>
      </c>
      <c r="E764" s="14">
        <f>41</f>
        <v>41</v>
      </c>
      <c r="F764" s="21">
        <f>'Hoja 4 - Cálculo'!A65</f>
        <v>30803</v>
      </c>
      <c r="G764" s="15">
        <f>'Hoja 4 - Cálculo'!H65</f>
        <v>23.657624999999999</v>
      </c>
      <c r="H764" s="15">
        <f>IF(D764="Uso único",'Hoja 4 - Cálculo'!I65,IF(D764="Uso múltiple",AVERAGE('Hoja 4 - Cálculo'!$I$25:$I$384)+AVERAGE('Hoja 4 - Cálculo'!$J$25:$J$384)+AVERAGE('Hoja 4 - Cálculo'!$K$25:$K$384),IF(D764="Uso prioritario",'Hoja 4 - Cálculo'!I65+'Hoja 4 - Cálculo'!K65,'Hoja 4 - Cálculo'!I65+'Hoja 4 - Cálculo'!J65+'Hoja 4 - Cálculo'!K65)))</f>
        <v>11.5</v>
      </c>
      <c r="I764" s="15">
        <f t="shared" si="162"/>
        <v>8.625</v>
      </c>
      <c r="J764" s="15">
        <f t="shared" si="173"/>
        <v>3</v>
      </c>
      <c r="K764" s="15">
        <f>MIN(J764+G764,(J764+G764)*'Hoja 4 - Cálculo'!$B$15)</f>
        <v>0.53315250000000003</v>
      </c>
      <c r="L764" s="15">
        <f t="shared" si="163"/>
        <v>26.1244725</v>
      </c>
      <c r="M764" s="15">
        <f t="shared" si="164"/>
        <v>8.625</v>
      </c>
      <c r="N764" s="15">
        <f t="shared" si="165"/>
        <v>3</v>
      </c>
      <c r="O764" s="15">
        <f t="shared" si="166"/>
        <v>14.4994725</v>
      </c>
      <c r="P764" s="15">
        <f t="shared" si="167"/>
        <v>0</v>
      </c>
      <c r="Q764" s="14" t="str">
        <f>IF(M764&gt;=I764*'Hoja 4 - Cálculo'!$B$16,"Satisfactorio","Falla")</f>
        <v>Satisfactorio</v>
      </c>
      <c r="R764" s="14">
        <f t="shared" si="174"/>
        <v>0</v>
      </c>
      <c r="S764" s="14">
        <f t="shared" si="175"/>
        <v>0</v>
      </c>
    </row>
    <row r="765" spans="1:19">
      <c r="A765" s="14" t="str">
        <f t="shared" si="172"/>
        <v>SRY-3-1</v>
      </c>
      <c r="B765" s="15">
        <f>'Curvas SRY'!$B$10</f>
        <v>3</v>
      </c>
      <c r="C765" s="15">
        <f>'Curvas SRY'!$E$8</f>
        <v>0.75</v>
      </c>
      <c r="D765" s="14" t="str">
        <f>'Curvas SRY'!$B$14</f>
        <v>Uso variable</v>
      </c>
      <c r="E765" s="14">
        <f>42</f>
        <v>42</v>
      </c>
      <c r="F765" s="21">
        <f>'Hoja 4 - Cálculo'!A66</f>
        <v>30834</v>
      </c>
      <c r="G765" s="15">
        <f>'Hoja 4 - Cálculo'!H66</f>
        <v>14.554125000000001</v>
      </c>
      <c r="H765" s="15">
        <f>IF(D765="Uso único",'Hoja 4 - Cálculo'!I66,IF(D765="Uso múltiple",AVERAGE('Hoja 4 - Cálculo'!$I$25:$I$384)+AVERAGE('Hoja 4 - Cálculo'!$J$25:$J$384)+AVERAGE('Hoja 4 - Cálculo'!$K$25:$K$384),IF(D765="Uso prioritario",'Hoja 4 - Cálculo'!I66+'Hoja 4 - Cálculo'!K66,'Hoja 4 - Cálculo'!I66+'Hoja 4 - Cálculo'!J66+'Hoja 4 - Cálculo'!K66)))</f>
        <v>11.5</v>
      </c>
      <c r="I765" s="15">
        <f t="shared" si="162"/>
        <v>8.625</v>
      </c>
      <c r="J765" s="15">
        <f t="shared" si="173"/>
        <v>3</v>
      </c>
      <c r="K765" s="15">
        <f>MIN(J765+G765,(J765+G765)*'Hoja 4 - Cálculo'!$B$15)</f>
        <v>0.35108249999999996</v>
      </c>
      <c r="L765" s="15">
        <f t="shared" si="163"/>
        <v>17.203042499999999</v>
      </c>
      <c r="M765" s="15">
        <f t="shared" si="164"/>
        <v>8.625</v>
      </c>
      <c r="N765" s="15">
        <f t="shared" si="165"/>
        <v>3</v>
      </c>
      <c r="O765" s="15">
        <f t="shared" si="166"/>
        <v>5.5780424999999987</v>
      </c>
      <c r="P765" s="15">
        <f t="shared" si="167"/>
        <v>0</v>
      </c>
      <c r="Q765" s="14" t="str">
        <f>IF(M765&gt;=I765*'Hoja 4 - Cálculo'!$B$16,"Satisfactorio","Falla")</f>
        <v>Satisfactorio</v>
      </c>
      <c r="R765" s="14">
        <f t="shared" si="174"/>
        <v>0</v>
      </c>
      <c r="S765" s="14">
        <f t="shared" si="175"/>
        <v>0</v>
      </c>
    </row>
    <row r="766" spans="1:19">
      <c r="A766" s="14" t="str">
        <f t="shared" si="172"/>
        <v>SRY-3-1</v>
      </c>
      <c r="B766" s="15">
        <f>'Curvas SRY'!$B$10</f>
        <v>3</v>
      </c>
      <c r="C766" s="15">
        <f>'Curvas SRY'!$E$8</f>
        <v>0.75</v>
      </c>
      <c r="D766" s="14" t="str">
        <f>'Curvas SRY'!$B$14</f>
        <v>Uso variable</v>
      </c>
      <c r="E766" s="14">
        <f>43</f>
        <v>43</v>
      </c>
      <c r="F766" s="21">
        <f>'Hoja 4 - Cálculo'!A67</f>
        <v>30864</v>
      </c>
      <c r="G766" s="15">
        <f>'Hoja 4 - Cálculo'!H67</f>
        <v>12.794625</v>
      </c>
      <c r="H766" s="15">
        <f>IF(D766="Uso único",'Hoja 4 - Cálculo'!I67,IF(D766="Uso múltiple",AVERAGE('Hoja 4 - Cálculo'!$I$25:$I$384)+AVERAGE('Hoja 4 - Cálculo'!$J$25:$J$384)+AVERAGE('Hoja 4 - Cálculo'!$K$25:$K$384),IF(D766="Uso prioritario",'Hoja 4 - Cálculo'!I67+'Hoja 4 - Cálculo'!K67,'Hoja 4 - Cálculo'!I67+'Hoja 4 - Cálculo'!J67+'Hoja 4 - Cálculo'!K67)))</f>
        <v>16</v>
      </c>
      <c r="I766" s="15">
        <f t="shared" si="162"/>
        <v>12</v>
      </c>
      <c r="J766" s="15">
        <f t="shared" si="173"/>
        <v>3</v>
      </c>
      <c r="K766" s="15">
        <f>MIN(J766+G766,(J766+G766)*'Hoja 4 - Cálculo'!$B$15)</f>
        <v>0.31589250000000002</v>
      </c>
      <c r="L766" s="15">
        <f t="shared" si="163"/>
        <v>15.4787325</v>
      </c>
      <c r="M766" s="15">
        <f t="shared" si="164"/>
        <v>12</v>
      </c>
      <c r="N766" s="15">
        <f t="shared" si="165"/>
        <v>3</v>
      </c>
      <c r="O766" s="15">
        <f t="shared" si="166"/>
        <v>0.47873249999999956</v>
      </c>
      <c r="P766" s="15">
        <f t="shared" si="167"/>
        <v>0</v>
      </c>
      <c r="Q766" s="14" t="str">
        <f>IF(M766&gt;=I766*'Hoja 4 - Cálculo'!$B$16,"Satisfactorio","Falla")</f>
        <v>Satisfactorio</v>
      </c>
      <c r="R766" s="14">
        <f t="shared" si="174"/>
        <v>0</v>
      </c>
      <c r="S766" s="14">
        <f t="shared" si="175"/>
        <v>0</v>
      </c>
    </row>
    <row r="767" spans="1:19">
      <c r="A767" s="14" t="str">
        <f t="shared" si="172"/>
        <v>SRY-3-1</v>
      </c>
      <c r="B767" s="15">
        <f>'Curvas SRY'!$B$10</f>
        <v>3</v>
      </c>
      <c r="C767" s="15">
        <f>'Curvas SRY'!$E$8</f>
        <v>0.75</v>
      </c>
      <c r="D767" s="14" t="str">
        <f>'Curvas SRY'!$B$14</f>
        <v>Uso variable</v>
      </c>
      <c r="E767" s="14">
        <f>44</f>
        <v>44</v>
      </c>
      <c r="F767" s="21">
        <f>'Hoja 4 - Cálculo'!A68</f>
        <v>30895</v>
      </c>
      <c r="G767" s="15">
        <f>'Hoja 4 - Cálculo'!H68</f>
        <v>13.6935</v>
      </c>
      <c r="H767" s="15">
        <f>IF(D767="Uso único",'Hoja 4 - Cálculo'!I68,IF(D767="Uso múltiple",AVERAGE('Hoja 4 - Cálculo'!$I$25:$I$384)+AVERAGE('Hoja 4 - Cálculo'!$J$25:$J$384)+AVERAGE('Hoja 4 - Cálculo'!$K$25:$K$384),IF(D767="Uso prioritario",'Hoja 4 - Cálculo'!I68+'Hoja 4 - Cálculo'!K68,'Hoja 4 - Cálculo'!I68+'Hoja 4 - Cálculo'!J68+'Hoja 4 - Cálculo'!K68)))</f>
        <v>16</v>
      </c>
      <c r="I767" s="15">
        <f t="shared" si="162"/>
        <v>12</v>
      </c>
      <c r="J767" s="15">
        <f t="shared" si="173"/>
        <v>3</v>
      </c>
      <c r="K767" s="15">
        <f>MIN(J767+G767,(J767+G767)*'Hoja 4 - Cálculo'!$B$15)</f>
        <v>0.33387</v>
      </c>
      <c r="L767" s="15">
        <f t="shared" si="163"/>
        <v>16.359629999999999</v>
      </c>
      <c r="M767" s="15">
        <f t="shared" si="164"/>
        <v>12</v>
      </c>
      <c r="N767" s="15">
        <f t="shared" si="165"/>
        <v>3</v>
      </c>
      <c r="O767" s="15">
        <f t="shared" si="166"/>
        <v>1.3596299999999992</v>
      </c>
      <c r="P767" s="15">
        <f t="shared" si="167"/>
        <v>0</v>
      </c>
      <c r="Q767" s="14" t="str">
        <f>IF(M767&gt;=I767*'Hoja 4 - Cálculo'!$B$16,"Satisfactorio","Falla")</f>
        <v>Satisfactorio</v>
      </c>
      <c r="R767" s="14">
        <f t="shared" si="174"/>
        <v>0</v>
      </c>
      <c r="S767" s="14">
        <f t="shared" si="175"/>
        <v>0</v>
      </c>
    </row>
    <row r="768" spans="1:19">
      <c r="A768" s="14" t="str">
        <f t="shared" si="172"/>
        <v>SRY-3-1</v>
      </c>
      <c r="B768" s="15">
        <f>'Curvas SRY'!$B$10</f>
        <v>3</v>
      </c>
      <c r="C768" s="15">
        <f>'Curvas SRY'!$E$8</f>
        <v>0.75</v>
      </c>
      <c r="D768" s="14" t="str">
        <f>'Curvas SRY'!$B$14</f>
        <v>Uso variable</v>
      </c>
      <c r="E768" s="14">
        <f>45</f>
        <v>45</v>
      </c>
      <c r="F768" s="21">
        <f>'Hoja 4 - Cálculo'!A69</f>
        <v>30926</v>
      </c>
      <c r="G768" s="15">
        <f>'Hoja 4 - Cálculo'!H69</f>
        <v>20.521125000000001</v>
      </c>
      <c r="H768" s="15">
        <f>IF(D768="Uso único",'Hoja 4 - Cálculo'!I69,IF(D768="Uso múltiple",AVERAGE('Hoja 4 - Cálculo'!$I$25:$I$384)+AVERAGE('Hoja 4 - Cálculo'!$J$25:$J$384)+AVERAGE('Hoja 4 - Cálculo'!$K$25:$K$384),IF(D768="Uso prioritario",'Hoja 4 - Cálculo'!I69+'Hoja 4 - Cálculo'!K69,'Hoja 4 - Cálculo'!I69+'Hoja 4 - Cálculo'!J69+'Hoja 4 - Cálculo'!K69)))</f>
        <v>11.5</v>
      </c>
      <c r="I768" s="15">
        <f t="shared" si="162"/>
        <v>8.625</v>
      </c>
      <c r="J768" s="15">
        <f t="shared" si="173"/>
        <v>3</v>
      </c>
      <c r="K768" s="15">
        <f>MIN(J768+G768,(J768+G768)*'Hoja 4 - Cálculo'!$B$15)</f>
        <v>0.47042250000000002</v>
      </c>
      <c r="L768" s="15">
        <f t="shared" si="163"/>
        <v>23.0507025</v>
      </c>
      <c r="M768" s="15">
        <f t="shared" si="164"/>
        <v>8.625</v>
      </c>
      <c r="N768" s="15">
        <f t="shared" si="165"/>
        <v>3</v>
      </c>
      <c r="O768" s="15">
        <f t="shared" si="166"/>
        <v>11.4257025</v>
      </c>
      <c r="P768" s="15">
        <f t="shared" si="167"/>
        <v>0</v>
      </c>
      <c r="Q768" s="14" t="str">
        <f>IF(M768&gt;=I768*'Hoja 4 - Cálculo'!$B$16,"Satisfactorio","Falla")</f>
        <v>Satisfactorio</v>
      </c>
      <c r="R768" s="14">
        <f t="shared" si="174"/>
        <v>0</v>
      </c>
      <c r="S768" s="14">
        <f t="shared" si="175"/>
        <v>0</v>
      </c>
    </row>
    <row r="769" spans="1:19">
      <c r="A769" s="14" t="str">
        <f t="shared" si="172"/>
        <v>SRY-3-1</v>
      </c>
      <c r="B769" s="15">
        <f>'Curvas SRY'!$B$10</f>
        <v>3</v>
      </c>
      <c r="C769" s="15">
        <f>'Curvas SRY'!$E$8</f>
        <v>0.75</v>
      </c>
      <c r="D769" s="14" t="str">
        <f>'Curvas SRY'!$B$14</f>
        <v>Uso variable</v>
      </c>
      <c r="E769" s="14">
        <f>46</f>
        <v>46</v>
      </c>
      <c r="F769" s="21">
        <f>'Hoja 4 - Cálculo'!A70</f>
        <v>30956</v>
      </c>
      <c r="G769" s="15">
        <f>'Hoja 4 - Cálculo'!H70</f>
        <v>27.061875000000001</v>
      </c>
      <c r="H769" s="15">
        <f>IF(D769="Uso único",'Hoja 4 - Cálculo'!I70,IF(D769="Uso múltiple",AVERAGE('Hoja 4 - Cálculo'!$I$25:$I$384)+AVERAGE('Hoja 4 - Cálculo'!$J$25:$J$384)+AVERAGE('Hoja 4 - Cálculo'!$K$25:$K$384),IF(D769="Uso prioritario",'Hoja 4 - Cálculo'!I70+'Hoja 4 - Cálculo'!K70,'Hoja 4 - Cálculo'!I70+'Hoja 4 - Cálculo'!J70+'Hoja 4 - Cálculo'!K70)))</f>
        <v>11.5</v>
      </c>
      <c r="I769" s="15">
        <f t="shared" si="162"/>
        <v>8.625</v>
      </c>
      <c r="J769" s="15">
        <f t="shared" si="173"/>
        <v>3</v>
      </c>
      <c r="K769" s="15">
        <f>MIN(J769+G769,(J769+G769)*'Hoja 4 - Cálculo'!$B$15)</f>
        <v>0.60123749999999998</v>
      </c>
      <c r="L769" s="15">
        <f t="shared" si="163"/>
        <v>29.460637500000001</v>
      </c>
      <c r="M769" s="15">
        <f t="shared" si="164"/>
        <v>8.625</v>
      </c>
      <c r="N769" s="15">
        <f t="shared" si="165"/>
        <v>3</v>
      </c>
      <c r="O769" s="15">
        <f t="shared" si="166"/>
        <v>17.835637500000001</v>
      </c>
      <c r="P769" s="15">
        <f t="shared" si="167"/>
        <v>0</v>
      </c>
      <c r="Q769" s="14" t="str">
        <f>IF(M769&gt;=I769*'Hoja 4 - Cálculo'!$B$16,"Satisfactorio","Falla")</f>
        <v>Satisfactorio</v>
      </c>
      <c r="R769" s="14">
        <f t="shared" si="174"/>
        <v>0</v>
      </c>
      <c r="S769" s="14">
        <f t="shared" si="175"/>
        <v>0</v>
      </c>
    </row>
    <row r="770" spans="1:19">
      <c r="A770" s="14" t="str">
        <f t="shared" si="172"/>
        <v>SRY-3-1</v>
      </c>
      <c r="B770" s="15">
        <f>'Curvas SRY'!$B$10</f>
        <v>3</v>
      </c>
      <c r="C770" s="15">
        <f>'Curvas SRY'!$E$8</f>
        <v>0.75</v>
      </c>
      <c r="D770" s="14" t="str">
        <f>'Curvas SRY'!$B$14</f>
        <v>Uso variable</v>
      </c>
      <c r="E770" s="14">
        <f>47</f>
        <v>47</v>
      </c>
      <c r="F770" s="21">
        <f>'Hoja 4 - Cálculo'!A71</f>
        <v>30987</v>
      </c>
      <c r="G770" s="15">
        <f>'Hoja 4 - Cálculo'!H71</f>
        <v>24.346125000000001</v>
      </c>
      <c r="H770" s="15">
        <f>IF(D770="Uso único",'Hoja 4 - Cálculo'!I71,IF(D770="Uso múltiple",AVERAGE('Hoja 4 - Cálculo'!$I$25:$I$384)+AVERAGE('Hoja 4 - Cálculo'!$J$25:$J$384)+AVERAGE('Hoja 4 - Cálculo'!$K$25:$K$384),IF(D770="Uso prioritario",'Hoja 4 - Cálculo'!I71+'Hoja 4 - Cálculo'!K71,'Hoja 4 - Cálculo'!I71+'Hoja 4 - Cálculo'!J71+'Hoja 4 - Cálculo'!K71)))</f>
        <v>11.5</v>
      </c>
      <c r="I770" s="15">
        <f t="shared" si="162"/>
        <v>8.625</v>
      </c>
      <c r="J770" s="15">
        <f t="shared" si="173"/>
        <v>3</v>
      </c>
      <c r="K770" s="15">
        <f>MIN(J770+G770,(J770+G770)*'Hoja 4 - Cálculo'!$B$15)</f>
        <v>0.54692249999999998</v>
      </c>
      <c r="L770" s="15">
        <f t="shared" si="163"/>
        <v>26.7992025</v>
      </c>
      <c r="M770" s="15">
        <f t="shared" si="164"/>
        <v>8.625</v>
      </c>
      <c r="N770" s="15">
        <f t="shared" si="165"/>
        <v>3</v>
      </c>
      <c r="O770" s="15">
        <f t="shared" si="166"/>
        <v>15.1742025</v>
      </c>
      <c r="P770" s="15">
        <f t="shared" si="167"/>
        <v>0</v>
      </c>
      <c r="Q770" s="14" t="str">
        <f>IF(M770&gt;=I770*'Hoja 4 - Cálculo'!$B$16,"Satisfactorio","Falla")</f>
        <v>Satisfactorio</v>
      </c>
      <c r="R770" s="14">
        <f t="shared" si="174"/>
        <v>0</v>
      </c>
      <c r="S770" s="14">
        <f t="shared" si="175"/>
        <v>0</v>
      </c>
    </row>
    <row r="771" spans="1:19">
      <c r="A771" s="14" t="str">
        <f t="shared" si="172"/>
        <v>SRY-3-1</v>
      </c>
      <c r="B771" s="15">
        <f>'Curvas SRY'!$B$10</f>
        <v>3</v>
      </c>
      <c r="C771" s="15">
        <f>'Curvas SRY'!$E$8</f>
        <v>0.75</v>
      </c>
      <c r="D771" s="14" t="str">
        <f>'Curvas SRY'!$B$14</f>
        <v>Uso variable</v>
      </c>
      <c r="E771" s="14">
        <f>48</f>
        <v>48</v>
      </c>
      <c r="F771" s="21">
        <f>'Hoja 4 - Cálculo'!A72</f>
        <v>31017</v>
      </c>
      <c r="G771" s="15">
        <f>'Hoja 4 - Cálculo'!H72</f>
        <v>14.745374999999999</v>
      </c>
      <c r="H771" s="15">
        <f>IF(D771="Uso único",'Hoja 4 - Cálculo'!I72,IF(D771="Uso múltiple",AVERAGE('Hoja 4 - Cálculo'!$I$25:$I$384)+AVERAGE('Hoja 4 - Cálculo'!$J$25:$J$384)+AVERAGE('Hoja 4 - Cálculo'!$K$25:$K$384),IF(D771="Uso prioritario",'Hoja 4 - Cálculo'!I72+'Hoja 4 - Cálculo'!K72,'Hoja 4 - Cálculo'!I72+'Hoja 4 - Cálculo'!J72+'Hoja 4 - Cálculo'!K72)))</f>
        <v>16</v>
      </c>
      <c r="I771" s="15">
        <f t="shared" si="162"/>
        <v>12</v>
      </c>
      <c r="J771" s="15">
        <f t="shared" si="173"/>
        <v>3</v>
      </c>
      <c r="K771" s="15">
        <f>MIN(J771+G771,(J771+G771)*'Hoja 4 - Cálculo'!$B$15)</f>
        <v>0.35490749999999999</v>
      </c>
      <c r="L771" s="15">
        <f t="shared" si="163"/>
        <v>17.3904675</v>
      </c>
      <c r="M771" s="15">
        <f t="shared" si="164"/>
        <v>12</v>
      </c>
      <c r="N771" s="15">
        <f t="shared" si="165"/>
        <v>3</v>
      </c>
      <c r="O771" s="15">
        <f t="shared" si="166"/>
        <v>2.3904674999999997</v>
      </c>
      <c r="P771" s="15">
        <f t="shared" si="167"/>
        <v>0</v>
      </c>
      <c r="Q771" s="14" t="str">
        <f>IF(M771&gt;=I771*'Hoja 4 - Cálculo'!$B$16,"Satisfactorio","Falla")</f>
        <v>Satisfactorio</v>
      </c>
      <c r="R771" s="14">
        <f t="shared" si="174"/>
        <v>0</v>
      </c>
      <c r="S771" s="14">
        <f t="shared" si="175"/>
        <v>0</v>
      </c>
    </row>
    <row r="772" spans="1:19">
      <c r="A772" s="14" t="str">
        <f t="shared" si="172"/>
        <v>SRY-3-1</v>
      </c>
      <c r="B772" s="15">
        <f>'Curvas SRY'!$B$10</f>
        <v>3</v>
      </c>
      <c r="C772" s="15">
        <f>'Curvas SRY'!$E$8</f>
        <v>0.75</v>
      </c>
      <c r="D772" s="14" t="str">
        <f>'Curvas SRY'!$B$14</f>
        <v>Uso variable</v>
      </c>
      <c r="E772" s="14">
        <f>49</f>
        <v>49</v>
      </c>
      <c r="F772" s="21">
        <f>'Hoja 4 - Cálculo'!A73</f>
        <v>31048</v>
      </c>
      <c r="G772" s="15">
        <f>'Hoja 4 - Cálculo'!H73</f>
        <v>10.767374999999999</v>
      </c>
      <c r="H772" s="15">
        <f>IF(D772="Uso único",'Hoja 4 - Cálculo'!I73,IF(D772="Uso múltiple",AVERAGE('Hoja 4 - Cálculo'!$I$25:$I$384)+AVERAGE('Hoja 4 - Cálculo'!$J$25:$J$384)+AVERAGE('Hoja 4 - Cálculo'!$K$25:$K$384),IF(D772="Uso prioritario",'Hoja 4 - Cálculo'!I73+'Hoja 4 - Cálculo'!K73,'Hoja 4 - Cálculo'!I73+'Hoja 4 - Cálculo'!J73+'Hoja 4 - Cálculo'!K73)))</f>
        <v>16</v>
      </c>
      <c r="I772" s="15">
        <f t="shared" ref="I772:I835" si="176">H772*C772</f>
        <v>12</v>
      </c>
      <c r="J772" s="15">
        <f t="shared" si="173"/>
        <v>3</v>
      </c>
      <c r="K772" s="15">
        <f>MIN(J772+G772,(J772+G772)*'Hoja 4 - Cálculo'!$B$15)</f>
        <v>0.27534750000000002</v>
      </c>
      <c r="L772" s="15">
        <f t="shared" ref="L772:L835" si="177">MAX(0,J772+G772-K772)</f>
        <v>13.492027499999999</v>
      </c>
      <c r="M772" s="15">
        <f t="shared" ref="M772:M835" si="178">MIN(I772,L772)</f>
        <v>12</v>
      </c>
      <c r="N772" s="15">
        <f t="shared" ref="N772:N835" si="179">MIN(B772,MAX(0,L772-M772))</f>
        <v>1.492027499999999</v>
      </c>
      <c r="O772" s="15">
        <f t="shared" ref="O772:O835" si="180">MAX(0,L772-M772-B772)</f>
        <v>0</v>
      </c>
      <c r="P772" s="15">
        <f t="shared" ref="P772:P835" si="181">MAX(0,I772-M772)</f>
        <v>0</v>
      </c>
      <c r="Q772" s="14" t="str">
        <f>IF(M772&gt;=I772*'Hoja 4 - Cálculo'!$B$16,"Satisfactorio","Falla")</f>
        <v>Satisfactorio</v>
      </c>
      <c r="R772" s="14">
        <f t="shared" si="174"/>
        <v>0</v>
      </c>
      <c r="S772" s="14">
        <f t="shared" si="175"/>
        <v>0</v>
      </c>
    </row>
    <row r="773" spans="1:19">
      <c r="A773" s="14" t="str">
        <f t="shared" si="172"/>
        <v>SRY-3-1</v>
      </c>
      <c r="B773" s="15">
        <f>'Curvas SRY'!$B$10</f>
        <v>3</v>
      </c>
      <c r="C773" s="15">
        <f>'Curvas SRY'!$E$8</f>
        <v>0.75</v>
      </c>
      <c r="D773" s="14" t="str">
        <f>'Curvas SRY'!$B$14</f>
        <v>Uso variable</v>
      </c>
      <c r="E773" s="14">
        <f>50</f>
        <v>50</v>
      </c>
      <c r="F773" s="21">
        <f>'Hoja 4 - Cálculo'!A74</f>
        <v>31079</v>
      </c>
      <c r="G773" s="15">
        <f>'Hoja 4 - Cálculo'!H74</f>
        <v>13.464</v>
      </c>
      <c r="H773" s="15">
        <f>IF(D773="Uso único",'Hoja 4 - Cálculo'!I74,IF(D773="Uso múltiple",AVERAGE('Hoja 4 - Cálculo'!$I$25:$I$384)+AVERAGE('Hoja 4 - Cálculo'!$J$25:$J$384)+AVERAGE('Hoja 4 - Cálculo'!$K$25:$K$384),IF(D773="Uso prioritario",'Hoja 4 - Cálculo'!I74+'Hoja 4 - Cálculo'!K74,'Hoja 4 - Cálculo'!I74+'Hoja 4 - Cálculo'!J74+'Hoja 4 - Cálculo'!K74)))</f>
        <v>16</v>
      </c>
      <c r="I773" s="15">
        <f t="shared" si="176"/>
        <v>12</v>
      </c>
      <c r="J773" s="15">
        <f t="shared" si="173"/>
        <v>1.492027499999999</v>
      </c>
      <c r="K773" s="15">
        <f>MIN(J773+G773,(J773+G773)*'Hoja 4 - Cálculo'!$B$15)</f>
        <v>0.29912054999999999</v>
      </c>
      <c r="L773" s="15">
        <f t="shared" si="177"/>
        <v>14.65690695</v>
      </c>
      <c r="M773" s="15">
        <f t="shared" si="178"/>
        <v>12</v>
      </c>
      <c r="N773" s="15">
        <f t="shared" si="179"/>
        <v>2.6569069499999998</v>
      </c>
      <c r="O773" s="15">
        <f t="shared" si="180"/>
        <v>0</v>
      </c>
      <c r="P773" s="15">
        <f t="shared" si="181"/>
        <v>0</v>
      </c>
      <c r="Q773" s="14" t="str">
        <f>IF(M773&gt;=I773*'Hoja 4 - Cálculo'!$B$16,"Satisfactorio","Falla")</f>
        <v>Satisfactorio</v>
      </c>
      <c r="R773" s="14">
        <f t="shared" si="174"/>
        <v>0</v>
      </c>
      <c r="S773" s="14">
        <f t="shared" si="175"/>
        <v>0</v>
      </c>
    </row>
    <row r="774" spans="1:19">
      <c r="A774" s="14" t="str">
        <f t="shared" si="172"/>
        <v>SRY-3-1</v>
      </c>
      <c r="B774" s="15">
        <f>'Curvas SRY'!$B$10</f>
        <v>3</v>
      </c>
      <c r="C774" s="15">
        <f>'Curvas SRY'!$E$8</f>
        <v>0.75</v>
      </c>
      <c r="D774" s="14" t="str">
        <f>'Curvas SRY'!$B$14</f>
        <v>Uso variable</v>
      </c>
      <c r="E774" s="14">
        <f>51</f>
        <v>51</v>
      </c>
      <c r="F774" s="21">
        <f>'Hoja 4 - Cálculo'!A75</f>
        <v>31107</v>
      </c>
      <c r="G774" s="15">
        <f>'Hoja 4 - Cálculo'!H75</f>
        <v>19.450125</v>
      </c>
      <c r="H774" s="15">
        <f>IF(D774="Uso único",'Hoja 4 - Cálculo'!I75,IF(D774="Uso múltiple",AVERAGE('Hoja 4 - Cálculo'!$I$25:$I$384)+AVERAGE('Hoja 4 - Cálculo'!$J$25:$J$384)+AVERAGE('Hoja 4 - Cálculo'!$K$25:$K$384),IF(D774="Uso prioritario",'Hoja 4 - Cálculo'!I75+'Hoja 4 - Cálculo'!K75,'Hoja 4 - Cálculo'!I75+'Hoja 4 - Cálculo'!J75+'Hoja 4 - Cálculo'!K75)))</f>
        <v>16</v>
      </c>
      <c r="I774" s="15">
        <f t="shared" si="176"/>
        <v>12</v>
      </c>
      <c r="J774" s="15">
        <f t="shared" si="173"/>
        <v>2.6569069499999998</v>
      </c>
      <c r="K774" s="15">
        <f>MIN(J774+G774,(J774+G774)*'Hoja 4 - Cálculo'!$B$15)</f>
        <v>0.442140639</v>
      </c>
      <c r="L774" s="15">
        <f t="shared" si="177"/>
        <v>21.664891310999998</v>
      </c>
      <c r="M774" s="15">
        <f t="shared" si="178"/>
        <v>12</v>
      </c>
      <c r="N774" s="15">
        <f t="shared" si="179"/>
        <v>3</v>
      </c>
      <c r="O774" s="15">
        <f t="shared" si="180"/>
        <v>6.6648913109999981</v>
      </c>
      <c r="P774" s="15">
        <f t="shared" si="181"/>
        <v>0</v>
      </c>
      <c r="Q774" s="14" t="str">
        <f>IF(M774&gt;=I774*'Hoja 4 - Cálculo'!$B$16,"Satisfactorio","Falla")</f>
        <v>Satisfactorio</v>
      </c>
      <c r="R774" s="14">
        <f t="shared" si="174"/>
        <v>0</v>
      </c>
      <c r="S774" s="14">
        <f t="shared" si="175"/>
        <v>0</v>
      </c>
    </row>
    <row r="775" spans="1:19">
      <c r="A775" s="14" t="str">
        <f t="shared" si="172"/>
        <v>SRY-3-1</v>
      </c>
      <c r="B775" s="15">
        <f>'Curvas SRY'!$B$10</f>
        <v>3</v>
      </c>
      <c r="C775" s="15">
        <f>'Curvas SRY'!$E$8</f>
        <v>0.75</v>
      </c>
      <c r="D775" s="14" t="str">
        <f>'Curvas SRY'!$B$14</f>
        <v>Uso variable</v>
      </c>
      <c r="E775" s="14">
        <f>52</f>
        <v>52</v>
      </c>
      <c r="F775" s="21">
        <f>'Hoja 4 - Cálculo'!A76</f>
        <v>31138</v>
      </c>
      <c r="G775" s="15">
        <f>'Hoja 4 - Cálculo'!H76</f>
        <v>25.51275</v>
      </c>
      <c r="H775" s="15">
        <f>IF(D775="Uso único",'Hoja 4 - Cálculo'!I76,IF(D775="Uso múltiple",AVERAGE('Hoja 4 - Cálculo'!$I$25:$I$384)+AVERAGE('Hoja 4 - Cálculo'!$J$25:$J$384)+AVERAGE('Hoja 4 - Cálculo'!$K$25:$K$384),IF(D775="Uso prioritario",'Hoja 4 - Cálculo'!I76+'Hoja 4 - Cálculo'!K76,'Hoja 4 - Cálculo'!I76+'Hoja 4 - Cálculo'!J76+'Hoja 4 - Cálculo'!K76)))</f>
        <v>11.5</v>
      </c>
      <c r="I775" s="15">
        <f t="shared" si="176"/>
        <v>8.625</v>
      </c>
      <c r="J775" s="15">
        <f t="shared" si="173"/>
        <v>3</v>
      </c>
      <c r="K775" s="15">
        <f>MIN(J775+G775,(J775+G775)*'Hoja 4 - Cálculo'!$B$15)</f>
        <v>0.57025500000000007</v>
      </c>
      <c r="L775" s="15">
        <f t="shared" si="177"/>
        <v>27.942495000000001</v>
      </c>
      <c r="M775" s="15">
        <f t="shared" si="178"/>
        <v>8.625</v>
      </c>
      <c r="N775" s="15">
        <f t="shared" si="179"/>
        <v>3</v>
      </c>
      <c r="O775" s="15">
        <f t="shared" si="180"/>
        <v>16.317495000000001</v>
      </c>
      <c r="P775" s="15">
        <f t="shared" si="181"/>
        <v>0</v>
      </c>
      <c r="Q775" s="14" t="str">
        <f>IF(M775&gt;=I775*'Hoja 4 - Cálculo'!$B$16,"Satisfactorio","Falla")</f>
        <v>Satisfactorio</v>
      </c>
      <c r="R775" s="14">
        <f t="shared" si="174"/>
        <v>0</v>
      </c>
      <c r="S775" s="14">
        <f t="shared" si="175"/>
        <v>0</v>
      </c>
    </row>
    <row r="776" spans="1:19">
      <c r="A776" s="14" t="str">
        <f t="shared" si="172"/>
        <v>SRY-3-1</v>
      </c>
      <c r="B776" s="15">
        <f>'Curvas SRY'!$B$10</f>
        <v>3</v>
      </c>
      <c r="C776" s="15">
        <f>'Curvas SRY'!$E$8</f>
        <v>0.75</v>
      </c>
      <c r="D776" s="14" t="str">
        <f>'Curvas SRY'!$B$14</f>
        <v>Uso variable</v>
      </c>
      <c r="E776" s="14">
        <f>53</f>
        <v>53</v>
      </c>
      <c r="F776" s="21">
        <f>'Hoja 4 - Cálculo'!A77</f>
        <v>31168</v>
      </c>
      <c r="G776" s="15">
        <f>'Hoja 4 - Cálculo'!H77</f>
        <v>24.36525</v>
      </c>
      <c r="H776" s="15">
        <f>IF(D776="Uso único",'Hoja 4 - Cálculo'!I77,IF(D776="Uso múltiple",AVERAGE('Hoja 4 - Cálculo'!$I$25:$I$384)+AVERAGE('Hoja 4 - Cálculo'!$J$25:$J$384)+AVERAGE('Hoja 4 - Cálculo'!$K$25:$K$384),IF(D776="Uso prioritario",'Hoja 4 - Cálculo'!I77+'Hoja 4 - Cálculo'!K77,'Hoja 4 - Cálculo'!I77+'Hoja 4 - Cálculo'!J77+'Hoja 4 - Cálculo'!K77)))</f>
        <v>11.5</v>
      </c>
      <c r="I776" s="15">
        <f t="shared" si="176"/>
        <v>8.625</v>
      </c>
      <c r="J776" s="15">
        <f t="shared" si="173"/>
        <v>3</v>
      </c>
      <c r="K776" s="15">
        <f>MIN(J776+G776,(J776+G776)*'Hoja 4 - Cálculo'!$B$15)</f>
        <v>0.54730500000000004</v>
      </c>
      <c r="L776" s="15">
        <f t="shared" si="177"/>
        <v>26.817944999999998</v>
      </c>
      <c r="M776" s="15">
        <f t="shared" si="178"/>
        <v>8.625</v>
      </c>
      <c r="N776" s="15">
        <f t="shared" si="179"/>
        <v>3</v>
      </c>
      <c r="O776" s="15">
        <f t="shared" si="180"/>
        <v>15.192944999999998</v>
      </c>
      <c r="P776" s="15">
        <f t="shared" si="181"/>
        <v>0</v>
      </c>
      <c r="Q776" s="14" t="str">
        <f>IF(M776&gt;=I776*'Hoja 4 - Cálculo'!$B$16,"Satisfactorio","Falla")</f>
        <v>Satisfactorio</v>
      </c>
      <c r="R776" s="14">
        <f t="shared" si="174"/>
        <v>0</v>
      </c>
      <c r="S776" s="14">
        <f t="shared" si="175"/>
        <v>0</v>
      </c>
    </row>
    <row r="777" spans="1:19">
      <c r="A777" s="14" t="str">
        <f t="shared" si="172"/>
        <v>SRY-3-1</v>
      </c>
      <c r="B777" s="15">
        <f>'Curvas SRY'!$B$10</f>
        <v>3</v>
      </c>
      <c r="C777" s="15">
        <f>'Curvas SRY'!$E$8</f>
        <v>0.75</v>
      </c>
      <c r="D777" s="14" t="str">
        <f>'Curvas SRY'!$B$14</f>
        <v>Uso variable</v>
      </c>
      <c r="E777" s="14">
        <f>54</f>
        <v>54</v>
      </c>
      <c r="F777" s="21">
        <f>'Hoja 4 - Cálculo'!A78</f>
        <v>31199</v>
      </c>
      <c r="G777" s="15">
        <f>'Hoja 4 - Cálculo'!H78</f>
        <v>15.395625000000001</v>
      </c>
      <c r="H777" s="15">
        <f>IF(D777="Uso único",'Hoja 4 - Cálculo'!I78,IF(D777="Uso múltiple",AVERAGE('Hoja 4 - Cálculo'!$I$25:$I$384)+AVERAGE('Hoja 4 - Cálculo'!$J$25:$J$384)+AVERAGE('Hoja 4 - Cálculo'!$K$25:$K$384),IF(D777="Uso prioritario",'Hoja 4 - Cálculo'!I78+'Hoja 4 - Cálculo'!K78,'Hoja 4 - Cálculo'!I78+'Hoja 4 - Cálculo'!J78+'Hoja 4 - Cálculo'!K78)))</f>
        <v>11.5</v>
      </c>
      <c r="I777" s="15">
        <f t="shared" si="176"/>
        <v>8.625</v>
      </c>
      <c r="J777" s="15">
        <f t="shared" si="173"/>
        <v>3</v>
      </c>
      <c r="K777" s="15">
        <f>MIN(J777+G777,(J777+G777)*'Hoja 4 - Cálculo'!$B$15)</f>
        <v>0.36791250000000003</v>
      </c>
      <c r="L777" s="15">
        <f t="shared" si="177"/>
        <v>18.027712500000003</v>
      </c>
      <c r="M777" s="15">
        <f t="shared" si="178"/>
        <v>8.625</v>
      </c>
      <c r="N777" s="15">
        <f t="shared" si="179"/>
        <v>3</v>
      </c>
      <c r="O777" s="15">
        <f t="shared" si="180"/>
        <v>6.4027125000000034</v>
      </c>
      <c r="P777" s="15">
        <f t="shared" si="181"/>
        <v>0</v>
      </c>
      <c r="Q777" s="14" t="str">
        <f>IF(M777&gt;=I777*'Hoja 4 - Cálculo'!$B$16,"Satisfactorio","Falla")</f>
        <v>Satisfactorio</v>
      </c>
      <c r="R777" s="14">
        <f t="shared" si="174"/>
        <v>0</v>
      </c>
      <c r="S777" s="14">
        <f t="shared" si="175"/>
        <v>0</v>
      </c>
    </row>
    <row r="778" spans="1:19">
      <c r="A778" s="14" t="str">
        <f t="shared" si="172"/>
        <v>SRY-3-1</v>
      </c>
      <c r="B778" s="15">
        <f>'Curvas SRY'!$B$10</f>
        <v>3</v>
      </c>
      <c r="C778" s="15">
        <f>'Curvas SRY'!$E$8</f>
        <v>0.75</v>
      </c>
      <c r="D778" s="14" t="str">
        <f>'Curvas SRY'!$B$14</f>
        <v>Uso variable</v>
      </c>
      <c r="E778" s="14">
        <f>55</f>
        <v>55</v>
      </c>
      <c r="F778" s="21">
        <f>'Hoja 4 - Cálculo'!A79</f>
        <v>31229</v>
      </c>
      <c r="G778" s="15">
        <f>'Hoja 4 - Cálculo'!H79</f>
        <v>11.742749999999999</v>
      </c>
      <c r="H778" s="15">
        <f>IF(D778="Uso único",'Hoja 4 - Cálculo'!I79,IF(D778="Uso múltiple",AVERAGE('Hoja 4 - Cálculo'!$I$25:$I$384)+AVERAGE('Hoja 4 - Cálculo'!$J$25:$J$384)+AVERAGE('Hoja 4 - Cálculo'!$K$25:$K$384),IF(D778="Uso prioritario",'Hoja 4 - Cálculo'!I79+'Hoja 4 - Cálculo'!K79,'Hoja 4 - Cálculo'!I79+'Hoja 4 - Cálculo'!J79+'Hoja 4 - Cálculo'!K79)))</f>
        <v>16</v>
      </c>
      <c r="I778" s="15">
        <f t="shared" si="176"/>
        <v>12</v>
      </c>
      <c r="J778" s="15">
        <f t="shared" si="173"/>
        <v>3</v>
      </c>
      <c r="K778" s="15">
        <f>MIN(J778+G778,(J778+G778)*'Hoja 4 - Cálculo'!$B$15)</f>
        <v>0.29485499999999998</v>
      </c>
      <c r="L778" s="15">
        <f t="shared" si="177"/>
        <v>14.447894999999999</v>
      </c>
      <c r="M778" s="15">
        <f t="shared" si="178"/>
        <v>12</v>
      </c>
      <c r="N778" s="15">
        <f t="shared" si="179"/>
        <v>2.447894999999999</v>
      </c>
      <c r="O778" s="15">
        <f t="shared" si="180"/>
        <v>0</v>
      </c>
      <c r="P778" s="15">
        <f t="shared" si="181"/>
        <v>0</v>
      </c>
      <c r="Q778" s="14" t="str">
        <f>IF(M778&gt;=I778*'Hoja 4 - Cálculo'!$B$16,"Satisfactorio","Falla")</f>
        <v>Satisfactorio</v>
      </c>
      <c r="R778" s="14">
        <f t="shared" si="174"/>
        <v>0</v>
      </c>
      <c r="S778" s="14">
        <f t="shared" si="175"/>
        <v>0</v>
      </c>
    </row>
    <row r="779" spans="1:19">
      <c r="A779" s="14" t="str">
        <f t="shared" si="172"/>
        <v>SRY-3-1</v>
      </c>
      <c r="B779" s="15">
        <f>'Curvas SRY'!$B$10</f>
        <v>3</v>
      </c>
      <c r="C779" s="15">
        <f>'Curvas SRY'!$E$8</f>
        <v>0.75</v>
      </c>
      <c r="D779" s="14" t="str">
        <f>'Curvas SRY'!$B$14</f>
        <v>Uso variable</v>
      </c>
      <c r="E779" s="14">
        <f>56</f>
        <v>56</v>
      </c>
      <c r="F779" s="21">
        <f>'Hoja 4 - Cálculo'!A80</f>
        <v>31260</v>
      </c>
      <c r="G779" s="15">
        <f>'Hoja 4 - Cálculo'!H80</f>
        <v>12.603375</v>
      </c>
      <c r="H779" s="15">
        <f>IF(D779="Uso único",'Hoja 4 - Cálculo'!I80,IF(D779="Uso múltiple",AVERAGE('Hoja 4 - Cálculo'!$I$25:$I$384)+AVERAGE('Hoja 4 - Cálculo'!$J$25:$J$384)+AVERAGE('Hoja 4 - Cálculo'!$K$25:$K$384),IF(D779="Uso prioritario",'Hoja 4 - Cálculo'!I80+'Hoja 4 - Cálculo'!K80,'Hoja 4 - Cálculo'!I80+'Hoja 4 - Cálculo'!J80+'Hoja 4 - Cálculo'!K80)))</f>
        <v>16</v>
      </c>
      <c r="I779" s="15">
        <f t="shared" si="176"/>
        <v>12</v>
      </c>
      <c r="J779" s="15">
        <f t="shared" si="173"/>
        <v>2.447894999999999</v>
      </c>
      <c r="K779" s="15">
        <f>MIN(J779+G779,(J779+G779)*'Hoja 4 - Cálculo'!$B$15)</f>
        <v>0.3010254</v>
      </c>
      <c r="L779" s="15">
        <f t="shared" si="177"/>
        <v>14.750244599999998</v>
      </c>
      <c r="M779" s="15">
        <f t="shared" si="178"/>
        <v>12</v>
      </c>
      <c r="N779" s="15">
        <f t="shared" si="179"/>
        <v>2.7502445999999985</v>
      </c>
      <c r="O779" s="15">
        <f t="shared" si="180"/>
        <v>0</v>
      </c>
      <c r="P779" s="15">
        <f t="shared" si="181"/>
        <v>0</v>
      </c>
      <c r="Q779" s="14" t="str">
        <f>IF(M779&gt;=I779*'Hoja 4 - Cálculo'!$B$16,"Satisfactorio","Falla")</f>
        <v>Satisfactorio</v>
      </c>
      <c r="R779" s="14">
        <f t="shared" si="174"/>
        <v>0</v>
      </c>
      <c r="S779" s="14">
        <f t="shared" si="175"/>
        <v>0</v>
      </c>
    </row>
    <row r="780" spans="1:19">
      <c r="A780" s="14" t="str">
        <f t="shared" si="172"/>
        <v>SRY-3-1</v>
      </c>
      <c r="B780" s="15">
        <f>'Curvas SRY'!$B$10</f>
        <v>3</v>
      </c>
      <c r="C780" s="15">
        <f>'Curvas SRY'!$E$8</f>
        <v>0.75</v>
      </c>
      <c r="D780" s="14" t="str">
        <f>'Curvas SRY'!$B$14</f>
        <v>Uso variable</v>
      </c>
      <c r="E780" s="14">
        <f>57</f>
        <v>57</v>
      </c>
      <c r="F780" s="21">
        <f>'Hoja 4 - Cálculo'!A81</f>
        <v>31291</v>
      </c>
      <c r="G780" s="15">
        <f>'Hoja 4 - Cálculo'!H81</f>
        <v>21.745125000000002</v>
      </c>
      <c r="H780" s="15">
        <f>IF(D780="Uso único",'Hoja 4 - Cálculo'!I81,IF(D780="Uso múltiple",AVERAGE('Hoja 4 - Cálculo'!$I$25:$I$384)+AVERAGE('Hoja 4 - Cálculo'!$J$25:$J$384)+AVERAGE('Hoja 4 - Cálculo'!$K$25:$K$384),IF(D780="Uso prioritario",'Hoja 4 - Cálculo'!I81+'Hoja 4 - Cálculo'!K81,'Hoja 4 - Cálculo'!I81+'Hoja 4 - Cálculo'!J81+'Hoja 4 - Cálculo'!K81)))</f>
        <v>11.5</v>
      </c>
      <c r="I780" s="15">
        <f t="shared" si="176"/>
        <v>8.625</v>
      </c>
      <c r="J780" s="15">
        <f t="shared" si="173"/>
        <v>2.7502445999999985</v>
      </c>
      <c r="K780" s="15">
        <f>MIN(J780+G780,(J780+G780)*'Hoja 4 - Cálculo'!$B$15)</f>
        <v>0.489907392</v>
      </c>
      <c r="L780" s="15">
        <f t="shared" si="177"/>
        <v>24.005462208000001</v>
      </c>
      <c r="M780" s="15">
        <f t="shared" si="178"/>
        <v>8.625</v>
      </c>
      <c r="N780" s="15">
        <f t="shared" si="179"/>
        <v>3</v>
      </c>
      <c r="O780" s="15">
        <f t="shared" si="180"/>
        <v>12.380462208000001</v>
      </c>
      <c r="P780" s="15">
        <f t="shared" si="181"/>
        <v>0</v>
      </c>
      <c r="Q780" s="14" t="str">
        <f>IF(M780&gt;=I780*'Hoja 4 - Cálculo'!$B$16,"Satisfactorio","Falla")</f>
        <v>Satisfactorio</v>
      </c>
      <c r="R780" s="14">
        <f t="shared" si="174"/>
        <v>0</v>
      </c>
      <c r="S780" s="14">
        <f t="shared" si="175"/>
        <v>0</v>
      </c>
    </row>
    <row r="781" spans="1:19">
      <c r="A781" s="14" t="str">
        <f t="shared" si="172"/>
        <v>SRY-3-1</v>
      </c>
      <c r="B781" s="15">
        <f>'Curvas SRY'!$B$10</f>
        <v>3</v>
      </c>
      <c r="C781" s="15">
        <f>'Curvas SRY'!$E$8</f>
        <v>0.75</v>
      </c>
      <c r="D781" s="14" t="str">
        <f>'Curvas SRY'!$B$14</f>
        <v>Uso variable</v>
      </c>
      <c r="E781" s="14">
        <f>58</f>
        <v>58</v>
      </c>
      <c r="F781" s="21">
        <f>'Hoja 4 - Cálculo'!A82</f>
        <v>31321</v>
      </c>
      <c r="G781" s="15">
        <f>'Hoja 4 - Cálculo'!H82</f>
        <v>27.788625</v>
      </c>
      <c r="H781" s="15">
        <f>IF(D781="Uso único",'Hoja 4 - Cálculo'!I82,IF(D781="Uso múltiple",AVERAGE('Hoja 4 - Cálculo'!$I$25:$I$384)+AVERAGE('Hoja 4 - Cálculo'!$J$25:$J$384)+AVERAGE('Hoja 4 - Cálculo'!$K$25:$K$384),IF(D781="Uso prioritario",'Hoja 4 - Cálculo'!I82+'Hoja 4 - Cálculo'!K82,'Hoja 4 - Cálculo'!I82+'Hoja 4 - Cálculo'!J82+'Hoja 4 - Cálculo'!K82)))</f>
        <v>11.5</v>
      </c>
      <c r="I781" s="15">
        <f t="shared" si="176"/>
        <v>8.625</v>
      </c>
      <c r="J781" s="15">
        <f t="shared" si="173"/>
        <v>3</v>
      </c>
      <c r="K781" s="15">
        <f>MIN(J781+G781,(J781+G781)*'Hoja 4 - Cálculo'!$B$15)</f>
        <v>0.61577250000000006</v>
      </c>
      <c r="L781" s="15">
        <f t="shared" si="177"/>
        <v>30.172852500000001</v>
      </c>
      <c r="M781" s="15">
        <f t="shared" si="178"/>
        <v>8.625</v>
      </c>
      <c r="N781" s="15">
        <f t="shared" si="179"/>
        <v>3</v>
      </c>
      <c r="O781" s="15">
        <f t="shared" si="180"/>
        <v>18.547852500000001</v>
      </c>
      <c r="P781" s="15">
        <f t="shared" si="181"/>
        <v>0</v>
      </c>
      <c r="Q781" s="14" t="str">
        <f>IF(M781&gt;=I781*'Hoja 4 - Cálculo'!$B$16,"Satisfactorio","Falla")</f>
        <v>Satisfactorio</v>
      </c>
      <c r="R781" s="14">
        <f t="shared" si="174"/>
        <v>0</v>
      </c>
      <c r="S781" s="14">
        <f t="shared" si="175"/>
        <v>0</v>
      </c>
    </row>
    <row r="782" spans="1:19">
      <c r="A782" s="14" t="str">
        <f t="shared" si="172"/>
        <v>SRY-3-1</v>
      </c>
      <c r="B782" s="15">
        <f>'Curvas SRY'!$B$10</f>
        <v>3</v>
      </c>
      <c r="C782" s="15">
        <f>'Curvas SRY'!$E$8</f>
        <v>0.75</v>
      </c>
      <c r="D782" s="14" t="str">
        <f>'Curvas SRY'!$B$14</f>
        <v>Uso variable</v>
      </c>
      <c r="E782" s="14">
        <f>59</f>
        <v>59</v>
      </c>
      <c r="F782" s="21">
        <f>'Hoja 4 - Cálculo'!A83</f>
        <v>31352</v>
      </c>
      <c r="G782" s="15">
        <f>'Hoja 4 - Cálculo'!H83</f>
        <v>22.22325</v>
      </c>
      <c r="H782" s="15">
        <f>IF(D782="Uso único",'Hoja 4 - Cálculo'!I83,IF(D782="Uso múltiple",AVERAGE('Hoja 4 - Cálculo'!$I$25:$I$384)+AVERAGE('Hoja 4 - Cálculo'!$J$25:$J$384)+AVERAGE('Hoja 4 - Cálculo'!$K$25:$K$384),IF(D782="Uso prioritario",'Hoja 4 - Cálculo'!I83+'Hoja 4 - Cálculo'!K83,'Hoja 4 - Cálculo'!I83+'Hoja 4 - Cálculo'!J83+'Hoja 4 - Cálculo'!K83)))</f>
        <v>11.5</v>
      </c>
      <c r="I782" s="15">
        <f t="shared" si="176"/>
        <v>8.625</v>
      </c>
      <c r="J782" s="15">
        <f t="shared" si="173"/>
        <v>3</v>
      </c>
      <c r="K782" s="15">
        <f>MIN(J782+G782,(J782+G782)*'Hoja 4 - Cálculo'!$B$15)</f>
        <v>0.50446500000000005</v>
      </c>
      <c r="L782" s="15">
        <f t="shared" si="177"/>
        <v>24.718785</v>
      </c>
      <c r="M782" s="15">
        <f t="shared" si="178"/>
        <v>8.625</v>
      </c>
      <c r="N782" s="15">
        <f t="shared" si="179"/>
        <v>3</v>
      </c>
      <c r="O782" s="15">
        <f t="shared" si="180"/>
        <v>13.093785</v>
      </c>
      <c r="P782" s="15">
        <f t="shared" si="181"/>
        <v>0</v>
      </c>
      <c r="Q782" s="14" t="str">
        <f>IF(M782&gt;=I782*'Hoja 4 - Cálculo'!$B$16,"Satisfactorio","Falla")</f>
        <v>Satisfactorio</v>
      </c>
      <c r="R782" s="14">
        <f t="shared" si="174"/>
        <v>0</v>
      </c>
      <c r="S782" s="14">
        <f t="shared" si="175"/>
        <v>0</v>
      </c>
    </row>
    <row r="783" spans="1:19">
      <c r="A783" s="14" t="str">
        <f t="shared" si="172"/>
        <v>SRY-3-1</v>
      </c>
      <c r="B783" s="15">
        <f>'Curvas SRY'!$B$10</f>
        <v>3</v>
      </c>
      <c r="C783" s="15">
        <f>'Curvas SRY'!$E$8</f>
        <v>0.75</v>
      </c>
      <c r="D783" s="14" t="str">
        <f>'Curvas SRY'!$B$14</f>
        <v>Uso variable</v>
      </c>
      <c r="E783" s="14">
        <f>60</f>
        <v>60</v>
      </c>
      <c r="F783" s="21">
        <f>'Hoja 4 - Cálculo'!A84</f>
        <v>31382</v>
      </c>
      <c r="G783" s="15">
        <f>'Hoja 4 - Cálculo'!H84</f>
        <v>14.171625000000001</v>
      </c>
      <c r="H783" s="15">
        <f>IF(D783="Uso único",'Hoja 4 - Cálculo'!I84,IF(D783="Uso múltiple",AVERAGE('Hoja 4 - Cálculo'!$I$25:$I$384)+AVERAGE('Hoja 4 - Cálculo'!$J$25:$J$384)+AVERAGE('Hoja 4 - Cálculo'!$K$25:$K$384),IF(D783="Uso prioritario",'Hoja 4 - Cálculo'!I84+'Hoja 4 - Cálculo'!K84,'Hoja 4 - Cálculo'!I84+'Hoja 4 - Cálculo'!J84+'Hoja 4 - Cálculo'!K84)))</f>
        <v>16</v>
      </c>
      <c r="I783" s="15">
        <f t="shared" si="176"/>
        <v>12</v>
      </c>
      <c r="J783" s="15">
        <f t="shared" si="173"/>
        <v>3</v>
      </c>
      <c r="K783" s="15">
        <f>MIN(J783+G783,(J783+G783)*'Hoja 4 - Cálculo'!$B$15)</f>
        <v>0.34343249999999997</v>
      </c>
      <c r="L783" s="15">
        <f t="shared" si="177"/>
        <v>16.8281925</v>
      </c>
      <c r="M783" s="15">
        <f t="shared" si="178"/>
        <v>12</v>
      </c>
      <c r="N783" s="15">
        <f t="shared" si="179"/>
        <v>3</v>
      </c>
      <c r="O783" s="15">
        <f t="shared" si="180"/>
        <v>1.8281925000000001</v>
      </c>
      <c r="P783" s="15">
        <f t="shared" si="181"/>
        <v>0</v>
      </c>
      <c r="Q783" s="14" t="str">
        <f>IF(M783&gt;=I783*'Hoja 4 - Cálculo'!$B$16,"Satisfactorio","Falla")</f>
        <v>Satisfactorio</v>
      </c>
      <c r="R783" s="14">
        <f t="shared" si="174"/>
        <v>0</v>
      </c>
      <c r="S783" s="14">
        <f t="shared" si="175"/>
        <v>0</v>
      </c>
    </row>
    <row r="784" spans="1:19">
      <c r="A784" s="14" t="str">
        <f t="shared" si="172"/>
        <v>SRY-3-1</v>
      </c>
      <c r="B784" s="15">
        <f>'Curvas SRY'!$B$10</f>
        <v>3</v>
      </c>
      <c r="C784" s="15">
        <f>'Curvas SRY'!$E$8</f>
        <v>0.75</v>
      </c>
      <c r="D784" s="14" t="str">
        <f>'Curvas SRY'!$B$14</f>
        <v>Uso variable</v>
      </c>
      <c r="E784" s="14">
        <f>61</f>
        <v>61</v>
      </c>
      <c r="F784" s="21">
        <f>'Hoja 4 - Cálculo'!A85</f>
        <v>31413</v>
      </c>
      <c r="G784" s="15">
        <f>'Hoja 4 - Cálculo'!H85</f>
        <v>12.641624999999999</v>
      </c>
      <c r="H784" s="15">
        <f>IF(D784="Uso único",'Hoja 4 - Cálculo'!I85,IF(D784="Uso múltiple",AVERAGE('Hoja 4 - Cálculo'!$I$25:$I$384)+AVERAGE('Hoja 4 - Cálculo'!$J$25:$J$384)+AVERAGE('Hoja 4 - Cálculo'!$K$25:$K$384),IF(D784="Uso prioritario",'Hoja 4 - Cálculo'!I85+'Hoja 4 - Cálculo'!K85,'Hoja 4 - Cálculo'!I85+'Hoja 4 - Cálculo'!J85+'Hoja 4 - Cálculo'!K85)))</f>
        <v>16</v>
      </c>
      <c r="I784" s="15">
        <f t="shared" si="176"/>
        <v>12</v>
      </c>
      <c r="J784" s="15">
        <f t="shared" si="173"/>
        <v>3</v>
      </c>
      <c r="K784" s="15">
        <f>MIN(J784+G784,(J784+G784)*'Hoja 4 - Cálculo'!$B$15)</f>
        <v>0.31283250000000001</v>
      </c>
      <c r="L784" s="15">
        <f t="shared" si="177"/>
        <v>15.328792499999999</v>
      </c>
      <c r="M784" s="15">
        <f t="shared" si="178"/>
        <v>12</v>
      </c>
      <c r="N784" s="15">
        <f t="shared" si="179"/>
        <v>3</v>
      </c>
      <c r="O784" s="15">
        <f t="shared" si="180"/>
        <v>0.32879249999999871</v>
      </c>
      <c r="P784" s="15">
        <f t="shared" si="181"/>
        <v>0</v>
      </c>
      <c r="Q784" s="14" t="str">
        <f>IF(M784&gt;=I784*'Hoja 4 - Cálculo'!$B$16,"Satisfactorio","Falla")</f>
        <v>Satisfactorio</v>
      </c>
      <c r="R784" s="14">
        <f t="shared" si="174"/>
        <v>0</v>
      </c>
      <c r="S784" s="14">
        <f t="shared" si="175"/>
        <v>0</v>
      </c>
    </row>
    <row r="785" spans="1:19">
      <c r="A785" s="14" t="str">
        <f t="shared" si="172"/>
        <v>SRY-3-1</v>
      </c>
      <c r="B785" s="15">
        <f>'Curvas SRY'!$B$10</f>
        <v>3</v>
      </c>
      <c r="C785" s="15">
        <f>'Curvas SRY'!$E$8</f>
        <v>0.75</v>
      </c>
      <c r="D785" s="14" t="str">
        <f>'Curvas SRY'!$B$14</f>
        <v>Uso variable</v>
      </c>
      <c r="E785" s="14">
        <f>62</f>
        <v>62</v>
      </c>
      <c r="F785" s="21">
        <f>'Hoja 4 - Cálculo'!A86</f>
        <v>31444</v>
      </c>
      <c r="G785" s="15">
        <f>'Hoja 4 - Cálculo'!H86</f>
        <v>15.357374999999999</v>
      </c>
      <c r="H785" s="15">
        <f>IF(D785="Uso único",'Hoja 4 - Cálculo'!I86,IF(D785="Uso múltiple",AVERAGE('Hoja 4 - Cálculo'!$I$25:$I$384)+AVERAGE('Hoja 4 - Cálculo'!$J$25:$J$384)+AVERAGE('Hoja 4 - Cálculo'!$K$25:$K$384),IF(D785="Uso prioritario",'Hoja 4 - Cálculo'!I86+'Hoja 4 - Cálculo'!K86,'Hoja 4 - Cálculo'!I86+'Hoja 4 - Cálculo'!J86+'Hoja 4 - Cálculo'!K86)))</f>
        <v>16</v>
      </c>
      <c r="I785" s="15">
        <f t="shared" si="176"/>
        <v>12</v>
      </c>
      <c r="J785" s="15">
        <f t="shared" si="173"/>
        <v>3</v>
      </c>
      <c r="K785" s="15">
        <f>MIN(J785+G785,(J785+G785)*'Hoja 4 - Cálculo'!$B$15)</f>
        <v>0.36714749999999996</v>
      </c>
      <c r="L785" s="15">
        <f t="shared" si="177"/>
        <v>17.990227499999996</v>
      </c>
      <c r="M785" s="15">
        <f t="shared" si="178"/>
        <v>12</v>
      </c>
      <c r="N785" s="15">
        <f t="shared" si="179"/>
        <v>3</v>
      </c>
      <c r="O785" s="15">
        <f t="shared" si="180"/>
        <v>2.990227499999996</v>
      </c>
      <c r="P785" s="15">
        <f t="shared" si="181"/>
        <v>0</v>
      </c>
      <c r="Q785" s="14" t="str">
        <f>IF(M785&gt;=I785*'Hoja 4 - Cálculo'!$B$16,"Satisfactorio","Falla")</f>
        <v>Satisfactorio</v>
      </c>
      <c r="R785" s="14">
        <f t="shared" si="174"/>
        <v>0</v>
      </c>
      <c r="S785" s="14">
        <f t="shared" si="175"/>
        <v>0</v>
      </c>
    </row>
    <row r="786" spans="1:19">
      <c r="A786" s="14" t="str">
        <f t="shared" si="172"/>
        <v>SRY-3-1</v>
      </c>
      <c r="B786" s="15">
        <f>'Curvas SRY'!$B$10</f>
        <v>3</v>
      </c>
      <c r="C786" s="15">
        <f>'Curvas SRY'!$E$8</f>
        <v>0.75</v>
      </c>
      <c r="D786" s="14" t="str">
        <f>'Curvas SRY'!$B$14</f>
        <v>Uso variable</v>
      </c>
      <c r="E786" s="14">
        <f>63</f>
        <v>63</v>
      </c>
      <c r="F786" s="21">
        <f>'Hoja 4 - Cálculo'!A87</f>
        <v>31472</v>
      </c>
      <c r="G786" s="15">
        <f>'Hoja 4 - Cálculo'!H87</f>
        <v>20.846250000000001</v>
      </c>
      <c r="H786" s="15">
        <f>IF(D786="Uso único",'Hoja 4 - Cálculo'!I87,IF(D786="Uso múltiple",AVERAGE('Hoja 4 - Cálculo'!$I$25:$I$384)+AVERAGE('Hoja 4 - Cálculo'!$J$25:$J$384)+AVERAGE('Hoja 4 - Cálculo'!$K$25:$K$384),IF(D786="Uso prioritario",'Hoja 4 - Cálculo'!I87+'Hoja 4 - Cálculo'!K87,'Hoja 4 - Cálculo'!I87+'Hoja 4 - Cálculo'!J87+'Hoja 4 - Cálculo'!K87)))</f>
        <v>16</v>
      </c>
      <c r="I786" s="15">
        <f t="shared" si="176"/>
        <v>12</v>
      </c>
      <c r="J786" s="15">
        <f t="shared" si="173"/>
        <v>3</v>
      </c>
      <c r="K786" s="15">
        <f>MIN(J786+G786,(J786+G786)*'Hoja 4 - Cálculo'!$B$15)</f>
        <v>0.47692500000000004</v>
      </c>
      <c r="L786" s="15">
        <f t="shared" si="177"/>
        <v>23.369325</v>
      </c>
      <c r="M786" s="15">
        <f t="shared" si="178"/>
        <v>12</v>
      </c>
      <c r="N786" s="15">
        <f t="shared" si="179"/>
        <v>3</v>
      </c>
      <c r="O786" s="15">
        <f t="shared" si="180"/>
        <v>8.3693249999999999</v>
      </c>
      <c r="P786" s="15">
        <f t="shared" si="181"/>
        <v>0</v>
      </c>
      <c r="Q786" s="14" t="str">
        <f>IF(M786&gt;=I786*'Hoja 4 - Cálculo'!$B$16,"Satisfactorio","Falla")</f>
        <v>Satisfactorio</v>
      </c>
      <c r="R786" s="14">
        <f t="shared" si="174"/>
        <v>0</v>
      </c>
      <c r="S786" s="14">
        <f t="shared" si="175"/>
        <v>0</v>
      </c>
    </row>
    <row r="787" spans="1:19">
      <c r="A787" s="14" t="str">
        <f t="shared" si="172"/>
        <v>SRY-3-1</v>
      </c>
      <c r="B787" s="15">
        <f>'Curvas SRY'!$B$10</f>
        <v>3</v>
      </c>
      <c r="C787" s="15">
        <f>'Curvas SRY'!$E$8</f>
        <v>0.75</v>
      </c>
      <c r="D787" s="14" t="str">
        <f>'Curvas SRY'!$B$14</f>
        <v>Uso variable</v>
      </c>
      <c r="E787" s="14">
        <f>64</f>
        <v>64</v>
      </c>
      <c r="F787" s="21">
        <f>'Hoja 4 - Cálculo'!A88</f>
        <v>31503</v>
      </c>
      <c r="G787" s="15">
        <f>'Hoja 4 - Cálculo'!H88</f>
        <v>30.638249999999999</v>
      </c>
      <c r="H787" s="15">
        <f>IF(D787="Uso único",'Hoja 4 - Cálculo'!I88,IF(D787="Uso múltiple",AVERAGE('Hoja 4 - Cálculo'!$I$25:$I$384)+AVERAGE('Hoja 4 - Cálculo'!$J$25:$J$384)+AVERAGE('Hoja 4 - Cálculo'!$K$25:$K$384),IF(D787="Uso prioritario",'Hoja 4 - Cálculo'!I88+'Hoja 4 - Cálculo'!K88,'Hoja 4 - Cálculo'!I88+'Hoja 4 - Cálculo'!J88+'Hoja 4 - Cálculo'!K88)))</f>
        <v>11.5</v>
      </c>
      <c r="I787" s="15">
        <f t="shared" si="176"/>
        <v>8.625</v>
      </c>
      <c r="J787" s="15">
        <f t="shared" si="173"/>
        <v>3</v>
      </c>
      <c r="K787" s="15">
        <f>MIN(J787+G787,(J787+G787)*'Hoja 4 - Cálculo'!$B$15)</f>
        <v>0.67276499999999995</v>
      </c>
      <c r="L787" s="15">
        <f t="shared" si="177"/>
        <v>32.965485000000001</v>
      </c>
      <c r="M787" s="15">
        <f t="shared" si="178"/>
        <v>8.625</v>
      </c>
      <c r="N787" s="15">
        <f t="shared" si="179"/>
        <v>3</v>
      </c>
      <c r="O787" s="15">
        <f t="shared" si="180"/>
        <v>21.340485000000001</v>
      </c>
      <c r="P787" s="15">
        <f t="shared" si="181"/>
        <v>0</v>
      </c>
      <c r="Q787" s="14" t="str">
        <f>IF(M787&gt;=I787*'Hoja 4 - Cálculo'!$B$16,"Satisfactorio","Falla")</f>
        <v>Satisfactorio</v>
      </c>
      <c r="R787" s="14">
        <f t="shared" si="174"/>
        <v>0</v>
      </c>
      <c r="S787" s="14">
        <f t="shared" si="175"/>
        <v>0</v>
      </c>
    </row>
    <row r="788" spans="1:19">
      <c r="A788" s="14" t="str">
        <f t="shared" ref="A788:A819" si="182">"SRY-3-1"</f>
        <v>SRY-3-1</v>
      </c>
      <c r="B788" s="15">
        <f>'Curvas SRY'!$B$10</f>
        <v>3</v>
      </c>
      <c r="C788" s="15">
        <f>'Curvas SRY'!$E$8</f>
        <v>0.75</v>
      </c>
      <c r="D788" s="14" t="str">
        <f>'Curvas SRY'!$B$14</f>
        <v>Uso variable</v>
      </c>
      <c r="E788" s="14">
        <f>65</f>
        <v>65</v>
      </c>
      <c r="F788" s="21">
        <f>'Hoja 4 - Cálculo'!A89</f>
        <v>31533</v>
      </c>
      <c r="G788" s="15">
        <f>'Hoja 4 - Cálculo'!H89</f>
        <v>28.438874999999999</v>
      </c>
      <c r="H788" s="15">
        <f>IF(D788="Uso único",'Hoja 4 - Cálculo'!I89,IF(D788="Uso múltiple",AVERAGE('Hoja 4 - Cálculo'!$I$25:$I$384)+AVERAGE('Hoja 4 - Cálculo'!$J$25:$J$384)+AVERAGE('Hoja 4 - Cálculo'!$K$25:$K$384),IF(D788="Uso prioritario",'Hoja 4 - Cálculo'!I89+'Hoja 4 - Cálculo'!K89,'Hoja 4 - Cálculo'!I89+'Hoja 4 - Cálculo'!J89+'Hoja 4 - Cálculo'!K89)))</f>
        <v>11.5</v>
      </c>
      <c r="I788" s="15">
        <f t="shared" si="176"/>
        <v>8.625</v>
      </c>
      <c r="J788" s="15">
        <f t="shared" si="173"/>
        <v>3</v>
      </c>
      <c r="K788" s="15">
        <f>MIN(J788+G788,(J788+G788)*'Hoja 4 - Cálculo'!$B$15)</f>
        <v>0.62877749999999999</v>
      </c>
      <c r="L788" s="15">
        <f t="shared" si="177"/>
        <v>30.810097499999998</v>
      </c>
      <c r="M788" s="15">
        <f t="shared" si="178"/>
        <v>8.625</v>
      </c>
      <c r="N788" s="15">
        <f t="shared" si="179"/>
        <v>3</v>
      </c>
      <c r="O788" s="15">
        <f t="shared" si="180"/>
        <v>19.185097499999998</v>
      </c>
      <c r="P788" s="15">
        <f t="shared" si="181"/>
        <v>0</v>
      </c>
      <c r="Q788" s="14" t="str">
        <f>IF(M788&gt;=I788*'Hoja 4 - Cálculo'!$B$16,"Satisfactorio","Falla")</f>
        <v>Satisfactorio</v>
      </c>
      <c r="R788" s="14">
        <f t="shared" si="174"/>
        <v>0</v>
      </c>
      <c r="S788" s="14">
        <f t="shared" si="175"/>
        <v>0</v>
      </c>
    </row>
    <row r="789" spans="1:19">
      <c r="A789" s="14" t="str">
        <f t="shared" si="182"/>
        <v>SRY-3-1</v>
      </c>
      <c r="B789" s="15">
        <f>'Curvas SRY'!$B$10</f>
        <v>3</v>
      </c>
      <c r="C789" s="15">
        <f>'Curvas SRY'!$E$8</f>
        <v>0.75</v>
      </c>
      <c r="D789" s="14" t="str">
        <f>'Curvas SRY'!$B$14</f>
        <v>Uso variable</v>
      </c>
      <c r="E789" s="14">
        <f>66</f>
        <v>66</v>
      </c>
      <c r="F789" s="21">
        <f>'Hoja 4 - Cálculo'!A90</f>
        <v>31564</v>
      </c>
      <c r="G789" s="15">
        <f>'Hoja 4 - Cálculo'!H90</f>
        <v>16.007625000000001</v>
      </c>
      <c r="H789" s="15">
        <f>IF(D789="Uso único",'Hoja 4 - Cálculo'!I90,IF(D789="Uso múltiple",AVERAGE('Hoja 4 - Cálculo'!$I$25:$I$384)+AVERAGE('Hoja 4 - Cálculo'!$J$25:$J$384)+AVERAGE('Hoja 4 - Cálculo'!$K$25:$K$384),IF(D789="Uso prioritario",'Hoja 4 - Cálculo'!I90+'Hoja 4 - Cálculo'!K90,'Hoja 4 - Cálculo'!I90+'Hoja 4 - Cálculo'!J90+'Hoja 4 - Cálculo'!K90)))</f>
        <v>11.5</v>
      </c>
      <c r="I789" s="15">
        <f t="shared" si="176"/>
        <v>8.625</v>
      </c>
      <c r="J789" s="15">
        <f t="shared" ref="J789:J820" si="183">N788</f>
        <v>3</v>
      </c>
      <c r="K789" s="15">
        <f>MIN(J789+G789,(J789+G789)*'Hoja 4 - Cálculo'!$B$15)</f>
        <v>0.3801525</v>
      </c>
      <c r="L789" s="15">
        <f t="shared" si="177"/>
        <v>18.6274725</v>
      </c>
      <c r="M789" s="15">
        <f t="shared" si="178"/>
        <v>8.625</v>
      </c>
      <c r="N789" s="15">
        <f t="shared" si="179"/>
        <v>3</v>
      </c>
      <c r="O789" s="15">
        <f t="shared" si="180"/>
        <v>7.0024724999999997</v>
      </c>
      <c r="P789" s="15">
        <f t="shared" si="181"/>
        <v>0</v>
      </c>
      <c r="Q789" s="14" t="str">
        <f>IF(M789&gt;=I789*'Hoja 4 - Cálculo'!$B$16,"Satisfactorio","Falla")</f>
        <v>Satisfactorio</v>
      </c>
      <c r="R789" s="14">
        <f t="shared" ref="R789:R820" si="184">IF(AND(Q788="Falla",Q789="Satisfactorio"),1,0)</f>
        <v>0</v>
      </c>
      <c r="S789" s="14">
        <f t="shared" ref="S789:S820" si="185">IF(AND(Q789="Falla",Q788&lt;&gt;"Falla"),1,0)</f>
        <v>0</v>
      </c>
    </row>
    <row r="790" spans="1:19">
      <c r="A790" s="14" t="str">
        <f t="shared" si="182"/>
        <v>SRY-3-1</v>
      </c>
      <c r="B790" s="15">
        <f>'Curvas SRY'!$B$10</f>
        <v>3</v>
      </c>
      <c r="C790" s="15">
        <f>'Curvas SRY'!$E$8</f>
        <v>0.75</v>
      </c>
      <c r="D790" s="14" t="str">
        <f>'Curvas SRY'!$B$14</f>
        <v>Uso variable</v>
      </c>
      <c r="E790" s="14">
        <f>67</f>
        <v>67</v>
      </c>
      <c r="F790" s="21">
        <f>'Hoja 4 - Cálculo'!A91</f>
        <v>31594</v>
      </c>
      <c r="G790" s="15">
        <f>'Hoja 4 - Cálculo'!H91</f>
        <v>14.056875</v>
      </c>
      <c r="H790" s="15">
        <f>IF(D790="Uso único",'Hoja 4 - Cálculo'!I91,IF(D790="Uso múltiple",AVERAGE('Hoja 4 - Cálculo'!$I$25:$I$384)+AVERAGE('Hoja 4 - Cálculo'!$J$25:$J$384)+AVERAGE('Hoja 4 - Cálculo'!$K$25:$K$384),IF(D790="Uso prioritario",'Hoja 4 - Cálculo'!I91+'Hoja 4 - Cálculo'!K91,'Hoja 4 - Cálculo'!I91+'Hoja 4 - Cálculo'!J91+'Hoja 4 - Cálculo'!K91)))</f>
        <v>16</v>
      </c>
      <c r="I790" s="15">
        <f t="shared" si="176"/>
        <v>12</v>
      </c>
      <c r="J790" s="15">
        <f t="shared" si="183"/>
        <v>3</v>
      </c>
      <c r="K790" s="15">
        <f>MIN(J790+G790,(J790+G790)*'Hoja 4 - Cálculo'!$B$15)</f>
        <v>0.34113749999999998</v>
      </c>
      <c r="L790" s="15">
        <f t="shared" si="177"/>
        <v>16.715737499999999</v>
      </c>
      <c r="M790" s="15">
        <f t="shared" si="178"/>
        <v>12</v>
      </c>
      <c r="N790" s="15">
        <f t="shared" si="179"/>
        <v>3</v>
      </c>
      <c r="O790" s="15">
        <f t="shared" si="180"/>
        <v>1.7157374999999995</v>
      </c>
      <c r="P790" s="15">
        <f t="shared" si="181"/>
        <v>0</v>
      </c>
      <c r="Q790" s="14" t="str">
        <f>IF(M790&gt;=I790*'Hoja 4 - Cálculo'!$B$16,"Satisfactorio","Falla")</f>
        <v>Satisfactorio</v>
      </c>
      <c r="R790" s="14">
        <f t="shared" si="184"/>
        <v>0</v>
      </c>
      <c r="S790" s="14">
        <f t="shared" si="185"/>
        <v>0</v>
      </c>
    </row>
    <row r="791" spans="1:19">
      <c r="A791" s="14" t="str">
        <f t="shared" si="182"/>
        <v>SRY-3-1</v>
      </c>
      <c r="B791" s="15">
        <f>'Curvas SRY'!$B$10</f>
        <v>3</v>
      </c>
      <c r="C791" s="15">
        <f>'Curvas SRY'!$E$8</f>
        <v>0.75</v>
      </c>
      <c r="D791" s="14" t="str">
        <f>'Curvas SRY'!$B$14</f>
        <v>Uso variable</v>
      </c>
      <c r="E791" s="14">
        <f>68</f>
        <v>68</v>
      </c>
      <c r="F791" s="21">
        <f>'Hoja 4 - Cálculo'!A92</f>
        <v>31625</v>
      </c>
      <c r="G791" s="15">
        <f>'Hoja 4 - Cálculo'!H92</f>
        <v>15.032249999999999</v>
      </c>
      <c r="H791" s="15">
        <f>IF(D791="Uso único",'Hoja 4 - Cálculo'!I92,IF(D791="Uso múltiple",AVERAGE('Hoja 4 - Cálculo'!$I$25:$I$384)+AVERAGE('Hoja 4 - Cálculo'!$J$25:$J$384)+AVERAGE('Hoja 4 - Cálculo'!$K$25:$K$384),IF(D791="Uso prioritario",'Hoja 4 - Cálculo'!I92+'Hoja 4 - Cálculo'!K92,'Hoja 4 - Cálculo'!I92+'Hoja 4 - Cálculo'!J92+'Hoja 4 - Cálculo'!K92)))</f>
        <v>16</v>
      </c>
      <c r="I791" s="15">
        <f t="shared" si="176"/>
        <v>12</v>
      </c>
      <c r="J791" s="15">
        <f t="shared" si="183"/>
        <v>3</v>
      </c>
      <c r="K791" s="15">
        <f>MIN(J791+G791,(J791+G791)*'Hoja 4 - Cálculo'!$B$15)</f>
        <v>0.36064499999999994</v>
      </c>
      <c r="L791" s="15">
        <f t="shared" si="177"/>
        <v>17.671604999999996</v>
      </c>
      <c r="M791" s="15">
        <f t="shared" si="178"/>
        <v>12</v>
      </c>
      <c r="N791" s="15">
        <f t="shared" si="179"/>
        <v>3</v>
      </c>
      <c r="O791" s="15">
        <f t="shared" si="180"/>
        <v>2.671604999999996</v>
      </c>
      <c r="P791" s="15">
        <f t="shared" si="181"/>
        <v>0</v>
      </c>
      <c r="Q791" s="14" t="str">
        <f>IF(M791&gt;=I791*'Hoja 4 - Cálculo'!$B$16,"Satisfactorio","Falla")</f>
        <v>Satisfactorio</v>
      </c>
      <c r="R791" s="14">
        <f t="shared" si="184"/>
        <v>0</v>
      </c>
      <c r="S791" s="14">
        <f t="shared" si="185"/>
        <v>0</v>
      </c>
    </row>
    <row r="792" spans="1:19">
      <c r="A792" s="14" t="str">
        <f t="shared" si="182"/>
        <v>SRY-3-1</v>
      </c>
      <c r="B792" s="15">
        <f>'Curvas SRY'!$B$10</f>
        <v>3</v>
      </c>
      <c r="C792" s="15">
        <f>'Curvas SRY'!$E$8</f>
        <v>0.75</v>
      </c>
      <c r="D792" s="14" t="str">
        <f>'Curvas SRY'!$B$14</f>
        <v>Uso variable</v>
      </c>
      <c r="E792" s="14">
        <f>69</f>
        <v>69</v>
      </c>
      <c r="F792" s="21">
        <f>'Hoja 4 - Cálculo'!A93</f>
        <v>31656</v>
      </c>
      <c r="G792" s="15">
        <f>'Hoja 4 - Cálculo'!H93</f>
        <v>22.60575</v>
      </c>
      <c r="H792" s="15">
        <f>IF(D792="Uso único",'Hoja 4 - Cálculo'!I93,IF(D792="Uso múltiple",AVERAGE('Hoja 4 - Cálculo'!$I$25:$I$384)+AVERAGE('Hoja 4 - Cálculo'!$J$25:$J$384)+AVERAGE('Hoja 4 - Cálculo'!$K$25:$K$384),IF(D792="Uso prioritario",'Hoja 4 - Cálculo'!I93+'Hoja 4 - Cálculo'!K93,'Hoja 4 - Cálculo'!I93+'Hoja 4 - Cálculo'!J93+'Hoja 4 - Cálculo'!K93)))</f>
        <v>11.5</v>
      </c>
      <c r="I792" s="15">
        <f t="shared" si="176"/>
        <v>8.625</v>
      </c>
      <c r="J792" s="15">
        <f t="shared" si="183"/>
        <v>3</v>
      </c>
      <c r="K792" s="15">
        <f>MIN(J792+G792,(J792+G792)*'Hoja 4 - Cálculo'!$B$15)</f>
        <v>0.51211499999999999</v>
      </c>
      <c r="L792" s="15">
        <f t="shared" si="177"/>
        <v>25.093634999999999</v>
      </c>
      <c r="M792" s="15">
        <f t="shared" si="178"/>
        <v>8.625</v>
      </c>
      <c r="N792" s="15">
        <f t="shared" si="179"/>
        <v>3</v>
      </c>
      <c r="O792" s="15">
        <f t="shared" si="180"/>
        <v>13.468634999999999</v>
      </c>
      <c r="P792" s="15">
        <f t="shared" si="181"/>
        <v>0</v>
      </c>
      <c r="Q792" s="14" t="str">
        <f>IF(M792&gt;=I792*'Hoja 4 - Cálculo'!$B$16,"Satisfactorio","Falla")</f>
        <v>Satisfactorio</v>
      </c>
      <c r="R792" s="14">
        <f t="shared" si="184"/>
        <v>0</v>
      </c>
      <c r="S792" s="14">
        <f t="shared" si="185"/>
        <v>0</v>
      </c>
    </row>
    <row r="793" spans="1:19">
      <c r="A793" s="14" t="str">
        <f t="shared" si="182"/>
        <v>SRY-3-1</v>
      </c>
      <c r="B793" s="15">
        <f>'Curvas SRY'!$B$10</f>
        <v>3</v>
      </c>
      <c r="C793" s="15">
        <f>'Curvas SRY'!$E$8</f>
        <v>0.75</v>
      </c>
      <c r="D793" s="14" t="str">
        <f>'Curvas SRY'!$B$14</f>
        <v>Uso variable</v>
      </c>
      <c r="E793" s="14">
        <f>70</f>
        <v>70</v>
      </c>
      <c r="F793" s="21">
        <f>'Hoja 4 - Cálculo'!A94</f>
        <v>31686</v>
      </c>
      <c r="G793" s="15">
        <f>'Hoja 4 - Cálculo'!H94</f>
        <v>32.531624999999998</v>
      </c>
      <c r="H793" s="15">
        <f>IF(D793="Uso único",'Hoja 4 - Cálculo'!I94,IF(D793="Uso múltiple",AVERAGE('Hoja 4 - Cálculo'!$I$25:$I$384)+AVERAGE('Hoja 4 - Cálculo'!$J$25:$J$384)+AVERAGE('Hoja 4 - Cálculo'!$K$25:$K$384),IF(D793="Uso prioritario",'Hoja 4 - Cálculo'!I94+'Hoja 4 - Cálculo'!K94,'Hoja 4 - Cálculo'!I94+'Hoja 4 - Cálculo'!J94+'Hoja 4 - Cálculo'!K94)))</f>
        <v>11.5</v>
      </c>
      <c r="I793" s="15">
        <f t="shared" si="176"/>
        <v>8.625</v>
      </c>
      <c r="J793" s="15">
        <f t="shared" si="183"/>
        <v>3</v>
      </c>
      <c r="K793" s="15">
        <f>MIN(J793+G793,(J793+G793)*'Hoja 4 - Cálculo'!$B$15)</f>
        <v>0.7106325</v>
      </c>
      <c r="L793" s="15">
        <f t="shared" si="177"/>
        <v>34.820992499999996</v>
      </c>
      <c r="M793" s="15">
        <f t="shared" si="178"/>
        <v>8.625</v>
      </c>
      <c r="N793" s="15">
        <f t="shared" si="179"/>
        <v>3</v>
      </c>
      <c r="O793" s="15">
        <f t="shared" si="180"/>
        <v>23.195992499999996</v>
      </c>
      <c r="P793" s="15">
        <f t="shared" si="181"/>
        <v>0</v>
      </c>
      <c r="Q793" s="14" t="str">
        <f>IF(M793&gt;=I793*'Hoja 4 - Cálculo'!$B$16,"Satisfactorio","Falla")</f>
        <v>Satisfactorio</v>
      </c>
      <c r="R793" s="14">
        <f t="shared" si="184"/>
        <v>0</v>
      </c>
      <c r="S793" s="14">
        <f t="shared" si="185"/>
        <v>0</v>
      </c>
    </row>
    <row r="794" spans="1:19">
      <c r="A794" s="14" t="str">
        <f t="shared" si="182"/>
        <v>SRY-3-1</v>
      </c>
      <c r="B794" s="15">
        <f>'Curvas SRY'!$B$10</f>
        <v>3</v>
      </c>
      <c r="C794" s="15">
        <f>'Curvas SRY'!$E$8</f>
        <v>0.75</v>
      </c>
      <c r="D794" s="14" t="str">
        <f>'Curvas SRY'!$B$14</f>
        <v>Uso variable</v>
      </c>
      <c r="E794" s="14">
        <f>71</f>
        <v>71</v>
      </c>
      <c r="F794" s="21">
        <f>'Hoja 4 - Cálculo'!A95</f>
        <v>31717</v>
      </c>
      <c r="G794" s="15">
        <f>'Hoja 4 - Cálculo'!H95</f>
        <v>26.641124999999999</v>
      </c>
      <c r="H794" s="15">
        <f>IF(D794="Uso único",'Hoja 4 - Cálculo'!I95,IF(D794="Uso múltiple",AVERAGE('Hoja 4 - Cálculo'!$I$25:$I$384)+AVERAGE('Hoja 4 - Cálculo'!$J$25:$J$384)+AVERAGE('Hoja 4 - Cálculo'!$K$25:$K$384),IF(D794="Uso prioritario",'Hoja 4 - Cálculo'!I95+'Hoja 4 - Cálculo'!K95,'Hoja 4 - Cálculo'!I95+'Hoja 4 - Cálculo'!J95+'Hoja 4 - Cálculo'!K95)))</f>
        <v>11.5</v>
      </c>
      <c r="I794" s="15">
        <f t="shared" si="176"/>
        <v>8.625</v>
      </c>
      <c r="J794" s="15">
        <f t="shared" si="183"/>
        <v>3</v>
      </c>
      <c r="K794" s="15">
        <f>MIN(J794+G794,(J794+G794)*'Hoja 4 - Cálculo'!$B$15)</f>
        <v>0.59282250000000003</v>
      </c>
      <c r="L794" s="15">
        <f t="shared" si="177"/>
        <v>29.048302499999998</v>
      </c>
      <c r="M794" s="15">
        <f t="shared" si="178"/>
        <v>8.625</v>
      </c>
      <c r="N794" s="15">
        <f t="shared" si="179"/>
        <v>3</v>
      </c>
      <c r="O794" s="15">
        <f t="shared" si="180"/>
        <v>17.423302499999998</v>
      </c>
      <c r="P794" s="15">
        <f t="shared" si="181"/>
        <v>0</v>
      </c>
      <c r="Q794" s="14" t="str">
        <f>IF(M794&gt;=I794*'Hoja 4 - Cálculo'!$B$16,"Satisfactorio","Falla")</f>
        <v>Satisfactorio</v>
      </c>
      <c r="R794" s="14">
        <f t="shared" si="184"/>
        <v>0</v>
      </c>
      <c r="S794" s="14">
        <f t="shared" si="185"/>
        <v>0</v>
      </c>
    </row>
    <row r="795" spans="1:19">
      <c r="A795" s="14" t="str">
        <f t="shared" si="182"/>
        <v>SRY-3-1</v>
      </c>
      <c r="B795" s="15">
        <f>'Curvas SRY'!$B$10</f>
        <v>3</v>
      </c>
      <c r="C795" s="15">
        <f>'Curvas SRY'!$E$8</f>
        <v>0.75</v>
      </c>
      <c r="D795" s="14" t="str">
        <f>'Curvas SRY'!$B$14</f>
        <v>Uso variable</v>
      </c>
      <c r="E795" s="14">
        <f>72</f>
        <v>72</v>
      </c>
      <c r="F795" s="21">
        <f>'Hoja 4 - Cálculo'!A96</f>
        <v>31747</v>
      </c>
      <c r="G795" s="15">
        <f>'Hoja 4 - Cálculo'!H96</f>
        <v>15.166124999999999</v>
      </c>
      <c r="H795" s="15">
        <f>IF(D795="Uso único",'Hoja 4 - Cálculo'!I96,IF(D795="Uso múltiple",AVERAGE('Hoja 4 - Cálculo'!$I$25:$I$384)+AVERAGE('Hoja 4 - Cálculo'!$J$25:$J$384)+AVERAGE('Hoja 4 - Cálculo'!$K$25:$K$384),IF(D795="Uso prioritario",'Hoja 4 - Cálculo'!I96+'Hoja 4 - Cálculo'!K96,'Hoja 4 - Cálculo'!I96+'Hoja 4 - Cálculo'!J96+'Hoja 4 - Cálculo'!K96)))</f>
        <v>16</v>
      </c>
      <c r="I795" s="15">
        <f t="shared" si="176"/>
        <v>12</v>
      </c>
      <c r="J795" s="15">
        <f t="shared" si="183"/>
        <v>3</v>
      </c>
      <c r="K795" s="15">
        <f>MIN(J795+G795,(J795+G795)*'Hoja 4 - Cálculo'!$B$15)</f>
        <v>0.36332250000000005</v>
      </c>
      <c r="L795" s="15">
        <f t="shared" si="177"/>
        <v>17.802802500000002</v>
      </c>
      <c r="M795" s="15">
        <f t="shared" si="178"/>
        <v>12</v>
      </c>
      <c r="N795" s="15">
        <f t="shared" si="179"/>
        <v>3</v>
      </c>
      <c r="O795" s="15">
        <f t="shared" si="180"/>
        <v>2.8028025000000021</v>
      </c>
      <c r="P795" s="15">
        <f t="shared" si="181"/>
        <v>0</v>
      </c>
      <c r="Q795" s="14" t="str">
        <f>IF(M795&gt;=I795*'Hoja 4 - Cálculo'!$B$16,"Satisfactorio","Falla")</f>
        <v>Satisfactorio</v>
      </c>
      <c r="R795" s="14">
        <f t="shared" si="184"/>
        <v>0</v>
      </c>
      <c r="S795" s="14">
        <f t="shared" si="185"/>
        <v>0</v>
      </c>
    </row>
    <row r="796" spans="1:19">
      <c r="A796" s="14" t="str">
        <f t="shared" si="182"/>
        <v>SRY-3-1</v>
      </c>
      <c r="B796" s="15">
        <f>'Curvas SRY'!$B$10</f>
        <v>3</v>
      </c>
      <c r="C796" s="15">
        <f>'Curvas SRY'!$E$8</f>
        <v>0.75</v>
      </c>
      <c r="D796" s="14" t="str">
        <f>'Curvas SRY'!$B$14</f>
        <v>Uso variable</v>
      </c>
      <c r="E796" s="14">
        <f>73</f>
        <v>73</v>
      </c>
      <c r="F796" s="21">
        <f>'Hoja 4 - Cálculo'!A97</f>
        <v>31778</v>
      </c>
      <c r="G796" s="15">
        <f>'Hoja 4 - Cálculo'!H97</f>
        <v>14.056875</v>
      </c>
      <c r="H796" s="15">
        <f>IF(D796="Uso único",'Hoja 4 - Cálculo'!I97,IF(D796="Uso múltiple",AVERAGE('Hoja 4 - Cálculo'!$I$25:$I$384)+AVERAGE('Hoja 4 - Cálculo'!$J$25:$J$384)+AVERAGE('Hoja 4 - Cálculo'!$K$25:$K$384),IF(D796="Uso prioritario",'Hoja 4 - Cálculo'!I97+'Hoja 4 - Cálculo'!K97,'Hoja 4 - Cálculo'!I97+'Hoja 4 - Cálculo'!J97+'Hoja 4 - Cálculo'!K97)))</f>
        <v>16</v>
      </c>
      <c r="I796" s="15">
        <f t="shared" si="176"/>
        <v>12</v>
      </c>
      <c r="J796" s="15">
        <f t="shared" si="183"/>
        <v>3</v>
      </c>
      <c r="K796" s="15">
        <f>MIN(J796+G796,(J796+G796)*'Hoja 4 - Cálculo'!$B$15)</f>
        <v>0.34113749999999998</v>
      </c>
      <c r="L796" s="15">
        <f t="shared" si="177"/>
        <v>16.715737499999999</v>
      </c>
      <c r="M796" s="15">
        <f t="shared" si="178"/>
        <v>12</v>
      </c>
      <c r="N796" s="15">
        <f t="shared" si="179"/>
        <v>3</v>
      </c>
      <c r="O796" s="15">
        <f t="shared" si="180"/>
        <v>1.7157374999999995</v>
      </c>
      <c r="P796" s="15">
        <f t="shared" si="181"/>
        <v>0</v>
      </c>
      <c r="Q796" s="14" t="str">
        <f>IF(M796&gt;=I796*'Hoja 4 - Cálculo'!$B$16,"Satisfactorio","Falla")</f>
        <v>Satisfactorio</v>
      </c>
      <c r="R796" s="14">
        <f t="shared" si="184"/>
        <v>0</v>
      </c>
      <c r="S796" s="14">
        <f t="shared" si="185"/>
        <v>0</v>
      </c>
    </row>
    <row r="797" spans="1:19">
      <c r="A797" s="14" t="str">
        <f t="shared" si="182"/>
        <v>SRY-3-1</v>
      </c>
      <c r="B797" s="15">
        <f>'Curvas SRY'!$B$10</f>
        <v>3</v>
      </c>
      <c r="C797" s="15">
        <f>'Curvas SRY'!$E$8</f>
        <v>0.75</v>
      </c>
      <c r="D797" s="14" t="str">
        <f>'Curvas SRY'!$B$14</f>
        <v>Uso variable</v>
      </c>
      <c r="E797" s="14">
        <f>74</f>
        <v>74</v>
      </c>
      <c r="F797" s="21">
        <f>'Hoja 4 - Cálculo'!A98</f>
        <v>31809</v>
      </c>
      <c r="G797" s="15">
        <f>'Hoja 4 - Cálculo'!H98</f>
        <v>15.969374999999999</v>
      </c>
      <c r="H797" s="15">
        <f>IF(D797="Uso único",'Hoja 4 - Cálculo'!I98,IF(D797="Uso múltiple",AVERAGE('Hoja 4 - Cálculo'!$I$25:$I$384)+AVERAGE('Hoja 4 - Cálculo'!$J$25:$J$384)+AVERAGE('Hoja 4 - Cálculo'!$K$25:$K$384),IF(D797="Uso prioritario",'Hoja 4 - Cálculo'!I98+'Hoja 4 - Cálculo'!K98,'Hoja 4 - Cálculo'!I98+'Hoja 4 - Cálculo'!J98+'Hoja 4 - Cálculo'!K98)))</f>
        <v>16</v>
      </c>
      <c r="I797" s="15">
        <f t="shared" si="176"/>
        <v>12</v>
      </c>
      <c r="J797" s="15">
        <f t="shared" si="183"/>
        <v>3</v>
      </c>
      <c r="K797" s="15">
        <f>MIN(J797+G797,(J797+G797)*'Hoja 4 - Cálculo'!$B$15)</f>
        <v>0.37938749999999999</v>
      </c>
      <c r="L797" s="15">
        <f t="shared" si="177"/>
        <v>18.589987499999999</v>
      </c>
      <c r="M797" s="15">
        <f t="shared" si="178"/>
        <v>12</v>
      </c>
      <c r="N797" s="15">
        <f t="shared" si="179"/>
        <v>3</v>
      </c>
      <c r="O797" s="15">
        <f t="shared" si="180"/>
        <v>3.5899874999999994</v>
      </c>
      <c r="P797" s="15">
        <f t="shared" si="181"/>
        <v>0</v>
      </c>
      <c r="Q797" s="14" t="str">
        <f>IF(M797&gt;=I797*'Hoja 4 - Cálculo'!$B$16,"Satisfactorio","Falla")</f>
        <v>Satisfactorio</v>
      </c>
      <c r="R797" s="14">
        <f t="shared" si="184"/>
        <v>0</v>
      </c>
      <c r="S797" s="14">
        <f t="shared" si="185"/>
        <v>0</v>
      </c>
    </row>
    <row r="798" spans="1:19">
      <c r="A798" s="14" t="str">
        <f t="shared" si="182"/>
        <v>SRY-3-1</v>
      </c>
      <c r="B798" s="15">
        <f>'Curvas SRY'!$B$10</f>
        <v>3</v>
      </c>
      <c r="C798" s="15">
        <f>'Curvas SRY'!$E$8</f>
        <v>0.75</v>
      </c>
      <c r="D798" s="14" t="str">
        <f>'Curvas SRY'!$B$14</f>
        <v>Uso variable</v>
      </c>
      <c r="E798" s="14">
        <f>75</f>
        <v>75</v>
      </c>
      <c r="F798" s="21">
        <f>'Hoja 4 - Cálculo'!A99</f>
        <v>31837</v>
      </c>
      <c r="G798" s="15">
        <f>'Hoja 4 - Cálculo'!H99</f>
        <v>22.797000000000001</v>
      </c>
      <c r="H798" s="15">
        <f>IF(D798="Uso único",'Hoja 4 - Cálculo'!I99,IF(D798="Uso múltiple",AVERAGE('Hoja 4 - Cálculo'!$I$25:$I$384)+AVERAGE('Hoja 4 - Cálculo'!$J$25:$J$384)+AVERAGE('Hoja 4 - Cálculo'!$K$25:$K$384),IF(D798="Uso prioritario",'Hoja 4 - Cálculo'!I99+'Hoja 4 - Cálculo'!K99,'Hoja 4 - Cálculo'!I99+'Hoja 4 - Cálculo'!J99+'Hoja 4 - Cálculo'!K99)))</f>
        <v>16</v>
      </c>
      <c r="I798" s="15">
        <f t="shared" si="176"/>
        <v>12</v>
      </c>
      <c r="J798" s="15">
        <f t="shared" si="183"/>
        <v>3</v>
      </c>
      <c r="K798" s="15">
        <f>MIN(J798+G798,(J798+G798)*'Hoja 4 - Cálculo'!$B$15)</f>
        <v>0.51594000000000007</v>
      </c>
      <c r="L798" s="15">
        <f t="shared" si="177"/>
        <v>25.28106</v>
      </c>
      <c r="M798" s="15">
        <f t="shared" si="178"/>
        <v>12</v>
      </c>
      <c r="N798" s="15">
        <f t="shared" si="179"/>
        <v>3</v>
      </c>
      <c r="O798" s="15">
        <f t="shared" si="180"/>
        <v>10.28106</v>
      </c>
      <c r="P798" s="15">
        <f t="shared" si="181"/>
        <v>0</v>
      </c>
      <c r="Q798" s="14" t="str">
        <f>IF(M798&gt;=I798*'Hoja 4 - Cálculo'!$B$16,"Satisfactorio","Falla")</f>
        <v>Satisfactorio</v>
      </c>
      <c r="R798" s="14">
        <f t="shared" si="184"/>
        <v>0</v>
      </c>
      <c r="S798" s="14">
        <f t="shared" si="185"/>
        <v>0</v>
      </c>
    </row>
    <row r="799" spans="1:19">
      <c r="A799" s="14" t="str">
        <f t="shared" si="182"/>
        <v>SRY-3-1</v>
      </c>
      <c r="B799" s="15">
        <f>'Curvas SRY'!$B$10</f>
        <v>3</v>
      </c>
      <c r="C799" s="15">
        <f>'Curvas SRY'!$E$8</f>
        <v>0.75</v>
      </c>
      <c r="D799" s="14" t="str">
        <f>'Curvas SRY'!$B$14</f>
        <v>Uso variable</v>
      </c>
      <c r="E799" s="14">
        <f>76</f>
        <v>76</v>
      </c>
      <c r="F799" s="21">
        <f>'Hoja 4 - Cálculo'!A100</f>
        <v>31868</v>
      </c>
      <c r="G799" s="15">
        <f>'Hoja 4 - Cálculo'!H100</f>
        <v>34.138125000000002</v>
      </c>
      <c r="H799" s="15">
        <f>IF(D799="Uso único",'Hoja 4 - Cálculo'!I100,IF(D799="Uso múltiple",AVERAGE('Hoja 4 - Cálculo'!$I$25:$I$384)+AVERAGE('Hoja 4 - Cálculo'!$J$25:$J$384)+AVERAGE('Hoja 4 - Cálculo'!$K$25:$K$384),IF(D799="Uso prioritario",'Hoja 4 - Cálculo'!I100+'Hoja 4 - Cálculo'!K100,'Hoja 4 - Cálculo'!I100+'Hoja 4 - Cálculo'!J100+'Hoja 4 - Cálculo'!K100)))</f>
        <v>11.5</v>
      </c>
      <c r="I799" s="15">
        <f t="shared" si="176"/>
        <v>8.625</v>
      </c>
      <c r="J799" s="15">
        <f t="shared" si="183"/>
        <v>3</v>
      </c>
      <c r="K799" s="15">
        <f>MIN(J799+G799,(J799+G799)*'Hoja 4 - Cálculo'!$B$15)</f>
        <v>0.7427625000000001</v>
      </c>
      <c r="L799" s="15">
        <f t="shared" si="177"/>
        <v>36.395362500000005</v>
      </c>
      <c r="M799" s="15">
        <f t="shared" si="178"/>
        <v>8.625</v>
      </c>
      <c r="N799" s="15">
        <f t="shared" si="179"/>
        <v>3</v>
      </c>
      <c r="O799" s="15">
        <f t="shared" si="180"/>
        <v>24.770362500000005</v>
      </c>
      <c r="P799" s="15">
        <f t="shared" si="181"/>
        <v>0</v>
      </c>
      <c r="Q799" s="14" t="str">
        <f>IF(M799&gt;=I799*'Hoja 4 - Cálculo'!$B$16,"Satisfactorio","Falla")</f>
        <v>Satisfactorio</v>
      </c>
      <c r="R799" s="14">
        <f t="shared" si="184"/>
        <v>0</v>
      </c>
      <c r="S799" s="14">
        <f t="shared" si="185"/>
        <v>0</v>
      </c>
    </row>
    <row r="800" spans="1:19">
      <c r="A800" s="14" t="str">
        <f t="shared" si="182"/>
        <v>SRY-3-1</v>
      </c>
      <c r="B800" s="15">
        <f>'Curvas SRY'!$B$10</f>
        <v>3</v>
      </c>
      <c r="C800" s="15">
        <f>'Curvas SRY'!$E$8</f>
        <v>0.75</v>
      </c>
      <c r="D800" s="14" t="str">
        <f>'Curvas SRY'!$B$14</f>
        <v>Uso variable</v>
      </c>
      <c r="E800" s="14">
        <f>77</f>
        <v>77</v>
      </c>
      <c r="F800" s="21">
        <f>'Hoja 4 - Cálculo'!A101</f>
        <v>31898</v>
      </c>
      <c r="G800" s="15">
        <f>'Hoja 4 - Cálculo'!H101</f>
        <v>28.534500000000001</v>
      </c>
      <c r="H800" s="15">
        <f>IF(D800="Uso único",'Hoja 4 - Cálculo'!I101,IF(D800="Uso múltiple",AVERAGE('Hoja 4 - Cálculo'!$I$25:$I$384)+AVERAGE('Hoja 4 - Cálculo'!$J$25:$J$384)+AVERAGE('Hoja 4 - Cálculo'!$K$25:$K$384),IF(D800="Uso prioritario",'Hoja 4 - Cálculo'!I101+'Hoja 4 - Cálculo'!K101,'Hoja 4 - Cálculo'!I101+'Hoja 4 - Cálculo'!J101+'Hoja 4 - Cálculo'!K101)))</f>
        <v>11.5</v>
      </c>
      <c r="I800" s="15">
        <f t="shared" si="176"/>
        <v>8.625</v>
      </c>
      <c r="J800" s="15">
        <f t="shared" si="183"/>
        <v>3</v>
      </c>
      <c r="K800" s="15">
        <f>MIN(J800+G800,(J800+G800)*'Hoja 4 - Cálculo'!$B$15)</f>
        <v>0.63069000000000008</v>
      </c>
      <c r="L800" s="15">
        <f t="shared" si="177"/>
        <v>30.90381</v>
      </c>
      <c r="M800" s="15">
        <f t="shared" si="178"/>
        <v>8.625</v>
      </c>
      <c r="N800" s="15">
        <f t="shared" si="179"/>
        <v>3</v>
      </c>
      <c r="O800" s="15">
        <f t="shared" si="180"/>
        <v>19.27881</v>
      </c>
      <c r="P800" s="15">
        <f t="shared" si="181"/>
        <v>0</v>
      </c>
      <c r="Q800" s="14" t="str">
        <f>IF(M800&gt;=I800*'Hoja 4 - Cálculo'!$B$16,"Satisfactorio","Falla")</f>
        <v>Satisfactorio</v>
      </c>
      <c r="R800" s="14">
        <f t="shared" si="184"/>
        <v>0</v>
      </c>
      <c r="S800" s="14">
        <f t="shared" si="185"/>
        <v>0</v>
      </c>
    </row>
    <row r="801" spans="1:19">
      <c r="A801" s="14" t="str">
        <f t="shared" si="182"/>
        <v>SRY-3-1</v>
      </c>
      <c r="B801" s="15">
        <f>'Curvas SRY'!$B$10</f>
        <v>3</v>
      </c>
      <c r="C801" s="15">
        <f>'Curvas SRY'!$E$8</f>
        <v>0.75</v>
      </c>
      <c r="D801" s="14" t="str">
        <f>'Curvas SRY'!$B$14</f>
        <v>Uso variable</v>
      </c>
      <c r="E801" s="14">
        <f>78</f>
        <v>78</v>
      </c>
      <c r="F801" s="21">
        <f>'Hoja 4 - Cálculo'!A102</f>
        <v>31929</v>
      </c>
      <c r="G801" s="15">
        <f>'Hoja 4 - Cálculo'!H102</f>
        <v>18.589500000000001</v>
      </c>
      <c r="H801" s="15">
        <f>IF(D801="Uso único",'Hoja 4 - Cálculo'!I102,IF(D801="Uso múltiple",AVERAGE('Hoja 4 - Cálculo'!$I$25:$I$384)+AVERAGE('Hoja 4 - Cálculo'!$J$25:$J$384)+AVERAGE('Hoja 4 - Cálculo'!$K$25:$K$384),IF(D801="Uso prioritario",'Hoja 4 - Cálculo'!I102+'Hoja 4 - Cálculo'!K102,'Hoja 4 - Cálculo'!I102+'Hoja 4 - Cálculo'!J102+'Hoja 4 - Cálculo'!K102)))</f>
        <v>11.5</v>
      </c>
      <c r="I801" s="15">
        <f t="shared" si="176"/>
        <v>8.625</v>
      </c>
      <c r="J801" s="15">
        <f t="shared" si="183"/>
        <v>3</v>
      </c>
      <c r="K801" s="15">
        <f>MIN(J801+G801,(J801+G801)*'Hoja 4 - Cálculo'!$B$15)</f>
        <v>0.43179000000000001</v>
      </c>
      <c r="L801" s="15">
        <f t="shared" si="177"/>
        <v>21.157710000000002</v>
      </c>
      <c r="M801" s="15">
        <f t="shared" si="178"/>
        <v>8.625</v>
      </c>
      <c r="N801" s="15">
        <f t="shared" si="179"/>
        <v>3</v>
      </c>
      <c r="O801" s="15">
        <f t="shared" si="180"/>
        <v>9.5327100000000016</v>
      </c>
      <c r="P801" s="15">
        <f t="shared" si="181"/>
        <v>0</v>
      </c>
      <c r="Q801" s="14" t="str">
        <f>IF(M801&gt;=I801*'Hoja 4 - Cálculo'!$B$16,"Satisfactorio","Falla")</f>
        <v>Satisfactorio</v>
      </c>
      <c r="R801" s="14">
        <f t="shared" si="184"/>
        <v>0</v>
      </c>
      <c r="S801" s="14">
        <f t="shared" si="185"/>
        <v>0</v>
      </c>
    </row>
    <row r="802" spans="1:19">
      <c r="A802" s="14" t="str">
        <f t="shared" si="182"/>
        <v>SRY-3-1</v>
      </c>
      <c r="B802" s="15">
        <f>'Curvas SRY'!$B$10</f>
        <v>3</v>
      </c>
      <c r="C802" s="15">
        <f>'Curvas SRY'!$E$8</f>
        <v>0.75</v>
      </c>
      <c r="D802" s="14" t="str">
        <f>'Curvas SRY'!$B$14</f>
        <v>Uso variable</v>
      </c>
      <c r="E802" s="14">
        <f>79</f>
        <v>79</v>
      </c>
      <c r="F802" s="21">
        <f>'Hoja 4 - Cálculo'!A103</f>
        <v>31959</v>
      </c>
      <c r="G802" s="15">
        <f>'Hoja 4 - Cálculo'!H103</f>
        <v>14.688000000000001</v>
      </c>
      <c r="H802" s="15">
        <f>IF(D802="Uso único",'Hoja 4 - Cálculo'!I103,IF(D802="Uso múltiple",AVERAGE('Hoja 4 - Cálculo'!$I$25:$I$384)+AVERAGE('Hoja 4 - Cálculo'!$J$25:$J$384)+AVERAGE('Hoja 4 - Cálculo'!$K$25:$K$384),IF(D802="Uso prioritario",'Hoja 4 - Cálculo'!I103+'Hoja 4 - Cálculo'!K103,'Hoja 4 - Cálculo'!I103+'Hoja 4 - Cálculo'!J103+'Hoja 4 - Cálculo'!K103)))</f>
        <v>16</v>
      </c>
      <c r="I802" s="15">
        <f t="shared" si="176"/>
        <v>12</v>
      </c>
      <c r="J802" s="15">
        <f t="shared" si="183"/>
        <v>3</v>
      </c>
      <c r="K802" s="15">
        <f>MIN(J802+G802,(J802+G802)*'Hoja 4 - Cálculo'!$B$15)</f>
        <v>0.35376000000000007</v>
      </c>
      <c r="L802" s="15">
        <f t="shared" si="177"/>
        <v>17.334240000000001</v>
      </c>
      <c r="M802" s="15">
        <f t="shared" si="178"/>
        <v>12</v>
      </c>
      <c r="N802" s="15">
        <f t="shared" si="179"/>
        <v>3</v>
      </c>
      <c r="O802" s="15">
        <f t="shared" si="180"/>
        <v>2.3342400000000012</v>
      </c>
      <c r="P802" s="15">
        <f t="shared" si="181"/>
        <v>0</v>
      </c>
      <c r="Q802" s="14" t="str">
        <f>IF(M802&gt;=I802*'Hoja 4 - Cálculo'!$B$16,"Satisfactorio","Falla")</f>
        <v>Satisfactorio</v>
      </c>
      <c r="R802" s="14">
        <f t="shared" si="184"/>
        <v>0</v>
      </c>
      <c r="S802" s="14">
        <f t="shared" si="185"/>
        <v>0</v>
      </c>
    </row>
    <row r="803" spans="1:19">
      <c r="A803" s="14" t="str">
        <f t="shared" si="182"/>
        <v>SRY-3-1</v>
      </c>
      <c r="B803" s="15">
        <f>'Curvas SRY'!$B$10</f>
        <v>3</v>
      </c>
      <c r="C803" s="15">
        <f>'Curvas SRY'!$E$8</f>
        <v>0.75</v>
      </c>
      <c r="D803" s="14" t="str">
        <f>'Curvas SRY'!$B$14</f>
        <v>Uso variable</v>
      </c>
      <c r="E803" s="14">
        <f>80</f>
        <v>80</v>
      </c>
      <c r="F803" s="21">
        <f>'Hoja 4 - Cálculo'!A104</f>
        <v>31990</v>
      </c>
      <c r="G803" s="15">
        <f>'Hoja 4 - Cálculo'!H104</f>
        <v>15.759</v>
      </c>
      <c r="H803" s="15">
        <f>IF(D803="Uso único",'Hoja 4 - Cálculo'!I104,IF(D803="Uso múltiple",AVERAGE('Hoja 4 - Cálculo'!$I$25:$I$384)+AVERAGE('Hoja 4 - Cálculo'!$J$25:$J$384)+AVERAGE('Hoja 4 - Cálculo'!$K$25:$K$384),IF(D803="Uso prioritario",'Hoja 4 - Cálculo'!I104+'Hoja 4 - Cálculo'!K104,'Hoja 4 - Cálculo'!I104+'Hoja 4 - Cálculo'!J104+'Hoja 4 - Cálculo'!K104)))</f>
        <v>16</v>
      </c>
      <c r="I803" s="15">
        <f t="shared" si="176"/>
        <v>12</v>
      </c>
      <c r="J803" s="15">
        <f t="shared" si="183"/>
        <v>3</v>
      </c>
      <c r="K803" s="15">
        <f>MIN(J803+G803,(J803+G803)*'Hoja 4 - Cálculo'!$B$15)</f>
        <v>0.37518000000000001</v>
      </c>
      <c r="L803" s="15">
        <f t="shared" si="177"/>
        <v>18.38382</v>
      </c>
      <c r="M803" s="15">
        <f t="shared" si="178"/>
        <v>12</v>
      </c>
      <c r="N803" s="15">
        <f t="shared" si="179"/>
        <v>3</v>
      </c>
      <c r="O803" s="15">
        <f t="shared" si="180"/>
        <v>3.3838200000000001</v>
      </c>
      <c r="P803" s="15">
        <f t="shared" si="181"/>
        <v>0</v>
      </c>
      <c r="Q803" s="14" t="str">
        <f>IF(M803&gt;=I803*'Hoja 4 - Cálculo'!$B$16,"Satisfactorio","Falla")</f>
        <v>Satisfactorio</v>
      </c>
      <c r="R803" s="14">
        <f t="shared" si="184"/>
        <v>0</v>
      </c>
      <c r="S803" s="14">
        <f t="shared" si="185"/>
        <v>0</v>
      </c>
    </row>
    <row r="804" spans="1:19">
      <c r="A804" s="14" t="str">
        <f t="shared" si="182"/>
        <v>SRY-3-1</v>
      </c>
      <c r="B804" s="15">
        <f>'Curvas SRY'!$B$10</f>
        <v>3</v>
      </c>
      <c r="C804" s="15">
        <f>'Curvas SRY'!$E$8</f>
        <v>0.75</v>
      </c>
      <c r="D804" s="14" t="str">
        <f>'Curvas SRY'!$B$14</f>
        <v>Uso variable</v>
      </c>
      <c r="E804" s="14">
        <f>81</f>
        <v>81</v>
      </c>
      <c r="F804" s="21">
        <f>'Hoja 4 - Cálculo'!A105</f>
        <v>32021</v>
      </c>
      <c r="G804" s="15">
        <f>'Hoja 4 - Cálculo'!H105</f>
        <v>26.220375000000001</v>
      </c>
      <c r="H804" s="15">
        <f>IF(D804="Uso único",'Hoja 4 - Cálculo'!I105,IF(D804="Uso múltiple",AVERAGE('Hoja 4 - Cálculo'!$I$25:$I$384)+AVERAGE('Hoja 4 - Cálculo'!$J$25:$J$384)+AVERAGE('Hoja 4 - Cálculo'!$K$25:$K$384),IF(D804="Uso prioritario",'Hoja 4 - Cálculo'!I105+'Hoja 4 - Cálculo'!K105,'Hoja 4 - Cálculo'!I105+'Hoja 4 - Cálculo'!J105+'Hoja 4 - Cálculo'!K105)))</f>
        <v>11.5</v>
      </c>
      <c r="I804" s="15">
        <f t="shared" si="176"/>
        <v>8.625</v>
      </c>
      <c r="J804" s="15">
        <f t="shared" si="183"/>
        <v>3</v>
      </c>
      <c r="K804" s="15">
        <f>MIN(J804+G804,(J804+G804)*'Hoja 4 - Cálculo'!$B$15)</f>
        <v>0.58440750000000008</v>
      </c>
      <c r="L804" s="15">
        <f t="shared" si="177"/>
        <v>28.6359675</v>
      </c>
      <c r="M804" s="15">
        <f t="shared" si="178"/>
        <v>8.625</v>
      </c>
      <c r="N804" s="15">
        <f t="shared" si="179"/>
        <v>3</v>
      </c>
      <c r="O804" s="15">
        <f t="shared" si="180"/>
        <v>17.0109675</v>
      </c>
      <c r="P804" s="15">
        <f t="shared" si="181"/>
        <v>0</v>
      </c>
      <c r="Q804" s="14" t="str">
        <f>IF(M804&gt;=I804*'Hoja 4 - Cálculo'!$B$16,"Satisfactorio","Falla")</f>
        <v>Satisfactorio</v>
      </c>
      <c r="R804" s="14">
        <f t="shared" si="184"/>
        <v>0</v>
      </c>
      <c r="S804" s="14">
        <f t="shared" si="185"/>
        <v>0</v>
      </c>
    </row>
    <row r="805" spans="1:19">
      <c r="A805" s="14" t="str">
        <f t="shared" si="182"/>
        <v>SRY-3-1</v>
      </c>
      <c r="B805" s="15">
        <f>'Curvas SRY'!$B$10</f>
        <v>3</v>
      </c>
      <c r="C805" s="15">
        <f>'Curvas SRY'!$E$8</f>
        <v>0.75</v>
      </c>
      <c r="D805" s="14" t="str">
        <f>'Curvas SRY'!$B$14</f>
        <v>Uso variable</v>
      </c>
      <c r="E805" s="14">
        <f>82</f>
        <v>82</v>
      </c>
      <c r="F805" s="21">
        <f>'Hoja 4 - Cálculo'!A106</f>
        <v>32051</v>
      </c>
      <c r="G805" s="15">
        <f>'Hoja 4 - Cálculo'!H106</f>
        <v>32.627249999999997</v>
      </c>
      <c r="H805" s="15">
        <f>IF(D805="Uso único",'Hoja 4 - Cálculo'!I106,IF(D805="Uso múltiple",AVERAGE('Hoja 4 - Cálculo'!$I$25:$I$384)+AVERAGE('Hoja 4 - Cálculo'!$J$25:$J$384)+AVERAGE('Hoja 4 - Cálculo'!$K$25:$K$384),IF(D805="Uso prioritario",'Hoja 4 - Cálculo'!I106+'Hoja 4 - Cálculo'!K106,'Hoja 4 - Cálculo'!I106+'Hoja 4 - Cálculo'!J106+'Hoja 4 - Cálculo'!K106)))</f>
        <v>11.5</v>
      </c>
      <c r="I805" s="15">
        <f t="shared" si="176"/>
        <v>8.625</v>
      </c>
      <c r="J805" s="15">
        <f t="shared" si="183"/>
        <v>3</v>
      </c>
      <c r="K805" s="15">
        <f>MIN(J805+G805,(J805+G805)*'Hoja 4 - Cálculo'!$B$15)</f>
        <v>0.71254499999999998</v>
      </c>
      <c r="L805" s="15">
        <f t="shared" si="177"/>
        <v>34.914704999999998</v>
      </c>
      <c r="M805" s="15">
        <f t="shared" si="178"/>
        <v>8.625</v>
      </c>
      <c r="N805" s="15">
        <f t="shared" si="179"/>
        <v>3</v>
      </c>
      <c r="O805" s="15">
        <f t="shared" si="180"/>
        <v>23.289704999999998</v>
      </c>
      <c r="P805" s="15">
        <f t="shared" si="181"/>
        <v>0</v>
      </c>
      <c r="Q805" s="14" t="str">
        <f>IF(M805&gt;=I805*'Hoja 4 - Cálculo'!$B$16,"Satisfactorio","Falla")</f>
        <v>Satisfactorio</v>
      </c>
      <c r="R805" s="14">
        <f t="shared" si="184"/>
        <v>0</v>
      </c>
      <c r="S805" s="14">
        <f t="shared" si="185"/>
        <v>0</v>
      </c>
    </row>
    <row r="806" spans="1:19">
      <c r="A806" s="14" t="str">
        <f t="shared" si="182"/>
        <v>SRY-3-1</v>
      </c>
      <c r="B806" s="15">
        <f>'Curvas SRY'!$B$10</f>
        <v>3</v>
      </c>
      <c r="C806" s="15">
        <f>'Curvas SRY'!$E$8</f>
        <v>0.75</v>
      </c>
      <c r="D806" s="14" t="str">
        <f>'Curvas SRY'!$B$14</f>
        <v>Uso variable</v>
      </c>
      <c r="E806" s="14">
        <f>83</f>
        <v>83</v>
      </c>
      <c r="F806" s="21">
        <f>'Hoja 4 - Cálculo'!A107</f>
        <v>32082</v>
      </c>
      <c r="G806" s="15">
        <f>'Hoja 4 - Cálculo'!H107</f>
        <v>29.758500000000002</v>
      </c>
      <c r="H806" s="15">
        <f>IF(D806="Uso único",'Hoja 4 - Cálculo'!I107,IF(D806="Uso múltiple",AVERAGE('Hoja 4 - Cálculo'!$I$25:$I$384)+AVERAGE('Hoja 4 - Cálculo'!$J$25:$J$384)+AVERAGE('Hoja 4 - Cálculo'!$K$25:$K$384),IF(D806="Uso prioritario",'Hoja 4 - Cálculo'!I107+'Hoja 4 - Cálculo'!K107,'Hoja 4 - Cálculo'!I107+'Hoja 4 - Cálculo'!J107+'Hoja 4 - Cálculo'!K107)))</f>
        <v>11.5</v>
      </c>
      <c r="I806" s="15">
        <f t="shared" si="176"/>
        <v>8.625</v>
      </c>
      <c r="J806" s="15">
        <f t="shared" si="183"/>
        <v>3</v>
      </c>
      <c r="K806" s="15">
        <f>MIN(J806+G806,(J806+G806)*'Hoja 4 - Cálculo'!$B$15)</f>
        <v>0.65516999999999992</v>
      </c>
      <c r="L806" s="15">
        <f t="shared" si="177"/>
        <v>32.10333</v>
      </c>
      <c r="M806" s="15">
        <f t="shared" si="178"/>
        <v>8.625</v>
      </c>
      <c r="N806" s="15">
        <f t="shared" si="179"/>
        <v>3</v>
      </c>
      <c r="O806" s="15">
        <f t="shared" si="180"/>
        <v>20.47833</v>
      </c>
      <c r="P806" s="15">
        <f t="shared" si="181"/>
        <v>0</v>
      </c>
      <c r="Q806" s="14" t="str">
        <f>IF(M806&gt;=I806*'Hoja 4 - Cálculo'!$B$16,"Satisfactorio","Falla")</f>
        <v>Satisfactorio</v>
      </c>
      <c r="R806" s="14">
        <f t="shared" si="184"/>
        <v>0</v>
      </c>
      <c r="S806" s="14">
        <f t="shared" si="185"/>
        <v>0</v>
      </c>
    </row>
    <row r="807" spans="1:19">
      <c r="A807" s="14" t="str">
        <f t="shared" si="182"/>
        <v>SRY-3-1</v>
      </c>
      <c r="B807" s="15">
        <f>'Curvas SRY'!$B$10</f>
        <v>3</v>
      </c>
      <c r="C807" s="15">
        <f>'Curvas SRY'!$E$8</f>
        <v>0.75</v>
      </c>
      <c r="D807" s="14" t="str">
        <f>'Curvas SRY'!$B$14</f>
        <v>Uso variable</v>
      </c>
      <c r="E807" s="14">
        <f>84</f>
        <v>84</v>
      </c>
      <c r="F807" s="21">
        <f>'Hoja 4 - Cálculo'!A108</f>
        <v>32112</v>
      </c>
      <c r="G807" s="15">
        <f>'Hoja 4 - Cálculo'!H108</f>
        <v>16.543125</v>
      </c>
      <c r="H807" s="15">
        <f>IF(D807="Uso único",'Hoja 4 - Cálculo'!I108,IF(D807="Uso múltiple",AVERAGE('Hoja 4 - Cálculo'!$I$25:$I$384)+AVERAGE('Hoja 4 - Cálculo'!$J$25:$J$384)+AVERAGE('Hoja 4 - Cálculo'!$K$25:$K$384),IF(D807="Uso prioritario",'Hoja 4 - Cálculo'!I108+'Hoja 4 - Cálculo'!K108,'Hoja 4 - Cálculo'!I108+'Hoja 4 - Cálculo'!J108+'Hoja 4 - Cálculo'!K108)))</f>
        <v>16</v>
      </c>
      <c r="I807" s="15">
        <f t="shared" si="176"/>
        <v>12</v>
      </c>
      <c r="J807" s="15">
        <f t="shared" si="183"/>
        <v>3</v>
      </c>
      <c r="K807" s="15">
        <f>MIN(J807+G807,(J807+G807)*'Hoja 4 - Cálculo'!$B$15)</f>
        <v>0.3908625</v>
      </c>
      <c r="L807" s="15">
        <f t="shared" si="177"/>
        <v>19.152262499999999</v>
      </c>
      <c r="M807" s="15">
        <f t="shared" si="178"/>
        <v>12</v>
      </c>
      <c r="N807" s="15">
        <f t="shared" si="179"/>
        <v>3</v>
      </c>
      <c r="O807" s="15">
        <f t="shared" si="180"/>
        <v>4.1522624999999991</v>
      </c>
      <c r="P807" s="15">
        <f t="shared" si="181"/>
        <v>0</v>
      </c>
      <c r="Q807" s="14" t="str">
        <f>IF(M807&gt;=I807*'Hoja 4 - Cálculo'!$B$16,"Satisfactorio","Falla")</f>
        <v>Satisfactorio</v>
      </c>
      <c r="R807" s="14">
        <f t="shared" si="184"/>
        <v>0</v>
      </c>
      <c r="S807" s="14">
        <f t="shared" si="185"/>
        <v>0</v>
      </c>
    </row>
    <row r="808" spans="1:19">
      <c r="A808" s="14" t="str">
        <f t="shared" si="182"/>
        <v>SRY-3-1</v>
      </c>
      <c r="B808" s="15">
        <f>'Curvas SRY'!$B$10</f>
        <v>3</v>
      </c>
      <c r="C808" s="15">
        <f>'Curvas SRY'!$E$8</f>
        <v>0.75</v>
      </c>
      <c r="D808" s="14" t="str">
        <f>'Curvas SRY'!$B$14</f>
        <v>Uso variable</v>
      </c>
      <c r="E808" s="14">
        <f>85</f>
        <v>85</v>
      </c>
      <c r="F808" s="21">
        <f>'Hoja 4 - Cálculo'!A109</f>
        <v>32143</v>
      </c>
      <c r="G808" s="15">
        <f>'Hoja 4 - Cálculo'!H109</f>
        <v>13.291874999999999</v>
      </c>
      <c r="H808" s="15">
        <f>IF(D808="Uso único",'Hoja 4 - Cálculo'!I109,IF(D808="Uso múltiple",AVERAGE('Hoja 4 - Cálculo'!$I$25:$I$384)+AVERAGE('Hoja 4 - Cálculo'!$J$25:$J$384)+AVERAGE('Hoja 4 - Cálculo'!$K$25:$K$384),IF(D808="Uso prioritario",'Hoja 4 - Cálculo'!I109+'Hoja 4 - Cálculo'!K109,'Hoja 4 - Cálculo'!I109+'Hoja 4 - Cálculo'!J109+'Hoja 4 - Cálculo'!K109)))</f>
        <v>16</v>
      </c>
      <c r="I808" s="15">
        <f t="shared" si="176"/>
        <v>12</v>
      </c>
      <c r="J808" s="15">
        <f t="shared" si="183"/>
        <v>3</v>
      </c>
      <c r="K808" s="15">
        <f>MIN(J808+G808,(J808+G808)*'Hoja 4 - Cálculo'!$B$15)</f>
        <v>0.32583749999999995</v>
      </c>
      <c r="L808" s="15">
        <f t="shared" si="177"/>
        <v>15.966037499999997</v>
      </c>
      <c r="M808" s="15">
        <f t="shared" si="178"/>
        <v>12</v>
      </c>
      <c r="N808" s="15">
        <f t="shared" si="179"/>
        <v>3</v>
      </c>
      <c r="O808" s="15">
        <f t="shared" si="180"/>
        <v>0.966037499999997</v>
      </c>
      <c r="P808" s="15">
        <f t="shared" si="181"/>
        <v>0</v>
      </c>
      <c r="Q808" s="14" t="str">
        <f>IF(M808&gt;=I808*'Hoja 4 - Cálculo'!$B$16,"Satisfactorio","Falla")</f>
        <v>Satisfactorio</v>
      </c>
      <c r="R808" s="14">
        <f t="shared" si="184"/>
        <v>0</v>
      </c>
      <c r="S808" s="14">
        <f t="shared" si="185"/>
        <v>0</v>
      </c>
    </row>
    <row r="809" spans="1:19">
      <c r="A809" s="14" t="str">
        <f t="shared" si="182"/>
        <v>SRY-3-1</v>
      </c>
      <c r="B809" s="15">
        <f>'Curvas SRY'!$B$10</f>
        <v>3</v>
      </c>
      <c r="C809" s="15">
        <f>'Curvas SRY'!$E$8</f>
        <v>0.75</v>
      </c>
      <c r="D809" s="14" t="str">
        <f>'Curvas SRY'!$B$14</f>
        <v>Uso variable</v>
      </c>
      <c r="E809" s="14">
        <f>86</f>
        <v>86</v>
      </c>
      <c r="F809" s="21">
        <f>'Hoja 4 - Cálculo'!A110</f>
        <v>32174</v>
      </c>
      <c r="G809" s="15">
        <f>'Hoja 4 - Cálculo'!H110</f>
        <v>14.19075</v>
      </c>
      <c r="H809" s="15">
        <f>IF(D809="Uso único",'Hoja 4 - Cálculo'!I110,IF(D809="Uso múltiple",AVERAGE('Hoja 4 - Cálculo'!$I$25:$I$384)+AVERAGE('Hoja 4 - Cálculo'!$J$25:$J$384)+AVERAGE('Hoja 4 - Cálculo'!$K$25:$K$384),IF(D809="Uso prioritario",'Hoja 4 - Cálculo'!I110+'Hoja 4 - Cálculo'!K110,'Hoja 4 - Cálculo'!I110+'Hoja 4 - Cálculo'!J110+'Hoja 4 - Cálculo'!K110)))</f>
        <v>16</v>
      </c>
      <c r="I809" s="15">
        <f t="shared" si="176"/>
        <v>12</v>
      </c>
      <c r="J809" s="15">
        <f t="shared" si="183"/>
        <v>3</v>
      </c>
      <c r="K809" s="15">
        <f>MIN(J809+G809,(J809+G809)*'Hoja 4 - Cálculo'!$B$15)</f>
        <v>0.34381500000000004</v>
      </c>
      <c r="L809" s="15">
        <f t="shared" si="177"/>
        <v>16.846935000000002</v>
      </c>
      <c r="M809" s="15">
        <f t="shared" si="178"/>
        <v>12</v>
      </c>
      <c r="N809" s="15">
        <f t="shared" si="179"/>
        <v>3</v>
      </c>
      <c r="O809" s="15">
        <f t="shared" si="180"/>
        <v>1.846935000000002</v>
      </c>
      <c r="P809" s="15">
        <f t="shared" si="181"/>
        <v>0</v>
      </c>
      <c r="Q809" s="14" t="str">
        <f>IF(M809&gt;=I809*'Hoja 4 - Cálculo'!$B$16,"Satisfactorio","Falla")</f>
        <v>Satisfactorio</v>
      </c>
      <c r="R809" s="14">
        <f t="shared" si="184"/>
        <v>0</v>
      </c>
      <c r="S809" s="14">
        <f t="shared" si="185"/>
        <v>0</v>
      </c>
    </row>
    <row r="810" spans="1:19">
      <c r="A810" s="14" t="str">
        <f t="shared" si="182"/>
        <v>SRY-3-1</v>
      </c>
      <c r="B810" s="15">
        <f>'Curvas SRY'!$B$10</f>
        <v>3</v>
      </c>
      <c r="C810" s="15">
        <f>'Curvas SRY'!$E$8</f>
        <v>0.75</v>
      </c>
      <c r="D810" s="14" t="str">
        <f>'Curvas SRY'!$B$14</f>
        <v>Uso variable</v>
      </c>
      <c r="E810" s="14">
        <f>87</f>
        <v>87</v>
      </c>
      <c r="F810" s="21">
        <f>'Hoja 4 - Cálculo'!A111</f>
        <v>32203</v>
      </c>
      <c r="G810" s="15">
        <f>'Hoja 4 - Cálculo'!H111</f>
        <v>22.338000000000001</v>
      </c>
      <c r="H810" s="15">
        <f>IF(D810="Uso único",'Hoja 4 - Cálculo'!I111,IF(D810="Uso múltiple",AVERAGE('Hoja 4 - Cálculo'!$I$25:$I$384)+AVERAGE('Hoja 4 - Cálculo'!$J$25:$J$384)+AVERAGE('Hoja 4 - Cálculo'!$K$25:$K$384),IF(D810="Uso prioritario",'Hoja 4 - Cálculo'!I111+'Hoja 4 - Cálculo'!K111,'Hoja 4 - Cálculo'!I111+'Hoja 4 - Cálculo'!J111+'Hoja 4 - Cálculo'!K111)))</f>
        <v>16</v>
      </c>
      <c r="I810" s="15">
        <f t="shared" si="176"/>
        <v>12</v>
      </c>
      <c r="J810" s="15">
        <f t="shared" si="183"/>
        <v>3</v>
      </c>
      <c r="K810" s="15">
        <f>MIN(J810+G810,(J810+G810)*'Hoja 4 - Cálculo'!$B$15)</f>
        <v>0.50675999999999999</v>
      </c>
      <c r="L810" s="15">
        <f t="shared" si="177"/>
        <v>24.831240000000001</v>
      </c>
      <c r="M810" s="15">
        <f t="shared" si="178"/>
        <v>12</v>
      </c>
      <c r="N810" s="15">
        <f t="shared" si="179"/>
        <v>3</v>
      </c>
      <c r="O810" s="15">
        <f t="shared" si="180"/>
        <v>9.8312400000000011</v>
      </c>
      <c r="P810" s="15">
        <f t="shared" si="181"/>
        <v>0</v>
      </c>
      <c r="Q810" s="14" t="str">
        <f>IF(M810&gt;=I810*'Hoja 4 - Cálculo'!$B$16,"Satisfactorio","Falla")</f>
        <v>Satisfactorio</v>
      </c>
      <c r="R810" s="14">
        <f t="shared" si="184"/>
        <v>0</v>
      </c>
      <c r="S810" s="14">
        <f t="shared" si="185"/>
        <v>0</v>
      </c>
    </row>
    <row r="811" spans="1:19">
      <c r="A811" s="14" t="str">
        <f t="shared" si="182"/>
        <v>SRY-3-1</v>
      </c>
      <c r="B811" s="15">
        <f>'Curvas SRY'!$B$10</f>
        <v>3</v>
      </c>
      <c r="C811" s="15">
        <f>'Curvas SRY'!$E$8</f>
        <v>0.75</v>
      </c>
      <c r="D811" s="14" t="str">
        <f>'Curvas SRY'!$B$14</f>
        <v>Uso variable</v>
      </c>
      <c r="E811" s="14">
        <f>88</f>
        <v>88</v>
      </c>
      <c r="F811" s="21">
        <f>'Hoja 4 - Cálculo'!A112</f>
        <v>32234</v>
      </c>
      <c r="G811" s="15">
        <f>'Hoja 4 - Cálculo'!H112</f>
        <v>29.643750000000001</v>
      </c>
      <c r="H811" s="15">
        <f>IF(D811="Uso único",'Hoja 4 - Cálculo'!I112,IF(D811="Uso múltiple",AVERAGE('Hoja 4 - Cálculo'!$I$25:$I$384)+AVERAGE('Hoja 4 - Cálculo'!$J$25:$J$384)+AVERAGE('Hoja 4 - Cálculo'!$K$25:$K$384),IF(D811="Uso prioritario",'Hoja 4 - Cálculo'!I112+'Hoja 4 - Cálculo'!K112,'Hoja 4 - Cálculo'!I112+'Hoja 4 - Cálculo'!J112+'Hoja 4 - Cálculo'!K112)))</f>
        <v>11.5</v>
      </c>
      <c r="I811" s="15">
        <f t="shared" si="176"/>
        <v>8.625</v>
      </c>
      <c r="J811" s="15">
        <f t="shared" si="183"/>
        <v>3</v>
      </c>
      <c r="K811" s="15">
        <f>MIN(J811+G811,(J811+G811)*'Hoja 4 - Cálculo'!$B$15)</f>
        <v>0.65287499999999998</v>
      </c>
      <c r="L811" s="15">
        <f t="shared" si="177"/>
        <v>31.990874999999996</v>
      </c>
      <c r="M811" s="15">
        <f t="shared" si="178"/>
        <v>8.625</v>
      </c>
      <c r="N811" s="15">
        <f t="shared" si="179"/>
        <v>3</v>
      </c>
      <c r="O811" s="15">
        <f t="shared" si="180"/>
        <v>20.365874999999996</v>
      </c>
      <c r="P811" s="15">
        <f t="shared" si="181"/>
        <v>0</v>
      </c>
      <c r="Q811" s="14" t="str">
        <f>IF(M811&gt;=I811*'Hoja 4 - Cálculo'!$B$16,"Satisfactorio","Falla")</f>
        <v>Satisfactorio</v>
      </c>
      <c r="R811" s="14">
        <f t="shared" si="184"/>
        <v>0</v>
      </c>
      <c r="S811" s="14">
        <f t="shared" si="185"/>
        <v>0</v>
      </c>
    </row>
    <row r="812" spans="1:19">
      <c r="A812" s="14" t="str">
        <f t="shared" si="182"/>
        <v>SRY-3-1</v>
      </c>
      <c r="B812" s="15">
        <f>'Curvas SRY'!$B$10</f>
        <v>3</v>
      </c>
      <c r="C812" s="15">
        <f>'Curvas SRY'!$E$8</f>
        <v>0.75</v>
      </c>
      <c r="D812" s="14" t="str">
        <f>'Curvas SRY'!$B$14</f>
        <v>Uso variable</v>
      </c>
      <c r="E812" s="14">
        <f>89</f>
        <v>89</v>
      </c>
      <c r="F812" s="21">
        <f>'Hoja 4 - Cálculo'!A113</f>
        <v>32264</v>
      </c>
      <c r="G812" s="15">
        <f>'Hoja 4 - Cálculo'!H113</f>
        <v>28.075500000000002</v>
      </c>
      <c r="H812" s="15">
        <f>IF(D812="Uso único",'Hoja 4 - Cálculo'!I113,IF(D812="Uso múltiple",AVERAGE('Hoja 4 - Cálculo'!$I$25:$I$384)+AVERAGE('Hoja 4 - Cálculo'!$J$25:$J$384)+AVERAGE('Hoja 4 - Cálculo'!$K$25:$K$384),IF(D812="Uso prioritario",'Hoja 4 - Cálculo'!I113+'Hoja 4 - Cálculo'!K113,'Hoja 4 - Cálculo'!I113+'Hoja 4 - Cálculo'!J113+'Hoja 4 - Cálculo'!K113)))</f>
        <v>11.5</v>
      </c>
      <c r="I812" s="15">
        <f t="shared" si="176"/>
        <v>8.625</v>
      </c>
      <c r="J812" s="15">
        <f t="shared" si="183"/>
        <v>3</v>
      </c>
      <c r="K812" s="15">
        <f>MIN(J812+G812,(J812+G812)*'Hoja 4 - Cálculo'!$B$15)</f>
        <v>0.62151000000000001</v>
      </c>
      <c r="L812" s="15">
        <f t="shared" si="177"/>
        <v>30.453990000000001</v>
      </c>
      <c r="M812" s="15">
        <f t="shared" si="178"/>
        <v>8.625</v>
      </c>
      <c r="N812" s="15">
        <f t="shared" si="179"/>
        <v>3</v>
      </c>
      <c r="O812" s="15">
        <f t="shared" si="180"/>
        <v>18.828990000000001</v>
      </c>
      <c r="P812" s="15">
        <f t="shared" si="181"/>
        <v>0</v>
      </c>
      <c r="Q812" s="14" t="str">
        <f>IF(M812&gt;=I812*'Hoja 4 - Cálculo'!$B$16,"Satisfactorio","Falla")</f>
        <v>Satisfactorio</v>
      </c>
      <c r="R812" s="14">
        <f t="shared" si="184"/>
        <v>0</v>
      </c>
      <c r="S812" s="14">
        <f t="shared" si="185"/>
        <v>0</v>
      </c>
    </row>
    <row r="813" spans="1:19">
      <c r="A813" s="14" t="str">
        <f t="shared" si="182"/>
        <v>SRY-3-1</v>
      </c>
      <c r="B813" s="15">
        <f>'Curvas SRY'!$B$10</f>
        <v>3</v>
      </c>
      <c r="C813" s="15">
        <f>'Curvas SRY'!$E$8</f>
        <v>0.75</v>
      </c>
      <c r="D813" s="14" t="str">
        <f>'Curvas SRY'!$B$14</f>
        <v>Uso variable</v>
      </c>
      <c r="E813" s="14">
        <f>90</f>
        <v>90</v>
      </c>
      <c r="F813" s="21">
        <f>'Hoja 4 - Cálculo'!A114</f>
        <v>32295</v>
      </c>
      <c r="G813" s="15">
        <f>'Hoja 4 - Cálculo'!H114</f>
        <v>16.485749999999999</v>
      </c>
      <c r="H813" s="15">
        <f>IF(D813="Uso único",'Hoja 4 - Cálculo'!I114,IF(D813="Uso múltiple",AVERAGE('Hoja 4 - Cálculo'!$I$25:$I$384)+AVERAGE('Hoja 4 - Cálculo'!$J$25:$J$384)+AVERAGE('Hoja 4 - Cálculo'!$K$25:$K$384),IF(D813="Uso prioritario",'Hoja 4 - Cálculo'!I114+'Hoja 4 - Cálculo'!K114,'Hoja 4 - Cálculo'!I114+'Hoja 4 - Cálculo'!J114+'Hoja 4 - Cálculo'!K114)))</f>
        <v>11.5</v>
      </c>
      <c r="I813" s="15">
        <f t="shared" si="176"/>
        <v>8.625</v>
      </c>
      <c r="J813" s="15">
        <f t="shared" si="183"/>
        <v>3</v>
      </c>
      <c r="K813" s="15">
        <f>MIN(J813+G813,(J813+G813)*'Hoja 4 - Cálculo'!$B$15)</f>
        <v>0.38971499999999998</v>
      </c>
      <c r="L813" s="15">
        <f t="shared" si="177"/>
        <v>19.096035000000001</v>
      </c>
      <c r="M813" s="15">
        <f t="shared" si="178"/>
        <v>8.625</v>
      </c>
      <c r="N813" s="15">
        <f t="shared" si="179"/>
        <v>3</v>
      </c>
      <c r="O813" s="15">
        <f t="shared" si="180"/>
        <v>7.4710350000000005</v>
      </c>
      <c r="P813" s="15">
        <f t="shared" si="181"/>
        <v>0</v>
      </c>
      <c r="Q813" s="14" t="str">
        <f>IF(M813&gt;=I813*'Hoja 4 - Cálculo'!$B$16,"Satisfactorio","Falla")</f>
        <v>Satisfactorio</v>
      </c>
      <c r="R813" s="14">
        <f t="shared" si="184"/>
        <v>0</v>
      </c>
      <c r="S813" s="14">
        <f t="shared" si="185"/>
        <v>0</v>
      </c>
    </row>
    <row r="814" spans="1:19">
      <c r="A814" s="14" t="str">
        <f t="shared" si="182"/>
        <v>SRY-3-1</v>
      </c>
      <c r="B814" s="15">
        <f>'Curvas SRY'!$B$10</f>
        <v>3</v>
      </c>
      <c r="C814" s="15">
        <f>'Curvas SRY'!$E$8</f>
        <v>0.75</v>
      </c>
      <c r="D814" s="14" t="str">
        <f>'Curvas SRY'!$B$14</f>
        <v>Uso variable</v>
      </c>
      <c r="E814" s="14">
        <f>91</f>
        <v>91</v>
      </c>
      <c r="F814" s="21">
        <f>'Hoja 4 - Cálculo'!A115</f>
        <v>32325</v>
      </c>
      <c r="G814" s="15">
        <f>'Hoja 4 - Cálculo'!H115</f>
        <v>13.827375</v>
      </c>
      <c r="H814" s="15">
        <f>IF(D814="Uso único",'Hoja 4 - Cálculo'!I115,IF(D814="Uso múltiple",AVERAGE('Hoja 4 - Cálculo'!$I$25:$I$384)+AVERAGE('Hoja 4 - Cálculo'!$J$25:$J$384)+AVERAGE('Hoja 4 - Cálculo'!$K$25:$K$384),IF(D814="Uso prioritario",'Hoja 4 - Cálculo'!I115+'Hoja 4 - Cálculo'!K115,'Hoja 4 - Cálculo'!I115+'Hoja 4 - Cálculo'!J115+'Hoja 4 - Cálculo'!K115)))</f>
        <v>16</v>
      </c>
      <c r="I814" s="15">
        <f t="shared" si="176"/>
        <v>12</v>
      </c>
      <c r="J814" s="15">
        <f t="shared" si="183"/>
        <v>3</v>
      </c>
      <c r="K814" s="15">
        <f>MIN(J814+G814,(J814+G814)*'Hoja 4 - Cálculo'!$B$15)</f>
        <v>0.3365475</v>
      </c>
      <c r="L814" s="15">
        <f t="shared" si="177"/>
        <v>16.490827500000002</v>
      </c>
      <c r="M814" s="15">
        <f t="shared" si="178"/>
        <v>12</v>
      </c>
      <c r="N814" s="15">
        <f t="shared" si="179"/>
        <v>3</v>
      </c>
      <c r="O814" s="15">
        <f t="shared" si="180"/>
        <v>1.4908275000000017</v>
      </c>
      <c r="P814" s="15">
        <f t="shared" si="181"/>
        <v>0</v>
      </c>
      <c r="Q814" s="14" t="str">
        <f>IF(M814&gt;=I814*'Hoja 4 - Cálculo'!$B$16,"Satisfactorio","Falla")</f>
        <v>Satisfactorio</v>
      </c>
      <c r="R814" s="14">
        <f t="shared" si="184"/>
        <v>0</v>
      </c>
      <c r="S814" s="14">
        <f t="shared" si="185"/>
        <v>0</v>
      </c>
    </row>
    <row r="815" spans="1:19">
      <c r="A815" s="14" t="str">
        <f t="shared" si="182"/>
        <v>SRY-3-1</v>
      </c>
      <c r="B815" s="15">
        <f>'Curvas SRY'!$B$10</f>
        <v>3</v>
      </c>
      <c r="C815" s="15">
        <f>'Curvas SRY'!$E$8</f>
        <v>0.75</v>
      </c>
      <c r="D815" s="14" t="str">
        <f>'Curvas SRY'!$B$14</f>
        <v>Uso variable</v>
      </c>
      <c r="E815" s="14">
        <f>92</f>
        <v>92</v>
      </c>
      <c r="F815" s="21">
        <f>'Hoja 4 - Cálculo'!A116</f>
        <v>32356</v>
      </c>
      <c r="G815" s="15">
        <f>'Hoja 4 - Cálculo'!H116</f>
        <v>14.783625000000001</v>
      </c>
      <c r="H815" s="15">
        <f>IF(D815="Uso único",'Hoja 4 - Cálculo'!I116,IF(D815="Uso múltiple",AVERAGE('Hoja 4 - Cálculo'!$I$25:$I$384)+AVERAGE('Hoja 4 - Cálculo'!$J$25:$J$384)+AVERAGE('Hoja 4 - Cálculo'!$K$25:$K$384),IF(D815="Uso prioritario",'Hoja 4 - Cálculo'!I116+'Hoja 4 - Cálculo'!K116,'Hoja 4 - Cálculo'!I116+'Hoja 4 - Cálculo'!J116+'Hoja 4 - Cálculo'!K116)))</f>
        <v>16</v>
      </c>
      <c r="I815" s="15">
        <f t="shared" si="176"/>
        <v>12</v>
      </c>
      <c r="J815" s="15">
        <f t="shared" si="183"/>
        <v>3</v>
      </c>
      <c r="K815" s="15">
        <f>MIN(J815+G815,(J815+G815)*'Hoja 4 - Cálculo'!$B$15)</f>
        <v>0.3556725</v>
      </c>
      <c r="L815" s="15">
        <f t="shared" si="177"/>
        <v>17.4279525</v>
      </c>
      <c r="M815" s="15">
        <f t="shared" si="178"/>
        <v>12</v>
      </c>
      <c r="N815" s="15">
        <f t="shared" si="179"/>
        <v>3</v>
      </c>
      <c r="O815" s="15">
        <f t="shared" si="180"/>
        <v>2.4279525</v>
      </c>
      <c r="P815" s="15">
        <f t="shared" si="181"/>
        <v>0</v>
      </c>
      <c r="Q815" s="14" t="str">
        <f>IF(M815&gt;=I815*'Hoja 4 - Cálculo'!$B$16,"Satisfactorio","Falla")</f>
        <v>Satisfactorio</v>
      </c>
      <c r="R815" s="14">
        <f t="shared" si="184"/>
        <v>0</v>
      </c>
      <c r="S815" s="14">
        <f t="shared" si="185"/>
        <v>0</v>
      </c>
    </row>
    <row r="816" spans="1:19">
      <c r="A816" s="14" t="str">
        <f t="shared" si="182"/>
        <v>SRY-3-1</v>
      </c>
      <c r="B816" s="15">
        <f>'Curvas SRY'!$B$10</f>
        <v>3</v>
      </c>
      <c r="C816" s="15">
        <f>'Curvas SRY'!$E$8</f>
        <v>0.75</v>
      </c>
      <c r="D816" s="14" t="str">
        <f>'Curvas SRY'!$B$14</f>
        <v>Uso variable</v>
      </c>
      <c r="E816" s="14">
        <f>93</f>
        <v>93</v>
      </c>
      <c r="F816" s="21">
        <f>'Hoja 4 - Cálculo'!A117</f>
        <v>32387</v>
      </c>
      <c r="G816" s="15">
        <f>'Hoja 4 - Cálculo'!H117</f>
        <v>23.3325</v>
      </c>
      <c r="H816" s="15">
        <f>IF(D816="Uso único",'Hoja 4 - Cálculo'!I117,IF(D816="Uso múltiple",AVERAGE('Hoja 4 - Cálculo'!$I$25:$I$384)+AVERAGE('Hoja 4 - Cálculo'!$J$25:$J$384)+AVERAGE('Hoja 4 - Cálculo'!$K$25:$K$384),IF(D816="Uso prioritario",'Hoja 4 - Cálculo'!I117+'Hoja 4 - Cálculo'!K117,'Hoja 4 - Cálculo'!I117+'Hoja 4 - Cálculo'!J117+'Hoja 4 - Cálculo'!K117)))</f>
        <v>11.5</v>
      </c>
      <c r="I816" s="15">
        <f t="shared" si="176"/>
        <v>8.625</v>
      </c>
      <c r="J816" s="15">
        <f t="shared" si="183"/>
        <v>3</v>
      </c>
      <c r="K816" s="15">
        <f>MIN(J816+G816,(J816+G816)*'Hoja 4 - Cálculo'!$B$15)</f>
        <v>0.52664999999999995</v>
      </c>
      <c r="L816" s="15">
        <f t="shared" si="177"/>
        <v>25.80585</v>
      </c>
      <c r="M816" s="15">
        <f t="shared" si="178"/>
        <v>8.625</v>
      </c>
      <c r="N816" s="15">
        <f t="shared" si="179"/>
        <v>3</v>
      </c>
      <c r="O816" s="15">
        <f t="shared" si="180"/>
        <v>14.18085</v>
      </c>
      <c r="P816" s="15">
        <f t="shared" si="181"/>
        <v>0</v>
      </c>
      <c r="Q816" s="14" t="str">
        <f>IF(M816&gt;=I816*'Hoja 4 - Cálculo'!$B$16,"Satisfactorio","Falla")</f>
        <v>Satisfactorio</v>
      </c>
      <c r="R816" s="14">
        <f t="shared" si="184"/>
        <v>0</v>
      </c>
      <c r="S816" s="14">
        <f t="shared" si="185"/>
        <v>0</v>
      </c>
    </row>
    <row r="817" spans="1:19">
      <c r="A817" s="14" t="str">
        <f t="shared" si="182"/>
        <v>SRY-3-1</v>
      </c>
      <c r="B817" s="15">
        <f>'Curvas SRY'!$B$10</f>
        <v>3</v>
      </c>
      <c r="C817" s="15">
        <f>'Curvas SRY'!$E$8</f>
        <v>0.75</v>
      </c>
      <c r="D817" s="14" t="str">
        <f>'Curvas SRY'!$B$14</f>
        <v>Uso variable</v>
      </c>
      <c r="E817" s="14">
        <f>94</f>
        <v>94</v>
      </c>
      <c r="F817" s="21">
        <f>'Hoja 4 - Cálculo'!A118</f>
        <v>32417</v>
      </c>
      <c r="G817" s="15">
        <f>'Hoja 4 - Cálculo'!H118</f>
        <v>32.015250000000002</v>
      </c>
      <c r="H817" s="15">
        <f>IF(D817="Uso único",'Hoja 4 - Cálculo'!I118,IF(D817="Uso múltiple",AVERAGE('Hoja 4 - Cálculo'!$I$25:$I$384)+AVERAGE('Hoja 4 - Cálculo'!$J$25:$J$384)+AVERAGE('Hoja 4 - Cálculo'!$K$25:$K$384),IF(D817="Uso prioritario",'Hoja 4 - Cálculo'!I118+'Hoja 4 - Cálculo'!K118,'Hoja 4 - Cálculo'!I118+'Hoja 4 - Cálculo'!J118+'Hoja 4 - Cálculo'!K118)))</f>
        <v>11.5</v>
      </c>
      <c r="I817" s="15">
        <f t="shared" si="176"/>
        <v>8.625</v>
      </c>
      <c r="J817" s="15">
        <f t="shared" si="183"/>
        <v>3</v>
      </c>
      <c r="K817" s="15">
        <f>MIN(J817+G817,(J817+G817)*'Hoja 4 - Cálculo'!$B$15)</f>
        <v>0.70030500000000007</v>
      </c>
      <c r="L817" s="15">
        <f t="shared" si="177"/>
        <v>34.314945000000002</v>
      </c>
      <c r="M817" s="15">
        <f t="shared" si="178"/>
        <v>8.625</v>
      </c>
      <c r="N817" s="15">
        <f t="shared" si="179"/>
        <v>3</v>
      </c>
      <c r="O817" s="15">
        <f t="shared" si="180"/>
        <v>22.689945000000002</v>
      </c>
      <c r="P817" s="15">
        <f t="shared" si="181"/>
        <v>0</v>
      </c>
      <c r="Q817" s="14" t="str">
        <f>IF(M817&gt;=I817*'Hoja 4 - Cálculo'!$B$16,"Satisfactorio","Falla")</f>
        <v>Satisfactorio</v>
      </c>
      <c r="R817" s="14">
        <f t="shared" si="184"/>
        <v>0</v>
      </c>
      <c r="S817" s="14">
        <f t="shared" si="185"/>
        <v>0</v>
      </c>
    </row>
    <row r="818" spans="1:19">
      <c r="A818" s="14" t="str">
        <f t="shared" si="182"/>
        <v>SRY-3-1</v>
      </c>
      <c r="B818" s="15">
        <f>'Curvas SRY'!$B$10</f>
        <v>3</v>
      </c>
      <c r="C818" s="15">
        <f>'Curvas SRY'!$E$8</f>
        <v>0.75</v>
      </c>
      <c r="D818" s="14" t="str">
        <f>'Curvas SRY'!$B$14</f>
        <v>Uso variable</v>
      </c>
      <c r="E818" s="14">
        <f>95</f>
        <v>95</v>
      </c>
      <c r="F818" s="21">
        <f>'Hoja 4 - Cálculo'!A119</f>
        <v>32448</v>
      </c>
      <c r="G818" s="15">
        <f>'Hoja 4 - Cálculo'!H119</f>
        <v>25.876124999999998</v>
      </c>
      <c r="H818" s="15">
        <f>IF(D818="Uso único",'Hoja 4 - Cálculo'!I119,IF(D818="Uso múltiple",AVERAGE('Hoja 4 - Cálculo'!$I$25:$I$384)+AVERAGE('Hoja 4 - Cálculo'!$J$25:$J$384)+AVERAGE('Hoja 4 - Cálculo'!$K$25:$K$384),IF(D818="Uso prioritario",'Hoja 4 - Cálculo'!I119+'Hoja 4 - Cálculo'!K119,'Hoja 4 - Cálculo'!I119+'Hoja 4 - Cálculo'!J119+'Hoja 4 - Cálculo'!K119)))</f>
        <v>11.5</v>
      </c>
      <c r="I818" s="15">
        <f t="shared" si="176"/>
        <v>8.625</v>
      </c>
      <c r="J818" s="15">
        <f t="shared" si="183"/>
        <v>3</v>
      </c>
      <c r="K818" s="15">
        <f>MIN(J818+G818,(J818+G818)*'Hoja 4 - Cálculo'!$B$15)</f>
        <v>0.57752249999999994</v>
      </c>
      <c r="L818" s="15">
        <f t="shared" si="177"/>
        <v>28.298602499999998</v>
      </c>
      <c r="M818" s="15">
        <f t="shared" si="178"/>
        <v>8.625</v>
      </c>
      <c r="N818" s="15">
        <f t="shared" si="179"/>
        <v>3</v>
      </c>
      <c r="O818" s="15">
        <f t="shared" si="180"/>
        <v>16.673602499999998</v>
      </c>
      <c r="P818" s="15">
        <f t="shared" si="181"/>
        <v>0</v>
      </c>
      <c r="Q818" s="14" t="str">
        <f>IF(M818&gt;=I818*'Hoja 4 - Cálculo'!$B$16,"Satisfactorio","Falla")</f>
        <v>Satisfactorio</v>
      </c>
      <c r="R818" s="14">
        <f t="shared" si="184"/>
        <v>0</v>
      </c>
      <c r="S818" s="14">
        <f t="shared" si="185"/>
        <v>0</v>
      </c>
    </row>
    <row r="819" spans="1:19">
      <c r="A819" s="14" t="str">
        <f t="shared" si="182"/>
        <v>SRY-3-1</v>
      </c>
      <c r="B819" s="15">
        <f>'Curvas SRY'!$B$10</f>
        <v>3</v>
      </c>
      <c r="C819" s="15">
        <f>'Curvas SRY'!$E$8</f>
        <v>0.75</v>
      </c>
      <c r="D819" s="14" t="str">
        <f>'Curvas SRY'!$B$14</f>
        <v>Uso variable</v>
      </c>
      <c r="E819" s="14">
        <f>96</f>
        <v>96</v>
      </c>
      <c r="F819" s="21">
        <f>'Hoja 4 - Cálculo'!A120</f>
        <v>32478</v>
      </c>
      <c r="G819" s="15">
        <f>'Hoja 4 - Cálculo'!H120</f>
        <v>16.218</v>
      </c>
      <c r="H819" s="15">
        <f>IF(D819="Uso único",'Hoja 4 - Cálculo'!I120,IF(D819="Uso múltiple",AVERAGE('Hoja 4 - Cálculo'!$I$25:$I$384)+AVERAGE('Hoja 4 - Cálculo'!$J$25:$J$384)+AVERAGE('Hoja 4 - Cálculo'!$K$25:$K$384),IF(D819="Uso prioritario",'Hoja 4 - Cálculo'!I120+'Hoja 4 - Cálculo'!K120,'Hoja 4 - Cálculo'!I120+'Hoja 4 - Cálculo'!J120+'Hoja 4 - Cálculo'!K120)))</f>
        <v>16</v>
      </c>
      <c r="I819" s="15">
        <f t="shared" si="176"/>
        <v>12</v>
      </c>
      <c r="J819" s="15">
        <f t="shared" si="183"/>
        <v>3</v>
      </c>
      <c r="K819" s="15">
        <f>MIN(J819+G819,(J819+G819)*'Hoja 4 - Cálculo'!$B$15)</f>
        <v>0.38436000000000003</v>
      </c>
      <c r="L819" s="15">
        <f t="shared" si="177"/>
        <v>18.833639999999999</v>
      </c>
      <c r="M819" s="15">
        <f t="shared" si="178"/>
        <v>12</v>
      </c>
      <c r="N819" s="15">
        <f t="shared" si="179"/>
        <v>3</v>
      </c>
      <c r="O819" s="15">
        <f t="shared" si="180"/>
        <v>3.833639999999999</v>
      </c>
      <c r="P819" s="15">
        <f t="shared" si="181"/>
        <v>0</v>
      </c>
      <c r="Q819" s="14" t="str">
        <f>IF(M819&gt;=I819*'Hoja 4 - Cálculo'!$B$16,"Satisfactorio","Falla")</f>
        <v>Satisfactorio</v>
      </c>
      <c r="R819" s="14">
        <f t="shared" si="184"/>
        <v>0</v>
      </c>
      <c r="S819" s="14">
        <f t="shared" si="185"/>
        <v>0</v>
      </c>
    </row>
    <row r="820" spans="1:19">
      <c r="A820" s="14" t="str">
        <f t="shared" ref="A820:A843" si="186">"SRY-3-1"</f>
        <v>SRY-3-1</v>
      </c>
      <c r="B820" s="15">
        <f>'Curvas SRY'!$B$10</f>
        <v>3</v>
      </c>
      <c r="C820" s="15">
        <f>'Curvas SRY'!$E$8</f>
        <v>0.75</v>
      </c>
      <c r="D820" s="14" t="str">
        <f>'Curvas SRY'!$B$14</f>
        <v>Uso variable</v>
      </c>
      <c r="E820" s="14">
        <f>97</f>
        <v>97</v>
      </c>
      <c r="F820" s="21">
        <f>'Hoja 4 - Cálculo'!A121</f>
        <v>32509</v>
      </c>
      <c r="G820" s="15">
        <f>'Hoja 4 - Cálculo'!H121</f>
        <v>11.761875</v>
      </c>
      <c r="H820" s="15">
        <f>IF(D820="Uso único",'Hoja 4 - Cálculo'!I121,IF(D820="Uso múltiple",AVERAGE('Hoja 4 - Cálculo'!$I$25:$I$384)+AVERAGE('Hoja 4 - Cálculo'!$J$25:$J$384)+AVERAGE('Hoja 4 - Cálculo'!$K$25:$K$384),IF(D820="Uso prioritario",'Hoja 4 - Cálculo'!I121+'Hoja 4 - Cálculo'!K121,'Hoja 4 - Cálculo'!I121+'Hoja 4 - Cálculo'!J121+'Hoja 4 - Cálculo'!K121)))</f>
        <v>16</v>
      </c>
      <c r="I820" s="15">
        <f t="shared" si="176"/>
        <v>12</v>
      </c>
      <c r="J820" s="15">
        <f t="shared" si="183"/>
        <v>3</v>
      </c>
      <c r="K820" s="15">
        <f>MIN(J820+G820,(J820+G820)*'Hoja 4 - Cálculo'!$B$15)</f>
        <v>0.29523749999999999</v>
      </c>
      <c r="L820" s="15">
        <f t="shared" si="177"/>
        <v>14.466637499999999</v>
      </c>
      <c r="M820" s="15">
        <f t="shared" si="178"/>
        <v>12</v>
      </c>
      <c r="N820" s="15">
        <f t="shared" si="179"/>
        <v>2.4666374999999992</v>
      </c>
      <c r="O820" s="15">
        <f t="shared" si="180"/>
        <v>0</v>
      </c>
      <c r="P820" s="15">
        <f t="shared" si="181"/>
        <v>0</v>
      </c>
      <c r="Q820" s="14" t="str">
        <f>IF(M820&gt;=I820*'Hoja 4 - Cálculo'!$B$16,"Satisfactorio","Falla")</f>
        <v>Satisfactorio</v>
      </c>
      <c r="R820" s="14">
        <f t="shared" si="184"/>
        <v>0</v>
      </c>
      <c r="S820" s="14">
        <f t="shared" si="185"/>
        <v>0</v>
      </c>
    </row>
    <row r="821" spans="1:19">
      <c r="A821" s="14" t="str">
        <f t="shared" si="186"/>
        <v>SRY-3-1</v>
      </c>
      <c r="B821" s="15">
        <f>'Curvas SRY'!$B$10</f>
        <v>3</v>
      </c>
      <c r="C821" s="15">
        <f>'Curvas SRY'!$E$8</f>
        <v>0.75</v>
      </c>
      <c r="D821" s="14" t="str">
        <f>'Curvas SRY'!$B$14</f>
        <v>Uso variable</v>
      </c>
      <c r="E821" s="14">
        <f>98</f>
        <v>98</v>
      </c>
      <c r="F821" s="21">
        <f>'Hoja 4 - Cálculo'!A122</f>
        <v>32540</v>
      </c>
      <c r="G821" s="15">
        <f>'Hoja 4 - Cálculo'!H122</f>
        <v>12.43125</v>
      </c>
      <c r="H821" s="15">
        <f>IF(D821="Uso único",'Hoja 4 - Cálculo'!I122,IF(D821="Uso múltiple",AVERAGE('Hoja 4 - Cálculo'!$I$25:$I$384)+AVERAGE('Hoja 4 - Cálculo'!$J$25:$J$384)+AVERAGE('Hoja 4 - Cálculo'!$K$25:$K$384),IF(D821="Uso prioritario",'Hoja 4 - Cálculo'!I122+'Hoja 4 - Cálculo'!K122,'Hoja 4 - Cálculo'!I122+'Hoja 4 - Cálculo'!J122+'Hoja 4 - Cálculo'!K122)))</f>
        <v>16</v>
      </c>
      <c r="I821" s="15">
        <f t="shared" si="176"/>
        <v>12</v>
      </c>
      <c r="J821" s="15">
        <f t="shared" ref="J821:J843" si="187">N820</f>
        <v>2.4666374999999992</v>
      </c>
      <c r="K821" s="15">
        <f>MIN(J821+G821,(J821+G821)*'Hoja 4 - Cálculo'!$B$15)</f>
        <v>0.29795775000000002</v>
      </c>
      <c r="L821" s="15">
        <f t="shared" si="177"/>
        <v>14.599929749999999</v>
      </c>
      <c r="M821" s="15">
        <f t="shared" si="178"/>
        <v>12</v>
      </c>
      <c r="N821" s="15">
        <f t="shared" si="179"/>
        <v>2.5999297499999994</v>
      </c>
      <c r="O821" s="15">
        <f t="shared" si="180"/>
        <v>0</v>
      </c>
      <c r="P821" s="15">
        <f t="shared" si="181"/>
        <v>0</v>
      </c>
      <c r="Q821" s="14" t="str">
        <f>IF(M821&gt;=I821*'Hoja 4 - Cálculo'!$B$16,"Satisfactorio","Falla")</f>
        <v>Satisfactorio</v>
      </c>
      <c r="R821" s="14">
        <f t="shared" ref="R821:R852" si="188">IF(AND(Q820="Falla",Q821="Satisfactorio"),1,0)</f>
        <v>0</v>
      </c>
      <c r="S821" s="14">
        <f t="shared" ref="S821:S843" si="189">IF(AND(Q821="Falla",Q820&lt;&gt;"Falla"),1,0)</f>
        <v>0</v>
      </c>
    </row>
    <row r="822" spans="1:19">
      <c r="A822" s="14" t="str">
        <f t="shared" si="186"/>
        <v>SRY-3-1</v>
      </c>
      <c r="B822" s="15">
        <f>'Curvas SRY'!$B$10</f>
        <v>3</v>
      </c>
      <c r="C822" s="15">
        <f>'Curvas SRY'!$E$8</f>
        <v>0.75</v>
      </c>
      <c r="D822" s="14" t="str">
        <f>'Curvas SRY'!$B$14</f>
        <v>Uso variable</v>
      </c>
      <c r="E822" s="14">
        <f>99</f>
        <v>99</v>
      </c>
      <c r="F822" s="21">
        <f>'Hoja 4 - Cálculo'!A123</f>
        <v>32568</v>
      </c>
      <c r="G822" s="15">
        <f>'Hoja 4 - Cálculo'!H123</f>
        <v>19.717874999999999</v>
      </c>
      <c r="H822" s="15">
        <f>IF(D822="Uso único",'Hoja 4 - Cálculo'!I123,IF(D822="Uso múltiple",AVERAGE('Hoja 4 - Cálculo'!$I$25:$I$384)+AVERAGE('Hoja 4 - Cálculo'!$J$25:$J$384)+AVERAGE('Hoja 4 - Cálculo'!$K$25:$K$384),IF(D822="Uso prioritario",'Hoja 4 - Cálculo'!I123+'Hoja 4 - Cálculo'!K123,'Hoja 4 - Cálculo'!I123+'Hoja 4 - Cálculo'!J123+'Hoja 4 - Cálculo'!K123)))</f>
        <v>16</v>
      </c>
      <c r="I822" s="15">
        <f t="shared" si="176"/>
        <v>12</v>
      </c>
      <c r="J822" s="15">
        <f t="shared" si="187"/>
        <v>2.5999297499999994</v>
      </c>
      <c r="K822" s="15">
        <f>MIN(J822+G822,(J822+G822)*'Hoja 4 - Cálculo'!$B$15)</f>
        <v>0.44635609500000001</v>
      </c>
      <c r="L822" s="15">
        <f t="shared" si="177"/>
        <v>21.871448655000002</v>
      </c>
      <c r="M822" s="15">
        <f t="shared" si="178"/>
        <v>12</v>
      </c>
      <c r="N822" s="15">
        <f t="shared" si="179"/>
        <v>3</v>
      </c>
      <c r="O822" s="15">
        <f t="shared" si="180"/>
        <v>6.8714486550000018</v>
      </c>
      <c r="P822" s="15">
        <f t="shared" si="181"/>
        <v>0</v>
      </c>
      <c r="Q822" s="14" t="str">
        <f>IF(M822&gt;=I822*'Hoja 4 - Cálculo'!$B$16,"Satisfactorio","Falla")</f>
        <v>Satisfactorio</v>
      </c>
      <c r="R822" s="14">
        <f t="shared" si="188"/>
        <v>0</v>
      </c>
      <c r="S822" s="14">
        <f t="shared" si="189"/>
        <v>0</v>
      </c>
    </row>
    <row r="823" spans="1:19">
      <c r="A823" s="14" t="str">
        <f t="shared" si="186"/>
        <v>SRY-3-1</v>
      </c>
      <c r="B823" s="15">
        <f>'Curvas SRY'!$B$10</f>
        <v>3</v>
      </c>
      <c r="C823" s="15">
        <f>'Curvas SRY'!$E$8</f>
        <v>0.75</v>
      </c>
      <c r="D823" s="14" t="str">
        <f>'Curvas SRY'!$B$14</f>
        <v>Uso variable</v>
      </c>
      <c r="E823" s="14">
        <f>100</f>
        <v>100</v>
      </c>
      <c r="F823" s="21">
        <f>'Hoja 4 - Cálculo'!A124</f>
        <v>32599</v>
      </c>
      <c r="G823" s="15">
        <f>'Hoja 4 - Cálculo'!H124</f>
        <v>26.029125000000001</v>
      </c>
      <c r="H823" s="15">
        <f>IF(D823="Uso único",'Hoja 4 - Cálculo'!I124,IF(D823="Uso múltiple",AVERAGE('Hoja 4 - Cálculo'!$I$25:$I$384)+AVERAGE('Hoja 4 - Cálculo'!$J$25:$J$384)+AVERAGE('Hoja 4 - Cálculo'!$K$25:$K$384),IF(D823="Uso prioritario",'Hoja 4 - Cálculo'!I124+'Hoja 4 - Cálculo'!K124,'Hoja 4 - Cálculo'!I124+'Hoja 4 - Cálculo'!J124+'Hoja 4 - Cálculo'!K124)))</f>
        <v>11.5</v>
      </c>
      <c r="I823" s="15">
        <f t="shared" si="176"/>
        <v>8.625</v>
      </c>
      <c r="J823" s="15">
        <f t="shared" si="187"/>
        <v>3</v>
      </c>
      <c r="K823" s="15">
        <f>MIN(J823+G823,(J823+G823)*'Hoja 4 - Cálculo'!$B$15)</f>
        <v>0.5805825</v>
      </c>
      <c r="L823" s="15">
        <f t="shared" si="177"/>
        <v>28.448542500000002</v>
      </c>
      <c r="M823" s="15">
        <f t="shared" si="178"/>
        <v>8.625</v>
      </c>
      <c r="N823" s="15">
        <f t="shared" si="179"/>
        <v>3</v>
      </c>
      <c r="O823" s="15">
        <f t="shared" si="180"/>
        <v>16.823542500000002</v>
      </c>
      <c r="P823" s="15">
        <f t="shared" si="181"/>
        <v>0</v>
      </c>
      <c r="Q823" s="14" t="str">
        <f>IF(M823&gt;=I823*'Hoja 4 - Cálculo'!$B$16,"Satisfactorio","Falla")</f>
        <v>Satisfactorio</v>
      </c>
      <c r="R823" s="14">
        <f t="shared" si="188"/>
        <v>0</v>
      </c>
      <c r="S823" s="14">
        <f t="shared" si="189"/>
        <v>0</v>
      </c>
    </row>
    <row r="824" spans="1:19">
      <c r="A824" s="14" t="str">
        <f t="shared" si="186"/>
        <v>SRY-3-1</v>
      </c>
      <c r="B824" s="15">
        <f>'Curvas SRY'!$B$10</f>
        <v>3</v>
      </c>
      <c r="C824" s="15">
        <f>'Curvas SRY'!$E$8</f>
        <v>0.75</v>
      </c>
      <c r="D824" s="14" t="str">
        <f>'Curvas SRY'!$B$14</f>
        <v>Uso variable</v>
      </c>
      <c r="E824" s="14">
        <f>101</f>
        <v>101</v>
      </c>
      <c r="F824" s="21">
        <f>'Hoja 4 - Cálculo'!A125</f>
        <v>32629</v>
      </c>
      <c r="G824" s="15">
        <f>'Hoja 4 - Cálculo'!H125</f>
        <v>24.728625000000005</v>
      </c>
      <c r="H824" s="15">
        <f>IF(D824="Uso único",'Hoja 4 - Cálculo'!I125,IF(D824="Uso múltiple",AVERAGE('Hoja 4 - Cálculo'!$I$25:$I$384)+AVERAGE('Hoja 4 - Cálculo'!$J$25:$J$384)+AVERAGE('Hoja 4 - Cálculo'!$K$25:$K$384),IF(D824="Uso prioritario",'Hoja 4 - Cálculo'!I125+'Hoja 4 - Cálculo'!K125,'Hoja 4 - Cálculo'!I125+'Hoja 4 - Cálculo'!J125+'Hoja 4 - Cálculo'!K125)))</f>
        <v>11.5</v>
      </c>
      <c r="I824" s="15">
        <f t="shared" si="176"/>
        <v>8.625</v>
      </c>
      <c r="J824" s="15">
        <f t="shared" si="187"/>
        <v>3</v>
      </c>
      <c r="K824" s="15">
        <f>MIN(J824+G824,(J824+G824)*'Hoja 4 - Cálculo'!$B$15)</f>
        <v>0.55457250000000013</v>
      </c>
      <c r="L824" s="15">
        <f t="shared" si="177"/>
        <v>27.174052500000005</v>
      </c>
      <c r="M824" s="15">
        <f t="shared" si="178"/>
        <v>8.625</v>
      </c>
      <c r="N824" s="15">
        <f t="shared" si="179"/>
        <v>3</v>
      </c>
      <c r="O824" s="15">
        <f t="shared" si="180"/>
        <v>15.549052500000005</v>
      </c>
      <c r="P824" s="15">
        <f t="shared" si="181"/>
        <v>0</v>
      </c>
      <c r="Q824" s="14" t="str">
        <f>IF(M824&gt;=I824*'Hoja 4 - Cálculo'!$B$16,"Satisfactorio","Falla")</f>
        <v>Satisfactorio</v>
      </c>
      <c r="R824" s="14">
        <f t="shared" si="188"/>
        <v>0</v>
      </c>
      <c r="S824" s="14">
        <f t="shared" si="189"/>
        <v>0</v>
      </c>
    </row>
    <row r="825" spans="1:19">
      <c r="A825" s="14" t="str">
        <f t="shared" si="186"/>
        <v>SRY-3-1</v>
      </c>
      <c r="B825" s="15">
        <f>'Curvas SRY'!$B$10</f>
        <v>3</v>
      </c>
      <c r="C825" s="15">
        <f>'Curvas SRY'!$E$8</f>
        <v>0.75</v>
      </c>
      <c r="D825" s="14" t="str">
        <f>'Curvas SRY'!$B$14</f>
        <v>Uso variable</v>
      </c>
      <c r="E825" s="14">
        <f>102</f>
        <v>102</v>
      </c>
      <c r="F825" s="21">
        <f>'Hoja 4 - Cálculo'!A126</f>
        <v>32660</v>
      </c>
      <c r="G825" s="15">
        <f>'Hoja 4 - Cálculo'!H126</f>
        <v>14.515874999999999</v>
      </c>
      <c r="H825" s="15">
        <f>IF(D825="Uso único",'Hoja 4 - Cálculo'!I126,IF(D825="Uso múltiple",AVERAGE('Hoja 4 - Cálculo'!$I$25:$I$384)+AVERAGE('Hoja 4 - Cálculo'!$J$25:$J$384)+AVERAGE('Hoja 4 - Cálculo'!$K$25:$K$384),IF(D825="Uso prioritario",'Hoja 4 - Cálculo'!I126+'Hoja 4 - Cálculo'!K126,'Hoja 4 - Cálculo'!I126+'Hoja 4 - Cálculo'!J126+'Hoja 4 - Cálculo'!K126)))</f>
        <v>11.5</v>
      </c>
      <c r="I825" s="15">
        <f t="shared" si="176"/>
        <v>8.625</v>
      </c>
      <c r="J825" s="15">
        <f t="shared" si="187"/>
        <v>3</v>
      </c>
      <c r="K825" s="15">
        <f>MIN(J825+G825,(J825+G825)*'Hoja 4 - Cálculo'!$B$15)</f>
        <v>0.3503175</v>
      </c>
      <c r="L825" s="15">
        <f t="shared" si="177"/>
        <v>17.165557500000002</v>
      </c>
      <c r="M825" s="15">
        <f t="shared" si="178"/>
        <v>8.625</v>
      </c>
      <c r="N825" s="15">
        <f t="shared" si="179"/>
        <v>3</v>
      </c>
      <c r="O825" s="15">
        <f t="shared" si="180"/>
        <v>5.540557500000002</v>
      </c>
      <c r="P825" s="15">
        <f t="shared" si="181"/>
        <v>0</v>
      </c>
      <c r="Q825" s="14" t="str">
        <f>IF(M825&gt;=I825*'Hoja 4 - Cálculo'!$B$16,"Satisfactorio","Falla")</f>
        <v>Satisfactorio</v>
      </c>
      <c r="R825" s="14">
        <f t="shared" si="188"/>
        <v>0</v>
      </c>
      <c r="S825" s="14">
        <f t="shared" si="189"/>
        <v>0</v>
      </c>
    </row>
    <row r="826" spans="1:19">
      <c r="A826" s="14" t="str">
        <f t="shared" si="186"/>
        <v>SRY-3-1</v>
      </c>
      <c r="B826" s="15">
        <f>'Curvas SRY'!$B$10</f>
        <v>3</v>
      </c>
      <c r="C826" s="15">
        <f>'Curvas SRY'!$E$8</f>
        <v>0.75</v>
      </c>
      <c r="D826" s="14" t="str">
        <f>'Curvas SRY'!$B$14</f>
        <v>Uso variable</v>
      </c>
      <c r="E826" s="14">
        <f>103</f>
        <v>103</v>
      </c>
      <c r="F826" s="21">
        <f>'Hoja 4 - Cálculo'!A127</f>
        <v>32690</v>
      </c>
      <c r="G826" s="15">
        <f>'Hoja 4 - Cálculo'!H127</f>
        <v>12.144375</v>
      </c>
      <c r="H826" s="15">
        <f>IF(D826="Uso único",'Hoja 4 - Cálculo'!I127,IF(D826="Uso múltiple",AVERAGE('Hoja 4 - Cálculo'!$I$25:$I$384)+AVERAGE('Hoja 4 - Cálculo'!$J$25:$J$384)+AVERAGE('Hoja 4 - Cálculo'!$K$25:$K$384),IF(D826="Uso prioritario",'Hoja 4 - Cálculo'!I127+'Hoja 4 - Cálculo'!K127,'Hoja 4 - Cálculo'!I127+'Hoja 4 - Cálculo'!J127+'Hoja 4 - Cálculo'!K127)))</f>
        <v>16</v>
      </c>
      <c r="I826" s="15">
        <f t="shared" si="176"/>
        <v>12</v>
      </c>
      <c r="J826" s="15">
        <f t="shared" si="187"/>
        <v>3</v>
      </c>
      <c r="K826" s="15">
        <f>MIN(J826+G826,(J826+G826)*'Hoja 4 - Cálculo'!$B$15)</f>
        <v>0.30288750000000003</v>
      </c>
      <c r="L826" s="15">
        <f t="shared" si="177"/>
        <v>14.841487499999999</v>
      </c>
      <c r="M826" s="15">
        <f t="shared" si="178"/>
        <v>12</v>
      </c>
      <c r="N826" s="15">
        <f t="shared" si="179"/>
        <v>2.8414874999999995</v>
      </c>
      <c r="O826" s="15">
        <f t="shared" si="180"/>
        <v>0</v>
      </c>
      <c r="P826" s="15">
        <f t="shared" si="181"/>
        <v>0</v>
      </c>
      <c r="Q826" s="14" t="str">
        <f>IF(M826&gt;=I826*'Hoja 4 - Cálculo'!$B$16,"Satisfactorio","Falla")</f>
        <v>Satisfactorio</v>
      </c>
      <c r="R826" s="14">
        <f t="shared" si="188"/>
        <v>0</v>
      </c>
      <c r="S826" s="14">
        <f t="shared" si="189"/>
        <v>0</v>
      </c>
    </row>
    <row r="827" spans="1:19">
      <c r="A827" s="14" t="str">
        <f t="shared" si="186"/>
        <v>SRY-3-1</v>
      </c>
      <c r="B827" s="15">
        <f>'Curvas SRY'!$B$10</f>
        <v>3</v>
      </c>
      <c r="C827" s="15">
        <f>'Curvas SRY'!$E$8</f>
        <v>0.75</v>
      </c>
      <c r="D827" s="14" t="str">
        <f>'Curvas SRY'!$B$14</f>
        <v>Uso variable</v>
      </c>
      <c r="E827" s="14">
        <f>104</f>
        <v>104</v>
      </c>
      <c r="F827" s="21">
        <f>'Hoja 4 - Cálculo'!A128</f>
        <v>32721</v>
      </c>
      <c r="G827" s="15">
        <f>'Hoja 4 - Cálculo'!H128</f>
        <v>13.04325</v>
      </c>
      <c r="H827" s="15">
        <f>IF(D827="Uso único",'Hoja 4 - Cálculo'!I128,IF(D827="Uso múltiple",AVERAGE('Hoja 4 - Cálculo'!$I$25:$I$384)+AVERAGE('Hoja 4 - Cálculo'!$J$25:$J$384)+AVERAGE('Hoja 4 - Cálculo'!$K$25:$K$384),IF(D827="Uso prioritario",'Hoja 4 - Cálculo'!I128+'Hoja 4 - Cálculo'!K128,'Hoja 4 - Cálculo'!I128+'Hoja 4 - Cálculo'!J128+'Hoja 4 - Cálculo'!K128)))</f>
        <v>16</v>
      </c>
      <c r="I827" s="15">
        <f t="shared" si="176"/>
        <v>12</v>
      </c>
      <c r="J827" s="15">
        <f t="shared" si="187"/>
        <v>2.8414874999999995</v>
      </c>
      <c r="K827" s="15">
        <f>MIN(J827+G827,(J827+G827)*'Hoja 4 - Cálculo'!$B$15)</f>
        <v>0.31769475000000003</v>
      </c>
      <c r="L827" s="15">
        <f t="shared" si="177"/>
        <v>15.567042750000001</v>
      </c>
      <c r="M827" s="15">
        <f t="shared" si="178"/>
        <v>12</v>
      </c>
      <c r="N827" s="15">
        <f t="shared" si="179"/>
        <v>3</v>
      </c>
      <c r="O827" s="15">
        <f t="shared" si="180"/>
        <v>0.56704275000000059</v>
      </c>
      <c r="P827" s="15">
        <f t="shared" si="181"/>
        <v>0</v>
      </c>
      <c r="Q827" s="14" t="str">
        <f>IF(M827&gt;=I827*'Hoja 4 - Cálculo'!$B$16,"Satisfactorio","Falla")</f>
        <v>Satisfactorio</v>
      </c>
      <c r="R827" s="14">
        <f t="shared" si="188"/>
        <v>0</v>
      </c>
      <c r="S827" s="14">
        <f t="shared" si="189"/>
        <v>0</v>
      </c>
    </row>
    <row r="828" spans="1:19">
      <c r="A828" s="14" t="str">
        <f t="shared" si="186"/>
        <v>SRY-3-1</v>
      </c>
      <c r="B828" s="15">
        <f>'Curvas SRY'!$B$10</f>
        <v>3</v>
      </c>
      <c r="C828" s="15">
        <f>'Curvas SRY'!$E$8</f>
        <v>0.75</v>
      </c>
      <c r="D828" s="14" t="str">
        <f>'Curvas SRY'!$B$14</f>
        <v>Uso variable</v>
      </c>
      <c r="E828" s="14">
        <f>105</f>
        <v>105</v>
      </c>
      <c r="F828" s="21">
        <f>'Hoja 4 - Cálculo'!A129</f>
        <v>32752</v>
      </c>
      <c r="G828" s="15">
        <f>'Hoja 4 - Cálculo'!H129</f>
        <v>20.444624999999998</v>
      </c>
      <c r="H828" s="15">
        <f>IF(D828="Uso único",'Hoja 4 - Cálculo'!I129,IF(D828="Uso múltiple",AVERAGE('Hoja 4 - Cálculo'!$I$25:$I$384)+AVERAGE('Hoja 4 - Cálculo'!$J$25:$J$384)+AVERAGE('Hoja 4 - Cálculo'!$K$25:$K$384),IF(D828="Uso prioritario",'Hoja 4 - Cálculo'!I129+'Hoja 4 - Cálculo'!K129,'Hoja 4 - Cálculo'!I129+'Hoja 4 - Cálculo'!J129+'Hoja 4 - Cálculo'!K129)))</f>
        <v>11.5</v>
      </c>
      <c r="I828" s="15">
        <f t="shared" si="176"/>
        <v>8.625</v>
      </c>
      <c r="J828" s="15">
        <f t="shared" si="187"/>
        <v>3</v>
      </c>
      <c r="K828" s="15">
        <f>MIN(J828+G828,(J828+G828)*'Hoja 4 - Cálculo'!$B$15)</f>
        <v>0.46889249999999999</v>
      </c>
      <c r="L828" s="15">
        <f t="shared" si="177"/>
        <v>22.975732499999999</v>
      </c>
      <c r="M828" s="15">
        <f t="shared" si="178"/>
        <v>8.625</v>
      </c>
      <c r="N828" s="15">
        <f t="shared" si="179"/>
        <v>3</v>
      </c>
      <c r="O828" s="15">
        <f t="shared" si="180"/>
        <v>11.350732499999999</v>
      </c>
      <c r="P828" s="15">
        <f t="shared" si="181"/>
        <v>0</v>
      </c>
      <c r="Q828" s="14" t="str">
        <f>IF(M828&gt;=I828*'Hoja 4 - Cálculo'!$B$16,"Satisfactorio","Falla")</f>
        <v>Satisfactorio</v>
      </c>
      <c r="R828" s="14">
        <f t="shared" si="188"/>
        <v>0</v>
      </c>
      <c r="S828" s="14">
        <f t="shared" si="189"/>
        <v>0</v>
      </c>
    </row>
    <row r="829" spans="1:19">
      <c r="A829" s="14" t="str">
        <f t="shared" si="186"/>
        <v>SRY-3-1</v>
      </c>
      <c r="B829" s="15">
        <f>'Curvas SRY'!$B$10</f>
        <v>3</v>
      </c>
      <c r="C829" s="15">
        <f>'Curvas SRY'!$E$8</f>
        <v>0.75</v>
      </c>
      <c r="D829" s="14" t="str">
        <f>'Curvas SRY'!$B$14</f>
        <v>Uso variable</v>
      </c>
      <c r="E829" s="14">
        <f>106</f>
        <v>106</v>
      </c>
      <c r="F829" s="21">
        <f>'Hoja 4 - Cálculo'!A130</f>
        <v>32782</v>
      </c>
      <c r="G829" s="15">
        <f>'Hoja 4 - Cálculo'!H130</f>
        <v>28.343250000000001</v>
      </c>
      <c r="H829" s="15">
        <f>IF(D829="Uso único",'Hoja 4 - Cálculo'!I130,IF(D829="Uso múltiple",AVERAGE('Hoja 4 - Cálculo'!$I$25:$I$384)+AVERAGE('Hoja 4 - Cálculo'!$J$25:$J$384)+AVERAGE('Hoja 4 - Cálculo'!$K$25:$K$384),IF(D829="Uso prioritario",'Hoja 4 - Cálculo'!I130+'Hoja 4 - Cálculo'!K130,'Hoja 4 - Cálculo'!I130+'Hoja 4 - Cálculo'!J130+'Hoja 4 - Cálculo'!K130)))</f>
        <v>11.5</v>
      </c>
      <c r="I829" s="15">
        <f t="shared" si="176"/>
        <v>8.625</v>
      </c>
      <c r="J829" s="15">
        <f t="shared" si="187"/>
        <v>3</v>
      </c>
      <c r="K829" s="15">
        <f>MIN(J829+G829,(J829+G829)*'Hoja 4 - Cálculo'!$B$15)</f>
        <v>0.62686500000000001</v>
      </c>
      <c r="L829" s="15">
        <f t="shared" si="177"/>
        <v>30.716385000000002</v>
      </c>
      <c r="M829" s="15">
        <f t="shared" si="178"/>
        <v>8.625</v>
      </c>
      <c r="N829" s="15">
        <f t="shared" si="179"/>
        <v>3</v>
      </c>
      <c r="O829" s="15">
        <f t="shared" si="180"/>
        <v>19.091385000000002</v>
      </c>
      <c r="P829" s="15">
        <f t="shared" si="181"/>
        <v>0</v>
      </c>
      <c r="Q829" s="14" t="str">
        <f>IF(M829&gt;=I829*'Hoja 4 - Cálculo'!$B$16,"Satisfactorio","Falla")</f>
        <v>Satisfactorio</v>
      </c>
      <c r="R829" s="14">
        <f t="shared" si="188"/>
        <v>0</v>
      </c>
      <c r="S829" s="14">
        <f t="shared" si="189"/>
        <v>0</v>
      </c>
    </row>
    <row r="830" spans="1:19">
      <c r="A830" s="14" t="str">
        <f t="shared" si="186"/>
        <v>SRY-3-1</v>
      </c>
      <c r="B830" s="15">
        <f>'Curvas SRY'!$B$10</f>
        <v>3</v>
      </c>
      <c r="C830" s="15">
        <f>'Curvas SRY'!$E$8</f>
        <v>0.75</v>
      </c>
      <c r="D830" s="14" t="str">
        <f>'Curvas SRY'!$B$14</f>
        <v>Uso variable</v>
      </c>
      <c r="E830" s="14">
        <f>107</f>
        <v>107</v>
      </c>
      <c r="F830" s="21">
        <f>'Hoja 4 - Cálculo'!A131</f>
        <v>32813</v>
      </c>
      <c r="G830" s="15">
        <f>'Hoja 4 - Cálculo'!H131</f>
        <v>22.60575</v>
      </c>
      <c r="H830" s="15">
        <f>IF(D830="Uso único",'Hoja 4 - Cálculo'!I131,IF(D830="Uso múltiple",AVERAGE('Hoja 4 - Cálculo'!$I$25:$I$384)+AVERAGE('Hoja 4 - Cálculo'!$J$25:$J$384)+AVERAGE('Hoja 4 - Cálculo'!$K$25:$K$384),IF(D830="Uso prioritario",'Hoja 4 - Cálculo'!I131+'Hoja 4 - Cálculo'!K131,'Hoja 4 - Cálculo'!I131+'Hoja 4 - Cálculo'!J131+'Hoja 4 - Cálculo'!K131)))</f>
        <v>11.5</v>
      </c>
      <c r="I830" s="15">
        <f t="shared" si="176"/>
        <v>8.625</v>
      </c>
      <c r="J830" s="15">
        <f t="shared" si="187"/>
        <v>3</v>
      </c>
      <c r="K830" s="15">
        <f>MIN(J830+G830,(J830+G830)*'Hoja 4 - Cálculo'!$B$15)</f>
        <v>0.51211499999999999</v>
      </c>
      <c r="L830" s="15">
        <f t="shared" si="177"/>
        <v>25.093634999999999</v>
      </c>
      <c r="M830" s="15">
        <f t="shared" si="178"/>
        <v>8.625</v>
      </c>
      <c r="N830" s="15">
        <f t="shared" si="179"/>
        <v>3</v>
      </c>
      <c r="O830" s="15">
        <f t="shared" si="180"/>
        <v>13.468634999999999</v>
      </c>
      <c r="P830" s="15">
        <f t="shared" si="181"/>
        <v>0</v>
      </c>
      <c r="Q830" s="14" t="str">
        <f>IF(M830&gt;=I830*'Hoja 4 - Cálculo'!$B$16,"Satisfactorio","Falla")</f>
        <v>Satisfactorio</v>
      </c>
      <c r="R830" s="14">
        <f t="shared" si="188"/>
        <v>0</v>
      </c>
      <c r="S830" s="14">
        <f t="shared" si="189"/>
        <v>0</v>
      </c>
    </row>
    <row r="831" spans="1:19">
      <c r="A831" s="14" t="str">
        <f t="shared" si="186"/>
        <v>SRY-3-1</v>
      </c>
      <c r="B831" s="15">
        <f>'Curvas SRY'!$B$10</f>
        <v>3</v>
      </c>
      <c r="C831" s="15">
        <f>'Curvas SRY'!$E$8</f>
        <v>0.75</v>
      </c>
      <c r="D831" s="14" t="str">
        <f>'Curvas SRY'!$B$14</f>
        <v>Uso variable</v>
      </c>
      <c r="E831" s="14">
        <f>108</f>
        <v>108</v>
      </c>
      <c r="F831" s="21">
        <f>'Hoja 4 - Cálculo'!A132</f>
        <v>32843</v>
      </c>
      <c r="G831" s="15">
        <f>'Hoja 4 - Cálculo'!H132</f>
        <v>14.362875000000001</v>
      </c>
      <c r="H831" s="15">
        <f>IF(D831="Uso único",'Hoja 4 - Cálculo'!I132,IF(D831="Uso múltiple",AVERAGE('Hoja 4 - Cálculo'!$I$25:$I$384)+AVERAGE('Hoja 4 - Cálculo'!$J$25:$J$384)+AVERAGE('Hoja 4 - Cálculo'!$K$25:$K$384),IF(D831="Uso prioritario",'Hoja 4 - Cálculo'!I132+'Hoja 4 - Cálculo'!K132,'Hoja 4 - Cálculo'!I132+'Hoja 4 - Cálculo'!J132+'Hoja 4 - Cálculo'!K132)))</f>
        <v>16</v>
      </c>
      <c r="I831" s="15">
        <f t="shared" si="176"/>
        <v>12</v>
      </c>
      <c r="J831" s="15">
        <f t="shared" si="187"/>
        <v>3</v>
      </c>
      <c r="K831" s="15">
        <f>MIN(J831+G831,(J831+G831)*'Hoja 4 - Cálculo'!$B$15)</f>
        <v>0.34725750000000005</v>
      </c>
      <c r="L831" s="15">
        <f t="shared" si="177"/>
        <v>17.015617500000001</v>
      </c>
      <c r="M831" s="15">
        <f t="shared" si="178"/>
        <v>12</v>
      </c>
      <c r="N831" s="15">
        <f t="shared" si="179"/>
        <v>3</v>
      </c>
      <c r="O831" s="15">
        <f t="shared" si="180"/>
        <v>2.0156175000000012</v>
      </c>
      <c r="P831" s="15">
        <f t="shared" si="181"/>
        <v>0</v>
      </c>
      <c r="Q831" s="14" t="str">
        <f>IF(M831&gt;=I831*'Hoja 4 - Cálculo'!$B$16,"Satisfactorio","Falla")</f>
        <v>Satisfactorio</v>
      </c>
      <c r="R831" s="14">
        <f t="shared" si="188"/>
        <v>0</v>
      </c>
      <c r="S831" s="14">
        <f t="shared" si="189"/>
        <v>0</v>
      </c>
    </row>
    <row r="832" spans="1:19">
      <c r="A832" s="14" t="str">
        <f t="shared" si="186"/>
        <v>SRY-3-1</v>
      </c>
      <c r="B832" s="15">
        <f>'Curvas SRY'!$B$10</f>
        <v>3</v>
      </c>
      <c r="C832" s="15">
        <f>'Curvas SRY'!$E$8</f>
        <v>0.75</v>
      </c>
      <c r="D832" s="14" t="str">
        <f>'Curvas SRY'!$B$14</f>
        <v>Uso variable</v>
      </c>
      <c r="E832" s="14">
        <f>109</f>
        <v>109</v>
      </c>
      <c r="F832" s="21">
        <f>'Hoja 4 - Cálculo'!A133</f>
        <v>32874</v>
      </c>
      <c r="G832" s="15">
        <f>'Hoja 4 - Cálculo'!H133</f>
        <v>11.723625</v>
      </c>
      <c r="H832" s="15">
        <f>IF(D832="Uso único",'Hoja 4 - Cálculo'!I133,IF(D832="Uso múltiple",AVERAGE('Hoja 4 - Cálculo'!$I$25:$I$384)+AVERAGE('Hoja 4 - Cálculo'!$J$25:$J$384)+AVERAGE('Hoja 4 - Cálculo'!$K$25:$K$384),IF(D832="Uso prioritario",'Hoja 4 - Cálculo'!I133+'Hoja 4 - Cálculo'!K133,'Hoja 4 - Cálculo'!I133+'Hoja 4 - Cálculo'!J133+'Hoja 4 - Cálculo'!K133)))</f>
        <v>16</v>
      </c>
      <c r="I832" s="15">
        <f t="shared" si="176"/>
        <v>12</v>
      </c>
      <c r="J832" s="15">
        <f t="shared" si="187"/>
        <v>3</v>
      </c>
      <c r="K832" s="15">
        <f>MIN(J832+G832,(J832+G832)*'Hoja 4 - Cálculo'!$B$15)</f>
        <v>0.29447250000000003</v>
      </c>
      <c r="L832" s="15">
        <f t="shared" si="177"/>
        <v>14.429152500000001</v>
      </c>
      <c r="M832" s="15">
        <f t="shared" si="178"/>
        <v>12</v>
      </c>
      <c r="N832" s="15">
        <f t="shared" si="179"/>
        <v>2.4291525000000007</v>
      </c>
      <c r="O832" s="15">
        <f t="shared" si="180"/>
        <v>0</v>
      </c>
      <c r="P832" s="15">
        <f t="shared" si="181"/>
        <v>0</v>
      </c>
      <c r="Q832" s="14" t="str">
        <f>IF(M832&gt;=I832*'Hoja 4 - Cálculo'!$B$16,"Satisfactorio","Falla")</f>
        <v>Satisfactorio</v>
      </c>
      <c r="R832" s="14">
        <f t="shared" si="188"/>
        <v>0</v>
      </c>
      <c r="S832" s="14">
        <f t="shared" si="189"/>
        <v>0</v>
      </c>
    </row>
    <row r="833" spans="1:19">
      <c r="A833" s="14" t="str">
        <f t="shared" si="186"/>
        <v>SRY-3-1</v>
      </c>
      <c r="B833" s="15">
        <f>'Curvas SRY'!$B$10</f>
        <v>3</v>
      </c>
      <c r="C833" s="15">
        <f>'Curvas SRY'!$E$8</f>
        <v>0.75</v>
      </c>
      <c r="D833" s="14" t="str">
        <f>'Curvas SRY'!$B$14</f>
        <v>Uso variable</v>
      </c>
      <c r="E833" s="14">
        <f>110</f>
        <v>110</v>
      </c>
      <c r="F833" s="21">
        <f>'Hoja 4 - Cálculo'!A134</f>
        <v>32905</v>
      </c>
      <c r="G833" s="15">
        <f>'Hoja 4 - Cálculo'!H134</f>
        <v>13.311</v>
      </c>
      <c r="H833" s="15">
        <f>IF(D833="Uso único",'Hoja 4 - Cálculo'!I134,IF(D833="Uso múltiple",AVERAGE('Hoja 4 - Cálculo'!$I$25:$I$384)+AVERAGE('Hoja 4 - Cálculo'!$J$25:$J$384)+AVERAGE('Hoja 4 - Cálculo'!$K$25:$K$384),IF(D833="Uso prioritario",'Hoja 4 - Cálculo'!I134+'Hoja 4 - Cálculo'!K134,'Hoja 4 - Cálculo'!I134+'Hoja 4 - Cálculo'!J134+'Hoja 4 - Cálculo'!K134)))</f>
        <v>16</v>
      </c>
      <c r="I833" s="15">
        <f t="shared" si="176"/>
        <v>12</v>
      </c>
      <c r="J833" s="15">
        <f t="shared" si="187"/>
        <v>2.4291525000000007</v>
      </c>
      <c r="K833" s="15">
        <f>MIN(J833+G833,(J833+G833)*'Hoja 4 - Cálculo'!$B$15)</f>
        <v>0.31480305000000003</v>
      </c>
      <c r="L833" s="15">
        <f t="shared" si="177"/>
        <v>15.425349450000001</v>
      </c>
      <c r="M833" s="15">
        <f t="shared" si="178"/>
        <v>12</v>
      </c>
      <c r="N833" s="15">
        <f t="shared" si="179"/>
        <v>3</v>
      </c>
      <c r="O833" s="15">
        <f t="shared" si="180"/>
        <v>0.42534945000000057</v>
      </c>
      <c r="P833" s="15">
        <f t="shared" si="181"/>
        <v>0</v>
      </c>
      <c r="Q833" s="14" t="str">
        <f>IF(M833&gt;=I833*'Hoja 4 - Cálculo'!$B$16,"Satisfactorio","Falla")</f>
        <v>Satisfactorio</v>
      </c>
      <c r="R833" s="14">
        <f t="shared" si="188"/>
        <v>0</v>
      </c>
      <c r="S833" s="14">
        <f t="shared" si="189"/>
        <v>0</v>
      </c>
    </row>
    <row r="834" spans="1:19">
      <c r="A834" s="14" t="str">
        <f t="shared" si="186"/>
        <v>SRY-3-1</v>
      </c>
      <c r="B834" s="15">
        <f>'Curvas SRY'!$B$10</f>
        <v>3</v>
      </c>
      <c r="C834" s="15">
        <f>'Curvas SRY'!$E$8</f>
        <v>0.75</v>
      </c>
      <c r="D834" s="14" t="str">
        <f>'Curvas SRY'!$B$14</f>
        <v>Uso variable</v>
      </c>
      <c r="E834" s="14">
        <f>111</f>
        <v>111</v>
      </c>
      <c r="F834" s="21">
        <f>'Hoja 4 - Cálculo'!A135</f>
        <v>32933</v>
      </c>
      <c r="G834" s="15">
        <f>'Hoja 4 - Cálculo'!H135</f>
        <v>18.838125000000002</v>
      </c>
      <c r="H834" s="15">
        <f>IF(D834="Uso único",'Hoja 4 - Cálculo'!I135,IF(D834="Uso múltiple",AVERAGE('Hoja 4 - Cálculo'!$I$25:$I$384)+AVERAGE('Hoja 4 - Cálculo'!$J$25:$J$384)+AVERAGE('Hoja 4 - Cálculo'!$K$25:$K$384),IF(D834="Uso prioritario",'Hoja 4 - Cálculo'!I135+'Hoja 4 - Cálculo'!K135,'Hoja 4 - Cálculo'!I135+'Hoja 4 - Cálculo'!J135+'Hoja 4 - Cálculo'!K135)))</f>
        <v>16</v>
      </c>
      <c r="I834" s="15">
        <f t="shared" si="176"/>
        <v>12</v>
      </c>
      <c r="J834" s="15">
        <f t="shared" si="187"/>
        <v>3</v>
      </c>
      <c r="K834" s="15">
        <f>MIN(J834+G834,(J834+G834)*'Hoja 4 - Cálculo'!$B$15)</f>
        <v>0.43676250000000005</v>
      </c>
      <c r="L834" s="15">
        <f t="shared" si="177"/>
        <v>21.401362500000001</v>
      </c>
      <c r="M834" s="15">
        <f t="shared" si="178"/>
        <v>12</v>
      </c>
      <c r="N834" s="15">
        <f t="shared" si="179"/>
        <v>3</v>
      </c>
      <c r="O834" s="15">
        <f t="shared" si="180"/>
        <v>6.4013625000000012</v>
      </c>
      <c r="P834" s="15">
        <f t="shared" si="181"/>
        <v>0</v>
      </c>
      <c r="Q834" s="14" t="str">
        <f>IF(M834&gt;=I834*'Hoja 4 - Cálculo'!$B$16,"Satisfactorio","Falla")</f>
        <v>Satisfactorio</v>
      </c>
      <c r="R834" s="14">
        <f t="shared" si="188"/>
        <v>0</v>
      </c>
      <c r="S834" s="14">
        <f t="shared" si="189"/>
        <v>0</v>
      </c>
    </row>
    <row r="835" spans="1:19">
      <c r="A835" s="14" t="str">
        <f t="shared" si="186"/>
        <v>SRY-3-1</v>
      </c>
      <c r="B835" s="15">
        <f>'Curvas SRY'!$B$10</f>
        <v>3</v>
      </c>
      <c r="C835" s="15">
        <f>'Curvas SRY'!$E$8</f>
        <v>0.75</v>
      </c>
      <c r="D835" s="14" t="str">
        <f>'Curvas SRY'!$B$14</f>
        <v>Uso variable</v>
      </c>
      <c r="E835" s="14">
        <f>112</f>
        <v>112</v>
      </c>
      <c r="F835" s="21">
        <f>'Hoja 4 - Cálculo'!A136</f>
        <v>32964</v>
      </c>
      <c r="G835" s="15">
        <f>'Hoja 4 - Cálculo'!H136</f>
        <v>28.611000000000001</v>
      </c>
      <c r="H835" s="15">
        <f>IF(D835="Uso único",'Hoja 4 - Cálculo'!I136,IF(D835="Uso múltiple",AVERAGE('Hoja 4 - Cálculo'!$I$25:$I$384)+AVERAGE('Hoja 4 - Cálculo'!$J$25:$J$384)+AVERAGE('Hoja 4 - Cálculo'!$K$25:$K$384),IF(D835="Uso prioritario",'Hoja 4 - Cálculo'!I136+'Hoja 4 - Cálculo'!K136,'Hoja 4 - Cálculo'!I136+'Hoja 4 - Cálculo'!J136+'Hoja 4 - Cálculo'!K136)))</f>
        <v>11.5</v>
      </c>
      <c r="I835" s="15">
        <f t="shared" si="176"/>
        <v>8.625</v>
      </c>
      <c r="J835" s="15">
        <f t="shared" si="187"/>
        <v>3</v>
      </c>
      <c r="K835" s="15">
        <f>MIN(J835+G835,(J835+G835)*'Hoja 4 - Cálculo'!$B$15)</f>
        <v>0.63222</v>
      </c>
      <c r="L835" s="15">
        <f t="shared" si="177"/>
        <v>30.97878</v>
      </c>
      <c r="M835" s="15">
        <f t="shared" si="178"/>
        <v>8.625</v>
      </c>
      <c r="N835" s="15">
        <f t="shared" si="179"/>
        <v>3</v>
      </c>
      <c r="O835" s="15">
        <f t="shared" si="180"/>
        <v>19.35378</v>
      </c>
      <c r="P835" s="15">
        <f t="shared" si="181"/>
        <v>0</v>
      </c>
      <c r="Q835" s="14" t="str">
        <f>IF(M835&gt;=I835*'Hoja 4 - Cálculo'!$B$16,"Satisfactorio","Falla")</f>
        <v>Satisfactorio</v>
      </c>
      <c r="R835" s="14">
        <f t="shared" si="188"/>
        <v>0</v>
      </c>
      <c r="S835" s="14">
        <f t="shared" si="189"/>
        <v>0</v>
      </c>
    </row>
    <row r="836" spans="1:19">
      <c r="A836" s="14" t="str">
        <f t="shared" si="186"/>
        <v>SRY-3-1</v>
      </c>
      <c r="B836" s="15">
        <f>'Curvas SRY'!$B$10</f>
        <v>3</v>
      </c>
      <c r="C836" s="15">
        <f>'Curvas SRY'!$E$8</f>
        <v>0.75</v>
      </c>
      <c r="D836" s="14" t="str">
        <f>'Curvas SRY'!$B$14</f>
        <v>Uso variable</v>
      </c>
      <c r="E836" s="14">
        <f>113</f>
        <v>113</v>
      </c>
      <c r="F836" s="21">
        <f>'Hoja 4 - Cálculo'!A137</f>
        <v>32994</v>
      </c>
      <c r="G836" s="15">
        <f>'Hoja 4 - Cálculo'!H137</f>
        <v>23.52375</v>
      </c>
      <c r="H836" s="15">
        <f>IF(D836="Uso único",'Hoja 4 - Cálculo'!I137,IF(D836="Uso múltiple",AVERAGE('Hoja 4 - Cálculo'!$I$25:$I$384)+AVERAGE('Hoja 4 - Cálculo'!$J$25:$J$384)+AVERAGE('Hoja 4 - Cálculo'!$K$25:$K$384),IF(D836="Uso prioritario",'Hoja 4 - Cálculo'!I137+'Hoja 4 - Cálculo'!K137,'Hoja 4 - Cálculo'!I137+'Hoja 4 - Cálculo'!J137+'Hoja 4 - Cálculo'!K137)))</f>
        <v>11.5</v>
      </c>
      <c r="I836" s="15">
        <f t="shared" ref="I836:I899" si="190">H836*C836</f>
        <v>8.625</v>
      </c>
      <c r="J836" s="15">
        <f t="shared" si="187"/>
        <v>3</v>
      </c>
      <c r="K836" s="15">
        <f>MIN(J836+G836,(J836+G836)*'Hoja 4 - Cálculo'!$B$15)</f>
        <v>0.53047500000000003</v>
      </c>
      <c r="L836" s="15">
        <f t="shared" ref="L836:L899" si="191">MAX(0,J836+G836-K836)</f>
        <v>25.993275000000001</v>
      </c>
      <c r="M836" s="15">
        <f t="shared" ref="M836:M899" si="192">MIN(I836,L836)</f>
        <v>8.625</v>
      </c>
      <c r="N836" s="15">
        <f t="shared" ref="N836:N899" si="193">MIN(B836,MAX(0,L836-M836))</f>
        <v>3</v>
      </c>
      <c r="O836" s="15">
        <f t="shared" ref="O836:O899" si="194">MAX(0,L836-M836-B836)</f>
        <v>14.368275000000001</v>
      </c>
      <c r="P836" s="15">
        <f t="shared" ref="P836:P899" si="195">MAX(0,I836-M836)</f>
        <v>0</v>
      </c>
      <c r="Q836" s="14" t="str">
        <f>IF(M836&gt;=I836*'Hoja 4 - Cálculo'!$B$16,"Satisfactorio","Falla")</f>
        <v>Satisfactorio</v>
      </c>
      <c r="R836" s="14">
        <f t="shared" si="188"/>
        <v>0</v>
      </c>
      <c r="S836" s="14">
        <f t="shared" si="189"/>
        <v>0</v>
      </c>
    </row>
    <row r="837" spans="1:19">
      <c r="A837" s="14" t="str">
        <f t="shared" si="186"/>
        <v>SRY-3-1</v>
      </c>
      <c r="B837" s="15">
        <f>'Curvas SRY'!$B$10</f>
        <v>3</v>
      </c>
      <c r="C837" s="15">
        <f>'Curvas SRY'!$E$8</f>
        <v>0.75</v>
      </c>
      <c r="D837" s="14" t="str">
        <f>'Curvas SRY'!$B$14</f>
        <v>Uso variable</v>
      </c>
      <c r="E837" s="14">
        <f>114</f>
        <v>114</v>
      </c>
      <c r="F837" s="21">
        <f>'Hoja 4 - Cálculo'!A138</f>
        <v>33025</v>
      </c>
      <c r="G837" s="15">
        <f>'Hoja 4 - Cálculo'!H138</f>
        <v>15.529500000000001</v>
      </c>
      <c r="H837" s="15">
        <f>IF(D837="Uso único",'Hoja 4 - Cálculo'!I138,IF(D837="Uso múltiple",AVERAGE('Hoja 4 - Cálculo'!$I$25:$I$384)+AVERAGE('Hoja 4 - Cálculo'!$J$25:$J$384)+AVERAGE('Hoja 4 - Cálculo'!$K$25:$K$384),IF(D837="Uso prioritario",'Hoja 4 - Cálculo'!I138+'Hoja 4 - Cálculo'!K138,'Hoja 4 - Cálculo'!I138+'Hoja 4 - Cálculo'!J138+'Hoja 4 - Cálculo'!K138)))</f>
        <v>11.5</v>
      </c>
      <c r="I837" s="15">
        <f t="shared" si="190"/>
        <v>8.625</v>
      </c>
      <c r="J837" s="15">
        <f t="shared" si="187"/>
        <v>3</v>
      </c>
      <c r="K837" s="15">
        <f>MIN(J837+G837,(J837+G837)*'Hoja 4 - Cálculo'!$B$15)</f>
        <v>0.37058999999999997</v>
      </c>
      <c r="L837" s="15">
        <f t="shared" si="191"/>
        <v>18.158909999999999</v>
      </c>
      <c r="M837" s="15">
        <f t="shared" si="192"/>
        <v>8.625</v>
      </c>
      <c r="N837" s="15">
        <f t="shared" si="193"/>
        <v>3</v>
      </c>
      <c r="O837" s="15">
        <f t="shared" si="194"/>
        <v>6.5339099999999988</v>
      </c>
      <c r="P837" s="15">
        <f t="shared" si="195"/>
        <v>0</v>
      </c>
      <c r="Q837" s="14" t="str">
        <f>IF(M837&gt;=I837*'Hoja 4 - Cálculo'!$B$16,"Satisfactorio","Falla")</f>
        <v>Satisfactorio</v>
      </c>
      <c r="R837" s="14">
        <f t="shared" si="188"/>
        <v>0</v>
      </c>
      <c r="S837" s="14">
        <f t="shared" si="189"/>
        <v>0</v>
      </c>
    </row>
    <row r="838" spans="1:19">
      <c r="A838" s="14" t="str">
        <f t="shared" si="186"/>
        <v>SRY-3-1</v>
      </c>
      <c r="B838" s="15">
        <f>'Curvas SRY'!$B$10</f>
        <v>3</v>
      </c>
      <c r="C838" s="15">
        <f>'Curvas SRY'!$E$8</f>
        <v>0.75</v>
      </c>
      <c r="D838" s="14" t="str">
        <f>'Curvas SRY'!$B$14</f>
        <v>Uso variable</v>
      </c>
      <c r="E838" s="14">
        <f>115</f>
        <v>115</v>
      </c>
      <c r="F838" s="21">
        <f>'Hoja 4 - Cálculo'!A139</f>
        <v>33055</v>
      </c>
      <c r="G838" s="15">
        <f>'Hoja 4 - Cálculo'!H139</f>
        <v>12.201750000000001</v>
      </c>
      <c r="H838" s="15">
        <f>IF(D838="Uso único",'Hoja 4 - Cálculo'!I139,IF(D838="Uso múltiple",AVERAGE('Hoja 4 - Cálculo'!$I$25:$I$384)+AVERAGE('Hoja 4 - Cálculo'!$J$25:$J$384)+AVERAGE('Hoja 4 - Cálculo'!$K$25:$K$384),IF(D838="Uso prioritario",'Hoja 4 - Cálculo'!I139+'Hoja 4 - Cálculo'!K139,'Hoja 4 - Cálculo'!I139+'Hoja 4 - Cálculo'!J139+'Hoja 4 - Cálculo'!K139)))</f>
        <v>16</v>
      </c>
      <c r="I838" s="15">
        <f t="shared" si="190"/>
        <v>12</v>
      </c>
      <c r="J838" s="15">
        <f t="shared" si="187"/>
        <v>3</v>
      </c>
      <c r="K838" s="15">
        <f>MIN(J838+G838,(J838+G838)*'Hoja 4 - Cálculo'!$B$15)</f>
        <v>0.304035</v>
      </c>
      <c r="L838" s="15">
        <f t="shared" si="191"/>
        <v>14.897715</v>
      </c>
      <c r="M838" s="15">
        <f t="shared" si="192"/>
        <v>12</v>
      </c>
      <c r="N838" s="15">
        <f t="shared" si="193"/>
        <v>2.8977149999999998</v>
      </c>
      <c r="O838" s="15">
        <f t="shared" si="194"/>
        <v>0</v>
      </c>
      <c r="P838" s="15">
        <f t="shared" si="195"/>
        <v>0</v>
      </c>
      <c r="Q838" s="14" t="str">
        <f>IF(M838&gt;=I838*'Hoja 4 - Cálculo'!$B$16,"Satisfactorio","Falla")</f>
        <v>Satisfactorio</v>
      </c>
      <c r="R838" s="14">
        <f t="shared" si="188"/>
        <v>0</v>
      </c>
      <c r="S838" s="14">
        <f t="shared" si="189"/>
        <v>0</v>
      </c>
    </row>
    <row r="839" spans="1:19">
      <c r="A839" s="14" t="str">
        <f t="shared" si="186"/>
        <v>SRY-3-1</v>
      </c>
      <c r="B839" s="15">
        <f>'Curvas SRY'!$B$10</f>
        <v>3</v>
      </c>
      <c r="C839" s="15">
        <f>'Curvas SRY'!$E$8</f>
        <v>0.75</v>
      </c>
      <c r="D839" s="14" t="str">
        <f>'Curvas SRY'!$B$14</f>
        <v>Uso variable</v>
      </c>
      <c r="E839" s="14">
        <f>116</f>
        <v>116</v>
      </c>
      <c r="F839" s="21">
        <f>'Hoja 4 - Cálculo'!A140</f>
        <v>33086</v>
      </c>
      <c r="G839" s="15">
        <f>'Hoja 4 - Cálculo'!H140</f>
        <v>13.04325</v>
      </c>
      <c r="H839" s="15">
        <f>IF(D839="Uso único",'Hoja 4 - Cálculo'!I140,IF(D839="Uso múltiple",AVERAGE('Hoja 4 - Cálculo'!$I$25:$I$384)+AVERAGE('Hoja 4 - Cálculo'!$J$25:$J$384)+AVERAGE('Hoja 4 - Cálculo'!$K$25:$K$384),IF(D839="Uso prioritario",'Hoja 4 - Cálculo'!I140+'Hoja 4 - Cálculo'!K140,'Hoja 4 - Cálculo'!I140+'Hoja 4 - Cálculo'!J140+'Hoja 4 - Cálculo'!K140)))</f>
        <v>16</v>
      </c>
      <c r="I839" s="15">
        <f t="shared" si="190"/>
        <v>12</v>
      </c>
      <c r="J839" s="15">
        <f t="shared" si="187"/>
        <v>2.8977149999999998</v>
      </c>
      <c r="K839" s="15">
        <f>MIN(J839+G839,(J839+G839)*'Hoja 4 - Cálculo'!$B$15)</f>
        <v>0.31881930000000003</v>
      </c>
      <c r="L839" s="15">
        <f t="shared" si="191"/>
        <v>15.622145700000001</v>
      </c>
      <c r="M839" s="15">
        <f t="shared" si="192"/>
        <v>12</v>
      </c>
      <c r="N839" s="15">
        <f t="shared" si="193"/>
        <v>3</v>
      </c>
      <c r="O839" s="15">
        <f t="shared" si="194"/>
        <v>0.6221457000000008</v>
      </c>
      <c r="P839" s="15">
        <f t="shared" si="195"/>
        <v>0</v>
      </c>
      <c r="Q839" s="14" t="str">
        <f>IF(M839&gt;=I839*'Hoja 4 - Cálculo'!$B$16,"Satisfactorio","Falla")</f>
        <v>Satisfactorio</v>
      </c>
      <c r="R839" s="14">
        <f t="shared" si="188"/>
        <v>0</v>
      </c>
      <c r="S839" s="14">
        <f t="shared" si="189"/>
        <v>0</v>
      </c>
    </row>
    <row r="840" spans="1:19">
      <c r="A840" s="14" t="str">
        <f t="shared" si="186"/>
        <v>SRY-3-1</v>
      </c>
      <c r="B840" s="15">
        <f>'Curvas SRY'!$B$10</f>
        <v>3</v>
      </c>
      <c r="C840" s="15">
        <f>'Curvas SRY'!$E$8</f>
        <v>0.75</v>
      </c>
      <c r="D840" s="14" t="str">
        <f>'Curvas SRY'!$B$14</f>
        <v>Uso variable</v>
      </c>
      <c r="E840" s="14">
        <f>117</f>
        <v>117</v>
      </c>
      <c r="F840" s="21">
        <f>'Hoja 4 - Cálculo'!A141</f>
        <v>33117</v>
      </c>
      <c r="G840" s="15">
        <f>'Hoja 4 - Cálculo'!H141</f>
        <v>21.974625</v>
      </c>
      <c r="H840" s="15">
        <f>IF(D840="Uso único",'Hoja 4 - Cálculo'!I141,IF(D840="Uso múltiple",AVERAGE('Hoja 4 - Cálculo'!$I$25:$I$384)+AVERAGE('Hoja 4 - Cálculo'!$J$25:$J$384)+AVERAGE('Hoja 4 - Cálculo'!$K$25:$K$384),IF(D840="Uso prioritario",'Hoja 4 - Cálculo'!I141+'Hoja 4 - Cálculo'!K141,'Hoja 4 - Cálculo'!I141+'Hoja 4 - Cálculo'!J141+'Hoja 4 - Cálculo'!K141)))</f>
        <v>11.5</v>
      </c>
      <c r="I840" s="15">
        <f t="shared" si="190"/>
        <v>8.625</v>
      </c>
      <c r="J840" s="15">
        <f t="shared" si="187"/>
        <v>3</v>
      </c>
      <c r="K840" s="15">
        <f>MIN(J840+G840,(J840+G840)*'Hoja 4 - Cálculo'!$B$15)</f>
        <v>0.49949250000000001</v>
      </c>
      <c r="L840" s="15">
        <f t="shared" si="191"/>
        <v>24.475132500000001</v>
      </c>
      <c r="M840" s="15">
        <f t="shared" si="192"/>
        <v>8.625</v>
      </c>
      <c r="N840" s="15">
        <f t="shared" si="193"/>
        <v>3</v>
      </c>
      <c r="O840" s="15">
        <f t="shared" si="194"/>
        <v>12.850132500000001</v>
      </c>
      <c r="P840" s="15">
        <f t="shared" si="195"/>
        <v>0</v>
      </c>
      <c r="Q840" s="14" t="str">
        <f>IF(M840&gt;=I840*'Hoja 4 - Cálculo'!$B$16,"Satisfactorio","Falla")</f>
        <v>Satisfactorio</v>
      </c>
      <c r="R840" s="14">
        <f t="shared" si="188"/>
        <v>0</v>
      </c>
      <c r="S840" s="14">
        <f t="shared" si="189"/>
        <v>0</v>
      </c>
    </row>
    <row r="841" spans="1:19">
      <c r="A841" s="14" t="str">
        <f t="shared" si="186"/>
        <v>SRY-3-1</v>
      </c>
      <c r="B841" s="15">
        <f>'Curvas SRY'!$B$10</f>
        <v>3</v>
      </c>
      <c r="C841" s="15">
        <f>'Curvas SRY'!$E$8</f>
        <v>0.75</v>
      </c>
      <c r="D841" s="14" t="str">
        <f>'Curvas SRY'!$B$14</f>
        <v>Uso variable</v>
      </c>
      <c r="E841" s="14">
        <f>118</f>
        <v>118</v>
      </c>
      <c r="F841" s="21">
        <f>'Hoja 4 - Cálculo'!A142</f>
        <v>33147</v>
      </c>
      <c r="G841" s="15">
        <f>'Hoja 4 - Cálculo'!H142</f>
        <v>26.870625</v>
      </c>
      <c r="H841" s="15">
        <f>IF(D841="Uso único",'Hoja 4 - Cálculo'!I142,IF(D841="Uso múltiple",AVERAGE('Hoja 4 - Cálculo'!$I$25:$I$384)+AVERAGE('Hoja 4 - Cálculo'!$J$25:$J$384)+AVERAGE('Hoja 4 - Cálculo'!$K$25:$K$384),IF(D841="Uso prioritario",'Hoja 4 - Cálculo'!I142+'Hoja 4 - Cálculo'!K142,'Hoja 4 - Cálculo'!I142+'Hoja 4 - Cálculo'!J142+'Hoja 4 - Cálculo'!K142)))</f>
        <v>11.5</v>
      </c>
      <c r="I841" s="15">
        <f t="shared" si="190"/>
        <v>8.625</v>
      </c>
      <c r="J841" s="15">
        <f t="shared" si="187"/>
        <v>3</v>
      </c>
      <c r="K841" s="15">
        <f>MIN(J841+G841,(J841+G841)*'Hoja 4 - Cálculo'!$B$15)</f>
        <v>0.59741250000000001</v>
      </c>
      <c r="L841" s="15">
        <f t="shared" si="191"/>
        <v>29.2732125</v>
      </c>
      <c r="M841" s="15">
        <f t="shared" si="192"/>
        <v>8.625</v>
      </c>
      <c r="N841" s="15">
        <f t="shared" si="193"/>
        <v>3</v>
      </c>
      <c r="O841" s="15">
        <f t="shared" si="194"/>
        <v>17.6482125</v>
      </c>
      <c r="P841" s="15">
        <f t="shared" si="195"/>
        <v>0</v>
      </c>
      <c r="Q841" s="14" t="str">
        <f>IF(M841&gt;=I841*'Hoja 4 - Cálculo'!$B$16,"Satisfactorio","Falla")</f>
        <v>Satisfactorio</v>
      </c>
      <c r="R841" s="14">
        <f t="shared" si="188"/>
        <v>0</v>
      </c>
      <c r="S841" s="14">
        <f t="shared" si="189"/>
        <v>0</v>
      </c>
    </row>
    <row r="842" spans="1:19">
      <c r="A842" s="14" t="str">
        <f t="shared" si="186"/>
        <v>SRY-3-1</v>
      </c>
      <c r="B842" s="15">
        <f>'Curvas SRY'!$B$10</f>
        <v>3</v>
      </c>
      <c r="C842" s="15">
        <f>'Curvas SRY'!$E$8</f>
        <v>0.75</v>
      </c>
      <c r="D842" s="14" t="str">
        <f>'Curvas SRY'!$B$14</f>
        <v>Uso variable</v>
      </c>
      <c r="E842" s="14">
        <f>119</f>
        <v>119</v>
      </c>
      <c r="F842" s="21">
        <f>'Hoja 4 - Cálculo'!A143</f>
        <v>33178</v>
      </c>
      <c r="G842" s="15">
        <f>'Hoja 4 - Cálculo'!H143</f>
        <v>24.881625</v>
      </c>
      <c r="H842" s="15">
        <f>IF(D842="Uso único",'Hoja 4 - Cálculo'!I143,IF(D842="Uso múltiple",AVERAGE('Hoja 4 - Cálculo'!$I$25:$I$384)+AVERAGE('Hoja 4 - Cálculo'!$J$25:$J$384)+AVERAGE('Hoja 4 - Cálculo'!$K$25:$K$384),IF(D842="Uso prioritario",'Hoja 4 - Cálculo'!I143+'Hoja 4 - Cálculo'!K143,'Hoja 4 - Cálculo'!I143+'Hoja 4 - Cálculo'!J143+'Hoja 4 - Cálculo'!K143)))</f>
        <v>11.5</v>
      </c>
      <c r="I842" s="15">
        <f t="shared" si="190"/>
        <v>8.625</v>
      </c>
      <c r="J842" s="15">
        <f t="shared" si="187"/>
        <v>3</v>
      </c>
      <c r="K842" s="15">
        <f>MIN(J842+G842,(J842+G842)*'Hoja 4 - Cálculo'!$B$15)</f>
        <v>0.55763249999999998</v>
      </c>
      <c r="L842" s="15">
        <f t="shared" si="191"/>
        <v>27.323992499999999</v>
      </c>
      <c r="M842" s="15">
        <f t="shared" si="192"/>
        <v>8.625</v>
      </c>
      <c r="N842" s="15">
        <f t="shared" si="193"/>
        <v>3</v>
      </c>
      <c r="O842" s="15">
        <f t="shared" si="194"/>
        <v>15.698992499999999</v>
      </c>
      <c r="P842" s="15">
        <f t="shared" si="195"/>
        <v>0</v>
      </c>
      <c r="Q842" s="14" t="str">
        <f>IF(M842&gt;=I842*'Hoja 4 - Cálculo'!$B$16,"Satisfactorio","Falla")</f>
        <v>Satisfactorio</v>
      </c>
      <c r="R842" s="14">
        <f t="shared" si="188"/>
        <v>0</v>
      </c>
      <c r="S842" s="14">
        <f t="shared" si="189"/>
        <v>0</v>
      </c>
    </row>
    <row r="843" spans="1:19">
      <c r="A843" s="14" t="str">
        <f t="shared" si="186"/>
        <v>SRY-3-1</v>
      </c>
      <c r="B843" s="15">
        <f>'Curvas SRY'!$B$10</f>
        <v>3</v>
      </c>
      <c r="C843" s="15">
        <f>'Curvas SRY'!$E$8</f>
        <v>0.75</v>
      </c>
      <c r="D843" s="14" t="str">
        <f>'Curvas SRY'!$B$14</f>
        <v>Uso variable</v>
      </c>
      <c r="E843" s="14">
        <f>120</f>
        <v>120</v>
      </c>
      <c r="F843" s="21">
        <f>'Hoja 4 - Cálculo'!A144</f>
        <v>33208</v>
      </c>
      <c r="G843" s="15">
        <f>'Hoja 4 - Cálculo'!H144</f>
        <v>13.73175</v>
      </c>
      <c r="H843" s="15">
        <f>IF(D843="Uso único",'Hoja 4 - Cálculo'!I144,IF(D843="Uso múltiple",AVERAGE('Hoja 4 - Cálculo'!$I$25:$I$384)+AVERAGE('Hoja 4 - Cálculo'!$J$25:$J$384)+AVERAGE('Hoja 4 - Cálculo'!$K$25:$K$384),IF(D843="Uso prioritario",'Hoja 4 - Cálculo'!I144+'Hoja 4 - Cálculo'!K144,'Hoja 4 - Cálculo'!I144+'Hoja 4 - Cálculo'!J144+'Hoja 4 - Cálculo'!K144)))</f>
        <v>16</v>
      </c>
      <c r="I843" s="15">
        <f t="shared" si="190"/>
        <v>12</v>
      </c>
      <c r="J843" s="15">
        <f t="shared" si="187"/>
        <v>3</v>
      </c>
      <c r="K843" s="15">
        <f>MIN(J843+G843,(J843+G843)*'Hoja 4 - Cálculo'!$B$15)</f>
        <v>0.33463499999999996</v>
      </c>
      <c r="L843" s="15">
        <f t="shared" si="191"/>
        <v>16.397114999999999</v>
      </c>
      <c r="M843" s="15">
        <f t="shared" si="192"/>
        <v>12</v>
      </c>
      <c r="N843" s="15">
        <f t="shared" si="193"/>
        <v>3</v>
      </c>
      <c r="O843" s="15">
        <f t="shared" si="194"/>
        <v>1.3971149999999994</v>
      </c>
      <c r="P843" s="15">
        <f t="shared" si="195"/>
        <v>0</v>
      </c>
      <c r="Q843" s="14" t="str">
        <f>IF(M843&gt;=I843*'Hoja 4 - Cálculo'!$B$16,"Satisfactorio","Falla")</f>
        <v>Satisfactorio</v>
      </c>
      <c r="R843" s="14">
        <f t="shared" si="188"/>
        <v>0</v>
      </c>
      <c r="S843" s="14">
        <f t="shared" si="189"/>
        <v>0</v>
      </c>
    </row>
    <row r="844" spans="1:19">
      <c r="A844" s="14" t="str">
        <f t="shared" ref="A844:A875" si="196">"SRY-3-2"</f>
        <v>SRY-3-2</v>
      </c>
      <c r="B844" s="15">
        <f>'Curvas SRY'!$B$10</f>
        <v>3</v>
      </c>
      <c r="C844" s="15">
        <f>'Curvas SRY'!$E$9</f>
        <v>1</v>
      </c>
      <c r="D844" s="14" t="str">
        <f>'Curvas SRY'!$B$14</f>
        <v>Uso variable</v>
      </c>
      <c r="E844" s="14">
        <f>1</f>
        <v>1</v>
      </c>
      <c r="F844" s="21">
        <f>'Hoja 4 - Cálculo'!A25</f>
        <v>29587</v>
      </c>
      <c r="G844" s="15">
        <f>'Hoja 4 - Cálculo'!H25</f>
        <v>12.852</v>
      </c>
      <c r="H844" s="15">
        <f>IF(D844="Uso único",'Hoja 4 - Cálculo'!I25,IF(D844="Uso múltiple",AVERAGE('Hoja 4 - Cálculo'!$I$25:$I$384)+AVERAGE('Hoja 4 - Cálculo'!$J$25:$J$384)+AVERAGE('Hoja 4 - Cálculo'!$K$25:$K$384),IF(D844="Uso prioritario",'Hoja 4 - Cálculo'!I25+'Hoja 4 - Cálculo'!K25,'Hoja 4 - Cálculo'!I25+'Hoja 4 - Cálculo'!J25+'Hoja 4 - Cálculo'!K25)))</f>
        <v>16</v>
      </c>
      <c r="I844" s="15">
        <f t="shared" si="190"/>
        <v>16</v>
      </c>
      <c r="J844" s="15">
        <f>0</f>
        <v>0</v>
      </c>
      <c r="K844" s="15">
        <f>MIN(J844+G844,(J844+G844)*'Hoja 4 - Cálculo'!$B$15)</f>
        <v>0.25703999999999999</v>
      </c>
      <c r="L844" s="15">
        <f t="shared" si="191"/>
        <v>12.59496</v>
      </c>
      <c r="M844" s="15">
        <f t="shared" si="192"/>
        <v>12.59496</v>
      </c>
      <c r="N844" s="15">
        <f t="shared" si="193"/>
        <v>0</v>
      </c>
      <c r="O844" s="15">
        <f t="shared" si="194"/>
        <v>0</v>
      </c>
      <c r="P844" s="15">
        <f t="shared" si="195"/>
        <v>3.4050399999999996</v>
      </c>
      <c r="Q844" s="14" t="str">
        <f>IF(M844&gt;=I844*'Hoja 4 - Cálculo'!$B$16,"Satisfactorio","Falla")</f>
        <v>Falla</v>
      </c>
      <c r="R844" s="14">
        <f>0</f>
        <v>0</v>
      </c>
      <c r="S844" s="14">
        <f>IF(Q844="Falla",1,0)</f>
        <v>1</v>
      </c>
    </row>
    <row r="845" spans="1:19">
      <c r="A845" s="14" t="str">
        <f t="shared" si="196"/>
        <v>SRY-3-2</v>
      </c>
      <c r="B845" s="15">
        <f>'Curvas SRY'!$B$10</f>
        <v>3</v>
      </c>
      <c r="C845" s="15">
        <f>'Curvas SRY'!$E$9</f>
        <v>1</v>
      </c>
      <c r="D845" s="14" t="str">
        <f>'Curvas SRY'!$B$14</f>
        <v>Uso variable</v>
      </c>
      <c r="E845" s="14">
        <f>2</f>
        <v>2</v>
      </c>
      <c r="F845" s="21">
        <f>'Hoja 4 - Cálculo'!A26</f>
        <v>29618</v>
      </c>
      <c r="G845" s="15">
        <f>'Hoja 4 - Cálculo'!H26</f>
        <v>14.630625</v>
      </c>
      <c r="H845" s="15">
        <f>IF(D845="Uso único",'Hoja 4 - Cálculo'!I26,IF(D845="Uso múltiple",AVERAGE('Hoja 4 - Cálculo'!$I$25:$I$384)+AVERAGE('Hoja 4 - Cálculo'!$J$25:$J$384)+AVERAGE('Hoja 4 - Cálculo'!$K$25:$K$384),IF(D845="Uso prioritario",'Hoja 4 - Cálculo'!I26+'Hoja 4 - Cálculo'!K26,'Hoja 4 - Cálculo'!I26+'Hoja 4 - Cálculo'!J26+'Hoja 4 - Cálculo'!K26)))</f>
        <v>16</v>
      </c>
      <c r="I845" s="15">
        <f t="shared" si="190"/>
        <v>16</v>
      </c>
      <c r="J845" s="15">
        <f t="shared" ref="J845:J876" si="197">N844</f>
        <v>0</v>
      </c>
      <c r="K845" s="15">
        <f>MIN(J845+G845,(J845+G845)*'Hoja 4 - Cálculo'!$B$15)</f>
        <v>0.2926125</v>
      </c>
      <c r="L845" s="15">
        <f t="shared" si="191"/>
        <v>14.3380125</v>
      </c>
      <c r="M845" s="15">
        <f t="shared" si="192"/>
        <v>14.3380125</v>
      </c>
      <c r="N845" s="15">
        <f t="shared" si="193"/>
        <v>0</v>
      </c>
      <c r="O845" s="15">
        <f t="shared" si="194"/>
        <v>0</v>
      </c>
      <c r="P845" s="15">
        <f t="shared" si="195"/>
        <v>1.6619875000000004</v>
      </c>
      <c r="Q845" s="14" t="str">
        <f>IF(M845&gt;=I845*'Hoja 4 - Cálculo'!$B$16,"Satisfactorio","Falla")</f>
        <v>Falla</v>
      </c>
      <c r="R845" s="14">
        <f t="shared" ref="R845:R876" si="198">IF(AND(Q844="Falla",Q845="Satisfactorio"),1,0)</f>
        <v>0</v>
      </c>
      <c r="S845" s="14">
        <f t="shared" ref="S845:S876" si="199">IF(AND(Q845="Falla",Q844&lt;&gt;"Falla"),1,0)</f>
        <v>0</v>
      </c>
    </row>
    <row r="846" spans="1:19">
      <c r="A846" s="14" t="str">
        <f t="shared" si="196"/>
        <v>SRY-3-2</v>
      </c>
      <c r="B846" s="15">
        <f>'Curvas SRY'!$B$10</f>
        <v>3</v>
      </c>
      <c r="C846" s="15">
        <f>'Curvas SRY'!$E$9</f>
        <v>1</v>
      </c>
      <c r="D846" s="14" t="str">
        <f>'Curvas SRY'!$B$14</f>
        <v>Uso variable</v>
      </c>
      <c r="E846" s="14">
        <f>3</f>
        <v>3</v>
      </c>
      <c r="F846" s="21">
        <f>'Hoja 4 - Cálculo'!A27</f>
        <v>29646</v>
      </c>
      <c r="G846" s="15">
        <f>'Hoja 4 - Cálculo'!H27</f>
        <v>21.114000000000001</v>
      </c>
      <c r="H846" s="15">
        <f>IF(D846="Uso único",'Hoja 4 - Cálculo'!I27,IF(D846="Uso múltiple",AVERAGE('Hoja 4 - Cálculo'!$I$25:$I$384)+AVERAGE('Hoja 4 - Cálculo'!$J$25:$J$384)+AVERAGE('Hoja 4 - Cálculo'!$K$25:$K$384),IF(D846="Uso prioritario",'Hoja 4 - Cálculo'!I27+'Hoja 4 - Cálculo'!K27,'Hoja 4 - Cálculo'!I27+'Hoja 4 - Cálculo'!J27+'Hoja 4 - Cálculo'!K27)))</f>
        <v>16</v>
      </c>
      <c r="I846" s="15">
        <f t="shared" si="190"/>
        <v>16</v>
      </c>
      <c r="J846" s="15">
        <f t="shared" si="197"/>
        <v>0</v>
      </c>
      <c r="K846" s="15">
        <f>MIN(J846+G846,(J846+G846)*'Hoja 4 - Cálculo'!$B$15)</f>
        <v>0.42228000000000004</v>
      </c>
      <c r="L846" s="15">
        <f t="shared" si="191"/>
        <v>20.69172</v>
      </c>
      <c r="M846" s="15">
        <f t="shared" si="192"/>
        <v>16</v>
      </c>
      <c r="N846" s="15">
        <f t="shared" si="193"/>
        <v>3</v>
      </c>
      <c r="O846" s="15">
        <f t="shared" si="194"/>
        <v>1.6917200000000001</v>
      </c>
      <c r="P846" s="15">
        <f t="shared" si="195"/>
        <v>0</v>
      </c>
      <c r="Q846" s="14" t="str">
        <f>IF(M846&gt;=I846*'Hoja 4 - Cálculo'!$B$16,"Satisfactorio","Falla")</f>
        <v>Satisfactorio</v>
      </c>
      <c r="R846" s="14">
        <f t="shared" si="198"/>
        <v>1</v>
      </c>
      <c r="S846" s="14">
        <f t="shared" si="199"/>
        <v>0</v>
      </c>
    </row>
    <row r="847" spans="1:19">
      <c r="A847" s="14" t="str">
        <f t="shared" si="196"/>
        <v>SRY-3-2</v>
      </c>
      <c r="B847" s="15">
        <f>'Curvas SRY'!$B$10</f>
        <v>3</v>
      </c>
      <c r="C847" s="15">
        <f>'Curvas SRY'!$E$9</f>
        <v>1</v>
      </c>
      <c r="D847" s="14" t="str">
        <f>'Curvas SRY'!$B$14</f>
        <v>Uso variable</v>
      </c>
      <c r="E847" s="14">
        <f>4</f>
        <v>4</v>
      </c>
      <c r="F847" s="21">
        <f>'Hoja 4 - Cálculo'!A28</f>
        <v>29677</v>
      </c>
      <c r="G847" s="15">
        <f>'Hoja 4 - Cálculo'!H28</f>
        <v>29.280374999999999</v>
      </c>
      <c r="H847" s="15">
        <f>IF(D847="Uso único",'Hoja 4 - Cálculo'!I28,IF(D847="Uso múltiple",AVERAGE('Hoja 4 - Cálculo'!$I$25:$I$384)+AVERAGE('Hoja 4 - Cálculo'!$J$25:$J$384)+AVERAGE('Hoja 4 - Cálculo'!$K$25:$K$384),IF(D847="Uso prioritario",'Hoja 4 - Cálculo'!I28+'Hoja 4 - Cálculo'!K28,'Hoja 4 - Cálculo'!I28+'Hoja 4 - Cálculo'!J28+'Hoja 4 - Cálculo'!K28)))</f>
        <v>11.5</v>
      </c>
      <c r="I847" s="15">
        <f t="shared" si="190"/>
        <v>11.5</v>
      </c>
      <c r="J847" s="15">
        <f t="shared" si="197"/>
        <v>3</v>
      </c>
      <c r="K847" s="15">
        <f>MIN(J847+G847,(J847+G847)*'Hoja 4 - Cálculo'!$B$15)</f>
        <v>0.6456075</v>
      </c>
      <c r="L847" s="15">
        <f t="shared" si="191"/>
        <v>31.634767499999999</v>
      </c>
      <c r="M847" s="15">
        <f t="shared" si="192"/>
        <v>11.5</v>
      </c>
      <c r="N847" s="15">
        <f t="shared" si="193"/>
        <v>3</v>
      </c>
      <c r="O847" s="15">
        <f t="shared" si="194"/>
        <v>17.134767499999999</v>
      </c>
      <c r="P847" s="15">
        <f t="shared" si="195"/>
        <v>0</v>
      </c>
      <c r="Q847" s="14" t="str">
        <f>IF(M847&gt;=I847*'Hoja 4 - Cálculo'!$B$16,"Satisfactorio","Falla")</f>
        <v>Satisfactorio</v>
      </c>
      <c r="R847" s="14">
        <f t="shared" si="198"/>
        <v>0</v>
      </c>
      <c r="S847" s="14">
        <f t="shared" si="199"/>
        <v>0</v>
      </c>
    </row>
    <row r="848" spans="1:19">
      <c r="A848" s="14" t="str">
        <f t="shared" si="196"/>
        <v>SRY-3-2</v>
      </c>
      <c r="B848" s="15">
        <f>'Curvas SRY'!$B$10</f>
        <v>3</v>
      </c>
      <c r="C848" s="15">
        <f>'Curvas SRY'!$E$9</f>
        <v>1</v>
      </c>
      <c r="D848" s="14" t="str">
        <f>'Curvas SRY'!$B$14</f>
        <v>Uso variable</v>
      </c>
      <c r="E848" s="14">
        <f>5</f>
        <v>5</v>
      </c>
      <c r="F848" s="21">
        <f>'Hoja 4 - Cálculo'!A29</f>
        <v>29707</v>
      </c>
      <c r="G848" s="15">
        <f>'Hoja 4 - Cálculo'!H29</f>
        <v>26.048249999999999</v>
      </c>
      <c r="H848" s="15">
        <f>IF(D848="Uso único",'Hoja 4 - Cálculo'!I29,IF(D848="Uso múltiple",AVERAGE('Hoja 4 - Cálculo'!$I$25:$I$384)+AVERAGE('Hoja 4 - Cálculo'!$J$25:$J$384)+AVERAGE('Hoja 4 - Cálculo'!$K$25:$K$384),IF(D848="Uso prioritario",'Hoja 4 - Cálculo'!I29+'Hoja 4 - Cálculo'!K29,'Hoja 4 - Cálculo'!I29+'Hoja 4 - Cálculo'!J29+'Hoja 4 - Cálculo'!K29)))</f>
        <v>11.5</v>
      </c>
      <c r="I848" s="15">
        <f t="shared" si="190"/>
        <v>11.5</v>
      </c>
      <c r="J848" s="15">
        <f t="shared" si="197"/>
        <v>3</v>
      </c>
      <c r="K848" s="15">
        <f>MIN(J848+G848,(J848+G848)*'Hoja 4 - Cálculo'!$B$15)</f>
        <v>0.58096499999999995</v>
      </c>
      <c r="L848" s="15">
        <f t="shared" si="191"/>
        <v>28.467285</v>
      </c>
      <c r="M848" s="15">
        <f t="shared" si="192"/>
        <v>11.5</v>
      </c>
      <c r="N848" s="15">
        <f t="shared" si="193"/>
        <v>3</v>
      </c>
      <c r="O848" s="15">
        <f t="shared" si="194"/>
        <v>13.967285</v>
      </c>
      <c r="P848" s="15">
        <f t="shared" si="195"/>
        <v>0</v>
      </c>
      <c r="Q848" s="14" t="str">
        <f>IF(M848&gt;=I848*'Hoja 4 - Cálculo'!$B$16,"Satisfactorio","Falla")</f>
        <v>Satisfactorio</v>
      </c>
      <c r="R848" s="14">
        <f t="shared" si="198"/>
        <v>0</v>
      </c>
      <c r="S848" s="14">
        <f t="shared" si="199"/>
        <v>0</v>
      </c>
    </row>
    <row r="849" spans="1:19">
      <c r="A849" s="14" t="str">
        <f t="shared" si="196"/>
        <v>SRY-3-2</v>
      </c>
      <c r="B849" s="15">
        <f>'Curvas SRY'!$B$10</f>
        <v>3</v>
      </c>
      <c r="C849" s="15">
        <f>'Curvas SRY'!$E$9</f>
        <v>1</v>
      </c>
      <c r="D849" s="14" t="str">
        <f>'Curvas SRY'!$B$14</f>
        <v>Uso variable</v>
      </c>
      <c r="E849" s="14">
        <f>6</f>
        <v>6</v>
      </c>
      <c r="F849" s="21">
        <f>'Hoja 4 - Cálculo'!A30</f>
        <v>29738</v>
      </c>
      <c r="G849" s="15">
        <f>'Hoja 4 - Cálculo'!H30</f>
        <v>15.625125000000001</v>
      </c>
      <c r="H849" s="15">
        <f>IF(D849="Uso único",'Hoja 4 - Cálculo'!I30,IF(D849="Uso múltiple",AVERAGE('Hoja 4 - Cálculo'!$I$25:$I$384)+AVERAGE('Hoja 4 - Cálculo'!$J$25:$J$384)+AVERAGE('Hoja 4 - Cálculo'!$K$25:$K$384),IF(D849="Uso prioritario",'Hoja 4 - Cálculo'!I30+'Hoja 4 - Cálculo'!K30,'Hoja 4 - Cálculo'!I30+'Hoja 4 - Cálculo'!J30+'Hoja 4 - Cálculo'!K30)))</f>
        <v>11.5</v>
      </c>
      <c r="I849" s="15">
        <f t="shared" si="190"/>
        <v>11.5</v>
      </c>
      <c r="J849" s="15">
        <f t="shared" si="197"/>
        <v>3</v>
      </c>
      <c r="K849" s="15">
        <f>MIN(J849+G849,(J849+G849)*'Hoja 4 - Cálculo'!$B$15)</f>
        <v>0.37250250000000001</v>
      </c>
      <c r="L849" s="15">
        <f t="shared" si="191"/>
        <v>18.252622500000001</v>
      </c>
      <c r="M849" s="15">
        <f t="shared" si="192"/>
        <v>11.5</v>
      </c>
      <c r="N849" s="15">
        <f t="shared" si="193"/>
        <v>3</v>
      </c>
      <c r="O849" s="15">
        <f t="shared" si="194"/>
        <v>3.7526225000000011</v>
      </c>
      <c r="P849" s="15">
        <f t="shared" si="195"/>
        <v>0</v>
      </c>
      <c r="Q849" s="14" t="str">
        <f>IF(M849&gt;=I849*'Hoja 4 - Cálculo'!$B$16,"Satisfactorio","Falla")</f>
        <v>Satisfactorio</v>
      </c>
      <c r="R849" s="14">
        <f t="shared" si="198"/>
        <v>0</v>
      </c>
      <c r="S849" s="14">
        <f t="shared" si="199"/>
        <v>0</v>
      </c>
    </row>
    <row r="850" spans="1:19">
      <c r="A850" s="14" t="str">
        <f t="shared" si="196"/>
        <v>SRY-3-2</v>
      </c>
      <c r="B850" s="15">
        <f>'Curvas SRY'!$B$10</f>
        <v>3</v>
      </c>
      <c r="C850" s="15">
        <f>'Curvas SRY'!$E$9</f>
        <v>1</v>
      </c>
      <c r="D850" s="14" t="str">
        <f>'Curvas SRY'!$B$14</f>
        <v>Uso variable</v>
      </c>
      <c r="E850" s="14">
        <f>7</f>
        <v>7</v>
      </c>
      <c r="F850" s="21">
        <f>'Hoja 4 - Cálculo'!A31</f>
        <v>29768</v>
      </c>
      <c r="G850" s="15">
        <f>'Hoja 4 - Cálculo'!H31</f>
        <v>12.794625</v>
      </c>
      <c r="H850" s="15">
        <f>IF(D850="Uso único",'Hoja 4 - Cálculo'!I31,IF(D850="Uso múltiple",AVERAGE('Hoja 4 - Cálculo'!$I$25:$I$384)+AVERAGE('Hoja 4 - Cálculo'!$J$25:$J$384)+AVERAGE('Hoja 4 - Cálculo'!$K$25:$K$384),IF(D850="Uso prioritario",'Hoja 4 - Cálculo'!I31+'Hoja 4 - Cálculo'!K31,'Hoja 4 - Cálculo'!I31+'Hoja 4 - Cálculo'!J31+'Hoja 4 - Cálculo'!K31)))</f>
        <v>16</v>
      </c>
      <c r="I850" s="15">
        <f t="shared" si="190"/>
        <v>16</v>
      </c>
      <c r="J850" s="15">
        <f t="shared" si="197"/>
        <v>3</v>
      </c>
      <c r="K850" s="15">
        <f>MIN(J850+G850,(J850+G850)*'Hoja 4 - Cálculo'!$B$15)</f>
        <v>0.31589250000000002</v>
      </c>
      <c r="L850" s="15">
        <f t="shared" si="191"/>
        <v>15.4787325</v>
      </c>
      <c r="M850" s="15">
        <f t="shared" si="192"/>
        <v>15.4787325</v>
      </c>
      <c r="N850" s="15">
        <f t="shared" si="193"/>
        <v>0</v>
      </c>
      <c r="O850" s="15">
        <f t="shared" si="194"/>
        <v>0</v>
      </c>
      <c r="P850" s="15">
        <f t="shared" si="195"/>
        <v>0.52126750000000044</v>
      </c>
      <c r="Q850" s="14" t="str">
        <f>IF(M850&gt;=I850*'Hoja 4 - Cálculo'!$B$16,"Satisfactorio","Falla")</f>
        <v>Falla</v>
      </c>
      <c r="R850" s="14">
        <f t="shared" si="198"/>
        <v>0</v>
      </c>
      <c r="S850" s="14">
        <f t="shared" si="199"/>
        <v>1</v>
      </c>
    </row>
    <row r="851" spans="1:19">
      <c r="A851" s="14" t="str">
        <f t="shared" si="196"/>
        <v>SRY-3-2</v>
      </c>
      <c r="B851" s="15">
        <f>'Curvas SRY'!$B$10</f>
        <v>3</v>
      </c>
      <c r="C851" s="15">
        <f>'Curvas SRY'!$E$9</f>
        <v>1</v>
      </c>
      <c r="D851" s="14" t="str">
        <f>'Curvas SRY'!$B$14</f>
        <v>Uso variable</v>
      </c>
      <c r="E851" s="14">
        <f>8</f>
        <v>8</v>
      </c>
      <c r="F851" s="21">
        <f>'Hoja 4 - Cálculo'!A32</f>
        <v>29799</v>
      </c>
      <c r="G851" s="15">
        <f>'Hoja 4 - Cálculo'!H32</f>
        <v>13.712624999999999</v>
      </c>
      <c r="H851" s="15">
        <f>IF(D851="Uso único",'Hoja 4 - Cálculo'!I32,IF(D851="Uso múltiple",AVERAGE('Hoja 4 - Cálculo'!$I$25:$I$384)+AVERAGE('Hoja 4 - Cálculo'!$J$25:$J$384)+AVERAGE('Hoja 4 - Cálculo'!$K$25:$K$384),IF(D851="Uso prioritario",'Hoja 4 - Cálculo'!I32+'Hoja 4 - Cálculo'!K32,'Hoja 4 - Cálculo'!I32+'Hoja 4 - Cálculo'!J32+'Hoja 4 - Cálculo'!K32)))</f>
        <v>16</v>
      </c>
      <c r="I851" s="15">
        <f t="shared" si="190"/>
        <v>16</v>
      </c>
      <c r="J851" s="15">
        <f t="shared" si="197"/>
        <v>0</v>
      </c>
      <c r="K851" s="15">
        <f>MIN(J851+G851,(J851+G851)*'Hoja 4 - Cálculo'!$B$15)</f>
        <v>0.27425250000000001</v>
      </c>
      <c r="L851" s="15">
        <f t="shared" si="191"/>
        <v>13.4383725</v>
      </c>
      <c r="M851" s="15">
        <f t="shared" si="192"/>
        <v>13.4383725</v>
      </c>
      <c r="N851" s="15">
        <f t="shared" si="193"/>
        <v>0</v>
      </c>
      <c r="O851" s="15">
        <f t="shared" si="194"/>
        <v>0</v>
      </c>
      <c r="P851" s="15">
        <f t="shared" si="195"/>
        <v>2.5616275000000002</v>
      </c>
      <c r="Q851" s="14" t="str">
        <f>IF(M851&gt;=I851*'Hoja 4 - Cálculo'!$B$16,"Satisfactorio","Falla")</f>
        <v>Falla</v>
      </c>
      <c r="R851" s="14">
        <f t="shared" si="198"/>
        <v>0</v>
      </c>
      <c r="S851" s="14">
        <f t="shared" si="199"/>
        <v>0</v>
      </c>
    </row>
    <row r="852" spans="1:19">
      <c r="A852" s="14" t="str">
        <f t="shared" si="196"/>
        <v>SRY-3-2</v>
      </c>
      <c r="B852" s="15">
        <f>'Curvas SRY'!$B$10</f>
        <v>3</v>
      </c>
      <c r="C852" s="15">
        <f>'Curvas SRY'!$E$9</f>
        <v>1</v>
      </c>
      <c r="D852" s="14" t="str">
        <f>'Curvas SRY'!$B$14</f>
        <v>Uso variable</v>
      </c>
      <c r="E852" s="14">
        <f>9</f>
        <v>9</v>
      </c>
      <c r="F852" s="21">
        <f>'Hoja 4 - Cálculo'!A33</f>
        <v>29830</v>
      </c>
      <c r="G852" s="15">
        <f>'Hoja 4 - Cálculo'!H33</f>
        <v>22.070250000000001</v>
      </c>
      <c r="H852" s="15">
        <f>IF(D852="Uso único",'Hoja 4 - Cálculo'!I33,IF(D852="Uso múltiple",AVERAGE('Hoja 4 - Cálculo'!$I$25:$I$384)+AVERAGE('Hoja 4 - Cálculo'!$J$25:$J$384)+AVERAGE('Hoja 4 - Cálculo'!$K$25:$K$384),IF(D852="Uso prioritario",'Hoja 4 - Cálculo'!I33+'Hoja 4 - Cálculo'!K33,'Hoja 4 - Cálculo'!I33+'Hoja 4 - Cálculo'!J33+'Hoja 4 - Cálculo'!K33)))</f>
        <v>11.5</v>
      </c>
      <c r="I852" s="15">
        <f t="shared" si="190"/>
        <v>11.5</v>
      </c>
      <c r="J852" s="15">
        <f t="shared" si="197"/>
        <v>0</v>
      </c>
      <c r="K852" s="15">
        <f>MIN(J852+G852,(J852+G852)*'Hoja 4 - Cálculo'!$B$15)</f>
        <v>0.44140500000000005</v>
      </c>
      <c r="L852" s="15">
        <f t="shared" si="191"/>
        <v>21.628845000000002</v>
      </c>
      <c r="M852" s="15">
        <f t="shared" si="192"/>
        <v>11.5</v>
      </c>
      <c r="N852" s="15">
        <f t="shared" si="193"/>
        <v>3</v>
      </c>
      <c r="O852" s="15">
        <f t="shared" si="194"/>
        <v>7.1288450000000019</v>
      </c>
      <c r="P852" s="15">
        <f t="shared" si="195"/>
        <v>0</v>
      </c>
      <c r="Q852" s="14" t="str">
        <f>IF(M852&gt;=I852*'Hoja 4 - Cálculo'!$B$16,"Satisfactorio","Falla")</f>
        <v>Satisfactorio</v>
      </c>
      <c r="R852" s="14">
        <f t="shared" si="198"/>
        <v>1</v>
      </c>
      <c r="S852" s="14">
        <f t="shared" si="199"/>
        <v>0</v>
      </c>
    </row>
    <row r="853" spans="1:19">
      <c r="A853" s="14" t="str">
        <f t="shared" si="196"/>
        <v>SRY-3-2</v>
      </c>
      <c r="B853" s="15">
        <f>'Curvas SRY'!$B$10</f>
        <v>3</v>
      </c>
      <c r="C853" s="15">
        <f>'Curvas SRY'!$E$9</f>
        <v>1</v>
      </c>
      <c r="D853" s="14" t="str">
        <f>'Curvas SRY'!$B$14</f>
        <v>Uso variable</v>
      </c>
      <c r="E853" s="14">
        <f>10</f>
        <v>10</v>
      </c>
      <c r="F853" s="21">
        <f>'Hoja 4 - Cálculo'!A34</f>
        <v>29860</v>
      </c>
      <c r="G853" s="15">
        <f>'Hoja 4 - Cálculo'!H34</f>
        <v>29.777625</v>
      </c>
      <c r="H853" s="15">
        <f>IF(D853="Uso único",'Hoja 4 - Cálculo'!I34,IF(D853="Uso múltiple",AVERAGE('Hoja 4 - Cálculo'!$I$25:$I$384)+AVERAGE('Hoja 4 - Cálculo'!$J$25:$J$384)+AVERAGE('Hoja 4 - Cálculo'!$K$25:$K$384),IF(D853="Uso prioritario",'Hoja 4 - Cálculo'!I34+'Hoja 4 - Cálculo'!K34,'Hoja 4 - Cálculo'!I34+'Hoja 4 - Cálculo'!J34+'Hoja 4 - Cálculo'!K34)))</f>
        <v>11.5</v>
      </c>
      <c r="I853" s="15">
        <f t="shared" si="190"/>
        <v>11.5</v>
      </c>
      <c r="J853" s="15">
        <f t="shared" si="197"/>
        <v>3</v>
      </c>
      <c r="K853" s="15">
        <f>MIN(J853+G853,(J853+G853)*'Hoja 4 - Cálculo'!$B$15)</f>
        <v>0.65555249999999998</v>
      </c>
      <c r="L853" s="15">
        <f t="shared" si="191"/>
        <v>32.122072500000002</v>
      </c>
      <c r="M853" s="15">
        <f t="shared" si="192"/>
        <v>11.5</v>
      </c>
      <c r="N853" s="15">
        <f t="shared" si="193"/>
        <v>3</v>
      </c>
      <c r="O853" s="15">
        <f t="shared" si="194"/>
        <v>17.622072500000002</v>
      </c>
      <c r="P853" s="15">
        <f t="shared" si="195"/>
        <v>0</v>
      </c>
      <c r="Q853" s="14" t="str">
        <f>IF(M853&gt;=I853*'Hoja 4 - Cálculo'!$B$16,"Satisfactorio","Falla")</f>
        <v>Satisfactorio</v>
      </c>
      <c r="R853" s="14">
        <f t="shared" si="198"/>
        <v>0</v>
      </c>
      <c r="S853" s="14">
        <f t="shared" si="199"/>
        <v>0</v>
      </c>
    </row>
    <row r="854" spans="1:19">
      <c r="A854" s="14" t="str">
        <f t="shared" si="196"/>
        <v>SRY-3-2</v>
      </c>
      <c r="B854" s="15">
        <f>'Curvas SRY'!$B$10</f>
        <v>3</v>
      </c>
      <c r="C854" s="15">
        <f>'Curvas SRY'!$E$9</f>
        <v>1</v>
      </c>
      <c r="D854" s="14" t="str">
        <f>'Curvas SRY'!$B$14</f>
        <v>Uso variable</v>
      </c>
      <c r="E854" s="14">
        <f>11</f>
        <v>11</v>
      </c>
      <c r="F854" s="21">
        <f>'Hoja 4 - Cálculo'!A35</f>
        <v>29891</v>
      </c>
      <c r="G854" s="15">
        <f>'Hoja 4 - Cálculo'!H35</f>
        <v>25.51275</v>
      </c>
      <c r="H854" s="15">
        <f>IF(D854="Uso único",'Hoja 4 - Cálculo'!I35,IF(D854="Uso múltiple",AVERAGE('Hoja 4 - Cálculo'!$I$25:$I$384)+AVERAGE('Hoja 4 - Cálculo'!$J$25:$J$384)+AVERAGE('Hoja 4 - Cálculo'!$K$25:$K$384),IF(D854="Uso prioritario",'Hoja 4 - Cálculo'!I35+'Hoja 4 - Cálculo'!K35,'Hoja 4 - Cálculo'!I35+'Hoja 4 - Cálculo'!J35+'Hoja 4 - Cálculo'!K35)))</f>
        <v>11.5</v>
      </c>
      <c r="I854" s="15">
        <f t="shared" si="190"/>
        <v>11.5</v>
      </c>
      <c r="J854" s="15">
        <f t="shared" si="197"/>
        <v>3</v>
      </c>
      <c r="K854" s="15">
        <f>MIN(J854+G854,(J854+G854)*'Hoja 4 - Cálculo'!$B$15)</f>
        <v>0.57025500000000007</v>
      </c>
      <c r="L854" s="15">
        <f t="shared" si="191"/>
        <v>27.942495000000001</v>
      </c>
      <c r="M854" s="15">
        <f t="shared" si="192"/>
        <v>11.5</v>
      </c>
      <c r="N854" s="15">
        <f t="shared" si="193"/>
        <v>3</v>
      </c>
      <c r="O854" s="15">
        <f t="shared" si="194"/>
        <v>13.442495000000001</v>
      </c>
      <c r="P854" s="15">
        <f t="shared" si="195"/>
        <v>0</v>
      </c>
      <c r="Q854" s="14" t="str">
        <f>IF(M854&gt;=I854*'Hoja 4 - Cálculo'!$B$16,"Satisfactorio","Falla")</f>
        <v>Satisfactorio</v>
      </c>
      <c r="R854" s="14">
        <f t="shared" si="198"/>
        <v>0</v>
      </c>
      <c r="S854" s="14">
        <f t="shared" si="199"/>
        <v>0</v>
      </c>
    </row>
    <row r="855" spans="1:19">
      <c r="A855" s="14" t="str">
        <f t="shared" si="196"/>
        <v>SRY-3-2</v>
      </c>
      <c r="B855" s="15">
        <f>'Curvas SRY'!$B$10</f>
        <v>3</v>
      </c>
      <c r="C855" s="15">
        <f>'Curvas SRY'!$E$9</f>
        <v>1</v>
      </c>
      <c r="D855" s="14" t="str">
        <f>'Curvas SRY'!$B$14</f>
        <v>Uso variable</v>
      </c>
      <c r="E855" s="14">
        <f>12</f>
        <v>12</v>
      </c>
      <c r="F855" s="21">
        <f>'Hoja 4 - Cálculo'!A36</f>
        <v>29921</v>
      </c>
      <c r="G855" s="15">
        <f>'Hoja 4 - Cálculo'!H36</f>
        <v>15.3765</v>
      </c>
      <c r="H855" s="15">
        <f>IF(D855="Uso único",'Hoja 4 - Cálculo'!I36,IF(D855="Uso múltiple",AVERAGE('Hoja 4 - Cálculo'!$I$25:$I$384)+AVERAGE('Hoja 4 - Cálculo'!$J$25:$J$384)+AVERAGE('Hoja 4 - Cálculo'!$K$25:$K$384),IF(D855="Uso prioritario",'Hoja 4 - Cálculo'!I36+'Hoja 4 - Cálculo'!K36,'Hoja 4 - Cálculo'!I36+'Hoja 4 - Cálculo'!J36+'Hoja 4 - Cálculo'!K36)))</f>
        <v>16</v>
      </c>
      <c r="I855" s="15">
        <f t="shared" si="190"/>
        <v>16</v>
      </c>
      <c r="J855" s="15">
        <f t="shared" si="197"/>
        <v>3</v>
      </c>
      <c r="K855" s="15">
        <f>MIN(J855+G855,(J855+G855)*'Hoja 4 - Cálculo'!$B$15)</f>
        <v>0.36753000000000002</v>
      </c>
      <c r="L855" s="15">
        <f t="shared" si="191"/>
        <v>18.008970000000001</v>
      </c>
      <c r="M855" s="15">
        <f t="shared" si="192"/>
        <v>16</v>
      </c>
      <c r="N855" s="15">
        <f t="shared" si="193"/>
        <v>2.0089700000000015</v>
      </c>
      <c r="O855" s="15">
        <f t="shared" si="194"/>
        <v>0</v>
      </c>
      <c r="P855" s="15">
        <f t="shared" si="195"/>
        <v>0</v>
      </c>
      <c r="Q855" s="14" t="str">
        <f>IF(M855&gt;=I855*'Hoja 4 - Cálculo'!$B$16,"Satisfactorio","Falla")</f>
        <v>Satisfactorio</v>
      </c>
      <c r="R855" s="14">
        <f t="shared" si="198"/>
        <v>0</v>
      </c>
      <c r="S855" s="14">
        <f t="shared" si="199"/>
        <v>0</v>
      </c>
    </row>
    <row r="856" spans="1:19">
      <c r="A856" s="14" t="str">
        <f t="shared" si="196"/>
        <v>SRY-3-2</v>
      </c>
      <c r="B856" s="15">
        <f>'Curvas SRY'!$B$10</f>
        <v>3</v>
      </c>
      <c r="C856" s="15">
        <f>'Curvas SRY'!$E$9</f>
        <v>1</v>
      </c>
      <c r="D856" s="14" t="str">
        <f>'Curvas SRY'!$B$14</f>
        <v>Uso variable</v>
      </c>
      <c r="E856" s="14">
        <f>13</f>
        <v>13</v>
      </c>
      <c r="F856" s="21">
        <f>'Hoja 4 - Cálculo'!A37</f>
        <v>29952</v>
      </c>
      <c r="G856" s="15">
        <f>'Hoja 4 - Cálculo'!H37</f>
        <v>13.808249999999999</v>
      </c>
      <c r="H856" s="15">
        <f>IF(D856="Uso único",'Hoja 4 - Cálculo'!I37,IF(D856="Uso múltiple",AVERAGE('Hoja 4 - Cálculo'!$I$25:$I$384)+AVERAGE('Hoja 4 - Cálculo'!$J$25:$J$384)+AVERAGE('Hoja 4 - Cálculo'!$K$25:$K$384),IF(D856="Uso prioritario",'Hoja 4 - Cálculo'!I37+'Hoja 4 - Cálculo'!K37,'Hoja 4 - Cálculo'!I37+'Hoja 4 - Cálculo'!J37+'Hoja 4 - Cálculo'!K37)))</f>
        <v>16</v>
      </c>
      <c r="I856" s="15">
        <f t="shared" si="190"/>
        <v>16</v>
      </c>
      <c r="J856" s="15">
        <f t="shared" si="197"/>
        <v>2.0089700000000015</v>
      </c>
      <c r="K856" s="15">
        <f>MIN(J856+G856,(J856+G856)*'Hoja 4 - Cálculo'!$B$15)</f>
        <v>0.31634440000000003</v>
      </c>
      <c r="L856" s="15">
        <f t="shared" si="191"/>
        <v>15.500875600000001</v>
      </c>
      <c r="M856" s="15">
        <f t="shared" si="192"/>
        <v>15.500875600000001</v>
      </c>
      <c r="N856" s="15">
        <f t="shared" si="193"/>
        <v>0</v>
      </c>
      <c r="O856" s="15">
        <f t="shared" si="194"/>
        <v>0</v>
      </c>
      <c r="P856" s="15">
        <f t="shared" si="195"/>
        <v>0.49912439999999947</v>
      </c>
      <c r="Q856" s="14" t="str">
        <f>IF(M856&gt;=I856*'Hoja 4 - Cálculo'!$B$16,"Satisfactorio","Falla")</f>
        <v>Falla</v>
      </c>
      <c r="R856" s="14">
        <f t="shared" si="198"/>
        <v>0</v>
      </c>
      <c r="S856" s="14">
        <f t="shared" si="199"/>
        <v>1</v>
      </c>
    </row>
    <row r="857" spans="1:19">
      <c r="A857" s="14" t="str">
        <f t="shared" si="196"/>
        <v>SRY-3-2</v>
      </c>
      <c r="B857" s="15">
        <f>'Curvas SRY'!$B$10</f>
        <v>3</v>
      </c>
      <c r="C857" s="15">
        <f>'Curvas SRY'!$E$9</f>
        <v>1</v>
      </c>
      <c r="D857" s="14" t="str">
        <f>'Curvas SRY'!$B$14</f>
        <v>Uso variable</v>
      </c>
      <c r="E857" s="14">
        <f>14</f>
        <v>14</v>
      </c>
      <c r="F857" s="21">
        <f>'Hoja 4 - Cálculo'!A38</f>
        <v>29983</v>
      </c>
      <c r="G857" s="15">
        <f>'Hoja 4 - Cálculo'!H38</f>
        <v>15.472125</v>
      </c>
      <c r="H857" s="15">
        <f>IF(D857="Uso único",'Hoja 4 - Cálculo'!I38,IF(D857="Uso múltiple",AVERAGE('Hoja 4 - Cálculo'!$I$25:$I$384)+AVERAGE('Hoja 4 - Cálculo'!$J$25:$J$384)+AVERAGE('Hoja 4 - Cálculo'!$K$25:$K$384),IF(D857="Uso prioritario",'Hoja 4 - Cálculo'!I38+'Hoja 4 - Cálculo'!K38,'Hoja 4 - Cálculo'!I38+'Hoja 4 - Cálculo'!J38+'Hoja 4 - Cálculo'!K38)))</f>
        <v>16</v>
      </c>
      <c r="I857" s="15">
        <f t="shared" si="190"/>
        <v>16</v>
      </c>
      <c r="J857" s="15">
        <f t="shared" si="197"/>
        <v>0</v>
      </c>
      <c r="K857" s="15">
        <f>MIN(J857+G857,(J857+G857)*'Hoja 4 - Cálculo'!$B$15)</f>
        <v>0.30944250000000001</v>
      </c>
      <c r="L857" s="15">
        <f t="shared" si="191"/>
        <v>15.162682500000001</v>
      </c>
      <c r="M857" s="15">
        <f t="shared" si="192"/>
        <v>15.162682500000001</v>
      </c>
      <c r="N857" s="15">
        <f t="shared" si="193"/>
        <v>0</v>
      </c>
      <c r="O857" s="15">
        <f t="shared" si="194"/>
        <v>0</v>
      </c>
      <c r="P857" s="15">
        <f t="shared" si="195"/>
        <v>0.83731749999999927</v>
      </c>
      <c r="Q857" s="14" t="str">
        <f>IF(M857&gt;=I857*'Hoja 4 - Cálculo'!$B$16,"Satisfactorio","Falla")</f>
        <v>Falla</v>
      </c>
      <c r="R857" s="14">
        <f t="shared" si="198"/>
        <v>0</v>
      </c>
      <c r="S857" s="14">
        <f t="shared" si="199"/>
        <v>0</v>
      </c>
    </row>
    <row r="858" spans="1:19">
      <c r="A858" s="14" t="str">
        <f t="shared" si="196"/>
        <v>SRY-3-2</v>
      </c>
      <c r="B858" s="15">
        <f>'Curvas SRY'!$B$10</f>
        <v>3</v>
      </c>
      <c r="C858" s="15">
        <f>'Curvas SRY'!$E$9</f>
        <v>1</v>
      </c>
      <c r="D858" s="14" t="str">
        <f>'Curvas SRY'!$B$14</f>
        <v>Uso variable</v>
      </c>
      <c r="E858" s="14">
        <f>15</f>
        <v>15</v>
      </c>
      <c r="F858" s="21">
        <f>'Hoja 4 - Cálculo'!A39</f>
        <v>30011</v>
      </c>
      <c r="G858" s="15">
        <f>'Hoja 4 - Cálculo'!H39</f>
        <v>22.338000000000001</v>
      </c>
      <c r="H858" s="15">
        <f>IF(D858="Uso único",'Hoja 4 - Cálculo'!I39,IF(D858="Uso múltiple",AVERAGE('Hoja 4 - Cálculo'!$I$25:$I$384)+AVERAGE('Hoja 4 - Cálculo'!$J$25:$J$384)+AVERAGE('Hoja 4 - Cálculo'!$K$25:$K$384),IF(D858="Uso prioritario",'Hoja 4 - Cálculo'!I39+'Hoja 4 - Cálculo'!K39,'Hoja 4 - Cálculo'!I39+'Hoja 4 - Cálculo'!J39+'Hoja 4 - Cálculo'!K39)))</f>
        <v>16</v>
      </c>
      <c r="I858" s="15">
        <f t="shared" si="190"/>
        <v>16</v>
      </c>
      <c r="J858" s="15">
        <f t="shared" si="197"/>
        <v>0</v>
      </c>
      <c r="K858" s="15">
        <f>MIN(J858+G858,(J858+G858)*'Hoja 4 - Cálculo'!$B$15)</f>
        <v>0.44676000000000005</v>
      </c>
      <c r="L858" s="15">
        <f t="shared" si="191"/>
        <v>21.89124</v>
      </c>
      <c r="M858" s="15">
        <f t="shared" si="192"/>
        <v>16</v>
      </c>
      <c r="N858" s="15">
        <f t="shared" si="193"/>
        <v>3</v>
      </c>
      <c r="O858" s="15">
        <f t="shared" si="194"/>
        <v>2.8912399999999998</v>
      </c>
      <c r="P858" s="15">
        <f t="shared" si="195"/>
        <v>0</v>
      </c>
      <c r="Q858" s="14" t="str">
        <f>IF(M858&gt;=I858*'Hoja 4 - Cálculo'!$B$16,"Satisfactorio","Falla")</f>
        <v>Satisfactorio</v>
      </c>
      <c r="R858" s="14">
        <f t="shared" si="198"/>
        <v>1</v>
      </c>
      <c r="S858" s="14">
        <f t="shared" si="199"/>
        <v>0</v>
      </c>
    </row>
    <row r="859" spans="1:19">
      <c r="A859" s="14" t="str">
        <f t="shared" si="196"/>
        <v>SRY-3-2</v>
      </c>
      <c r="B859" s="15">
        <f>'Curvas SRY'!$B$10</f>
        <v>3</v>
      </c>
      <c r="C859" s="15">
        <f>'Curvas SRY'!$E$9</f>
        <v>1</v>
      </c>
      <c r="D859" s="14" t="str">
        <f>'Curvas SRY'!$B$14</f>
        <v>Uso variable</v>
      </c>
      <c r="E859" s="14">
        <f>16</f>
        <v>16</v>
      </c>
      <c r="F859" s="21">
        <f>'Hoja 4 - Cálculo'!A40</f>
        <v>30042</v>
      </c>
      <c r="G859" s="15">
        <f>'Hoja 4 - Cálculo'!H40</f>
        <v>31.670999999999999</v>
      </c>
      <c r="H859" s="15">
        <f>IF(D859="Uso único",'Hoja 4 - Cálculo'!I40,IF(D859="Uso múltiple",AVERAGE('Hoja 4 - Cálculo'!$I$25:$I$384)+AVERAGE('Hoja 4 - Cálculo'!$J$25:$J$384)+AVERAGE('Hoja 4 - Cálculo'!$K$25:$K$384),IF(D859="Uso prioritario",'Hoja 4 - Cálculo'!I40+'Hoja 4 - Cálculo'!K40,'Hoja 4 - Cálculo'!I40+'Hoja 4 - Cálculo'!J40+'Hoja 4 - Cálculo'!K40)))</f>
        <v>11.5</v>
      </c>
      <c r="I859" s="15">
        <f t="shared" si="190"/>
        <v>11.5</v>
      </c>
      <c r="J859" s="15">
        <f t="shared" si="197"/>
        <v>3</v>
      </c>
      <c r="K859" s="15">
        <f>MIN(J859+G859,(J859+G859)*'Hoja 4 - Cálculo'!$B$15)</f>
        <v>0.69342000000000004</v>
      </c>
      <c r="L859" s="15">
        <f t="shared" si="191"/>
        <v>33.977579999999996</v>
      </c>
      <c r="M859" s="15">
        <f t="shared" si="192"/>
        <v>11.5</v>
      </c>
      <c r="N859" s="15">
        <f t="shared" si="193"/>
        <v>3</v>
      </c>
      <c r="O859" s="15">
        <f t="shared" si="194"/>
        <v>19.477579999999996</v>
      </c>
      <c r="P859" s="15">
        <f t="shared" si="195"/>
        <v>0</v>
      </c>
      <c r="Q859" s="14" t="str">
        <f>IF(M859&gt;=I859*'Hoja 4 - Cálculo'!$B$16,"Satisfactorio","Falla")</f>
        <v>Satisfactorio</v>
      </c>
      <c r="R859" s="14">
        <f t="shared" si="198"/>
        <v>0</v>
      </c>
      <c r="S859" s="14">
        <f t="shared" si="199"/>
        <v>0</v>
      </c>
    </row>
    <row r="860" spans="1:19">
      <c r="A860" s="14" t="str">
        <f t="shared" si="196"/>
        <v>SRY-3-2</v>
      </c>
      <c r="B860" s="15">
        <f>'Curvas SRY'!$B$10</f>
        <v>3</v>
      </c>
      <c r="C860" s="15">
        <f>'Curvas SRY'!$E$9</f>
        <v>1</v>
      </c>
      <c r="D860" s="14" t="str">
        <f>'Curvas SRY'!$B$14</f>
        <v>Uso variable</v>
      </c>
      <c r="E860" s="14">
        <f>17</f>
        <v>17</v>
      </c>
      <c r="F860" s="21">
        <f>'Hoja 4 - Cálculo'!A41</f>
        <v>30072</v>
      </c>
      <c r="G860" s="15">
        <f>'Hoja 4 - Cálculo'!H41</f>
        <v>29.299499999999998</v>
      </c>
      <c r="H860" s="15">
        <f>IF(D860="Uso único",'Hoja 4 - Cálculo'!I41,IF(D860="Uso múltiple",AVERAGE('Hoja 4 - Cálculo'!$I$25:$I$384)+AVERAGE('Hoja 4 - Cálculo'!$J$25:$J$384)+AVERAGE('Hoja 4 - Cálculo'!$K$25:$K$384),IF(D860="Uso prioritario",'Hoja 4 - Cálculo'!I41+'Hoja 4 - Cálculo'!K41,'Hoja 4 - Cálculo'!I41+'Hoja 4 - Cálculo'!J41+'Hoja 4 - Cálculo'!K41)))</f>
        <v>11.5</v>
      </c>
      <c r="I860" s="15">
        <f t="shared" si="190"/>
        <v>11.5</v>
      </c>
      <c r="J860" s="15">
        <f t="shared" si="197"/>
        <v>3</v>
      </c>
      <c r="K860" s="15">
        <f>MIN(J860+G860,(J860+G860)*'Hoja 4 - Cálculo'!$B$15)</f>
        <v>0.64598999999999995</v>
      </c>
      <c r="L860" s="15">
        <f t="shared" si="191"/>
        <v>31.653509999999994</v>
      </c>
      <c r="M860" s="15">
        <f t="shared" si="192"/>
        <v>11.5</v>
      </c>
      <c r="N860" s="15">
        <f t="shared" si="193"/>
        <v>3</v>
      </c>
      <c r="O860" s="15">
        <f t="shared" si="194"/>
        <v>17.153509999999994</v>
      </c>
      <c r="P860" s="15">
        <f t="shared" si="195"/>
        <v>0</v>
      </c>
      <c r="Q860" s="14" t="str">
        <f>IF(M860&gt;=I860*'Hoja 4 - Cálculo'!$B$16,"Satisfactorio","Falla")</f>
        <v>Satisfactorio</v>
      </c>
      <c r="R860" s="14">
        <f t="shared" si="198"/>
        <v>0</v>
      </c>
      <c r="S860" s="14">
        <f t="shared" si="199"/>
        <v>0</v>
      </c>
    </row>
    <row r="861" spans="1:19">
      <c r="A861" s="14" t="str">
        <f t="shared" si="196"/>
        <v>SRY-3-2</v>
      </c>
      <c r="B861" s="15">
        <f>'Curvas SRY'!$B$10</f>
        <v>3</v>
      </c>
      <c r="C861" s="15">
        <f>'Curvas SRY'!$E$9</f>
        <v>1</v>
      </c>
      <c r="D861" s="14" t="str">
        <f>'Curvas SRY'!$B$14</f>
        <v>Uso variable</v>
      </c>
      <c r="E861" s="14">
        <f>18</f>
        <v>18</v>
      </c>
      <c r="F861" s="21">
        <f>'Hoja 4 - Cálculo'!A42</f>
        <v>30103</v>
      </c>
      <c r="G861" s="15">
        <f>'Hoja 4 - Cálculo'!H42</f>
        <v>18.321750000000002</v>
      </c>
      <c r="H861" s="15">
        <f>IF(D861="Uso único",'Hoja 4 - Cálculo'!I42,IF(D861="Uso múltiple",AVERAGE('Hoja 4 - Cálculo'!$I$25:$I$384)+AVERAGE('Hoja 4 - Cálculo'!$J$25:$J$384)+AVERAGE('Hoja 4 - Cálculo'!$K$25:$K$384),IF(D861="Uso prioritario",'Hoja 4 - Cálculo'!I42+'Hoja 4 - Cálculo'!K42,'Hoja 4 - Cálculo'!I42+'Hoja 4 - Cálculo'!J42+'Hoja 4 - Cálculo'!K42)))</f>
        <v>11.5</v>
      </c>
      <c r="I861" s="15">
        <f t="shared" si="190"/>
        <v>11.5</v>
      </c>
      <c r="J861" s="15">
        <f t="shared" si="197"/>
        <v>3</v>
      </c>
      <c r="K861" s="15">
        <f>MIN(J861+G861,(J861+G861)*'Hoja 4 - Cálculo'!$B$15)</f>
        <v>0.42643500000000006</v>
      </c>
      <c r="L861" s="15">
        <f t="shared" si="191"/>
        <v>20.895315</v>
      </c>
      <c r="M861" s="15">
        <f t="shared" si="192"/>
        <v>11.5</v>
      </c>
      <c r="N861" s="15">
        <f t="shared" si="193"/>
        <v>3</v>
      </c>
      <c r="O861" s="15">
        <f t="shared" si="194"/>
        <v>6.3953150000000001</v>
      </c>
      <c r="P861" s="15">
        <f t="shared" si="195"/>
        <v>0</v>
      </c>
      <c r="Q861" s="14" t="str">
        <f>IF(M861&gt;=I861*'Hoja 4 - Cálculo'!$B$16,"Satisfactorio","Falla")</f>
        <v>Satisfactorio</v>
      </c>
      <c r="R861" s="14">
        <f t="shared" si="198"/>
        <v>0</v>
      </c>
      <c r="S861" s="14">
        <f t="shared" si="199"/>
        <v>0</v>
      </c>
    </row>
    <row r="862" spans="1:19">
      <c r="A862" s="14" t="str">
        <f t="shared" si="196"/>
        <v>SRY-3-2</v>
      </c>
      <c r="B862" s="15">
        <f>'Curvas SRY'!$B$10</f>
        <v>3</v>
      </c>
      <c r="C862" s="15">
        <f>'Curvas SRY'!$E$9</f>
        <v>1</v>
      </c>
      <c r="D862" s="14" t="str">
        <f>'Curvas SRY'!$B$14</f>
        <v>Uso variable</v>
      </c>
      <c r="E862" s="14">
        <f>19</f>
        <v>19</v>
      </c>
      <c r="F862" s="21">
        <f>'Hoja 4 - Cálculo'!A43</f>
        <v>30133</v>
      </c>
      <c r="G862" s="15">
        <f>'Hoja 4 - Cálculo'!H43</f>
        <v>15.3765</v>
      </c>
      <c r="H862" s="15">
        <f>IF(D862="Uso único",'Hoja 4 - Cálculo'!I43,IF(D862="Uso múltiple",AVERAGE('Hoja 4 - Cálculo'!$I$25:$I$384)+AVERAGE('Hoja 4 - Cálculo'!$J$25:$J$384)+AVERAGE('Hoja 4 - Cálculo'!$K$25:$K$384),IF(D862="Uso prioritario",'Hoja 4 - Cálculo'!I43+'Hoja 4 - Cálculo'!K43,'Hoja 4 - Cálculo'!I43+'Hoja 4 - Cálculo'!J43+'Hoja 4 - Cálculo'!K43)))</f>
        <v>16</v>
      </c>
      <c r="I862" s="15">
        <f t="shared" si="190"/>
        <v>16</v>
      </c>
      <c r="J862" s="15">
        <f t="shared" si="197"/>
        <v>3</v>
      </c>
      <c r="K862" s="15">
        <f>MIN(J862+G862,(J862+G862)*'Hoja 4 - Cálculo'!$B$15)</f>
        <v>0.36753000000000002</v>
      </c>
      <c r="L862" s="15">
        <f t="shared" si="191"/>
        <v>18.008970000000001</v>
      </c>
      <c r="M862" s="15">
        <f t="shared" si="192"/>
        <v>16</v>
      </c>
      <c r="N862" s="15">
        <f t="shared" si="193"/>
        <v>2.0089700000000015</v>
      </c>
      <c r="O862" s="15">
        <f t="shared" si="194"/>
        <v>0</v>
      </c>
      <c r="P862" s="15">
        <f t="shared" si="195"/>
        <v>0</v>
      </c>
      <c r="Q862" s="14" t="str">
        <f>IF(M862&gt;=I862*'Hoja 4 - Cálculo'!$B$16,"Satisfactorio","Falla")</f>
        <v>Satisfactorio</v>
      </c>
      <c r="R862" s="14">
        <f t="shared" si="198"/>
        <v>0</v>
      </c>
      <c r="S862" s="14">
        <f t="shared" si="199"/>
        <v>0</v>
      </c>
    </row>
    <row r="863" spans="1:19">
      <c r="A863" s="14" t="str">
        <f t="shared" si="196"/>
        <v>SRY-3-2</v>
      </c>
      <c r="B863" s="15">
        <f>'Curvas SRY'!$B$10</f>
        <v>3</v>
      </c>
      <c r="C863" s="15">
        <f>'Curvas SRY'!$E$9</f>
        <v>1</v>
      </c>
      <c r="D863" s="14" t="str">
        <f>'Curvas SRY'!$B$14</f>
        <v>Uso variable</v>
      </c>
      <c r="E863" s="14">
        <f>20</f>
        <v>20</v>
      </c>
      <c r="F863" s="21">
        <f>'Hoja 4 - Cálculo'!A44</f>
        <v>30164</v>
      </c>
      <c r="G863" s="15">
        <f>'Hoja 4 - Cálculo'!H44</f>
        <v>16.466625000000001</v>
      </c>
      <c r="H863" s="15">
        <f>IF(D863="Uso único",'Hoja 4 - Cálculo'!I44,IF(D863="Uso múltiple",AVERAGE('Hoja 4 - Cálculo'!$I$25:$I$384)+AVERAGE('Hoja 4 - Cálculo'!$J$25:$J$384)+AVERAGE('Hoja 4 - Cálculo'!$K$25:$K$384),IF(D863="Uso prioritario",'Hoja 4 - Cálculo'!I44+'Hoja 4 - Cálculo'!K44,'Hoja 4 - Cálculo'!I44+'Hoja 4 - Cálculo'!J44+'Hoja 4 - Cálculo'!K44)))</f>
        <v>16</v>
      </c>
      <c r="I863" s="15">
        <f t="shared" si="190"/>
        <v>16</v>
      </c>
      <c r="J863" s="15">
        <f t="shared" si="197"/>
        <v>2.0089700000000015</v>
      </c>
      <c r="K863" s="15">
        <f>MIN(J863+G863,(J863+G863)*'Hoja 4 - Cálculo'!$B$15)</f>
        <v>0.36951190000000006</v>
      </c>
      <c r="L863" s="15">
        <f t="shared" si="191"/>
        <v>18.106083100000003</v>
      </c>
      <c r="M863" s="15">
        <f t="shared" si="192"/>
        <v>16</v>
      </c>
      <c r="N863" s="15">
        <f t="shared" si="193"/>
        <v>2.1060831000000029</v>
      </c>
      <c r="O863" s="15">
        <f t="shared" si="194"/>
        <v>0</v>
      </c>
      <c r="P863" s="15">
        <f t="shared" si="195"/>
        <v>0</v>
      </c>
      <c r="Q863" s="14" t="str">
        <f>IF(M863&gt;=I863*'Hoja 4 - Cálculo'!$B$16,"Satisfactorio","Falla")</f>
        <v>Satisfactorio</v>
      </c>
      <c r="R863" s="14">
        <f t="shared" si="198"/>
        <v>0</v>
      </c>
      <c r="S863" s="14">
        <f t="shared" si="199"/>
        <v>0</v>
      </c>
    </row>
    <row r="864" spans="1:19">
      <c r="A864" s="14" t="str">
        <f t="shared" si="196"/>
        <v>SRY-3-2</v>
      </c>
      <c r="B864" s="15">
        <f>'Curvas SRY'!$B$10</f>
        <v>3</v>
      </c>
      <c r="C864" s="15">
        <f>'Curvas SRY'!$E$9</f>
        <v>1</v>
      </c>
      <c r="D864" s="14" t="str">
        <f>'Curvas SRY'!$B$14</f>
        <v>Uso variable</v>
      </c>
      <c r="E864" s="14">
        <f>21</f>
        <v>21</v>
      </c>
      <c r="F864" s="21">
        <f>'Hoja 4 - Cálculo'!A45</f>
        <v>30195</v>
      </c>
      <c r="G864" s="15">
        <f>'Hoja 4 - Cálculo'!H45</f>
        <v>25.837875</v>
      </c>
      <c r="H864" s="15">
        <f>IF(D864="Uso único",'Hoja 4 - Cálculo'!I45,IF(D864="Uso múltiple",AVERAGE('Hoja 4 - Cálculo'!$I$25:$I$384)+AVERAGE('Hoja 4 - Cálculo'!$J$25:$J$384)+AVERAGE('Hoja 4 - Cálculo'!$K$25:$K$384),IF(D864="Uso prioritario",'Hoja 4 - Cálculo'!I45+'Hoja 4 - Cálculo'!K45,'Hoja 4 - Cálculo'!I45+'Hoja 4 - Cálculo'!J45+'Hoja 4 - Cálculo'!K45)))</f>
        <v>11.5</v>
      </c>
      <c r="I864" s="15">
        <f t="shared" si="190"/>
        <v>11.5</v>
      </c>
      <c r="J864" s="15">
        <f t="shared" si="197"/>
        <v>2.1060831000000029</v>
      </c>
      <c r="K864" s="15">
        <f>MIN(J864+G864,(J864+G864)*'Hoja 4 - Cálculo'!$B$15)</f>
        <v>0.5588791620000001</v>
      </c>
      <c r="L864" s="15">
        <f t="shared" si="191"/>
        <v>27.385078938000003</v>
      </c>
      <c r="M864" s="15">
        <f t="shared" si="192"/>
        <v>11.5</v>
      </c>
      <c r="N864" s="15">
        <f t="shared" si="193"/>
        <v>3</v>
      </c>
      <c r="O864" s="15">
        <f t="shared" si="194"/>
        <v>12.885078938000003</v>
      </c>
      <c r="P864" s="15">
        <f t="shared" si="195"/>
        <v>0</v>
      </c>
      <c r="Q864" s="14" t="str">
        <f>IF(M864&gt;=I864*'Hoja 4 - Cálculo'!$B$16,"Satisfactorio","Falla")</f>
        <v>Satisfactorio</v>
      </c>
      <c r="R864" s="14">
        <f t="shared" si="198"/>
        <v>0</v>
      </c>
      <c r="S864" s="14">
        <f t="shared" si="199"/>
        <v>0</v>
      </c>
    </row>
    <row r="865" spans="1:19">
      <c r="A865" s="14" t="str">
        <f t="shared" si="196"/>
        <v>SRY-3-2</v>
      </c>
      <c r="B865" s="15">
        <f>'Curvas SRY'!$B$10</f>
        <v>3</v>
      </c>
      <c r="C865" s="15">
        <f>'Curvas SRY'!$E$9</f>
        <v>1</v>
      </c>
      <c r="D865" s="14" t="str">
        <f>'Curvas SRY'!$B$14</f>
        <v>Uso variable</v>
      </c>
      <c r="E865" s="14">
        <f>22</f>
        <v>22</v>
      </c>
      <c r="F865" s="21">
        <f>'Hoja 4 - Cálculo'!A46</f>
        <v>30225</v>
      </c>
      <c r="G865" s="15">
        <f>'Hoja 4 - Cálculo'!H46</f>
        <v>33.46875</v>
      </c>
      <c r="H865" s="15">
        <f>IF(D865="Uso único",'Hoja 4 - Cálculo'!I46,IF(D865="Uso múltiple",AVERAGE('Hoja 4 - Cálculo'!$I$25:$I$384)+AVERAGE('Hoja 4 - Cálculo'!$J$25:$J$384)+AVERAGE('Hoja 4 - Cálculo'!$K$25:$K$384),IF(D865="Uso prioritario",'Hoja 4 - Cálculo'!I46+'Hoja 4 - Cálculo'!K46,'Hoja 4 - Cálculo'!I46+'Hoja 4 - Cálculo'!J46+'Hoja 4 - Cálculo'!K46)))</f>
        <v>11.5</v>
      </c>
      <c r="I865" s="15">
        <f t="shared" si="190"/>
        <v>11.5</v>
      </c>
      <c r="J865" s="15">
        <f t="shared" si="197"/>
        <v>3</v>
      </c>
      <c r="K865" s="15">
        <f>MIN(J865+G865,(J865+G865)*'Hoja 4 - Cálculo'!$B$15)</f>
        <v>0.729375</v>
      </c>
      <c r="L865" s="15">
        <f t="shared" si="191"/>
        <v>35.739375000000003</v>
      </c>
      <c r="M865" s="15">
        <f t="shared" si="192"/>
        <v>11.5</v>
      </c>
      <c r="N865" s="15">
        <f t="shared" si="193"/>
        <v>3</v>
      </c>
      <c r="O865" s="15">
        <f t="shared" si="194"/>
        <v>21.239375000000003</v>
      </c>
      <c r="P865" s="15">
        <f t="shared" si="195"/>
        <v>0</v>
      </c>
      <c r="Q865" s="14" t="str">
        <f>IF(M865&gt;=I865*'Hoja 4 - Cálculo'!$B$16,"Satisfactorio","Falla")</f>
        <v>Satisfactorio</v>
      </c>
      <c r="R865" s="14">
        <f t="shared" si="198"/>
        <v>0</v>
      </c>
      <c r="S865" s="14">
        <f t="shared" si="199"/>
        <v>0</v>
      </c>
    </row>
    <row r="866" spans="1:19">
      <c r="A866" s="14" t="str">
        <f t="shared" si="196"/>
        <v>SRY-3-2</v>
      </c>
      <c r="B866" s="15">
        <f>'Curvas SRY'!$B$10</f>
        <v>3</v>
      </c>
      <c r="C866" s="15">
        <f>'Curvas SRY'!$E$9</f>
        <v>1</v>
      </c>
      <c r="D866" s="14" t="str">
        <f>'Curvas SRY'!$B$14</f>
        <v>Uso variable</v>
      </c>
      <c r="E866" s="14">
        <f>23</f>
        <v>23</v>
      </c>
      <c r="F866" s="21">
        <f>'Hoja 4 - Cálculo'!A47</f>
        <v>30256</v>
      </c>
      <c r="G866" s="15">
        <f>'Hoja 4 - Cálculo'!H47</f>
        <v>27.578250000000001</v>
      </c>
      <c r="H866" s="15">
        <f>IF(D866="Uso único",'Hoja 4 - Cálculo'!I47,IF(D866="Uso múltiple",AVERAGE('Hoja 4 - Cálculo'!$I$25:$I$384)+AVERAGE('Hoja 4 - Cálculo'!$J$25:$J$384)+AVERAGE('Hoja 4 - Cálculo'!$K$25:$K$384),IF(D866="Uso prioritario",'Hoja 4 - Cálculo'!I47+'Hoja 4 - Cálculo'!K47,'Hoja 4 - Cálculo'!I47+'Hoja 4 - Cálculo'!J47+'Hoja 4 - Cálculo'!K47)))</f>
        <v>11.5</v>
      </c>
      <c r="I866" s="15">
        <f t="shared" si="190"/>
        <v>11.5</v>
      </c>
      <c r="J866" s="15">
        <f t="shared" si="197"/>
        <v>3</v>
      </c>
      <c r="K866" s="15">
        <f>MIN(J866+G866,(J866+G866)*'Hoja 4 - Cálculo'!$B$15)</f>
        <v>0.61156500000000003</v>
      </c>
      <c r="L866" s="15">
        <f t="shared" si="191"/>
        <v>29.966685000000002</v>
      </c>
      <c r="M866" s="15">
        <f t="shared" si="192"/>
        <v>11.5</v>
      </c>
      <c r="N866" s="15">
        <f t="shared" si="193"/>
        <v>3</v>
      </c>
      <c r="O866" s="15">
        <f t="shared" si="194"/>
        <v>15.466685000000002</v>
      </c>
      <c r="P866" s="15">
        <f t="shared" si="195"/>
        <v>0</v>
      </c>
      <c r="Q866" s="14" t="str">
        <f>IF(M866&gt;=I866*'Hoja 4 - Cálculo'!$B$16,"Satisfactorio","Falla")</f>
        <v>Satisfactorio</v>
      </c>
      <c r="R866" s="14">
        <f t="shared" si="198"/>
        <v>0</v>
      </c>
      <c r="S866" s="14">
        <f t="shared" si="199"/>
        <v>0</v>
      </c>
    </row>
    <row r="867" spans="1:19">
      <c r="A867" s="14" t="str">
        <f t="shared" si="196"/>
        <v>SRY-3-2</v>
      </c>
      <c r="B867" s="15">
        <f>'Curvas SRY'!$B$10</f>
        <v>3</v>
      </c>
      <c r="C867" s="15">
        <f>'Curvas SRY'!$E$9</f>
        <v>1</v>
      </c>
      <c r="D867" s="14" t="str">
        <f>'Curvas SRY'!$B$14</f>
        <v>Uso variable</v>
      </c>
      <c r="E867" s="14">
        <f>24</f>
        <v>24</v>
      </c>
      <c r="F867" s="21">
        <f>'Hoja 4 - Cálculo'!A48</f>
        <v>30286</v>
      </c>
      <c r="G867" s="15">
        <f>'Hoja 4 - Cálculo'!H48</f>
        <v>16.256250000000001</v>
      </c>
      <c r="H867" s="15">
        <f>IF(D867="Uso único",'Hoja 4 - Cálculo'!I48,IF(D867="Uso múltiple",AVERAGE('Hoja 4 - Cálculo'!$I$25:$I$384)+AVERAGE('Hoja 4 - Cálculo'!$J$25:$J$384)+AVERAGE('Hoja 4 - Cálculo'!$K$25:$K$384),IF(D867="Uso prioritario",'Hoja 4 - Cálculo'!I48+'Hoja 4 - Cálculo'!K48,'Hoja 4 - Cálculo'!I48+'Hoja 4 - Cálculo'!J48+'Hoja 4 - Cálculo'!K48)))</f>
        <v>16</v>
      </c>
      <c r="I867" s="15">
        <f t="shared" si="190"/>
        <v>16</v>
      </c>
      <c r="J867" s="15">
        <f t="shared" si="197"/>
        <v>3</v>
      </c>
      <c r="K867" s="15">
        <f>MIN(J867+G867,(J867+G867)*'Hoja 4 - Cálculo'!$B$15)</f>
        <v>0.38512500000000005</v>
      </c>
      <c r="L867" s="15">
        <f t="shared" si="191"/>
        <v>18.871125000000003</v>
      </c>
      <c r="M867" s="15">
        <f t="shared" si="192"/>
        <v>16</v>
      </c>
      <c r="N867" s="15">
        <f t="shared" si="193"/>
        <v>2.8711250000000028</v>
      </c>
      <c r="O867" s="15">
        <f t="shared" si="194"/>
        <v>0</v>
      </c>
      <c r="P867" s="15">
        <f t="shared" si="195"/>
        <v>0</v>
      </c>
      <c r="Q867" s="14" t="str">
        <f>IF(M867&gt;=I867*'Hoja 4 - Cálculo'!$B$16,"Satisfactorio","Falla")</f>
        <v>Satisfactorio</v>
      </c>
      <c r="R867" s="14">
        <f t="shared" si="198"/>
        <v>0</v>
      </c>
      <c r="S867" s="14">
        <f t="shared" si="199"/>
        <v>0</v>
      </c>
    </row>
    <row r="868" spans="1:19">
      <c r="A868" s="14" t="str">
        <f t="shared" si="196"/>
        <v>SRY-3-2</v>
      </c>
      <c r="B868" s="15">
        <f>'Curvas SRY'!$B$10</f>
        <v>3</v>
      </c>
      <c r="C868" s="15">
        <f>'Curvas SRY'!$E$9</f>
        <v>1</v>
      </c>
      <c r="D868" s="14" t="str">
        <f>'Curvas SRY'!$B$14</f>
        <v>Uso variable</v>
      </c>
      <c r="E868" s="14">
        <f>25</f>
        <v>25</v>
      </c>
      <c r="F868" s="21">
        <f>'Hoja 4 - Cálculo'!A49</f>
        <v>30317</v>
      </c>
      <c r="G868" s="15">
        <f>'Hoja 4 - Cálculo'!H49</f>
        <v>12.775499999999999</v>
      </c>
      <c r="H868" s="15">
        <f>IF(D868="Uso único",'Hoja 4 - Cálculo'!I49,IF(D868="Uso múltiple",AVERAGE('Hoja 4 - Cálculo'!$I$25:$I$384)+AVERAGE('Hoja 4 - Cálculo'!$J$25:$J$384)+AVERAGE('Hoja 4 - Cálculo'!$K$25:$K$384),IF(D868="Uso prioritario",'Hoja 4 - Cálculo'!I49+'Hoja 4 - Cálculo'!K49,'Hoja 4 - Cálculo'!I49+'Hoja 4 - Cálculo'!J49+'Hoja 4 - Cálculo'!K49)))</f>
        <v>16</v>
      </c>
      <c r="I868" s="15">
        <f t="shared" si="190"/>
        <v>16</v>
      </c>
      <c r="J868" s="15">
        <f t="shared" si="197"/>
        <v>2.8711250000000028</v>
      </c>
      <c r="K868" s="15">
        <f>MIN(J868+G868,(J868+G868)*'Hoja 4 - Cálculo'!$B$15)</f>
        <v>0.31293250000000006</v>
      </c>
      <c r="L868" s="15">
        <f t="shared" si="191"/>
        <v>15.333692500000002</v>
      </c>
      <c r="M868" s="15">
        <f t="shared" si="192"/>
        <v>15.333692500000002</v>
      </c>
      <c r="N868" s="15">
        <f t="shared" si="193"/>
        <v>0</v>
      </c>
      <c r="O868" s="15">
        <f t="shared" si="194"/>
        <v>0</v>
      </c>
      <c r="P868" s="15">
        <f t="shared" si="195"/>
        <v>0.6663074999999985</v>
      </c>
      <c r="Q868" s="14" t="str">
        <f>IF(M868&gt;=I868*'Hoja 4 - Cálculo'!$B$16,"Satisfactorio","Falla")</f>
        <v>Falla</v>
      </c>
      <c r="R868" s="14">
        <f t="shared" si="198"/>
        <v>0</v>
      </c>
      <c r="S868" s="14">
        <f t="shared" si="199"/>
        <v>1</v>
      </c>
    </row>
    <row r="869" spans="1:19">
      <c r="A869" s="14" t="str">
        <f t="shared" si="196"/>
        <v>SRY-3-2</v>
      </c>
      <c r="B869" s="15">
        <f>'Curvas SRY'!$B$10</f>
        <v>3</v>
      </c>
      <c r="C869" s="15">
        <f>'Curvas SRY'!$E$9</f>
        <v>1</v>
      </c>
      <c r="D869" s="14" t="str">
        <f>'Curvas SRY'!$B$14</f>
        <v>Uso variable</v>
      </c>
      <c r="E869" s="14">
        <f>26</f>
        <v>26</v>
      </c>
      <c r="F869" s="21">
        <f>'Hoja 4 - Cálculo'!A50</f>
        <v>30348</v>
      </c>
      <c r="G869" s="15">
        <f>'Hoja 4 - Cálculo'!H50</f>
        <v>14.49675</v>
      </c>
      <c r="H869" s="15">
        <f>IF(D869="Uso único",'Hoja 4 - Cálculo'!I50,IF(D869="Uso múltiple",AVERAGE('Hoja 4 - Cálculo'!$I$25:$I$384)+AVERAGE('Hoja 4 - Cálculo'!$J$25:$J$384)+AVERAGE('Hoja 4 - Cálculo'!$K$25:$K$384),IF(D869="Uso prioritario",'Hoja 4 - Cálculo'!I50+'Hoja 4 - Cálculo'!K50,'Hoja 4 - Cálculo'!I50+'Hoja 4 - Cálculo'!J50+'Hoja 4 - Cálculo'!K50)))</f>
        <v>16</v>
      </c>
      <c r="I869" s="15">
        <f t="shared" si="190"/>
        <v>16</v>
      </c>
      <c r="J869" s="15">
        <f t="shared" si="197"/>
        <v>0</v>
      </c>
      <c r="K869" s="15">
        <f>MIN(J869+G869,(J869+G869)*'Hoja 4 - Cálculo'!$B$15)</f>
        <v>0.289935</v>
      </c>
      <c r="L869" s="15">
        <f t="shared" si="191"/>
        <v>14.206815000000001</v>
      </c>
      <c r="M869" s="15">
        <f t="shared" si="192"/>
        <v>14.206815000000001</v>
      </c>
      <c r="N869" s="15">
        <f t="shared" si="193"/>
        <v>0</v>
      </c>
      <c r="O869" s="15">
        <f t="shared" si="194"/>
        <v>0</v>
      </c>
      <c r="P869" s="15">
        <f t="shared" si="195"/>
        <v>1.7931849999999994</v>
      </c>
      <c r="Q869" s="14" t="str">
        <f>IF(M869&gt;=I869*'Hoja 4 - Cálculo'!$B$16,"Satisfactorio","Falla")</f>
        <v>Falla</v>
      </c>
      <c r="R869" s="14">
        <f t="shared" si="198"/>
        <v>0</v>
      </c>
      <c r="S869" s="14">
        <f t="shared" si="199"/>
        <v>0</v>
      </c>
    </row>
    <row r="870" spans="1:19">
      <c r="A870" s="14" t="str">
        <f t="shared" si="196"/>
        <v>SRY-3-2</v>
      </c>
      <c r="B870" s="15">
        <f>'Curvas SRY'!$B$10</f>
        <v>3</v>
      </c>
      <c r="C870" s="15">
        <f>'Curvas SRY'!$E$9</f>
        <v>1</v>
      </c>
      <c r="D870" s="14" t="str">
        <f>'Curvas SRY'!$B$14</f>
        <v>Uso variable</v>
      </c>
      <c r="E870" s="14">
        <f>27</f>
        <v>27</v>
      </c>
      <c r="F870" s="21">
        <f>'Hoja 4 - Cálculo'!A51</f>
        <v>30376</v>
      </c>
      <c r="G870" s="15">
        <f>'Hoja 4 - Cálculo'!H51</f>
        <v>21.936375000000002</v>
      </c>
      <c r="H870" s="15">
        <f>IF(D870="Uso único",'Hoja 4 - Cálculo'!I51,IF(D870="Uso múltiple",AVERAGE('Hoja 4 - Cálculo'!$I$25:$I$384)+AVERAGE('Hoja 4 - Cálculo'!$J$25:$J$384)+AVERAGE('Hoja 4 - Cálculo'!$K$25:$K$384),IF(D870="Uso prioritario",'Hoja 4 - Cálculo'!I51+'Hoja 4 - Cálculo'!K51,'Hoja 4 - Cálculo'!I51+'Hoja 4 - Cálculo'!J51+'Hoja 4 - Cálculo'!K51)))</f>
        <v>16</v>
      </c>
      <c r="I870" s="15">
        <f t="shared" si="190"/>
        <v>16</v>
      </c>
      <c r="J870" s="15">
        <f t="shared" si="197"/>
        <v>0</v>
      </c>
      <c r="K870" s="15">
        <f>MIN(J870+G870,(J870+G870)*'Hoja 4 - Cálculo'!$B$15)</f>
        <v>0.43872750000000005</v>
      </c>
      <c r="L870" s="15">
        <f t="shared" si="191"/>
        <v>21.497647500000003</v>
      </c>
      <c r="M870" s="15">
        <f t="shared" si="192"/>
        <v>16</v>
      </c>
      <c r="N870" s="15">
        <f t="shared" si="193"/>
        <v>3</v>
      </c>
      <c r="O870" s="15">
        <f t="shared" si="194"/>
        <v>2.4976475000000029</v>
      </c>
      <c r="P870" s="15">
        <f t="shared" si="195"/>
        <v>0</v>
      </c>
      <c r="Q870" s="14" t="str">
        <f>IF(M870&gt;=I870*'Hoja 4 - Cálculo'!$B$16,"Satisfactorio","Falla")</f>
        <v>Satisfactorio</v>
      </c>
      <c r="R870" s="14">
        <f t="shared" si="198"/>
        <v>1</v>
      </c>
      <c r="S870" s="14">
        <f t="shared" si="199"/>
        <v>0</v>
      </c>
    </row>
    <row r="871" spans="1:19">
      <c r="A871" s="14" t="str">
        <f t="shared" si="196"/>
        <v>SRY-3-2</v>
      </c>
      <c r="B871" s="15">
        <f>'Curvas SRY'!$B$10</f>
        <v>3</v>
      </c>
      <c r="C871" s="15">
        <f>'Curvas SRY'!$E$9</f>
        <v>1</v>
      </c>
      <c r="D871" s="14" t="str">
        <f>'Curvas SRY'!$B$14</f>
        <v>Uso variable</v>
      </c>
      <c r="E871" s="14">
        <f>28</f>
        <v>28</v>
      </c>
      <c r="F871" s="21">
        <f>'Hoja 4 - Cálculo'!A52</f>
        <v>30407</v>
      </c>
      <c r="G871" s="15">
        <f>'Hoja 4 - Cálculo'!H52</f>
        <v>32.263874999999999</v>
      </c>
      <c r="H871" s="15">
        <f>IF(D871="Uso único",'Hoja 4 - Cálculo'!I52,IF(D871="Uso múltiple",AVERAGE('Hoja 4 - Cálculo'!$I$25:$I$384)+AVERAGE('Hoja 4 - Cálculo'!$J$25:$J$384)+AVERAGE('Hoja 4 - Cálculo'!$K$25:$K$384),IF(D871="Uso prioritario",'Hoja 4 - Cálculo'!I52+'Hoja 4 - Cálculo'!K52,'Hoja 4 - Cálculo'!I52+'Hoja 4 - Cálculo'!J52+'Hoja 4 - Cálculo'!K52)))</f>
        <v>11.5</v>
      </c>
      <c r="I871" s="15">
        <f t="shared" si="190"/>
        <v>11.5</v>
      </c>
      <c r="J871" s="15">
        <f t="shared" si="197"/>
        <v>3</v>
      </c>
      <c r="K871" s="15">
        <f>MIN(J871+G871,(J871+G871)*'Hoja 4 - Cálculo'!$B$15)</f>
        <v>0.7052775</v>
      </c>
      <c r="L871" s="15">
        <f t="shared" si="191"/>
        <v>34.558597499999998</v>
      </c>
      <c r="M871" s="15">
        <f t="shared" si="192"/>
        <v>11.5</v>
      </c>
      <c r="N871" s="15">
        <f t="shared" si="193"/>
        <v>3</v>
      </c>
      <c r="O871" s="15">
        <f t="shared" si="194"/>
        <v>20.058597499999998</v>
      </c>
      <c r="P871" s="15">
        <f t="shared" si="195"/>
        <v>0</v>
      </c>
      <c r="Q871" s="14" t="str">
        <f>IF(M871&gt;=I871*'Hoja 4 - Cálculo'!$B$16,"Satisfactorio","Falla")</f>
        <v>Satisfactorio</v>
      </c>
      <c r="R871" s="14">
        <f t="shared" si="198"/>
        <v>0</v>
      </c>
      <c r="S871" s="14">
        <f t="shared" si="199"/>
        <v>0</v>
      </c>
    </row>
    <row r="872" spans="1:19">
      <c r="A872" s="14" t="str">
        <f t="shared" si="196"/>
        <v>SRY-3-2</v>
      </c>
      <c r="B872" s="15">
        <f>'Curvas SRY'!$B$10</f>
        <v>3</v>
      </c>
      <c r="C872" s="15">
        <f>'Curvas SRY'!$E$9</f>
        <v>1</v>
      </c>
      <c r="D872" s="14" t="str">
        <f>'Curvas SRY'!$B$14</f>
        <v>Uso variable</v>
      </c>
      <c r="E872" s="14">
        <f>29</f>
        <v>29</v>
      </c>
      <c r="F872" s="21">
        <f>'Hoja 4 - Cálculo'!A53</f>
        <v>30437</v>
      </c>
      <c r="G872" s="15">
        <f>'Hoja 4 - Cálculo'!H53</f>
        <v>29.356874999999999</v>
      </c>
      <c r="H872" s="15">
        <f>IF(D872="Uso único",'Hoja 4 - Cálculo'!I53,IF(D872="Uso múltiple",AVERAGE('Hoja 4 - Cálculo'!$I$25:$I$384)+AVERAGE('Hoja 4 - Cálculo'!$J$25:$J$384)+AVERAGE('Hoja 4 - Cálculo'!$K$25:$K$384),IF(D872="Uso prioritario",'Hoja 4 - Cálculo'!I53+'Hoja 4 - Cálculo'!K53,'Hoja 4 - Cálculo'!I53+'Hoja 4 - Cálculo'!J53+'Hoja 4 - Cálculo'!K53)))</f>
        <v>11.5</v>
      </c>
      <c r="I872" s="15">
        <f t="shared" si="190"/>
        <v>11.5</v>
      </c>
      <c r="J872" s="15">
        <f t="shared" si="197"/>
        <v>3</v>
      </c>
      <c r="K872" s="15">
        <f>MIN(J872+G872,(J872+G872)*'Hoja 4 - Cálculo'!$B$15)</f>
        <v>0.64713750000000003</v>
      </c>
      <c r="L872" s="15">
        <f t="shared" si="191"/>
        <v>31.709737500000003</v>
      </c>
      <c r="M872" s="15">
        <f t="shared" si="192"/>
        <v>11.5</v>
      </c>
      <c r="N872" s="15">
        <f t="shared" si="193"/>
        <v>3</v>
      </c>
      <c r="O872" s="15">
        <f t="shared" si="194"/>
        <v>17.209737500000003</v>
      </c>
      <c r="P872" s="15">
        <f t="shared" si="195"/>
        <v>0</v>
      </c>
      <c r="Q872" s="14" t="str">
        <f>IF(M872&gt;=I872*'Hoja 4 - Cálculo'!$B$16,"Satisfactorio","Falla")</f>
        <v>Satisfactorio</v>
      </c>
      <c r="R872" s="14">
        <f t="shared" si="198"/>
        <v>0</v>
      </c>
      <c r="S872" s="14">
        <f t="shared" si="199"/>
        <v>0</v>
      </c>
    </row>
    <row r="873" spans="1:19">
      <c r="A873" s="14" t="str">
        <f t="shared" si="196"/>
        <v>SRY-3-2</v>
      </c>
      <c r="B873" s="15">
        <f>'Curvas SRY'!$B$10</f>
        <v>3</v>
      </c>
      <c r="C873" s="15">
        <f>'Curvas SRY'!$E$9</f>
        <v>1</v>
      </c>
      <c r="D873" s="14" t="str">
        <f>'Curvas SRY'!$B$14</f>
        <v>Uso variable</v>
      </c>
      <c r="E873" s="14">
        <f>30</f>
        <v>30</v>
      </c>
      <c r="F873" s="21">
        <f>'Hoja 4 - Cálculo'!A54</f>
        <v>30468</v>
      </c>
      <c r="G873" s="15">
        <f>'Hoja 4 - Cálculo'!H54</f>
        <v>17.212499999999999</v>
      </c>
      <c r="H873" s="15">
        <f>IF(D873="Uso único",'Hoja 4 - Cálculo'!I54,IF(D873="Uso múltiple",AVERAGE('Hoja 4 - Cálculo'!$I$25:$I$384)+AVERAGE('Hoja 4 - Cálculo'!$J$25:$J$384)+AVERAGE('Hoja 4 - Cálculo'!$K$25:$K$384),IF(D873="Uso prioritario",'Hoja 4 - Cálculo'!I54+'Hoja 4 - Cálculo'!K54,'Hoja 4 - Cálculo'!I54+'Hoja 4 - Cálculo'!J54+'Hoja 4 - Cálculo'!K54)))</f>
        <v>11.5</v>
      </c>
      <c r="I873" s="15">
        <f t="shared" si="190"/>
        <v>11.5</v>
      </c>
      <c r="J873" s="15">
        <f t="shared" si="197"/>
        <v>3</v>
      </c>
      <c r="K873" s="15">
        <f>MIN(J873+G873,(J873+G873)*'Hoja 4 - Cálculo'!$B$15)</f>
        <v>0.40425</v>
      </c>
      <c r="L873" s="15">
        <f t="shared" si="191"/>
        <v>19.808249999999997</v>
      </c>
      <c r="M873" s="15">
        <f t="shared" si="192"/>
        <v>11.5</v>
      </c>
      <c r="N873" s="15">
        <f t="shared" si="193"/>
        <v>3</v>
      </c>
      <c r="O873" s="15">
        <f t="shared" si="194"/>
        <v>5.3082499999999975</v>
      </c>
      <c r="P873" s="15">
        <f t="shared" si="195"/>
        <v>0</v>
      </c>
      <c r="Q873" s="14" t="str">
        <f>IF(M873&gt;=I873*'Hoja 4 - Cálculo'!$B$16,"Satisfactorio","Falla")</f>
        <v>Satisfactorio</v>
      </c>
      <c r="R873" s="14">
        <f t="shared" si="198"/>
        <v>0</v>
      </c>
      <c r="S873" s="14">
        <f t="shared" si="199"/>
        <v>0</v>
      </c>
    </row>
    <row r="874" spans="1:19">
      <c r="A874" s="14" t="str">
        <f t="shared" si="196"/>
        <v>SRY-3-2</v>
      </c>
      <c r="B874" s="15">
        <f>'Curvas SRY'!$B$10</f>
        <v>3</v>
      </c>
      <c r="C874" s="15">
        <f>'Curvas SRY'!$E$9</f>
        <v>1</v>
      </c>
      <c r="D874" s="14" t="str">
        <f>'Curvas SRY'!$B$14</f>
        <v>Uso variable</v>
      </c>
      <c r="E874" s="14">
        <f>31</f>
        <v>31</v>
      </c>
      <c r="F874" s="21">
        <f>'Hoja 4 - Cálculo'!A55</f>
        <v>30498</v>
      </c>
      <c r="G874" s="15">
        <f>'Hoja 4 - Cálculo'!H55</f>
        <v>13.597875</v>
      </c>
      <c r="H874" s="15">
        <f>IF(D874="Uso único",'Hoja 4 - Cálculo'!I55,IF(D874="Uso múltiple",AVERAGE('Hoja 4 - Cálculo'!$I$25:$I$384)+AVERAGE('Hoja 4 - Cálculo'!$J$25:$J$384)+AVERAGE('Hoja 4 - Cálculo'!$K$25:$K$384),IF(D874="Uso prioritario",'Hoja 4 - Cálculo'!I55+'Hoja 4 - Cálculo'!K55,'Hoja 4 - Cálculo'!I55+'Hoja 4 - Cálculo'!J55+'Hoja 4 - Cálculo'!K55)))</f>
        <v>16</v>
      </c>
      <c r="I874" s="15">
        <f t="shared" si="190"/>
        <v>16</v>
      </c>
      <c r="J874" s="15">
        <f t="shared" si="197"/>
        <v>3</v>
      </c>
      <c r="K874" s="15">
        <f>MIN(J874+G874,(J874+G874)*'Hoja 4 - Cálculo'!$B$15)</f>
        <v>0.33195750000000007</v>
      </c>
      <c r="L874" s="15">
        <f t="shared" si="191"/>
        <v>16.2659175</v>
      </c>
      <c r="M874" s="15">
        <f t="shared" si="192"/>
        <v>16</v>
      </c>
      <c r="N874" s="15">
        <f t="shared" si="193"/>
        <v>0.26591750000000047</v>
      </c>
      <c r="O874" s="15">
        <f t="shared" si="194"/>
        <v>0</v>
      </c>
      <c r="P874" s="15">
        <f t="shared" si="195"/>
        <v>0</v>
      </c>
      <c r="Q874" s="14" t="str">
        <f>IF(M874&gt;=I874*'Hoja 4 - Cálculo'!$B$16,"Satisfactorio","Falla")</f>
        <v>Satisfactorio</v>
      </c>
      <c r="R874" s="14">
        <f t="shared" si="198"/>
        <v>0</v>
      </c>
      <c r="S874" s="14">
        <f t="shared" si="199"/>
        <v>0</v>
      </c>
    </row>
    <row r="875" spans="1:19">
      <c r="A875" s="14" t="str">
        <f t="shared" si="196"/>
        <v>SRY-3-2</v>
      </c>
      <c r="B875" s="15">
        <f>'Curvas SRY'!$B$10</f>
        <v>3</v>
      </c>
      <c r="C875" s="15">
        <f>'Curvas SRY'!$E$9</f>
        <v>1</v>
      </c>
      <c r="D875" s="14" t="str">
        <f>'Curvas SRY'!$B$14</f>
        <v>Uso variable</v>
      </c>
      <c r="E875" s="14">
        <f>32</f>
        <v>32</v>
      </c>
      <c r="F875" s="21">
        <f>'Hoja 4 - Cálculo'!A56</f>
        <v>30529</v>
      </c>
      <c r="G875" s="15">
        <f>'Hoja 4 - Cálculo'!H56</f>
        <v>14.592375000000001</v>
      </c>
      <c r="H875" s="15">
        <f>IF(D875="Uso único",'Hoja 4 - Cálculo'!I56,IF(D875="Uso múltiple",AVERAGE('Hoja 4 - Cálculo'!$I$25:$I$384)+AVERAGE('Hoja 4 - Cálculo'!$J$25:$J$384)+AVERAGE('Hoja 4 - Cálculo'!$K$25:$K$384),IF(D875="Uso prioritario",'Hoja 4 - Cálculo'!I56+'Hoja 4 - Cálculo'!K56,'Hoja 4 - Cálculo'!I56+'Hoja 4 - Cálculo'!J56+'Hoja 4 - Cálculo'!K56)))</f>
        <v>16</v>
      </c>
      <c r="I875" s="15">
        <f t="shared" si="190"/>
        <v>16</v>
      </c>
      <c r="J875" s="15">
        <f t="shared" si="197"/>
        <v>0.26591750000000047</v>
      </c>
      <c r="K875" s="15">
        <f>MIN(J875+G875,(J875+G875)*'Hoja 4 - Cálculo'!$B$15)</f>
        <v>0.29716585000000001</v>
      </c>
      <c r="L875" s="15">
        <f t="shared" si="191"/>
        <v>14.56112665</v>
      </c>
      <c r="M875" s="15">
        <f t="shared" si="192"/>
        <v>14.56112665</v>
      </c>
      <c r="N875" s="15">
        <f t="shared" si="193"/>
        <v>0</v>
      </c>
      <c r="O875" s="15">
        <f t="shared" si="194"/>
        <v>0</v>
      </c>
      <c r="P875" s="15">
        <f t="shared" si="195"/>
        <v>1.4388733499999997</v>
      </c>
      <c r="Q875" s="14" t="str">
        <f>IF(M875&gt;=I875*'Hoja 4 - Cálculo'!$B$16,"Satisfactorio","Falla")</f>
        <v>Falla</v>
      </c>
      <c r="R875" s="14">
        <f t="shared" si="198"/>
        <v>0</v>
      </c>
      <c r="S875" s="14">
        <f t="shared" si="199"/>
        <v>1</v>
      </c>
    </row>
    <row r="876" spans="1:19">
      <c r="A876" s="14" t="str">
        <f t="shared" ref="A876:A907" si="200">"SRY-3-2"</f>
        <v>SRY-3-2</v>
      </c>
      <c r="B876" s="15">
        <f>'Curvas SRY'!$B$10</f>
        <v>3</v>
      </c>
      <c r="C876" s="15">
        <f>'Curvas SRY'!$E$9</f>
        <v>1</v>
      </c>
      <c r="D876" s="14" t="str">
        <f>'Curvas SRY'!$B$14</f>
        <v>Uso variable</v>
      </c>
      <c r="E876" s="14">
        <f>33</f>
        <v>33</v>
      </c>
      <c r="F876" s="21">
        <f>'Hoja 4 - Cálculo'!A57</f>
        <v>30560</v>
      </c>
      <c r="G876" s="15">
        <f>'Hoja 4 - Cálculo'!H57</f>
        <v>24.307874999999999</v>
      </c>
      <c r="H876" s="15">
        <f>IF(D876="Uso único",'Hoja 4 - Cálculo'!I57,IF(D876="Uso múltiple",AVERAGE('Hoja 4 - Cálculo'!$I$25:$I$384)+AVERAGE('Hoja 4 - Cálculo'!$J$25:$J$384)+AVERAGE('Hoja 4 - Cálculo'!$K$25:$K$384),IF(D876="Uso prioritario",'Hoja 4 - Cálculo'!I57+'Hoja 4 - Cálculo'!K57,'Hoja 4 - Cálculo'!I57+'Hoja 4 - Cálculo'!J57+'Hoja 4 - Cálculo'!K57)))</f>
        <v>11.5</v>
      </c>
      <c r="I876" s="15">
        <f t="shared" si="190"/>
        <v>11.5</v>
      </c>
      <c r="J876" s="15">
        <f t="shared" si="197"/>
        <v>0</v>
      </c>
      <c r="K876" s="15">
        <f>MIN(J876+G876,(J876+G876)*'Hoja 4 - Cálculo'!$B$15)</f>
        <v>0.48615750000000002</v>
      </c>
      <c r="L876" s="15">
        <f t="shared" si="191"/>
        <v>23.821717499999998</v>
      </c>
      <c r="M876" s="15">
        <f t="shared" si="192"/>
        <v>11.5</v>
      </c>
      <c r="N876" s="15">
        <f t="shared" si="193"/>
        <v>3</v>
      </c>
      <c r="O876" s="15">
        <f t="shared" si="194"/>
        <v>9.3217174999999983</v>
      </c>
      <c r="P876" s="15">
        <f t="shared" si="195"/>
        <v>0</v>
      </c>
      <c r="Q876" s="14" t="str">
        <f>IF(M876&gt;=I876*'Hoja 4 - Cálculo'!$B$16,"Satisfactorio","Falla")</f>
        <v>Satisfactorio</v>
      </c>
      <c r="R876" s="14">
        <f t="shared" si="198"/>
        <v>1</v>
      </c>
      <c r="S876" s="14">
        <f t="shared" si="199"/>
        <v>0</v>
      </c>
    </row>
    <row r="877" spans="1:19">
      <c r="A877" s="14" t="str">
        <f t="shared" si="200"/>
        <v>SRY-3-2</v>
      </c>
      <c r="B877" s="15">
        <f>'Curvas SRY'!$B$10</f>
        <v>3</v>
      </c>
      <c r="C877" s="15">
        <f>'Curvas SRY'!$E$9</f>
        <v>1</v>
      </c>
      <c r="D877" s="14" t="str">
        <f>'Curvas SRY'!$B$14</f>
        <v>Uso variable</v>
      </c>
      <c r="E877" s="14">
        <f>34</f>
        <v>34</v>
      </c>
      <c r="F877" s="21">
        <f>'Hoja 4 - Cálculo'!A58</f>
        <v>30590</v>
      </c>
      <c r="G877" s="15">
        <f>'Hoja 4 - Cálculo'!H58</f>
        <v>33.564374999999998</v>
      </c>
      <c r="H877" s="15">
        <f>IF(D877="Uso único",'Hoja 4 - Cálculo'!I58,IF(D877="Uso múltiple",AVERAGE('Hoja 4 - Cálculo'!$I$25:$I$384)+AVERAGE('Hoja 4 - Cálculo'!$J$25:$J$384)+AVERAGE('Hoja 4 - Cálculo'!$K$25:$K$384),IF(D877="Uso prioritario",'Hoja 4 - Cálculo'!I58+'Hoja 4 - Cálculo'!K58,'Hoja 4 - Cálculo'!I58+'Hoja 4 - Cálculo'!J58+'Hoja 4 - Cálculo'!K58)))</f>
        <v>11.5</v>
      </c>
      <c r="I877" s="15">
        <f t="shared" si="190"/>
        <v>11.5</v>
      </c>
      <c r="J877" s="15">
        <f t="shared" ref="J877:J908" si="201">N876</f>
        <v>3</v>
      </c>
      <c r="K877" s="15">
        <f>MIN(J877+G877,(J877+G877)*'Hoja 4 - Cálculo'!$B$15)</f>
        <v>0.73128749999999998</v>
      </c>
      <c r="L877" s="15">
        <f t="shared" si="191"/>
        <v>35.833087499999998</v>
      </c>
      <c r="M877" s="15">
        <f t="shared" si="192"/>
        <v>11.5</v>
      </c>
      <c r="N877" s="15">
        <f t="shared" si="193"/>
        <v>3</v>
      </c>
      <c r="O877" s="15">
        <f t="shared" si="194"/>
        <v>21.333087499999998</v>
      </c>
      <c r="P877" s="15">
        <f t="shared" si="195"/>
        <v>0</v>
      </c>
      <c r="Q877" s="14" t="str">
        <f>IF(M877&gt;=I877*'Hoja 4 - Cálculo'!$B$16,"Satisfactorio","Falla")</f>
        <v>Satisfactorio</v>
      </c>
      <c r="R877" s="14">
        <f t="shared" ref="R877:R908" si="202">IF(AND(Q876="Falla",Q877="Satisfactorio"),1,0)</f>
        <v>0</v>
      </c>
      <c r="S877" s="14">
        <f t="shared" ref="S877:S908" si="203">IF(AND(Q877="Falla",Q876&lt;&gt;"Falla"),1,0)</f>
        <v>0</v>
      </c>
    </row>
    <row r="878" spans="1:19">
      <c r="A878" s="14" t="str">
        <f t="shared" si="200"/>
        <v>SRY-3-2</v>
      </c>
      <c r="B878" s="15">
        <f>'Curvas SRY'!$B$10</f>
        <v>3</v>
      </c>
      <c r="C878" s="15">
        <f>'Curvas SRY'!$E$9</f>
        <v>1</v>
      </c>
      <c r="D878" s="14" t="str">
        <f>'Curvas SRY'!$B$14</f>
        <v>Uso variable</v>
      </c>
      <c r="E878" s="14">
        <f>35</f>
        <v>35</v>
      </c>
      <c r="F878" s="21">
        <f>'Hoja 4 - Cálculo'!A59</f>
        <v>30621</v>
      </c>
      <c r="G878" s="15">
        <f>'Hoja 4 - Cálculo'!H59</f>
        <v>28.075500000000002</v>
      </c>
      <c r="H878" s="15">
        <f>IF(D878="Uso único",'Hoja 4 - Cálculo'!I59,IF(D878="Uso múltiple",AVERAGE('Hoja 4 - Cálculo'!$I$25:$I$384)+AVERAGE('Hoja 4 - Cálculo'!$J$25:$J$384)+AVERAGE('Hoja 4 - Cálculo'!$K$25:$K$384),IF(D878="Uso prioritario",'Hoja 4 - Cálculo'!I59+'Hoja 4 - Cálculo'!K59,'Hoja 4 - Cálculo'!I59+'Hoja 4 - Cálculo'!J59+'Hoja 4 - Cálculo'!K59)))</f>
        <v>11.5</v>
      </c>
      <c r="I878" s="15">
        <f t="shared" si="190"/>
        <v>11.5</v>
      </c>
      <c r="J878" s="15">
        <f t="shared" si="201"/>
        <v>3</v>
      </c>
      <c r="K878" s="15">
        <f>MIN(J878+G878,(J878+G878)*'Hoja 4 - Cálculo'!$B$15)</f>
        <v>0.62151000000000001</v>
      </c>
      <c r="L878" s="15">
        <f t="shared" si="191"/>
        <v>30.453990000000001</v>
      </c>
      <c r="M878" s="15">
        <f t="shared" si="192"/>
        <v>11.5</v>
      </c>
      <c r="N878" s="15">
        <f t="shared" si="193"/>
        <v>3</v>
      </c>
      <c r="O878" s="15">
        <f t="shared" si="194"/>
        <v>15.953990000000001</v>
      </c>
      <c r="P878" s="15">
        <f t="shared" si="195"/>
        <v>0</v>
      </c>
      <c r="Q878" s="14" t="str">
        <f>IF(M878&gt;=I878*'Hoja 4 - Cálculo'!$B$16,"Satisfactorio","Falla")</f>
        <v>Satisfactorio</v>
      </c>
      <c r="R878" s="14">
        <f t="shared" si="202"/>
        <v>0</v>
      </c>
      <c r="S878" s="14">
        <f t="shared" si="203"/>
        <v>0</v>
      </c>
    </row>
    <row r="879" spans="1:19">
      <c r="A879" s="14" t="str">
        <f t="shared" si="200"/>
        <v>SRY-3-2</v>
      </c>
      <c r="B879" s="15">
        <f>'Curvas SRY'!$B$10</f>
        <v>3</v>
      </c>
      <c r="C879" s="15">
        <f>'Curvas SRY'!$E$9</f>
        <v>1</v>
      </c>
      <c r="D879" s="14" t="str">
        <f>'Curvas SRY'!$B$14</f>
        <v>Uso variable</v>
      </c>
      <c r="E879" s="14">
        <f>36</f>
        <v>36</v>
      </c>
      <c r="F879" s="21">
        <f>'Hoja 4 - Cálculo'!A60</f>
        <v>30651</v>
      </c>
      <c r="G879" s="15">
        <f>'Hoja 4 - Cálculo'!H60</f>
        <v>15.931125</v>
      </c>
      <c r="H879" s="15">
        <f>IF(D879="Uso único",'Hoja 4 - Cálculo'!I60,IF(D879="Uso múltiple",AVERAGE('Hoja 4 - Cálculo'!$I$25:$I$384)+AVERAGE('Hoja 4 - Cálculo'!$J$25:$J$384)+AVERAGE('Hoja 4 - Cálculo'!$K$25:$K$384),IF(D879="Uso prioritario",'Hoja 4 - Cálculo'!I60+'Hoja 4 - Cálculo'!K60,'Hoja 4 - Cálculo'!I60+'Hoja 4 - Cálculo'!J60+'Hoja 4 - Cálculo'!K60)))</f>
        <v>16</v>
      </c>
      <c r="I879" s="15">
        <f t="shared" si="190"/>
        <v>16</v>
      </c>
      <c r="J879" s="15">
        <f t="shared" si="201"/>
        <v>3</v>
      </c>
      <c r="K879" s="15">
        <f>MIN(J879+G879,(J879+G879)*'Hoja 4 - Cálculo'!$B$15)</f>
        <v>0.37862250000000003</v>
      </c>
      <c r="L879" s="15">
        <f t="shared" si="191"/>
        <v>18.552502500000003</v>
      </c>
      <c r="M879" s="15">
        <f t="shared" si="192"/>
        <v>16</v>
      </c>
      <c r="N879" s="15">
        <f t="shared" si="193"/>
        <v>2.5525025000000028</v>
      </c>
      <c r="O879" s="15">
        <f t="shared" si="194"/>
        <v>0</v>
      </c>
      <c r="P879" s="15">
        <f t="shared" si="195"/>
        <v>0</v>
      </c>
      <c r="Q879" s="14" t="str">
        <f>IF(M879&gt;=I879*'Hoja 4 - Cálculo'!$B$16,"Satisfactorio","Falla")</f>
        <v>Satisfactorio</v>
      </c>
      <c r="R879" s="14">
        <f t="shared" si="202"/>
        <v>0</v>
      </c>
      <c r="S879" s="14">
        <f t="shared" si="203"/>
        <v>0</v>
      </c>
    </row>
    <row r="880" spans="1:19">
      <c r="A880" s="14" t="str">
        <f t="shared" si="200"/>
        <v>SRY-3-2</v>
      </c>
      <c r="B880" s="15">
        <f>'Curvas SRY'!$B$10</f>
        <v>3</v>
      </c>
      <c r="C880" s="15">
        <f>'Curvas SRY'!$E$9</f>
        <v>1</v>
      </c>
      <c r="D880" s="14" t="str">
        <f>'Curvas SRY'!$B$14</f>
        <v>Uso variable</v>
      </c>
      <c r="E880" s="14">
        <f>37</f>
        <v>37</v>
      </c>
      <c r="F880" s="21">
        <f>'Hoja 4 - Cálculo'!A61</f>
        <v>30682</v>
      </c>
      <c r="G880" s="15">
        <f>'Hoja 4 - Cálculo'!H61</f>
        <v>10.920375</v>
      </c>
      <c r="H880" s="15">
        <f>IF(D880="Uso único",'Hoja 4 - Cálculo'!I61,IF(D880="Uso múltiple",AVERAGE('Hoja 4 - Cálculo'!$I$25:$I$384)+AVERAGE('Hoja 4 - Cálculo'!$J$25:$J$384)+AVERAGE('Hoja 4 - Cálculo'!$K$25:$K$384),IF(D880="Uso prioritario",'Hoja 4 - Cálculo'!I61+'Hoja 4 - Cálculo'!K61,'Hoja 4 - Cálculo'!I61+'Hoja 4 - Cálculo'!J61+'Hoja 4 - Cálculo'!K61)))</f>
        <v>16</v>
      </c>
      <c r="I880" s="15">
        <f t="shared" si="190"/>
        <v>16</v>
      </c>
      <c r="J880" s="15">
        <f t="shared" si="201"/>
        <v>2.5525025000000028</v>
      </c>
      <c r="K880" s="15">
        <f>MIN(J880+G880,(J880+G880)*'Hoja 4 - Cálculo'!$B$15)</f>
        <v>0.26945755000000005</v>
      </c>
      <c r="L880" s="15">
        <f t="shared" si="191"/>
        <v>13.203419950000002</v>
      </c>
      <c r="M880" s="15">
        <f t="shared" si="192"/>
        <v>13.203419950000002</v>
      </c>
      <c r="N880" s="15">
        <f t="shared" si="193"/>
        <v>0</v>
      </c>
      <c r="O880" s="15">
        <f t="shared" si="194"/>
        <v>0</v>
      </c>
      <c r="P880" s="15">
        <f t="shared" si="195"/>
        <v>2.7965800499999975</v>
      </c>
      <c r="Q880" s="14" t="str">
        <f>IF(M880&gt;=I880*'Hoja 4 - Cálculo'!$B$16,"Satisfactorio","Falla")</f>
        <v>Falla</v>
      </c>
      <c r="R880" s="14">
        <f t="shared" si="202"/>
        <v>0</v>
      </c>
      <c r="S880" s="14">
        <f t="shared" si="203"/>
        <v>1</v>
      </c>
    </row>
    <row r="881" spans="1:19">
      <c r="A881" s="14" t="str">
        <f t="shared" si="200"/>
        <v>SRY-3-2</v>
      </c>
      <c r="B881" s="15">
        <f>'Curvas SRY'!$B$10</f>
        <v>3</v>
      </c>
      <c r="C881" s="15">
        <f>'Curvas SRY'!$E$9</f>
        <v>1</v>
      </c>
      <c r="D881" s="14" t="str">
        <f>'Curvas SRY'!$B$14</f>
        <v>Uso variable</v>
      </c>
      <c r="E881" s="14">
        <f>38</f>
        <v>38</v>
      </c>
      <c r="F881" s="21">
        <f>'Hoja 4 - Cálculo'!A62</f>
        <v>30713</v>
      </c>
      <c r="G881" s="15">
        <f>'Hoja 4 - Cálculo'!H62</f>
        <v>13.04325</v>
      </c>
      <c r="H881" s="15">
        <f>IF(D881="Uso único",'Hoja 4 - Cálculo'!I62,IF(D881="Uso múltiple",AVERAGE('Hoja 4 - Cálculo'!$I$25:$I$384)+AVERAGE('Hoja 4 - Cálculo'!$J$25:$J$384)+AVERAGE('Hoja 4 - Cálculo'!$K$25:$K$384),IF(D881="Uso prioritario",'Hoja 4 - Cálculo'!I62+'Hoja 4 - Cálculo'!K62,'Hoja 4 - Cálculo'!I62+'Hoja 4 - Cálculo'!J62+'Hoja 4 - Cálculo'!K62)))</f>
        <v>16</v>
      </c>
      <c r="I881" s="15">
        <f t="shared" si="190"/>
        <v>16</v>
      </c>
      <c r="J881" s="15">
        <f t="shared" si="201"/>
        <v>0</v>
      </c>
      <c r="K881" s="15">
        <f>MIN(J881+G881,(J881+G881)*'Hoja 4 - Cálculo'!$B$15)</f>
        <v>0.26086500000000001</v>
      </c>
      <c r="L881" s="15">
        <f t="shared" si="191"/>
        <v>12.782385</v>
      </c>
      <c r="M881" s="15">
        <f t="shared" si="192"/>
        <v>12.782385</v>
      </c>
      <c r="N881" s="15">
        <f t="shared" si="193"/>
        <v>0</v>
      </c>
      <c r="O881" s="15">
        <f t="shared" si="194"/>
        <v>0</v>
      </c>
      <c r="P881" s="15">
        <f t="shared" si="195"/>
        <v>3.2176150000000003</v>
      </c>
      <c r="Q881" s="14" t="str">
        <f>IF(M881&gt;=I881*'Hoja 4 - Cálculo'!$B$16,"Satisfactorio","Falla")</f>
        <v>Falla</v>
      </c>
      <c r="R881" s="14">
        <f t="shared" si="202"/>
        <v>0</v>
      </c>
      <c r="S881" s="14">
        <f t="shared" si="203"/>
        <v>0</v>
      </c>
    </row>
    <row r="882" spans="1:19">
      <c r="A882" s="14" t="str">
        <f t="shared" si="200"/>
        <v>SRY-3-2</v>
      </c>
      <c r="B882" s="15">
        <f>'Curvas SRY'!$B$10</f>
        <v>3</v>
      </c>
      <c r="C882" s="15">
        <f>'Curvas SRY'!$E$9</f>
        <v>1</v>
      </c>
      <c r="D882" s="14" t="str">
        <f>'Curvas SRY'!$B$14</f>
        <v>Uso variable</v>
      </c>
      <c r="E882" s="14">
        <f>39</f>
        <v>39</v>
      </c>
      <c r="F882" s="21">
        <f>'Hoja 4 - Cálculo'!A63</f>
        <v>30742</v>
      </c>
      <c r="G882" s="15">
        <f>'Hoja 4 - Cálculo'!H63</f>
        <v>20.272500000000001</v>
      </c>
      <c r="H882" s="15">
        <f>IF(D882="Uso único",'Hoja 4 - Cálculo'!I63,IF(D882="Uso múltiple",AVERAGE('Hoja 4 - Cálculo'!$I$25:$I$384)+AVERAGE('Hoja 4 - Cálculo'!$J$25:$J$384)+AVERAGE('Hoja 4 - Cálculo'!$K$25:$K$384),IF(D882="Uso prioritario",'Hoja 4 - Cálculo'!I63+'Hoja 4 - Cálculo'!K63,'Hoja 4 - Cálculo'!I63+'Hoja 4 - Cálculo'!J63+'Hoja 4 - Cálculo'!K63)))</f>
        <v>16</v>
      </c>
      <c r="I882" s="15">
        <f t="shared" si="190"/>
        <v>16</v>
      </c>
      <c r="J882" s="15">
        <f t="shared" si="201"/>
        <v>0</v>
      </c>
      <c r="K882" s="15">
        <f>MIN(J882+G882,(J882+G882)*'Hoja 4 - Cálculo'!$B$15)</f>
        <v>0.40545000000000003</v>
      </c>
      <c r="L882" s="15">
        <f t="shared" si="191"/>
        <v>19.867050000000003</v>
      </c>
      <c r="M882" s="15">
        <f t="shared" si="192"/>
        <v>16</v>
      </c>
      <c r="N882" s="15">
        <f t="shared" si="193"/>
        <v>3</v>
      </c>
      <c r="O882" s="15">
        <f t="shared" si="194"/>
        <v>0.86705000000000254</v>
      </c>
      <c r="P882" s="15">
        <f t="shared" si="195"/>
        <v>0</v>
      </c>
      <c r="Q882" s="14" t="str">
        <f>IF(M882&gt;=I882*'Hoja 4 - Cálculo'!$B$16,"Satisfactorio","Falla")</f>
        <v>Satisfactorio</v>
      </c>
      <c r="R882" s="14">
        <f t="shared" si="202"/>
        <v>1</v>
      </c>
      <c r="S882" s="14">
        <f t="shared" si="203"/>
        <v>0</v>
      </c>
    </row>
    <row r="883" spans="1:19">
      <c r="A883" s="14" t="str">
        <f t="shared" si="200"/>
        <v>SRY-3-2</v>
      </c>
      <c r="B883" s="15">
        <f>'Curvas SRY'!$B$10</f>
        <v>3</v>
      </c>
      <c r="C883" s="15">
        <f>'Curvas SRY'!$E$9</f>
        <v>1</v>
      </c>
      <c r="D883" s="14" t="str">
        <f>'Curvas SRY'!$B$14</f>
        <v>Uso variable</v>
      </c>
      <c r="E883" s="14">
        <f>40</f>
        <v>40</v>
      </c>
      <c r="F883" s="21">
        <f>'Hoja 4 - Cálculo'!A64</f>
        <v>30773</v>
      </c>
      <c r="G883" s="15">
        <f>'Hoja 4 - Cálculo'!H64</f>
        <v>27.922499999999999</v>
      </c>
      <c r="H883" s="15">
        <f>IF(D883="Uso único",'Hoja 4 - Cálculo'!I64,IF(D883="Uso múltiple",AVERAGE('Hoja 4 - Cálculo'!$I$25:$I$384)+AVERAGE('Hoja 4 - Cálculo'!$J$25:$J$384)+AVERAGE('Hoja 4 - Cálculo'!$K$25:$K$384),IF(D883="Uso prioritario",'Hoja 4 - Cálculo'!I64+'Hoja 4 - Cálculo'!K64,'Hoja 4 - Cálculo'!I64+'Hoja 4 - Cálculo'!J64+'Hoja 4 - Cálculo'!K64)))</f>
        <v>11.5</v>
      </c>
      <c r="I883" s="15">
        <f t="shared" si="190"/>
        <v>11.5</v>
      </c>
      <c r="J883" s="15">
        <f t="shared" si="201"/>
        <v>3</v>
      </c>
      <c r="K883" s="15">
        <f>MIN(J883+G883,(J883+G883)*'Hoja 4 - Cálculo'!$B$15)</f>
        <v>0.61845000000000006</v>
      </c>
      <c r="L883" s="15">
        <f t="shared" si="191"/>
        <v>30.30405</v>
      </c>
      <c r="M883" s="15">
        <f t="shared" si="192"/>
        <v>11.5</v>
      </c>
      <c r="N883" s="15">
        <f t="shared" si="193"/>
        <v>3</v>
      </c>
      <c r="O883" s="15">
        <f t="shared" si="194"/>
        <v>15.80405</v>
      </c>
      <c r="P883" s="15">
        <f t="shared" si="195"/>
        <v>0</v>
      </c>
      <c r="Q883" s="14" t="str">
        <f>IF(M883&gt;=I883*'Hoja 4 - Cálculo'!$B$16,"Satisfactorio","Falla")</f>
        <v>Satisfactorio</v>
      </c>
      <c r="R883" s="14">
        <f t="shared" si="202"/>
        <v>0</v>
      </c>
      <c r="S883" s="14">
        <f t="shared" si="203"/>
        <v>0</v>
      </c>
    </row>
    <row r="884" spans="1:19">
      <c r="A884" s="14" t="str">
        <f t="shared" si="200"/>
        <v>SRY-3-2</v>
      </c>
      <c r="B884" s="15">
        <f>'Curvas SRY'!$B$10</f>
        <v>3</v>
      </c>
      <c r="C884" s="15">
        <f>'Curvas SRY'!$E$9</f>
        <v>1</v>
      </c>
      <c r="D884" s="14" t="str">
        <f>'Curvas SRY'!$B$14</f>
        <v>Uso variable</v>
      </c>
      <c r="E884" s="14">
        <f>41</f>
        <v>41</v>
      </c>
      <c r="F884" s="21">
        <f>'Hoja 4 - Cálculo'!A65</f>
        <v>30803</v>
      </c>
      <c r="G884" s="15">
        <f>'Hoja 4 - Cálculo'!H65</f>
        <v>23.657624999999999</v>
      </c>
      <c r="H884" s="15">
        <f>IF(D884="Uso único",'Hoja 4 - Cálculo'!I65,IF(D884="Uso múltiple",AVERAGE('Hoja 4 - Cálculo'!$I$25:$I$384)+AVERAGE('Hoja 4 - Cálculo'!$J$25:$J$384)+AVERAGE('Hoja 4 - Cálculo'!$K$25:$K$384),IF(D884="Uso prioritario",'Hoja 4 - Cálculo'!I65+'Hoja 4 - Cálculo'!K65,'Hoja 4 - Cálculo'!I65+'Hoja 4 - Cálculo'!J65+'Hoja 4 - Cálculo'!K65)))</f>
        <v>11.5</v>
      </c>
      <c r="I884" s="15">
        <f t="shared" si="190"/>
        <v>11.5</v>
      </c>
      <c r="J884" s="15">
        <f t="shared" si="201"/>
        <v>3</v>
      </c>
      <c r="K884" s="15">
        <f>MIN(J884+G884,(J884+G884)*'Hoja 4 - Cálculo'!$B$15)</f>
        <v>0.53315250000000003</v>
      </c>
      <c r="L884" s="15">
        <f t="shared" si="191"/>
        <v>26.1244725</v>
      </c>
      <c r="M884" s="15">
        <f t="shared" si="192"/>
        <v>11.5</v>
      </c>
      <c r="N884" s="15">
        <f t="shared" si="193"/>
        <v>3</v>
      </c>
      <c r="O884" s="15">
        <f t="shared" si="194"/>
        <v>11.6244725</v>
      </c>
      <c r="P884" s="15">
        <f t="shared" si="195"/>
        <v>0</v>
      </c>
      <c r="Q884" s="14" t="str">
        <f>IF(M884&gt;=I884*'Hoja 4 - Cálculo'!$B$16,"Satisfactorio","Falla")</f>
        <v>Satisfactorio</v>
      </c>
      <c r="R884" s="14">
        <f t="shared" si="202"/>
        <v>0</v>
      </c>
      <c r="S884" s="14">
        <f t="shared" si="203"/>
        <v>0</v>
      </c>
    </row>
    <row r="885" spans="1:19">
      <c r="A885" s="14" t="str">
        <f t="shared" si="200"/>
        <v>SRY-3-2</v>
      </c>
      <c r="B885" s="15">
        <f>'Curvas SRY'!$B$10</f>
        <v>3</v>
      </c>
      <c r="C885" s="15">
        <f>'Curvas SRY'!$E$9</f>
        <v>1</v>
      </c>
      <c r="D885" s="14" t="str">
        <f>'Curvas SRY'!$B$14</f>
        <v>Uso variable</v>
      </c>
      <c r="E885" s="14">
        <f>42</f>
        <v>42</v>
      </c>
      <c r="F885" s="21">
        <f>'Hoja 4 - Cálculo'!A66</f>
        <v>30834</v>
      </c>
      <c r="G885" s="15">
        <f>'Hoja 4 - Cálculo'!H66</f>
        <v>14.554125000000001</v>
      </c>
      <c r="H885" s="15">
        <f>IF(D885="Uso único",'Hoja 4 - Cálculo'!I66,IF(D885="Uso múltiple",AVERAGE('Hoja 4 - Cálculo'!$I$25:$I$384)+AVERAGE('Hoja 4 - Cálculo'!$J$25:$J$384)+AVERAGE('Hoja 4 - Cálculo'!$K$25:$K$384),IF(D885="Uso prioritario",'Hoja 4 - Cálculo'!I66+'Hoja 4 - Cálculo'!K66,'Hoja 4 - Cálculo'!I66+'Hoja 4 - Cálculo'!J66+'Hoja 4 - Cálculo'!K66)))</f>
        <v>11.5</v>
      </c>
      <c r="I885" s="15">
        <f t="shared" si="190"/>
        <v>11.5</v>
      </c>
      <c r="J885" s="15">
        <f t="shared" si="201"/>
        <v>3</v>
      </c>
      <c r="K885" s="15">
        <f>MIN(J885+G885,(J885+G885)*'Hoja 4 - Cálculo'!$B$15)</f>
        <v>0.35108249999999996</v>
      </c>
      <c r="L885" s="15">
        <f t="shared" si="191"/>
        <v>17.203042499999999</v>
      </c>
      <c r="M885" s="15">
        <f t="shared" si="192"/>
        <v>11.5</v>
      </c>
      <c r="N885" s="15">
        <f t="shared" si="193"/>
        <v>3</v>
      </c>
      <c r="O885" s="15">
        <f t="shared" si="194"/>
        <v>2.7030424999999987</v>
      </c>
      <c r="P885" s="15">
        <f t="shared" si="195"/>
        <v>0</v>
      </c>
      <c r="Q885" s="14" t="str">
        <f>IF(M885&gt;=I885*'Hoja 4 - Cálculo'!$B$16,"Satisfactorio","Falla")</f>
        <v>Satisfactorio</v>
      </c>
      <c r="R885" s="14">
        <f t="shared" si="202"/>
        <v>0</v>
      </c>
      <c r="S885" s="14">
        <f t="shared" si="203"/>
        <v>0</v>
      </c>
    </row>
    <row r="886" spans="1:19">
      <c r="A886" s="14" t="str">
        <f t="shared" si="200"/>
        <v>SRY-3-2</v>
      </c>
      <c r="B886" s="15">
        <f>'Curvas SRY'!$B$10</f>
        <v>3</v>
      </c>
      <c r="C886" s="15">
        <f>'Curvas SRY'!$E$9</f>
        <v>1</v>
      </c>
      <c r="D886" s="14" t="str">
        <f>'Curvas SRY'!$B$14</f>
        <v>Uso variable</v>
      </c>
      <c r="E886" s="14">
        <f>43</f>
        <v>43</v>
      </c>
      <c r="F886" s="21">
        <f>'Hoja 4 - Cálculo'!A67</f>
        <v>30864</v>
      </c>
      <c r="G886" s="15">
        <f>'Hoja 4 - Cálculo'!H67</f>
        <v>12.794625</v>
      </c>
      <c r="H886" s="15">
        <f>IF(D886="Uso único",'Hoja 4 - Cálculo'!I67,IF(D886="Uso múltiple",AVERAGE('Hoja 4 - Cálculo'!$I$25:$I$384)+AVERAGE('Hoja 4 - Cálculo'!$J$25:$J$384)+AVERAGE('Hoja 4 - Cálculo'!$K$25:$K$384),IF(D886="Uso prioritario",'Hoja 4 - Cálculo'!I67+'Hoja 4 - Cálculo'!K67,'Hoja 4 - Cálculo'!I67+'Hoja 4 - Cálculo'!J67+'Hoja 4 - Cálculo'!K67)))</f>
        <v>16</v>
      </c>
      <c r="I886" s="15">
        <f t="shared" si="190"/>
        <v>16</v>
      </c>
      <c r="J886" s="15">
        <f t="shared" si="201"/>
        <v>3</v>
      </c>
      <c r="K886" s="15">
        <f>MIN(J886+G886,(J886+G886)*'Hoja 4 - Cálculo'!$B$15)</f>
        <v>0.31589250000000002</v>
      </c>
      <c r="L886" s="15">
        <f t="shared" si="191"/>
        <v>15.4787325</v>
      </c>
      <c r="M886" s="15">
        <f t="shared" si="192"/>
        <v>15.4787325</v>
      </c>
      <c r="N886" s="15">
        <f t="shared" si="193"/>
        <v>0</v>
      </c>
      <c r="O886" s="15">
        <f t="shared" si="194"/>
        <v>0</v>
      </c>
      <c r="P886" s="15">
        <f t="shared" si="195"/>
        <v>0.52126750000000044</v>
      </c>
      <c r="Q886" s="14" t="str">
        <f>IF(M886&gt;=I886*'Hoja 4 - Cálculo'!$B$16,"Satisfactorio","Falla")</f>
        <v>Falla</v>
      </c>
      <c r="R886" s="14">
        <f t="shared" si="202"/>
        <v>0</v>
      </c>
      <c r="S886" s="14">
        <f t="shared" si="203"/>
        <v>1</v>
      </c>
    </row>
    <row r="887" spans="1:19">
      <c r="A887" s="14" t="str">
        <f t="shared" si="200"/>
        <v>SRY-3-2</v>
      </c>
      <c r="B887" s="15">
        <f>'Curvas SRY'!$B$10</f>
        <v>3</v>
      </c>
      <c r="C887" s="15">
        <f>'Curvas SRY'!$E$9</f>
        <v>1</v>
      </c>
      <c r="D887" s="14" t="str">
        <f>'Curvas SRY'!$B$14</f>
        <v>Uso variable</v>
      </c>
      <c r="E887" s="14">
        <f>44</f>
        <v>44</v>
      </c>
      <c r="F887" s="21">
        <f>'Hoja 4 - Cálculo'!A68</f>
        <v>30895</v>
      </c>
      <c r="G887" s="15">
        <f>'Hoja 4 - Cálculo'!H68</f>
        <v>13.6935</v>
      </c>
      <c r="H887" s="15">
        <f>IF(D887="Uso único",'Hoja 4 - Cálculo'!I68,IF(D887="Uso múltiple",AVERAGE('Hoja 4 - Cálculo'!$I$25:$I$384)+AVERAGE('Hoja 4 - Cálculo'!$J$25:$J$384)+AVERAGE('Hoja 4 - Cálculo'!$K$25:$K$384),IF(D887="Uso prioritario",'Hoja 4 - Cálculo'!I68+'Hoja 4 - Cálculo'!K68,'Hoja 4 - Cálculo'!I68+'Hoja 4 - Cálculo'!J68+'Hoja 4 - Cálculo'!K68)))</f>
        <v>16</v>
      </c>
      <c r="I887" s="15">
        <f t="shared" si="190"/>
        <v>16</v>
      </c>
      <c r="J887" s="15">
        <f t="shared" si="201"/>
        <v>0</v>
      </c>
      <c r="K887" s="15">
        <f>MIN(J887+G887,(J887+G887)*'Hoja 4 - Cálculo'!$B$15)</f>
        <v>0.27387</v>
      </c>
      <c r="L887" s="15">
        <f t="shared" si="191"/>
        <v>13.41963</v>
      </c>
      <c r="M887" s="15">
        <f t="shared" si="192"/>
        <v>13.41963</v>
      </c>
      <c r="N887" s="15">
        <f t="shared" si="193"/>
        <v>0</v>
      </c>
      <c r="O887" s="15">
        <f t="shared" si="194"/>
        <v>0</v>
      </c>
      <c r="P887" s="15">
        <f t="shared" si="195"/>
        <v>2.5803700000000003</v>
      </c>
      <c r="Q887" s="14" t="str">
        <f>IF(M887&gt;=I887*'Hoja 4 - Cálculo'!$B$16,"Satisfactorio","Falla")</f>
        <v>Falla</v>
      </c>
      <c r="R887" s="14">
        <f t="shared" si="202"/>
        <v>0</v>
      </c>
      <c r="S887" s="14">
        <f t="shared" si="203"/>
        <v>0</v>
      </c>
    </row>
    <row r="888" spans="1:19">
      <c r="A888" s="14" t="str">
        <f t="shared" si="200"/>
        <v>SRY-3-2</v>
      </c>
      <c r="B888" s="15">
        <f>'Curvas SRY'!$B$10</f>
        <v>3</v>
      </c>
      <c r="C888" s="15">
        <f>'Curvas SRY'!$E$9</f>
        <v>1</v>
      </c>
      <c r="D888" s="14" t="str">
        <f>'Curvas SRY'!$B$14</f>
        <v>Uso variable</v>
      </c>
      <c r="E888" s="14">
        <f>45</f>
        <v>45</v>
      </c>
      <c r="F888" s="21">
        <f>'Hoja 4 - Cálculo'!A69</f>
        <v>30926</v>
      </c>
      <c r="G888" s="15">
        <f>'Hoja 4 - Cálculo'!H69</f>
        <v>20.521125000000001</v>
      </c>
      <c r="H888" s="15">
        <f>IF(D888="Uso único",'Hoja 4 - Cálculo'!I69,IF(D888="Uso múltiple",AVERAGE('Hoja 4 - Cálculo'!$I$25:$I$384)+AVERAGE('Hoja 4 - Cálculo'!$J$25:$J$384)+AVERAGE('Hoja 4 - Cálculo'!$K$25:$K$384),IF(D888="Uso prioritario",'Hoja 4 - Cálculo'!I69+'Hoja 4 - Cálculo'!K69,'Hoja 4 - Cálculo'!I69+'Hoja 4 - Cálculo'!J69+'Hoja 4 - Cálculo'!K69)))</f>
        <v>11.5</v>
      </c>
      <c r="I888" s="15">
        <f t="shared" si="190"/>
        <v>11.5</v>
      </c>
      <c r="J888" s="15">
        <f t="shared" si="201"/>
        <v>0</v>
      </c>
      <c r="K888" s="15">
        <f>MIN(J888+G888,(J888+G888)*'Hoja 4 - Cálculo'!$B$15)</f>
        <v>0.41042250000000002</v>
      </c>
      <c r="L888" s="15">
        <f t="shared" si="191"/>
        <v>20.110702500000002</v>
      </c>
      <c r="M888" s="15">
        <f t="shared" si="192"/>
        <v>11.5</v>
      </c>
      <c r="N888" s="15">
        <f t="shared" si="193"/>
        <v>3</v>
      </c>
      <c r="O888" s="15">
        <f t="shared" si="194"/>
        <v>5.6107025000000021</v>
      </c>
      <c r="P888" s="15">
        <f t="shared" si="195"/>
        <v>0</v>
      </c>
      <c r="Q888" s="14" t="str">
        <f>IF(M888&gt;=I888*'Hoja 4 - Cálculo'!$B$16,"Satisfactorio","Falla")</f>
        <v>Satisfactorio</v>
      </c>
      <c r="R888" s="14">
        <f t="shared" si="202"/>
        <v>1</v>
      </c>
      <c r="S888" s="14">
        <f t="shared" si="203"/>
        <v>0</v>
      </c>
    </row>
    <row r="889" spans="1:19">
      <c r="A889" s="14" t="str">
        <f t="shared" si="200"/>
        <v>SRY-3-2</v>
      </c>
      <c r="B889" s="15">
        <f>'Curvas SRY'!$B$10</f>
        <v>3</v>
      </c>
      <c r="C889" s="15">
        <f>'Curvas SRY'!$E$9</f>
        <v>1</v>
      </c>
      <c r="D889" s="14" t="str">
        <f>'Curvas SRY'!$B$14</f>
        <v>Uso variable</v>
      </c>
      <c r="E889" s="14">
        <f>46</f>
        <v>46</v>
      </c>
      <c r="F889" s="21">
        <f>'Hoja 4 - Cálculo'!A70</f>
        <v>30956</v>
      </c>
      <c r="G889" s="15">
        <f>'Hoja 4 - Cálculo'!H70</f>
        <v>27.061875000000001</v>
      </c>
      <c r="H889" s="15">
        <f>IF(D889="Uso único",'Hoja 4 - Cálculo'!I70,IF(D889="Uso múltiple",AVERAGE('Hoja 4 - Cálculo'!$I$25:$I$384)+AVERAGE('Hoja 4 - Cálculo'!$J$25:$J$384)+AVERAGE('Hoja 4 - Cálculo'!$K$25:$K$384),IF(D889="Uso prioritario",'Hoja 4 - Cálculo'!I70+'Hoja 4 - Cálculo'!K70,'Hoja 4 - Cálculo'!I70+'Hoja 4 - Cálculo'!J70+'Hoja 4 - Cálculo'!K70)))</f>
        <v>11.5</v>
      </c>
      <c r="I889" s="15">
        <f t="shared" si="190"/>
        <v>11.5</v>
      </c>
      <c r="J889" s="15">
        <f t="shared" si="201"/>
        <v>3</v>
      </c>
      <c r="K889" s="15">
        <f>MIN(J889+G889,(J889+G889)*'Hoja 4 - Cálculo'!$B$15)</f>
        <v>0.60123749999999998</v>
      </c>
      <c r="L889" s="15">
        <f t="shared" si="191"/>
        <v>29.460637500000001</v>
      </c>
      <c r="M889" s="15">
        <f t="shared" si="192"/>
        <v>11.5</v>
      </c>
      <c r="N889" s="15">
        <f t="shared" si="193"/>
        <v>3</v>
      </c>
      <c r="O889" s="15">
        <f t="shared" si="194"/>
        <v>14.960637500000001</v>
      </c>
      <c r="P889" s="15">
        <f t="shared" si="195"/>
        <v>0</v>
      </c>
      <c r="Q889" s="14" t="str">
        <f>IF(M889&gt;=I889*'Hoja 4 - Cálculo'!$B$16,"Satisfactorio","Falla")</f>
        <v>Satisfactorio</v>
      </c>
      <c r="R889" s="14">
        <f t="shared" si="202"/>
        <v>0</v>
      </c>
      <c r="S889" s="14">
        <f t="shared" si="203"/>
        <v>0</v>
      </c>
    </row>
    <row r="890" spans="1:19">
      <c r="A890" s="14" t="str">
        <f t="shared" si="200"/>
        <v>SRY-3-2</v>
      </c>
      <c r="B890" s="15">
        <f>'Curvas SRY'!$B$10</f>
        <v>3</v>
      </c>
      <c r="C890" s="15">
        <f>'Curvas SRY'!$E$9</f>
        <v>1</v>
      </c>
      <c r="D890" s="14" t="str">
        <f>'Curvas SRY'!$B$14</f>
        <v>Uso variable</v>
      </c>
      <c r="E890" s="14">
        <f>47</f>
        <v>47</v>
      </c>
      <c r="F890" s="21">
        <f>'Hoja 4 - Cálculo'!A71</f>
        <v>30987</v>
      </c>
      <c r="G890" s="15">
        <f>'Hoja 4 - Cálculo'!H71</f>
        <v>24.346125000000001</v>
      </c>
      <c r="H890" s="15">
        <f>IF(D890="Uso único",'Hoja 4 - Cálculo'!I71,IF(D890="Uso múltiple",AVERAGE('Hoja 4 - Cálculo'!$I$25:$I$384)+AVERAGE('Hoja 4 - Cálculo'!$J$25:$J$384)+AVERAGE('Hoja 4 - Cálculo'!$K$25:$K$384),IF(D890="Uso prioritario",'Hoja 4 - Cálculo'!I71+'Hoja 4 - Cálculo'!K71,'Hoja 4 - Cálculo'!I71+'Hoja 4 - Cálculo'!J71+'Hoja 4 - Cálculo'!K71)))</f>
        <v>11.5</v>
      </c>
      <c r="I890" s="15">
        <f t="shared" si="190"/>
        <v>11.5</v>
      </c>
      <c r="J890" s="15">
        <f t="shared" si="201"/>
        <v>3</v>
      </c>
      <c r="K890" s="15">
        <f>MIN(J890+G890,(J890+G890)*'Hoja 4 - Cálculo'!$B$15)</f>
        <v>0.54692249999999998</v>
      </c>
      <c r="L890" s="15">
        <f t="shared" si="191"/>
        <v>26.7992025</v>
      </c>
      <c r="M890" s="15">
        <f t="shared" si="192"/>
        <v>11.5</v>
      </c>
      <c r="N890" s="15">
        <f t="shared" si="193"/>
        <v>3</v>
      </c>
      <c r="O890" s="15">
        <f t="shared" si="194"/>
        <v>12.2992025</v>
      </c>
      <c r="P890" s="15">
        <f t="shared" si="195"/>
        <v>0</v>
      </c>
      <c r="Q890" s="14" t="str">
        <f>IF(M890&gt;=I890*'Hoja 4 - Cálculo'!$B$16,"Satisfactorio","Falla")</f>
        <v>Satisfactorio</v>
      </c>
      <c r="R890" s="14">
        <f t="shared" si="202"/>
        <v>0</v>
      </c>
      <c r="S890" s="14">
        <f t="shared" si="203"/>
        <v>0</v>
      </c>
    </row>
    <row r="891" spans="1:19">
      <c r="A891" s="14" t="str">
        <f t="shared" si="200"/>
        <v>SRY-3-2</v>
      </c>
      <c r="B891" s="15">
        <f>'Curvas SRY'!$B$10</f>
        <v>3</v>
      </c>
      <c r="C891" s="15">
        <f>'Curvas SRY'!$E$9</f>
        <v>1</v>
      </c>
      <c r="D891" s="14" t="str">
        <f>'Curvas SRY'!$B$14</f>
        <v>Uso variable</v>
      </c>
      <c r="E891" s="14">
        <f>48</f>
        <v>48</v>
      </c>
      <c r="F891" s="21">
        <f>'Hoja 4 - Cálculo'!A72</f>
        <v>31017</v>
      </c>
      <c r="G891" s="15">
        <f>'Hoja 4 - Cálculo'!H72</f>
        <v>14.745374999999999</v>
      </c>
      <c r="H891" s="15">
        <f>IF(D891="Uso único",'Hoja 4 - Cálculo'!I72,IF(D891="Uso múltiple",AVERAGE('Hoja 4 - Cálculo'!$I$25:$I$384)+AVERAGE('Hoja 4 - Cálculo'!$J$25:$J$384)+AVERAGE('Hoja 4 - Cálculo'!$K$25:$K$384),IF(D891="Uso prioritario",'Hoja 4 - Cálculo'!I72+'Hoja 4 - Cálculo'!K72,'Hoja 4 - Cálculo'!I72+'Hoja 4 - Cálculo'!J72+'Hoja 4 - Cálculo'!K72)))</f>
        <v>16</v>
      </c>
      <c r="I891" s="15">
        <f t="shared" si="190"/>
        <v>16</v>
      </c>
      <c r="J891" s="15">
        <f t="shared" si="201"/>
        <v>3</v>
      </c>
      <c r="K891" s="15">
        <f>MIN(J891+G891,(J891+G891)*'Hoja 4 - Cálculo'!$B$15)</f>
        <v>0.35490749999999999</v>
      </c>
      <c r="L891" s="15">
        <f t="shared" si="191"/>
        <v>17.3904675</v>
      </c>
      <c r="M891" s="15">
        <f t="shared" si="192"/>
        <v>16</v>
      </c>
      <c r="N891" s="15">
        <f t="shared" si="193"/>
        <v>1.3904674999999997</v>
      </c>
      <c r="O891" s="15">
        <f t="shared" si="194"/>
        <v>0</v>
      </c>
      <c r="P891" s="15">
        <f t="shared" si="195"/>
        <v>0</v>
      </c>
      <c r="Q891" s="14" t="str">
        <f>IF(M891&gt;=I891*'Hoja 4 - Cálculo'!$B$16,"Satisfactorio","Falla")</f>
        <v>Satisfactorio</v>
      </c>
      <c r="R891" s="14">
        <f t="shared" si="202"/>
        <v>0</v>
      </c>
      <c r="S891" s="14">
        <f t="shared" si="203"/>
        <v>0</v>
      </c>
    </row>
    <row r="892" spans="1:19">
      <c r="A892" s="14" t="str">
        <f t="shared" si="200"/>
        <v>SRY-3-2</v>
      </c>
      <c r="B892" s="15">
        <f>'Curvas SRY'!$B$10</f>
        <v>3</v>
      </c>
      <c r="C892" s="15">
        <f>'Curvas SRY'!$E$9</f>
        <v>1</v>
      </c>
      <c r="D892" s="14" t="str">
        <f>'Curvas SRY'!$B$14</f>
        <v>Uso variable</v>
      </c>
      <c r="E892" s="14">
        <f>49</f>
        <v>49</v>
      </c>
      <c r="F892" s="21">
        <f>'Hoja 4 - Cálculo'!A73</f>
        <v>31048</v>
      </c>
      <c r="G892" s="15">
        <f>'Hoja 4 - Cálculo'!H73</f>
        <v>10.767374999999999</v>
      </c>
      <c r="H892" s="15">
        <f>IF(D892="Uso único",'Hoja 4 - Cálculo'!I73,IF(D892="Uso múltiple",AVERAGE('Hoja 4 - Cálculo'!$I$25:$I$384)+AVERAGE('Hoja 4 - Cálculo'!$J$25:$J$384)+AVERAGE('Hoja 4 - Cálculo'!$K$25:$K$384),IF(D892="Uso prioritario",'Hoja 4 - Cálculo'!I73+'Hoja 4 - Cálculo'!K73,'Hoja 4 - Cálculo'!I73+'Hoja 4 - Cálculo'!J73+'Hoja 4 - Cálculo'!K73)))</f>
        <v>16</v>
      </c>
      <c r="I892" s="15">
        <f t="shared" si="190"/>
        <v>16</v>
      </c>
      <c r="J892" s="15">
        <f t="shared" si="201"/>
        <v>1.3904674999999997</v>
      </c>
      <c r="K892" s="15">
        <f>MIN(J892+G892,(J892+G892)*'Hoja 4 - Cálculo'!$B$15)</f>
        <v>0.24315684999999998</v>
      </c>
      <c r="L892" s="15">
        <f t="shared" si="191"/>
        <v>11.914685649999999</v>
      </c>
      <c r="M892" s="15">
        <f t="shared" si="192"/>
        <v>11.914685649999999</v>
      </c>
      <c r="N892" s="15">
        <f t="shared" si="193"/>
        <v>0</v>
      </c>
      <c r="O892" s="15">
        <f t="shared" si="194"/>
        <v>0</v>
      </c>
      <c r="P892" s="15">
        <f t="shared" si="195"/>
        <v>4.0853143500000009</v>
      </c>
      <c r="Q892" s="14" t="str">
        <f>IF(M892&gt;=I892*'Hoja 4 - Cálculo'!$B$16,"Satisfactorio","Falla")</f>
        <v>Falla</v>
      </c>
      <c r="R892" s="14">
        <f t="shared" si="202"/>
        <v>0</v>
      </c>
      <c r="S892" s="14">
        <f t="shared" si="203"/>
        <v>1</v>
      </c>
    </row>
    <row r="893" spans="1:19">
      <c r="A893" s="14" t="str">
        <f t="shared" si="200"/>
        <v>SRY-3-2</v>
      </c>
      <c r="B893" s="15">
        <f>'Curvas SRY'!$B$10</f>
        <v>3</v>
      </c>
      <c r="C893" s="15">
        <f>'Curvas SRY'!$E$9</f>
        <v>1</v>
      </c>
      <c r="D893" s="14" t="str">
        <f>'Curvas SRY'!$B$14</f>
        <v>Uso variable</v>
      </c>
      <c r="E893" s="14">
        <f>50</f>
        <v>50</v>
      </c>
      <c r="F893" s="21">
        <f>'Hoja 4 - Cálculo'!A74</f>
        <v>31079</v>
      </c>
      <c r="G893" s="15">
        <f>'Hoja 4 - Cálculo'!H74</f>
        <v>13.464</v>
      </c>
      <c r="H893" s="15">
        <f>IF(D893="Uso único",'Hoja 4 - Cálculo'!I74,IF(D893="Uso múltiple",AVERAGE('Hoja 4 - Cálculo'!$I$25:$I$384)+AVERAGE('Hoja 4 - Cálculo'!$J$25:$J$384)+AVERAGE('Hoja 4 - Cálculo'!$K$25:$K$384),IF(D893="Uso prioritario",'Hoja 4 - Cálculo'!I74+'Hoja 4 - Cálculo'!K74,'Hoja 4 - Cálculo'!I74+'Hoja 4 - Cálculo'!J74+'Hoja 4 - Cálculo'!K74)))</f>
        <v>16</v>
      </c>
      <c r="I893" s="15">
        <f t="shared" si="190"/>
        <v>16</v>
      </c>
      <c r="J893" s="15">
        <f t="shared" si="201"/>
        <v>0</v>
      </c>
      <c r="K893" s="15">
        <f>MIN(J893+G893,(J893+G893)*'Hoja 4 - Cálculo'!$B$15)</f>
        <v>0.26928000000000002</v>
      </c>
      <c r="L893" s="15">
        <f t="shared" si="191"/>
        <v>13.19472</v>
      </c>
      <c r="M893" s="15">
        <f t="shared" si="192"/>
        <v>13.19472</v>
      </c>
      <c r="N893" s="15">
        <f t="shared" si="193"/>
        <v>0</v>
      </c>
      <c r="O893" s="15">
        <f t="shared" si="194"/>
        <v>0</v>
      </c>
      <c r="P893" s="15">
        <f t="shared" si="195"/>
        <v>2.8052799999999998</v>
      </c>
      <c r="Q893" s="14" t="str">
        <f>IF(M893&gt;=I893*'Hoja 4 - Cálculo'!$B$16,"Satisfactorio","Falla")</f>
        <v>Falla</v>
      </c>
      <c r="R893" s="14">
        <f t="shared" si="202"/>
        <v>0</v>
      </c>
      <c r="S893" s="14">
        <f t="shared" si="203"/>
        <v>0</v>
      </c>
    </row>
    <row r="894" spans="1:19">
      <c r="A894" s="14" t="str">
        <f t="shared" si="200"/>
        <v>SRY-3-2</v>
      </c>
      <c r="B894" s="15">
        <f>'Curvas SRY'!$B$10</f>
        <v>3</v>
      </c>
      <c r="C894" s="15">
        <f>'Curvas SRY'!$E$9</f>
        <v>1</v>
      </c>
      <c r="D894" s="14" t="str">
        <f>'Curvas SRY'!$B$14</f>
        <v>Uso variable</v>
      </c>
      <c r="E894" s="14">
        <f>51</f>
        <v>51</v>
      </c>
      <c r="F894" s="21">
        <f>'Hoja 4 - Cálculo'!A75</f>
        <v>31107</v>
      </c>
      <c r="G894" s="15">
        <f>'Hoja 4 - Cálculo'!H75</f>
        <v>19.450125</v>
      </c>
      <c r="H894" s="15">
        <f>IF(D894="Uso único",'Hoja 4 - Cálculo'!I75,IF(D894="Uso múltiple",AVERAGE('Hoja 4 - Cálculo'!$I$25:$I$384)+AVERAGE('Hoja 4 - Cálculo'!$J$25:$J$384)+AVERAGE('Hoja 4 - Cálculo'!$K$25:$K$384),IF(D894="Uso prioritario",'Hoja 4 - Cálculo'!I75+'Hoja 4 - Cálculo'!K75,'Hoja 4 - Cálculo'!I75+'Hoja 4 - Cálculo'!J75+'Hoja 4 - Cálculo'!K75)))</f>
        <v>16</v>
      </c>
      <c r="I894" s="15">
        <f t="shared" si="190"/>
        <v>16</v>
      </c>
      <c r="J894" s="15">
        <f t="shared" si="201"/>
        <v>0</v>
      </c>
      <c r="K894" s="15">
        <f>MIN(J894+G894,(J894+G894)*'Hoja 4 - Cálculo'!$B$15)</f>
        <v>0.38900250000000003</v>
      </c>
      <c r="L894" s="15">
        <f t="shared" si="191"/>
        <v>19.0611225</v>
      </c>
      <c r="M894" s="15">
        <f t="shared" si="192"/>
        <v>16</v>
      </c>
      <c r="N894" s="15">
        <f t="shared" si="193"/>
        <v>3</v>
      </c>
      <c r="O894" s="15">
        <f t="shared" si="194"/>
        <v>6.1122499999999746E-2</v>
      </c>
      <c r="P894" s="15">
        <f t="shared" si="195"/>
        <v>0</v>
      </c>
      <c r="Q894" s="14" t="str">
        <f>IF(M894&gt;=I894*'Hoja 4 - Cálculo'!$B$16,"Satisfactorio","Falla")</f>
        <v>Satisfactorio</v>
      </c>
      <c r="R894" s="14">
        <f t="shared" si="202"/>
        <v>1</v>
      </c>
      <c r="S894" s="14">
        <f t="shared" si="203"/>
        <v>0</v>
      </c>
    </row>
    <row r="895" spans="1:19">
      <c r="A895" s="14" t="str">
        <f t="shared" si="200"/>
        <v>SRY-3-2</v>
      </c>
      <c r="B895" s="15">
        <f>'Curvas SRY'!$B$10</f>
        <v>3</v>
      </c>
      <c r="C895" s="15">
        <f>'Curvas SRY'!$E$9</f>
        <v>1</v>
      </c>
      <c r="D895" s="14" t="str">
        <f>'Curvas SRY'!$B$14</f>
        <v>Uso variable</v>
      </c>
      <c r="E895" s="14">
        <f>52</f>
        <v>52</v>
      </c>
      <c r="F895" s="21">
        <f>'Hoja 4 - Cálculo'!A76</f>
        <v>31138</v>
      </c>
      <c r="G895" s="15">
        <f>'Hoja 4 - Cálculo'!H76</f>
        <v>25.51275</v>
      </c>
      <c r="H895" s="15">
        <f>IF(D895="Uso único",'Hoja 4 - Cálculo'!I76,IF(D895="Uso múltiple",AVERAGE('Hoja 4 - Cálculo'!$I$25:$I$384)+AVERAGE('Hoja 4 - Cálculo'!$J$25:$J$384)+AVERAGE('Hoja 4 - Cálculo'!$K$25:$K$384),IF(D895="Uso prioritario",'Hoja 4 - Cálculo'!I76+'Hoja 4 - Cálculo'!K76,'Hoja 4 - Cálculo'!I76+'Hoja 4 - Cálculo'!J76+'Hoja 4 - Cálculo'!K76)))</f>
        <v>11.5</v>
      </c>
      <c r="I895" s="15">
        <f t="shared" si="190"/>
        <v>11.5</v>
      </c>
      <c r="J895" s="15">
        <f t="shared" si="201"/>
        <v>3</v>
      </c>
      <c r="K895" s="15">
        <f>MIN(J895+G895,(J895+G895)*'Hoja 4 - Cálculo'!$B$15)</f>
        <v>0.57025500000000007</v>
      </c>
      <c r="L895" s="15">
        <f t="shared" si="191"/>
        <v>27.942495000000001</v>
      </c>
      <c r="M895" s="15">
        <f t="shared" si="192"/>
        <v>11.5</v>
      </c>
      <c r="N895" s="15">
        <f t="shared" si="193"/>
        <v>3</v>
      </c>
      <c r="O895" s="15">
        <f t="shared" si="194"/>
        <v>13.442495000000001</v>
      </c>
      <c r="P895" s="15">
        <f t="shared" si="195"/>
        <v>0</v>
      </c>
      <c r="Q895" s="14" t="str">
        <f>IF(M895&gt;=I895*'Hoja 4 - Cálculo'!$B$16,"Satisfactorio","Falla")</f>
        <v>Satisfactorio</v>
      </c>
      <c r="R895" s="14">
        <f t="shared" si="202"/>
        <v>0</v>
      </c>
      <c r="S895" s="14">
        <f t="shared" si="203"/>
        <v>0</v>
      </c>
    </row>
    <row r="896" spans="1:19">
      <c r="A896" s="14" t="str">
        <f t="shared" si="200"/>
        <v>SRY-3-2</v>
      </c>
      <c r="B896" s="15">
        <f>'Curvas SRY'!$B$10</f>
        <v>3</v>
      </c>
      <c r="C896" s="15">
        <f>'Curvas SRY'!$E$9</f>
        <v>1</v>
      </c>
      <c r="D896" s="14" t="str">
        <f>'Curvas SRY'!$B$14</f>
        <v>Uso variable</v>
      </c>
      <c r="E896" s="14">
        <f>53</f>
        <v>53</v>
      </c>
      <c r="F896" s="21">
        <f>'Hoja 4 - Cálculo'!A77</f>
        <v>31168</v>
      </c>
      <c r="G896" s="15">
        <f>'Hoja 4 - Cálculo'!H77</f>
        <v>24.36525</v>
      </c>
      <c r="H896" s="15">
        <f>IF(D896="Uso único",'Hoja 4 - Cálculo'!I77,IF(D896="Uso múltiple",AVERAGE('Hoja 4 - Cálculo'!$I$25:$I$384)+AVERAGE('Hoja 4 - Cálculo'!$J$25:$J$384)+AVERAGE('Hoja 4 - Cálculo'!$K$25:$K$384),IF(D896="Uso prioritario",'Hoja 4 - Cálculo'!I77+'Hoja 4 - Cálculo'!K77,'Hoja 4 - Cálculo'!I77+'Hoja 4 - Cálculo'!J77+'Hoja 4 - Cálculo'!K77)))</f>
        <v>11.5</v>
      </c>
      <c r="I896" s="15">
        <f t="shared" si="190"/>
        <v>11.5</v>
      </c>
      <c r="J896" s="15">
        <f t="shared" si="201"/>
        <v>3</v>
      </c>
      <c r="K896" s="15">
        <f>MIN(J896+G896,(J896+G896)*'Hoja 4 - Cálculo'!$B$15)</f>
        <v>0.54730500000000004</v>
      </c>
      <c r="L896" s="15">
        <f t="shared" si="191"/>
        <v>26.817944999999998</v>
      </c>
      <c r="M896" s="15">
        <f t="shared" si="192"/>
        <v>11.5</v>
      </c>
      <c r="N896" s="15">
        <f t="shared" si="193"/>
        <v>3</v>
      </c>
      <c r="O896" s="15">
        <f t="shared" si="194"/>
        <v>12.317944999999998</v>
      </c>
      <c r="P896" s="15">
        <f t="shared" si="195"/>
        <v>0</v>
      </c>
      <c r="Q896" s="14" t="str">
        <f>IF(M896&gt;=I896*'Hoja 4 - Cálculo'!$B$16,"Satisfactorio","Falla")</f>
        <v>Satisfactorio</v>
      </c>
      <c r="R896" s="14">
        <f t="shared" si="202"/>
        <v>0</v>
      </c>
      <c r="S896" s="14">
        <f t="shared" si="203"/>
        <v>0</v>
      </c>
    </row>
    <row r="897" spans="1:19">
      <c r="A897" s="14" t="str">
        <f t="shared" si="200"/>
        <v>SRY-3-2</v>
      </c>
      <c r="B897" s="15">
        <f>'Curvas SRY'!$B$10</f>
        <v>3</v>
      </c>
      <c r="C897" s="15">
        <f>'Curvas SRY'!$E$9</f>
        <v>1</v>
      </c>
      <c r="D897" s="14" t="str">
        <f>'Curvas SRY'!$B$14</f>
        <v>Uso variable</v>
      </c>
      <c r="E897" s="14">
        <f>54</f>
        <v>54</v>
      </c>
      <c r="F897" s="21">
        <f>'Hoja 4 - Cálculo'!A78</f>
        <v>31199</v>
      </c>
      <c r="G897" s="15">
        <f>'Hoja 4 - Cálculo'!H78</f>
        <v>15.395625000000001</v>
      </c>
      <c r="H897" s="15">
        <f>IF(D897="Uso único",'Hoja 4 - Cálculo'!I78,IF(D897="Uso múltiple",AVERAGE('Hoja 4 - Cálculo'!$I$25:$I$384)+AVERAGE('Hoja 4 - Cálculo'!$J$25:$J$384)+AVERAGE('Hoja 4 - Cálculo'!$K$25:$K$384),IF(D897="Uso prioritario",'Hoja 4 - Cálculo'!I78+'Hoja 4 - Cálculo'!K78,'Hoja 4 - Cálculo'!I78+'Hoja 4 - Cálculo'!J78+'Hoja 4 - Cálculo'!K78)))</f>
        <v>11.5</v>
      </c>
      <c r="I897" s="15">
        <f t="shared" si="190"/>
        <v>11.5</v>
      </c>
      <c r="J897" s="15">
        <f t="shared" si="201"/>
        <v>3</v>
      </c>
      <c r="K897" s="15">
        <f>MIN(J897+G897,(J897+G897)*'Hoja 4 - Cálculo'!$B$15)</f>
        <v>0.36791250000000003</v>
      </c>
      <c r="L897" s="15">
        <f t="shared" si="191"/>
        <v>18.027712500000003</v>
      </c>
      <c r="M897" s="15">
        <f t="shared" si="192"/>
        <v>11.5</v>
      </c>
      <c r="N897" s="15">
        <f t="shared" si="193"/>
        <v>3</v>
      </c>
      <c r="O897" s="15">
        <f t="shared" si="194"/>
        <v>3.5277125000000034</v>
      </c>
      <c r="P897" s="15">
        <f t="shared" si="195"/>
        <v>0</v>
      </c>
      <c r="Q897" s="14" t="str">
        <f>IF(M897&gt;=I897*'Hoja 4 - Cálculo'!$B$16,"Satisfactorio","Falla")</f>
        <v>Satisfactorio</v>
      </c>
      <c r="R897" s="14">
        <f t="shared" si="202"/>
        <v>0</v>
      </c>
      <c r="S897" s="14">
        <f t="shared" si="203"/>
        <v>0</v>
      </c>
    </row>
    <row r="898" spans="1:19">
      <c r="A898" s="14" t="str">
        <f t="shared" si="200"/>
        <v>SRY-3-2</v>
      </c>
      <c r="B898" s="15">
        <f>'Curvas SRY'!$B$10</f>
        <v>3</v>
      </c>
      <c r="C898" s="15">
        <f>'Curvas SRY'!$E$9</f>
        <v>1</v>
      </c>
      <c r="D898" s="14" t="str">
        <f>'Curvas SRY'!$B$14</f>
        <v>Uso variable</v>
      </c>
      <c r="E898" s="14">
        <f>55</f>
        <v>55</v>
      </c>
      <c r="F898" s="21">
        <f>'Hoja 4 - Cálculo'!A79</f>
        <v>31229</v>
      </c>
      <c r="G898" s="15">
        <f>'Hoja 4 - Cálculo'!H79</f>
        <v>11.742749999999999</v>
      </c>
      <c r="H898" s="15">
        <f>IF(D898="Uso único",'Hoja 4 - Cálculo'!I79,IF(D898="Uso múltiple",AVERAGE('Hoja 4 - Cálculo'!$I$25:$I$384)+AVERAGE('Hoja 4 - Cálculo'!$J$25:$J$384)+AVERAGE('Hoja 4 - Cálculo'!$K$25:$K$384),IF(D898="Uso prioritario",'Hoja 4 - Cálculo'!I79+'Hoja 4 - Cálculo'!K79,'Hoja 4 - Cálculo'!I79+'Hoja 4 - Cálculo'!J79+'Hoja 4 - Cálculo'!K79)))</f>
        <v>16</v>
      </c>
      <c r="I898" s="15">
        <f t="shared" si="190"/>
        <v>16</v>
      </c>
      <c r="J898" s="15">
        <f t="shared" si="201"/>
        <v>3</v>
      </c>
      <c r="K898" s="15">
        <f>MIN(J898+G898,(J898+G898)*'Hoja 4 - Cálculo'!$B$15)</f>
        <v>0.29485499999999998</v>
      </c>
      <c r="L898" s="15">
        <f t="shared" si="191"/>
        <v>14.447894999999999</v>
      </c>
      <c r="M898" s="15">
        <f t="shared" si="192"/>
        <v>14.447894999999999</v>
      </c>
      <c r="N898" s="15">
        <f t="shared" si="193"/>
        <v>0</v>
      </c>
      <c r="O898" s="15">
        <f t="shared" si="194"/>
        <v>0</v>
      </c>
      <c r="P898" s="15">
        <f t="shared" si="195"/>
        <v>1.552105000000001</v>
      </c>
      <c r="Q898" s="14" t="str">
        <f>IF(M898&gt;=I898*'Hoja 4 - Cálculo'!$B$16,"Satisfactorio","Falla")</f>
        <v>Falla</v>
      </c>
      <c r="R898" s="14">
        <f t="shared" si="202"/>
        <v>0</v>
      </c>
      <c r="S898" s="14">
        <f t="shared" si="203"/>
        <v>1</v>
      </c>
    </row>
    <row r="899" spans="1:19">
      <c r="A899" s="14" t="str">
        <f t="shared" si="200"/>
        <v>SRY-3-2</v>
      </c>
      <c r="B899" s="15">
        <f>'Curvas SRY'!$B$10</f>
        <v>3</v>
      </c>
      <c r="C899" s="15">
        <f>'Curvas SRY'!$E$9</f>
        <v>1</v>
      </c>
      <c r="D899" s="14" t="str">
        <f>'Curvas SRY'!$B$14</f>
        <v>Uso variable</v>
      </c>
      <c r="E899" s="14">
        <f>56</f>
        <v>56</v>
      </c>
      <c r="F899" s="21">
        <f>'Hoja 4 - Cálculo'!A80</f>
        <v>31260</v>
      </c>
      <c r="G899" s="15">
        <f>'Hoja 4 - Cálculo'!H80</f>
        <v>12.603375</v>
      </c>
      <c r="H899" s="15">
        <f>IF(D899="Uso único",'Hoja 4 - Cálculo'!I80,IF(D899="Uso múltiple",AVERAGE('Hoja 4 - Cálculo'!$I$25:$I$384)+AVERAGE('Hoja 4 - Cálculo'!$J$25:$J$384)+AVERAGE('Hoja 4 - Cálculo'!$K$25:$K$384),IF(D899="Uso prioritario",'Hoja 4 - Cálculo'!I80+'Hoja 4 - Cálculo'!K80,'Hoja 4 - Cálculo'!I80+'Hoja 4 - Cálculo'!J80+'Hoja 4 - Cálculo'!K80)))</f>
        <v>16</v>
      </c>
      <c r="I899" s="15">
        <f t="shared" si="190"/>
        <v>16</v>
      </c>
      <c r="J899" s="15">
        <f t="shared" si="201"/>
        <v>0</v>
      </c>
      <c r="K899" s="15">
        <f>MIN(J899+G899,(J899+G899)*'Hoja 4 - Cálculo'!$B$15)</f>
        <v>0.2520675</v>
      </c>
      <c r="L899" s="15">
        <f t="shared" si="191"/>
        <v>12.351307499999999</v>
      </c>
      <c r="M899" s="15">
        <f t="shared" si="192"/>
        <v>12.351307499999999</v>
      </c>
      <c r="N899" s="15">
        <f t="shared" si="193"/>
        <v>0</v>
      </c>
      <c r="O899" s="15">
        <f t="shared" si="194"/>
        <v>0</v>
      </c>
      <c r="P899" s="15">
        <f t="shared" si="195"/>
        <v>3.648692500000001</v>
      </c>
      <c r="Q899" s="14" t="str">
        <f>IF(M899&gt;=I899*'Hoja 4 - Cálculo'!$B$16,"Satisfactorio","Falla")</f>
        <v>Falla</v>
      </c>
      <c r="R899" s="14">
        <f t="shared" si="202"/>
        <v>0</v>
      </c>
      <c r="S899" s="14">
        <f t="shared" si="203"/>
        <v>0</v>
      </c>
    </row>
    <row r="900" spans="1:19">
      <c r="A900" s="14" t="str">
        <f t="shared" si="200"/>
        <v>SRY-3-2</v>
      </c>
      <c r="B900" s="15">
        <f>'Curvas SRY'!$B$10</f>
        <v>3</v>
      </c>
      <c r="C900" s="15">
        <f>'Curvas SRY'!$E$9</f>
        <v>1</v>
      </c>
      <c r="D900" s="14" t="str">
        <f>'Curvas SRY'!$B$14</f>
        <v>Uso variable</v>
      </c>
      <c r="E900" s="14">
        <f>57</f>
        <v>57</v>
      </c>
      <c r="F900" s="21">
        <f>'Hoja 4 - Cálculo'!A81</f>
        <v>31291</v>
      </c>
      <c r="G900" s="15">
        <f>'Hoja 4 - Cálculo'!H81</f>
        <v>21.745125000000002</v>
      </c>
      <c r="H900" s="15">
        <f>IF(D900="Uso único",'Hoja 4 - Cálculo'!I81,IF(D900="Uso múltiple",AVERAGE('Hoja 4 - Cálculo'!$I$25:$I$384)+AVERAGE('Hoja 4 - Cálculo'!$J$25:$J$384)+AVERAGE('Hoja 4 - Cálculo'!$K$25:$K$384),IF(D900="Uso prioritario",'Hoja 4 - Cálculo'!I81+'Hoja 4 - Cálculo'!K81,'Hoja 4 - Cálculo'!I81+'Hoja 4 - Cálculo'!J81+'Hoja 4 - Cálculo'!K81)))</f>
        <v>11.5</v>
      </c>
      <c r="I900" s="15">
        <f t="shared" ref="I900:I963" si="204">H900*C900</f>
        <v>11.5</v>
      </c>
      <c r="J900" s="15">
        <f t="shared" si="201"/>
        <v>0</v>
      </c>
      <c r="K900" s="15">
        <f>MIN(J900+G900,(J900+G900)*'Hoja 4 - Cálculo'!$B$15)</f>
        <v>0.43490250000000003</v>
      </c>
      <c r="L900" s="15">
        <f t="shared" ref="L900:L963" si="205">MAX(0,J900+G900-K900)</f>
        <v>21.310222500000002</v>
      </c>
      <c r="M900" s="15">
        <f t="shared" ref="M900:M963" si="206">MIN(I900,L900)</f>
        <v>11.5</v>
      </c>
      <c r="N900" s="15">
        <f t="shared" ref="N900:N963" si="207">MIN(B900,MAX(0,L900-M900))</f>
        <v>3</v>
      </c>
      <c r="O900" s="15">
        <f t="shared" ref="O900:O963" si="208">MAX(0,L900-M900-B900)</f>
        <v>6.8102225000000018</v>
      </c>
      <c r="P900" s="15">
        <f t="shared" ref="P900:P963" si="209">MAX(0,I900-M900)</f>
        <v>0</v>
      </c>
      <c r="Q900" s="14" t="str">
        <f>IF(M900&gt;=I900*'Hoja 4 - Cálculo'!$B$16,"Satisfactorio","Falla")</f>
        <v>Satisfactorio</v>
      </c>
      <c r="R900" s="14">
        <f t="shared" si="202"/>
        <v>1</v>
      </c>
      <c r="S900" s="14">
        <f t="shared" si="203"/>
        <v>0</v>
      </c>
    </row>
    <row r="901" spans="1:19">
      <c r="A901" s="14" t="str">
        <f t="shared" si="200"/>
        <v>SRY-3-2</v>
      </c>
      <c r="B901" s="15">
        <f>'Curvas SRY'!$B$10</f>
        <v>3</v>
      </c>
      <c r="C901" s="15">
        <f>'Curvas SRY'!$E$9</f>
        <v>1</v>
      </c>
      <c r="D901" s="14" t="str">
        <f>'Curvas SRY'!$B$14</f>
        <v>Uso variable</v>
      </c>
      <c r="E901" s="14">
        <f>58</f>
        <v>58</v>
      </c>
      <c r="F901" s="21">
        <f>'Hoja 4 - Cálculo'!A82</f>
        <v>31321</v>
      </c>
      <c r="G901" s="15">
        <f>'Hoja 4 - Cálculo'!H82</f>
        <v>27.788625</v>
      </c>
      <c r="H901" s="15">
        <f>IF(D901="Uso único",'Hoja 4 - Cálculo'!I82,IF(D901="Uso múltiple",AVERAGE('Hoja 4 - Cálculo'!$I$25:$I$384)+AVERAGE('Hoja 4 - Cálculo'!$J$25:$J$384)+AVERAGE('Hoja 4 - Cálculo'!$K$25:$K$384),IF(D901="Uso prioritario",'Hoja 4 - Cálculo'!I82+'Hoja 4 - Cálculo'!K82,'Hoja 4 - Cálculo'!I82+'Hoja 4 - Cálculo'!J82+'Hoja 4 - Cálculo'!K82)))</f>
        <v>11.5</v>
      </c>
      <c r="I901" s="15">
        <f t="shared" si="204"/>
        <v>11.5</v>
      </c>
      <c r="J901" s="15">
        <f t="shared" si="201"/>
        <v>3</v>
      </c>
      <c r="K901" s="15">
        <f>MIN(J901+G901,(J901+G901)*'Hoja 4 - Cálculo'!$B$15)</f>
        <v>0.61577250000000006</v>
      </c>
      <c r="L901" s="15">
        <f t="shared" si="205"/>
        <v>30.172852500000001</v>
      </c>
      <c r="M901" s="15">
        <f t="shared" si="206"/>
        <v>11.5</v>
      </c>
      <c r="N901" s="15">
        <f t="shared" si="207"/>
        <v>3</v>
      </c>
      <c r="O901" s="15">
        <f t="shared" si="208"/>
        <v>15.672852500000001</v>
      </c>
      <c r="P901" s="15">
        <f t="shared" si="209"/>
        <v>0</v>
      </c>
      <c r="Q901" s="14" t="str">
        <f>IF(M901&gt;=I901*'Hoja 4 - Cálculo'!$B$16,"Satisfactorio","Falla")</f>
        <v>Satisfactorio</v>
      </c>
      <c r="R901" s="14">
        <f t="shared" si="202"/>
        <v>0</v>
      </c>
      <c r="S901" s="14">
        <f t="shared" si="203"/>
        <v>0</v>
      </c>
    </row>
    <row r="902" spans="1:19">
      <c r="A902" s="14" t="str">
        <f t="shared" si="200"/>
        <v>SRY-3-2</v>
      </c>
      <c r="B902" s="15">
        <f>'Curvas SRY'!$B$10</f>
        <v>3</v>
      </c>
      <c r="C902" s="15">
        <f>'Curvas SRY'!$E$9</f>
        <v>1</v>
      </c>
      <c r="D902" s="14" t="str">
        <f>'Curvas SRY'!$B$14</f>
        <v>Uso variable</v>
      </c>
      <c r="E902" s="14">
        <f>59</f>
        <v>59</v>
      </c>
      <c r="F902" s="21">
        <f>'Hoja 4 - Cálculo'!A83</f>
        <v>31352</v>
      </c>
      <c r="G902" s="15">
        <f>'Hoja 4 - Cálculo'!H83</f>
        <v>22.22325</v>
      </c>
      <c r="H902" s="15">
        <f>IF(D902="Uso único",'Hoja 4 - Cálculo'!I83,IF(D902="Uso múltiple",AVERAGE('Hoja 4 - Cálculo'!$I$25:$I$384)+AVERAGE('Hoja 4 - Cálculo'!$J$25:$J$384)+AVERAGE('Hoja 4 - Cálculo'!$K$25:$K$384),IF(D902="Uso prioritario",'Hoja 4 - Cálculo'!I83+'Hoja 4 - Cálculo'!K83,'Hoja 4 - Cálculo'!I83+'Hoja 4 - Cálculo'!J83+'Hoja 4 - Cálculo'!K83)))</f>
        <v>11.5</v>
      </c>
      <c r="I902" s="15">
        <f t="shared" si="204"/>
        <v>11.5</v>
      </c>
      <c r="J902" s="15">
        <f t="shared" si="201"/>
        <v>3</v>
      </c>
      <c r="K902" s="15">
        <f>MIN(J902+G902,(J902+G902)*'Hoja 4 - Cálculo'!$B$15)</f>
        <v>0.50446500000000005</v>
      </c>
      <c r="L902" s="15">
        <f t="shared" si="205"/>
        <v>24.718785</v>
      </c>
      <c r="M902" s="15">
        <f t="shared" si="206"/>
        <v>11.5</v>
      </c>
      <c r="N902" s="15">
        <f t="shared" si="207"/>
        <v>3</v>
      </c>
      <c r="O902" s="15">
        <f t="shared" si="208"/>
        <v>10.218785</v>
      </c>
      <c r="P902" s="15">
        <f t="shared" si="209"/>
        <v>0</v>
      </c>
      <c r="Q902" s="14" t="str">
        <f>IF(M902&gt;=I902*'Hoja 4 - Cálculo'!$B$16,"Satisfactorio","Falla")</f>
        <v>Satisfactorio</v>
      </c>
      <c r="R902" s="14">
        <f t="shared" si="202"/>
        <v>0</v>
      </c>
      <c r="S902" s="14">
        <f t="shared" si="203"/>
        <v>0</v>
      </c>
    </row>
    <row r="903" spans="1:19">
      <c r="A903" s="14" t="str">
        <f t="shared" si="200"/>
        <v>SRY-3-2</v>
      </c>
      <c r="B903" s="15">
        <f>'Curvas SRY'!$B$10</f>
        <v>3</v>
      </c>
      <c r="C903" s="15">
        <f>'Curvas SRY'!$E$9</f>
        <v>1</v>
      </c>
      <c r="D903" s="14" t="str">
        <f>'Curvas SRY'!$B$14</f>
        <v>Uso variable</v>
      </c>
      <c r="E903" s="14">
        <f>60</f>
        <v>60</v>
      </c>
      <c r="F903" s="21">
        <f>'Hoja 4 - Cálculo'!A84</f>
        <v>31382</v>
      </c>
      <c r="G903" s="15">
        <f>'Hoja 4 - Cálculo'!H84</f>
        <v>14.171625000000001</v>
      </c>
      <c r="H903" s="15">
        <f>IF(D903="Uso único",'Hoja 4 - Cálculo'!I84,IF(D903="Uso múltiple",AVERAGE('Hoja 4 - Cálculo'!$I$25:$I$384)+AVERAGE('Hoja 4 - Cálculo'!$J$25:$J$384)+AVERAGE('Hoja 4 - Cálculo'!$K$25:$K$384),IF(D903="Uso prioritario",'Hoja 4 - Cálculo'!I84+'Hoja 4 - Cálculo'!K84,'Hoja 4 - Cálculo'!I84+'Hoja 4 - Cálculo'!J84+'Hoja 4 - Cálculo'!K84)))</f>
        <v>16</v>
      </c>
      <c r="I903" s="15">
        <f t="shared" si="204"/>
        <v>16</v>
      </c>
      <c r="J903" s="15">
        <f t="shared" si="201"/>
        <v>3</v>
      </c>
      <c r="K903" s="15">
        <f>MIN(J903+G903,(J903+G903)*'Hoja 4 - Cálculo'!$B$15)</f>
        <v>0.34343249999999997</v>
      </c>
      <c r="L903" s="15">
        <f t="shared" si="205"/>
        <v>16.8281925</v>
      </c>
      <c r="M903" s="15">
        <f t="shared" si="206"/>
        <v>16</v>
      </c>
      <c r="N903" s="15">
        <f t="shared" si="207"/>
        <v>0.82819250000000011</v>
      </c>
      <c r="O903" s="15">
        <f t="shared" si="208"/>
        <v>0</v>
      </c>
      <c r="P903" s="15">
        <f t="shared" si="209"/>
        <v>0</v>
      </c>
      <c r="Q903" s="14" t="str">
        <f>IF(M903&gt;=I903*'Hoja 4 - Cálculo'!$B$16,"Satisfactorio","Falla")</f>
        <v>Satisfactorio</v>
      </c>
      <c r="R903" s="14">
        <f t="shared" si="202"/>
        <v>0</v>
      </c>
      <c r="S903" s="14">
        <f t="shared" si="203"/>
        <v>0</v>
      </c>
    </row>
    <row r="904" spans="1:19">
      <c r="A904" s="14" t="str">
        <f t="shared" si="200"/>
        <v>SRY-3-2</v>
      </c>
      <c r="B904" s="15">
        <f>'Curvas SRY'!$B$10</f>
        <v>3</v>
      </c>
      <c r="C904" s="15">
        <f>'Curvas SRY'!$E$9</f>
        <v>1</v>
      </c>
      <c r="D904" s="14" t="str">
        <f>'Curvas SRY'!$B$14</f>
        <v>Uso variable</v>
      </c>
      <c r="E904" s="14">
        <f>61</f>
        <v>61</v>
      </c>
      <c r="F904" s="21">
        <f>'Hoja 4 - Cálculo'!A85</f>
        <v>31413</v>
      </c>
      <c r="G904" s="15">
        <f>'Hoja 4 - Cálculo'!H85</f>
        <v>12.641624999999999</v>
      </c>
      <c r="H904" s="15">
        <f>IF(D904="Uso único",'Hoja 4 - Cálculo'!I85,IF(D904="Uso múltiple",AVERAGE('Hoja 4 - Cálculo'!$I$25:$I$384)+AVERAGE('Hoja 4 - Cálculo'!$J$25:$J$384)+AVERAGE('Hoja 4 - Cálculo'!$K$25:$K$384),IF(D904="Uso prioritario",'Hoja 4 - Cálculo'!I85+'Hoja 4 - Cálculo'!K85,'Hoja 4 - Cálculo'!I85+'Hoja 4 - Cálculo'!J85+'Hoja 4 - Cálculo'!K85)))</f>
        <v>16</v>
      </c>
      <c r="I904" s="15">
        <f t="shared" si="204"/>
        <v>16</v>
      </c>
      <c r="J904" s="15">
        <f t="shared" si="201"/>
        <v>0.82819250000000011</v>
      </c>
      <c r="K904" s="15">
        <f>MIN(J904+G904,(J904+G904)*'Hoja 4 - Cálculo'!$B$15)</f>
        <v>0.26939635000000001</v>
      </c>
      <c r="L904" s="15">
        <f t="shared" si="205"/>
        <v>13.20042115</v>
      </c>
      <c r="M904" s="15">
        <f t="shared" si="206"/>
        <v>13.20042115</v>
      </c>
      <c r="N904" s="15">
        <f t="shared" si="207"/>
        <v>0</v>
      </c>
      <c r="O904" s="15">
        <f t="shared" si="208"/>
        <v>0</v>
      </c>
      <c r="P904" s="15">
        <f t="shared" si="209"/>
        <v>2.7995788499999996</v>
      </c>
      <c r="Q904" s="14" t="str">
        <f>IF(M904&gt;=I904*'Hoja 4 - Cálculo'!$B$16,"Satisfactorio","Falla")</f>
        <v>Falla</v>
      </c>
      <c r="R904" s="14">
        <f t="shared" si="202"/>
        <v>0</v>
      </c>
      <c r="S904" s="14">
        <f t="shared" si="203"/>
        <v>1</v>
      </c>
    </row>
    <row r="905" spans="1:19">
      <c r="A905" s="14" t="str">
        <f t="shared" si="200"/>
        <v>SRY-3-2</v>
      </c>
      <c r="B905" s="15">
        <f>'Curvas SRY'!$B$10</f>
        <v>3</v>
      </c>
      <c r="C905" s="15">
        <f>'Curvas SRY'!$E$9</f>
        <v>1</v>
      </c>
      <c r="D905" s="14" t="str">
        <f>'Curvas SRY'!$B$14</f>
        <v>Uso variable</v>
      </c>
      <c r="E905" s="14">
        <f>62</f>
        <v>62</v>
      </c>
      <c r="F905" s="21">
        <f>'Hoja 4 - Cálculo'!A86</f>
        <v>31444</v>
      </c>
      <c r="G905" s="15">
        <f>'Hoja 4 - Cálculo'!H86</f>
        <v>15.357374999999999</v>
      </c>
      <c r="H905" s="15">
        <f>IF(D905="Uso único",'Hoja 4 - Cálculo'!I86,IF(D905="Uso múltiple",AVERAGE('Hoja 4 - Cálculo'!$I$25:$I$384)+AVERAGE('Hoja 4 - Cálculo'!$J$25:$J$384)+AVERAGE('Hoja 4 - Cálculo'!$K$25:$K$384),IF(D905="Uso prioritario",'Hoja 4 - Cálculo'!I86+'Hoja 4 - Cálculo'!K86,'Hoja 4 - Cálculo'!I86+'Hoja 4 - Cálculo'!J86+'Hoja 4 - Cálculo'!K86)))</f>
        <v>16</v>
      </c>
      <c r="I905" s="15">
        <f t="shared" si="204"/>
        <v>16</v>
      </c>
      <c r="J905" s="15">
        <f t="shared" si="201"/>
        <v>0</v>
      </c>
      <c r="K905" s="15">
        <f>MIN(J905+G905,(J905+G905)*'Hoja 4 - Cálculo'!$B$15)</f>
        <v>0.30714750000000002</v>
      </c>
      <c r="L905" s="15">
        <f t="shared" si="205"/>
        <v>15.0502275</v>
      </c>
      <c r="M905" s="15">
        <f t="shared" si="206"/>
        <v>15.0502275</v>
      </c>
      <c r="N905" s="15">
        <f t="shared" si="207"/>
        <v>0</v>
      </c>
      <c r="O905" s="15">
        <f t="shared" si="208"/>
        <v>0</v>
      </c>
      <c r="P905" s="15">
        <f t="shared" si="209"/>
        <v>0.94977249999999991</v>
      </c>
      <c r="Q905" s="14" t="str">
        <f>IF(M905&gt;=I905*'Hoja 4 - Cálculo'!$B$16,"Satisfactorio","Falla")</f>
        <v>Falla</v>
      </c>
      <c r="R905" s="14">
        <f t="shared" si="202"/>
        <v>0</v>
      </c>
      <c r="S905" s="14">
        <f t="shared" si="203"/>
        <v>0</v>
      </c>
    </row>
    <row r="906" spans="1:19">
      <c r="A906" s="14" t="str">
        <f t="shared" si="200"/>
        <v>SRY-3-2</v>
      </c>
      <c r="B906" s="15">
        <f>'Curvas SRY'!$B$10</f>
        <v>3</v>
      </c>
      <c r="C906" s="15">
        <f>'Curvas SRY'!$E$9</f>
        <v>1</v>
      </c>
      <c r="D906" s="14" t="str">
        <f>'Curvas SRY'!$B$14</f>
        <v>Uso variable</v>
      </c>
      <c r="E906" s="14">
        <f>63</f>
        <v>63</v>
      </c>
      <c r="F906" s="21">
        <f>'Hoja 4 - Cálculo'!A87</f>
        <v>31472</v>
      </c>
      <c r="G906" s="15">
        <f>'Hoja 4 - Cálculo'!H87</f>
        <v>20.846250000000001</v>
      </c>
      <c r="H906" s="15">
        <f>IF(D906="Uso único",'Hoja 4 - Cálculo'!I87,IF(D906="Uso múltiple",AVERAGE('Hoja 4 - Cálculo'!$I$25:$I$384)+AVERAGE('Hoja 4 - Cálculo'!$J$25:$J$384)+AVERAGE('Hoja 4 - Cálculo'!$K$25:$K$384),IF(D906="Uso prioritario",'Hoja 4 - Cálculo'!I87+'Hoja 4 - Cálculo'!K87,'Hoja 4 - Cálculo'!I87+'Hoja 4 - Cálculo'!J87+'Hoja 4 - Cálculo'!K87)))</f>
        <v>16</v>
      </c>
      <c r="I906" s="15">
        <f t="shared" si="204"/>
        <v>16</v>
      </c>
      <c r="J906" s="15">
        <f t="shared" si="201"/>
        <v>0</v>
      </c>
      <c r="K906" s="15">
        <f>MIN(J906+G906,(J906+G906)*'Hoja 4 - Cálculo'!$B$15)</f>
        <v>0.41692500000000005</v>
      </c>
      <c r="L906" s="15">
        <f t="shared" si="205"/>
        <v>20.429325000000002</v>
      </c>
      <c r="M906" s="15">
        <f t="shared" si="206"/>
        <v>16</v>
      </c>
      <c r="N906" s="15">
        <f t="shared" si="207"/>
        <v>3</v>
      </c>
      <c r="O906" s="15">
        <f t="shared" si="208"/>
        <v>1.4293250000000022</v>
      </c>
      <c r="P906" s="15">
        <f t="shared" si="209"/>
        <v>0</v>
      </c>
      <c r="Q906" s="14" t="str">
        <f>IF(M906&gt;=I906*'Hoja 4 - Cálculo'!$B$16,"Satisfactorio","Falla")</f>
        <v>Satisfactorio</v>
      </c>
      <c r="R906" s="14">
        <f t="shared" si="202"/>
        <v>1</v>
      </c>
      <c r="S906" s="14">
        <f t="shared" si="203"/>
        <v>0</v>
      </c>
    </row>
    <row r="907" spans="1:19">
      <c r="A907" s="14" t="str">
        <f t="shared" si="200"/>
        <v>SRY-3-2</v>
      </c>
      <c r="B907" s="15">
        <f>'Curvas SRY'!$B$10</f>
        <v>3</v>
      </c>
      <c r="C907" s="15">
        <f>'Curvas SRY'!$E$9</f>
        <v>1</v>
      </c>
      <c r="D907" s="14" t="str">
        <f>'Curvas SRY'!$B$14</f>
        <v>Uso variable</v>
      </c>
      <c r="E907" s="14">
        <f>64</f>
        <v>64</v>
      </c>
      <c r="F907" s="21">
        <f>'Hoja 4 - Cálculo'!A88</f>
        <v>31503</v>
      </c>
      <c r="G907" s="15">
        <f>'Hoja 4 - Cálculo'!H88</f>
        <v>30.638249999999999</v>
      </c>
      <c r="H907" s="15">
        <f>IF(D907="Uso único",'Hoja 4 - Cálculo'!I88,IF(D907="Uso múltiple",AVERAGE('Hoja 4 - Cálculo'!$I$25:$I$384)+AVERAGE('Hoja 4 - Cálculo'!$J$25:$J$384)+AVERAGE('Hoja 4 - Cálculo'!$K$25:$K$384),IF(D907="Uso prioritario",'Hoja 4 - Cálculo'!I88+'Hoja 4 - Cálculo'!K88,'Hoja 4 - Cálculo'!I88+'Hoja 4 - Cálculo'!J88+'Hoja 4 - Cálculo'!K88)))</f>
        <v>11.5</v>
      </c>
      <c r="I907" s="15">
        <f t="shared" si="204"/>
        <v>11.5</v>
      </c>
      <c r="J907" s="15">
        <f t="shared" si="201"/>
        <v>3</v>
      </c>
      <c r="K907" s="15">
        <f>MIN(J907+G907,(J907+G907)*'Hoja 4 - Cálculo'!$B$15)</f>
        <v>0.67276499999999995</v>
      </c>
      <c r="L907" s="15">
        <f t="shared" si="205"/>
        <v>32.965485000000001</v>
      </c>
      <c r="M907" s="15">
        <f t="shared" si="206"/>
        <v>11.5</v>
      </c>
      <c r="N907" s="15">
        <f t="shared" si="207"/>
        <v>3</v>
      </c>
      <c r="O907" s="15">
        <f t="shared" si="208"/>
        <v>18.465485000000001</v>
      </c>
      <c r="P907" s="15">
        <f t="shared" si="209"/>
        <v>0</v>
      </c>
      <c r="Q907" s="14" t="str">
        <f>IF(M907&gt;=I907*'Hoja 4 - Cálculo'!$B$16,"Satisfactorio","Falla")</f>
        <v>Satisfactorio</v>
      </c>
      <c r="R907" s="14">
        <f t="shared" si="202"/>
        <v>0</v>
      </c>
      <c r="S907" s="14">
        <f t="shared" si="203"/>
        <v>0</v>
      </c>
    </row>
    <row r="908" spans="1:19">
      <c r="A908" s="14" t="str">
        <f t="shared" ref="A908:A939" si="210">"SRY-3-2"</f>
        <v>SRY-3-2</v>
      </c>
      <c r="B908" s="15">
        <f>'Curvas SRY'!$B$10</f>
        <v>3</v>
      </c>
      <c r="C908" s="15">
        <f>'Curvas SRY'!$E$9</f>
        <v>1</v>
      </c>
      <c r="D908" s="14" t="str">
        <f>'Curvas SRY'!$B$14</f>
        <v>Uso variable</v>
      </c>
      <c r="E908" s="14">
        <f>65</f>
        <v>65</v>
      </c>
      <c r="F908" s="21">
        <f>'Hoja 4 - Cálculo'!A89</f>
        <v>31533</v>
      </c>
      <c r="G908" s="15">
        <f>'Hoja 4 - Cálculo'!H89</f>
        <v>28.438874999999999</v>
      </c>
      <c r="H908" s="15">
        <f>IF(D908="Uso único",'Hoja 4 - Cálculo'!I89,IF(D908="Uso múltiple",AVERAGE('Hoja 4 - Cálculo'!$I$25:$I$384)+AVERAGE('Hoja 4 - Cálculo'!$J$25:$J$384)+AVERAGE('Hoja 4 - Cálculo'!$K$25:$K$384),IF(D908="Uso prioritario",'Hoja 4 - Cálculo'!I89+'Hoja 4 - Cálculo'!K89,'Hoja 4 - Cálculo'!I89+'Hoja 4 - Cálculo'!J89+'Hoja 4 - Cálculo'!K89)))</f>
        <v>11.5</v>
      </c>
      <c r="I908" s="15">
        <f t="shared" si="204"/>
        <v>11.5</v>
      </c>
      <c r="J908" s="15">
        <f t="shared" si="201"/>
        <v>3</v>
      </c>
      <c r="K908" s="15">
        <f>MIN(J908+G908,(J908+G908)*'Hoja 4 - Cálculo'!$B$15)</f>
        <v>0.62877749999999999</v>
      </c>
      <c r="L908" s="15">
        <f t="shared" si="205"/>
        <v>30.810097499999998</v>
      </c>
      <c r="M908" s="15">
        <f t="shared" si="206"/>
        <v>11.5</v>
      </c>
      <c r="N908" s="15">
        <f t="shared" si="207"/>
        <v>3</v>
      </c>
      <c r="O908" s="15">
        <f t="shared" si="208"/>
        <v>16.310097499999998</v>
      </c>
      <c r="P908" s="15">
        <f t="shared" si="209"/>
        <v>0</v>
      </c>
      <c r="Q908" s="14" t="str">
        <f>IF(M908&gt;=I908*'Hoja 4 - Cálculo'!$B$16,"Satisfactorio","Falla")</f>
        <v>Satisfactorio</v>
      </c>
      <c r="R908" s="14">
        <f t="shared" si="202"/>
        <v>0</v>
      </c>
      <c r="S908" s="14">
        <f t="shared" si="203"/>
        <v>0</v>
      </c>
    </row>
    <row r="909" spans="1:19">
      <c r="A909" s="14" t="str">
        <f t="shared" si="210"/>
        <v>SRY-3-2</v>
      </c>
      <c r="B909" s="15">
        <f>'Curvas SRY'!$B$10</f>
        <v>3</v>
      </c>
      <c r="C909" s="15">
        <f>'Curvas SRY'!$E$9</f>
        <v>1</v>
      </c>
      <c r="D909" s="14" t="str">
        <f>'Curvas SRY'!$B$14</f>
        <v>Uso variable</v>
      </c>
      <c r="E909" s="14">
        <f>66</f>
        <v>66</v>
      </c>
      <c r="F909" s="21">
        <f>'Hoja 4 - Cálculo'!A90</f>
        <v>31564</v>
      </c>
      <c r="G909" s="15">
        <f>'Hoja 4 - Cálculo'!H90</f>
        <v>16.007625000000001</v>
      </c>
      <c r="H909" s="15">
        <f>IF(D909="Uso único",'Hoja 4 - Cálculo'!I90,IF(D909="Uso múltiple",AVERAGE('Hoja 4 - Cálculo'!$I$25:$I$384)+AVERAGE('Hoja 4 - Cálculo'!$J$25:$J$384)+AVERAGE('Hoja 4 - Cálculo'!$K$25:$K$384),IF(D909="Uso prioritario",'Hoja 4 - Cálculo'!I90+'Hoja 4 - Cálculo'!K90,'Hoja 4 - Cálculo'!I90+'Hoja 4 - Cálculo'!J90+'Hoja 4 - Cálculo'!K90)))</f>
        <v>11.5</v>
      </c>
      <c r="I909" s="15">
        <f t="shared" si="204"/>
        <v>11.5</v>
      </c>
      <c r="J909" s="15">
        <f t="shared" ref="J909:J940" si="211">N908</f>
        <v>3</v>
      </c>
      <c r="K909" s="15">
        <f>MIN(J909+G909,(J909+G909)*'Hoja 4 - Cálculo'!$B$15)</f>
        <v>0.3801525</v>
      </c>
      <c r="L909" s="15">
        <f t="shared" si="205"/>
        <v>18.6274725</v>
      </c>
      <c r="M909" s="15">
        <f t="shared" si="206"/>
        <v>11.5</v>
      </c>
      <c r="N909" s="15">
        <f t="shared" si="207"/>
        <v>3</v>
      </c>
      <c r="O909" s="15">
        <f t="shared" si="208"/>
        <v>4.1274724999999997</v>
      </c>
      <c r="P909" s="15">
        <f t="shared" si="209"/>
        <v>0</v>
      </c>
      <c r="Q909" s="14" t="str">
        <f>IF(M909&gt;=I909*'Hoja 4 - Cálculo'!$B$16,"Satisfactorio","Falla")</f>
        <v>Satisfactorio</v>
      </c>
      <c r="R909" s="14">
        <f t="shared" ref="R909:R940" si="212">IF(AND(Q908="Falla",Q909="Satisfactorio"),1,0)</f>
        <v>0</v>
      </c>
      <c r="S909" s="14">
        <f t="shared" ref="S909:S940" si="213">IF(AND(Q909="Falla",Q908&lt;&gt;"Falla"),1,0)</f>
        <v>0</v>
      </c>
    </row>
    <row r="910" spans="1:19">
      <c r="A910" s="14" t="str">
        <f t="shared" si="210"/>
        <v>SRY-3-2</v>
      </c>
      <c r="B910" s="15">
        <f>'Curvas SRY'!$B$10</f>
        <v>3</v>
      </c>
      <c r="C910" s="15">
        <f>'Curvas SRY'!$E$9</f>
        <v>1</v>
      </c>
      <c r="D910" s="14" t="str">
        <f>'Curvas SRY'!$B$14</f>
        <v>Uso variable</v>
      </c>
      <c r="E910" s="14">
        <f>67</f>
        <v>67</v>
      </c>
      <c r="F910" s="21">
        <f>'Hoja 4 - Cálculo'!A91</f>
        <v>31594</v>
      </c>
      <c r="G910" s="15">
        <f>'Hoja 4 - Cálculo'!H91</f>
        <v>14.056875</v>
      </c>
      <c r="H910" s="15">
        <f>IF(D910="Uso único",'Hoja 4 - Cálculo'!I91,IF(D910="Uso múltiple",AVERAGE('Hoja 4 - Cálculo'!$I$25:$I$384)+AVERAGE('Hoja 4 - Cálculo'!$J$25:$J$384)+AVERAGE('Hoja 4 - Cálculo'!$K$25:$K$384),IF(D910="Uso prioritario",'Hoja 4 - Cálculo'!I91+'Hoja 4 - Cálculo'!K91,'Hoja 4 - Cálculo'!I91+'Hoja 4 - Cálculo'!J91+'Hoja 4 - Cálculo'!K91)))</f>
        <v>16</v>
      </c>
      <c r="I910" s="15">
        <f t="shared" si="204"/>
        <v>16</v>
      </c>
      <c r="J910" s="15">
        <f t="shared" si="211"/>
        <v>3</v>
      </c>
      <c r="K910" s="15">
        <f>MIN(J910+G910,(J910+G910)*'Hoja 4 - Cálculo'!$B$15)</f>
        <v>0.34113749999999998</v>
      </c>
      <c r="L910" s="15">
        <f t="shared" si="205"/>
        <v>16.715737499999999</v>
      </c>
      <c r="M910" s="15">
        <f t="shared" si="206"/>
        <v>16</v>
      </c>
      <c r="N910" s="15">
        <f t="shared" si="207"/>
        <v>0.71573749999999947</v>
      </c>
      <c r="O910" s="15">
        <f t="shared" si="208"/>
        <v>0</v>
      </c>
      <c r="P910" s="15">
        <f t="shared" si="209"/>
        <v>0</v>
      </c>
      <c r="Q910" s="14" t="str">
        <f>IF(M910&gt;=I910*'Hoja 4 - Cálculo'!$B$16,"Satisfactorio","Falla")</f>
        <v>Satisfactorio</v>
      </c>
      <c r="R910" s="14">
        <f t="shared" si="212"/>
        <v>0</v>
      </c>
      <c r="S910" s="14">
        <f t="shared" si="213"/>
        <v>0</v>
      </c>
    </row>
    <row r="911" spans="1:19">
      <c r="A911" s="14" t="str">
        <f t="shared" si="210"/>
        <v>SRY-3-2</v>
      </c>
      <c r="B911" s="15">
        <f>'Curvas SRY'!$B$10</f>
        <v>3</v>
      </c>
      <c r="C911" s="15">
        <f>'Curvas SRY'!$E$9</f>
        <v>1</v>
      </c>
      <c r="D911" s="14" t="str">
        <f>'Curvas SRY'!$B$14</f>
        <v>Uso variable</v>
      </c>
      <c r="E911" s="14">
        <f>68</f>
        <v>68</v>
      </c>
      <c r="F911" s="21">
        <f>'Hoja 4 - Cálculo'!A92</f>
        <v>31625</v>
      </c>
      <c r="G911" s="15">
        <f>'Hoja 4 - Cálculo'!H92</f>
        <v>15.032249999999999</v>
      </c>
      <c r="H911" s="15">
        <f>IF(D911="Uso único",'Hoja 4 - Cálculo'!I92,IF(D911="Uso múltiple",AVERAGE('Hoja 4 - Cálculo'!$I$25:$I$384)+AVERAGE('Hoja 4 - Cálculo'!$J$25:$J$384)+AVERAGE('Hoja 4 - Cálculo'!$K$25:$K$384),IF(D911="Uso prioritario",'Hoja 4 - Cálculo'!I92+'Hoja 4 - Cálculo'!K92,'Hoja 4 - Cálculo'!I92+'Hoja 4 - Cálculo'!J92+'Hoja 4 - Cálculo'!K92)))</f>
        <v>16</v>
      </c>
      <c r="I911" s="15">
        <f t="shared" si="204"/>
        <v>16</v>
      </c>
      <c r="J911" s="15">
        <f t="shared" si="211"/>
        <v>0.71573749999999947</v>
      </c>
      <c r="K911" s="15">
        <f>MIN(J911+G911,(J911+G911)*'Hoja 4 - Cálculo'!$B$15)</f>
        <v>0.31495974999999998</v>
      </c>
      <c r="L911" s="15">
        <f t="shared" si="205"/>
        <v>15.433027749999999</v>
      </c>
      <c r="M911" s="15">
        <f t="shared" si="206"/>
        <v>15.433027749999999</v>
      </c>
      <c r="N911" s="15">
        <f t="shared" si="207"/>
        <v>0</v>
      </c>
      <c r="O911" s="15">
        <f t="shared" si="208"/>
        <v>0</v>
      </c>
      <c r="P911" s="15">
        <f t="shared" si="209"/>
        <v>0.56697225000000095</v>
      </c>
      <c r="Q911" s="14" t="str">
        <f>IF(M911&gt;=I911*'Hoja 4 - Cálculo'!$B$16,"Satisfactorio","Falla")</f>
        <v>Falla</v>
      </c>
      <c r="R911" s="14">
        <f t="shared" si="212"/>
        <v>0</v>
      </c>
      <c r="S911" s="14">
        <f t="shared" si="213"/>
        <v>1</v>
      </c>
    </row>
    <row r="912" spans="1:19">
      <c r="A912" s="14" t="str">
        <f t="shared" si="210"/>
        <v>SRY-3-2</v>
      </c>
      <c r="B912" s="15">
        <f>'Curvas SRY'!$B$10</f>
        <v>3</v>
      </c>
      <c r="C912" s="15">
        <f>'Curvas SRY'!$E$9</f>
        <v>1</v>
      </c>
      <c r="D912" s="14" t="str">
        <f>'Curvas SRY'!$B$14</f>
        <v>Uso variable</v>
      </c>
      <c r="E912" s="14">
        <f>69</f>
        <v>69</v>
      </c>
      <c r="F912" s="21">
        <f>'Hoja 4 - Cálculo'!A93</f>
        <v>31656</v>
      </c>
      <c r="G912" s="15">
        <f>'Hoja 4 - Cálculo'!H93</f>
        <v>22.60575</v>
      </c>
      <c r="H912" s="15">
        <f>IF(D912="Uso único",'Hoja 4 - Cálculo'!I93,IF(D912="Uso múltiple",AVERAGE('Hoja 4 - Cálculo'!$I$25:$I$384)+AVERAGE('Hoja 4 - Cálculo'!$J$25:$J$384)+AVERAGE('Hoja 4 - Cálculo'!$K$25:$K$384),IF(D912="Uso prioritario",'Hoja 4 - Cálculo'!I93+'Hoja 4 - Cálculo'!K93,'Hoja 4 - Cálculo'!I93+'Hoja 4 - Cálculo'!J93+'Hoja 4 - Cálculo'!K93)))</f>
        <v>11.5</v>
      </c>
      <c r="I912" s="15">
        <f t="shared" si="204"/>
        <v>11.5</v>
      </c>
      <c r="J912" s="15">
        <f t="shared" si="211"/>
        <v>0</v>
      </c>
      <c r="K912" s="15">
        <f>MIN(J912+G912,(J912+G912)*'Hoja 4 - Cálculo'!$B$15)</f>
        <v>0.45211500000000004</v>
      </c>
      <c r="L912" s="15">
        <f t="shared" si="205"/>
        <v>22.153635000000001</v>
      </c>
      <c r="M912" s="15">
        <f t="shared" si="206"/>
        <v>11.5</v>
      </c>
      <c r="N912" s="15">
        <f t="shared" si="207"/>
        <v>3</v>
      </c>
      <c r="O912" s="15">
        <f t="shared" si="208"/>
        <v>7.6536350000000013</v>
      </c>
      <c r="P912" s="15">
        <f t="shared" si="209"/>
        <v>0</v>
      </c>
      <c r="Q912" s="14" t="str">
        <f>IF(M912&gt;=I912*'Hoja 4 - Cálculo'!$B$16,"Satisfactorio","Falla")</f>
        <v>Satisfactorio</v>
      </c>
      <c r="R912" s="14">
        <f t="shared" si="212"/>
        <v>1</v>
      </c>
      <c r="S912" s="14">
        <f t="shared" si="213"/>
        <v>0</v>
      </c>
    </row>
    <row r="913" spans="1:19">
      <c r="A913" s="14" t="str">
        <f t="shared" si="210"/>
        <v>SRY-3-2</v>
      </c>
      <c r="B913" s="15">
        <f>'Curvas SRY'!$B$10</f>
        <v>3</v>
      </c>
      <c r="C913" s="15">
        <f>'Curvas SRY'!$E$9</f>
        <v>1</v>
      </c>
      <c r="D913" s="14" t="str">
        <f>'Curvas SRY'!$B$14</f>
        <v>Uso variable</v>
      </c>
      <c r="E913" s="14">
        <f>70</f>
        <v>70</v>
      </c>
      <c r="F913" s="21">
        <f>'Hoja 4 - Cálculo'!A94</f>
        <v>31686</v>
      </c>
      <c r="G913" s="15">
        <f>'Hoja 4 - Cálculo'!H94</f>
        <v>32.531624999999998</v>
      </c>
      <c r="H913" s="15">
        <f>IF(D913="Uso único",'Hoja 4 - Cálculo'!I94,IF(D913="Uso múltiple",AVERAGE('Hoja 4 - Cálculo'!$I$25:$I$384)+AVERAGE('Hoja 4 - Cálculo'!$J$25:$J$384)+AVERAGE('Hoja 4 - Cálculo'!$K$25:$K$384),IF(D913="Uso prioritario",'Hoja 4 - Cálculo'!I94+'Hoja 4 - Cálculo'!K94,'Hoja 4 - Cálculo'!I94+'Hoja 4 - Cálculo'!J94+'Hoja 4 - Cálculo'!K94)))</f>
        <v>11.5</v>
      </c>
      <c r="I913" s="15">
        <f t="shared" si="204"/>
        <v>11.5</v>
      </c>
      <c r="J913" s="15">
        <f t="shared" si="211"/>
        <v>3</v>
      </c>
      <c r="K913" s="15">
        <f>MIN(J913+G913,(J913+G913)*'Hoja 4 - Cálculo'!$B$15)</f>
        <v>0.7106325</v>
      </c>
      <c r="L913" s="15">
        <f t="shared" si="205"/>
        <v>34.820992499999996</v>
      </c>
      <c r="M913" s="15">
        <f t="shared" si="206"/>
        <v>11.5</v>
      </c>
      <c r="N913" s="15">
        <f t="shared" si="207"/>
        <v>3</v>
      </c>
      <c r="O913" s="15">
        <f t="shared" si="208"/>
        <v>20.320992499999996</v>
      </c>
      <c r="P913" s="15">
        <f t="shared" si="209"/>
        <v>0</v>
      </c>
      <c r="Q913" s="14" t="str">
        <f>IF(M913&gt;=I913*'Hoja 4 - Cálculo'!$B$16,"Satisfactorio","Falla")</f>
        <v>Satisfactorio</v>
      </c>
      <c r="R913" s="14">
        <f t="shared" si="212"/>
        <v>0</v>
      </c>
      <c r="S913" s="14">
        <f t="shared" si="213"/>
        <v>0</v>
      </c>
    </row>
    <row r="914" spans="1:19">
      <c r="A914" s="14" t="str">
        <f t="shared" si="210"/>
        <v>SRY-3-2</v>
      </c>
      <c r="B914" s="15">
        <f>'Curvas SRY'!$B$10</f>
        <v>3</v>
      </c>
      <c r="C914" s="15">
        <f>'Curvas SRY'!$E$9</f>
        <v>1</v>
      </c>
      <c r="D914" s="14" t="str">
        <f>'Curvas SRY'!$B$14</f>
        <v>Uso variable</v>
      </c>
      <c r="E914" s="14">
        <f>71</f>
        <v>71</v>
      </c>
      <c r="F914" s="21">
        <f>'Hoja 4 - Cálculo'!A95</f>
        <v>31717</v>
      </c>
      <c r="G914" s="15">
        <f>'Hoja 4 - Cálculo'!H95</f>
        <v>26.641124999999999</v>
      </c>
      <c r="H914" s="15">
        <f>IF(D914="Uso único",'Hoja 4 - Cálculo'!I95,IF(D914="Uso múltiple",AVERAGE('Hoja 4 - Cálculo'!$I$25:$I$384)+AVERAGE('Hoja 4 - Cálculo'!$J$25:$J$384)+AVERAGE('Hoja 4 - Cálculo'!$K$25:$K$384),IF(D914="Uso prioritario",'Hoja 4 - Cálculo'!I95+'Hoja 4 - Cálculo'!K95,'Hoja 4 - Cálculo'!I95+'Hoja 4 - Cálculo'!J95+'Hoja 4 - Cálculo'!K95)))</f>
        <v>11.5</v>
      </c>
      <c r="I914" s="15">
        <f t="shared" si="204"/>
        <v>11.5</v>
      </c>
      <c r="J914" s="15">
        <f t="shared" si="211"/>
        <v>3</v>
      </c>
      <c r="K914" s="15">
        <f>MIN(J914+G914,(J914+G914)*'Hoja 4 - Cálculo'!$B$15)</f>
        <v>0.59282250000000003</v>
      </c>
      <c r="L914" s="15">
        <f t="shared" si="205"/>
        <v>29.048302499999998</v>
      </c>
      <c r="M914" s="15">
        <f t="shared" si="206"/>
        <v>11.5</v>
      </c>
      <c r="N914" s="15">
        <f t="shared" si="207"/>
        <v>3</v>
      </c>
      <c r="O914" s="15">
        <f t="shared" si="208"/>
        <v>14.548302499999998</v>
      </c>
      <c r="P914" s="15">
        <f t="shared" si="209"/>
        <v>0</v>
      </c>
      <c r="Q914" s="14" t="str">
        <f>IF(M914&gt;=I914*'Hoja 4 - Cálculo'!$B$16,"Satisfactorio","Falla")</f>
        <v>Satisfactorio</v>
      </c>
      <c r="R914" s="14">
        <f t="shared" si="212"/>
        <v>0</v>
      </c>
      <c r="S914" s="14">
        <f t="shared" si="213"/>
        <v>0</v>
      </c>
    </row>
    <row r="915" spans="1:19">
      <c r="A915" s="14" t="str">
        <f t="shared" si="210"/>
        <v>SRY-3-2</v>
      </c>
      <c r="B915" s="15">
        <f>'Curvas SRY'!$B$10</f>
        <v>3</v>
      </c>
      <c r="C915" s="15">
        <f>'Curvas SRY'!$E$9</f>
        <v>1</v>
      </c>
      <c r="D915" s="14" t="str">
        <f>'Curvas SRY'!$B$14</f>
        <v>Uso variable</v>
      </c>
      <c r="E915" s="14">
        <f>72</f>
        <v>72</v>
      </c>
      <c r="F915" s="21">
        <f>'Hoja 4 - Cálculo'!A96</f>
        <v>31747</v>
      </c>
      <c r="G915" s="15">
        <f>'Hoja 4 - Cálculo'!H96</f>
        <v>15.166124999999999</v>
      </c>
      <c r="H915" s="15">
        <f>IF(D915="Uso único",'Hoja 4 - Cálculo'!I96,IF(D915="Uso múltiple",AVERAGE('Hoja 4 - Cálculo'!$I$25:$I$384)+AVERAGE('Hoja 4 - Cálculo'!$J$25:$J$384)+AVERAGE('Hoja 4 - Cálculo'!$K$25:$K$384),IF(D915="Uso prioritario",'Hoja 4 - Cálculo'!I96+'Hoja 4 - Cálculo'!K96,'Hoja 4 - Cálculo'!I96+'Hoja 4 - Cálculo'!J96+'Hoja 4 - Cálculo'!K96)))</f>
        <v>16</v>
      </c>
      <c r="I915" s="15">
        <f t="shared" si="204"/>
        <v>16</v>
      </c>
      <c r="J915" s="15">
        <f t="shared" si="211"/>
        <v>3</v>
      </c>
      <c r="K915" s="15">
        <f>MIN(J915+G915,(J915+G915)*'Hoja 4 - Cálculo'!$B$15)</f>
        <v>0.36332250000000005</v>
      </c>
      <c r="L915" s="15">
        <f t="shared" si="205"/>
        <v>17.802802500000002</v>
      </c>
      <c r="M915" s="15">
        <f t="shared" si="206"/>
        <v>16</v>
      </c>
      <c r="N915" s="15">
        <f t="shared" si="207"/>
        <v>1.8028025000000021</v>
      </c>
      <c r="O915" s="15">
        <f t="shared" si="208"/>
        <v>0</v>
      </c>
      <c r="P915" s="15">
        <f t="shared" si="209"/>
        <v>0</v>
      </c>
      <c r="Q915" s="14" t="str">
        <f>IF(M915&gt;=I915*'Hoja 4 - Cálculo'!$B$16,"Satisfactorio","Falla")</f>
        <v>Satisfactorio</v>
      </c>
      <c r="R915" s="14">
        <f t="shared" si="212"/>
        <v>0</v>
      </c>
      <c r="S915" s="14">
        <f t="shared" si="213"/>
        <v>0</v>
      </c>
    </row>
    <row r="916" spans="1:19">
      <c r="A916" s="14" t="str">
        <f t="shared" si="210"/>
        <v>SRY-3-2</v>
      </c>
      <c r="B916" s="15">
        <f>'Curvas SRY'!$B$10</f>
        <v>3</v>
      </c>
      <c r="C916" s="15">
        <f>'Curvas SRY'!$E$9</f>
        <v>1</v>
      </c>
      <c r="D916" s="14" t="str">
        <f>'Curvas SRY'!$B$14</f>
        <v>Uso variable</v>
      </c>
      <c r="E916" s="14">
        <f>73</f>
        <v>73</v>
      </c>
      <c r="F916" s="21">
        <f>'Hoja 4 - Cálculo'!A97</f>
        <v>31778</v>
      </c>
      <c r="G916" s="15">
        <f>'Hoja 4 - Cálculo'!H97</f>
        <v>14.056875</v>
      </c>
      <c r="H916" s="15">
        <f>IF(D916="Uso único",'Hoja 4 - Cálculo'!I97,IF(D916="Uso múltiple",AVERAGE('Hoja 4 - Cálculo'!$I$25:$I$384)+AVERAGE('Hoja 4 - Cálculo'!$J$25:$J$384)+AVERAGE('Hoja 4 - Cálculo'!$K$25:$K$384),IF(D916="Uso prioritario",'Hoja 4 - Cálculo'!I97+'Hoja 4 - Cálculo'!K97,'Hoja 4 - Cálculo'!I97+'Hoja 4 - Cálculo'!J97+'Hoja 4 - Cálculo'!K97)))</f>
        <v>16</v>
      </c>
      <c r="I916" s="15">
        <f t="shared" si="204"/>
        <v>16</v>
      </c>
      <c r="J916" s="15">
        <f t="shared" si="211"/>
        <v>1.8028025000000021</v>
      </c>
      <c r="K916" s="15">
        <f>MIN(J916+G916,(J916+G916)*'Hoja 4 - Cálculo'!$B$15)</f>
        <v>0.31719355000000005</v>
      </c>
      <c r="L916" s="15">
        <f t="shared" si="205"/>
        <v>15.542483950000001</v>
      </c>
      <c r="M916" s="15">
        <f t="shared" si="206"/>
        <v>15.542483950000001</v>
      </c>
      <c r="N916" s="15">
        <f t="shared" si="207"/>
        <v>0</v>
      </c>
      <c r="O916" s="15">
        <f t="shared" si="208"/>
        <v>0</v>
      </c>
      <c r="P916" s="15">
        <f t="shared" si="209"/>
        <v>0.45751604999999884</v>
      </c>
      <c r="Q916" s="14" t="str">
        <f>IF(M916&gt;=I916*'Hoja 4 - Cálculo'!$B$16,"Satisfactorio","Falla")</f>
        <v>Falla</v>
      </c>
      <c r="R916" s="14">
        <f t="shared" si="212"/>
        <v>0</v>
      </c>
      <c r="S916" s="14">
        <f t="shared" si="213"/>
        <v>1</v>
      </c>
    </row>
    <row r="917" spans="1:19">
      <c r="A917" s="14" t="str">
        <f t="shared" si="210"/>
        <v>SRY-3-2</v>
      </c>
      <c r="B917" s="15">
        <f>'Curvas SRY'!$B$10</f>
        <v>3</v>
      </c>
      <c r="C917" s="15">
        <f>'Curvas SRY'!$E$9</f>
        <v>1</v>
      </c>
      <c r="D917" s="14" t="str">
        <f>'Curvas SRY'!$B$14</f>
        <v>Uso variable</v>
      </c>
      <c r="E917" s="14">
        <f>74</f>
        <v>74</v>
      </c>
      <c r="F917" s="21">
        <f>'Hoja 4 - Cálculo'!A98</f>
        <v>31809</v>
      </c>
      <c r="G917" s="15">
        <f>'Hoja 4 - Cálculo'!H98</f>
        <v>15.969374999999999</v>
      </c>
      <c r="H917" s="15">
        <f>IF(D917="Uso único",'Hoja 4 - Cálculo'!I98,IF(D917="Uso múltiple",AVERAGE('Hoja 4 - Cálculo'!$I$25:$I$384)+AVERAGE('Hoja 4 - Cálculo'!$J$25:$J$384)+AVERAGE('Hoja 4 - Cálculo'!$K$25:$K$384),IF(D917="Uso prioritario",'Hoja 4 - Cálculo'!I98+'Hoja 4 - Cálculo'!K98,'Hoja 4 - Cálculo'!I98+'Hoja 4 - Cálculo'!J98+'Hoja 4 - Cálculo'!K98)))</f>
        <v>16</v>
      </c>
      <c r="I917" s="15">
        <f t="shared" si="204"/>
        <v>16</v>
      </c>
      <c r="J917" s="15">
        <f t="shared" si="211"/>
        <v>0</v>
      </c>
      <c r="K917" s="15">
        <f>MIN(J917+G917,(J917+G917)*'Hoja 4 - Cálculo'!$B$15)</f>
        <v>0.31938749999999999</v>
      </c>
      <c r="L917" s="15">
        <f t="shared" si="205"/>
        <v>15.6499875</v>
      </c>
      <c r="M917" s="15">
        <f t="shared" si="206"/>
        <v>15.6499875</v>
      </c>
      <c r="N917" s="15">
        <f t="shared" si="207"/>
        <v>0</v>
      </c>
      <c r="O917" s="15">
        <f t="shared" si="208"/>
        <v>0</v>
      </c>
      <c r="P917" s="15">
        <f t="shared" si="209"/>
        <v>0.35001250000000006</v>
      </c>
      <c r="Q917" s="14" t="str">
        <f>IF(M917&gt;=I917*'Hoja 4 - Cálculo'!$B$16,"Satisfactorio","Falla")</f>
        <v>Falla</v>
      </c>
      <c r="R917" s="14">
        <f t="shared" si="212"/>
        <v>0</v>
      </c>
      <c r="S917" s="14">
        <f t="shared" si="213"/>
        <v>0</v>
      </c>
    </row>
    <row r="918" spans="1:19">
      <c r="A918" s="14" t="str">
        <f t="shared" si="210"/>
        <v>SRY-3-2</v>
      </c>
      <c r="B918" s="15">
        <f>'Curvas SRY'!$B$10</f>
        <v>3</v>
      </c>
      <c r="C918" s="15">
        <f>'Curvas SRY'!$E$9</f>
        <v>1</v>
      </c>
      <c r="D918" s="14" t="str">
        <f>'Curvas SRY'!$B$14</f>
        <v>Uso variable</v>
      </c>
      <c r="E918" s="14">
        <f>75</f>
        <v>75</v>
      </c>
      <c r="F918" s="21">
        <f>'Hoja 4 - Cálculo'!A99</f>
        <v>31837</v>
      </c>
      <c r="G918" s="15">
        <f>'Hoja 4 - Cálculo'!H99</f>
        <v>22.797000000000001</v>
      </c>
      <c r="H918" s="15">
        <f>IF(D918="Uso único",'Hoja 4 - Cálculo'!I99,IF(D918="Uso múltiple",AVERAGE('Hoja 4 - Cálculo'!$I$25:$I$384)+AVERAGE('Hoja 4 - Cálculo'!$J$25:$J$384)+AVERAGE('Hoja 4 - Cálculo'!$K$25:$K$384),IF(D918="Uso prioritario",'Hoja 4 - Cálculo'!I99+'Hoja 4 - Cálculo'!K99,'Hoja 4 - Cálculo'!I99+'Hoja 4 - Cálculo'!J99+'Hoja 4 - Cálculo'!K99)))</f>
        <v>16</v>
      </c>
      <c r="I918" s="15">
        <f t="shared" si="204"/>
        <v>16</v>
      </c>
      <c r="J918" s="15">
        <f t="shared" si="211"/>
        <v>0</v>
      </c>
      <c r="K918" s="15">
        <f>MIN(J918+G918,(J918+G918)*'Hoja 4 - Cálculo'!$B$15)</f>
        <v>0.45594000000000001</v>
      </c>
      <c r="L918" s="15">
        <f t="shared" si="205"/>
        <v>22.341059999999999</v>
      </c>
      <c r="M918" s="15">
        <f t="shared" si="206"/>
        <v>16</v>
      </c>
      <c r="N918" s="15">
        <f t="shared" si="207"/>
        <v>3</v>
      </c>
      <c r="O918" s="15">
        <f t="shared" si="208"/>
        <v>3.3410599999999988</v>
      </c>
      <c r="P918" s="15">
        <f t="shared" si="209"/>
        <v>0</v>
      </c>
      <c r="Q918" s="14" t="str">
        <f>IF(M918&gt;=I918*'Hoja 4 - Cálculo'!$B$16,"Satisfactorio","Falla")</f>
        <v>Satisfactorio</v>
      </c>
      <c r="R918" s="14">
        <f t="shared" si="212"/>
        <v>1</v>
      </c>
      <c r="S918" s="14">
        <f t="shared" si="213"/>
        <v>0</v>
      </c>
    </row>
    <row r="919" spans="1:19">
      <c r="A919" s="14" t="str">
        <f t="shared" si="210"/>
        <v>SRY-3-2</v>
      </c>
      <c r="B919" s="15">
        <f>'Curvas SRY'!$B$10</f>
        <v>3</v>
      </c>
      <c r="C919" s="15">
        <f>'Curvas SRY'!$E$9</f>
        <v>1</v>
      </c>
      <c r="D919" s="14" t="str">
        <f>'Curvas SRY'!$B$14</f>
        <v>Uso variable</v>
      </c>
      <c r="E919" s="14">
        <f>76</f>
        <v>76</v>
      </c>
      <c r="F919" s="21">
        <f>'Hoja 4 - Cálculo'!A100</f>
        <v>31868</v>
      </c>
      <c r="G919" s="15">
        <f>'Hoja 4 - Cálculo'!H100</f>
        <v>34.138125000000002</v>
      </c>
      <c r="H919" s="15">
        <f>IF(D919="Uso único",'Hoja 4 - Cálculo'!I100,IF(D919="Uso múltiple",AVERAGE('Hoja 4 - Cálculo'!$I$25:$I$384)+AVERAGE('Hoja 4 - Cálculo'!$J$25:$J$384)+AVERAGE('Hoja 4 - Cálculo'!$K$25:$K$384),IF(D919="Uso prioritario",'Hoja 4 - Cálculo'!I100+'Hoja 4 - Cálculo'!K100,'Hoja 4 - Cálculo'!I100+'Hoja 4 - Cálculo'!J100+'Hoja 4 - Cálculo'!K100)))</f>
        <v>11.5</v>
      </c>
      <c r="I919" s="15">
        <f t="shared" si="204"/>
        <v>11.5</v>
      </c>
      <c r="J919" s="15">
        <f t="shared" si="211"/>
        <v>3</v>
      </c>
      <c r="K919" s="15">
        <f>MIN(J919+G919,(J919+G919)*'Hoja 4 - Cálculo'!$B$15)</f>
        <v>0.7427625000000001</v>
      </c>
      <c r="L919" s="15">
        <f t="shared" si="205"/>
        <v>36.395362500000005</v>
      </c>
      <c r="M919" s="15">
        <f t="shared" si="206"/>
        <v>11.5</v>
      </c>
      <c r="N919" s="15">
        <f t="shared" si="207"/>
        <v>3</v>
      </c>
      <c r="O919" s="15">
        <f t="shared" si="208"/>
        <v>21.895362500000005</v>
      </c>
      <c r="P919" s="15">
        <f t="shared" si="209"/>
        <v>0</v>
      </c>
      <c r="Q919" s="14" t="str">
        <f>IF(M919&gt;=I919*'Hoja 4 - Cálculo'!$B$16,"Satisfactorio","Falla")</f>
        <v>Satisfactorio</v>
      </c>
      <c r="R919" s="14">
        <f t="shared" si="212"/>
        <v>0</v>
      </c>
      <c r="S919" s="14">
        <f t="shared" si="213"/>
        <v>0</v>
      </c>
    </row>
    <row r="920" spans="1:19">
      <c r="A920" s="14" t="str">
        <f t="shared" si="210"/>
        <v>SRY-3-2</v>
      </c>
      <c r="B920" s="15">
        <f>'Curvas SRY'!$B$10</f>
        <v>3</v>
      </c>
      <c r="C920" s="15">
        <f>'Curvas SRY'!$E$9</f>
        <v>1</v>
      </c>
      <c r="D920" s="14" t="str">
        <f>'Curvas SRY'!$B$14</f>
        <v>Uso variable</v>
      </c>
      <c r="E920" s="14">
        <f>77</f>
        <v>77</v>
      </c>
      <c r="F920" s="21">
        <f>'Hoja 4 - Cálculo'!A101</f>
        <v>31898</v>
      </c>
      <c r="G920" s="15">
        <f>'Hoja 4 - Cálculo'!H101</f>
        <v>28.534500000000001</v>
      </c>
      <c r="H920" s="15">
        <f>IF(D920="Uso único",'Hoja 4 - Cálculo'!I101,IF(D920="Uso múltiple",AVERAGE('Hoja 4 - Cálculo'!$I$25:$I$384)+AVERAGE('Hoja 4 - Cálculo'!$J$25:$J$384)+AVERAGE('Hoja 4 - Cálculo'!$K$25:$K$384),IF(D920="Uso prioritario",'Hoja 4 - Cálculo'!I101+'Hoja 4 - Cálculo'!K101,'Hoja 4 - Cálculo'!I101+'Hoja 4 - Cálculo'!J101+'Hoja 4 - Cálculo'!K101)))</f>
        <v>11.5</v>
      </c>
      <c r="I920" s="15">
        <f t="shared" si="204"/>
        <v>11.5</v>
      </c>
      <c r="J920" s="15">
        <f t="shared" si="211"/>
        <v>3</v>
      </c>
      <c r="K920" s="15">
        <f>MIN(J920+G920,(J920+G920)*'Hoja 4 - Cálculo'!$B$15)</f>
        <v>0.63069000000000008</v>
      </c>
      <c r="L920" s="15">
        <f t="shared" si="205"/>
        <v>30.90381</v>
      </c>
      <c r="M920" s="15">
        <f t="shared" si="206"/>
        <v>11.5</v>
      </c>
      <c r="N920" s="15">
        <f t="shared" si="207"/>
        <v>3</v>
      </c>
      <c r="O920" s="15">
        <f t="shared" si="208"/>
        <v>16.40381</v>
      </c>
      <c r="P920" s="15">
        <f t="shared" si="209"/>
        <v>0</v>
      </c>
      <c r="Q920" s="14" t="str">
        <f>IF(M920&gt;=I920*'Hoja 4 - Cálculo'!$B$16,"Satisfactorio","Falla")</f>
        <v>Satisfactorio</v>
      </c>
      <c r="R920" s="14">
        <f t="shared" si="212"/>
        <v>0</v>
      </c>
      <c r="S920" s="14">
        <f t="shared" si="213"/>
        <v>0</v>
      </c>
    </row>
    <row r="921" spans="1:19">
      <c r="A921" s="14" t="str">
        <f t="shared" si="210"/>
        <v>SRY-3-2</v>
      </c>
      <c r="B921" s="15">
        <f>'Curvas SRY'!$B$10</f>
        <v>3</v>
      </c>
      <c r="C921" s="15">
        <f>'Curvas SRY'!$E$9</f>
        <v>1</v>
      </c>
      <c r="D921" s="14" t="str">
        <f>'Curvas SRY'!$B$14</f>
        <v>Uso variable</v>
      </c>
      <c r="E921" s="14">
        <f>78</f>
        <v>78</v>
      </c>
      <c r="F921" s="21">
        <f>'Hoja 4 - Cálculo'!A102</f>
        <v>31929</v>
      </c>
      <c r="G921" s="15">
        <f>'Hoja 4 - Cálculo'!H102</f>
        <v>18.589500000000001</v>
      </c>
      <c r="H921" s="15">
        <f>IF(D921="Uso único",'Hoja 4 - Cálculo'!I102,IF(D921="Uso múltiple",AVERAGE('Hoja 4 - Cálculo'!$I$25:$I$384)+AVERAGE('Hoja 4 - Cálculo'!$J$25:$J$384)+AVERAGE('Hoja 4 - Cálculo'!$K$25:$K$384),IF(D921="Uso prioritario",'Hoja 4 - Cálculo'!I102+'Hoja 4 - Cálculo'!K102,'Hoja 4 - Cálculo'!I102+'Hoja 4 - Cálculo'!J102+'Hoja 4 - Cálculo'!K102)))</f>
        <v>11.5</v>
      </c>
      <c r="I921" s="15">
        <f t="shared" si="204"/>
        <v>11.5</v>
      </c>
      <c r="J921" s="15">
        <f t="shared" si="211"/>
        <v>3</v>
      </c>
      <c r="K921" s="15">
        <f>MIN(J921+G921,(J921+G921)*'Hoja 4 - Cálculo'!$B$15)</f>
        <v>0.43179000000000001</v>
      </c>
      <c r="L921" s="15">
        <f t="shared" si="205"/>
        <v>21.157710000000002</v>
      </c>
      <c r="M921" s="15">
        <f t="shared" si="206"/>
        <v>11.5</v>
      </c>
      <c r="N921" s="15">
        <f t="shared" si="207"/>
        <v>3</v>
      </c>
      <c r="O921" s="15">
        <f t="shared" si="208"/>
        <v>6.6577100000000016</v>
      </c>
      <c r="P921" s="15">
        <f t="shared" si="209"/>
        <v>0</v>
      </c>
      <c r="Q921" s="14" t="str">
        <f>IF(M921&gt;=I921*'Hoja 4 - Cálculo'!$B$16,"Satisfactorio","Falla")</f>
        <v>Satisfactorio</v>
      </c>
      <c r="R921" s="14">
        <f t="shared" si="212"/>
        <v>0</v>
      </c>
      <c r="S921" s="14">
        <f t="shared" si="213"/>
        <v>0</v>
      </c>
    </row>
    <row r="922" spans="1:19">
      <c r="A922" s="14" t="str">
        <f t="shared" si="210"/>
        <v>SRY-3-2</v>
      </c>
      <c r="B922" s="15">
        <f>'Curvas SRY'!$B$10</f>
        <v>3</v>
      </c>
      <c r="C922" s="15">
        <f>'Curvas SRY'!$E$9</f>
        <v>1</v>
      </c>
      <c r="D922" s="14" t="str">
        <f>'Curvas SRY'!$B$14</f>
        <v>Uso variable</v>
      </c>
      <c r="E922" s="14">
        <f>79</f>
        <v>79</v>
      </c>
      <c r="F922" s="21">
        <f>'Hoja 4 - Cálculo'!A103</f>
        <v>31959</v>
      </c>
      <c r="G922" s="15">
        <f>'Hoja 4 - Cálculo'!H103</f>
        <v>14.688000000000001</v>
      </c>
      <c r="H922" s="15">
        <f>IF(D922="Uso único",'Hoja 4 - Cálculo'!I103,IF(D922="Uso múltiple",AVERAGE('Hoja 4 - Cálculo'!$I$25:$I$384)+AVERAGE('Hoja 4 - Cálculo'!$J$25:$J$384)+AVERAGE('Hoja 4 - Cálculo'!$K$25:$K$384),IF(D922="Uso prioritario",'Hoja 4 - Cálculo'!I103+'Hoja 4 - Cálculo'!K103,'Hoja 4 - Cálculo'!I103+'Hoja 4 - Cálculo'!J103+'Hoja 4 - Cálculo'!K103)))</f>
        <v>16</v>
      </c>
      <c r="I922" s="15">
        <f t="shared" si="204"/>
        <v>16</v>
      </c>
      <c r="J922" s="15">
        <f t="shared" si="211"/>
        <v>3</v>
      </c>
      <c r="K922" s="15">
        <f>MIN(J922+G922,(J922+G922)*'Hoja 4 - Cálculo'!$B$15)</f>
        <v>0.35376000000000007</v>
      </c>
      <c r="L922" s="15">
        <f t="shared" si="205"/>
        <v>17.334240000000001</v>
      </c>
      <c r="M922" s="15">
        <f t="shared" si="206"/>
        <v>16</v>
      </c>
      <c r="N922" s="15">
        <f t="shared" si="207"/>
        <v>1.3342400000000012</v>
      </c>
      <c r="O922" s="15">
        <f t="shared" si="208"/>
        <v>0</v>
      </c>
      <c r="P922" s="15">
        <f t="shared" si="209"/>
        <v>0</v>
      </c>
      <c r="Q922" s="14" t="str">
        <f>IF(M922&gt;=I922*'Hoja 4 - Cálculo'!$B$16,"Satisfactorio","Falla")</f>
        <v>Satisfactorio</v>
      </c>
      <c r="R922" s="14">
        <f t="shared" si="212"/>
        <v>0</v>
      </c>
      <c r="S922" s="14">
        <f t="shared" si="213"/>
        <v>0</v>
      </c>
    </row>
    <row r="923" spans="1:19">
      <c r="A923" s="14" t="str">
        <f t="shared" si="210"/>
        <v>SRY-3-2</v>
      </c>
      <c r="B923" s="15">
        <f>'Curvas SRY'!$B$10</f>
        <v>3</v>
      </c>
      <c r="C923" s="15">
        <f>'Curvas SRY'!$E$9</f>
        <v>1</v>
      </c>
      <c r="D923" s="14" t="str">
        <f>'Curvas SRY'!$B$14</f>
        <v>Uso variable</v>
      </c>
      <c r="E923" s="14">
        <f>80</f>
        <v>80</v>
      </c>
      <c r="F923" s="21">
        <f>'Hoja 4 - Cálculo'!A104</f>
        <v>31990</v>
      </c>
      <c r="G923" s="15">
        <f>'Hoja 4 - Cálculo'!H104</f>
        <v>15.759</v>
      </c>
      <c r="H923" s="15">
        <f>IF(D923="Uso único",'Hoja 4 - Cálculo'!I104,IF(D923="Uso múltiple",AVERAGE('Hoja 4 - Cálculo'!$I$25:$I$384)+AVERAGE('Hoja 4 - Cálculo'!$J$25:$J$384)+AVERAGE('Hoja 4 - Cálculo'!$K$25:$K$384),IF(D923="Uso prioritario",'Hoja 4 - Cálculo'!I104+'Hoja 4 - Cálculo'!K104,'Hoja 4 - Cálculo'!I104+'Hoja 4 - Cálculo'!J104+'Hoja 4 - Cálculo'!K104)))</f>
        <v>16</v>
      </c>
      <c r="I923" s="15">
        <f t="shared" si="204"/>
        <v>16</v>
      </c>
      <c r="J923" s="15">
        <f t="shared" si="211"/>
        <v>1.3342400000000012</v>
      </c>
      <c r="K923" s="15">
        <f>MIN(J923+G923,(J923+G923)*'Hoja 4 - Cálculo'!$B$15)</f>
        <v>0.34186480000000002</v>
      </c>
      <c r="L923" s="15">
        <f t="shared" si="205"/>
        <v>16.751375200000002</v>
      </c>
      <c r="M923" s="15">
        <f t="shared" si="206"/>
        <v>16</v>
      </c>
      <c r="N923" s="15">
        <f t="shared" si="207"/>
        <v>0.7513752000000018</v>
      </c>
      <c r="O923" s="15">
        <f t="shared" si="208"/>
        <v>0</v>
      </c>
      <c r="P923" s="15">
        <f t="shared" si="209"/>
        <v>0</v>
      </c>
      <c r="Q923" s="14" t="str">
        <f>IF(M923&gt;=I923*'Hoja 4 - Cálculo'!$B$16,"Satisfactorio","Falla")</f>
        <v>Satisfactorio</v>
      </c>
      <c r="R923" s="14">
        <f t="shared" si="212"/>
        <v>0</v>
      </c>
      <c r="S923" s="14">
        <f t="shared" si="213"/>
        <v>0</v>
      </c>
    </row>
    <row r="924" spans="1:19">
      <c r="A924" s="14" t="str">
        <f t="shared" si="210"/>
        <v>SRY-3-2</v>
      </c>
      <c r="B924" s="15">
        <f>'Curvas SRY'!$B$10</f>
        <v>3</v>
      </c>
      <c r="C924" s="15">
        <f>'Curvas SRY'!$E$9</f>
        <v>1</v>
      </c>
      <c r="D924" s="14" t="str">
        <f>'Curvas SRY'!$B$14</f>
        <v>Uso variable</v>
      </c>
      <c r="E924" s="14">
        <f>81</f>
        <v>81</v>
      </c>
      <c r="F924" s="21">
        <f>'Hoja 4 - Cálculo'!A105</f>
        <v>32021</v>
      </c>
      <c r="G924" s="15">
        <f>'Hoja 4 - Cálculo'!H105</f>
        <v>26.220375000000001</v>
      </c>
      <c r="H924" s="15">
        <f>IF(D924="Uso único",'Hoja 4 - Cálculo'!I105,IF(D924="Uso múltiple",AVERAGE('Hoja 4 - Cálculo'!$I$25:$I$384)+AVERAGE('Hoja 4 - Cálculo'!$J$25:$J$384)+AVERAGE('Hoja 4 - Cálculo'!$K$25:$K$384),IF(D924="Uso prioritario",'Hoja 4 - Cálculo'!I105+'Hoja 4 - Cálculo'!K105,'Hoja 4 - Cálculo'!I105+'Hoja 4 - Cálculo'!J105+'Hoja 4 - Cálculo'!K105)))</f>
        <v>11.5</v>
      </c>
      <c r="I924" s="15">
        <f t="shared" si="204"/>
        <v>11.5</v>
      </c>
      <c r="J924" s="15">
        <f t="shared" si="211"/>
        <v>0.7513752000000018</v>
      </c>
      <c r="K924" s="15">
        <f>MIN(J924+G924,(J924+G924)*'Hoja 4 - Cálculo'!$B$15)</f>
        <v>0.53943500400000011</v>
      </c>
      <c r="L924" s="15">
        <f t="shared" si="205"/>
        <v>26.432315196000001</v>
      </c>
      <c r="M924" s="15">
        <f t="shared" si="206"/>
        <v>11.5</v>
      </c>
      <c r="N924" s="15">
        <f t="shared" si="207"/>
        <v>3</v>
      </c>
      <c r="O924" s="15">
        <f t="shared" si="208"/>
        <v>11.932315196000001</v>
      </c>
      <c r="P924" s="15">
        <f t="shared" si="209"/>
        <v>0</v>
      </c>
      <c r="Q924" s="14" t="str">
        <f>IF(M924&gt;=I924*'Hoja 4 - Cálculo'!$B$16,"Satisfactorio","Falla")</f>
        <v>Satisfactorio</v>
      </c>
      <c r="R924" s="14">
        <f t="shared" si="212"/>
        <v>0</v>
      </c>
      <c r="S924" s="14">
        <f t="shared" si="213"/>
        <v>0</v>
      </c>
    </row>
    <row r="925" spans="1:19">
      <c r="A925" s="14" t="str">
        <f t="shared" si="210"/>
        <v>SRY-3-2</v>
      </c>
      <c r="B925" s="15">
        <f>'Curvas SRY'!$B$10</f>
        <v>3</v>
      </c>
      <c r="C925" s="15">
        <f>'Curvas SRY'!$E$9</f>
        <v>1</v>
      </c>
      <c r="D925" s="14" t="str">
        <f>'Curvas SRY'!$B$14</f>
        <v>Uso variable</v>
      </c>
      <c r="E925" s="14">
        <f>82</f>
        <v>82</v>
      </c>
      <c r="F925" s="21">
        <f>'Hoja 4 - Cálculo'!A106</f>
        <v>32051</v>
      </c>
      <c r="G925" s="15">
        <f>'Hoja 4 - Cálculo'!H106</f>
        <v>32.627249999999997</v>
      </c>
      <c r="H925" s="15">
        <f>IF(D925="Uso único",'Hoja 4 - Cálculo'!I106,IF(D925="Uso múltiple",AVERAGE('Hoja 4 - Cálculo'!$I$25:$I$384)+AVERAGE('Hoja 4 - Cálculo'!$J$25:$J$384)+AVERAGE('Hoja 4 - Cálculo'!$K$25:$K$384),IF(D925="Uso prioritario",'Hoja 4 - Cálculo'!I106+'Hoja 4 - Cálculo'!K106,'Hoja 4 - Cálculo'!I106+'Hoja 4 - Cálculo'!J106+'Hoja 4 - Cálculo'!K106)))</f>
        <v>11.5</v>
      </c>
      <c r="I925" s="15">
        <f t="shared" si="204"/>
        <v>11.5</v>
      </c>
      <c r="J925" s="15">
        <f t="shared" si="211"/>
        <v>3</v>
      </c>
      <c r="K925" s="15">
        <f>MIN(J925+G925,(J925+G925)*'Hoja 4 - Cálculo'!$B$15)</f>
        <v>0.71254499999999998</v>
      </c>
      <c r="L925" s="15">
        <f t="shared" si="205"/>
        <v>34.914704999999998</v>
      </c>
      <c r="M925" s="15">
        <f t="shared" si="206"/>
        <v>11.5</v>
      </c>
      <c r="N925" s="15">
        <f t="shared" si="207"/>
        <v>3</v>
      </c>
      <c r="O925" s="15">
        <f t="shared" si="208"/>
        <v>20.414704999999998</v>
      </c>
      <c r="P925" s="15">
        <f t="shared" si="209"/>
        <v>0</v>
      </c>
      <c r="Q925" s="14" t="str">
        <f>IF(M925&gt;=I925*'Hoja 4 - Cálculo'!$B$16,"Satisfactorio","Falla")</f>
        <v>Satisfactorio</v>
      </c>
      <c r="R925" s="14">
        <f t="shared" si="212"/>
        <v>0</v>
      </c>
      <c r="S925" s="14">
        <f t="shared" si="213"/>
        <v>0</v>
      </c>
    </row>
    <row r="926" spans="1:19">
      <c r="A926" s="14" t="str">
        <f t="shared" si="210"/>
        <v>SRY-3-2</v>
      </c>
      <c r="B926" s="15">
        <f>'Curvas SRY'!$B$10</f>
        <v>3</v>
      </c>
      <c r="C926" s="15">
        <f>'Curvas SRY'!$E$9</f>
        <v>1</v>
      </c>
      <c r="D926" s="14" t="str">
        <f>'Curvas SRY'!$B$14</f>
        <v>Uso variable</v>
      </c>
      <c r="E926" s="14">
        <f>83</f>
        <v>83</v>
      </c>
      <c r="F926" s="21">
        <f>'Hoja 4 - Cálculo'!A107</f>
        <v>32082</v>
      </c>
      <c r="G926" s="15">
        <f>'Hoja 4 - Cálculo'!H107</f>
        <v>29.758500000000002</v>
      </c>
      <c r="H926" s="15">
        <f>IF(D926="Uso único",'Hoja 4 - Cálculo'!I107,IF(D926="Uso múltiple",AVERAGE('Hoja 4 - Cálculo'!$I$25:$I$384)+AVERAGE('Hoja 4 - Cálculo'!$J$25:$J$384)+AVERAGE('Hoja 4 - Cálculo'!$K$25:$K$384),IF(D926="Uso prioritario",'Hoja 4 - Cálculo'!I107+'Hoja 4 - Cálculo'!K107,'Hoja 4 - Cálculo'!I107+'Hoja 4 - Cálculo'!J107+'Hoja 4 - Cálculo'!K107)))</f>
        <v>11.5</v>
      </c>
      <c r="I926" s="15">
        <f t="shared" si="204"/>
        <v>11.5</v>
      </c>
      <c r="J926" s="15">
        <f t="shared" si="211"/>
        <v>3</v>
      </c>
      <c r="K926" s="15">
        <f>MIN(J926+G926,(J926+G926)*'Hoja 4 - Cálculo'!$B$15)</f>
        <v>0.65516999999999992</v>
      </c>
      <c r="L926" s="15">
        <f t="shared" si="205"/>
        <v>32.10333</v>
      </c>
      <c r="M926" s="15">
        <f t="shared" si="206"/>
        <v>11.5</v>
      </c>
      <c r="N926" s="15">
        <f t="shared" si="207"/>
        <v>3</v>
      </c>
      <c r="O926" s="15">
        <f t="shared" si="208"/>
        <v>17.60333</v>
      </c>
      <c r="P926" s="15">
        <f t="shared" si="209"/>
        <v>0</v>
      </c>
      <c r="Q926" s="14" t="str">
        <f>IF(M926&gt;=I926*'Hoja 4 - Cálculo'!$B$16,"Satisfactorio","Falla")</f>
        <v>Satisfactorio</v>
      </c>
      <c r="R926" s="14">
        <f t="shared" si="212"/>
        <v>0</v>
      </c>
      <c r="S926" s="14">
        <f t="shared" si="213"/>
        <v>0</v>
      </c>
    </row>
    <row r="927" spans="1:19">
      <c r="A927" s="14" t="str">
        <f t="shared" si="210"/>
        <v>SRY-3-2</v>
      </c>
      <c r="B927" s="15">
        <f>'Curvas SRY'!$B$10</f>
        <v>3</v>
      </c>
      <c r="C927" s="15">
        <f>'Curvas SRY'!$E$9</f>
        <v>1</v>
      </c>
      <c r="D927" s="14" t="str">
        <f>'Curvas SRY'!$B$14</f>
        <v>Uso variable</v>
      </c>
      <c r="E927" s="14">
        <f>84</f>
        <v>84</v>
      </c>
      <c r="F927" s="21">
        <f>'Hoja 4 - Cálculo'!A108</f>
        <v>32112</v>
      </c>
      <c r="G927" s="15">
        <f>'Hoja 4 - Cálculo'!H108</f>
        <v>16.543125</v>
      </c>
      <c r="H927" s="15">
        <f>IF(D927="Uso único",'Hoja 4 - Cálculo'!I108,IF(D927="Uso múltiple",AVERAGE('Hoja 4 - Cálculo'!$I$25:$I$384)+AVERAGE('Hoja 4 - Cálculo'!$J$25:$J$384)+AVERAGE('Hoja 4 - Cálculo'!$K$25:$K$384),IF(D927="Uso prioritario",'Hoja 4 - Cálculo'!I108+'Hoja 4 - Cálculo'!K108,'Hoja 4 - Cálculo'!I108+'Hoja 4 - Cálculo'!J108+'Hoja 4 - Cálculo'!K108)))</f>
        <v>16</v>
      </c>
      <c r="I927" s="15">
        <f t="shared" si="204"/>
        <v>16</v>
      </c>
      <c r="J927" s="15">
        <f t="shared" si="211"/>
        <v>3</v>
      </c>
      <c r="K927" s="15">
        <f>MIN(J927+G927,(J927+G927)*'Hoja 4 - Cálculo'!$B$15)</f>
        <v>0.3908625</v>
      </c>
      <c r="L927" s="15">
        <f t="shared" si="205"/>
        <v>19.152262499999999</v>
      </c>
      <c r="M927" s="15">
        <f t="shared" si="206"/>
        <v>16</v>
      </c>
      <c r="N927" s="15">
        <f t="shared" si="207"/>
        <v>3</v>
      </c>
      <c r="O927" s="15">
        <f t="shared" si="208"/>
        <v>0.15226249999999908</v>
      </c>
      <c r="P927" s="15">
        <f t="shared" si="209"/>
        <v>0</v>
      </c>
      <c r="Q927" s="14" t="str">
        <f>IF(M927&gt;=I927*'Hoja 4 - Cálculo'!$B$16,"Satisfactorio","Falla")</f>
        <v>Satisfactorio</v>
      </c>
      <c r="R927" s="14">
        <f t="shared" si="212"/>
        <v>0</v>
      </c>
      <c r="S927" s="14">
        <f t="shared" si="213"/>
        <v>0</v>
      </c>
    </row>
    <row r="928" spans="1:19">
      <c r="A928" s="14" t="str">
        <f t="shared" si="210"/>
        <v>SRY-3-2</v>
      </c>
      <c r="B928" s="15">
        <f>'Curvas SRY'!$B$10</f>
        <v>3</v>
      </c>
      <c r="C928" s="15">
        <f>'Curvas SRY'!$E$9</f>
        <v>1</v>
      </c>
      <c r="D928" s="14" t="str">
        <f>'Curvas SRY'!$B$14</f>
        <v>Uso variable</v>
      </c>
      <c r="E928" s="14">
        <f>85</f>
        <v>85</v>
      </c>
      <c r="F928" s="21">
        <f>'Hoja 4 - Cálculo'!A109</f>
        <v>32143</v>
      </c>
      <c r="G928" s="15">
        <f>'Hoja 4 - Cálculo'!H109</f>
        <v>13.291874999999999</v>
      </c>
      <c r="H928" s="15">
        <f>IF(D928="Uso único",'Hoja 4 - Cálculo'!I109,IF(D928="Uso múltiple",AVERAGE('Hoja 4 - Cálculo'!$I$25:$I$384)+AVERAGE('Hoja 4 - Cálculo'!$J$25:$J$384)+AVERAGE('Hoja 4 - Cálculo'!$K$25:$K$384),IF(D928="Uso prioritario",'Hoja 4 - Cálculo'!I109+'Hoja 4 - Cálculo'!K109,'Hoja 4 - Cálculo'!I109+'Hoja 4 - Cálculo'!J109+'Hoja 4 - Cálculo'!K109)))</f>
        <v>16</v>
      </c>
      <c r="I928" s="15">
        <f t="shared" si="204"/>
        <v>16</v>
      </c>
      <c r="J928" s="15">
        <f t="shared" si="211"/>
        <v>3</v>
      </c>
      <c r="K928" s="15">
        <f>MIN(J928+G928,(J928+G928)*'Hoja 4 - Cálculo'!$B$15)</f>
        <v>0.32583749999999995</v>
      </c>
      <c r="L928" s="15">
        <f t="shared" si="205"/>
        <v>15.966037499999997</v>
      </c>
      <c r="M928" s="15">
        <f t="shared" si="206"/>
        <v>15.966037499999997</v>
      </c>
      <c r="N928" s="15">
        <f t="shared" si="207"/>
        <v>0</v>
      </c>
      <c r="O928" s="15">
        <f t="shared" si="208"/>
        <v>0</v>
      </c>
      <c r="P928" s="15">
        <f t="shared" si="209"/>
        <v>3.3962500000003004E-2</v>
      </c>
      <c r="Q928" s="14" t="str">
        <f>IF(M928&gt;=I928*'Hoja 4 - Cálculo'!$B$16,"Satisfactorio","Falla")</f>
        <v>Falla</v>
      </c>
      <c r="R928" s="14">
        <f t="shared" si="212"/>
        <v>0</v>
      </c>
      <c r="S928" s="14">
        <f t="shared" si="213"/>
        <v>1</v>
      </c>
    </row>
    <row r="929" spans="1:19">
      <c r="A929" s="14" t="str">
        <f t="shared" si="210"/>
        <v>SRY-3-2</v>
      </c>
      <c r="B929" s="15">
        <f>'Curvas SRY'!$B$10</f>
        <v>3</v>
      </c>
      <c r="C929" s="15">
        <f>'Curvas SRY'!$E$9</f>
        <v>1</v>
      </c>
      <c r="D929" s="14" t="str">
        <f>'Curvas SRY'!$B$14</f>
        <v>Uso variable</v>
      </c>
      <c r="E929" s="14">
        <f>86</f>
        <v>86</v>
      </c>
      <c r="F929" s="21">
        <f>'Hoja 4 - Cálculo'!A110</f>
        <v>32174</v>
      </c>
      <c r="G929" s="15">
        <f>'Hoja 4 - Cálculo'!H110</f>
        <v>14.19075</v>
      </c>
      <c r="H929" s="15">
        <f>IF(D929="Uso único",'Hoja 4 - Cálculo'!I110,IF(D929="Uso múltiple",AVERAGE('Hoja 4 - Cálculo'!$I$25:$I$384)+AVERAGE('Hoja 4 - Cálculo'!$J$25:$J$384)+AVERAGE('Hoja 4 - Cálculo'!$K$25:$K$384),IF(D929="Uso prioritario",'Hoja 4 - Cálculo'!I110+'Hoja 4 - Cálculo'!K110,'Hoja 4 - Cálculo'!I110+'Hoja 4 - Cálculo'!J110+'Hoja 4 - Cálculo'!K110)))</f>
        <v>16</v>
      </c>
      <c r="I929" s="15">
        <f t="shared" si="204"/>
        <v>16</v>
      </c>
      <c r="J929" s="15">
        <f t="shared" si="211"/>
        <v>0</v>
      </c>
      <c r="K929" s="15">
        <f>MIN(J929+G929,(J929+G929)*'Hoja 4 - Cálculo'!$B$15)</f>
        <v>0.28381499999999998</v>
      </c>
      <c r="L929" s="15">
        <f t="shared" si="205"/>
        <v>13.906934999999999</v>
      </c>
      <c r="M929" s="15">
        <f t="shared" si="206"/>
        <v>13.906934999999999</v>
      </c>
      <c r="N929" s="15">
        <f t="shared" si="207"/>
        <v>0</v>
      </c>
      <c r="O929" s="15">
        <f t="shared" si="208"/>
        <v>0</v>
      </c>
      <c r="P929" s="15">
        <f t="shared" si="209"/>
        <v>2.0930650000000011</v>
      </c>
      <c r="Q929" s="14" t="str">
        <f>IF(M929&gt;=I929*'Hoja 4 - Cálculo'!$B$16,"Satisfactorio","Falla")</f>
        <v>Falla</v>
      </c>
      <c r="R929" s="14">
        <f t="shared" si="212"/>
        <v>0</v>
      </c>
      <c r="S929" s="14">
        <f t="shared" si="213"/>
        <v>0</v>
      </c>
    </row>
    <row r="930" spans="1:19">
      <c r="A930" s="14" t="str">
        <f t="shared" si="210"/>
        <v>SRY-3-2</v>
      </c>
      <c r="B930" s="15">
        <f>'Curvas SRY'!$B$10</f>
        <v>3</v>
      </c>
      <c r="C930" s="15">
        <f>'Curvas SRY'!$E$9</f>
        <v>1</v>
      </c>
      <c r="D930" s="14" t="str">
        <f>'Curvas SRY'!$B$14</f>
        <v>Uso variable</v>
      </c>
      <c r="E930" s="14">
        <f>87</f>
        <v>87</v>
      </c>
      <c r="F930" s="21">
        <f>'Hoja 4 - Cálculo'!A111</f>
        <v>32203</v>
      </c>
      <c r="G930" s="15">
        <f>'Hoja 4 - Cálculo'!H111</f>
        <v>22.338000000000001</v>
      </c>
      <c r="H930" s="15">
        <f>IF(D930="Uso único",'Hoja 4 - Cálculo'!I111,IF(D930="Uso múltiple",AVERAGE('Hoja 4 - Cálculo'!$I$25:$I$384)+AVERAGE('Hoja 4 - Cálculo'!$J$25:$J$384)+AVERAGE('Hoja 4 - Cálculo'!$K$25:$K$384),IF(D930="Uso prioritario",'Hoja 4 - Cálculo'!I111+'Hoja 4 - Cálculo'!K111,'Hoja 4 - Cálculo'!I111+'Hoja 4 - Cálculo'!J111+'Hoja 4 - Cálculo'!K111)))</f>
        <v>16</v>
      </c>
      <c r="I930" s="15">
        <f t="shared" si="204"/>
        <v>16</v>
      </c>
      <c r="J930" s="15">
        <f t="shared" si="211"/>
        <v>0</v>
      </c>
      <c r="K930" s="15">
        <f>MIN(J930+G930,(J930+G930)*'Hoja 4 - Cálculo'!$B$15)</f>
        <v>0.44676000000000005</v>
      </c>
      <c r="L930" s="15">
        <f t="shared" si="205"/>
        <v>21.89124</v>
      </c>
      <c r="M930" s="15">
        <f t="shared" si="206"/>
        <v>16</v>
      </c>
      <c r="N930" s="15">
        <f t="shared" si="207"/>
        <v>3</v>
      </c>
      <c r="O930" s="15">
        <f t="shared" si="208"/>
        <v>2.8912399999999998</v>
      </c>
      <c r="P930" s="15">
        <f t="shared" si="209"/>
        <v>0</v>
      </c>
      <c r="Q930" s="14" t="str">
        <f>IF(M930&gt;=I930*'Hoja 4 - Cálculo'!$B$16,"Satisfactorio","Falla")</f>
        <v>Satisfactorio</v>
      </c>
      <c r="R930" s="14">
        <f t="shared" si="212"/>
        <v>1</v>
      </c>
      <c r="S930" s="14">
        <f t="shared" si="213"/>
        <v>0</v>
      </c>
    </row>
    <row r="931" spans="1:19">
      <c r="A931" s="14" t="str">
        <f t="shared" si="210"/>
        <v>SRY-3-2</v>
      </c>
      <c r="B931" s="15">
        <f>'Curvas SRY'!$B$10</f>
        <v>3</v>
      </c>
      <c r="C931" s="15">
        <f>'Curvas SRY'!$E$9</f>
        <v>1</v>
      </c>
      <c r="D931" s="14" t="str">
        <f>'Curvas SRY'!$B$14</f>
        <v>Uso variable</v>
      </c>
      <c r="E931" s="14">
        <f>88</f>
        <v>88</v>
      </c>
      <c r="F931" s="21">
        <f>'Hoja 4 - Cálculo'!A112</f>
        <v>32234</v>
      </c>
      <c r="G931" s="15">
        <f>'Hoja 4 - Cálculo'!H112</f>
        <v>29.643750000000001</v>
      </c>
      <c r="H931" s="15">
        <f>IF(D931="Uso único",'Hoja 4 - Cálculo'!I112,IF(D931="Uso múltiple",AVERAGE('Hoja 4 - Cálculo'!$I$25:$I$384)+AVERAGE('Hoja 4 - Cálculo'!$J$25:$J$384)+AVERAGE('Hoja 4 - Cálculo'!$K$25:$K$384),IF(D931="Uso prioritario",'Hoja 4 - Cálculo'!I112+'Hoja 4 - Cálculo'!K112,'Hoja 4 - Cálculo'!I112+'Hoja 4 - Cálculo'!J112+'Hoja 4 - Cálculo'!K112)))</f>
        <v>11.5</v>
      </c>
      <c r="I931" s="15">
        <f t="shared" si="204"/>
        <v>11.5</v>
      </c>
      <c r="J931" s="15">
        <f t="shared" si="211"/>
        <v>3</v>
      </c>
      <c r="K931" s="15">
        <f>MIN(J931+G931,(J931+G931)*'Hoja 4 - Cálculo'!$B$15)</f>
        <v>0.65287499999999998</v>
      </c>
      <c r="L931" s="15">
        <f t="shared" si="205"/>
        <v>31.990874999999996</v>
      </c>
      <c r="M931" s="15">
        <f t="shared" si="206"/>
        <v>11.5</v>
      </c>
      <c r="N931" s="15">
        <f t="shared" si="207"/>
        <v>3</v>
      </c>
      <c r="O931" s="15">
        <f t="shared" si="208"/>
        <v>17.490874999999996</v>
      </c>
      <c r="P931" s="15">
        <f t="shared" si="209"/>
        <v>0</v>
      </c>
      <c r="Q931" s="14" t="str">
        <f>IF(M931&gt;=I931*'Hoja 4 - Cálculo'!$B$16,"Satisfactorio","Falla")</f>
        <v>Satisfactorio</v>
      </c>
      <c r="R931" s="14">
        <f t="shared" si="212"/>
        <v>0</v>
      </c>
      <c r="S931" s="14">
        <f t="shared" si="213"/>
        <v>0</v>
      </c>
    </row>
    <row r="932" spans="1:19">
      <c r="A932" s="14" t="str">
        <f t="shared" si="210"/>
        <v>SRY-3-2</v>
      </c>
      <c r="B932" s="15">
        <f>'Curvas SRY'!$B$10</f>
        <v>3</v>
      </c>
      <c r="C932" s="15">
        <f>'Curvas SRY'!$E$9</f>
        <v>1</v>
      </c>
      <c r="D932" s="14" t="str">
        <f>'Curvas SRY'!$B$14</f>
        <v>Uso variable</v>
      </c>
      <c r="E932" s="14">
        <f>89</f>
        <v>89</v>
      </c>
      <c r="F932" s="21">
        <f>'Hoja 4 - Cálculo'!A113</f>
        <v>32264</v>
      </c>
      <c r="G932" s="15">
        <f>'Hoja 4 - Cálculo'!H113</f>
        <v>28.075500000000002</v>
      </c>
      <c r="H932" s="15">
        <f>IF(D932="Uso único",'Hoja 4 - Cálculo'!I113,IF(D932="Uso múltiple",AVERAGE('Hoja 4 - Cálculo'!$I$25:$I$384)+AVERAGE('Hoja 4 - Cálculo'!$J$25:$J$384)+AVERAGE('Hoja 4 - Cálculo'!$K$25:$K$384),IF(D932="Uso prioritario",'Hoja 4 - Cálculo'!I113+'Hoja 4 - Cálculo'!K113,'Hoja 4 - Cálculo'!I113+'Hoja 4 - Cálculo'!J113+'Hoja 4 - Cálculo'!K113)))</f>
        <v>11.5</v>
      </c>
      <c r="I932" s="15">
        <f t="shared" si="204"/>
        <v>11.5</v>
      </c>
      <c r="J932" s="15">
        <f t="shared" si="211"/>
        <v>3</v>
      </c>
      <c r="K932" s="15">
        <f>MIN(J932+G932,(J932+G932)*'Hoja 4 - Cálculo'!$B$15)</f>
        <v>0.62151000000000001</v>
      </c>
      <c r="L932" s="15">
        <f t="shared" si="205"/>
        <v>30.453990000000001</v>
      </c>
      <c r="M932" s="15">
        <f t="shared" si="206"/>
        <v>11.5</v>
      </c>
      <c r="N932" s="15">
        <f t="shared" si="207"/>
        <v>3</v>
      </c>
      <c r="O932" s="15">
        <f t="shared" si="208"/>
        <v>15.953990000000001</v>
      </c>
      <c r="P932" s="15">
        <f t="shared" si="209"/>
        <v>0</v>
      </c>
      <c r="Q932" s="14" t="str">
        <f>IF(M932&gt;=I932*'Hoja 4 - Cálculo'!$B$16,"Satisfactorio","Falla")</f>
        <v>Satisfactorio</v>
      </c>
      <c r="R932" s="14">
        <f t="shared" si="212"/>
        <v>0</v>
      </c>
      <c r="S932" s="14">
        <f t="shared" si="213"/>
        <v>0</v>
      </c>
    </row>
    <row r="933" spans="1:19">
      <c r="A933" s="14" t="str">
        <f t="shared" si="210"/>
        <v>SRY-3-2</v>
      </c>
      <c r="B933" s="15">
        <f>'Curvas SRY'!$B$10</f>
        <v>3</v>
      </c>
      <c r="C933" s="15">
        <f>'Curvas SRY'!$E$9</f>
        <v>1</v>
      </c>
      <c r="D933" s="14" t="str">
        <f>'Curvas SRY'!$B$14</f>
        <v>Uso variable</v>
      </c>
      <c r="E933" s="14">
        <f>90</f>
        <v>90</v>
      </c>
      <c r="F933" s="21">
        <f>'Hoja 4 - Cálculo'!A114</f>
        <v>32295</v>
      </c>
      <c r="G933" s="15">
        <f>'Hoja 4 - Cálculo'!H114</f>
        <v>16.485749999999999</v>
      </c>
      <c r="H933" s="15">
        <f>IF(D933="Uso único",'Hoja 4 - Cálculo'!I114,IF(D933="Uso múltiple",AVERAGE('Hoja 4 - Cálculo'!$I$25:$I$384)+AVERAGE('Hoja 4 - Cálculo'!$J$25:$J$384)+AVERAGE('Hoja 4 - Cálculo'!$K$25:$K$384),IF(D933="Uso prioritario",'Hoja 4 - Cálculo'!I114+'Hoja 4 - Cálculo'!K114,'Hoja 4 - Cálculo'!I114+'Hoja 4 - Cálculo'!J114+'Hoja 4 - Cálculo'!K114)))</f>
        <v>11.5</v>
      </c>
      <c r="I933" s="15">
        <f t="shared" si="204"/>
        <v>11.5</v>
      </c>
      <c r="J933" s="15">
        <f t="shared" si="211"/>
        <v>3</v>
      </c>
      <c r="K933" s="15">
        <f>MIN(J933+G933,(J933+G933)*'Hoja 4 - Cálculo'!$B$15)</f>
        <v>0.38971499999999998</v>
      </c>
      <c r="L933" s="15">
        <f t="shared" si="205"/>
        <v>19.096035000000001</v>
      </c>
      <c r="M933" s="15">
        <f t="shared" si="206"/>
        <v>11.5</v>
      </c>
      <c r="N933" s="15">
        <f t="shared" si="207"/>
        <v>3</v>
      </c>
      <c r="O933" s="15">
        <f t="shared" si="208"/>
        <v>4.5960350000000005</v>
      </c>
      <c r="P933" s="15">
        <f t="shared" si="209"/>
        <v>0</v>
      </c>
      <c r="Q933" s="14" t="str">
        <f>IF(M933&gt;=I933*'Hoja 4 - Cálculo'!$B$16,"Satisfactorio","Falla")</f>
        <v>Satisfactorio</v>
      </c>
      <c r="R933" s="14">
        <f t="shared" si="212"/>
        <v>0</v>
      </c>
      <c r="S933" s="14">
        <f t="shared" si="213"/>
        <v>0</v>
      </c>
    </row>
    <row r="934" spans="1:19">
      <c r="A934" s="14" t="str">
        <f t="shared" si="210"/>
        <v>SRY-3-2</v>
      </c>
      <c r="B934" s="15">
        <f>'Curvas SRY'!$B$10</f>
        <v>3</v>
      </c>
      <c r="C934" s="15">
        <f>'Curvas SRY'!$E$9</f>
        <v>1</v>
      </c>
      <c r="D934" s="14" t="str">
        <f>'Curvas SRY'!$B$14</f>
        <v>Uso variable</v>
      </c>
      <c r="E934" s="14">
        <f>91</f>
        <v>91</v>
      </c>
      <c r="F934" s="21">
        <f>'Hoja 4 - Cálculo'!A115</f>
        <v>32325</v>
      </c>
      <c r="G934" s="15">
        <f>'Hoja 4 - Cálculo'!H115</f>
        <v>13.827375</v>
      </c>
      <c r="H934" s="15">
        <f>IF(D934="Uso único",'Hoja 4 - Cálculo'!I115,IF(D934="Uso múltiple",AVERAGE('Hoja 4 - Cálculo'!$I$25:$I$384)+AVERAGE('Hoja 4 - Cálculo'!$J$25:$J$384)+AVERAGE('Hoja 4 - Cálculo'!$K$25:$K$384),IF(D934="Uso prioritario",'Hoja 4 - Cálculo'!I115+'Hoja 4 - Cálculo'!K115,'Hoja 4 - Cálculo'!I115+'Hoja 4 - Cálculo'!J115+'Hoja 4 - Cálculo'!K115)))</f>
        <v>16</v>
      </c>
      <c r="I934" s="15">
        <f t="shared" si="204"/>
        <v>16</v>
      </c>
      <c r="J934" s="15">
        <f t="shared" si="211"/>
        <v>3</v>
      </c>
      <c r="K934" s="15">
        <f>MIN(J934+G934,(J934+G934)*'Hoja 4 - Cálculo'!$B$15)</f>
        <v>0.3365475</v>
      </c>
      <c r="L934" s="15">
        <f t="shared" si="205"/>
        <v>16.490827500000002</v>
      </c>
      <c r="M934" s="15">
        <f t="shared" si="206"/>
        <v>16</v>
      </c>
      <c r="N934" s="15">
        <f t="shared" si="207"/>
        <v>0.49082750000000175</v>
      </c>
      <c r="O934" s="15">
        <f t="shared" si="208"/>
        <v>0</v>
      </c>
      <c r="P934" s="15">
        <f t="shared" si="209"/>
        <v>0</v>
      </c>
      <c r="Q934" s="14" t="str">
        <f>IF(M934&gt;=I934*'Hoja 4 - Cálculo'!$B$16,"Satisfactorio","Falla")</f>
        <v>Satisfactorio</v>
      </c>
      <c r="R934" s="14">
        <f t="shared" si="212"/>
        <v>0</v>
      </c>
      <c r="S934" s="14">
        <f t="shared" si="213"/>
        <v>0</v>
      </c>
    </row>
    <row r="935" spans="1:19">
      <c r="A935" s="14" t="str">
        <f t="shared" si="210"/>
        <v>SRY-3-2</v>
      </c>
      <c r="B935" s="15">
        <f>'Curvas SRY'!$B$10</f>
        <v>3</v>
      </c>
      <c r="C935" s="15">
        <f>'Curvas SRY'!$E$9</f>
        <v>1</v>
      </c>
      <c r="D935" s="14" t="str">
        <f>'Curvas SRY'!$B$14</f>
        <v>Uso variable</v>
      </c>
      <c r="E935" s="14">
        <f>92</f>
        <v>92</v>
      </c>
      <c r="F935" s="21">
        <f>'Hoja 4 - Cálculo'!A116</f>
        <v>32356</v>
      </c>
      <c r="G935" s="15">
        <f>'Hoja 4 - Cálculo'!H116</f>
        <v>14.783625000000001</v>
      </c>
      <c r="H935" s="15">
        <f>IF(D935="Uso único",'Hoja 4 - Cálculo'!I116,IF(D935="Uso múltiple",AVERAGE('Hoja 4 - Cálculo'!$I$25:$I$384)+AVERAGE('Hoja 4 - Cálculo'!$J$25:$J$384)+AVERAGE('Hoja 4 - Cálculo'!$K$25:$K$384),IF(D935="Uso prioritario",'Hoja 4 - Cálculo'!I116+'Hoja 4 - Cálculo'!K116,'Hoja 4 - Cálculo'!I116+'Hoja 4 - Cálculo'!J116+'Hoja 4 - Cálculo'!K116)))</f>
        <v>16</v>
      </c>
      <c r="I935" s="15">
        <f t="shared" si="204"/>
        <v>16</v>
      </c>
      <c r="J935" s="15">
        <f t="shared" si="211"/>
        <v>0.49082750000000175</v>
      </c>
      <c r="K935" s="15">
        <f>MIN(J935+G935,(J935+G935)*'Hoja 4 - Cálculo'!$B$15)</f>
        <v>0.30548905000000004</v>
      </c>
      <c r="L935" s="15">
        <f t="shared" si="205"/>
        <v>14.968963450000002</v>
      </c>
      <c r="M935" s="15">
        <f t="shared" si="206"/>
        <v>14.968963450000002</v>
      </c>
      <c r="N935" s="15">
        <f t="shared" si="207"/>
        <v>0</v>
      </c>
      <c r="O935" s="15">
        <f t="shared" si="208"/>
        <v>0</v>
      </c>
      <c r="P935" s="15">
        <f t="shared" si="209"/>
        <v>1.0310365499999978</v>
      </c>
      <c r="Q935" s="14" t="str">
        <f>IF(M935&gt;=I935*'Hoja 4 - Cálculo'!$B$16,"Satisfactorio","Falla")</f>
        <v>Falla</v>
      </c>
      <c r="R935" s="14">
        <f t="shared" si="212"/>
        <v>0</v>
      </c>
      <c r="S935" s="14">
        <f t="shared" si="213"/>
        <v>1</v>
      </c>
    </row>
    <row r="936" spans="1:19">
      <c r="A936" s="14" t="str">
        <f t="shared" si="210"/>
        <v>SRY-3-2</v>
      </c>
      <c r="B936" s="15">
        <f>'Curvas SRY'!$B$10</f>
        <v>3</v>
      </c>
      <c r="C936" s="15">
        <f>'Curvas SRY'!$E$9</f>
        <v>1</v>
      </c>
      <c r="D936" s="14" t="str">
        <f>'Curvas SRY'!$B$14</f>
        <v>Uso variable</v>
      </c>
      <c r="E936" s="14">
        <f>93</f>
        <v>93</v>
      </c>
      <c r="F936" s="21">
        <f>'Hoja 4 - Cálculo'!A117</f>
        <v>32387</v>
      </c>
      <c r="G936" s="15">
        <f>'Hoja 4 - Cálculo'!H117</f>
        <v>23.3325</v>
      </c>
      <c r="H936" s="15">
        <f>IF(D936="Uso único",'Hoja 4 - Cálculo'!I117,IF(D936="Uso múltiple",AVERAGE('Hoja 4 - Cálculo'!$I$25:$I$384)+AVERAGE('Hoja 4 - Cálculo'!$J$25:$J$384)+AVERAGE('Hoja 4 - Cálculo'!$K$25:$K$384),IF(D936="Uso prioritario",'Hoja 4 - Cálculo'!I117+'Hoja 4 - Cálculo'!K117,'Hoja 4 - Cálculo'!I117+'Hoja 4 - Cálculo'!J117+'Hoja 4 - Cálculo'!K117)))</f>
        <v>11.5</v>
      </c>
      <c r="I936" s="15">
        <f t="shared" si="204"/>
        <v>11.5</v>
      </c>
      <c r="J936" s="15">
        <f t="shared" si="211"/>
        <v>0</v>
      </c>
      <c r="K936" s="15">
        <f>MIN(J936+G936,(J936+G936)*'Hoja 4 - Cálculo'!$B$15)</f>
        <v>0.46665000000000001</v>
      </c>
      <c r="L936" s="15">
        <f t="shared" si="205"/>
        <v>22.865849999999998</v>
      </c>
      <c r="M936" s="15">
        <f t="shared" si="206"/>
        <v>11.5</v>
      </c>
      <c r="N936" s="15">
        <f t="shared" si="207"/>
        <v>3</v>
      </c>
      <c r="O936" s="15">
        <f t="shared" si="208"/>
        <v>8.3658499999999982</v>
      </c>
      <c r="P936" s="15">
        <f t="shared" si="209"/>
        <v>0</v>
      </c>
      <c r="Q936" s="14" t="str">
        <f>IF(M936&gt;=I936*'Hoja 4 - Cálculo'!$B$16,"Satisfactorio","Falla")</f>
        <v>Satisfactorio</v>
      </c>
      <c r="R936" s="14">
        <f t="shared" si="212"/>
        <v>1</v>
      </c>
      <c r="S936" s="14">
        <f t="shared" si="213"/>
        <v>0</v>
      </c>
    </row>
    <row r="937" spans="1:19">
      <c r="A937" s="14" t="str">
        <f t="shared" si="210"/>
        <v>SRY-3-2</v>
      </c>
      <c r="B937" s="15">
        <f>'Curvas SRY'!$B$10</f>
        <v>3</v>
      </c>
      <c r="C937" s="15">
        <f>'Curvas SRY'!$E$9</f>
        <v>1</v>
      </c>
      <c r="D937" s="14" t="str">
        <f>'Curvas SRY'!$B$14</f>
        <v>Uso variable</v>
      </c>
      <c r="E937" s="14">
        <f>94</f>
        <v>94</v>
      </c>
      <c r="F937" s="21">
        <f>'Hoja 4 - Cálculo'!A118</f>
        <v>32417</v>
      </c>
      <c r="G937" s="15">
        <f>'Hoja 4 - Cálculo'!H118</f>
        <v>32.015250000000002</v>
      </c>
      <c r="H937" s="15">
        <f>IF(D937="Uso único",'Hoja 4 - Cálculo'!I118,IF(D937="Uso múltiple",AVERAGE('Hoja 4 - Cálculo'!$I$25:$I$384)+AVERAGE('Hoja 4 - Cálculo'!$J$25:$J$384)+AVERAGE('Hoja 4 - Cálculo'!$K$25:$K$384),IF(D937="Uso prioritario",'Hoja 4 - Cálculo'!I118+'Hoja 4 - Cálculo'!K118,'Hoja 4 - Cálculo'!I118+'Hoja 4 - Cálculo'!J118+'Hoja 4 - Cálculo'!K118)))</f>
        <v>11.5</v>
      </c>
      <c r="I937" s="15">
        <f t="shared" si="204"/>
        <v>11.5</v>
      </c>
      <c r="J937" s="15">
        <f t="shared" si="211"/>
        <v>3</v>
      </c>
      <c r="K937" s="15">
        <f>MIN(J937+G937,(J937+G937)*'Hoja 4 - Cálculo'!$B$15)</f>
        <v>0.70030500000000007</v>
      </c>
      <c r="L937" s="15">
        <f t="shared" si="205"/>
        <v>34.314945000000002</v>
      </c>
      <c r="M937" s="15">
        <f t="shared" si="206"/>
        <v>11.5</v>
      </c>
      <c r="N937" s="15">
        <f t="shared" si="207"/>
        <v>3</v>
      </c>
      <c r="O937" s="15">
        <f t="shared" si="208"/>
        <v>19.814945000000002</v>
      </c>
      <c r="P937" s="15">
        <f t="shared" si="209"/>
        <v>0</v>
      </c>
      <c r="Q937" s="14" t="str">
        <f>IF(M937&gt;=I937*'Hoja 4 - Cálculo'!$B$16,"Satisfactorio","Falla")</f>
        <v>Satisfactorio</v>
      </c>
      <c r="R937" s="14">
        <f t="shared" si="212"/>
        <v>0</v>
      </c>
      <c r="S937" s="14">
        <f t="shared" si="213"/>
        <v>0</v>
      </c>
    </row>
    <row r="938" spans="1:19">
      <c r="A938" s="14" t="str">
        <f t="shared" si="210"/>
        <v>SRY-3-2</v>
      </c>
      <c r="B938" s="15">
        <f>'Curvas SRY'!$B$10</f>
        <v>3</v>
      </c>
      <c r="C938" s="15">
        <f>'Curvas SRY'!$E$9</f>
        <v>1</v>
      </c>
      <c r="D938" s="14" t="str">
        <f>'Curvas SRY'!$B$14</f>
        <v>Uso variable</v>
      </c>
      <c r="E938" s="14">
        <f>95</f>
        <v>95</v>
      </c>
      <c r="F938" s="21">
        <f>'Hoja 4 - Cálculo'!A119</f>
        <v>32448</v>
      </c>
      <c r="G938" s="15">
        <f>'Hoja 4 - Cálculo'!H119</f>
        <v>25.876124999999998</v>
      </c>
      <c r="H938" s="15">
        <f>IF(D938="Uso único",'Hoja 4 - Cálculo'!I119,IF(D938="Uso múltiple",AVERAGE('Hoja 4 - Cálculo'!$I$25:$I$384)+AVERAGE('Hoja 4 - Cálculo'!$J$25:$J$384)+AVERAGE('Hoja 4 - Cálculo'!$K$25:$K$384),IF(D938="Uso prioritario",'Hoja 4 - Cálculo'!I119+'Hoja 4 - Cálculo'!K119,'Hoja 4 - Cálculo'!I119+'Hoja 4 - Cálculo'!J119+'Hoja 4 - Cálculo'!K119)))</f>
        <v>11.5</v>
      </c>
      <c r="I938" s="15">
        <f t="shared" si="204"/>
        <v>11.5</v>
      </c>
      <c r="J938" s="15">
        <f t="shared" si="211"/>
        <v>3</v>
      </c>
      <c r="K938" s="15">
        <f>MIN(J938+G938,(J938+G938)*'Hoja 4 - Cálculo'!$B$15)</f>
        <v>0.57752249999999994</v>
      </c>
      <c r="L938" s="15">
        <f t="shared" si="205"/>
        <v>28.298602499999998</v>
      </c>
      <c r="M938" s="15">
        <f t="shared" si="206"/>
        <v>11.5</v>
      </c>
      <c r="N938" s="15">
        <f t="shared" si="207"/>
        <v>3</v>
      </c>
      <c r="O938" s="15">
        <f t="shared" si="208"/>
        <v>13.798602499999998</v>
      </c>
      <c r="P938" s="15">
        <f t="shared" si="209"/>
        <v>0</v>
      </c>
      <c r="Q938" s="14" t="str">
        <f>IF(M938&gt;=I938*'Hoja 4 - Cálculo'!$B$16,"Satisfactorio","Falla")</f>
        <v>Satisfactorio</v>
      </c>
      <c r="R938" s="14">
        <f t="shared" si="212"/>
        <v>0</v>
      </c>
      <c r="S938" s="14">
        <f t="shared" si="213"/>
        <v>0</v>
      </c>
    </row>
    <row r="939" spans="1:19">
      <c r="A939" s="14" t="str">
        <f t="shared" si="210"/>
        <v>SRY-3-2</v>
      </c>
      <c r="B939" s="15">
        <f>'Curvas SRY'!$B$10</f>
        <v>3</v>
      </c>
      <c r="C939" s="15">
        <f>'Curvas SRY'!$E$9</f>
        <v>1</v>
      </c>
      <c r="D939" s="14" t="str">
        <f>'Curvas SRY'!$B$14</f>
        <v>Uso variable</v>
      </c>
      <c r="E939" s="14">
        <f>96</f>
        <v>96</v>
      </c>
      <c r="F939" s="21">
        <f>'Hoja 4 - Cálculo'!A120</f>
        <v>32478</v>
      </c>
      <c r="G939" s="15">
        <f>'Hoja 4 - Cálculo'!H120</f>
        <v>16.218</v>
      </c>
      <c r="H939" s="15">
        <f>IF(D939="Uso único",'Hoja 4 - Cálculo'!I120,IF(D939="Uso múltiple",AVERAGE('Hoja 4 - Cálculo'!$I$25:$I$384)+AVERAGE('Hoja 4 - Cálculo'!$J$25:$J$384)+AVERAGE('Hoja 4 - Cálculo'!$K$25:$K$384),IF(D939="Uso prioritario",'Hoja 4 - Cálculo'!I120+'Hoja 4 - Cálculo'!K120,'Hoja 4 - Cálculo'!I120+'Hoja 4 - Cálculo'!J120+'Hoja 4 - Cálculo'!K120)))</f>
        <v>16</v>
      </c>
      <c r="I939" s="15">
        <f t="shared" si="204"/>
        <v>16</v>
      </c>
      <c r="J939" s="15">
        <f t="shared" si="211"/>
        <v>3</v>
      </c>
      <c r="K939" s="15">
        <f>MIN(J939+G939,(J939+G939)*'Hoja 4 - Cálculo'!$B$15)</f>
        <v>0.38436000000000003</v>
      </c>
      <c r="L939" s="15">
        <f t="shared" si="205"/>
        <v>18.833639999999999</v>
      </c>
      <c r="M939" s="15">
        <f t="shared" si="206"/>
        <v>16</v>
      </c>
      <c r="N939" s="15">
        <f t="shared" si="207"/>
        <v>2.833639999999999</v>
      </c>
      <c r="O939" s="15">
        <f t="shared" si="208"/>
        <v>0</v>
      </c>
      <c r="P939" s="15">
        <f t="shared" si="209"/>
        <v>0</v>
      </c>
      <c r="Q939" s="14" t="str">
        <f>IF(M939&gt;=I939*'Hoja 4 - Cálculo'!$B$16,"Satisfactorio","Falla")</f>
        <v>Satisfactorio</v>
      </c>
      <c r="R939" s="14">
        <f t="shared" si="212"/>
        <v>0</v>
      </c>
      <c r="S939" s="14">
        <f t="shared" si="213"/>
        <v>0</v>
      </c>
    </row>
    <row r="940" spans="1:19">
      <c r="A940" s="14" t="str">
        <f t="shared" ref="A940:A963" si="214">"SRY-3-2"</f>
        <v>SRY-3-2</v>
      </c>
      <c r="B940" s="15">
        <f>'Curvas SRY'!$B$10</f>
        <v>3</v>
      </c>
      <c r="C940" s="15">
        <f>'Curvas SRY'!$E$9</f>
        <v>1</v>
      </c>
      <c r="D940" s="14" t="str">
        <f>'Curvas SRY'!$B$14</f>
        <v>Uso variable</v>
      </c>
      <c r="E940" s="14">
        <f>97</f>
        <v>97</v>
      </c>
      <c r="F940" s="21">
        <f>'Hoja 4 - Cálculo'!A121</f>
        <v>32509</v>
      </c>
      <c r="G940" s="15">
        <f>'Hoja 4 - Cálculo'!H121</f>
        <v>11.761875</v>
      </c>
      <c r="H940" s="15">
        <f>IF(D940="Uso único",'Hoja 4 - Cálculo'!I121,IF(D940="Uso múltiple",AVERAGE('Hoja 4 - Cálculo'!$I$25:$I$384)+AVERAGE('Hoja 4 - Cálculo'!$J$25:$J$384)+AVERAGE('Hoja 4 - Cálculo'!$K$25:$K$384),IF(D940="Uso prioritario",'Hoja 4 - Cálculo'!I121+'Hoja 4 - Cálculo'!K121,'Hoja 4 - Cálculo'!I121+'Hoja 4 - Cálculo'!J121+'Hoja 4 - Cálculo'!K121)))</f>
        <v>16</v>
      </c>
      <c r="I940" s="15">
        <f t="shared" si="204"/>
        <v>16</v>
      </c>
      <c r="J940" s="15">
        <f t="shared" si="211"/>
        <v>2.833639999999999</v>
      </c>
      <c r="K940" s="15">
        <f>MIN(J940+G940,(J940+G940)*'Hoja 4 - Cálculo'!$B$15)</f>
        <v>0.29191030000000001</v>
      </c>
      <c r="L940" s="15">
        <f t="shared" si="205"/>
        <v>14.303604699999999</v>
      </c>
      <c r="M940" s="15">
        <f t="shared" si="206"/>
        <v>14.303604699999999</v>
      </c>
      <c r="N940" s="15">
        <f t="shared" si="207"/>
        <v>0</v>
      </c>
      <c r="O940" s="15">
        <f t="shared" si="208"/>
        <v>0</v>
      </c>
      <c r="P940" s="15">
        <f t="shared" si="209"/>
        <v>1.6963953000000007</v>
      </c>
      <c r="Q940" s="14" t="str">
        <f>IF(M940&gt;=I940*'Hoja 4 - Cálculo'!$B$16,"Satisfactorio","Falla")</f>
        <v>Falla</v>
      </c>
      <c r="R940" s="14">
        <f t="shared" si="212"/>
        <v>0</v>
      </c>
      <c r="S940" s="14">
        <f t="shared" si="213"/>
        <v>1</v>
      </c>
    </row>
    <row r="941" spans="1:19">
      <c r="A941" s="14" t="str">
        <f t="shared" si="214"/>
        <v>SRY-3-2</v>
      </c>
      <c r="B941" s="15">
        <f>'Curvas SRY'!$B$10</f>
        <v>3</v>
      </c>
      <c r="C941" s="15">
        <f>'Curvas SRY'!$E$9</f>
        <v>1</v>
      </c>
      <c r="D941" s="14" t="str">
        <f>'Curvas SRY'!$B$14</f>
        <v>Uso variable</v>
      </c>
      <c r="E941" s="14">
        <f>98</f>
        <v>98</v>
      </c>
      <c r="F941" s="21">
        <f>'Hoja 4 - Cálculo'!A122</f>
        <v>32540</v>
      </c>
      <c r="G941" s="15">
        <f>'Hoja 4 - Cálculo'!H122</f>
        <v>12.43125</v>
      </c>
      <c r="H941" s="15">
        <f>IF(D941="Uso único",'Hoja 4 - Cálculo'!I122,IF(D941="Uso múltiple",AVERAGE('Hoja 4 - Cálculo'!$I$25:$I$384)+AVERAGE('Hoja 4 - Cálculo'!$J$25:$J$384)+AVERAGE('Hoja 4 - Cálculo'!$K$25:$K$384),IF(D941="Uso prioritario",'Hoja 4 - Cálculo'!I122+'Hoja 4 - Cálculo'!K122,'Hoja 4 - Cálculo'!I122+'Hoja 4 - Cálculo'!J122+'Hoja 4 - Cálculo'!K122)))</f>
        <v>16</v>
      </c>
      <c r="I941" s="15">
        <f t="shared" si="204"/>
        <v>16</v>
      </c>
      <c r="J941" s="15">
        <f t="shared" ref="J941:J963" si="215">N940</f>
        <v>0</v>
      </c>
      <c r="K941" s="15">
        <f>MIN(J941+G941,(J941+G941)*'Hoja 4 - Cálculo'!$B$15)</f>
        <v>0.24862500000000001</v>
      </c>
      <c r="L941" s="15">
        <f t="shared" si="205"/>
        <v>12.182625</v>
      </c>
      <c r="M941" s="15">
        <f t="shared" si="206"/>
        <v>12.182625</v>
      </c>
      <c r="N941" s="15">
        <f t="shared" si="207"/>
        <v>0</v>
      </c>
      <c r="O941" s="15">
        <f t="shared" si="208"/>
        <v>0</v>
      </c>
      <c r="P941" s="15">
        <f t="shared" si="209"/>
        <v>3.8173750000000002</v>
      </c>
      <c r="Q941" s="14" t="str">
        <f>IF(M941&gt;=I941*'Hoja 4 - Cálculo'!$B$16,"Satisfactorio","Falla")</f>
        <v>Falla</v>
      </c>
      <c r="R941" s="14">
        <f t="shared" ref="R941:R972" si="216">IF(AND(Q940="Falla",Q941="Satisfactorio"),1,0)</f>
        <v>0</v>
      </c>
      <c r="S941" s="14">
        <f t="shared" ref="S941:S963" si="217">IF(AND(Q941="Falla",Q940&lt;&gt;"Falla"),1,0)</f>
        <v>0</v>
      </c>
    </row>
    <row r="942" spans="1:19">
      <c r="A942" s="14" t="str">
        <f t="shared" si="214"/>
        <v>SRY-3-2</v>
      </c>
      <c r="B942" s="15">
        <f>'Curvas SRY'!$B$10</f>
        <v>3</v>
      </c>
      <c r="C942" s="15">
        <f>'Curvas SRY'!$E$9</f>
        <v>1</v>
      </c>
      <c r="D942" s="14" t="str">
        <f>'Curvas SRY'!$B$14</f>
        <v>Uso variable</v>
      </c>
      <c r="E942" s="14">
        <f>99</f>
        <v>99</v>
      </c>
      <c r="F942" s="21">
        <f>'Hoja 4 - Cálculo'!A123</f>
        <v>32568</v>
      </c>
      <c r="G942" s="15">
        <f>'Hoja 4 - Cálculo'!H123</f>
        <v>19.717874999999999</v>
      </c>
      <c r="H942" s="15">
        <f>IF(D942="Uso único",'Hoja 4 - Cálculo'!I123,IF(D942="Uso múltiple",AVERAGE('Hoja 4 - Cálculo'!$I$25:$I$384)+AVERAGE('Hoja 4 - Cálculo'!$J$25:$J$384)+AVERAGE('Hoja 4 - Cálculo'!$K$25:$K$384),IF(D942="Uso prioritario",'Hoja 4 - Cálculo'!I123+'Hoja 4 - Cálculo'!K123,'Hoja 4 - Cálculo'!I123+'Hoja 4 - Cálculo'!J123+'Hoja 4 - Cálculo'!K123)))</f>
        <v>16</v>
      </c>
      <c r="I942" s="15">
        <f t="shared" si="204"/>
        <v>16</v>
      </c>
      <c r="J942" s="15">
        <f t="shared" si="215"/>
        <v>0</v>
      </c>
      <c r="K942" s="15">
        <f>MIN(J942+G942,(J942+G942)*'Hoja 4 - Cálculo'!$B$15)</f>
        <v>0.39435749999999997</v>
      </c>
      <c r="L942" s="15">
        <f t="shared" si="205"/>
        <v>19.323517499999998</v>
      </c>
      <c r="M942" s="15">
        <f t="shared" si="206"/>
        <v>16</v>
      </c>
      <c r="N942" s="15">
        <f t="shared" si="207"/>
        <v>3</v>
      </c>
      <c r="O942" s="15">
        <f t="shared" si="208"/>
        <v>0.32351749999999768</v>
      </c>
      <c r="P942" s="15">
        <f t="shared" si="209"/>
        <v>0</v>
      </c>
      <c r="Q942" s="14" t="str">
        <f>IF(M942&gt;=I942*'Hoja 4 - Cálculo'!$B$16,"Satisfactorio","Falla")</f>
        <v>Satisfactorio</v>
      </c>
      <c r="R942" s="14">
        <f t="shared" si="216"/>
        <v>1</v>
      </c>
      <c r="S942" s="14">
        <f t="shared" si="217"/>
        <v>0</v>
      </c>
    </row>
    <row r="943" spans="1:19">
      <c r="A943" s="14" t="str">
        <f t="shared" si="214"/>
        <v>SRY-3-2</v>
      </c>
      <c r="B943" s="15">
        <f>'Curvas SRY'!$B$10</f>
        <v>3</v>
      </c>
      <c r="C943" s="15">
        <f>'Curvas SRY'!$E$9</f>
        <v>1</v>
      </c>
      <c r="D943" s="14" t="str">
        <f>'Curvas SRY'!$B$14</f>
        <v>Uso variable</v>
      </c>
      <c r="E943" s="14">
        <f>100</f>
        <v>100</v>
      </c>
      <c r="F943" s="21">
        <f>'Hoja 4 - Cálculo'!A124</f>
        <v>32599</v>
      </c>
      <c r="G943" s="15">
        <f>'Hoja 4 - Cálculo'!H124</f>
        <v>26.029125000000001</v>
      </c>
      <c r="H943" s="15">
        <f>IF(D943="Uso único",'Hoja 4 - Cálculo'!I124,IF(D943="Uso múltiple",AVERAGE('Hoja 4 - Cálculo'!$I$25:$I$384)+AVERAGE('Hoja 4 - Cálculo'!$J$25:$J$384)+AVERAGE('Hoja 4 - Cálculo'!$K$25:$K$384),IF(D943="Uso prioritario",'Hoja 4 - Cálculo'!I124+'Hoja 4 - Cálculo'!K124,'Hoja 4 - Cálculo'!I124+'Hoja 4 - Cálculo'!J124+'Hoja 4 - Cálculo'!K124)))</f>
        <v>11.5</v>
      </c>
      <c r="I943" s="15">
        <f t="shared" si="204"/>
        <v>11.5</v>
      </c>
      <c r="J943" s="15">
        <f t="shared" si="215"/>
        <v>3</v>
      </c>
      <c r="K943" s="15">
        <f>MIN(J943+G943,(J943+G943)*'Hoja 4 - Cálculo'!$B$15)</f>
        <v>0.5805825</v>
      </c>
      <c r="L943" s="15">
        <f t="shared" si="205"/>
        <v>28.448542500000002</v>
      </c>
      <c r="M943" s="15">
        <f t="shared" si="206"/>
        <v>11.5</v>
      </c>
      <c r="N943" s="15">
        <f t="shared" si="207"/>
        <v>3</v>
      </c>
      <c r="O943" s="15">
        <f t="shared" si="208"/>
        <v>13.948542500000002</v>
      </c>
      <c r="P943" s="15">
        <f t="shared" si="209"/>
        <v>0</v>
      </c>
      <c r="Q943" s="14" t="str">
        <f>IF(M943&gt;=I943*'Hoja 4 - Cálculo'!$B$16,"Satisfactorio","Falla")</f>
        <v>Satisfactorio</v>
      </c>
      <c r="R943" s="14">
        <f t="shared" si="216"/>
        <v>0</v>
      </c>
      <c r="S943" s="14">
        <f t="shared" si="217"/>
        <v>0</v>
      </c>
    </row>
    <row r="944" spans="1:19">
      <c r="A944" s="14" t="str">
        <f t="shared" si="214"/>
        <v>SRY-3-2</v>
      </c>
      <c r="B944" s="15">
        <f>'Curvas SRY'!$B$10</f>
        <v>3</v>
      </c>
      <c r="C944" s="15">
        <f>'Curvas SRY'!$E$9</f>
        <v>1</v>
      </c>
      <c r="D944" s="14" t="str">
        <f>'Curvas SRY'!$B$14</f>
        <v>Uso variable</v>
      </c>
      <c r="E944" s="14">
        <f>101</f>
        <v>101</v>
      </c>
      <c r="F944" s="21">
        <f>'Hoja 4 - Cálculo'!A125</f>
        <v>32629</v>
      </c>
      <c r="G944" s="15">
        <f>'Hoja 4 - Cálculo'!H125</f>
        <v>24.728625000000005</v>
      </c>
      <c r="H944" s="15">
        <f>IF(D944="Uso único",'Hoja 4 - Cálculo'!I125,IF(D944="Uso múltiple",AVERAGE('Hoja 4 - Cálculo'!$I$25:$I$384)+AVERAGE('Hoja 4 - Cálculo'!$J$25:$J$384)+AVERAGE('Hoja 4 - Cálculo'!$K$25:$K$384),IF(D944="Uso prioritario",'Hoja 4 - Cálculo'!I125+'Hoja 4 - Cálculo'!K125,'Hoja 4 - Cálculo'!I125+'Hoja 4 - Cálculo'!J125+'Hoja 4 - Cálculo'!K125)))</f>
        <v>11.5</v>
      </c>
      <c r="I944" s="15">
        <f t="shared" si="204"/>
        <v>11.5</v>
      </c>
      <c r="J944" s="15">
        <f t="shared" si="215"/>
        <v>3</v>
      </c>
      <c r="K944" s="15">
        <f>MIN(J944+G944,(J944+G944)*'Hoja 4 - Cálculo'!$B$15)</f>
        <v>0.55457250000000013</v>
      </c>
      <c r="L944" s="15">
        <f t="shared" si="205"/>
        <v>27.174052500000005</v>
      </c>
      <c r="M944" s="15">
        <f t="shared" si="206"/>
        <v>11.5</v>
      </c>
      <c r="N944" s="15">
        <f t="shared" si="207"/>
        <v>3</v>
      </c>
      <c r="O944" s="15">
        <f t="shared" si="208"/>
        <v>12.674052500000005</v>
      </c>
      <c r="P944" s="15">
        <f t="shared" si="209"/>
        <v>0</v>
      </c>
      <c r="Q944" s="14" t="str">
        <f>IF(M944&gt;=I944*'Hoja 4 - Cálculo'!$B$16,"Satisfactorio","Falla")</f>
        <v>Satisfactorio</v>
      </c>
      <c r="R944" s="14">
        <f t="shared" si="216"/>
        <v>0</v>
      </c>
      <c r="S944" s="14">
        <f t="shared" si="217"/>
        <v>0</v>
      </c>
    </row>
    <row r="945" spans="1:19">
      <c r="A945" s="14" t="str">
        <f t="shared" si="214"/>
        <v>SRY-3-2</v>
      </c>
      <c r="B945" s="15">
        <f>'Curvas SRY'!$B$10</f>
        <v>3</v>
      </c>
      <c r="C945" s="15">
        <f>'Curvas SRY'!$E$9</f>
        <v>1</v>
      </c>
      <c r="D945" s="14" t="str">
        <f>'Curvas SRY'!$B$14</f>
        <v>Uso variable</v>
      </c>
      <c r="E945" s="14">
        <f>102</f>
        <v>102</v>
      </c>
      <c r="F945" s="21">
        <f>'Hoja 4 - Cálculo'!A126</f>
        <v>32660</v>
      </c>
      <c r="G945" s="15">
        <f>'Hoja 4 - Cálculo'!H126</f>
        <v>14.515874999999999</v>
      </c>
      <c r="H945" s="15">
        <f>IF(D945="Uso único",'Hoja 4 - Cálculo'!I126,IF(D945="Uso múltiple",AVERAGE('Hoja 4 - Cálculo'!$I$25:$I$384)+AVERAGE('Hoja 4 - Cálculo'!$J$25:$J$384)+AVERAGE('Hoja 4 - Cálculo'!$K$25:$K$384),IF(D945="Uso prioritario",'Hoja 4 - Cálculo'!I126+'Hoja 4 - Cálculo'!K126,'Hoja 4 - Cálculo'!I126+'Hoja 4 - Cálculo'!J126+'Hoja 4 - Cálculo'!K126)))</f>
        <v>11.5</v>
      </c>
      <c r="I945" s="15">
        <f t="shared" si="204"/>
        <v>11.5</v>
      </c>
      <c r="J945" s="15">
        <f t="shared" si="215"/>
        <v>3</v>
      </c>
      <c r="K945" s="15">
        <f>MIN(J945+G945,(J945+G945)*'Hoja 4 - Cálculo'!$B$15)</f>
        <v>0.3503175</v>
      </c>
      <c r="L945" s="15">
        <f t="shared" si="205"/>
        <v>17.165557500000002</v>
      </c>
      <c r="M945" s="15">
        <f t="shared" si="206"/>
        <v>11.5</v>
      </c>
      <c r="N945" s="15">
        <f t="shared" si="207"/>
        <v>3</v>
      </c>
      <c r="O945" s="15">
        <f t="shared" si="208"/>
        <v>2.665557500000002</v>
      </c>
      <c r="P945" s="15">
        <f t="shared" si="209"/>
        <v>0</v>
      </c>
      <c r="Q945" s="14" t="str">
        <f>IF(M945&gt;=I945*'Hoja 4 - Cálculo'!$B$16,"Satisfactorio","Falla")</f>
        <v>Satisfactorio</v>
      </c>
      <c r="R945" s="14">
        <f t="shared" si="216"/>
        <v>0</v>
      </c>
      <c r="S945" s="14">
        <f t="shared" si="217"/>
        <v>0</v>
      </c>
    </row>
    <row r="946" spans="1:19">
      <c r="A946" s="14" t="str">
        <f t="shared" si="214"/>
        <v>SRY-3-2</v>
      </c>
      <c r="B946" s="15">
        <f>'Curvas SRY'!$B$10</f>
        <v>3</v>
      </c>
      <c r="C946" s="15">
        <f>'Curvas SRY'!$E$9</f>
        <v>1</v>
      </c>
      <c r="D946" s="14" t="str">
        <f>'Curvas SRY'!$B$14</f>
        <v>Uso variable</v>
      </c>
      <c r="E946" s="14">
        <f>103</f>
        <v>103</v>
      </c>
      <c r="F946" s="21">
        <f>'Hoja 4 - Cálculo'!A127</f>
        <v>32690</v>
      </c>
      <c r="G946" s="15">
        <f>'Hoja 4 - Cálculo'!H127</f>
        <v>12.144375</v>
      </c>
      <c r="H946" s="15">
        <f>IF(D946="Uso único",'Hoja 4 - Cálculo'!I127,IF(D946="Uso múltiple",AVERAGE('Hoja 4 - Cálculo'!$I$25:$I$384)+AVERAGE('Hoja 4 - Cálculo'!$J$25:$J$384)+AVERAGE('Hoja 4 - Cálculo'!$K$25:$K$384),IF(D946="Uso prioritario",'Hoja 4 - Cálculo'!I127+'Hoja 4 - Cálculo'!K127,'Hoja 4 - Cálculo'!I127+'Hoja 4 - Cálculo'!J127+'Hoja 4 - Cálculo'!K127)))</f>
        <v>16</v>
      </c>
      <c r="I946" s="15">
        <f t="shared" si="204"/>
        <v>16</v>
      </c>
      <c r="J946" s="15">
        <f t="shared" si="215"/>
        <v>3</v>
      </c>
      <c r="K946" s="15">
        <f>MIN(J946+G946,(J946+G946)*'Hoja 4 - Cálculo'!$B$15)</f>
        <v>0.30288750000000003</v>
      </c>
      <c r="L946" s="15">
        <f t="shared" si="205"/>
        <v>14.841487499999999</v>
      </c>
      <c r="M946" s="15">
        <f t="shared" si="206"/>
        <v>14.841487499999999</v>
      </c>
      <c r="N946" s="15">
        <f t="shared" si="207"/>
        <v>0</v>
      </c>
      <c r="O946" s="15">
        <f t="shared" si="208"/>
        <v>0</v>
      </c>
      <c r="P946" s="15">
        <f t="shared" si="209"/>
        <v>1.1585125000000005</v>
      </c>
      <c r="Q946" s="14" t="str">
        <f>IF(M946&gt;=I946*'Hoja 4 - Cálculo'!$B$16,"Satisfactorio","Falla")</f>
        <v>Falla</v>
      </c>
      <c r="R946" s="14">
        <f t="shared" si="216"/>
        <v>0</v>
      </c>
      <c r="S946" s="14">
        <f t="shared" si="217"/>
        <v>1</v>
      </c>
    </row>
    <row r="947" spans="1:19">
      <c r="A947" s="14" t="str">
        <f t="shared" si="214"/>
        <v>SRY-3-2</v>
      </c>
      <c r="B947" s="15">
        <f>'Curvas SRY'!$B$10</f>
        <v>3</v>
      </c>
      <c r="C947" s="15">
        <f>'Curvas SRY'!$E$9</f>
        <v>1</v>
      </c>
      <c r="D947" s="14" t="str">
        <f>'Curvas SRY'!$B$14</f>
        <v>Uso variable</v>
      </c>
      <c r="E947" s="14">
        <f>104</f>
        <v>104</v>
      </c>
      <c r="F947" s="21">
        <f>'Hoja 4 - Cálculo'!A128</f>
        <v>32721</v>
      </c>
      <c r="G947" s="15">
        <f>'Hoja 4 - Cálculo'!H128</f>
        <v>13.04325</v>
      </c>
      <c r="H947" s="15">
        <f>IF(D947="Uso único",'Hoja 4 - Cálculo'!I128,IF(D947="Uso múltiple",AVERAGE('Hoja 4 - Cálculo'!$I$25:$I$384)+AVERAGE('Hoja 4 - Cálculo'!$J$25:$J$384)+AVERAGE('Hoja 4 - Cálculo'!$K$25:$K$384),IF(D947="Uso prioritario",'Hoja 4 - Cálculo'!I128+'Hoja 4 - Cálculo'!K128,'Hoja 4 - Cálculo'!I128+'Hoja 4 - Cálculo'!J128+'Hoja 4 - Cálculo'!K128)))</f>
        <v>16</v>
      </c>
      <c r="I947" s="15">
        <f t="shared" si="204"/>
        <v>16</v>
      </c>
      <c r="J947" s="15">
        <f t="shared" si="215"/>
        <v>0</v>
      </c>
      <c r="K947" s="15">
        <f>MIN(J947+G947,(J947+G947)*'Hoja 4 - Cálculo'!$B$15)</f>
        <v>0.26086500000000001</v>
      </c>
      <c r="L947" s="15">
        <f t="shared" si="205"/>
        <v>12.782385</v>
      </c>
      <c r="M947" s="15">
        <f t="shared" si="206"/>
        <v>12.782385</v>
      </c>
      <c r="N947" s="15">
        <f t="shared" si="207"/>
        <v>0</v>
      </c>
      <c r="O947" s="15">
        <f t="shared" si="208"/>
        <v>0</v>
      </c>
      <c r="P947" s="15">
        <f t="shared" si="209"/>
        <v>3.2176150000000003</v>
      </c>
      <c r="Q947" s="14" t="str">
        <f>IF(M947&gt;=I947*'Hoja 4 - Cálculo'!$B$16,"Satisfactorio","Falla")</f>
        <v>Falla</v>
      </c>
      <c r="R947" s="14">
        <f t="shared" si="216"/>
        <v>0</v>
      </c>
      <c r="S947" s="14">
        <f t="shared" si="217"/>
        <v>0</v>
      </c>
    </row>
    <row r="948" spans="1:19">
      <c r="A948" s="14" t="str">
        <f t="shared" si="214"/>
        <v>SRY-3-2</v>
      </c>
      <c r="B948" s="15">
        <f>'Curvas SRY'!$B$10</f>
        <v>3</v>
      </c>
      <c r="C948" s="15">
        <f>'Curvas SRY'!$E$9</f>
        <v>1</v>
      </c>
      <c r="D948" s="14" t="str">
        <f>'Curvas SRY'!$B$14</f>
        <v>Uso variable</v>
      </c>
      <c r="E948" s="14">
        <f>105</f>
        <v>105</v>
      </c>
      <c r="F948" s="21">
        <f>'Hoja 4 - Cálculo'!A129</f>
        <v>32752</v>
      </c>
      <c r="G948" s="15">
        <f>'Hoja 4 - Cálculo'!H129</f>
        <v>20.444624999999998</v>
      </c>
      <c r="H948" s="15">
        <f>IF(D948="Uso único",'Hoja 4 - Cálculo'!I129,IF(D948="Uso múltiple",AVERAGE('Hoja 4 - Cálculo'!$I$25:$I$384)+AVERAGE('Hoja 4 - Cálculo'!$J$25:$J$384)+AVERAGE('Hoja 4 - Cálculo'!$K$25:$K$384),IF(D948="Uso prioritario",'Hoja 4 - Cálculo'!I129+'Hoja 4 - Cálculo'!K129,'Hoja 4 - Cálculo'!I129+'Hoja 4 - Cálculo'!J129+'Hoja 4 - Cálculo'!K129)))</f>
        <v>11.5</v>
      </c>
      <c r="I948" s="15">
        <f t="shared" si="204"/>
        <v>11.5</v>
      </c>
      <c r="J948" s="15">
        <f t="shared" si="215"/>
        <v>0</v>
      </c>
      <c r="K948" s="15">
        <f>MIN(J948+G948,(J948+G948)*'Hoja 4 - Cálculo'!$B$15)</f>
        <v>0.40889249999999999</v>
      </c>
      <c r="L948" s="15">
        <f t="shared" si="205"/>
        <v>20.035732499999998</v>
      </c>
      <c r="M948" s="15">
        <f t="shared" si="206"/>
        <v>11.5</v>
      </c>
      <c r="N948" s="15">
        <f t="shared" si="207"/>
        <v>3</v>
      </c>
      <c r="O948" s="15">
        <f t="shared" si="208"/>
        <v>5.5357324999999982</v>
      </c>
      <c r="P948" s="15">
        <f t="shared" si="209"/>
        <v>0</v>
      </c>
      <c r="Q948" s="14" t="str">
        <f>IF(M948&gt;=I948*'Hoja 4 - Cálculo'!$B$16,"Satisfactorio","Falla")</f>
        <v>Satisfactorio</v>
      </c>
      <c r="R948" s="14">
        <f t="shared" si="216"/>
        <v>1</v>
      </c>
      <c r="S948" s="14">
        <f t="shared" si="217"/>
        <v>0</v>
      </c>
    </row>
    <row r="949" spans="1:19">
      <c r="A949" s="14" t="str">
        <f t="shared" si="214"/>
        <v>SRY-3-2</v>
      </c>
      <c r="B949" s="15">
        <f>'Curvas SRY'!$B$10</f>
        <v>3</v>
      </c>
      <c r="C949" s="15">
        <f>'Curvas SRY'!$E$9</f>
        <v>1</v>
      </c>
      <c r="D949" s="14" t="str">
        <f>'Curvas SRY'!$B$14</f>
        <v>Uso variable</v>
      </c>
      <c r="E949" s="14">
        <f>106</f>
        <v>106</v>
      </c>
      <c r="F949" s="21">
        <f>'Hoja 4 - Cálculo'!A130</f>
        <v>32782</v>
      </c>
      <c r="G949" s="15">
        <f>'Hoja 4 - Cálculo'!H130</f>
        <v>28.343250000000001</v>
      </c>
      <c r="H949" s="15">
        <f>IF(D949="Uso único",'Hoja 4 - Cálculo'!I130,IF(D949="Uso múltiple",AVERAGE('Hoja 4 - Cálculo'!$I$25:$I$384)+AVERAGE('Hoja 4 - Cálculo'!$J$25:$J$384)+AVERAGE('Hoja 4 - Cálculo'!$K$25:$K$384),IF(D949="Uso prioritario",'Hoja 4 - Cálculo'!I130+'Hoja 4 - Cálculo'!K130,'Hoja 4 - Cálculo'!I130+'Hoja 4 - Cálculo'!J130+'Hoja 4 - Cálculo'!K130)))</f>
        <v>11.5</v>
      </c>
      <c r="I949" s="15">
        <f t="shared" si="204"/>
        <v>11.5</v>
      </c>
      <c r="J949" s="15">
        <f t="shared" si="215"/>
        <v>3</v>
      </c>
      <c r="K949" s="15">
        <f>MIN(J949+G949,(J949+G949)*'Hoja 4 - Cálculo'!$B$15)</f>
        <v>0.62686500000000001</v>
      </c>
      <c r="L949" s="15">
        <f t="shared" si="205"/>
        <v>30.716385000000002</v>
      </c>
      <c r="M949" s="15">
        <f t="shared" si="206"/>
        <v>11.5</v>
      </c>
      <c r="N949" s="15">
        <f t="shared" si="207"/>
        <v>3</v>
      </c>
      <c r="O949" s="15">
        <f t="shared" si="208"/>
        <v>16.216385000000002</v>
      </c>
      <c r="P949" s="15">
        <f t="shared" si="209"/>
        <v>0</v>
      </c>
      <c r="Q949" s="14" t="str">
        <f>IF(M949&gt;=I949*'Hoja 4 - Cálculo'!$B$16,"Satisfactorio","Falla")</f>
        <v>Satisfactorio</v>
      </c>
      <c r="R949" s="14">
        <f t="shared" si="216"/>
        <v>0</v>
      </c>
      <c r="S949" s="14">
        <f t="shared" si="217"/>
        <v>0</v>
      </c>
    </row>
    <row r="950" spans="1:19">
      <c r="A950" s="14" t="str">
        <f t="shared" si="214"/>
        <v>SRY-3-2</v>
      </c>
      <c r="B950" s="15">
        <f>'Curvas SRY'!$B$10</f>
        <v>3</v>
      </c>
      <c r="C950" s="15">
        <f>'Curvas SRY'!$E$9</f>
        <v>1</v>
      </c>
      <c r="D950" s="14" t="str">
        <f>'Curvas SRY'!$B$14</f>
        <v>Uso variable</v>
      </c>
      <c r="E950" s="14">
        <f>107</f>
        <v>107</v>
      </c>
      <c r="F950" s="21">
        <f>'Hoja 4 - Cálculo'!A131</f>
        <v>32813</v>
      </c>
      <c r="G950" s="15">
        <f>'Hoja 4 - Cálculo'!H131</f>
        <v>22.60575</v>
      </c>
      <c r="H950" s="15">
        <f>IF(D950="Uso único",'Hoja 4 - Cálculo'!I131,IF(D950="Uso múltiple",AVERAGE('Hoja 4 - Cálculo'!$I$25:$I$384)+AVERAGE('Hoja 4 - Cálculo'!$J$25:$J$384)+AVERAGE('Hoja 4 - Cálculo'!$K$25:$K$384),IF(D950="Uso prioritario",'Hoja 4 - Cálculo'!I131+'Hoja 4 - Cálculo'!K131,'Hoja 4 - Cálculo'!I131+'Hoja 4 - Cálculo'!J131+'Hoja 4 - Cálculo'!K131)))</f>
        <v>11.5</v>
      </c>
      <c r="I950" s="15">
        <f t="shared" si="204"/>
        <v>11.5</v>
      </c>
      <c r="J950" s="15">
        <f t="shared" si="215"/>
        <v>3</v>
      </c>
      <c r="K950" s="15">
        <f>MIN(J950+G950,(J950+G950)*'Hoja 4 - Cálculo'!$B$15)</f>
        <v>0.51211499999999999</v>
      </c>
      <c r="L950" s="15">
        <f t="shared" si="205"/>
        <v>25.093634999999999</v>
      </c>
      <c r="M950" s="15">
        <f t="shared" si="206"/>
        <v>11.5</v>
      </c>
      <c r="N950" s="15">
        <f t="shared" si="207"/>
        <v>3</v>
      </c>
      <c r="O950" s="15">
        <f t="shared" si="208"/>
        <v>10.593634999999999</v>
      </c>
      <c r="P950" s="15">
        <f t="shared" si="209"/>
        <v>0</v>
      </c>
      <c r="Q950" s="14" t="str">
        <f>IF(M950&gt;=I950*'Hoja 4 - Cálculo'!$B$16,"Satisfactorio","Falla")</f>
        <v>Satisfactorio</v>
      </c>
      <c r="R950" s="14">
        <f t="shared" si="216"/>
        <v>0</v>
      </c>
      <c r="S950" s="14">
        <f t="shared" si="217"/>
        <v>0</v>
      </c>
    </row>
    <row r="951" spans="1:19">
      <c r="A951" s="14" t="str">
        <f t="shared" si="214"/>
        <v>SRY-3-2</v>
      </c>
      <c r="B951" s="15">
        <f>'Curvas SRY'!$B$10</f>
        <v>3</v>
      </c>
      <c r="C951" s="15">
        <f>'Curvas SRY'!$E$9</f>
        <v>1</v>
      </c>
      <c r="D951" s="14" t="str">
        <f>'Curvas SRY'!$B$14</f>
        <v>Uso variable</v>
      </c>
      <c r="E951" s="14">
        <f>108</f>
        <v>108</v>
      </c>
      <c r="F951" s="21">
        <f>'Hoja 4 - Cálculo'!A132</f>
        <v>32843</v>
      </c>
      <c r="G951" s="15">
        <f>'Hoja 4 - Cálculo'!H132</f>
        <v>14.362875000000001</v>
      </c>
      <c r="H951" s="15">
        <f>IF(D951="Uso único",'Hoja 4 - Cálculo'!I132,IF(D951="Uso múltiple",AVERAGE('Hoja 4 - Cálculo'!$I$25:$I$384)+AVERAGE('Hoja 4 - Cálculo'!$J$25:$J$384)+AVERAGE('Hoja 4 - Cálculo'!$K$25:$K$384),IF(D951="Uso prioritario",'Hoja 4 - Cálculo'!I132+'Hoja 4 - Cálculo'!K132,'Hoja 4 - Cálculo'!I132+'Hoja 4 - Cálculo'!J132+'Hoja 4 - Cálculo'!K132)))</f>
        <v>16</v>
      </c>
      <c r="I951" s="15">
        <f t="shared" si="204"/>
        <v>16</v>
      </c>
      <c r="J951" s="15">
        <f t="shared" si="215"/>
        <v>3</v>
      </c>
      <c r="K951" s="15">
        <f>MIN(J951+G951,(J951+G951)*'Hoja 4 - Cálculo'!$B$15)</f>
        <v>0.34725750000000005</v>
      </c>
      <c r="L951" s="15">
        <f t="shared" si="205"/>
        <v>17.015617500000001</v>
      </c>
      <c r="M951" s="15">
        <f t="shared" si="206"/>
        <v>16</v>
      </c>
      <c r="N951" s="15">
        <f t="shared" si="207"/>
        <v>1.0156175000000012</v>
      </c>
      <c r="O951" s="15">
        <f t="shared" si="208"/>
        <v>0</v>
      </c>
      <c r="P951" s="15">
        <f t="shared" si="209"/>
        <v>0</v>
      </c>
      <c r="Q951" s="14" t="str">
        <f>IF(M951&gt;=I951*'Hoja 4 - Cálculo'!$B$16,"Satisfactorio","Falla")</f>
        <v>Satisfactorio</v>
      </c>
      <c r="R951" s="14">
        <f t="shared" si="216"/>
        <v>0</v>
      </c>
      <c r="S951" s="14">
        <f t="shared" si="217"/>
        <v>0</v>
      </c>
    </row>
    <row r="952" spans="1:19">
      <c r="A952" s="14" t="str">
        <f t="shared" si="214"/>
        <v>SRY-3-2</v>
      </c>
      <c r="B952" s="15">
        <f>'Curvas SRY'!$B$10</f>
        <v>3</v>
      </c>
      <c r="C952" s="15">
        <f>'Curvas SRY'!$E$9</f>
        <v>1</v>
      </c>
      <c r="D952" s="14" t="str">
        <f>'Curvas SRY'!$B$14</f>
        <v>Uso variable</v>
      </c>
      <c r="E952" s="14">
        <f>109</f>
        <v>109</v>
      </c>
      <c r="F952" s="21">
        <f>'Hoja 4 - Cálculo'!A133</f>
        <v>32874</v>
      </c>
      <c r="G952" s="15">
        <f>'Hoja 4 - Cálculo'!H133</f>
        <v>11.723625</v>
      </c>
      <c r="H952" s="15">
        <f>IF(D952="Uso único",'Hoja 4 - Cálculo'!I133,IF(D952="Uso múltiple",AVERAGE('Hoja 4 - Cálculo'!$I$25:$I$384)+AVERAGE('Hoja 4 - Cálculo'!$J$25:$J$384)+AVERAGE('Hoja 4 - Cálculo'!$K$25:$K$384),IF(D952="Uso prioritario",'Hoja 4 - Cálculo'!I133+'Hoja 4 - Cálculo'!K133,'Hoja 4 - Cálculo'!I133+'Hoja 4 - Cálculo'!J133+'Hoja 4 - Cálculo'!K133)))</f>
        <v>16</v>
      </c>
      <c r="I952" s="15">
        <f t="shared" si="204"/>
        <v>16</v>
      </c>
      <c r="J952" s="15">
        <f t="shared" si="215"/>
        <v>1.0156175000000012</v>
      </c>
      <c r="K952" s="15">
        <f>MIN(J952+G952,(J952+G952)*'Hoja 4 - Cálculo'!$B$15)</f>
        <v>0.25478485000000001</v>
      </c>
      <c r="L952" s="15">
        <f t="shared" si="205"/>
        <v>12.484457650000001</v>
      </c>
      <c r="M952" s="15">
        <f t="shared" si="206"/>
        <v>12.484457650000001</v>
      </c>
      <c r="N952" s="15">
        <f t="shared" si="207"/>
        <v>0</v>
      </c>
      <c r="O952" s="15">
        <f t="shared" si="208"/>
        <v>0</v>
      </c>
      <c r="P952" s="15">
        <f t="shared" si="209"/>
        <v>3.5155423499999987</v>
      </c>
      <c r="Q952" s="14" t="str">
        <f>IF(M952&gt;=I952*'Hoja 4 - Cálculo'!$B$16,"Satisfactorio","Falla")</f>
        <v>Falla</v>
      </c>
      <c r="R952" s="14">
        <f t="shared" si="216"/>
        <v>0</v>
      </c>
      <c r="S952" s="14">
        <f t="shared" si="217"/>
        <v>1</v>
      </c>
    </row>
    <row r="953" spans="1:19">
      <c r="A953" s="14" t="str">
        <f t="shared" si="214"/>
        <v>SRY-3-2</v>
      </c>
      <c r="B953" s="15">
        <f>'Curvas SRY'!$B$10</f>
        <v>3</v>
      </c>
      <c r="C953" s="15">
        <f>'Curvas SRY'!$E$9</f>
        <v>1</v>
      </c>
      <c r="D953" s="14" t="str">
        <f>'Curvas SRY'!$B$14</f>
        <v>Uso variable</v>
      </c>
      <c r="E953" s="14">
        <f>110</f>
        <v>110</v>
      </c>
      <c r="F953" s="21">
        <f>'Hoja 4 - Cálculo'!A134</f>
        <v>32905</v>
      </c>
      <c r="G953" s="15">
        <f>'Hoja 4 - Cálculo'!H134</f>
        <v>13.311</v>
      </c>
      <c r="H953" s="15">
        <f>IF(D953="Uso único",'Hoja 4 - Cálculo'!I134,IF(D953="Uso múltiple",AVERAGE('Hoja 4 - Cálculo'!$I$25:$I$384)+AVERAGE('Hoja 4 - Cálculo'!$J$25:$J$384)+AVERAGE('Hoja 4 - Cálculo'!$K$25:$K$384),IF(D953="Uso prioritario",'Hoja 4 - Cálculo'!I134+'Hoja 4 - Cálculo'!K134,'Hoja 4 - Cálculo'!I134+'Hoja 4 - Cálculo'!J134+'Hoja 4 - Cálculo'!K134)))</f>
        <v>16</v>
      </c>
      <c r="I953" s="15">
        <f t="shared" si="204"/>
        <v>16</v>
      </c>
      <c r="J953" s="15">
        <f t="shared" si="215"/>
        <v>0</v>
      </c>
      <c r="K953" s="15">
        <f>MIN(J953+G953,(J953+G953)*'Hoja 4 - Cálculo'!$B$15)</f>
        <v>0.26622000000000001</v>
      </c>
      <c r="L953" s="15">
        <f t="shared" si="205"/>
        <v>13.044779999999999</v>
      </c>
      <c r="M953" s="15">
        <f t="shared" si="206"/>
        <v>13.044779999999999</v>
      </c>
      <c r="N953" s="15">
        <f t="shared" si="207"/>
        <v>0</v>
      </c>
      <c r="O953" s="15">
        <f t="shared" si="208"/>
        <v>0</v>
      </c>
      <c r="P953" s="15">
        <f t="shared" si="209"/>
        <v>2.9552200000000006</v>
      </c>
      <c r="Q953" s="14" t="str">
        <f>IF(M953&gt;=I953*'Hoja 4 - Cálculo'!$B$16,"Satisfactorio","Falla")</f>
        <v>Falla</v>
      </c>
      <c r="R953" s="14">
        <f t="shared" si="216"/>
        <v>0</v>
      </c>
      <c r="S953" s="14">
        <f t="shared" si="217"/>
        <v>0</v>
      </c>
    </row>
    <row r="954" spans="1:19">
      <c r="A954" s="14" t="str">
        <f t="shared" si="214"/>
        <v>SRY-3-2</v>
      </c>
      <c r="B954" s="15">
        <f>'Curvas SRY'!$B$10</f>
        <v>3</v>
      </c>
      <c r="C954" s="15">
        <f>'Curvas SRY'!$E$9</f>
        <v>1</v>
      </c>
      <c r="D954" s="14" t="str">
        <f>'Curvas SRY'!$B$14</f>
        <v>Uso variable</v>
      </c>
      <c r="E954" s="14">
        <f>111</f>
        <v>111</v>
      </c>
      <c r="F954" s="21">
        <f>'Hoja 4 - Cálculo'!A135</f>
        <v>32933</v>
      </c>
      <c r="G954" s="15">
        <f>'Hoja 4 - Cálculo'!H135</f>
        <v>18.838125000000002</v>
      </c>
      <c r="H954" s="15">
        <f>IF(D954="Uso único",'Hoja 4 - Cálculo'!I135,IF(D954="Uso múltiple",AVERAGE('Hoja 4 - Cálculo'!$I$25:$I$384)+AVERAGE('Hoja 4 - Cálculo'!$J$25:$J$384)+AVERAGE('Hoja 4 - Cálculo'!$K$25:$K$384),IF(D954="Uso prioritario",'Hoja 4 - Cálculo'!I135+'Hoja 4 - Cálculo'!K135,'Hoja 4 - Cálculo'!I135+'Hoja 4 - Cálculo'!J135+'Hoja 4 - Cálculo'!K135)))</f>
        <v>16</v>
      </c>
      <c r="I954" s="15">
        <f t="shared" si="204"/>
        <v>16</v>
      </c>
      <c r="J954" s="15">
        <f t="shared" si="215"/>
        <v>0</v>
      </c>
      <c r="K954" s="15">
        <f>MIN(J954+G954,(J954+G954)*'Hoja 4 - Cálculo'!$B$15)</f>
        <v>0.37676250000000006</v>
      </c>
      <c r="L954" s="15">
        <f t="shared" si="205"/>
        <v>18.4613625</v>
      </c>
      <c r="M954" s="15">
        <f t="shared" si="206"/>
        <v>16</v>
      </c>
      <c r="N954" s="15">
        <f t="shared" si="207"/>
        <v>2.4613624999999999</v>
      </c>
      <c r="O954" s="15">
        <f t="shared" si="208"/>
        <v>0</v>
      </c>
      <c r="P954" s="15">
        <f t="shared" si="209"/>
        <v>0</v>
      </c>
      <c r="Q954" s="14" t="str">
        <f>IF(M954&gt;=I954*'Hoja 4 - Cálculo'!$B$16,"Satisfactorio","Falla")</f>
        <v>Satisfactorio</v>
      </c>
      <c r="R954" s="14">
        <f t="shared" si="216"/>
        <v>1</v>
      </c>
      <c r="S954" s="14">
        <f t="shared" si="217"/>
        <v>0</v>
      </c>
    </row>
    <row r="955" spans="1:19">
      <c r="A955" s="14" t="str">
        <f t="shared" si="214"/>
        <v>SRY-3-2</v>
      </c>
      <c r="B955" s="15">
        <f>'Curvas SRY'!$B$10</f>
        <v>3</v>
      </c>
      <c r="C955" s="15">
        <f>'Curvas SRY'!$E$9</f>
        <v>1</v>
      </c>
      <c r="D955" s="14" t="str">
        <f>'Curvas SRY'!$B$14</f>
        <v>Uso variable</v>
      </c>
      <c r="E955" s="14">
        <f>112</f>
        <v>112</v>
      </c>
      <c r="F955" s="21">
        <f>'Hoja 4 - Cálculo'!A136</f>
        <v>32964</v>
      </c>
      <c r="G955" s="15">
        <f>'Hoja 4 - Cálculo'!H136</f>
        <v>28.611000000000001</v>
      </c>
      <c r="H955" s="15">
        <f>IF(D955="Uso único",'Hoja 4 - Cálculo'!I136,IF(D955="Uso múltiple",AVERAGE('Hoja 4 - Cálculo'!$I$25:$I$384)+AVERAGE('Hoja 4 - Cálculo'!$J$25:$J$384)+AVERAGE('Hoja 4 - Cálculo'!$K$25:$K$384),IF(D955="Uso prioritario",'Hoja 4 - Cálculo'!I136+'Hoja 4 - Cálculo'!K136,'Hoja 4 - Cálculo'!I136+'Hoja 4 - Cálculo'!J136+'Hoja 4 - Cálculo'!K136)))</f>
        <v>11.5</v>
      </c>
      <c r="I955" s="15">
        <f t="shared" si="204"/>
        <v>11.5</v>
      </c>
      <c r="J955" s="15">
        <f t="shared" si="215"/>
        <v>2.4613624999999999</v>
      </c>
      <c r="K955" s="15">
        <f>MIN(J955+G955,(J955+G955)*'Hoja 4 - Cálculo'!$B$15)</f>
        <v>0.62144725000000001</v>
      </c>
      <c r="L955" s="15">
        <f t="shared" si="205"/>
        <v>30.450915250000001</v>
      </c>
      <c r="M955" s="15">
        <f t="shared" si="206"/>
        <v>11.5</v>
      </c>
      <c r="N955" s="15">
        <f t="shared" si="207"/>
        <v>3</v>
      </c>
      <c r="O955" s="15">
        <f t="shared" si="208"/>
        <v>15.950915250000001</v>
      </c>
      <c r="P955" s="15">
        <f t="shared" si="209"/>
        <v>0</v>
      </c>
      <c r="Q955" s="14" t="str">
        <f>IF(M955&gt;=I955*'Hoja 4 - Cálculo'!$B$16,"Satisfactorio","Falla")</f>
        <v>Satisfactorio</v>
      </c>
      <c r="R955" s="14">
        <f t="shared" si="216"/>
        <v>0</v>
      </c>
      <c r="S955" s="14">
        <f t="shared" si="217"/>
        <v>0</v>
      </c>
    </row>
    <row r="956" spans="1:19">
      <c r="A956" s="14" t="str">
        <f t="shared" si="214"/>
        <v>SRY-3-2</v>
      </c>
      <c r="B956" s="15">
        <f>'Curvas SRY'!$B$10</f>
        <v>3</v>
      </c>
      <c r="C956" s="15">
        <f>'Curvas SRY'!$E$9</f>
        <v>1</v>
      </c>
      <c r="D956" s="14" t="str">
        <f>'Curvas SRY'!$B$14</f>
        <v>Uso variable</v>
      </c>
      <c r="E956" s="14">
        <f>113</f>
        <v>113</v>
      </c>
      <c r="F956" s="21">
        <f>'Hoja 4 - Cálculo'!A137</f>
        <v>32994</v>
      </c>
      <c r="G956" s="15">
        <f>'Hoja 4 - Cálculo'!H137</f>
        <v>23.52375</v>
      </c>
      <c r="H956" s="15">
        <f>IF(D956="Uso único",'Hoja 4 - Cálculo'!I137,IF(D956="Uso múltiple",AVERAGE('Hoja 4 - Cálculo'!$I$25:$I$384)+AVERAGE('Hoja 4 - Cálculo'!$J$25:$J$384)+AVERAGE('Hoja 4 - Cálculo'!$K$25:$K$384),IF(D956="Uso prioritario",'Hoja 4 - Cálculo'!I137+'Hoja 4 - Cálculo'!K137,'Hoja 4 - Cálculo'!I137+'Hoja 4 - Cálculo'!J137+'Hoja 4 - Cálculo'!K137)))</f>
        <v>11.5</v>
      </c>
      <c r="I956" s="15">
        <f t="shared" si="204"/>
        <v>11.5</v>
      </c>
      <c r="J956" s="15">
        <f t="shared" si="215"/>
        <v>3</v>
      </c>
      <c r="K956" s="15">
        <f>MIN(J956+G956,(J956+G956)*'Hoja 4 - Cálculo'!$B$15)</f>
        <v>0.53047500000000003</v>
      </c>
      <c r="L956" s="15">
        <f t="shared" si="205"/>
        <v>25.993275000000001</v>
      </c>
      <c r="M956" s="15">
        <f t="shared" si="206"/>
        <v>11.5</v>
      </c>
      <c r="N956" s="15">
        <f t="shared" si="207"/>
        <v>3</v>
      </c>
      <c r="O956" s="15">
        <f t="shared" si="208"/>
        <v>11.493275000000001</v>
      </c>
      <c r="P956" s="15">
        <f t="shared" si="209"/>
        <v>0</v>
      </c>
      <c r="Q956" s="14" t="str">
        <f>IF(M956&gt;=I956*'Hoja 4 - Cálculo'!$B$16,"Satisfactorio","Falla")</f>
        <v>Satisfactorio</v>
      </c>
      <c r="R956" s="14">
        <f t="shared" si="216"/>
        <v>0</v>
      </c>
      <c r="S956" s="14">
        <f t="shared" si="217"/>
        <v>0</v>
      </c>
    </row>
    <row r="957" spans="1:19">
      <c r="A957" s="14" t="str">
        <f t="shared" si="214"/>
        <v>SRY-3-2</v>
      </c>
      <c r="B957" s="15">
        <f>'Curvas SRY'!$B$10</f>
        <v>3</v>
      </c>
      <c r="C957" s="15">
        <f>'Curvas SRY'!$E$9</f>
        <v>1</v>
      </c>
      <c r="D957" s="14" t="str">
        <f>'Curvas SRY'!$B$14</f>
        <v>Uso variable</v>
      </c>
      <c r="E957" s="14">
        <f>114</f>
        <v>114</v>
      </c>
      <c r="F957" s="21">
        <f>'Hoja 4 - Cálculo'!A138</f>
        <v>33025</v>
      </c>
      <c r="G957" s="15">
        <f>'Hoja 4 - Cálculo'!H138</f>
        <v>15.529500000000001</v>
      </c>
      <c r="H957" s="15">
        <f>IF(D957="Uso único",'Hoja 4 - Cálculo'!I138,IF(D957="Uso múltiple",AVERAGE('Hoja 4 - Cálculo'!$I$25:$I$384)+AVERAGE('Hoja 4 - Cálculo'!$J$25:$J$384)+AVERAGE('Hoja 4 - Cálculo'!$K$25:$K$384),IF(D957="Uso prioritario",'Hoja 4 - Cálculo'!I138+'Hoja 4 - Cálculo'!K138,'Hoja 4 - Cálculo'!I138+'Hoja 4 - Cálculo'!J138+'Hoja 4 - Cálculo'!K138)))</f>
        <v>11.5</v>
      </c>
      <c r="I957" s="15">
        <f t="shared" si="204"/>
        <v>11.5</v>
      </c>
      <c r="J957" s="15">
        <f t="shared" si="215"/>
        <v>3</v>
      </c>
      <c r="K957" s="15">
        <f>MIN(J957+G957,(J957+G957)*'Hoja 4 - Cálculo'!$B$15)</f>
        <v>0.37058999999999997</v>
      </c>
      <c r="L957" s="15">
        <f t="shared" si="205"/>
        <v>18.158909999999999</v>
      </c>
      <c r="M957" s="15">
        <f t="shared" si="206"/>
        <v>11.5</v>
      </c>
      <c r="N957" s="15">
        <f t="shared" si="207"/>
        <v>3</v>
      </c>
      <c r="O957" s="15">
        <f t="shared" si="208"/>
        <v>3.6589099999999988</v>
      </c>
      <c r="P957" s="15">
        <f t="shared" si="209"/>
        <v>0</v>
      </c>
      <c r="Q957" s="14" t="str">
        <f>IF(M957&gt;=I957*'Hoja 4 - Cálculo'!$B$16,"Satisfactorio","Falla")</f>
        <v>Satisfactorio</v>
      </c>
      <c r="R957" s="14">
        <f t="shared" si="216"/>
        <v>0</v>
      </c>
      <c r="S957" s="14">
        <f t="shared" si="217"/>
        <v>0</v>
      </c>
    </row>
    <row r="958" spans="1:19">
      <c r="A958" s="14" t="str">
        <f t="shared" si="214"/>
        <v>SRY-3-2</v>
      </c>
      <c r="B958" s="15">
        <f>'Curvas SRY'!$B$10</f>
        <v>3</v>
      </c>
      <c r="C958" s="15">
        <f>'Curvas SRY'!$E$9</f>
        <v>1</v>
      </c>
      <c r="D958" s="14" t="str">
        <f>'Curvas SRY'!$B$14</f>
        <v>Uso variable</v>
      </c>
      <c r="E958" s="14">
        <f>115</f>
        <v>115</v>
      </c>
      <c r="F958" s="21">
        <f>'Hoja 4 - Cálculo'!A139</f>
        <v>33055</v>
      </c>
      <c r="G958" s="15">
        <f>'Hoja 4 - Cálculo'!H139</f>
        <v>12.201750000000001</v>
      </c>
      <c r="H958" s="15">
        <f>IF(D958="Uso único",'Hoja 4 - Cálculo'!I139,IF(D958="Uso múltiple",AVERAGE('Hoja 4 - Cálculo'!$I$25:$I$384)+AVERAGE('Hoja 4 - Cálculo'!$J$25:$J$384)+AVERAGE('Hoja 4 - Cálculo'!$K$25:$K$384),IF(D958="Uso prioritario",'Hoja 4 - Cálculo'!I139+'Hoja 4 - Cálculo'!K139,'Hoja 4 - Cálculo'!I139+'Hoja 4 - Cálculo'!J139+'Hoja 4 - Cálculo'!K139)))</f>
        <v>16</v>
      </c>
      <c r="I958" s="15">
        <f t="shared" si="204"/>
        <v>16</v>
      </c>
      <c r="J958" s="15">
        <f t="shared" si="215"/>
        <v>3</v>
      </c>
      <c r="K958" s="15">
        <f>MIN(J958+G958,(J958+G958)*'Hoja 4 - Cálculo'!$B$15)</f>
        <v>0.304035</v>
      </c>
      <c r="L958" s="15">
        <f t="shared" si="205"/>
        <v>14.897715</v>
      </c>
      <c r="M958" s="15">
        <f t="shared" si="206"/>
        <v>14.897715</v>
      </c>
      <c r="N958" s="15">
        <f t="shared" si="207"/>
        <v>0</v>
      </c>
      <c r="O958" s="15">
        <f t="shared" si="208"/>
        <v>0</v>
      </c>
      <c r="P958" s="15">
        <f t="shared" si="209"/>
        <v>1.1022850000000002</v>
      </c>
      <c r="Q958" s="14" t="str">
        <f>IF(M958&gt;=I958*'Hoja 4 - Cálculo'!$B$16,"Satisfactorio","Falla")</f>
        <v>Falla</v>
      </c>
      <c r="R958" s="14">
        <f t="shared" si="216"/>
        <v>0</v>
      </c>
      <c r="S958" s="14">
        <f t="shared" si="217"/>
        <v>1</v>
      </c>
    </row>
    <row r="959" spans="1:19">
      <c r="A959" s="14" t="str">
        <f t="shared" si="214"/>
        <v>SRY-3-2</v>
      </c>
      <c r="B959" s="15">
        <f>'Curvas SRY'!$B$10</f>
        <v>3</v>
      </c>
      <c r="C959" s="15">
        <f>'Curvas SRY'!$E$9</f>
        <v>1</v>
      </c>
      <c r="D959" s="14" t="str">
        <f>'Curvas SRY'!$B$14</f>
        <v>Uso variable</v>
      </c>
      <c r="E959" s="14">
        <f>116</f>
        <v>116</v>
      </c>
      <c r="F959" s="21">
        <f>'Hoja 4 - Cálculo'!A140</f>
        <v>33086</v>
      </c>
      <c r="G959" s="15">
        <f>'Hoja 4 - Cálculo'!H140</f>
        <v>13.04325</v>
      </c>
      <c r="H959" s="15">
        <f>IF(D959="Uso único",'Hoja 4 - Cálculo'!I140,IF(D959="Uso múltiple",AVERAGE('Hoja 4 - Cálculo'!$I$25:$I$384)+AVERAGE('Hoja 4 - Cálculo'!$J$25:$J$384)+AVERAGE('Hoja 4 - Cálculo'!$K$25:$K$384),IF(D959="Uso prioritario",'Hoja 4 - Cálculo'!I140+'Hoja 4 - Cálculo'!K140,'Hoja 4 - Cálculo'!I140+'Hoja 4 - Cálculo'!J140+'Hoja 4 - Cálculo'!K140)))</f>
        <v>16</v>
      </c>
      <c r="I959" s="15">
        <f t="shared" si="204"/>
        <v>16</v>
      </c>
      <c r="J959" s="15">
        <f t="shared" si="215"/>
        <v>0</v>
      </c>
      <c r="K959" s="15">
        <f>MIN(J959+G959,(J959+G959)*'Hoja 4 - Cálculo'!$B$15)</f>
        <v>0.26086500000000001</v>
      </c>
      <c r="L959" s="15">
        <f t="shared" si="205"/>
        <v>12.782385</v>
      </c>
      <c r="M959" s="15">
        <f t="shared" si="206"/>
        <v>12.782385</v>
      </c>
      <c r="N959" s="15">
        <f t="shared" si="207"/>
        <v>0</v>
      </c>
      <c r="O959" s="15">
        <f t="shared" si="208"/>
        <v>0</v>
      </c>
      <c r="P959" s="15">
        <f t="shared" si="209"/>
        <v>3.2176150000000003</v>
      </c>
      <c r="Q959" s="14" t="str">
        <f>IF(M959&gt;=I959*'Hoja 4 - Cálculo'!$B$16,"Satisfactorio","Falla")</f>
        <v>Falla</v>
      </c>
      <c r="R959" s="14">
        <f t="shared" si="216"/>
        <v>0</v>
      </c>
      <c r="S959" s="14">
        <f t="shared" si="217"/>
        <v>0</v>
      </c>
    </row>
    <row r="960" spans="1:19">
      <c r="A960" s="14" t="str">
        <f t="shared" si="214"/>
        <v>SRY-3-2</v>
      </c>
      <c r="B960" s="15">
        <f>'Curvas SRY'!$B$10</f>
        <v>3</v>
      </c>
      <c r="C960" s="15">
        <f>'Curvas SRY'!$E$9</f>
        <v>1</v>
      </c>
      <c r="D960" s="14" t="str">
        <f>'Curvas SRY'!$B$14</f>
        <v>Uso variable</v>
      </c>
      <c r="E960" s="14">
        <f>117</f>
        <v>117</v>
      </c>
      <c r="F960" s="21">
        <f>'Hoja 4 - Cálculo'!A141</f>
        <v>33117</v>
      </c>
      <c r="G960" s="15">
        <f>'Hoja 4 - Cálculo'!H141</f>
        <v>21.974625</v>
      </c>
      <c r="H960" s="15">
        <f>IF(D960="Uso único",'Hoja 4 - Cálculo'!I141,IF(D960="Uso múltiple",AVERAGE('Hoja 4 - Cálculo'!$I$25:$I$384)+AVERAGE('Hoja 4 - Cálculo'!$J$25:$J$384)+AVERAGE('Hoja 4 - Cálculo'!$K$25:$K$384),IF(D960="Uso prioritario",'Hoja 4 - Cálculo'!I141+'Hoja 4 - Cálculo'!K141,'Hoja 4 - Cálculo'!I141+'Hoja 4 - Cálculo'!J141+'Hoja 4 - Cálculo'!K141)))</f>
        <v>11.5</v>
      </c>
      <c r="I960" s="15">
        <f t="shared" si="204"/>
        <v>11.5</v>
      </c>
      <c r="J960" s="15">
        <f t="shared" si="215"/>
        <v>0</v>
      </c>
      <c r="K960" s="15">
        <f>MIN(J960+G960,(J960+G960)*'Hoja 4 - Cálculo'!$B$15)</f>
        <v>0.43949250000000001</v>
      </c>
      <c r="L960" s="15">
        <f t="shared" si="205"/>
        <v>21.5351325</v>
      </c>
      <c r="M960" s="15">
        <f t="shared" si="206"/>
        <v>11.5</v>
      </c>
      <c r="N960" s="15">
        <f t="shared" si="207"/>
        <v>3</v>
      </c>
      <c r="O960" s="15">
        <f t="shared" si="208"/>
        <v>7.0351324999999996</v>
      </c>
      <c r="P960" s="15">
        <f t="shared" si="209"/>
        <v>0</v>
      </c>
      <c r="Q960" s="14" t="str">
        <f>IF(M960&gt;=I960*'Hoja 4 - Cálculo'!$B$16,"Satisfactorio","Falla")</f>
        <v>Satisfactorio</v>
      </c>
      <c r="R960" s="14">
        <f t="shared" si="216"/>
        <v>1</v>
      </c>
      <c r="S960" s="14">
        <f t="shared" si="217"/>
        <v>0</v>
      </c>
    </row>
    <row r="961" spans="1:19">
      <c r="A961" s="14" t="str">
        <f t="shared" si="214"/>
        <v>SRY-3-2</v>
      </c>
      <c r="B961" s="15">
        <f>'Curvas SRY'!$B$10</f>
        <v>3</v>
      </c>
      <c r="C961" s="15">
        <f>'Curvas SRY'!$E$9</f>
        <v>1</v>
      </c>
      <c r="D961" s="14" t="str">
        <f>'Curvas SRY'!$B$14</f>
        <v>Uso variable</v>
      </c>
      <c r="E961" s="14">
        <f>118</f>
        <v>118</v>
      </c>
      <c r="F961" s="21">
        <f>'Hoja 4 - Cálculo'!A142</f>
        <v>33147</v>
      </c>
      <c r="G961" s="15">
        <f>'Hoja 4 - Cálculo'!H142</f>
        <v>26.870625</v>
      </c>
      <c r="H961" s="15">
        <f>IF(D961="Uso único",'Hoja 4 - Cálculo'!I142,IF(D961="Uso múltiple",AVERAGE('Hoja 4 - Cálculo'!$I$25:$I$384)+AVERAGE('Hoja 4 - Cálculo'!$J$25:$J$384)+AVERAGE('Hoja 4 - Cálculo'!$K$25:$K$384),IF(D961="Uso prioritario",'Hoja 4 - Cálculo'!I142+'Hoja 4 - Cálculo'!K142,'Hoja 4 - Cálculo'!I142+'Hoja 4 - Cálculo'!J142+'Hoja 4 - Cálculo'!K142)))</f>
        <v>11.5</v>
      </c>
      <c r="I961" s="15">
        <f t="shared" si="204"/>
        <v>11.5</v>
      </c>
      <c r="J961" s="15">
        <f t="shared" si="215"/>
        <v>3</v>
      </c>
      <c r="K961" s="15">
        <f>MIN(J961+G961,(J961+G961)*'Hoja 4 - Cálculo'!$B$15)</f>
        <v>0.59741250000000001</v>
      </c>
      <c r="L961" s="15">
        <f t="shared" si="205"/>
        <v>29.2732125</v>
      </c>
      <c r="M961" s="15">
        <f t="shared" si="206"/>
        <v>11.5</v>
      </c>
      <c r="N961" s="15">
        <f t="shared" si="207"/>
        <v>3</v>
      </c>
      <c r="O961" s="15">
        <f t="shared" si="208"/>
        <v>14.7732125</v>
      </c>
      <c r="P961" s="15">
        <f t="shared" si="209"/>
        <v>0</v>
      </c>
      <c r="Q961" s="14" t="str">
        <f>IF(M961&gt;=I961*'Hoja 4 - Cálculo'!$B$16,"Satisfactorio","Falla")</f>
        <v>Satisfactorio</v>
      </c>
      <c r="R961" s="14">
        <f t="shared" si="216"/>
        <v>0</v>
      </c>
      <c r="S961" s="14">
        <f t="shared" si="217"/>
        <v>0</v>
      </c>
    </row>
    <row r="962" spans="1:19">
      <c r="A962" s="14" t="str">
        <f t="shared" si="214"/>
        <v>SRY-3-2</v>
      </c>
      <c r="B962" s="15">
        <f>'Curvas SRY'!$B$10</f>
        <v>3</v>
      </c>
      <c r="C962" s="15">
        <f>'Curvas SRY'!$E$9</f>
        <v>1</v>
      </c>
      <c r="D962" s="14" t="str">
        <f>'Curvas SRY'!$B$14</f>
        <v>Uso variable</v>
      </c>
      <c r="E962" s="14">
        <f>119</f>
        <v>119</v>
      </c>
      <c r="F962" s="21">
        <f>'Hoja 4 - Cálculo'!A143</f>
        <v>33178</v>
      </c>
      <c r="G962" s="15">
        <f>'Hoja 4 - Cálculo'!H143</f>
        <v>24.881625</v>
      </c>
      <c r="H962" s="15">
        <f>IF(D962="Uso único",'Hoja 4 - Cálculo'!I143,IF(D962="Uso múltiple",AVERAGE('Hoja 4 - Cálculo'!$I$25:$I$384)+AVERAGE('Hoja 4 - Cálculo'!$J$25:$J$384)+AVERAGE('Hoja 4 - Cálculo'!$K$25:$K$384),IF(D962="Uso prioritario",'Hoja 4 - Cálculo'!I143+'Hoja 4 - Cálculo'!K143,'Hoja 4 - Cálculo'!I143+'Hoja 4 - Cálculo'!J143+'Hoja 4 - Cálculo'!K143)))</f>
        <v>11.5</v>
      </c>
      <c r="I962" s="15">
        <f t="shared" si="204"/>
        <v>11.5</v>
      </c>
      <c r="J962" s="15">
        <f t="shared" si="215"/>
        <v>3</v>
      </c>
      <c r="K962" s="15">
        <f>MIN(J962+G962,(J962+G962)*'Hoja 4 - Cálculo'!$B$15)</f>
        <v>0.55763249999999998</v>
      </c>
      <c r="L962" s="15">
        <f t="shared" si="205"/>
        <v>27.323992499999999</v>
      </c>
      <c r="M962" s="15">
        <f t="shared" si="206"/>
        <v>11.5</v>
      </c>
      <c r="N962" s="15">
        <f t="shared" si="207"/>
        <v>3</v>
      </c>
      <c r="O962" s="15">
        <f t="shared" si="208"/>
        <v>12.823992499999999</v>
      </c>
      <c r="P962" s="15">
        <f t="shared" si="209"/>
        <v>0</v>
      </c>
      <c r="Q962" s="14" t="str">
        <f>IF(M962&gt;=I962*'Hoja 4 - Cálculo'!$B$16,"Satisfactorio","Falla")</f>
        <v>Satisfactorio</v>
      </c>
      <c r="R962" s="14">
        <f t="shared" si="216"/>
        <v>0</v>
      </c>
      <c r="S962" s="14">
        <f t="shared" si="217"/>
        <v>0</v>
      </c>
    </row>
    <row r="963" spans="1:19">
      <c r="A963" s="14" t="str">
        <f t="shared" si="214"/>
        <v>SRY-3-2</v>
      </c>
      <c r="B963" s="15">
        <f>'Curvas SRY'!$B$10</f>
        <v>3</v>
      </c>
      <c r="C963" s="15">
        <f>'Curvas SRY'!$E$9</f>
        <v>1</v>
      </c>
      <c r="D963" s="14" t="str">
        <f>'Curvas SRY'!$B$14</f>
        <v>Uso variable</v>
      </c>
      <c r="E963" s="14">
        <f>120</f>
        <v>120</v>
      </c>
      <c r="F963" s="21">
        <f>'Hoja 4 - Cálculo'!A144</f>
        <v>33208</v>
      </c>
      <c r="G963" s="15">
        <f>'Hoja 4 - Cálculo'!H144</f>
        <v>13.73175</v>
      </c>
      <c r="H963" s="15">
        <f>IF(D963="Uso único",'Hoja 4 - Cálculo'!I144,IF(D963="Uso múltiple",AVERAGE('Hoja 4 - Cálculo'!$I$25:$I$384)+AVERAGE('Hoja 4 - Cálculo'!$J$25:$J$384)+AVERAGE('Hoja 4 - Cálculo'!$K$25:$K$384),IF(D963="Uso prioritario",'Hoja 4 - Cálculo'!I144+'Hoja 4 - Cálculo'!K144,'Hoja 4 - Cálculo'!I144+'Hoja 4 - Cálculo'!J144+'Hoja 4 - Cálculo'!K144)))</f>
        <v>16</v>
      </c>
      <c r="I963" s="15">
        <f t="shared" si="204"/>
        <v>16</v>
      </c>
      <c r="J963" s="15">
        <f t="shared" si="215"/>
        <v>3</v>
      </c>
      <c r="K963" s="15">
        <f>MIN(J963+G963,(J963+G963)*'Hoja 4 - Cálculo'!$B$15)</f>
        <v>0.33463499999999996</v>
      </c>
      <c r="L963" s="15">
        <f t="shared" si="205"/>
        <v>16.397114999999999</v>
      </c>
      <c r="M963" s="15">
        <f t="shared" si="206"/>
        <v>16</v>
      </c>
      <c r="N963" s="15">
        <f t="shared" si="207"/>
        <v>0.39711499999999944</v>
      </c>
      <c r="O963" s="15">
        <f t="shared" si="208"/>
        <v>0</v>
      </c>
      <c r="P963" s="15">
        <f t="shared" si="209"/>
        <v>0</v>
      </c>
      <c r="Q963" s="14" t="str">
        <f>IF(M963&gt;=I963*'Hoja 4 - Cálculo'!$B$16,"Satisfactorio","Falla")</f>
        <v>Satisfactorio</v>
      </c>
      <c r="R963" s="14">
        <f t="shared" si="216"/>
        <v>0</v>
      </c>
      <c r="S963" s="14">
        <f t="shared" si="217"/>
        <v>0</v>
      </c>
    </row>
    <row r="964" spans="1:19">
      <c r="A964" s="14" t="str">
        <f t="shared" ref="A964:A995" si="218">"SRY-3-3"</f>
        <v>SRY-3-3</v>
      </c>
      <c r="B964" s="15">
        <f>'Curvas SRY'!$B$10</f>
        <v>3</v>
      </c>
      <c r="C964" s="15">
        <f>'Curvas SRY'!$E$10</f>
        <v>1.25</v>
      </c>
      <c r="D964" s="14" t="str">
        <f>'Curvas SRY'!$B$14</f>
        <v>Uso variable</v>
      </c>
      <c r="E964" s="14">
        <f>1</f>
        <v>1</v>
      </c>
      <c r="F964" s="21">
        <f>'Hoja 4 - Cálculo'!A25</f>
        <v>29587</v>
      </c>
      <c r="G964" s="15">
        <f>'Hoja 4 - Cálculo'!H25</f>
        <v>12.852</v>
      </c>
      <c r="H964" s="15">
        <f>IF(D964="Uso único",'Hoja 4 - Cálculo'!I25,IF(D964="Uso múltiple",AVERAGE('Hoja 4 - Cálculo'!$I$25:$I$384)+AVERAGE('Hoja 4 - Cálculo'!$J$25:$J$384)+AVERAGE('Hoja 4 - Cálculo'!$K$25:$K$384),IF(D964="Uso prioritario",'Hoja 4 - Cálculo'!I25+'Hoja 4 - Cálculo'!K25,'Hoja 4 - Cálculo'!I25+'Hoja 4 - Cálculo'!J25+'Hoja 4 - Cálculo'!K25)))</f>
        <v>16</v>
      </c>
      <c r="I964" s="15">
        <f t="shared" ref="I964:I1027" si="219">H964*C964</f>
        <v>20</v>
      </c>
      <c r="J964" s="15">
        <f>0</f>
        <v>0</v>
      </c>
      <c r="K964" s="15">
        <f>MIN(J964+G964,(J964+G964)*'Hoja 4 - Cálculo'!$B$15)</f>
        <v>0.25703999999999999</v>
      </c>
      <c r="L964" s="15">
        <f t="shared" ref="L964:L1027" si="220">MAX(0,J964+G964-K964)</f>
        <v>12.59496</v>
      </c>
      <c r="M964" s="15">
        <f t="shared" ref="M964:M1027" si="221">MIN(I964,L964)</f>
        <v>12.59496</v>
      </c>
      <c r="N964" s="15">
        <f t="shared" ref="N964:N1027" si="222">MIN(B964,MAX(0,L964-M964))</f>
        <v>0</v>
      </c>
      <c r="O964" s="15">
        <f t="shared" ref="O964:O1027" si="223">MAX(0,L964-M964-B964)</f>
        <v>0</v>
      </c>
      <c r="P964" s="15">
        <f t="shared" ref="P964:P1027" si="224">MAX(0,I964-M964)</f>
        <v>7.4050399999999996</v>
      </c>
      <c r="Q964" s="14" t="str">
        <f>IF(M964&gt;=I964*'Hoja 4 - Cálculo'!$B$16,"Satisfactorio","Falla")</f>
        <v>Falla</v>
      </c>
      <c r="R964" s="14">
        <f>0</f>
        <v>0</v>
      </c>
      <c r="S964" s="14">
        <f>IF(Q964="Falla",1,0)</f>
        <v>1</v>
      </c>
    </row>
    <row r="965" spans="1:19">
      <c r="A965" s="14" t="str">
        <f t="shared" si="218"/>
        <v>SRY-3-3</v>
      </c>
      <c r="B965" s="15">
        <f>'Curvas SRY'!$B$10</f>
        <v>3</v>
      </c>
      <c r="C965" s="15">
        <f>'Curvas SRY'!$E$10</f>
        <v>1.25</v>
      </c>
      <c r="D965" s="14" t="str">
        <f>'Curvas SRY'!$B$14</f>
        <v>Uso variable</v>
      </c>
      <c r="E965" s="14">
        <f>2</f>
        <v>2</v>
      </c>
      <c r="F965" s="21">
        <f>'Hoja 4 - Cálculo'!A26</f>
        <v>29618</v>
      </c>
      <c r="G965" s="15">
        <f>'Hoja 4 - Cálculo'!H26</f>
        <v>14.630625</v>
      </c>
      <c r="H965" s="15">
        <f>IF(D965="Uso único",'Hoja 4 - Cálculo'!I26,IF(D965="Uso múltiple",AVERAGE('Hoja 4 - Cálculo'!$I$25:$I$384)+AVERAGE('Hoja 4 - Cálculo'!$J$25:$J$384)+AVERAGE('Hoja 4 - Cálculo'!$K$25:$K$384),IF(D965="Uso prioritario",'Hoja 4 - Cálculo'!I26+'Hoja 4 - Cálculo'!K26,'Hoja 4 - Cálculo'!I26+'Hoja 4 - Cálculo'!J26+'Hoja 4 - Cálculo'!K26)))</f>
        <v>16</v>
      </c>
      <c r="I965" s="15">
        <f t="shared" si="219"/>
        <v>20</v>
      </c>
      <c r="J965" s="15">
        <f t="shared" ref="J965:J996" si="225">N964</f>
        <v>0</v>
      </c>
      <c r="K965" s="15">
        <f>MIN(J965+G965,(J965+G965)*'Hoja 4 - Cálculo'!$B$15)</f>
        <v>0.2926125</v>
      </c>
      <c r="L965" s="15">
        <f t="shared" si="220"/>
        <v>14.3380125</v>
      </c>
      <c r="M965" s="15">
        <f t="shared" si="221"/>
        <v>14.3380125</v>
      </c>
      <c r="N965" s="15">
        <f t="shared" si="222"/>
        <v>0</v>
      </c>
      <c r="O965" s="15">
        <f t="shared" si="223"/>
        <v>0</v>
      </c>
      <c r="P965" s="15">
        <f t="shared" si="224"/>
        <v>5.6619875000000004</v>
      </c>
      <c r="Q965" s="14" t="str">
        <f>IF(M965&gt;=I965*'Hoja 4 - Cálculo'!$B$16,"Satisfactorio","Falla")</f>
        <v>Falla</v>
      </c>
      <c r="R965" s="14">
        <f t="shared" ref="R965:R996" si="226">IF(AND(Q964="Falla",Q965="Satisfactorio"),1,0)</f>
        <v>0</v>
      </c>
      <c r="S965" s="14">
        <f t="shared" ref="S965:S996" si="227">IF(AND(Q965="Falla",Q964&lt;&gt;"Falla"),1,0)</f>
        <v>0</v>
      </c>
    </row>
    <row r="966" spans="1:19">
      <c r="A966" s="14" t="str">
        <f t="shared" si="218"/>
        <v>SRY-3-3</v>
      </c>
      <c r="B966" s="15">
        <f>'Curvas SRY'!$B$10</f>
        <v>3</v>
      </c>
      <c r="C966" s="15">
        <f>'Curvas SRY'!$E$10</f>
        <v>1.25</v>
      </c>
      <c r="D966" s="14" t="str">
        <f>'Curvas SRY'!$B$14</f>
        <v>Uso variable</v>
      </c>
      <c r="E966" s="14">
        <f>3</f>
        <v>3</v>
      </c>
      <c r="F966" s="21">
        <f>'Hoja 4 - Cálculo'!A27</f>
        <v>29646</v>
      </c>
      <c r="G966" s="15">
        <f>'Hoja 4 - Cálculo'!H27</f>
        <v>21.114000000000001</v>
      </c>
      <c r="H966" s="15">
        <f>IF(D966="Uso único",'Hoja 4 - Cálculo'!I27,IF(D966="Uso múltiple",AVERAGE('Hoja 4 - Cálculo'!$I$25:$I$384)+AVERAGE('Hoja 4 - Cálculo'!$J$25:$J$384)+AVERAGE('Hoja 4 - Cálculo'!$K$25:$K$384),IF(D966="Uso prioritario",'Hoja 4 - Cálculo'!I27+'Hoja 4 - Cálculo'!K27,'Hoja 4 - Cálculo'!I27+'Hoja 4 - Cálculo'!J27+'Hoja 4 - Cálculo'!K27)))</f>
        <v>16</v>
      </c>
      <c r="I966" s="15">
        <f t="shared" si="219"/>
        <v>20</v>
      </c>
      <c r="J966" s="15">
        <f t="shared" si="225"/>
        <v>0</v>
      </c>
      <c r="K966" s="15">
        <f>MIN(J966+G966,(J966+G966)*'Hoja 4 - Cálculo'!$B$15)</f>
        <v>0.42228000000000004</v>
      </c>
      <c r="L966" s="15">
        <f t="shared" si="220"/>
        <v>20.69172</v>
      </c>
      <c r="M966" s="15">
        <f t="shared" si="221"/>
        <v>20</v>
      </c>
      <c r="N966" s="15">
        <f t="shared" si="222"/>
        <v>0.69172000000000011</v>
      </c>
      <c r="O966" s="15">
        <f t="shared" si="223"/>
        <v>0</v>
      </c>
      <c r="P966" s="15">
        <f t="shared" si="224"/>
        <v>0</v>
      </c>
      <c r="Q966" s="14" t="str">
        <f>IF(M966&gt;=I966*'Hoja 4 - Cálculo'!$B$16,"Satisfactorio","Falla")</f>
        <v>Satisfactorio</v>
      </c>
      <c r="R966" s="14">
        <f t="shared" si="226"/>
        <v>1</v>
      </c>
      <c r="S966" s="14">
        <f t="shared" si="227"/>
        <v>0</v>
      </c>
    </row>
    <row r="967" spans="1:19">
      <c r="A967" s="14" t="str">
        <f t="shared" si="218"/>
        <v>SRY-3-3</v>
      </c>
      <c r="B967" s="15">
        <f>'Curvas SRY'!$B$10</f>
        <v>3</v>
      </c>
      <c r="C967" s="15">
        <f>'Curvas SRY'!$E$10</f>
        <v>1.25</v>
      </c>
      <c r="D967" s="14" t="str">
        <f>'Curvas SRY'!$B$14</f>
        <v>Uso variable</v>
      </c>
      <c r="E967" s="14">
        <f>4</f>
        <v>4</v>
      </c>
      <c r="F967" s="21">
        <f>'Hoja 4 - Cálculo'!A28</f>
        <v>29677</v>
      </c>
      <c r="G967" s="15">
        <f>'Hoja 4 - Cálculo'!H28</f>
        <v>29.280374999999999</v>
      </c>
      <c r="H967" s="15">
        <f>IF(D967="Uso único",'Hoja 4 - Cálculo'!I28,IF(D967="Uso múltiple",AVERAGE('Hoja 4 - Cálculo'!$I$25:$I$384)+AVERAGE('Hoja 4 - Cálculo'!$J$25:$J$384)+AVERAGE('Hoja 4 - Cálculo'!$K$25:$K$384),IF(D967="Uso prioritario",'Hoja 4 - Cálculo'!I28+'Hoja 4 - Cálculo'!K28,'Hoja 4 - Cálculo'!I28+'Hoja 4 - Cálculo'!J28+'Hoja 4 - Cálculo'!K28)))</f>
        <v>11.5</v>
      </c>
      <c r="I967" s="15">
        <f t="shared" si="219"/>
        <v>14.375</v>
      </c>
      <c r="J967" s="15">
        <f t="shared" si="225"/>
        <v>0.69172000000000011</v>
      </c>
      <c r="K967" s="15">
        <f>MIN(J967+G967,(J967+G967)*'Hoja 4 - Cálculo'!$B$15)</f>
        <v>0.59944189999999997</v>
      </c>
      <c r="L967" s="15">
        <f t="shared" si="220"/>
        <v>29.372653100000001</v>
      </c>
      <c r="M967" s="15">
        <f t="shared" si="221"/>
        <v>14.375</v>
      </c>
      <c r="N967" s="15">
        <f t="shared" si="222"/>
        <v>3</v>
      </c>
      <c r="O967" s="15">
        <f t="shared" si="223"/>
        <v>11.997653100000001</v>
      </c>
      <c r="P967" s="15">
        <f t="shared" si="224"/>
        <v>0</v>
      </c>
      <c r="Q967" s="14" t="str">
        <f>IF(M967&gt;=I967*'Hoja 4 - Cálculo'!$B$16,"Satisfactorio","Falla")</f>
        <v>Satisfactorio</v>
      </c>
      <c r="R967" s="14">
        <f t="shared" si="226"/>
        <v>0</v>
      </c>
      <c r="S967" s="14">
        <f t="shared" si="227"/>
        <v>0</v>
      </c>
    </row>
    <row r="968" spans="1:19">
      <c r="A968" s="14" t="str">
        <f t="shared" si="218"/>
        <v>SRY-3-3</v>
      </c>
      <c r="B968" s="15">
        <f>'Curvas SRY'!$B$10</f>
        <v>3</v>
      </c>
      <c r="C968" s="15">
        <f>'Curvas SRY'!$E$10</f>
        <v>1.25</v>
      </c>
      <c r="D968" s="14" t="str">
        <f>'Curvas SRY'!$B$14</f>
        <v>Uso variable</v>
      </c>
      <c r="E968" s="14">
        <f>5</f>
        <v>5</v>
      </c>
      <c r="F968" s="21">
        <f>'Hoja 4 - Cálculo'!A29</f>
        <v>29707</v>
      </c>
      <c r="G968" s="15">
        <f>'Hoja 4 - Cálculo'!H29</f>
        <v>26.048249999999999</v>
      </c>
      <c r="H968" s="15">
        <f>IF(D968="Uso único",'Hoja 4 - Cálculo'!I29,IF(D968="Uso múltiple",AVERAGE('Hoja 4 - Cálculo'!$I$25:$I$384)+AVERAGE('Hoja 4 - Cálculo'!$J$25:$J$384)+AVERAGE('Hoja 4 - Cálculo'!$K$25:$K$384),IF(D968="Uso prioritario",'Hoja 4 - Cálculo'!I29+'Hoja 4 - Cálculo'!K29,'Hoja 4 - Cálculo'!I29+'Hoja 4 - Cálculo'!J29+'Hoja 4 - Cálculo'!K29)))</f>
        <v>11.5</v>
      </c>
      <c r="I968" s="15">
        <f t="shared" si="219"/>
        <v>14.375</v>
      </c>
      <c r="J968" s="15">
        <f t="shared" si="225"/>
        <v>3</v>
      </c>
      <c r="K968" s="15">
        <f>MIN(J968+G968,(J968+G968)*'Hoja 4 - Cálculo'!$B$15)</f>
        <v>0.58096499999999995</v>
      </c>
      <c r="L968" s="15">
        <f t="shared" si="220"/>
        <v>28.467285</v>
      </c>
      <c r="M968" s="15">
        <f t="shared" si="221"/>
        <v>14.375</v>
      </c>
      <c r="N968" s="15">
        <f t="shared" si="222"/>
        <v>3</v>
      </c>
      <c r="O968" s="15">
        <f t="shared" si="223"/>
        <v>11.092285</v>
      </c>
      <c r="P968" s="15">
        <f t="shared" si="224"/>
        <v>0</v>
      </c>
      <c r="Q968" s="14" t="str">
        <f>IF(M968&gt;=I968*'Hoja 4 - Cálculo'!$B$16,"Satisfactorio","Falla")</f>
        <v>Satisfactorio</v>
      </c>
      <c r="R968" s="14">
        <f t="shared" si="226"/>
        <v>0</v>
      </c>
      <c r="S968" s="14">
        <f t="shared" si="227"/>
        <v>0</v>
      </c>
    </row>
    <row r="969" spans="1:19">
      <c r="A969" s="14" t="str">
        <f t="shared" si="218"/>
        <v>SRY-3-3</v>
      </c>
      <c r="B969" s="15">
        <f>'Curvas SRY'!$B$10</f>
        <v>3</v>
      </c>
      <c r="C969" s="15">
        <f>'Curvas SRY'!$E$10</f>
        <v>1.25</v>
      </c>
      <c r="D969" s="14" t="str">
        <f>'Curvas SRY'!$B$14</f>
        <v>Uso variable</v>
      </c>
      <c r="E969" s="14">
        <f>6</f>
        <v>6</v>
      </c>
      <c r="F969" s="21">
        <f>'Hoja 4 - Cálculo'!A30</f>
        <v>29738</v>
      </c>
      <c r="G969" s="15">
        <f>'Hoja 4 - Cálculo'!H30</f>
        <v>15.625125000000001</v>
      </c>
      <c r="H969" s="15">
        <f>IF(D969="Uso único",'Hoja 4 - Cálculo'!I30,IF(D969="Uso múltiple",AVERAGE('Hoja 4 - Cálculo'!$I$25:$I$384)+AVERAGE('Hoja 4 - Cálculo'!$J$25:$J$384)+AVERAGE('Hoja 4 - Cálculo'!$K$25:$K$384),IF(D969="Uso prioritario",'Hoja 4 - Cálculo'!I30+'Hoja 4 - Cálculo'!K30,'Hoja 4 - Cálculo'!I30+'Hoja 4 - Cálculo'!J30+'Hoja 4 - Cálculo'!K30)))</f>
        <v>11.5</v>
      </c>
      <c r="I969" s="15">
        <f t="shared" si="219"/>
        <v>14.375</v>
      </c>
      <c r="J969" s="15">
        <f t="shared" si="225"/>
        <v>3</v>
      </c>
      <c r="K969" s="15">
        <f>MIN(J969+G969,(J969+G969)*'Hoja 4 - Cálculo'!$B$15)</f>
        <v>0.37250250000000001</v>
      </c>
      <c r="L969" s="15">
        <f t="shared" si="220"/>
        <v>18.252622500000001</v>
      </c>
      <c r="M969" s="15">
        <f t="shared" si="221"/>
        <v>14.375</v>
      </c>
      <c r="N969" s="15">
        <f t="shared" si="222"/>
        <v>3</v>
      </c>
      <c r="O969" s="15">
        <f t="shared" si="223"/>
        <v>0.87762250000000108</v>
      </c>
      <c r="P969" s="15">
        <f t="shared" si="224"/>
        <v>0</v>
      </c>
      <c r="Q969" s="14" t="str">
        <f>IF(M969&gt;=I969*'Hoja 4 - Cálculo'!$B$16,"Satisfactorio","Falla")</f>
        <v>Satisfactorio</v>
      </c>
      <c r="R969" s="14">
        <f t="shared" si="226"/>
        <v>0</v>
      </c>
      <c r="S969" s="14">
        <f t="shared" si="227"/>
        <v>0</v>
      </c>
    </row>
    <row r="970" spans="1:19">
      <c r="A970" s="14" t="str">
        <f t="shared" si="218"/>
        <v>SRY-3-3</v>
      </c>
      <c r="B970" s="15">
        <f>'Curvas SRY'!$B$10</f>
        <v>3</v>
      </c>
      <c r="C970" s="15">
        <f>'Curvas SRY'!$E$10</f>
        <v>1.25</v>
      </c>
      <c r="D970" s="14" t="str">
        <f>'Curvas SRY'!$B$14</f>
        <v>Uso variable</v>
      </c>
      <c r="E970" s="14">
        <f>7</f>
        <v>7</v>
      </c>
      <c r="F970" s="21">
        <f>'Hoja 4 - Cálculo'!A31</f>
        <v>29768</v>
      </c>
      <c r="G970" s="15">
        <f>'Hoja 4 - Cálculo'!H31</f>
        <v>12.794625</v>
      </c>
      <c r="H970" s="15">
        <f>IF(D970="Uso único",'Hoja 4 - Cálculo'!I31,IF(D970="Uso múltiple",AVERAGE('Hoja 4 - Cálculo'!$I$25:$I$384)+AVERAGE('Hoja 4 - Cálculo'!$J$25:$J$384)+AVERAGE('Hoja 4 - Cálculo'!$K$25:$K$384),IF(D970="Uso prioritario",'Hoja 4 - Cálculo'!I31+'Hoja 4 - Cálculo'!K31,'Hoja 4 - Cálculo'!I31+'Hoja 4 - Cálculo'!J31+'Hoja 4 - Cálculo'!K31)))</f>
        <v>16</v>
      </c>
      <c r="I970" s="15">
        <f t="shared" si="219"/>
        <v>20</v>
      </c>
      <c r="J970" s="15">
        <f t="shared" si="225"/>
        <v>3</v>
      </c>
      <c r="K970" s="15">
        <f>MIN(J970+G970,(J970+G970)*'Hoja 4 - Cálculo'!$B$15)</f>
        <v>0.31589250000000002</v>
      </c>
      <c r="L970" s="15">
        <f t="shared" si="220"/>
        <v>15.4787325</v>
      </c>
      <c r="M970" s="15">
        <f t="shared" si="221"/>
        <v>15.4787325</v>
      </c>
      <c r="N970" s="15">
        <f t="shared" si="222"/>
        <v>0</v>
      </c>
      <c r="O970" s="15">
        <f t="shared" si="223"/>
        <v>0</v>
      </c>
      <c r="P970" s="15">
        <f t="shared" si="224"/>
        <v>4.5212675000000004</v>
      </c>
      <c r="Q970" s="14" t="str">
        <f>IF(M970&gt;=I970*'Hoja 4 - Cálculo'!$B$16,"Satisfactorio","Falla")</f>
        <v>Falla</v>
      </c>
      <c r="R970" s="14">
        <f t="shared" si="226"/>
        <v>0</v>
      </c>
      <c r="S970" s="14">
        <f t="shared" si="227"/>
        <v>1</v>
      </c>
    </row>
    <row r="971" spans="1:19">
      <c r="A971" s="14" t="str">
        <f t="shared" si="218"/>
        <v>SRY-3-3</v>
      </c>
      <c r="B971" s="15">
        <f>'Curvas SRY'!$B$10</f>
        <v>3</v>
      </c>
      <c r="C971" s="15">
        <f>'Curvas SRY'!$E$10</f>
        <v>1.25</v>
      </c>
      <c r="D971" s="14" t="str">
        <f>'Curvas SRY'!$B$14</f>
        <v>Uso variable</v>
      </c>
      <c r="E971" s="14">
        <f>8</f>
        <v>8</v>
      </c>
      <c r="F971" s="21">
        <f>'Hoja 4 - Cálculo'!A32</f>
        <v>29799</v>
      </c>
      <c r="G971" s="15">
        <f>'Hoja 4 - Cálculo'!H32</f>
        <v>13.712624999999999</v>
      </c>
      <c r="H971" s="15">
        <f>IF(D971="Uso único",'Hoja 4 - Cálculo'!I32,IF(D971="Uso múltiple",AVERAGE('Hoja 4 - Cálculo'!$I$25:$I$384)+AVERAGE('Hoja 4 - Cálculo'!$J$25:$J$384)+AVERAGE('Hoja 4 - Cálculo'!$K$25:$K$384),IF(D971="Uso prioritario",'Hoja 4 - Cálculo'!I32+'Hoja 4 - Cálculo'!K32,'Hoja 4 - Cálculo'!I32+'Hoja 4 - Cálculo'!J32+'Hoja 4 - Cálculo'!K32)))</f>
        <v>16</v>
      </c>
      <c r="I971" s="15">
        <f t="shared" si="219"/>
        <v>20</v>
      </c>
      <c r="J971" s="15">
        <f t="shared" si="225"/>
        <v>0</v>
      </c>
      <c r="K971" s="15">
        <f>MIN(J971+G971,(J971+G971)*'Hoja 4 - Cálculo'!$B$15)</f>
        <v>0.27425250000000001</v>
      </c>
      <c r="L971" s="15">
        <f t="shared" si="220"/>
        <v>13.4383725</v>
      </c>
      <c r="M971" s="15">
        <f t="shared" si="221"/>
        <v>13.4383725</v>
      </c>
      <c r="N971" s="15">
        <f t="shared" si="222"/>
        <v>0</v>
      </c>
      <c r="O971" s="15">
        <f t="shared" si="223"/>
        <v>0</v>
      </c>
      <c r="P971" s="15">
        <f t="shared" si="224"/>
        <v>6.5616275000000002</v>
      </c>
      <c r="Q971" s="14" t="str">
        <f>IF(M971&gt;=I971*'Hoja 4 - Cálculo'!$B$16,"Satisfactorio","Falla")</f>
        <v>Falla</v>
      </c>
      <c r="R971" s="14">
        <f t="shared" si="226"/>
        <v>0</v>
      </c>
      <c r="S971" s="14">
        <f t="shared" si="227"/>
        <v>0</v>
      </c>
    </row>
    <row r="972" spans="1:19">
      <c r="A972" s="14" t="str">
        <f t="shared" si="218"/>
        <v>SRY-3-3</v>
      </c>
      <c r="B972" s="15">
        <f>'Curvas SRY'!$B$10</f>
        <v>3</v>
      </c>
      <c r="C972" s="15">
        <f>'Curvas SRY'!$E$10</f>
        <v>1.25</v>
      </c>
      <c r="D972" s="14" t="str">
        <f>'Curvas SRY'!$B$14</f>
        <v>Uso variable</v>
      </c>
      <c r="E972" s="14">
        <f>9</f>
        <v>9</v>
      </c>
      <c r="F972" s="21">
        <f>'Hoja 4 - Cálculo'!A33</f>
        <v>29830</v>
      </c>
      <c r="G972" s="15">
        <f>'Hoja 4 - Cálculo'!H33</f>
        <v>22.070250000000001</v>
      </c>
      <c r="H972" s="15">
        <f>IF(D972="Uso único",'Hoja 4 - Cálculo'!I33,IF(D972="Uso múltiple",AVERAGE('Hoja 4 - Cálculo'!$I$25:$I$384)+AVERAGE('Hoja 4 - Cálculo'!$J$25:$J$384)+AVERAGE('Hoja 4 - Cálculo'!$K$25:$K$384),IF(D972="Uso prioritario",'Hoja 4 - Cálculo'!I33+'Hoja 4 - Cálculo'!K33,'Hoja 4 - Cálculo'!I33+'Hoja 4 - Cálculo'!J33+'Hoja 4 - Cálculo'!K33)))</f>
        <v>11.5</v>
      </c>
      <c r="I972" s="15">
        <f t="shared" si="219"/>
        <v>14.375</v>
      </c>
      <c r="J972" s="15">
        <f t="shared" si="225"/>
        <v>0</v>
      </c>
      <c r="K972" s="15">
        <f>MIN(J972+G972,(J972+G972)*'Hoja 4 - Cálculo'!$B$15)</f>
        <v>0.44140500000000005</v>
      </c>
      <c r="L972" s="15">
        <f t="shared" si="220"/>
        <v>21.628845000000002</v>
      </c>
      <c r="M972" s="15">
        <f t="shared" si="221"/>
        <v>14.375</v>
      </c>
      <c r="N972" s="15">
        <f t="shared" si="222"/>
        <v>3</v>
      </c>
      <c r="O972" s="15">
        <f t="shared" si="223"/>
        <v>4.2538450000000019</v>
      </c>
      <c r="P972" s="15">
        <f t="shared" si="224"/>
        <v>0</v>
      </c>
      <c r="Q972" s="14" t="str">
        <f>IF(M972&gt;=I972*'Hoja 4 - Cálculo'!$B$16,"Satisfactorio","Falla")</f>
        <v>Satisfactorio</v>
      </c>
      <c r="R972" s="14">
        <f t="shared" si="226"/>
        <v>1</v>
      </c>
      <c r="S972" s="14">
        <f t="shared" si="227"/>
        <v>0</v>
      </c>
    </row>
    <row r="973" spans="1:19">
      <c r="A973" s="14" t="str">
        <f t="shared" si="218"/>
        <v>SRY-3-3</v>
      </c>
      <c r="B973" s="15">
        <f>'Curvas SRY'!$B$10</f>
        <v>3</v>
      </c>
      <c r="C973" s="15">
        <f>'Curvas SRY'!$E$10</f>
        <v>1.25</v>
      </c>
      <c r="D973" s="14" t="str">
        <f>'Curvas SRY'!$B$14</f>
        <v>Uso variable</v>
      </c>
      <c r="E973" s="14">
        <f>10</f>
        <v>10</v>
      </c>
      <c r="F973" s="21">
        <f>'Hoja 4 - Cálculo'!A34</f>
        <v>29860</v>
      </c>
      <c r="G973" s="15">
        <f>'Hoja 4 - Cálculo'!H34</f>
        <v>29.777625</v>
      </c>
      <c r="H973" s="15">
        <f>IF(D973="Uso único",'Hoja 4 - Cálculo'!I34,IF(D973="Uso múltiple",AVERAGE('Hoja 4 - Cálculo'!$I$25:$I$384)+AVERAGE('Hoja 4 - Cálculo'!$J$25:$J$384)+AVERAGE('Hoja 4 - Cálculo'!$K$25:$K$384),IF(D973="Uso prioritario",'Hoja 4 - Cálculo'!I34+'Hoja 4 - Cálculo'!K34,'Hoja 4 - Cálculo'!I34+'Hoja 4 - Cálculo'!J34+'Hoja 4 - Cálculo'!K34)))</f>
        <v>11.5</v>
      </c>
      <c r="I973" s="15">
        <f t="shared" si="219"/>
        <v>14.375</v>
      </c>
      <c r="J973" s="15">
        <f t="shared" si="225"/>
        <v>3</v>
      </c>
      <c r="K973" s="15">
        <f>MIN(J973+G973,(J973+G973)*'Hoja 4 - Cálculo'!$B$15)</f>
        <v>0.65555249999999998</v>
      </c>
      <c r="L973" s="15">
        <f t="shared" si="220"/>
        <v>32.122072500000002</v>
      </c>
      <c r="M973" s="15">
        <f t="shared" si="221"/>
        <v>14.375</v>
      </c>
      <c r="N973" s="15">
        <f t="shared" si="222"/>
        <v>3</v>
      </c>
      <c r="O973" s="15">
        <f t="shared" si="223"/>
        <v>14.747072500000002</v>
      </c>
      <c r="P973" s="15">
        <f t="shared" si="224"/>
        <v>0</v>
      </c>
      <c r="Q973" s="14" t="str">
        <f>IF(M973&gt;=I973*'Hoja 4 - Cálculo'!$B$16,"Satisfactorio","Falla")</f>
        <v>Satisfactorio</v>
      </c>
      <c r="R973" s="14">
        <f t="shared" si="226"/>
        <v>0</v>
      </c>
      <c r="S973" s="14">
        <f t="shared" si="227"/>
        <v>0</v>
      </c>
    </row>
    <row r="974" spans="1:19">
      <c r="A974" s="14" t="str">
        <f t="shared" si="218"/>
        <v>SRY-3-3</v>
      </c>
      <c r="B974" s="15">
        <f>'Curvas SRY'!$B$10</f>
        <v>3</v>
      </c>
      <c r="C974" s="15">
        <f>'Curvas SRY'!$E$10</f>
        <v>1.25</v>
      </c>
      <c r="D974" s="14" t="str">
        <f>'Curvas SRY'!$B$14</f>
        <v>Uso variable</v>
      </c>
      <c r="E974" s="14">
        <f>11</f>
        <v>11</v>
      </c>
      <c r="F974" s="21">
        <f>'Hoja 4 - Cálculo'!A35</f>
        <v>29891</v>
      </c>
      <c r="G974" s="15">
        <f>'Hoja 4 - Cálculo'!H35</f>
        <v>25.51275</v>
      </c>
      <c r="H974" s="15">
        <f>IF(D974="Uso único",'Hoja 4 - Cálculo'!I35,IF(D974="Uso múltiple",AVERAGE('Hoja 4 - Cálculo'!$I$25:$I$384)+AVERAGE('Hoja 4 - Cálculo'!$J$25:$J$384)+AVERAGE('Hoja 4 - Cálculo'!$K$25:$K$384),IF(D974="Uso prioritario",'Hoja 4 - Cálculo'!I35+'Hoja 4 - Cálculo'!K35,'Hoja 4 - Cálculo'!I35+'Hoja 4 - Cálculo'!J35+'Hoja 4 - Cálculo'!K35)))</f>
        <v>11.5</v>
      </c>
      <c r="I974" s="15">
        <f t="shared" si="219"/>
        <v>14.375</v>
      </c>
      <c r="J974" s="15">
        <f t="shared" si="225"/>
        <v>3</v>
      </c>
      <c r="K974" s="15">
        <f>MIN(J974+G974,(J974+G974)*'Hoja 4 - Cálculo'!$B$15)</f>
        <v>0.57025500000000007</v>
      </c>
      <c r="L974" s="15">
        <f t="shared" si="220"/>
        <v>27.942495000000001</v>
      </c>
      <c r="M974" s="15">
        <f t="shared" si="221"/>
        <v>14.375</v>
      </c>
      <c r="N974" s="15">
        <f t="shared" si="222"/>
        <v>3</v>
      </c>
      <c r="O974" s="15">
        <f t="shared" si="223"/>
        <v>10.567495000000001</v>
      </c>
      <c r="P974" s="15">
        <f t="shared" si="224"/>
        <v>0</v>
      </c>
      <c r="Q974" s="14" t="str">
        <f>IF(M974&gt;=I974*'Hoja 4 - Cálculo'!$B$16,"Satisfactorio","Falla")</f>
        <v>Satisfactorio</v>
      </c>
      <c r="R974" s="14">
        <f t="shared" si="226"/>
        <v>0</v>
      </c>
      <c r="S974" s="14">
        <f t="shared" si="227"/>
        <v>0</v>
      </c>
    </row>
    <row r="975" spans="1:19">
      <c r="A975" s="14" t="str">
        <f t="shared" si="218"/>
        <v>SRY-3-3</v>
      </c>
      <c r="B975" s="15">
        <f>'Curvas SRY'!$B$10</f>
        <v>3</v>
      </c>
      <c r="C975" s="15">
        <f>'Curvas SRY'!$E$10</f>
        <v>1.25</v>
      </c>
      <c r="D975" s="14" t="str">
        <f>'Curvas SRY'!$B$14</f>
        <v>Uso variable</v>
      </c>
      <c r="E975" s="14">
        <f>12</f>
        <v>12</v>
      </c>
      <c r="F975" s="21">
        <f>'Hoja 4 - Cálculo'!A36</f>
        <v>29921</v>
      </c>
      <c r="G975" s="15">
        <f>'Hoja 4 - Cálculo'!H36</f>
        <v>15.3765</v>
      </c>
      <c r="H975" s="15">
        <f>IF(D975="Uso único",'Hoja 4 - Cálculo'!I36,IF(D975="Uso múltiple",AVERAGE('Hoja 4 - Cálculo'!$I$25:$I$384)+AVERAGE('Hoja 4 - Cálculo'!$J$25:$J$384)+AVERAGE('Hoja 4 - Cálculo'!$K$25:$K$384),IF(D975="Uso prioritario",'Hoja 4 - Cálculo'!I36+'Hoja 4 - Cálculo'!K36,'Hoja 4 - Cálculo'!I36+'Hoja 4 - Cálculo'!J36+'Hoja 4 - Cálculo'!K36)))</f>
        <v>16</v>
      </c>
      <c r="I975" s="15">
        <f t="shared" si="219"/>
        <v>20</v>
      </c>
      <c r="J975" s="15">
        <f t="shared" si="225"/>
        <v>3</v>
      </c>
      <c r="K975" s="15">
        <f>MIN(J975+G975,(J975+G975)*'Hoja 4 - Cálculo'!$B$15)</f>
        <v>0.36753000000000002</v>
      </c>
      <c r="L975" s="15">
        <f t="shared" si="220"/>
        <v>18.008970000000001</v>
      </c>
      <c r="M975" s="15">
        <f t="shared" si="221"/>
        <v>18.008970000000001</v>
      </c>
      <c r="N975" s="15">
        <f t="shared" si="222"/>
        <v>0</v>
      </c>
      <c r="O975" s="15">
        <f t="shared" si="223"/>
        <v>0</v>
      </c>
      <c r="P975" s="15">
        <f t="shared" si="224"/>
        <v>1.9910299999999985</v>
      </c>
      <c r="Q975" s="14" t="str">
        <f>IF(M975&gt;=I975*'Hoja 4 - Cálculo'!$B$16,"Satisfactorio","Falla")</f>
        <v>Falla</v>
      </c>
      <c r="R975" s="14">
        <f t="shared" si="226"/>
        <v>0</v>
      </c>
      <c r="S975" s="14">
        <f t="shared" si="227"/>
        <v>1</v>
      </c>
    </row>
    <row r="976" spans="1:19">
      <c r="A976" s="14" t="str">
        <f t="shared" si="218"/>
        <v>SRY-3-3</v>
      </c>
      <c r="B976" s="15">
        <f>'Curvas SRY'!$B$10</f>
        <v>3</v>
      </c>
      <c r="C976" s="15">
        <f>'Curvas SRY'!$E$10</f>
        <v>1.25</v>
      </c>
      <c r="D976" s="14" t="str">
        <f>'Curvas SRY'!$B$14</f>
        <v>Uso variable</v>
      </c>
      <c r="E976" s="14">
        <f>13</f>
        <v>13</v>
      </c>
      <c r="F976" s="21">
        <f>'Hoja 4 - Cálculo'!A37</f>
        <v>29952</v>
      </c>
      <c r="G976" s="15">
        <f>'Hoja 4 - Cálculo'!H37</f>
        <v>13.808249999999999</v>
      </c>
      <c r="H976" s="15">
        <f>IF(D976="Uso único",'Hoja 4 - Cálculo'!I37,IF(D976="Uso múltiple",AVERAGE('Hoja 4 - Cálculo'!$I$25:$I$384)+AVERAGE('Hoja 4 - Cálculo'!$J$25:$J$384)+AVERAGE('Hoja 4 - Cálculo'!$K$25:$K$384),IF(D976="Uso prioritario",'Hoja 4 - Cálculo'!I37+'Hoja 4 - Cálculo'!K37,'Hoja 4 - Cálculo'!I37+'Hoja 4 - Cálculo'!J37+'Hoja 4 - Cálculo'!K37)))</f>
        <v>16</v>
      </c>
      <c r="I976" s="15">
        <f t="shared" si="219"/>
        <v>20</v>
      </c>
      <c r="J976" s="15">
        <f t="shared" si="225"/>
        <v>0</v>
      </c>
      <c r="K976" s="15">
        <f>MIN(J976+G976,(J976+G976)*'Hoja 4 - Cálculo'!$B$15)</f>
        <v>0.27616499999999999</v>
      </c>
      <c r="L976" s="15">
        <f t="shared" si="220"/>
        <v>13.532084999999999</v>
      </c>
      <c r="M976" s="15">
        <f t="shared" si="221"/>
        <v>13.532084999999999</v>
      </c>
      <c r="N976" s="15">
        <f t="shared" si="222"/>
        <v>0</v>
      </c>
      <c r="O976" s="15">
        <f t="shared" si="223"/>
        <v>0</v>
      </c>
      <c r="P976" s="15">
        <f t="shared" si="224"/>
        <v>6.4679150000000014</v>
      </c>
      <c r="Q976" s="14" t="str">
        <f>IF(M976&gt;=I976*'Hoja 4 - Cálculo'!$B$16,"Satisfactorio","Falla")</f>
        <v>Falla</v>
      </c>
      <c r="R976" s="14">
        <f t="shared" si="226"/>
        <v>0</v>
      </c>
      <c r="S976" s="14">
        <f t="shared" si="227"/>
        <v>0</v>
      </c>
    </row>
    <row r="977" spans="1:19">
      <c r="A977" s="14" t="str">
        <f t="shared" si="218"/>
        <v>SRY-3-3</v>
      </c>
      <c r="B977" s="15">
        <f>'Curvas SRY'!$B$10</f>
        <v>3</v>
      </c>
      <c r="C977" s="15">
        <f>'Curvas SRY'!$E$10</f>
        <v>1.25</v>
      </c>
      <c r="D977" s="14" t="str">
        <f>'Curvas SRY'!$B$14</f>
        <v>Uso variable</v>
      </c>
      <c r="E977" s="14">
        <f>14</f>
        <v>14</v>
      </c>
      <c r="F977" s="21">
        <f>'Hoja 4 - Cálculo'!A38</f>
        <v>29983</v>
      </c>
      <c r="G977" s="15">
        <f>'Hoja 4 - Cálculo'!H38</f>
        <v>15.472125</v>
      </c>
      <c r="H977" s="15">
        <f>IF(D977="Uso único",'Hoja 4 - Cálculo'!I38,IF(D977="Uso múltiple",AVERAGE('Hoja 4 - Cálculo'!$I$25:$I$384)+AVERAGE('Hoja 4 - Cálculo'!$J$25:$J$384)+AVERAGE('Hoja 4 - Cálculo'!$K$25:$K$384),IF(D977="Uso prioritario",'Hoja 4 - Cálculo'!I38+'Hoja 4 - Cálculo'!K38,'Hoja 4 - Cálculo'!I38+'Hoja 4 - Cálculo'!J38+'Hoja 4 - Cálculo'!K38)))</f>
        <v>16</v>
      </c>
      <c r="I977" s="15">
        <f t="shared" si="219"/>
        <v>20</v>
      </c>
      <c r="J977" s="15">
        <f t="shared" si="225"/>
        <v>0</v>
      </c>
      <c r="K977" s="15">
        <f>MIN(J977+G977,(J977+G977)*'Hoja 4 - Cálculo'!$B$15)</f>
        <v>0.30944250000000001</v>
      </c>
      <c r="L977" s="15">
        <f t="shared" si="220"/>
        <v>15.162682500000001</v>
      </c>
      <c r="M977" s="15">
        <f t="shared" si="221"/>
        <v>15.162682500000001</v>
      </c>
      <c r="N977" s="15">
        <f t="shared" si="222"/>
        <v>0</v>
      </c>
      <c r="O977" s="15">
        <f t="shared" si="223"/>
        <v>0</v>
      </c>
      <c r="P977" s="15">
        <f t="shared" si="224"/>
        <v>4.8373174999999993</v>
      </c>
      <c r="Q977" s="14" t="str">
        <f>IF(M977&gt;=I977*'Hoja 4 - Cálculo'!$B$16,"Satisfactorio","Falla")</f>
        <v>Falla</v>
      </c>
      <c r="R977" s="14">
        <f t="shared" si="226"/>
        <v>0</v>
      </c>
      <c r="S977" s="14">
        <f t="shared" si="227"/>
        <v>0</v>
      </c>
    </row>
    <row r="978" spans="1:19">
      <c r="A978" s="14" t="str">
        <f t="shared" si="218"/>
        <v>SRY-3-3</v>
      </c>
      <c r="B978" s="15">
        <f>'Curvas SRY'!$B$10</f>
        <v>3</v>
      </c>
      <c r="C978" s="15">
        <f>'Curvas SRY'!$E$10</f>
        <v>1.25</v>
      </c>
      <c r="D978" s="14" t="str">
        <f>'Curvas SRY'!$B$14</f>
        <v>Uso variable</v>
      </c>
      <c r="E978" s="14">
        <f>15</f>
        <v>15</v>
      </c>
      <c r="F978" s="21">
        <f>'Hoja 4 - Cálculo'!A39</f>
        <v>30011</v>
      </c>
      <c r="G978" s="15">
        <f>'Hoja 4 - Cálculo'!H39</f>
        <v>22.338000000000001</v>
      </c>
      <c r="H978" s="15">
        <f>IF(D978="Uso único",'Hoja 4 - Cálculo'!I39,IF(D978="Uso múltiple",AVERAGE('Hoja 4 - Cálculo'!$I$25:$I$384)+AVERAGE('Hoja 4 - Cálculo'!$J$25:$J$384)+AVERAGE('Hoja 4 - Cálculo'!$K$25:$K$384),IF(D978="Uso prioritario",'Hoja 4 - Cálculo'!I39+'Hoja 4 - Cálculo'!K39,'Hoja 4 - Cálculo'!I39+'Hoja 4 - Cálculo'!J39+'Hoja 4 - Cálculo'!K39)))</f>
        <v>16</v>
      </c>
      <c r="I978" s="15">
        <f t="shared" si="219"/>
        <v>20</v>
      </c>
      <c r="J978" s="15">
        <f t="shared" si="225"/>
        <v>0</v>
      </c>
      <c r="K978" s="15">
        <f>MIN(J978+G978,(J978+G978)*'Hoja 4 - Cálculo'!$B$15)</f>
        <v>0.44676000000000005</v>
      </c>
      <c r="L978" s="15">
        <f t="shared" si="220"/>
        <v>21.89124</v>
      </c>
      <c r="M978" s="15">
        <f t="shared" si="221"/>
        <v>20</v>
      </c>
      <c r="N978" s="15">
        <f t="shared" si="222"/>
        <v>1.8912399999999998</v>
      </c>
      <c r="O978" s="15">
        <f t="shared" si="223"/>
        <v>0</v>
      </c>
      <c r="P978" s="15">
        <f t="shared" si="224"/>
        <v>0</v>
      </c>
      <c r="Q978" s="14" t="str">
        <f>IF(M978&gt;=I978*'Hoja 4 - Cálculo'!$B$16,"Satisfactorio","Falla")</f>
        <v>Satisfactorio</v>
      </c>
      <c r="R978" s="14">
        <f t="shared" si="226"/>
        <v>1</v>
      </c>
      <c r="S978" s="14">
        <f t="shared" si="227"/>
        <v>0</v>
      </c>
    </row>
    <row r="979" spans="1:19">
      <c r="A979" s="14" t="str">
        <f t="shared" si="218"/>
        <v>SRY-3-3</v>
      </c>
      <c r="B979" s="15">
        <f>'Curvas SRY'!$B$10</f>
        <v>3</v>
      </c>
      <c r="C979" s="15">
        <f>'Curvas SRY'!$E$10</f>
        <v>1.25</v>
      </c>
      <c r="D979" s="14" t="str">
        <f>'Curvas SRY'!$B$14</f>
        <v>Uso variable</v>
      </c>
      <c r="E979" s="14">
        <f>16</f>
        <v>16</v>
      </c>
      <c r="F979" s="21">
        <f>'Hoja 4 - Cálculo'!A40</f>
        <v>30042</v>
      </c>
      <c r="G979" s="15">
        <f>'Hoja 4 - Cálculo'!H40</f>
        <v>31.670999999999999</v>
      </c>
      <c r="H979" s="15">
        <f>IF(D979="Uso único",'Hoja 4 - Cálculo'!I40,IF(D979="Uso múltiple",AVERAGE('Hoja 4 - Cálculo'!$I$25:$I$384)+AVERAGE('Hoja 4 - Cálculo'!$J$25:$J$384)+AVERAGE('Hoja 4 - Cálculo'!$K$25:$K$384),IF(D979="Uso prioritario",'Hoja 4 - Cálculo'!I40+'Hoja 4 - Cálculo'!K40,'Hoja 4 - Cálculo'!I40+'Hoja 4 - Cálculo'!J40+'Hoja 4 - Cálculo'!K40)))</f>
        <v>11.5</v>
      </c>
      <c r="I979" s="15">
        <f t="shared" si="219"/>
        <v>14.375</v>
      </c>
      <c r="J979" s="15">
        <f t="shared" si="225"/>
        <v>1.8912399999999998</v>
      </c>
      <c r="K979" s="15">
        <f>MIN(J979+G979,(J979+G979)*'Hoja 4 - Cálculo'!$B$15)</f>
        <v>0.67124480000000009</v>
      </c>
      <c r="L979" s="15">
        <f t="shared" si="220"/>
        <v>32.890995200000006</v>
      </c>
      <c r="M979" s="15">
        <f t="shared" si="221"/>
        <v>14.375</v>
      </c>
      <c r="N979" s="15">
        <f t="shared" si="222"/>
        <v>3</v>
      </c>
      <c r="O979" s="15">
        <f t="shared" si="223"/>
        <v>15.515995200000006</v>
      </c>
      <c r="P979" s="15">
        <f t="shared" si="224"/>
        <v>0</v>
      </c>
      <c r="Q979" s="14" t="str">
        <f>IF(M979&gt;=I979*'Hoja 4 - Cálculo'!$B$16,"Satisfactorio","Falla")</f>
        <v>Satisfactorio</v>
      </c>
      <c r="R979" s="14">
        <f t="shared" si="226"/>
        <v>0</v>
      </c>
      <c r="S979" s="14">
        <f t="shared" si="227"/>
        <v>0</v>
      </c>
    </row>
    <row r="980" spans="1:19">
      <c r="A980" s="14" t="str">
        <f t="shared" si="218"/>
        <v>SRY-3-3</v>
      </c>
      <c r="B980" s="15">
        <f>'Curvas SRY'!$B$10</f>
        <v>3</v>
      </c>
      <c r="C980" s="15">
        <f>'Curvas SRY'!$E$10</f>
        <v>1.25</v>
      </c>
      <c r="D980" s="14" t="str">
        <f>'Curvas SRY'!$B$14</f>
        <v>Uso variable</v>
      </c>
      <c r="E980" s="14">
        <f>17</f>
        <v>17</v>
      </c>
      <c r="F980" s="21">
        <f>'Hoja 4 - Cálculo'!A41</f>
        <v>30072</v>
      </c>
      <c r="G980" s="15">
        <f>'Hoja 4 - Cálculo'!H41</f>
        <v>29.299499999999998</v>
      </c>
      <c r="H980" s="15">
        <f>IF(D980="Uso único",'Hoja 4 - Cálculo'!I41,IF(D980="Uso múltiple",AVERAGE('Hoja 4 - Cálculo'!$I$25:$I$384)+AVERAGE('Hoja 4 - Cálculo'!$J$25:$J$384)+AVERAGE('Hoja 4 - Cálculo'!$K$25:$K$384),IF(D980="Uso prioritario",'Hoja 4 - Cálculo'!I41+'Hoja 4 - Cálculo'!K41,'Hoja 4 - Cálculo'!I41+'Hoja 4 - Cálculo'!J41+'Hoja 4 - Cálculo'!K41)))</f>
        <v>11.5</v>
      </c>
      <c r="I980" s="15">
        <f t="shared" si="219"/>
        <v>14.375</v>
      </c>
      <c r="J980" s="15">
        <f t="shared" si="225"/>
        <v>3</v>
      </c>
      <c r="K980" s="15">
        <f>MIN(J980+G980,(J980+G980)*'Hoja 4 - Cálculo'!$B$15)</f>
        <v>0.64598999999999995</v>
      </c>
      <c r="L980" s="15">
        <f t="shared" si="220"/>
        <v>31.653509999999994</v>
      </c>
      <c r="M980" s="15">
        <f t="shared" si="221"/>
        <v>14.375</v>
      </c>
      <c r="N980" s="15">
        <f t="shared" si="222"/>
        <v>3</v>
      </c>
      <c r="O980" s="15">
        <f t="shared" si="223"/>
        <v>14.278509999999994</v>
      </c>
      <c r="P980" s="15">
        <f t="shared" si="224"/>
        <v>0</v>
      </c>
      <c r="Q980" s="14" t="str">
        <f>IF(M980&gt;=I980*'Hoja 4 - Cálculo'!$B$16,"Satisfactorio","Falla")</f>
        <v>Satisfactorio</v>
      </c>
      <c r="R980" s="14">
        <f t="shared" si="226"/>
        <v>0</v>
      </c>
      <c r="S980" s="14">
        <f t="shared" si="227"/>
        <v>0</v>
      </c>
    </row>
    <row r="981" spans="1:19">
      <c r="A981" s="14" t="str">
        <f t="shared" si="218"/>
        <v>SRY-3-3</v>
      </c>
      <c r="B981" s="15">
        <f>'Curvas SRY'!$B$10</f>
        <v>3</v>
      </c>
      <c r="C981" s="15">
        <f>'Curvas SRY'!$E$10</f>
        <v>1.25</v>
      </c>
      <c r="D981" s="14" t="str">
        <f>'Curvas SRY'!$B$14</f>
        <v>Uso variable</v>
      </c>
      <c r="E981" s="14">
        <f>18</f>
        <v>18</v>
      </c>
      <c r="F981" s="21">
        <f>'Hoja 4 - Cálculo'!A42</f>
        <v>30103</v>
      </c>
      <c r="G981" s="15">
        <f>'Hoja 4 - Cálculo'!H42</f>
        <v>18.321750000000002</v>
      </c>
      <c r="H981" s="15">
        <f>IF(D981="Uso único",'Hoja 4 - Cálculo'!I42,IF(D981="Uso múltiple",AVERAGE('Hoja 4 - Cálculo'!$I$25:$I$384)+AVERAGE('Hoja 4 - Cálculo'!$J$25:$J$384)+AVERAGE('Hoja 4 - Cálculo'!$K$25:$K$384),IF(D981="Uso prioritario",'Hoja 4 - Cálculo'!I42+'Hoja 4 - Cálculo'!K42,'Hoja 4 - Cálculo'!I42+'Hoja 4 - Cálculo'!J42+'Hoja 4 - Cálculo'!K42)))</f>
        <v>11.5</v>
      </c>
      <c r="I981" s="15">
        <f t="shared" si="219"/>
        <v>14.375</v>
      </c>
      <c r="J981" s="15">
        <f t="shared" si="225"/>
        <v>3</v>
      </c>
      <c r="K981" s="15">
        <f>MIN(J981+G981,(J981+G981)*'Hoja 4 - Cálculo'!$B$15)</f>
        <v>0.42643500000000006</v>
      </c>
      <c r="L981" s="15">
        <f t="shared" si="220"/>
        <v>20.895315</v>
      </c>
      <c r="M981" s="15">
        <f t="shared" si="221"/>
        <v>14.375</v>
      </c>
      <c r="N981" s="15">
        <f t="shared" si="222"/>
        <v>3</v>
      </c>
      <c r="O981" s="15">
        <f t="shared" si="223"/>
        <v>3.5203150000000001</v>
      </c>
      <c r="P981" s="15">
        <f t="shared" si="224"/>
        <v>0</v>
      </c>
      <c r="Q981" s="14" t="str">
        <f>IF(M981&gt;=I981*'Hoja 4 - Cálculo'!$B$16,"Satisfactorio","Falla")</f>
        <v>Satisfactorio</v>
      </c>
      <c r="R981" s="14">
        <f t="shared" si="226"/>
        <v>0</v>
      </c>
      <c r="S981" s="14">
        <f t="shared" si="227"/>
        <v>0</v>
      </c>
    </row>
    <row r="982" spans="1:19">
      <c r="A982" s="14" t="str">
        <f t="shared" si="218"/>
        <v>SRY-3-3</v>
      </c>
      <c r="B982" s="15">
        <f>'Curvas SRY'!$B$10</f>
        <v>3</v>
      </c>
      <c r="C982" s="15">
        <f>'Curvas SRY'!$E$10</f>
        <v>1.25</v>
      </c>
      <c r="D982" s="14" t="str">
        <f>'Curvas SRY'!$B$14</f>
        <v>Uso variable</v>
      </c>
      <c r="E982" s="14">
        <f>19</f>
        <v>19</v>
      </c>
      <c r="F982" s="21">
        <f>'Hoja 4 - Cálculo'!A43</f>
        <v>30133</v>
      </c>
      <c r="G982" s="15">
        <f>'Hoja 4 - Cálculo'!H43</f>
        <v>15.3765</v>
      </c>
      <c r="H982" s="15">
        <f>IF(D982="Uso único",'Hoja 4 - Cálculo'!I43,IF(D982="Uso múltiple",AVERAGE('Hoja 4 - Cálculo'!$I$25:$I$384)+AVERAGE('Hoja 4 - Cálculo'!$J$25:$J$384)+AVERAGE('Hoja 4 - Cálculo'!$K$25:$K$384),IF(D982="Uso prioritario",'Hoja 4 - Cálculo'!I43+'Hoja 4 - Cálculo'!K43,'Hoja 4 - Cálculo'!I43+'Hoja 4 - Cálculo'!J43+'Hoja 4 - Cálculo'!K43)))</f>
        <v>16</v>
      </c>
      <c r="I982" s="15">
        <f t="shared" si="219"/>
        <v>20</v>
      </c>
      <c r="J982" s="15">
        <f t="shared" si="225"/>
        <v>3</v>
      </c>
      <c r="K982" s="15">
        <f>MIN(J982+G982,(J982+G982)*'Hoja 4 - Cálculo'!$B$15)</f>
        <v>0.36753000000000002</v>
      </c>
      <c r="L982" s="15">
        <f t="shared" si="220"/>
        <v>18.008970000000001</v>
      </c>
      <c r="M982" s="15">
        <f t="shared" si="221"/>
        <v>18.008970000000001</v>
      </c>
      <c r="N982" s="15">
        <f t="shared" si="222"/>
        <v>0</v>
      </c>
      <c r="O982" s="15">
        <f t="shared" si="223"/>
        <v>0</v>
      </c>
      <c r="P982" s="15">
        <f t="shared" si="224"/>
        <v>1.9910299999999985</v>
      </c>
      <c r="Q982" s="14" t="str">
        <f>IF(M982&gt;=I982*'Hoja 4 - Cálculo'!$B$16,"Satisfactorio","Falla")</f>
        <v>Falla</v>
      </c>
      <c r="R982" s="14">
        <f t="shared" si="226"/>
        <v>0</v>
      </c>
      <c r="S982" s="14">
        <f t="shared" si="227"/>
        <v>1</v>
      </c>
    </row>
    <row r="983" spans="1:19">
      <c r="A983" s="14" t="str">
        <f t="shared" si="218"/>
        <v>SRY-3-3</v>
      </c>
      <c r="B983" s="15">
        <f>'Curvas SRY'!$B$10</f>
        <v>3</v>
      </c>
      <c r="C983" s="15">
        <f>'Curvas SRY'!$E$10</f>
        <v>1.25</v>
      </c>
      <c r="D983" s="14" t="str">
        <f>'Curvas SRY'!$B$14</f>
        <v>Uso variable</v>
      </c>
      <c r="E983" s="14">
        <f>20</f>
        <v>20</v>
      </c>
      <c r="F983" s="21">
        <f>'Hoja 4 - Cálculo'!A44</f>
        <v>30164</v>
      </c>
      <c r="G983" s="15">
        <f>'Hoja 4 - Cálculo'!H44</f>
        <v>16.466625000000001</v>
      </c>
      <c r="H983" s="15">
        <f>IF(D983="Uso único",'Hoja 4 - Cálculo'!I44,IF(D983="Uso múltiple",AVERAGE('Hoja 4 - Cálculo'!$I$25:$I$384)+AVERAGE('Hoja 4 - Cálculo'!$J$25:$J$384)+AVERAGE('Hoja 4 - Cálculo'!$K$25:$K$384),IF(D983="Uso prioritario",'Hoja 4 - Cálculo'!I44+'Hoja 4 - Cálculo'!K44,'Hoja 4 - Cálculo'!I44+'Hoja 4 - Cálculo'!J44+'Hoja 4 - Cálculo'!K44)))</f>
        <v>16</v>
      </c>
      <c r="I983" s="15">
        <f t="shared" si="219"/>
        <v>20</v>
      </c>
      <c r="J983" s="15">
        <f t="shared" si="225"/>
        <v>0</v>
      </c>
      <c r="K983" s="15">
        <f>MIN(J983+G983,(J983+G983)*'Hoja 4 - Cálculo'!$B$15)</f>
        <v>0.32933250000000003</v>
      </c>
      <c r="L983" s="15">
        <f t="shared" si="220"/>
        <v>16.137292500000001</v>
      </c>
      <c r="M983" s="15">
        <f t="shared" si="221"/>
        <v>16.137292500000001</v>
      </c>
      <c r="N983" s="15">
        <f t="shared" si="222"/>
        <v>0</v>
      </c>
      <c r="O983" s="15">
        <f t="shared" si="223"/>
        <v>0</v>
      </c>
      <c r="P983" s="15">
        <f t="shared" si="224"/>
        <v>3.8627074999999991</v>
      </c>
      <c r="Q983" s="14" t="str">
        <f>IF(M983&gt;=I983*'Hoja 4 - Cálculo'!$B$16,"Satisfactorio","Falla")</f>
        <v>Falla</v>
      </c>
      <c r="R983" s="14">
        <f t="shared" si="226"/>
        <v>0</v>
      </c>
      <c r="S983" s="14">
        <f t="shared" si="227"/>
        <v>0</v>
      </c>
    </row>
    <row r="984" spans="1:19">
      <c r="A984" s="14" t="str">
        <f t="shared" si="218"/>
        <v>SRY-3-3</v>
      </c>
      <c r="B984" s="15">
        <f>'Curvas SRY'!$B$10</f>
        <v>3</v>
      </c>
      <c r="C984" s="15">
        <f>'Curvas SRY'!$E$10</f>
        <v>1.25</v>
      </c>
      <c r="D984" s="14" t="str">
        <f>'Curvas SRY'!$B$14</f>
        <v>Uso variable</v>
      </c>
      <c r="E984" s="14">
        <f>21</f>
        <v>21</v>
      </c>
      <c r="F984" s="21">
        <f>'Hoja 4 - Cálculo'!A45</f>
        <v>30195</v>
      </c>
      <c r="G984" s="15">
        <f>'Hoja 4 - Cálculo'!H45</f>
        <v>25.837875</v>
      </c>
      <c r="H984" s="15">
        <f>IF(D984="Uso único",'Hoja 4 - Cálculo'!I45,IF(D984="Uso múltiple",AVERAGE('Hoja 4 - Cálculo'!$I$25:$I$384)+AVERAGE('Hoja 4 - Cálculo'!$J$25:$J$384)+AVERAGE('Hoja 4 - Cálculo'!$K$25:$K$384),IF(D984="Uso prioritario",'Hoja 4 - Cálculo'!I45+'Hoja 4 - Cálculo'!K45,'Hoja 4 - Cálculo'!I45+'Hoja 4 - Cálculo'!J45+'Hoja 4 - Cálculo'!K45)))</f>
        <v>11.5</v>
      </c>
      <c r="I984" s="15">
        <f t="shared" si="219"/>
        <v>14.375</v>
      </c>
      <c r="J984" s="15">
        <f t="shared" si="225"/>
        <v>0</v>
      </c>
      <c r="K984" s="15">
        <f>MIN(J984+G984,(J984+G984)*'Hoja 4 - Cálculo'!$B$15)</f>
        <v>0.51675749999999998</v>
      </c>
      <c r="L984" s="15">
        <f t="shared" si="220"/>
        <v>25.3211175</v>
      </c>
      <c r="M984" s="15">
        <f t="shared" si="221"/>
        <v>14.375</v>
      </c>
      <c r="N984" s="15">
        <f t="shared" si="222"/>
        <v>3</v>
      </c>
      <c r="O984" s="15">
        <f t="shared" si="223"/>
        <v>7.9461174999999997</v>
      </c>
      <c r="P984" s="15">
        <f t="shared" si="224"/>
        <v>0</v>
      </c>
      <c r="Q984" s="14" t="str">
        <f>IF(M984&gt;=I984*'Hoja 4 - Cálculo'!$B$16,"Satisfactorio","Falla")</f>
        <v>Satisfactorio</v>
      </c>
      <c r="R984" s="14">
        <f t="shared" si="226"/>
        <v>1</v>
      </c>
      <c r="S984" s="14">
        <f t="shared" si="227"/>
        <v>0</v>
      </c>
    </row>
    <row r="985" spans="1:19">
      <c r="A985" s="14" t="str">
        <f t="shared" si="218"/>
        <v>SRY-3-3</v>
      </c>
      <c r="B985" s="15">
        <f>'Curvas SRY'!$B$10</f>
        <v>3</v>
      </c>
      <c r="C985" s="15">
        <f>'Curvas SRY'!$E$10</f>
        <v>1.25</v>
      </c>
      <c r="D985" s="14" t="str">
        <f>'Curvas SRY'!$B$14</f>
        <v>Uso variable</v>
      </c>
      <c r="E985" s="14">
        <f>22</f>
        <v>22</v>
      </c>
      <c r="F985" s="21">
        <f>'Hoja 4 - Cálculo'!A46</f>
        <v>30225</v>
      </c>
      <c r="G985" s="15">
        <f>'Hoja 4 - Cálculo'!H46</f>
        <v>33.46875</v>
      </c>
      <c r="H985" s="15">
        <f>IF(D985="Uso único",'Hoja 4 - Cálculo'!I46,IF(D985="Uso múltiple",AVERAGE('Hoja 4 - Cálculo'!$I$25:$I$384)+AVERAGE('Hoja 4 - Cálculo'!$J$25:$J$384)+AVERAGE('Hoja 4 - Cálculo'!$K$25:$K$384),IF(D985="Uso prioritario",'Hoja 4 - Cálculo'!I46+'Hoja 4 - Cálculo'!K46,'Hoja 4 - Cálculo'!I46+'Hoja 4 - Cálculo'!J46+'Hoja 4 - Cálculo'!K46)))</f>
        <v>11.5</v>
      </c>
      <c r="I985" s="15">
        <f t="shared" si="219"/>
        <v>14.375</v>
      </c>
      <c r="J985" s="15">
        <f t="shared" si="225"/>
        <v>3</v>
      </c>
      <c r="K985" s="15">
        <f>MIN(J985+G985,(J985+G985)*'Hoja 4 - Cálculo'!$B$15)</f>
        <v>0.729375</v>
      </c>
      <c r="L985" s="15">
        <f t="shared" si="220"/>
        <v>35.739375000000003</v>
      </c>
      <c r="M985" s="15">
        <f t="shared" si="221"/>
        <v>14.375</v>
      </c>
      <c r="N985" s="15">
        <f t="shared" si="222"/>
        <v>3</v>
      </c>
      <c r="O985" s="15">
        <f t="shared" si="223"/>
        <v>18.364375000000003</v>
      </c>
      <c r="P985" s="15">
        <f t="shared" si="224"/>
        <v>0</v>
      </c>
      <c r="Q985" s="14" t="str">
        <f>IF(M985&gt;=I985*'Hoja 4 - Cálculo'!$B$16,"Satisfactorio","Falla")</f>
        <v>Satisfactorio</v>
      </c>
      <c r="R985" s="14">
        <f t="shared" si="226"/>
        <v>0</v>
      </c>
      <c r="S985" s="14">
        <f t="shared" si="227"/>
        <v>0</v>
      </c>
    </row>
    <row r="986" spans="1:19">
      <c r="A986" s="14" t="str">
        <f t="shared" si="218"/>
        <v>SRY-3-3</v>
      </c>
      <c r="B986" s="15">
        <f>'Curvas SRY'!$B$10</f>
        <v>3</v>
      </c>
      <c r="C986" s="15">
        <f>'Curvas SRY'!$E$10</f>
        <v>1.25</v>
      </c>
      <c r="D986" s="14" t="str">
        <f>'Curvas SRY'!$B$14</f>
        <v>Uso variable</v>
      </c>
      <c r="E986" s="14">
        <f>23</f>
        <v>23</v>
      </c>
      <c r="F986" s="21">
        <f>'Hoja 4 - Cálculo'!A47</f>
        <v>30256</v>
      </c>
      <c r="G986" s="15">
        <f>'Hoja 4 - Cálculo'!H47</f>
        <v>27.578250000000001</v>
      </c>
      <c r="H986" s="15">
        <f>IF(D986="Uso único",'Hoja 4 - Cálculo'!I47,IF(D986="Uso múltiple",AVERAGE('Hoja 4 - Cálculo'!$I$25:$I$384)+AVERAGE('Hoja 4 - Cálculo'!$J$25:$J$384)+AVERAGE('Hoja 4 - Cálculo'!$K$25:$K$384),IF(D986="Uso prioritario",'Hoja 4 - Cálculo'!I47+'Hoja 4 - Cálculo'!K47,'Hoja 4 - Cálculo'!I47+'Hoja 4 - Cálculo'!J47+'Hoja 4 - Cálculo'!K47)))</f>
        <v>11.5</v>
      </c>
      <c r="I986" s="15">
        <f t="shared" si="219"/>
        <v>14.375</v>
      </c>
      <c r="J986" s="15">
        <f t="shared" si="225"/>
        <v>3</v>
      </c>
      <c r="K986" s="15">
        <f>MIN(J986+G986,(J986+G986)*'Hoja 4 - Cálculo'!$B$15)</f>
        <v>0.61156500000000003</v>
      </c>
      <c r="L986" s="15">
        <f t="shared" si="220"/>
        <v>29.966685000000002</v>
      </c>
      <c r="M986" s="15">
        <f t="shared" si="221"/>
        <v>14.375</v>
      </c>
      <c r="N986" s="15">
        <f t="shared" si="222"/>
        <v>3</v>
      </c>
      <c r="O986" s="15">
        <f t="shared" si="223"/>
        <v>12.591685000000002</v>
      </c>
      <c r="P986" s="15">
        <f t="shared" si="224"/>
        <v>0</v>
      </c>
      <c r="Q986" s="14" t="str">
        <f>IF(M986&gt;=I986*'Hoja 4 - Cálculo'!$B$16,"Satisfactorio","Falla")</f>
        <v>Satisfactorio</v>
      </c>
      <c r="R986" s="14">
        <f t="shared" si="226"/>
        <v>0</v>
      </c>
      <c r="S986" s="14">
        <f t="shared" si="227"/>
        <v>0</v>
      </c>
    </row>
    <row r="987" spans="1:19">
      <c r="A987" s="14" t="str">
        <f t="shared" si="218"/>
        <v>SRY-3-3</v>
      </c>
      <c r="B987" s="15">
        <f>'Curvas SRY'!$B$10</f>
        <v>3</v>
      </c>
      <c r="C987" s="15">
        <f>'Curvas SRY'!$E$10</f>
        <v>1.25</v>
      </c>
      <c r="D987" s="14" t="str">
        <f>'Curvas SRY'!$B$14</f>
        <v>Uso variable</v>
      </c>
      <c r="E987" s="14">
        <f>24</f>
        <v>24</v>
      </c>
      <c r="F987" s="21">
        <f>'Hoja 4 - Cálculo'!A48</f>
        <v>30286</v>
      </c>
      <c r="G987" s="15">
        <f>'Hoja 4 - Cálculo'!H48</f>
        <v>16.256250000000001</v>
      </c>
      <c r="H987" s="15">
        <f>IF(D987="Uso único",'Hoja 4 - Cálculo'!I48,IF(D987="Uso múltiple",AVERAGE('Hoja 4 - Cálculo'!$I$25:$I$384)+AVERAGE('Hoja 4 - Cálculo'!$J$25:$J$384)+AVERAGE('Hoja 4 - Cálculo'!$K$25:$K$384),IF(D987="Uso prioritario",'Hoja 4 - Cálculo'!I48+'Hoja 4 - Cálculo'!K48,'Hoja 4 - Cálculo'!I48+'Hoja 4 - Cálculo'!J48+'Hoja 4 - Cálculo'!K48)))</f>
        <v>16</v>
      </c>
      <c r="I987" s="15">
        <f t="shared" si="219"/>
        <v>20</v>
      </c>
      <c r="J987" s="15">
        <f t="shared" si="225"/>
        <v>3</v>
      </c>
      <c r="K987" s="15">
        <f>MIN(J987+G987,(J987+G987)*'Hoja 4 - Cálculo'!$B$15)</f>
        <v>0.38512500000000005</v>
      </c>
      <c r="L987" s="15">
        <f t="shared" si="220"/>
        <v>18.871125000000003</v>
      </c>
      <c r="M987" s="15">
        <f t="shared" si="221"/>
        <v>18.871125000000003</v>
      </c>
      <c r="N987" s="15">
        <f t="shared" si="222"/>
        <v>0</v>
      </c>
      <c r="O987" s="15">
        <f t="shared" si="223"/>
        <v>0</v>
      </c>
      <c r="P987" s="15">
        <f t="shared" si="224"/>
        <v>1.1288749999999972</v>
      </c>
      <c r="Q987" s="14" t="str">
        <f>IF(M987&gt;=I987*'Hoja 4 - Cálculo'!$B$16,"Satisfactorio","Falla")</f>
        <v>Falla</v>
      </c>
      <c r="R987" s="14">
        <f t="shared" si="226"/>
        <v>0</v>
      </c>
      <c r="S987" s="14">
        <f t="shared" si="227"/>
        <v>1</v>
      </c>
    </row>
    <row r="988" spans="1:19">
      <c r="A988" s="14" t="str">
        <f t="shared" si="218"/>
        <v>SRY-3-3</v>
      </c>
      <c r="B988" s="15">
        <f>'Curvas SRY'!$B$10</f>
        <v>3</v>
      </c>
      <c r="C988" s="15">
        <f>'Curvas SRY'!$E$10</f>
        <v>1.25</v>
      </c>
      <c r="D988" s="14" t="str">
        <f>'Curvas SRY'!$B$14</f>
        <v>Uso variable</v>
      </c>
      <c r="E988" s="14">
        <f>25</f>
        <v>25</v>
      </c>
      <c r="F988" s="21">
        <f>'Hoja 4 - Cálculo'!A49</f>
        <v>30317</v>
      </c>
      <c r="G988" s="15">
        <f>'Hoja 4 - Cálculo'!H49</f>
        <v>12.775499999999999</v>
      </c>
      <c r="H988" s="15">
        <f>IF(D988="Uso único",'Hoja 4 - Cálculo'!I49,IF(D988="Uso múltiple",AVERAGE('Hoja 4 - Cálculo'!$I$25:$I$384)+AVERAGE('Hoja 4 - Cálculo'!$J$25:$J$384)+AVERAGE('Hoja 4 - Cálculo'!$K$25:$K$384),IF(D988="Uso prioritario",'Hoja 4 - Cálculo'!I49+'Hoja 4 - Cálculo'!K49,'Hoja 4 - Cálculo'!I49+'Hoja 4 - Cálculo'!J49+'Hoja 4 - Cálculo'!K49)))</f>
        <v>16</v>
      </c>
      <c r="I988" s="15">
        <f t="shared" si="219"/>
        <v>20</v>
      </c>
      <c r="J988" s="15">
        <f t="shared" si="225"/>
        <v>0</v>
      </c>
      <c r="K988" s="15">
        <f>MIN(J988+G988,(J988+G988)*'Hoja 4 - Cálculo'!$B$15)</f>
        <v>0.25551000000000001</v>
      </c>
      <c r="L988" s="15">
        <f t="shared" si="220"/>
        <v>12.51999</v>
      </c>
      <c r="M988" s="15">
        <f t="shared" si="221"/>
        <v>12.51999</v>
      </c>
      <c r="N988" s="15">
        <f t="shared" si="222"/>
        <v>0</v>
      </c>
      <c r="O988" s="15">
        <f t="shared" si="223"/>
        <v>0</v>
      </c>
      <c r="P988" s="15">
        <f t="shared" si="224"/>
        <v>7.48001</v>
      </c>
      <c r="Q988" s="14" t="str">
        <f>IF(M988&gt;=I988*'Hoja 4 - Cálculo'!$B$16,"Satisfactorio","Falla")</f>
        <v>Falla</v>
      </c>
      <c r="R988" s="14">
        <f t="shared" si="226"/>
        <v>0</v>
      </c>
      <c r="S988" s="14">
        <f t="shared" si="227"/>
        <v>0</v>
      </c>
    </row>
    <row r="989" spans="1:19">
      <c r="A989" s="14" t="str">
        <f t="shared" si="218"/>
        <v>SRY-3-3</v>
      </c>
      <c r="B989" s="15">
        <f>'Curvas SRY'!$B$10</f>
        <v>3</v>
      </c>
      <c r="C989" s="15">
        <f>'Curvas SRY'!$E$10</f>
        <v>1.25</v>
      </c>
      <c r="D989" s="14" t="str">
        <f>'Curvas SRY'!$B$14</f>
        <v>Uso variable</v>
      </c>
      <c r="E989" s="14">
        <f>26</f>
        <v>26</v>
      </c>
      <c r="F989" s="21">
        <f>'Hoja 4 - Cálculo'!A50</f>
        <v>30348</v>
      </c>
      <c r="G989" s="15">
        <f>'Hoja 4 - Cálculo'!H50</f>
        <v>14.49675</v>
      </c>
      <c r="H989" s="15">
        <f>IF(D989="Uso único",'Hoja 4 - Cálculo'!I50,IF(D989="Uso múltiple",AVERAGE('Hoja 4 - Cálculo'!$I$25:$I$384)+AVERAGE('Hoja 4 - Cálculo'!$J$25:$J$384)+AVERAGE('Hoja 4 - Cálculo'!$K$25:$K$384),IF(D989="Uso prioritario",'Hoja 4 - Cálculo'!I50+'Hoja 4 - Cálculo'!K50,'Hoja 4 - Cálculo'!I50+'Hoja 4 - Cálculo'!J50+'Hoja 4 - Cálculo'!K50)))</f>
        <v>16</v>
      </c>
      <c r="I989" s="15">
        <f t="shared" si="219"/>
        <v>20</v>
      </c>
      <c r="J989" s="15">
        <f t="shared" si="225"/>
        <v>0</v>
      </c>
      <c r="K989" s="15">
        <f>MIN(J989+G989,(J989+G989)*'Hoja 4 - Cálculo'!$B$15)</f>
        <v>0.289935</v>
      </c>
      <c r="L989" s="15">
        <f t="shared" si="220"/>
        <v>14.206815000000001</v>
      </c>
      <c r="M989" s="15">
        <f t="shared" si="221"/>
        <v>14.206815000000001</v>
      </c>
      <c r="N989" s="15">
        <f t="shared" si="222"/>
        <v>0</v>
      </c>
      <c r="O989" s="15">
        <f t="shared" si="223"/>
        <v>0</v>
      </c>
      <c r="P989" s="15">
        <f t="shared" si="224"/>
        <v>5.7931849999999994</v>
      </c>
      <c r="Q989" s="14" t="str">
        <f>IF(M989&gt;=I989*'Hoja 4 - Cálculo'!$B$16,"Satisfactorio","Falla")</f>
        <v>Falla</v>
      </c>
      <c r="R989" s="14">
        <f t="shared" si="226"/>
        <v>0</v>
      </c>
      <c r="S989" s="14">
        <f t="shared" si="227"/>
        <v>0</v>
      </c>
    </row>
    <row r="990" spans="1:19">
      <c r="A990" s="14" t="str">
        <f t="shared" si="218"/>
        <v>SRY-3-3</v>
      </c>
      <c r="B990" s="15">
        <f>'Curvas SRY'!$B$10</f>
        <v>3</v>
      </c>
      <c r="C990" s="15">
        <f>'Curvas SRY'!$E$10</f>
        <v>1.25</v>
      </c>
      <c r="D990" s="14" t="str">
        <f>'Curvas SRY'!$B$14</f>
        <v>Uso variable</v>
      </c>
      <c r="E990" s="14">
        <f>27</f>
        <v>27</v>
      </c>
      <c r="F990" s="21">
        <f>'Hoja 4 - Cálculo'!A51</f>
        <v>30376</v>
      </c>
      <c r="G990" s="15">
        <f>'Hoja 4 - Cálculo'!H51</f>
        <v>21.936375000000002</v>
      </c>
      <c r="H990" s="15">
        <f>IF(D990="Uso único",'Hoja 4 - Cálculo'!I51,IF(D990="Uso múltiple",AVERAGE('Hoja 4 - Cálculo'!$I$25:$I$384)+AVERAGE('Hoja 4 - Cálculo'!$J$25:$J$384)+AVERAGE('Hoja 4 - Cálculo'!$K$25:$K$384),IF(D990="Uso prioritario",'Hoja 4 - Cálculo'!I51+'Hoja 4 - Cálculo'!K51,'Hoja 4 - Cálculo'!I51+'Hoja 4 - Cálculo'!J51+'Hoja 4 - Cálculo'!K51)))</f>
        <v>16</v>
      </c>
      <c r="I990" s="15">
        <f t="shared" si="219"/>
        <v>20</v>
      </c>
      <c r="J990" s="15">
        <f t="shared" si="225"/>
        <v>0</v>
      </c>
      <c r="K990" s="15">
        <f>MIN(J990+G990,(J990+G990)*'Hoja 4 - Cálculo'!$B$15)</f>
        <v>0.43872750000000005</v>
      </c>
      <c r="L990" s="15">
        <f t="shared" si="220"/>
        <v>21.497647500000003</v>
      </c>
      <c r="M990" s="15">
        <f t="shared" si="221"/>
        <v>20</v>
      </c>
      <c r="N990" s="15">
        <f t="shared" si="222"/>
        <v>1.4976475000000029</v>
      </c>
      <c r="O990" s="15">
        <f t="shared" si="223"/>
        <v>0</v>
      </c>
      <c r="P990" s="15">
        <f t="shared" si="224"/>
        <v>0</v>
      </c>
      <c r="Q990" s="14" t="str">
        <f>IF(M990&gt;=I990*'Hoja 4 - Cálculo'!$B$16,"Satisfactorio","Falla")</f>
        <v>Satisfactorio</v>
      </c>
      <c r="R990" s="14">
        <f t="shared" si="226"/>
        <v>1</v>
      </c>
      <c r="S990" s="14">
        <f t="shared" si="227"/>
        <v>0</v>
      </c>
    </row>
    <row r="991" spans="1:19">
      <c r="A991" s="14" t="str">
        <f t="shared" si="218"/>
        <v>SRY-3-3</v>
      </c>
      <c r="B991" s="15">
        <f>'Curvas SRY'!$B$10</f>
        <v>3</v>
      </c>
      <c r="C991" s="15">
        <f>'Curvas SRY'!$E$10</f>
        <v>1.25</v>
      </c>
      <c r="D991" s="14" t="str">
        <f>'Curvas SRY'!$B$14</f>
        <v>Uso variable</v>
      </c>
      <c r="E991" s="14">
        <f>28</f>
        <v>28</v>
      </c>
      <c r="F991" s="21">
        <f>'Hoja 4 - Cálculo'!A52</f>
        <v>30407</v>
      </c>
      <c r="G991" s="15">
        <f>'Hoja 4 - Cálculo'!H52</f>
        <v>32.263874999999999</v>
      </c>
      <c r="H991" s="15">
        <f>IF(D991="Uso único",'Hoja 4 - Cálculo'!I52,IF(D991="Uso múltiple",AVERAGE('Hoja 4 - Cálculo'!$I$25:$I$384)+AVERAGE('Hoja 4 - Cálculo'!$J$25:$J$384)+AVERAGE('Hoja 4 - Cálculo'!$K$25:$K$384),IF(D991="Uso prioritario",'Hoja 4 - Cálculo'!I52+'Hoja 4 - Cálculo'!K52,'Hoja 4 - Cálculo'!I52+'Hoja 4 - Cálculo'!J52+'Hoja 4 - Cálculo'!K52)))</f>
        <v>11.5</v>
      </c>
      <c r="I991" s="15">
        <f t="shared" si="219"/>
        <v>14.375</v>
      </c>
      <c r="J991" s="15">
        <f t="shared" si="225"/>
        <v>1.4976475000000029</v>
      </c>
      <c r="K991" s="15">
        <f>MIN(J991+G991,(J991+G991)*'Hoja 4 - Cálculo'!$B$15)</f>
        <v>0.67523044999999993</v>
      </c>
      <c r="L991" s="15">
        <f t="shared" si="220"/>
        <v>33.086292049999997</v>
      </c>
      <c r="M991" s="15">
        <f t="shared" si="221"/>
        <v>14.375</v>
      </c>
      <c r="N991" s="15">
        <f t="shared" si="222"/>
        <v>3</v>
      </c>
      <c r="O991" s="15">
        <f t="shared" si="223"/>
        <v>15.711292049999997</v>
      </c>
      <c r="P991" s="15">
        <f t="shared" si="224"/>
        <v>0</v>
      </c>
      <c r="Q991" s="14" t="str">
        <f>IF(M991&gt;=I991*'Hoja 4 - Cálculo'!$B$16,"Satisfactorio","Falla")</f>
        <v>Satisfactorio</v>
      </c>
      <c r="R991" s="14">
        <f t="shared" si="226"/>
        <v>0</v>
      </c>
      <c r="S991" s="14">
        <f t="shared" si="227"/>
        <v>0</v>
      </c>
    </row>
    <row r="992" spans="1:19">
      <c r="A992" s="14" t="str">
        <f t="shared" si="218"/>
        <v>SRY-3-3</v>
      </c>
      <c r="B992" s="15">
        <f>'Curvas SRY'!$B$10</f>
        <v>3</v>
      </c>
      <c r="C992" s="15">
        <f>'Curvas SRY'!$E$10</f>
        <v>1.25</v>
      </c>
      <c r="D992" s="14" t="str">
        <f>'Curvas SRY'!$B$14</f>
        <v>Uso variable</v>
      </c>
      <c r="E992" s="14">
        <f>29</f>
        <v>29</v>
      </c>
      <c r="F992" s="21">
        <f>'Hoja 4 - Cálculo'!A53</f>
        <v>30437</v>
      </c>
      <c r="G992" s="15">
        <f>'Hoja 4 - Cálculo'!H53</f>
        <v>29.356874999999999</v>
      </c>
      <c r="H992" s="15">
        <f>IF(D992="Uso único",'Hoja 4 - Cálculo'!I53,IF(D992="Uso múltiple",AVERAGE('Hoja 4 - Cálculo'!$I$25:$I$384)+AVERAGE('Hoja 4 - Cálculo'!$J$25:$J$384)+AVERAGE('Hoja 4 - Cálculo'!$K$25:$K$384),IF(D992="Uso prioritario",'Hoja 4 - Cálculo'!I53+'Hoja 4 - Cálculo'!K53,'Hoja 4 - Cálculo'!I53+'Hoja 4 - Cálculo'!J53+'Hoja 4 - Cálculo'!K53)))</f>
        <v>11.5</v>
      </c>
      <c r="I992" s="15">
        <f t="shared" si="219"/>
        <v>14.375</v>
      </c>
      <c r="J992" s="15">
        <f t="shared" si="225"/>
        <v>3</v>
      </c>
      <c r="K992" s="15">
        <f>MIN(J992+G992,(J992+G992)*'Hoja 4 - Cálculo'!$B$15)</f>
        <v>0.64713750000000003</v>
      </c>
      <c r="L992" s="15">
        <f t="shared" si="220"/>
        <v>31.709737500000003</v>
      </c>
      <c r="M992" s="15">
        <f t="shared" si="221"/>
        <v>14.375</v>
      </c>
      <c r="N992" s="15">
        <f t="shared" si="222"/>
        <v>3</v>
      </c>
      <c r="O992" s="15">
        <f t="shared" si="223"/>
        <v>14.334737500000003</v>
      </c>
      <c r="P992" s="15">
        <f t="shared" si="224"/>
        <v>0</v>
      </c>
      <c r="Q992" s="14" t="str">
        <f>IF(M992&gt;=I992*'Hoja 4 - Cálculo'!$B$16,"Satisfactorio","Falla")</f>
        <v>Satisfactorio</v>
      </c>
      <c r="R992" s="14">
        <f t="shared" si="226"/>
        <v>0</v>
      </c>
      <c r="S992" s="14">
        <f t="shared" si="227"/>
        <v>0</v>
      </c>
    </row>
    <row r="993" spans="1:19">
      <c r="A993" s="14" t="str">
        <f t="shared" si="218"/>
        <v>SRY-3-3</v>
      </c>
      <c r="B993" s="15">
        <f>'Curvas SRY'!$B$10</f>
        <v>3</v>
      </c>
      <c r="C993" s="15">
        <f>'Curvas SRY'!$E$10</f>
        <v>1.25</v>
      </c>
      <c r="D993" s="14" t="str">
        <f>'Curvas SRY'!$B$14</f>
        <v>Uso variable</v>
      </c>
      <c r="E993" s="14">
        <f>30</f>
        <v>30</v>
      </c>
      <c r="F993" s="21">
        <f>'Hoja 4 - Cálculo'!A54</f>
        <v>30468</v>
      </c>
      <c r="G993" s="15">
        <f>'Hoja 4 - Cálculo'!H54</f>
        <v>17.212499999999999</v>
      </c>
      <c r="H993" s="15">
        <f>IF(D993="Uso único",'Hoja 4 - Cálculo'!I54,IF(D993="Uso múltiple",AVERAGE('Hoja 4 - Cálculo'!$I$25:$I$384)+AVERAGE('Hoja 4 - Cálculo'!$J$25:$J$384)+AVERAGE('Hoja 4 - Cálculo'!$K$25:$K$384),IF(D993="Uso prioritario",'Hoja 4 - Cálculo'!I54+'Hoja 4 - Cálculo'!K54,'Hoja 4 - Cálculo'!I54+'Hoja 4 - Cálculo'!J54+'Hoja 4 - Cálculo'!K54)))</f>
        <v>11.5</v>
      </c>
      <c r="I993" s="15">
        <f t="shared" si="219"/>
        <v>14.375</v>
      </c>
      <c r="J993" s="15">
        <f t="shared" si="225"/>
        <v>3</v>
      </c>
      <c r="K993" s="15">
        <f>MIN(J993+G993,(J993+G993)*'Hoja 4 - Cálculo'!$B$15)</f>
        <v>0.40425</v>
      </c>
      <c r="L993" s="15">
        <f t="shared" si="220"/>
        <v>19.808249999999997</v>
      </c>
      <c r="M993" s="15">
        <f t="shared" si="221"/>
        <v>14.375</v>
      </c>
      <c r="N993" s="15">
        <f t="shared" si="222"/>
        <v>3</v>
      </c>
      <c r="O993" s="15">
        <f t="shared" si="223"/>
        <v>2.4332499999999975</v>
      </c>
      <c r="P993" s="15">
        <f t="shared" si="224"/>
        <v>0</v>
      </c>
      <c r="Q993" s="14" t="str">
        <f>IF(M993&gt;=I993*'Hoja 4 - Cálculo'!$B$16,"Satisfactorio","Falla")</f>
        <v>Satisfactorio</v>
      </c>
      <c r="R993" s="14">
        <f t="shared" si="226"/>
        <v>0</v>
      </c>
      <c r="S993" s="14">
        <f t="shared" si="227"/>
        <v>0</v>
      </c>
    </row>
    <row r="994" spans="1:19">
      <c r="A994" s="14" t="str">
        <f t="shared" si="218"/>
        <v>SRY-3-3</v>
      </c>
      <c r="B994" s="15">
        <f>'Curvas SRY'!$B$10</f>
        <v>3</v>
      </c>
      <c r="C994" s="15">
        <f>'Curvas SRY'!$E$10</f>
        <v>1.25</v>
      </c>
      <c r="D994" s="14" t="str">
        <f>'Curvas SRY'!$B$14</f>
        <v>Uso variable</v>
      </c>
      <c r="E994" s="14">
        <f>31</f>
        <v>31</v>
      </c>
      <c r="F994" s="21">
        <f>'Hoja 4 - Cálculo'!A55</f>
        <v>30498</v>
      </c>
      <c r="G994" s="15">
        <f>'Hoja 4 - Cálculo'!H55</f>
        <v>13.597875</v>
      </c>
      <c r="H994" s="15">
        <f>IF(D994="Uso único",'Hoja 4 - Cálculo'!I55,IF(D994="Uso múltiple",AVERAGE('Hoja 4 - Cálculo'!$I$25:$I$384)+AVERAGE('Hoja 4 - Cálculo'!$J$25:$J$384)+AVERAGE('Hoja 4 - Cálculo'!$K$25:$K$384),IF(D994="Uso prioritario",'Hoja 4 - Cálculo'!I55+'Hoja 4 - Cálculo'!K55,'Hoja 4 - Cálculo'!I55+'Hoja 4 - Cálculo'!J55+'Hoja 4 - Cálculo'!K55)))</f>
        <v>16</v>
      </c>
      <c r="I994" s="15">
        <f t="shared" si="219"/>
        <v>20</v>
      </c>
      <c r="J994" s="15">
        <f t="shared" si="225"/>
        <v>3</v>
      </c>
      <c r="K994" s="15">
        <f>MIN(J994+G994,(J994+G994)*'Hoja 4 - Cálculo'!$B$15)</f>
        <v>0.33195750000000007</v>
      </c>
      <c r="L994" s="15">
        <f t="shared" si="220"/>
        <v>16.2659175</v>
      </c>
      <c r="M994" s="15">
        <f t="shared" si="221"/>
        <v>16.2659175</v>
      </c>
      <c r="N994" s="15">
        <f t="shared" si="222"/>
        <v>0</v>
      </c>
      <c r="O994" s="15">
        <f t="shared" si="223"/>
        <v>0</v>
      </c>
      <c r="P994" s="15">
        <f t="shared" si="224"/>
        <v>3.7340824999999995</v>
      </c>
      <c r="Q994" s="14" t="str">
        <f>IF(M994&gt;=I994*'Hoja 4 - Cálculo'!$B$16,"Satisfactorio","Falla")</f>
        <v>Falla</v>
      </c>
      <c r="R994" s="14">
        <f t="shared" si="226"/>
        <v>0</v>
      </c>
      <c r="S994" s="14">
        <f t="shared" si="227"/>
        <v>1</v>
      </c>
    </row>
    <row r="995" spans="1:19">
      <c r="A995" s="14" t="str">
        <f t="shared" si="218"/>
        <v>SRY-3-3</v>
      </c>
      <c r="B995" s="15">
        <f>'Curvas SRY'!$B$10</f>
        <v>3</v>
      </c>
      <c r="C995" s="15">
        <f>'Curvas SRY'!$E$10</f>
        <v>1.25</v>
      </c>
      <c r="D995" s="14" t="str">
        <f>'Curvas SRY'!$B$14</f>
        <v>Uso variable</v>
      </c>
      <c r="E995" s="14">
        <f>32</f>
        <v>32</v>
      </c>
      <c r="F995" s="21">
        <f>'Hoja 4 - Cálculo'!A56</f>
        <v>30529</v>
      </c>
      <c r="G995" s="15">
        <f>'Hoja 4 - Cálculo'!H56</f>
        <v>14.592375000000001</v>
      </c>
      <c r="H995" s="15">
        <f>IF(D995="Uso único",'Hoja 4 - Cálculo'!I56,IF(D995="Uso múltiple",AVERAGE('Hoja 4 - Cálculo'!$I$25:$I$384)+AVERAGE('Hoja 4 - Cálculo'!$J$25:$J$384)+AVERAGE('Hoja 4 - Cálculo'!$K$25:$K$384),IF(D995="Uso prioritario",'Hoja 4 - Cálculo'!I56+'Hoja 4 - Cálculo'!K56,'Hoja 4 - Cálculo'!I56+'Hoja 4 - Cálculo'!J56+'Hoja 4 - Cálculo'!K56)))</f>
        <v>16</v>
      </c>
      <c r="I995" s="15">
        <f t="shared" si="219"/>
        <v>20</v>
      </c>
      <c r="J995" s="15">
        <f t="shared" si="225"/>
        <v>0</v>
      </c>
      <c r="K995" s="15">
        <f>MIN(J995+G995,(J995+G995)*'Hoja 4 - Cálculo'!$B$15)</f>
        <v>0.29184750000000004</v>
      </c>
      <c r="L995" s="15">
        <f t="shared" si="220"/>
        <v>14.300527500000001</v>
      </c>
      <c r="M995" s="15">
        <f t="shared" si="221"/>
        <v>14.300527500000001</v>
      </c>
      <c r="N995" s="15">
        <f t="shared" si="222"/>
        <v>0</v>
      </c>
      <c r="O995" s="15">
        <f t="shared" si="223"/>
        <v>0</v>
      </c>
      <c r="P995" s="15">
        <f t="shared" si="224"/>
        <v>5.6994724999999988</v>
      </c>
      <c r="Q995" s="14" t="str">
        <f>IF(M995&gt;=I995*'Hoja 4 - Cálculo'!$B$16,"Satisfactorio","Falla")</f>
        <v>Falla</v>
      </c>
      <c r="R995" s="14">
        <f t="shared" si="226"/>
        <v>0</v>
      </c>
      <c r="S995" s="14">
        <f t="shared" si="227"/>
        <v>0</v>
      </c>
    </row>
    <row r="996" spans="1:19">
      <c r="A996" s="14" t="str">
        <f t="shared" ref="A996:A1027" si="228">"SRY-3-3"</f>
        <v>SRY-3-3</v>
      </c>
      <c r="B996" s="15">
        <f>'Curvas SRY'!$B$10</f>
        <v>3</v>
      </c>
      <c r="C996" s="15">
        <f>'Curvas SRY'!$E$10</f>
        <v>1.25</v>
      </c>
      <c r="D996" s="14" t="str">
        <f>'Curvas SRY'!$B$14</f>
        <v>Uso variable</v>
      </c>
      <c r="E996" s="14">
        <f>33</f>
        <v>33</v>
      </c>
      <c r="F996" s="21">
        <f>'Hoja 4 - Cálculo'!A57</f>
        <v>30560</v>
      </c>
      <c r="G996" s="15">
        <f>'Hoja 4 - Cálculo'!H57</f>
        <v>24.307874999999999</v>
      </c>
      <c r="H996" s="15">
        <f>IF(D996="Uso único",'Hoja 4 - Cálculo'!I57,IF(D996="Uso múltiple",AVERAGE('Hoja 4 - Cálculo'!$I$25:$I$384)+AVERAGE('Hoja 4 - Cálculo'!$J$25:$J$384)+AVERAGE('Hoja 4 - Cálculo'!$K$25:$K$384),IF(D996="Uso prioritario",'Hoja 4 - Cálculo'!I57+'Hoja 4 - Cálculo'!K57,'Hoja 4 - Cálculo'!I57+'Hoja 4 - Cálculo'!J57+'Hoja 4 - Cálculo'!K57)))</f>
        <v>11.5</v>
      </c>
      <c r="I996" s="15">
        <f t="shared" si="219"/>
        <v>14.375</v>
      </c>
      <c r="J996" s="15">
        <f t="shared" si="225"/>
        <v>0</v>
      </c>
      <c r="K996" s="15">
        <f>MIN(J996+G996,(J996+G996)*'Hoja 4 - Cálculo'!$B$15)</f>
        <v>0.48615750000000002</v>
      </c>
      <c r="L996" s="15">
        <f t="shared" si="220"/>
        <v>23.821717499999998</v>
      </c>
      <c r="M996" s="15">
        <f t="shared" si="221"/>
        <v>14.375</v>
      </c>
      <c r="N996" s="15">
        <f t="shared" si="222"/>
        <v>3</v>
      </c>
      <c r="O996" s="15">
        <f t="shared" si="223"/>
        <v>6.4467174999999983</v>
      </c>
      <c r="P996" s="15">
        <f t="shared" si="224"/>
        <v>0</v>
      </c>
      <c r="Q996" s="14" t="str">
        <f>IF(M996&gt;=I996*'Hoja 4 - Cálculo'!$B$16,"Satisfactorio","Falla")</f>
        <v>Satisfactorio</v>
      </c>
      <c r="R996" s="14">
        <f t="shared" si="226"/>
        <v>1</v>
      </c>
      <c r="S996" s="14">
        <f t="shared" si="227"/>
        <v>0</v>
      </c>
    </row>
    <row r="997" spans="1:19">
      <c r="A997" s="14" t="str">
        <f t="shared" si="228"/>
        <v>SRY-3-3</v>
      </c>
      <c r="B997" s="15">
        <f>'Curvas SRY'!$B$10</f>
        <v>3</v>
      </c>
      <c r="C997" s="15">
        <f>'Curvas SRY'!$E$10</f>
        <v>1.25</v>
      </c>
      <c r="D997" s="14" t="str">
        <f>'Curvas SRY'!$B$14</f>
        <v>Uso variable</v>
      </c>
      <c r="E997" s="14">
        <f>34</f>
        <v>34</v>
      </c>
      <c r="F997" s="21">
        <f>'Hoja 4 - Cálculo'!A58</f>
        <v>30590</v>
      </c>
      <c r="G997" s="15">
        <f>'Hoja 4 - Cálculo'!H58</f>
        <v>33.564374999999998</v>
      </c>
      <c r="H997" s="15">
        <f>IF(D997="Uso único",'Hoja 4 - Cálculo'!I58,IF(D997="Uso múltiple",AVERAGE('Hoja 4 - Cálculo'!$I$25:$I$384)+AVERAGE('Hoja 4 - Cálculo'!$J$25:$J$384)+AVERAGE('Hoja 4 - Cálculo'!$K$25:$K$384),IF(D997="Uso prioritario",'Hoja 4 - Cálculo'!I58+'Hoja 4 - Cálculo'!K58,'Hoja 4 - Cálculo'!I58+'Hoja 4 - Cálculo'!J58+'Hoja 4 - Cálculo'!K58)))</f>
        <v>11.5</v>
      </c>
      <c r="I997" s="15">
        <f t="shared" si="219"/>
        <v>14.375</v>
      </c>
      <c r="J997" s="15">
        <f t="shared" ref="J997:J1028" si="229">N996</f>
        <v>3</v>
      </c>
      <c r="K997" s="15">
        <f>MIN(J997+G997,(J997+G997)*'Hoja 4 - Cálculo'!$B$15)</f>
        <v>0.73128749999999998</v>
      </c>
      <c r="L997" s="15">
        <f t="shared" si="220"/>
        <v>35.833087499999998</v>
      </c>
      <c r="M997" s="15">
        <f t="shared" si="221"/>
        <v>14.375</v>
      </c>
      <c r="N997" s="15">
        <f t="shared" si="222"/>
        <v>3</v>
      </c>
      <c r="O997" s="15">
        <f t="shared" si="223"/>
        <v>18.458087499999998</v>
      </c>
      <c r="P997" s="15">
        <f t="shared" si="224"/>
        <v>0</v>
      </c>
      <c r="Q997" s="14" t="str">
        <f>IF(M997&gt;=I997*'Hoja 4 - Cálculo'!$B$16,"Satisfactorio","Falla")</f>
        <v>Satisfactorio</v>
      </c>
      <c r="R997" s="14">
        <f t="shared" ref="R997:R1028" si="230">IF(AND(Q996="Falla",Q997="Satisfactorio"),1,0)</f>
        <v>0</v>
      </c>
      <c r="S997" s="14">
        <f t="shared" ref="S997:S1028" si="231">IF(AND(Q997="Falla",Q996&lt;&gt;"Falla"),1,0)</f>
        <v>0</v>
      </c>
    </row>
    <row r="998" spans="1:19">
      <c r="A998" s="14" t="str">
        <f t="shared" si="228"/>
        <v>SRY-3-3</v>
      </c>
      <c r="B998" s="15">
        <f>'Curvas SRY'!$B$10</f>
        <v>3</v>
      </c>
      <c r="C998" s="15">
        <f>'Curvas SRY'!$E$10</f>
        <v>1.25</v>
      </c>
      <c r="D998" s="14" t="str">
        <f>'Curvas SRY'!$B$14</f>
        <v>Uso variable</v>
      </c>
      <c r="E998" s="14">
        <f>35</f>
        <v>35</v>
      </c>
      <c r="F998" s="21">
        <f>'Hoja 4 - Cálculo'!A59</f>
        <v>30621</v>
      </c>
      <c r="G998" s="15">
        <f>'Hoja 4 - Cálculo'!H59</f>
        <v>28.075500000000002</v>
      </c>
      <c r="H998" s="15">
        <f>IF(D998="Uso único",'Hoja 4 - Cálculo'!I59,IF(D998="Uso múltiple",AVERAGE('Hoja 4 - Cálculo'!$I$25:$I$384)+AVERAGE('Hoja 4 - Cálculo'!$J$25:$J$384)+AVERAGE('Hoja 4 - Cálculo'!$K$25:$K$384),IF(D998="Uso prioritario",'Hoja 4 - Cálculo'!I59+'Hoja 4 - Cálculo'!K59,'Hoja 4 - Cálculo'!I59+'Hoja 4 - Cálculo'!J59+'Hoja 4 - Cálculo'!K59)))</f>
        <v>11.5</v>
      </c>
      <c r="I998" s="15">
        <f t="shared" si="219"/>
        <v>14.375</v>
      </c>
      <c r="J998" s="15">
        <f t="shared" si="229"/>
        <v>3</v>
      </c>
      <c r="K998" s="15">
        <f>MIN(J998+G998,(J998+G998)*'Hoja 4 - Cálculo'!$B$15)</f>
        <v>0.62151000000000001</v>
      </c>
      <c r="L998" s="15">
        <f t="shared" si="220"/>
        <v>30.453990000000001</v>
      </c>
      <c r="M998" s="15">
        <f t="shared" si="221"/>
        <v>14.375</v>
      </c>
      <c r="N998" s="15">
        <f t="shared" si="222"/>
        <v>3</v>
      </c>
      <c r="O998" s="15">
        <f t="shared" si="223"/>
        <v>13.078990000000001</v>
      </c>
      <c r="P998" s="15">
        <f t="shared" si="224"/>
        <v>0</v>
      </c>
      <c r="Q998" s="14" t="str">
        <f>IF(M998&gt;=I998*'Hoja 4 - Cálculo'!$B$16,"Satisfactorio","Falla")</f>
        <v>Satisfactorio</v>
      </c>
      <c r="R998" s="14">
        <f t="shared" si="230"/>
        <v>0</v>
      </c>
      <c r="S998" s="14">
        <f t="shared" si="231"/>
        <v>0</v>
      </c>
    </row>
    <row r="999" spans="1:19">
      <c r="A999" s="14" t="str">
        <f t="shared" si="228"/>
        <v>SRY-3-3</v>
      </c>
      <c r="B999" s="15">
        <f>'Curvas SRY'!$B$10</f>
        <v>3</v>
      </c>
      <c r="C999" s="15">
        <f>'Curvas SRY'!$E$10</f>
        <v>1.25</v>
      </c>
      <c r="D999" s="14" t="str">
        <f>'Curvas SRY'!$B$14</f>
        <v>Uso variable</v>
      </c>
      <c r="E999" s="14">
        <f>36</f>
        <v>36</v>
      </c>
      <c r="F999" s="21">
        <f>'Hoja 4 - Cálculo'!A60</f>
        <v>30651</v>
      </c>
      <c r="G999" s="15">
        <f>'Hoja 4 - Cálculo'!H60</f>
        <v>15.931125</v>
      </c>
      <c r="H999" s="15">
        <f>IF(D999="Uso único",'Hoja 4 - Cálculo'!I60,IF(D999="Uso múltiple",AVERAGE('Hoja 4 - Cálculo'!$I$25:$I$384)+AVERAGE('Hoja 4 - Cálculo'!$J$25:$J$384)+AVERAGE('Hoja 4 - Cálculo'!$K$25:$K$384),IF(D999="Uso prioritario",'Hoja 4 - Cálculo'!I60+'Hoja 4 - Cálculo'!K60,'Hoja 4 - Cálculo'!I60+'Hoja 4 - Cálculo'!J60+'Hoja 4 - Cálculo'!K60)))</f>
        <v>16</v>
      </c>
      <c r="I999" s="15">
        <f t="shared" si="219"/>
        <v>20</v>
      </c>
      <c r="J999" s="15">
        <f t="shared" si="229"/>
        <v>3</v>
      </c>
      <c r="K999" s="15">
        <f>MIN(J999+G999,(J999+G999)*'Hoja 4 - Cálculo'!$B$15)</f>
        <v>0.37862250000000003</v>
      </c>
      <c r="L999" s="15">
        <f t="shared" si="220"/>
        <v>18.552502500000003</v>
      </c>
      <c r="M999" s="15">
        <f t="shared" si="221"/>
        <v>18.552502500000003</v>
      </c>
      <c r="N999" s="15">
        <f t="shared" si="222"/>
        <v>0</v>
      </c>
      <c r="O999" s="15">
        <f t="shared" si="223"/>
        <v>0</v>
      </c>
      <c r="P999" s="15">
        <f t="shared" si="224"/>
        <v>1.4474974999999972</v>
      </c>
      <c r="Q999" s="14" t="str">
        <f>IF(M999&gt;=I999*'Hoja 4 - Cálculo'!$B$16,"Satisfactorio","Falla")</f>
        <v>Falla</v>
      </c>
      <c r="R999" s="14">
        <f t="shared" si="230"/>
        <v>0</v>
      </c>
      <c r="S999" s="14">
        <f t="shared" si="231"/>
        <v>1</v>
      </c>
    </row>
    <row r="1000" spans="1:19">
      <c r="A1000" s="14" t="str">
        <f t="shared" si="228"/>
        <v>SRY-3-3</v>
      </c>
      <c r="B1000" s="15">
        <f>'Curvas SRY'!$B$10</f>
        <v>3</v>
      </c>
      <c r="C1000" s="15">
        <f>'Curvas SRY'!$E$10</f>
        <v>1.25</v>
      </c>
      <c r="D1000" s="14" t="str">
        <f>'Curvas SRY'!$B$14</f>
        <v>Uso variable</v>
      </c>
      <c r="E1000" s="14">
        <f>37</f>
        <v>37</v>
      </c>
      <c r="F1000" s="21">
        <f>'Hoja 4 - Cálculo'!A61</f>
        <v>30682</v>
      </c>
      <c r="G1000" s="15">
        <f>'Hoja 4 - Cálculo'!H61</f>
        <v>10.920375</v>
      </c>
      <c r="H1000" s="15">
        <f>IF(D1000="Uso único",'Hoja 4 - Cálculo'!I61,IF(D1000="Uso múltiple",AVERAGE('Hoja 4 - Cálculo'!$I$25:$I$384)+AVERAGE('Hoja 4 - Cálculo'!$J$25:$J$384)+AVERAGE('Hoja 4 - Cálculo'!$K$25:$K$384),IF(D1000="Uso prioritario",'Hoja 4 - Cálculo'!I61+'Hoja 4 - Cálculo'!K61,'Hoja 4 - Cálculo'!I61+'Hoja 4 - Cálculo'!J61+'Hoja 4 - Cálculo'!K61)))</f>
        <v>16</v>
      </c>
      <c r="I1000" s="15">
        <f t="shared" si="219"/>
        <v>20</v>
      </c>
      <c r="J1000" s="15">
        <f t="shared" si="229"/>
        <v>0</v>
      </c>
      <c r="K1000" s="15">
        <f>MIN(J1000+G1000,(J1000+G1000)*'Hoja 4 - Cálculo'!$B$15)</f>
        <v>0.2184075</v>
      </c>
      <c r="L1000" s="15">
        <f t="shared" si="220"/>
        <v>10.7019675</v>
      </c>
      <c r="M1000" s="15">
        <f t="shared" si="221"/>
        <v>10.7019675</v>
      </c>
      <c r="N1000" s="15">
        <f t="shared" si="222"/>
        <v>0</v>
      </c>
      <c r="O1000" s="15">
        <f t="shared" si="223"/>
        <v>0</v>
      </c>
      <c r="P1000" s="15">
        <f t="shared" si="224"/>
        <v>9.2980324999999997</v>
      </c>
      <c r="Q1000" s="14" t="str">
        <f>IF(M1000&gt;=I1000*'Hoja 4 - Cálculo'!$B$16,"Satisfactorio","Falla")</f>
        <v>Falla</v>
      </c>
      <c r="R1000" s="14">
        <f t="shared" si="230"/>
        <v>0</v>
      </c>
      <c r="S1000" s="14">
        <f t="shared" si="231"/>
        <v>0</v>
      </c>
    </row>
    <row r="1001" spans="1:19">
      <c r="A1001" s="14" t="str">
        <f t="shared" si="228"/>
        <v>SRY-3-3</v>
      </c>
      <c r="B1001" s="15">
        <f>'Curvas SRY'!$B$10</f>
        <v>3</v>
      </c>
      <c r="C1001" s="15">
        <f>'Curvas SRY'!$E$10</f>
        <v>1.25</v>
      </c>
      <c r="D1001" s="14" t="str">
        <f>'Curvas SRY'!$B$14</f>
        <v>Uso variable</v>
      </c>
      <c r="E1001" s="14">
        <f>38</f>
        <v>38</v>
      </c>
      <c r="F1001" s="21">
        <f>'Hoja 4 - Cálculo'!A62</f>
        <v>30713</v>
      </c>
      <c r="G1001" s="15">
        <f>'Hoja 4 - Cálculo'!H62</f>
        <v>13.04325</v>
      </c>
      <c r="H1001" s="15">
        <f>IF(D1001="Uso único",'Hoja 4 - Cálculo'!I62,IF(D1001="Uso múltiple",AVERAGE('Hoja 4 - Cálculo'!$I$25:$I$384)+AVERAGE('Hoja 4 - Cálculo'!$J$25:$J$384)+AVERAGE('Hoja 4 - Cálculo'!$K$25:$K$384),IF(D1001="Uso prioritario",'Hoja 4 - Cálculo'!I62+'Hoja 4 - Cálculo'!K62,'Hoja 4 - Cálculo'!I62+'Hoja 4 - Cálculo'!J62+'Hoja 4 - Cálculo'!K62)))</f>
        <v>16</v>
      </c>
      <c r="I1001" s="15">
        <f t="shared" si="219"/>
        <v>20</v>
      </c>
      <c r="J1001" s="15">
        <f t="shared" si="229"/>
        <v>0</v>
      </c>
      <c r="K1001" s="15">
        <f>MIN(J1001+G1001,(J1001+G1001)*'Hoja 4 - Cálculo'!$B$15)</f>
        <v>0.26086500000000001</v>
      </c>
      <c r="L1001" s="15">
        <f t="shared" si="220"/>
        <v>12.782385</v>
      </c>
      <c r="M1001" s="15">
        <f t="shared" si="221"/>
        <v>12.782385</v>
      </c>
      <c r="N1001" s="15">
        <f t="shared" si="222"/>
        <v>0</v>
      </c>
      <c r="O1001" s="15">
        <f t="shared" si="223"/>
        <v>0</v>
      </c>
      <c r="P1001" s="15">
        <f t="shared" si="224"/>
        <v>7.2176150000000003</v>
      </c>
      <c r="Q1001" s="14" t="str">
        <f>IF(M1001&gt;=I1001*'Hoja 4 - Cálculo'!$B$16,"Satisfactorio","Falla")</f>
        <v>Falla</v>
      </c>
      <c r="R1001" s="14">
        <f t="shared" si="230"/>
        <v>0</v>
      </c>
      <c r="S1001" s="14">
        <f t="shared" si="231"/>
        <v>0</v>
      </c>
    </row>
    <row r="1002" spans="1:19">
      <c r="A1002" s="14" t="str">
        <f t="shared" si="228"/>
        <v>SRY-3-3</v>
      </c>
      <c r="B1002" s="15">
        <f>'Curvas SRY'!$B$10</f>
        <v>3</v>
      </c>
      <c r="C1002" s="15">
        <f>'Curvas SRY'!$E$10</f>
        <v>1.25</v>
      </c>
      <c r="D1002" s="14" t="str">
        <f>'Curvas SRY'!$B$14</f>
        <v>Uso variable</v>
      </c>
      <c r="E1002" s="14">
        <f>39</f>
        <v>39</v>
      </c>
      <c r="F1002" s="21">
        <f>'Hoja 4 - Cálculo'!A63</f>
        <v>30742</v>
      </c>
      <c r="G1002" s="15">
        <f>'Hoja 4 - Cálculo'!H63</f>
        <v>20.272500000000001</v>
      </c>
      <c r="H1002" s="15">
        <f>IF(D1002="Uso único",'Hoja 4 - Cálculo'!I63,IF(D1002="Uso múltiple",AVERAGE('Hoja 4 - Cálculo'!$I$25:$I$384)+AVERAGE('Hoja 4 - Cálculo'!$J$25:$J$384)+AVERAGE('Hoja 4 - Cálculo'!$K$25:$K$384),IF(D1002="Uso prioritario",'Hoja 4 - Cálculo'!I63+'Hoja 4 - Cálculo'!K63,'Hoja 4 - Cálculo'!I63+'Hoja 4 - Cálculo'!J63+'Hoja 4 - Cálculo'!K63)))</f>
        <v>16</v>
      </c>
      <c r="I1002" s="15">
        <f t="shared" si="219"/>
        <v>20</v>
      </c>
      <c r="J1002" s="15">
        <f t="shared" si="229"/>
        <v>0</v>
      </c>
      <c r="K1002" s="15">
        <f>MIN(J1002+G1002,(J1002+G1002)*'Hoja 4 - Cálculo'!$B$15)</f>
        <v>0.40545000000000003</v>
      </c>
      <c r="L1002" s="15">
        <f t="shared" si="220"/>
        <v>19.867050000000003</v>
      </c>
      <c r="M1002" s="15">
        <f t="shared" si="221"/>
        <v>19.867050000000003</v>
      </c>
      <c r="N1002" s="15">
        <f t="shared" si="222"/>
        <v>0</v>
      </c>
      <c r="O1002" s="15">
        <f t="shared" si="223"/>
        <v>0</v>
      </c>
      <c r="P1002" s="15">
        <f t="shared" si="224"/>
        <v>0.13294999999999746</v>
      </c>
      <c r="Q1002" s="14" t="str">
        <f>IF(M1002&gt;=I1002*'Hoja 4 - Cálculo'!$B$16,"Satisfactorio","Falla")</f>
        <v>Falla</v>
      </c>
      <c r="R1002" s="14">
        <f t="shared" si="230"/>
        <v>0</v>
      </c>
      <c r="S1002" s="14">
        <f t="shared" si="231"/>
        <v>0</v>
      </c>
    </row>
    <row r="1003" spans="1:19">
      <c r="A1003" s="14" t="str">
        <f t="shared" si="228"/>
        <v>SRY-3-3</v>
      </c>
      <c r="B1003" s="15">
        <f>'Curvas SRY'!$B$10</f>
        <v>3</v>
      </c>
      <c r="C1003" s="15">
        <f>'Curvas SRY'!$E$10</f>
        <v>1.25</v>
      </c>
      <c r="D1003" s="14" t="str">
        <f>'Curvas SRY'!$B$14</f>
        <v>Uso variable</v>
      </c>
      <c r="E1003" s="14">
        <f>40</f>
        <v>40</v>
      </c>
      <c r="F1003" s="21">
        <f>'Hoja 4 - Cálculo'!A64</f>
        <v>30773</v>
      </c>
      <c r="G1003" s="15">
        <f>'Hoja 4 - Cálculo'!H64</f>
        <v>27.922499999999999</v>
      </c>
      <c r="H1003" s="15">
        <f>IF(D1003="Uso único",'Hoja 4 - Cálculo'!I64,IF(D1003="Uso múltiple",AVERAGE('Hoja 4 - Cálculo'!$I$25:$I$384)+AVERAGE('Hoja 4 - Cálculo'!$J$25:$J$384)+AVERAGE('Hoja 4 - Cálculo'!$K$25:$K$384),IF(D1003="Uso prioritario",'Hoja 4 - Cálculo'!I64+'Hoja 4 - Cálculo'!K64,'Hoja 4 - Cálculo'!I64+'Hoja 4 - Cálculo'!J64+'Hoja 4 - Cálculo'!K64)))</f>
        <v>11.5</v>
      </c>
      <c r="I1003" s="15">
        <f t="shared" si="219"/>
        <v>14.375</v>
      </c>
      <c r="J1003" s="15">
        <f t="shared" si="229"/>
        <v>0</v>
      </c>
      <c r="K1003" s="15">
        <f>MIN(J1003+G1003,(J1003+G1003)*'Hoja 4 - Cálculo'!$B$15)</f>
        <v>0.55845</v>
      </c>
      <c r="L1003" s="15">
        <f t="shared" si="220"/>
        <v>27.364049999999999</v>
      </c>
      <c r="M1003" s="15">
        <f t="shared" si="221"/>
        <v>14.375</v>
      </c>
      <c r="N1003" s="15">
        <f t="shared" si="222"/>
        <v>3</v>
      </c>
      <c r="O1003" s="15">
        <f t="shared" si="223"/>
        <v>9.9890499999999989</v>
      </c>
      <c r="P1003" s="15">
        <f t="shared" si="224"/>
        <v>0</v>
      </c>
      <c r="Q1003" s="14" t="str">
        <f>IF(M1003&gt;=I1003*'Hoja 4 - Cálculo'!$B$16,"Satisfactorio","Falla")</f>
        <v>Satisfactorio</v>
      </c>
      <c r="R1003" s="14">
        <f t="shared" si="230"/>
        <v>1</v>
      </c>
      <c r="S1003" s="14">
        <f t="shared" si="231"/>
        <v>0</v>
      </c>
    </row>
    <row r="1004" spans="1:19">
      <c r="A1004" s="14" t="str">
        <f t="shared" si="228"/>
        <v>SRY-3-3</v>
      </c>
      <c r="B1004" s="15">
        <f>'Curvas SRY'!$B$10</f>
        <v>3</v>
      </c>
      <c r="C1004" s="15">
        <f>'Curvas SRY'!$E$10</f>
        <v>1.25</v>
      </c>
      <c r="D1004" s="14" t="str">
        <f>'Curvas SRY'!$B$14</f>
        <v>Uso variable</v>
      </c>
      <c r="E1004" s="14">
        <f>41</f>
        <v>41</v>
      </c>
      <c r="F1004" s="21">
        <f>'Hoja 4 - Cálculo'!A65</f>
        <v>30803</v>
      </c>
      <c r="G1004" s="15">
        <f>'Hoja 4 - Cálculo'!H65</f>
        <v>23.657624999999999</v>
      </c>
      <c r="H1004" s="15">
        <f>IF(D1004="Uso único",'Hoja 4 - Cálculo'!I65,IF(D1004="Uso múltiple",AVERAGE('Hoja 4 - Cálculo'!$I$25:$I$384)+AVERAGE('Hoja 4 - Cálculo'!$J$25:$J$384)+AVERAGE('Hoja 4 - Cálculo'!$K$25:$K$384),IF(D1004="Uso prioritario",'Hoja 4 - Cálculo'!I65+'Hoja 4 - Cálculo'!K65,'Hoja 4 - Cálculo'!I65+'Hoja 4 - Cálculo'!J65+'Hoja 4 - Cálculo'!K65)))</f>
        <v>11.5</v>
      </c>
      <c r="I1004" s="15">
        <f t="shared" si="219"/>
        <v>14.375</v>
      </c>
      <c r="J1004" s="15">
        <f t="shared" si="229"/>
        <v>3</v>
      </c>
      <c r="K1004" s="15">
        <f>MIN(J1004+G1004,(J1004+G1004)*'Hoja 4 - Cálculo'!$B$15)</f>
        <v>0.53315250000000003</v>
      </c>
      <c r="L1004" s="15">
        <f t="shared" si="220"/>
        <v>26.1244725</v>
      </c>
      <c r="M1004" s="15">
        <f t="shared" si="221"/>
        <v>14.375</v>
      </c>
      <c r="N1004" s="15">
        <f t="shared" si="222"/>
        <v>3</v>
      </c>
      <c r="O1004" s="15">
        <f t="shared" si="223"/>
        <v>8.7494724999999995</v>
      </c>
      <c r="P1004" s="15">
        <f t="shared" si="224"/>
        <v>0</v>
      </c>
      <c r="Q1004" s="14" t="str">
        <f>IF(M1004&gt;=I1004*'Hoja 4 - Cálculo'!$B$16,"Satisfactorio","Falla")</f>
        <v>Satisfactorio</v>
      </c>
      <c r="R1004" s="14">
        <f t="shared" si="230"/>
        <v>0</v>
      </c>
      <c r="S1004" s="14">
        <f t="shared" si="231"/>
        <v>0</v>
      </c>
    </row>
    <row r="1005" spans="1:19">
      <c r="A1005" s="14" t="str">
        <f t="shared" si="228"/>
        <v>SRY-3-3</v>
      </c>
      <c r="B1005" s="15">
        <f>'Curvas SRY'!$B$10</f>
        <v>3</v>
      </c>
      <c r="C1005" s="15">
        <f>'Curvas SRY'!$E$10</f>
        <v>1.25</v>
      </c>
      <c r="D1005" s="14" t="str">
        <f>'Curvas SRY'!$B$14</f>
        <v>Uso variable</v>
      </c>
      <c r="E1005" s="14">
        <f>42</f>
        <v>42</v>
      </c>
      <c r="F1005" s="21">
        <f>'Hoja 4 - Cálculo'!A66</f>
        <v>30834</v>
      </c>
      <c r="G1005" s="15">
        <f>'Hoja 4 - Cálculo'!H66</f>
        <v>14.554125000000001</v>
      </c>
      <c r="H1005" s="15">
        <f>IF(D1005="Uso único",'Hoja 4 - Cálculo'!I66,IF(D1005="Uso múltiple",AVERAGE('Hoja 4 - Cálculo'!$I$25:$I$384)+AVERAGE('Hoja 4 - Cálculo'!$J$25:$J$384)+AVERAGE('Hoja 4 - Cálculo'!$K$25:$K$384),IF(D1005="Uso prioritario",'Hoja 4 - Cálculo'!I66+'Hoja 4 - Cálculo'!K66,'Hoja 4 - Cálculo'!I66+'Hoja 4 - Cálculo'!J66+'Hoja 4 - Cálculo'!K66)))</f>
        <v>11.5</v>
      </c>
      <c r="I1005" s="15">
        <f t="shared" si="219"/>
        <v>14.375</v>
      </c>
      <c r="J1005" s="15">
        <f t="shared" si="229"/>
        <v>3</v>
      </c>
      <c r="K1005" s="15">
        <f>MIN(J1005+G1005,(J1005+G1005)*'Hoja 4 - Cálculo'!$B$15)</f>
        <v>0.35108249999999996</v>
      </c>
      <c r="L1005" s="15">
        <f t="shared" si="220"/>
        <v>17.203042499999999</v>
      </c>
      <c r="M1005" s="15">
        <f t="shared" si="221"/>
        <v>14.375</v>
      </c>
      <c r="N1005" s="15">
        <f t="shared" si="222"/>
        <v>2.8280424999999987</v>
      </c>
      <c r="O1005" s="15">
        <f t="shared" si="223"/>
        <v>0</v>
      </c>
      <c r="P1005" s="15">
        <f t="shared" si="224"/>
        <v>0</v>
      </c>
      <c r="Q1005" s="14" t="str">
        <f>IF(M1005&gt;=I1005*'Hoja 4 - Cálculo'!$B$16,"Satisfactorio","Falla")</f>
        <v>Satisfactorio</v>
      </c>
      <c r="R1005" s="14">
        <f t="shared" si="230"/>
        <v>0</v>
      </c>
      <c r="S1005" s="14">
        <f t="shared" si="231"/>
        <v>0</v>
      </c>
    </row>
    <row r="1006" spans="1:19">
      <c r="A1006" s="14" t="str">
        <f t="shared" si="228"/>
        <v>SRY-3-3</v>
      </c>
      <c r="B1006" s="15">
        <f>'Curvas SRY'!$B$10</f>
        <v>3</v>
      </c>
      <c r="C1006" s="15">
        <f>'Curvas SRY'!$E$10</f>
        <v>1.25</v>
      </c>
      <c r="D1006" s="14" t="str">
        <f>'Curvas SRY'!$B$14</f>
        <v>Uso variable</v>
      </c>
      <c r="E1006" s="14">
        <f>43</f>
        <v>43</v>
      </c>
      <c r="F1006" s="21">
        <f>'Hoja 4 - Cálculo'!A67</f>
        <v>30864</v>
      </c>
      <c r="G1006" s="15">
        <f>'Hoja 4 - Cálculo'!H67</f>
        <v>12.794625</v>
      </c>
      <c r="H1006" s="15">
        <f>IF(D1006="Uso único",'Hoja 4 - Cálculo'!I67,IF(D1006="Uso múltiple",AVERAGE('Hoja 4 - Cálculo'!$I$25:$I$384)+AVERAGE('Hoja 4 - Cálculo'!$J$25:$J$384)+AVERAGE('Hoja 4 - Cálculo'!$K$25:$K$384),IF(D1006="Uso prioritario",'Hoja 4 - Cálculo'!I67+'Hoja 4 - Cálculo'!K67,'Hoja 4 - Cálculo'!I67+'Hoja 4 - Cálculo'!J67+'Hoja 4 - Cálculo'!K67)))</f>
        <v>16</v>
      </c>
      <c r="I1006" s="15">
        <f t="shared" si="219"/>
        <v>20</v>
      </c>
      <c r="J1006" s="15">
        <f t="shared" si="229"/>
        <v>2.8280424999999987</v>
      </c>
      <c r="K1006" s="15">
        <f>MIN(J1006+G1006,(J1006+G1006)*'Hoja 4 - Cálculo'!$B$15)</f>
        <v>0.31245334999999996</v>
      </c>
      <c r="L1006" s="15">
        <f t="shared" si="220"/>
        <v>15.310214149999998</v>
      </c>
      <c r="M1006" s="15">
        <f t="shared" si="221"/>
        <v>15.310214149999998</v>
      </c>
      <c r="N1006" s="15">
        <f t="shared" si="222"/>
        <v>0</v>
      </c>
      <c r="O1006" s="15">
        <f t="shared" si="223"/>
        <v>0</v>
      </c>
      <c r="P1006" s="15">
        <f t="shared" si="224"/>
        <v>4.6897858500000016</v>
      </c>
      <c r="Q1006" s="14" t="str">
        <f>IF(M1006&gt;=I1006*'Hoja 4 - Cálculo'!$B$16,"Satisfactorio","Falla")</f>
        <v>Falla</v>
      </c>
      <c r="R1006" s="14">
        <f t="shared" si="230"/>
        <v>0</v>
      </c>
      <c r="S1006" s="14">
        <f t="shared" si="231"/>
        <v>1</v>
      </c>
    </row>
    <row r="1007" spans="1:19">
      <c r="A1007" s="14" t="str">
        <f t="shared" si="228"/>
        <v>SRY-3-3</v>
      </c>
      <c r="B1007" s="15">
        <f>'Curvas SRY'!$B$10</f>
        <v>3</v>
      </c>
      <c r="C1007" s="15">
        <f>'Curvas SRY'!$E$10</f>
        <v>1.25</v>
      </c>
      <c r="D1007" s="14" t="str">
        <f>'Curvas SRY'!$B$14</f>
        <v>Uso variable</v>
      </c>
      <c r="E1007" s="14">
        <f>44</f>
        <v>44</v>
      </c>
      <c r="F1007" s="21">
        <f>'Hoja 4 - Cálculo'!A68</f>
        <v>30895</v>
      </c>
      <c r="G1007" s="15">
        <f>'Hoja 4 - Cálculo'!H68</f>
        <v>13.6935</v>
      </c>
      <c r="H1007" s="15">
        <f>IF(D1007="Uso único",'Hoja 4 - Cálculo'!I68,IF(D1007="Uso múltiple",AVERAGE('Hoja 4 - Cálculo'!$I$25:$I$384)+AVERAGE('Hoja 4 - Cálculo'!$J$25:$J$384)+AVERAGE('Hoja 4 - Cálculo'!$K$25:$K$384),IF(D1007="Uso prioritario",'Hoja 4 - Cálculo'!I68+'Hoja 4 - Cálculo'!K68,'Hoja 4 - Cálculo'!I68+'Hoja 4 - Cálculo'!J68+'Hoja 4 - Cálculo'!K68)))</f>
        <v>16</v>
      </c>
      <c r="I1007" s="15">
        <f t="shared" si="219"/>
        <v>20</v>
      </c>
      <c r="J1007" s="15">
        <f t="shared" si="229"/>
        <v>0</v>
      </c>
      <c r="K1007" s="15">
        <f>MIN(J1007+G1007,(J1007+G1007)*'Hoja 4 - Cálculo'!$B$15)</f>
        <v>0.27387</v>
      </c>
      <c r="L1007" s="15">
        <f t="shared" si="220"/>
        <v>13.41963</v>
      </c>
      <c r="M1007" s="15">
        <f t="shared" si="221"/>
        <v>13.41963</v>
      </c>
      <c r="N1007" s="15">
        <f t="shared" si="222"/>
        <v>0</v>
      </c>
      <c r="O1007" s="15">
        <f t="shared" si="223"/>
        <v>0</v>
      </c>
      <c r="P1007" s="15">
        <f t="shared" si="224"/>
        <v>6.5803700000000003</v>
      </c>
      <c r="Q1007" s="14" t="str">
        <f>IF(M1007&gt;=I1007*'Hoja 4 - Cálculo'!$B$16,"Satisfactorio","Falla")</f>
        <v>Falla</v>
      </c>
      <c r="R1007" s="14">
        <f t="shared" si="230"/>
        <v>0</v>
      </c>
      <c r="S1007" s="14">
        <f t="shared" si="231"/>
        <v>0</v>
      </c>
    </row>
    <row r="1008" spans="1:19">
      <c r="A1008" s="14" t="str">
        <f t="shared" si="228"/>
        <v>SRY-3-3</v>
      </c>
      <c r="B1008" s="15">
        <f>'Curvas SRY'!$B$10</f>
        <v>3</v>
      </c>
      <c r="C1008" s="15">
        <f>'Curvas SRY'!$E$10</f>
        <v>1.25</v>
      </c>
      <c r="D1008" s="14" t="str">
        <f>'Curvas SRY'!$B$14</f>
        <v>Uso variable</v>
      </c>
      <c r="E1008" s="14">
        <f>45</f>
        <v>45</v>
      </c>
      <c r="F1008" s="21">
        <f>'Hoja 4 - Cálculo'!A69</f>
        <v>30926</v>
      </c>
      <c r="G1008" s="15">
        <f>'Hoja 4 - Cálculo'!H69</f>
        <v>20.521125000000001</v>
      </c>
      <c r="H1008" s="15">
        <f>IF(D1008="Uso único",'Hoja 4 - Cálculo'!I69,IF(D1008="Uso múltiple",AVERAGE('Hoja 4 - Cálculo'!$I$25:$I$384)+AVERAGE('Hoja 4 - Cálculo'!$J$25:$J$384)+AVERAGE('Hoja 4 - Cálculo'!$K$25:$K$384),IF(D1008="Uso prioritario",'Hoja 4 - Cálculo'!I69+'Hoja 4 - Cálculo'!K69,'Hoja 4 - Cálculo'!I69+'Hoja 4 - Cálculo'!J69+'Hoja 4 - Cálculo'!K69)))</f>
        <v>11.5</v>
      </c>
      <c r="I1008" s="15">
        <f t="shared" si="219"/>
        <v>14.375</v>
      </c>
      <c r="J1008" s="15">
        <f t="shared" si="229"/>
        <v>0</v>
      </c>
      <c r="K1008" s="15">
        <f>MIN(J1008+G1008,(J1008+G1008)*'Hoja 4 - Cálculo'!$B$15)</f>
        <v>0.41042250000000002</v>
      </c>
      <c r="L1008" s="15">
        <f t="shared" si="220"/>
        <v>20.110702500000002</v>
      </c>
      <c r="M1008" s="15">
        <f t="shared" si="221"/>
        <v>14.375</v>
      </c>
      <c r="N1008" s="15">
        <f t="shared" si="222"/>
        <v>3</v>
      </c>
      <c r="O1008" s="15">
        <f t="shared" si="223"/>
        <v>2.7357025000000021</v>
      </c>
      <c r="P1008" s="15">
        <f t="shared" si="224"/>
        <v>0</v>
      </c>
      <c r="Q1008" s="14" t="str">
        <f>IF(M1008&gt;=I1008*'Hoja 4 - Cálculo'!$B$16,"Satisfactorio","Falla")</f>
        <v>Satisfactorio</v>
      </c>
      <c r="R1008" s="14">
        <f t="shared" si="230"/>
        <v>1</v>
      </c>
      <c r="S1008" s="14">
        <f t="shared" si="231"/>
        <v>0</v>
      </c>
    </row>
    <row r="1009" spans="1:19">
      <c r="A1009" s="14" t="str">
        <f t="shared" si="228"/>
        <v>SRY-3-3</v>
      </c>
      <c r="B1009" s="15">
        <f>'Curvas SRY'!$B$10</f>
        <v>3</v>
      </c>
      <c r="C1009" s="15">
        <f>'Curvas SRY'!$E$10</f>
        <v>1.25</v>
      </c>
      <c r="D1009" s="14" t="str">
        <f>'Curvas SRY'!$B$14</f>
        <v>Uso variable</v>
      </c>
      <c r="E1009" s="14">
        <f>46</f>
        <v>46</v>
      </c>
      <c r="F1009" s="21">
        <f>'Hoja 4 - Cálculo'!A70</f>
        <v>30956</v>
      </c>
      <c r="G1009" s="15">
        <f>'Hoja 4 - Cálculo'!H70</f>
        <v>27.061875000000001</v>
      </c>
      <c r="H1009" s="15">
        <f>IF(D1009="Uso único",'Hoja 4 - Cálculo'!I70,IF(D1009="Uso múltiple",AVERAGE('Hoja 4 - Cálculo'!$I$25:$I$384)+AVERAGE('Hoja 4 - Cálculo'!$J$25:$J$384)+AVERAGE('Hoja 4 - Cálculo'!$K$25:$K$384),IF(D1009="Uso prioritario",'Hoja 4 - Cálculo'!I70+'Hoja 4 - Cálculo'!K70,'Hoja 4 - Cálculo'!I70+'Hoja 4 - Cálculo'!J70+'Hoja 4 - Cálculo'!K70)))</f>
        <v>11.5</v>
      </c>
      <c r="I1009" s="15">
        <f t="shared" si="219"/>
        <v>14.375</v>
      </c>
      <c r="J1009" s="15">
        <f t="shared" si="229"/>
        <v>3</v>
      </c>
      <c r="K1009" s="15">
        <f>MIN(J1009+G1009,(J1009+G1009)*'Hoja 4 - Cálculo'!$B$15)</f>
        <v>0.60123749999999998</v>
      </c>
      <c r="L1009" s="15">
        <f t="shared" si="220"/>
        <v>29.460637500000001</v>
      </c>
      <c r="M1009" s="15">
        <f t="shared" si="221"/>
        <v>14.375</v>
      </c>
      <c r="N1009" s="15">
        <f t="shared" si="222"/>
        <v>3</v>
      </c>
      <c r="O1009" s="15">
        <f t="shared" si="223"/>
        <v>12.085637500000001</v>
      </c>
      <c r="P1009" s="15">
        <f t="shared" si="224"/>
        <v>0</v>
      </c>
      <c r="Q1009" s="14" t="str">
        <f>IF(M1009&gt;=I1009*'Hoja 4 - Cálculo'!$B$16,"Satisfactorio","Falla")</f>
        <v>Satisfactorio</v>
      </c>
      <c r="R1009" s="14">
        <f t="shared" si="230"/>
        <v>0</v>
      </c>
      <c r="S1009" s="14">
        <f t="shared" si="231"/>
        <v>0</v>
      </c>
    </row>
    <row r="1010" spans="1:19">
      <c r="A1010" s="14" t="str">
        <f t="shared" si="228"/>
        <v>SRY-3-3</v>
      </c>
      <c r="B1010" s="15">
        <f>'Curvas SRY'!$B$10</f>
        <v>3</v>
      </c>
      <c r="C1010" s="15">
        <f>'Curvas SRY'!$E$10</f>
        <v>1.25</v>
      </c>
      <c r="D1010" s="14" t="str">
        <f>'Curvas SRY'!$B$14</f>
        <v>Uso variable</v>
      </c>
      <c r="E1010" s="14">
        <f>47</f>
        <v>47</v>
      </c>
      <c r="F1010" s="21">
        <f>'Hoja 4 - Cálculo'!A71</f>
        <v>30987</v>
      </c>
      <c r="G1010" s="15">
        <f>'Hoja 4 - Cálculo'!H71</f>
        <v>24.346125000000001</v>
      </c>
      <c r="H1010" s="15">
        <f>IF(D1010="Uso único",'Hoja 4 - Cálculo'!I71,IF(D1010="Uso múltiple",AVERAGE('Hoja 4 - Cálculo'!$I$25:$I$384)+AVERAGE('Hoja 4 - Cálculo'!$J$25:$J$384)+AVERAGE('Hoja 4 - Cálculo'!$K$25:$K$384),IF(D1010="Uso prioritario",'Hoja 4 - Cálculo'!I71+'Hoja 4 - Cálculo'!K71,'Hoja 4 - Cálculo'!I71+'Hoja 4 - Cálculo'!J71+'Hoja 4 - Cálculo'!K71)))</f>
        <v>11.5</v>
      </c>
      <c r="I1010" s="15">
        <f t="shared" si="219"/>
        <v>14.375</v>
      </c>
      <c r="J1010" s="15">
        <f t="shared" si="229"/>
        <v>3</v>
      </c>
      <c r="K1010" s="15">
        <f>MIN(J1010+G1010,(J1010+G1010)*'Hoja 4 - Cálculo'!$B$15)</f>
        <v>0.54692249999999998</v>
      </c>
      <c r="L1010" s="15">
        <f t="shared" si="220"/>
        <v>26.7992025</v>
      </c>
      <c r="M1010" s="15">
        <f t="shared" si="221"/>
        <v>14.375</v>
      </c>
      <c r="N1010" s="15">
        <f t="shared" si="222"/>
        <v>3</v>
      </c>
      <c r="O1010" s="15">
        <f t="shared" si="223"/>
        <v>9.4242024999999998</v>
      </c>
      <c r="P1010" s="15">
        <f t="shared" si="224"/>
        <v>0</v>
      </c>
      <c r="Q1010" s="14" t="str">
        <f>IF(M1010&gt;=I1010*'Hoja 4 - Cálculo'!$B$16,"Satisfactorio","Falla")</f>
        <v>Satisfactorio</v>
      </c>
      <c r="R1010" s="14">
        <f t="shared" si="230"/>
        <v>0</v>
      </c>
      <c r="S1010" s="14">
        <f t="shared" si="231"/>
        <v>0</v>
      </c>
    </row>
    <row r="1011" spans="1:19">
      <c r="A1011" s="14" t="str">
        <f t="shared" si="228"/>
        <v>SRY-3-3</v>
      </c>
      <c r="B1011" s="15">
        <f>'Curvas SRY'!$B$10</f>
        <v>3</v>
      </c>
      <c r="C1011" s="15">
        <f>'Curvas SRY'!$E$10</f>
        <v>1.25</v>
      </c>
      <c r="D1011" s="14" t="str">
        <f>'Curvas SRY'!$B$14</f>
        <v>Uso variable</v>
      </c>
      <c r="E1011" s="14">
        <f>48</f>
        <v>48</v>
      </c>
      <c r="F1011" s="21">
        <f>'Hoja 4 - Cálculo'!A72</f>
        <v>31017</v>
      </c>
      <c r="G1011" s="15">
        <f>'Hoja 4 - Cálculo'!H72</f>
        <v>14.745374999999999</v>
      </c>
      <c r="H1011" s="15">
        <f>IF(D1011="Uso único",'Hoja 4 - Cálculo'!I72,IF(D1011="Uso múltiple",AVERAGE('Hoja 4 - Cálculo'!$I$25:$I$384)+AVERAGE('Hoja 4 - Cálculo'!$J$25:$J$384)+AVERAGE('Hoja 4 - Cálculo'!$K$25:$K$384),IF(D1011="Uso prioritario",'Hoja 4 - Cálculo'!I72+'Hoja 4 - Cálculo'!K72,'Hoja 4 - Cálculo'!I72+'Hoja 4 - Cálculo'!J72+'Hoja 4 - Cálculo'!K72)))</f>
        <v>16</v>
      </c>
      <c r="I1011" s="15">
        <f t="shared" si="219"/>
        <v>20</v>
      </c>
      <c r="J1011" s="15">
        <f t="shared" si="229"/>
        <v>3</v>
      </c>
      <c r="K1011" s="15">
        <f>MIN(J1011+G1011,(J1011+G1011)*'Hoja 4 - Cálculo'!$B$15)</f>
        <v>0.35490749999999999</v>
      </c>
      <c r="L1011" s="15">
        <f t="shared" si="220"/>
        <v>17.3904675</v>
      </c>
      <c r="M1011" s="15">
        <f t="shared" si="221"/>
        <v>17.3904675</v>
      </c>
      <c r="N1011" s="15">
        <f t="shared" si="222"/>
        <v>0</v>
      </c>
      <c r="O1011" s="15">
        <f t="shared" si="223"/>
        <v>0</v>
      </c>
      <c r="P1011" s="15">
        <f t="shared" si="224"/>
        <v>2.6095325000000003</v>
      </c>
      <c r="Q1011" s="14" t="str">
        <f>IF(M1011&gt;=I1011*'Hoja 4 - Cálculo'!$B$16,"Satisfactorio","Falla")</f>
        <v>Falla</v>
      </c>
      <c r="R1011" s="14">
        <f t="shared" si="230"/>
        <v>0</v>
      </c>
      <c r="S1011" s="14">
        <f t="shared" si="231"/>
        <v>1</v>
      </c>
    </row>
    <row r="1012" spans="1:19">
      <c r="A1012" s="14" t="str">
        <f t="shared" si="228"/>
        <v>SRY-3-3</v>
      </c>
      <c r="B1012" s="15">
        <f>'Curvas SRY'!$B$10</f>
        <v>3</v>
      </c>
      <c r="C1012" s="15">
        <f>'Curvas SRY'!$E$10</f>
        <v>1.25</v>
      </c>
      <c r="D1012" s="14" t="str">
        <f>'Curvas SRY'!$B$14</f>
        <v>Uso variable</v>
      </c>
      <c r="E1012" s="14">
        <f>49</f>
        <v>49</v>
      </c>
      <c r="F1012" s="21">
        <f>'Hoja 4 - Cálculo'!A73</f>
        <v>31048</v>
      </c>
      <c r="G1012" s="15">
        <f>'Hoja 4 - Cálculo'!H73</f>
        <v>10.767374999999999</v>
      </c>
      <c r="H1012" s="15">
        <f>IF(D1012="Uso único",'Hoja 4 - Cálculo'!I73,IF(D1012="Uso múltiple",AVERAGE('Hoja 4 - Cálculo'!$I$25:$I$384)+AVERAGE('Hoja 4 - Cálculo'!$J$25:$J$384)+AVERAGE('Hoja 4 - Cálculo'!$K$25:$K$384),IF(D1012="Uso prioritario",'Hoja 4 - Cálculo'!I73+'Hoja 4 - Cálculo'!K73,'Hoja 4 - Cálculo'!I73+'Hoja 4 - Cálculo'!J73+'Hoja 4 - Cálculo'!K73)))</f>
        <v>16</v>
      </c>
      <c r="I1012" s="15">
        <f t="shared" si="219"/>
        <v>20</v>
      </c>
      <c r="J1012" s="15">
        <f t="shared" si="229"/>
        <v>0</v>
      </c>
      <c r="K1012" s="15">
        <f>MIN(J1012+G1012,(J1012+G1012)*'Hoja 4 - Cálculo'!$B$15)</f>
        <v>0.2153475</v>
      </c>
      <c r="L1012" s="15">
        <f t="shared" si="220"/>
        <v>10.552027499999999</v>
      </c>
      <c r="M1012" s="15">
        <f t="shared" si="221"/>
        <v>10.552027499999999</v>
      </c>
      <c r="N1012" s="15">
        <f t="shared" si="222"/>
        <v>0</v>
      </c>
      <c r="O1012" s="15">
        <f t="shared" si="223"/>
        <v>0</v>
      </c>
      <c r="P1012" s="15">
        <f t="shared" si="224"/>
        <v>9.4479725000000006</v>
      </c>
      <c r="Q1012" s="14" t="str">
        <f>IF(M1012&gt;=I1012*'Hoja 4 - Cálculo'!$B$16,"Satisfactorio","Falla")</f>
        <v>Falla</v>
      </c>
      <c r="R1012" s="14">
        <f t="shared" si="230"/>
        <v>0</v>
      </c>
      <c r="S1012" s="14">
        <f t="shared" si="231"/>
        <v>0</v>
      </c>
    </row>
    <row r="1013" spans="1:19">
      <c r="A1013" s="14" t="str">
        <f t="shared" si="228"/>
        <v>SRY-3-3</v>
      </c>
      <c r="B1013" s="15">
        <f>'Curvas SRY'!$B$10</f>
        <v>3</v>
      </c>
      <c r="C1013" s="15">
        <f>'Curvas SRY'!$E$10</f>
        <v>1.25</v>
      </c>
      <c r="D1013" s="14" t="str">
        <f>'Curvas SRY'!$B$14</f>
        <v>Uso variable</v>
      </c>
      <c r="E1013" s="14">
        <f>50</f>
        <v>50</v>
      </c>
      <c r="F1013" s="21">
        <f>'Hoja 4 - Cálculo'!A74</f>
        <v>31079</v>
      </c>
      <c r="G1013" s="15">
        <f>'Hoja 4 - Cálculo'!H74</f>
        <v>13.464</v>
      </c>
      <c r="H1013" s="15">
        <f>IF(D1013="Uso único",'Hoja 4 - Cálculo'!I74,IF(D1013="Uso múltiple",AVERAGE('Hoja 4 - Cálculo'!$I$25:$I$384)+AVERAGE('Hoja 4 - Cálculo'!$J$25:$J$384)+AVERAGE('Hoja 4 - Cálculo'!$K$25:$K$384),IF(D1013="Uso prioritario",'Hoja 4 - Cálculo'!I74+'Hoja 4 - Cálculo'!K74,'Hoja 4 - Cálculo'!I74+'Hoja 4 - Cálculo'!J74+'Hoja 4 - Cálculo'!K74)))</f>
        <v>16</v>
      </c>
      <c r="I1013" s="15">
        <f t="shared" si="219"/>
        <v>20</v>
      </c>
      <c r="J1013" s="15">
        <f t="shared" si="229"/>
        <v>0</v>
      </c>
      <c r="K1013" s="15">
        <f>MIN(J1013+G1013,(J1013+G1013)*'Hoja 4 - Cálculo'!$B$15)</f>
        <v>0.26928000000000002</v>
      </c>
      <c r="L1013" s="15">
        <f t="shared" si="220"/>
        <v>13.19472</v>
      </c>
      <c r="M1013" s="15">
        <f t="shared" si="221"/>
        <v>13.19472</v>
      </c>
      <c r="N1013" s="15">
        <f t="shared" si="222"/>
        <v>0</v>
      </c>
      <c r="O1013" s="15">
        <f t="shared" si="223"/>
        <v>0</v>
      </c>
      <c r="P1013" s="15">
        <f t="shared" si="224"/>
        <v>6.8052799999999998</v>
      </c>
      <c r="Q1013" s="14" t="str">
        <f>IF(M1013&gt;=I1013*'Hoja 4 - Cálculo'!$B$16,"Satisfactorio","Falla")</f>
        <v>Falla</v>
      </c>
      <c r="R1013" s="14">
        <f t="shared" si="230"/>
        <v>0</v>
      </c>
      <c r="S1013" s="14">
        <f t="shared" si="231"/>
        <v>0</v>
      </c>
    </row>
    <row r="1014" spans="1:19">
      <c r="A1014" s="14" t="str">
        <f t="shared" si="228"/>
        <v>SRY-3-3</v>
      </c>
      <c r="B1014" s="15">
        <f>'Curvas SRY'!$B$10</f>
        <v>3</v>
      </c>
      <c r="C1014" s="15">
        <f>'Curvas SRY'!$E$10</f>
        <v>1.25</v>
      </c>
      <c r="D1014" s="14" t="str">
        <f>'Curvas SRY'!$B$14</f>
        <v>Uso variable</v>
      </c>
      <c r="E1014" s="14">
        <f>51</f>
        <v>51</v>
      </c>
      <c r="F1014" s="21">
        <f>'Hoja 4 - Cálculo'!A75</f>
        <v>31107</v>
      </c>
      <c r="G1014" s="15">
        <f>'Hoja 4 - Cálculo'!H75</f>
        <v>19.450125</v>
      </c>
      <c r="H1014" s="15">
        <f>IF(D1014="Uso único",'Hoja 4 - Cálculo'!I75,IF(D1014="Uso múltiple",AVERAGE('Hoja 4 - Cálculo'!$I$25:$I$384)+AVERAGE('Hoja 4 - Cálculo'!$J$25:$J$384)+AVERAGE('Hoja 4 - Cálculo'!$K$25:$K$384),IF(D1014="Uso prioritario",'Hoja 4 - Cálculo'!I75+'Hoja 4 - Cálculo'!K75,'Hoja 4 - Cálculo'!I75+'Hoja 4 - Cálculo'!J75+'Hoja 4 - Cálculo'!K75)))</f>
        <v>16</v>
      </c>
      <c r="I1014" s="15">
        <f t="shared" si="219"/>
        <v>20</v>
      </c>
      <c r="J1014" s="15">
        <f t="shared" si="229"/>
        <v>0</v>
      </c>
      <c r="K1014" s="15">
        <f>MIN(J1014+G1014,(J1014+G1014)*'Hoja 4 - Cálculo'!$B$15)</f>
        <v>0.38900250000000003</v>
      </c>
      <c r="L1014" s="15">
        <f t="shared" si="220"/>
        <v>19.0611225</v>
      </c>
      <c r="M1014" s="15">
        <f t="shared" si="221"/>
        <v>19.0611225</v>
      </c>
      <c r="N1014" s="15">
        <f t="shared" si="222"/>
        <v>0</v>
      </c>
      <c r="O1014" s="15">
        <f t="shared" si="223"/>
        <v>0</v>
      </c>
      <c r="P1014" s="15">
        <f t="shared" si="224"/>
        <v>0.93887750000000025</v>
      </c>
      <c r="Q1014" s="14" t="str">
        <f>IF(M1014&gt;=I1014*'Hoja 4 - Cálculo'!$B$16,"Satisfactorio","Falla")</f>
        <v>Falla</v>
      </c>
      <c r="R1014" s="14">
        <f t="shared" si="230"/>
        <v>0</v>
      </c>
      <c r="S1014" s="14">
        <f t="shared" si="231"/>
        <v>0</v>
      </c>
    </row>
    <row r="1015" spans="1:19">
      <c r="A1015" s="14" t="str">
        <f t="shared" si="228"/>
        <v>SRY-3-3</v>
      </c>
      <c r="B1015" s="15">
        <f>'Curvas SRY'!$B$10</f>
        <v>3</v>
      </c>
      <c r="C1015" s="15">
        <f>'Curvas SRY'!$E$10</f>
        <v>1.25</v>
      </c>
      <c r="D1015" s="14" t="str">
        <f>'Curvas SRY'!$B$14</f>
        <v>Uso variable</v>
      </c>
      <c r="E1015" s="14">
        <f>52</f>
        <v>52</v>
      </c>
      <c r="F1015" s="21">
        <f>'Hoja 4 - Cálculo'!A76</f>
        <v>31138</v>
      </c>
      <c r="G1015" s="15">
        <f>'Hoja 4 - Cálculo'!H76</f>
        <v>25.51275</v>
      </c>
      <c r="H1015" s="15">
        <f>IF(D1015="Uso único",'Hoja 4 - Cálculo'!I76,IF(D1015="Uso múltiple",AVERAGE('Hoja 4 - Cálculo'!$I$25:$I$384)+AVERAGE('Hoja 4 - Cálculo'!$J$25:$J$384)+AVERAGE('Hoja 4 - Cálculo'!$K$25:$K$384),IF(D1015="Uso prioritario",'Hoja 4 - Cálculo'!I76+'Hoja 4 - Cálculo'!K76,'Hoja 4 - Cálculo'!I76+'Hoja 4 - Cálculo'!J76+'Hoja 4 - Cálculo'!K76)))</f>
        <v>11.5</v>
      </c>
      <c r="I1015" s="15">
        <f t="shared" si="219"/>
        <v>14.375</v>
      </c>
      <c r="J1015" s="15">
        <f t="shared" si="229"/>
        <v>0</v>
      </c>
      <c r="K1015" s="15">
        <f>MIN(J1015+G1015,(J1015+G1015)*'Hoja 4 - Cálculo'!$B$15)</f>
        <v>0.51025500000000001</v>
      </c>
      <c r="L1015" s="15">
        <f t="shared" si="220"/>
        <v>25.002495</v>
      </c>
      <c r="M1015" s="15">
        <f t="shared" si="221"/>
        <v>14.375</v>
      </c>
      <c r="N1015" s="15">
        <f t="shared" si="222"/>
        <v>3</v>
      </c>
      <c r="O1015" s="15">
        <f t="shared" si="223"/>
        <v>7.6274949999999997</v>
      </c>
      <c r="P1015" s="15">
        <f t="shared" si="224"/>
        <v>0</v>
      </c>
      <c r="Q1015" s="14" t="str">
        <f>IF(M1015&gt;=I1015*'Hoja 4 - Cálculo'!$B$16,"Satisfactorio","Falla")</f>
        <v>Satisfactorio</v>
      </c>
      <c r="R1015" s="14">
        <f t="shared" si="230"/>
        <v>1</v>
      </c>
      <c r="S1015" s="14">
        <f t="shared" si="231"/>
        <v>0</v>
      </c>
    </row>
    <row r="1016" spans="1:19">
      <c r="A1016" s="14" t="str">
        <f t="shared" si="228"/>
        <v>SRY-3-3</v>
      </c>
      <c r="B1016" s="15">
        <f>'Curvas SRY'!$B$10</f>
        <v>3</v>
      </c>
      <c r="C1016" s="15">
        <f>'Curvas SRY'!$E$10</f>
        <v>1.25</v>
      </c>
      <c r="D1016" s="14" t="str">
        <f>'Curvas SRY'!$B$14</f>
        <v>Uso variable</v>
      </c>
      <c r="E1016" s="14">
        <f>53</f>
        <v>53</v>
      </c>
      <c r="F1016" s="21">
        <f>'Hoja 4 - Cálculo'!A77</f>
        <v>31168</v>
      </c>
      <c r="G1016" s="15">
        <f>'Hoja 4 - Cálculo'!H77</f>
        <v>24.36525</v>
      </c>
      <c r="H1016" s="15">
        <f>IF(D1016="Uso único",'Hoja 4 - Cálculo'!I77,IF(D1016="Uso múltiple",AVERAGE('Hoja 4 - Cálculo'!$I$25:$I$384)+AVERAGE('Hoja 4 - Cálculo'!$J$25:$J$384)+AVERAGE('Hoja 4 - Cálculo'!$K$25:$K$384),IF(D1016="Uso prioritario",'Hoja 4 - Cálculo'!I77+'Hoja 4 - Cálculo'!K77,'Hoja 4 - Cálculo'!I77+'Hoja 4 - Cálculo'!J77+'Hoja 4 - Cálculo'!K77)))</f>
        <v>11.5</v>
      </c>
      <c r="I1016" s="15">
        <f t="shared" si="219"/>
        <v>14.375</v>
      </c>
      <c r="J1016" s="15">
        <f t="shared" si="229"/>
        <v>3</v>
      </c>
      <c r="K1016" s="15">
        <f>MIN(J1016+G1016,(J1016+G1016)*'Hoja 4 - Cálculo'!$B$15)</f>
        <v>0.54730500000000004</v>
      </c>
      <c r="L1016" s="15">
        <f t="shared" si="220"/>
        <v>26.817944999999998</v>
      </c>
      <c r="M1016" s="15">
        <f t="shared" si="221"/>
        <v>14.375</v>
      </c>
      <c r="N1016" s="15">
        <f t="shared" si="222"/>
        <v>3</v>
      </c>
      <c r="O1016" s="15">
        <f t="shared" si="223"/>
        <v>9.4429449999999981</v>
      </c>
      <c r="P1016" s="15">
        <f t="shared" si="224"/>
        <v>0</v>
      </c>
      <c r="Q1016" s="14" t="str">
        <f>IF(M1016&gt;=I1016*'Hoja 4 - Cálculo'!$B$16,"Satisfactorio","Falla")</f>
        <v>Satisfactorio</v>
      </c>
      <c r="R1016" s="14">
        <f t="shared" si="230"/>
        <v>0</v>
      </c>
      <c r="S1016" s="14">
        <f t="shared" si="231"/>
        <v>0</v>
      </c>
    </row>
    <row r="1017" spans="1:19">
      <c r="A1017" s="14" t="str">
        <f t="shared" si="228"/>
        <v>SRY-3-3</v>
      </c>
      <c r="B1017" s="15">
        <f>'Curvas SRY'!$B$10</f>
        <v>3</v>
      </c>
      <c r="C1017" s="15">
        <f>'Curvas SRY'!$E$10</f>
        <v>1.25</v>
      </c>
      <c r="D1017" s="14" t="str">
        <f>'Curvas SRY'!$B$14</f>
        <v>Uso variable</v>
      </c>
      <c r="E1017" s="14">
        <f>54</f>
        <v>54</v>
      </c>
      <c r="F1017" s="21">
        <f>'Hoja 4 - Cálculo'!A78</f>
        <v>31199</v>
      </c>
      <c r="G1017" s="15">
        <f>'Hoja 4 - Cálculo'!H78</f>
        <v>15.395625000000001</v>
      </c>
      <c r="H1017" s="15">
        <f>IF(D1017="Uso único",'Hoja 4 - Cálculo'!I78,IF(D1017="Uso múltiple",AVERAGE('Hoja 4 - Cálculo'!$I$25:$I$384)+AVERAGE('Hoja 4 - Cálculo'!$J$25:$J$384)+AVERAGE('Hoja 4 - Cálculo'!$K$25:$K$384),IF(D1017="Uso prioritario",'Hoja 4 - Cálculo'!I78+'Hoja 4 - Cálculo'!K78,'Hoja 4 - Cálculo'!I78+'Hoja 4 - Cálculo'!J78+'Hoja 4 - Cálculo'!K78)))</f>
        <v>11.5</v>
      </c>
      <c r="I1017" s="15">
        <f t="shared" si="219"/>
        <v>14.375</v>
      </c>
      <c r="J1017" s="15">
        <f t="shared" si="229"/>
        <v>3</v>
      </c>
      <c r="K1017" s="15">
        <f>MIN(J1017+G1017,(J1017+G1017)*'Hoja 4 - Cálculo'!$B$15)</f>
        <v>0.36791250000000003</v>
      </c>
      <c r="L1017" s="15">
        <f t="shared" si="220"/>
        <v>18.027712500000003</v>
      </c>
      <c r="M1017" s="15">
        <f t="shared" si="221"/>
        <v>14.375</v>
      </c>
      <c r="N1017" s="15">
        <f t="shared" si="222"/>
        <v>3</v>
      </c>
      <c r="O1017" s="15">
        <f t="shared" si="223"/>
        <v>0.65271250000000336</v>
      </c>
      <c r="P1017" s="15">
        <f t="shared" si="224"/>
        <v>0</v>
      </c>
      <c r="Q1017" s="14" t="str">
        <f>IF(M1017&gt;=I1017*'Hoja 4 - Cálculo'!$B$16,"Satisfactorio","Falla")</f>
        <v>Satisfactorio</v>
      </c>
      <c r="R1017" s="14">
        <f t="shared" si="230"/>
        <v>0</v>
      </c>
      <c r="S1017" s="14">
        <f t="shared" si="231"/>
        <v>0</v>
      </c>
    </row>
    <row r="1018" spans="1:19">
      <c r="A1018" s="14" t="str">
        <f t="shared" si="228"/>
        <v>SRY-3-3</v>
      </c>
      <c r="B1018" s="15">
        <f>'Curvas SRY'!$B$10</f>
        <v>3</v>
      </c>
      <c r="C1018" s="15">
        <f>'Curvas SRY'!$E$10</f>
        <v>1.25</v>
      </c>
      <c r="D1018" s="14" t="str">
        <f>'Curvas SRY'!$B$14</f>
        <v>Uso variable</v>
      </c>
      <c r="E1018" s="14">
        <f>55</f>
        <v>55</v>
      </c>
      <c r="F1018" s="21">
        <f>'Hoja 4 - Cálculo'!A79</f>
        <v>31229</v>
      </c>
      <c r="G1018" s="15">
        <f>'Hoja 4 - Cálculo'!H79</f>
        <v>11.742749999999999</v>
      </c>
      <c r="H1018" s="15">
        <f>IF(D1018="Uso único",'Hoja 4 - Cálculo'!I79,IF(D1018="Uso múltiple",AVERAGE('Hoja 4 - Cálculo'!$I$25:$I$384)+AVERAGE('Hoja 4 - Cálculo'!$J$25:$J$384)+AVERAGE('Hoja 4 - Cálculo'!$K$25:$K$384),IF(D1018="Uso prioritario",'Hoja 4 - Cálculo'!I79+'Hoja 4 - Cálculo'!K79,'Hoja 4 - Cálculo'!I79+'Hoja 4 - Cálculo'!J79+'Hoja 4 - Cálculo'!K79)))</f>
        <v>16</v>
      </c>
      <c r="I1018" s="15">
        <f t="shared" si="219"/>
        <v>20</v>
      </c>
      <c r="J1018" s="15">
        <f t="shared" si="229"/>
        <v>3</v>
      </c>
      <c r="K1018" s="15">
        <f>MIN(J1018+G1018,(J1018+G1018)*'Hoja 4 - Cálculo'!$B$15)</f>
        <v>0.29485499999999998</v>
      </c>
      <c r="L1018" s="15">
        <f t="shared" si="220"/>
        <v>14.447894999999999</v>
      </c>
      <c r="M1018" s="15">
        <f t="shared" si="221"/>
        <v>14.447894999999999</v>
      </c>
      <c r="N1018" s="15">
        <f t="shared" si="222"/>
        <v>0</v>
      </c>
      <c r="O1018" s="15">
        <f t="shared" si="223"/>
        <v>0</v>
      </c>
      <c r="P1018" s="15">
        <f t="shared" si="224"/>
        <v>5.552105000000001</v>
      </c>
      <c r="Q1018" s="14" t="str">
        <f>IF(M1018&gt;=I1018*'Hoja 4 - Cálculo'!$B$16,"Satisfactorio","Falla")</f>
        <v>Falla</v>
      </c>
      <c r="R1018" s="14">
        <f t="shared" si="230"/>
        <v>0</v>
      </c>
      <c r="S1018" s="14">
        <f t="shared" si="231"/>
        <v>1</v>
      </c>
    </row>
    <row r="1019" spans="1:19">
      <c r="A1019" s="14" t="str">
        <f t="shared" si="228"/>
        <v>SRY-3-3</v>
      </c>
      <c r="B1019" s="15">
        <f>'Curvas SRY'!$B$10</f>
        <v>3</v>
      </c>
      <c r="C1019" s="15">
        <f>'Curvas SRY'!$E$10</f>
        <v>1.25</v>
      </c>
      <c r="D1019" s="14" t="str">
        <f>'Curvas SRY'!$B$14</f>
        <v>Uso variable</v>
      </c>
      <c r="E1019" s="14">
        <f>56</f>
        <v>56</v>
      </c>
      <c r="F1019" s="21">
        <f>'Hoja 4 - Cálculo'!A80</f>
        <v>31260</v>
      </c>
      <c r="G1019" s="15">
        <f>'Hoja 4 - Cálculo'!H80</f>
        <v>12.603375</v>
      </c>
      <c r="H1019" s="15">
        <f>IF(D1019="Uso único",'Hoja 4 - Cálculo'!I80,IF(D1019="Uso múltiple",AVERAGE('Hoja 4 - Cálculo'!$I$25:$I$384)+AVERAGE('Hoja 4 - Cálculo'!$J$25:$J$384)+AVERAGE('Hoja 4 - Cálculo'!$K$25:$K$384),IF(D1019="Uso prioritario",'Hoja 4 - Cálculo'!I80+'Hoja 4 - Cálculo'!K80,'Hoja 4 - Cálculo'!I80+'Hoja 4 - Cálculo'!J80+'Hoja 4 - Cálculo'!K80)))</f>
        <v>16</v>
      </c>
      <c r="I1019" s="15">
        <f t="shared" si="219"/>
        <v>20</v>
      </c>
      <c r="J1019" s="15">
        <f t="shared" si="229"/>
        <v>0</v>
      </c>
      <c r="K1019" s="15">
        <f>MIN(J1019+G1019,(J1019+G1019)*'Hoja 4 - Cálculo'!$B$15)</f>
        <v>0.2520675</v>
      </c>
      <c r="L1019" s="15">
        <f t="shared" si="220"/>
        <v>12.351307499999999</v>
      </c>
      <c r="M1019" s="15">
        <f t="shared" si="221"/>
        <v>12.351307499999999</v>
      </c>
      <c r="N1019" s="15">
        <f t="shared" si="222"/>
        <v>0</v>
      </c>
      <c r="O1019" s="15">
        <f t="shared" si="223"/>
        <v>0</v>
      </c>
      <c r="P1019" s="15">
        <f t="shared" si="224"/>
        <v>7.648692500000001</v>
      </c>
      <c r="Q1019" s="14" t="str">
        <f>IF(M1019&gt;=I1019*'Hoja 4 - Cálculo'!$B$16,"Satisfactorio","Falla")</f>
        <v>Falla</v>
      </c>
      <c r="R1019" s="14">
        <f t="shared" si="230"/>
        <v>0</v>
      </c>
      <c r="S1019" s="14">
        <f t="shared" si="231"/>
        <v>0</v>
      </c>
    </row>
    <row r="1020" spans="1:19">
      <c r="A1020" s="14" t="str">
        <f t="shared" si="228"/>
        <v>SRY-3-3</v>
      </c>
      <c r="B1020" s="15">
        <f>'Curvas SRY'!$B$10</f>
        <v>3</v>
      </c>
      <c r="C1020" s="15">
        <f>'Curvas SRY'!$E$10</f>
        <v>1.25</v>
      </c>
      <c r="D1020" s="14" t="str">
        <f>'Curvas SRY'!$B$14</f>
        <v>Uso variable</v>
      </c>
      <c r="E1020" s="14">
        <f>57</f>
        <v>57</v>
      </c>
      <c r="F1020" s="21">
        <f>'Hoja 4 - Cálculo'!A81</f>
        <v>31291</v>
      </c>
      <c r="G1020" s="15">
        <f>'Hoja 4 - Cálculo'!H81</f>
        <v>21.745125000000002</v>
      </c>
      <c r="H1020" s="15">
        <f>IF(D1020="Uso único",'Hoja 4 - Cálculo'!I81,IF(D1020="Uso múltiple",AVERAGE('Hoja 4 - Cálculo'!$I$25:$I$384)+AVERAGE('Hoja 4 - Cálculo'!$J$25:$J$384)+AVERAGE('Hoja 4 - Cálculo'!$K$25:$K$384),IF(D1020="Uso prioritario",'Hoja 4 - Cálculo'!I81+'Hoja 4 - Cálculo'!K81,'Hoja 4 - Cálculo'!I81+'Hoja 4 - Cálculo'!J81+'Hoja 4 - Cálculo'!K81)))</f>
        <v>11.5</v>
      </c>
      <c r="I1020" s="15">
        <f t="shared" si="219"/>
        <v>14.375</v>
      </c>
      <c r="J1020" s="15">
        <f t="shared" si="229"/>
        <v>0</v>
      </c>
      <c r="K1020" s="15">
        <f>MIN(J1020+G1020,(J1020+G1020)*'Hoja 4 - Cálculo'!$B$15)</f>
        <v>0.43490250000000003</v>
      </c>
      <c r="L1020" s="15">
        <f t="shared" si="220"/>
        <v>21.310222500000002</v>
      </c>
      <c r="M1020" s="15">
        <f t="shared" si="221"/>
        <v>14.375</v>
      </c>
      <c r="N1020" s="15">
        <f t="shared" si="222"/>
        <v>3</v>
      </c>
      <c r="O1020" s="15">
        <f t="shared" si="223"/>
        <v>3.9352225000000018</v>
      </c>
      <c r="P1020" s="15">
        <f t="shared" si="224"/>
        <v>0</v>
      </c>
      <c r="Q1020" s="14" t="str">
        <f>IF(M1020&gt;=I1020*'Hoja 4 - Cálculo'!$B$16,"Satisfactorio","Falla")</f>
        <v>Satisfactorio</v>
      </c>
      <c r="R1020" s="14">
        <f t="shared" si="230"/>
        <v>1</v>
      </c>
      <c r="S1020" s="14">
        <f t="shared" si="231"/>
        <v>0</v>
      </c>
    </row>
    <row r="1021" spans="1:19">
      <c r="A1021" s="14" t="str">
        <f t="shared" si="228"/>
        <v>SRY-3-3</v>
      </c>
      <c r="B1021" s="15">
        <f>'Curvas SRY'!$B$10</f>
        <v>3</v>
      </c>
      <c r="C1021" s="15">
        <f>'Curvas SRY'!$E$10</f>
        <v>1.25</v>
      </c>
      <c r="D1021" s="14" t="str">
        <f>'Curvas SRY'!$B$14</f>
        <v>Uso variable</v>
      </c>
      <c r="E1021" s="14">
        <f>58</f>
        <v>58</v>
      </c>
      <c r="F1021" s="21">
        <f>'Hoja 4 - Cálculo'!A82</f>
        <v>31321</v>
      </c>
      <c r="G1021" s="15">
        <f>'Hoja 4 - Cálculo'!H82</f>
        <v>27.788625</v>
      </c>
      <c r="H1021" s="15">
        <f>IF(D1021="Uso único",'Hoja 4 - Cálculo'!I82,IF(D1021="Uso múltiple",AVERAGE('Hoja 4 - Cálculo'!$I$25:$I$384)+AVERAGE('Hoja 4 - Cálculo'!$J$25:$J$384)+AVERAGE('Hoja 4 - Cálculo'!$K$25:$K$384),IF(D1021="Uso prioritario",'Hoja 4 - Cálculo'!I82+'Hoja 4 - Cálculo'!K82,'Hoja 4 - Cálculo'!I82+'Hoja 4 - Cálculo'!J82+'Hoja 4 - Cálculo'!K82)))</f>
        <v>11.5</v>
      </c>
      <c r="I1021" s="15">
        <f t="shared" si="219"/>
        <v>14.375</v>
      </c>
      <c r="J1021" s="15">
        <f t="shared" si="229"/>
        <v>3</v>
      </c>
      <c r="K1021" s="15">
        <f>MIN(J1021+G1021,(J1021+G1021)*'Hoja 4 - Cálculo'!$B$15)</f>
        <v>0.61577250000000006</v>
      </c>
      <c r="L1021" s="15">
        <f t="shared" si="220"/>
        <v>30.172852500000001</v>
      </c>
      <c r="M1021" s="15">
        <f t="shared" si="221"/>
        <v>14.375</v>
      </c>
      <c r="N1021" s="15">
        <f t="shared" si="222"/>
        <v>3</v>
      </c>
      <c r="O1021" s="15">
        <f t="shared" si="223"/>
        <v>12.797852500000001</v>
      </c>
      <c r="P1021" s="15">
        <f t="shared" si="224"/>
        <v>0</v>
      </c>
      <c r="Q1021" s="14" t="str">
        <f>IF(M1021&gt;=I1021*'Hoja 4 - Cálculo'!$B$16,"Satisfactorio","Falla")</f>
        <v>Satisfactorio</v>
      </c>
      <c r="R1021" s="14">
        <f t="shared" si="230"/>
        <v>0</v>
      </c>
      <c r="S1021" s="14">
        <f t="shared" si="231"/>
        <v>0</v>
      </c>
    </row>
    <row r="1022" spans="1:19">
      <c r="A1022" s="14" t="str">
        <f t="shared" si="228"/>
        <v>SRY-3-3</v>
      </c>
      <c r="B1022" s="15">
        <f>'Curvas SRY'!$B$10</f>
        <v>3</v>
      </c>
      <c r="C1022" s="15">
        <f>'Curvas SRY'!$E$10</f>
        <v>1.25</v>
      </c>
      <c r="D1022" s="14" t="str">
        <f>'Curvas SRY'!$B$14</f>
        <v>Uso variable</v>
      </c>
      <c r="E1022" s="14">
        <f>59</f>
        <v>59</v>
      </c>
      <c r="F1022" s="21">
        <f>'Hoja 4 - Cálculo'!A83</f>
        <v>31352</v>
      </c>
      <c r="G1022" s="15">
        <f>'Hoja 4 - Cálculo'!H83</f>
        <v>22.22325</v>
      </c>
      <c r="H1022" s="15">
        <f>IF(D1022="Uso único",'Hoja 4 - Cálculo'!I83,IF(D1022="Uso múltiple",AVERAGE('Hoja 4 - Cálculo'!$I$25:$I$384)+AVERAGE('Hoja 4 - Cálculo'!$J$25:$J$384)+AVERAGE('Hoja 4 - Cálculo'!$K$25:$K$384),IF(D1022="Uso prioritario",'Hoja 4 - Cálculo'!I83+'Hoja 4 - Cálculo'!K83,'Hoja 4 - Cálculo'!I83+'Hoja 4 - Cálculo'!J83+'Hoja 4 - Cálculo'!K83)))</f>
        <v>11.5</v>
      </c>
      <c r="I1022" s="15">
        <f t="shared" si="219"/>
        <v>14.375</v>
      </c>
      <c r="J1022" s="15">
        <f t="shared" si="229"/>
        <v>3</v>
      </c>
      <c r="K1022" s="15">
        <f>MIN(J1022+G1022,(J1022+G1022)*'Hoja 4 - Cálculo'!$B$15)</f>
        <v>0.50446500000000005</v>
      </c>
      <c r="L1022" s="15">
        <f t="shared" si="220"/>
        <v>24.718785</v>
      </c>
      <c r="M1022" s="15">
        <f t="shared" si="221"/>
        <v>14.375</v>
      </c>
      <c r="N1022" s="15">
        <f t="shared" si="222"/>
        <v>3</v>
      </c>
      <c r="O1022" s="15">
        <f t="shared" si="223"/>
        <v>7.3437850000000005</v>
      </c>
      <c r="P1022" s="15">
        <f t="shared" si="224"/>
        <v>0</v>
      </c>
      <c r="Q1022" s="14" t="str">
        <f>IF(M1022&gt;=I1022*'Hoja 4 - Cálculo'!$B$16,"Satisfactorio","Falla")</f>
        <v>Satisfactorio</v>
      </c>
      <c r="R1022" s="14">
        <f t="shared" si="230"/>
        <v>0</v>
      </c>
      <c r="S1022" s="14">
        <f t="shared" si="231"/>
        <v>0</v>
      </c>
    </row>
    <row r="1023" spans="1:19">
      <c r="A1023" s="14" t="str">
        <f t="shared" si="228"/>
        <v>SRY-3-3</v>
      </c>
      <c r="B1023" s="15">
        <f>'Curvas SRY'!$B$10</f>
        <v>3</v>
      </c>
      <c r="C1023" s="15">
        <f>'Curvas SRY'!$E$10</f>
        <v>1.25</v>
      </c>
      <c r="D1023" s="14" t="str">
        <f>'Curvas SRY'!$B$14</f>
        <v>Uso variable</v>
      </c>
      <c r="E1023" s="14">
        <f>60</f>
        <v>60</v>
      </c>
      <c r="F1023" s="21">
        <f>'Hoja 4 - Cálculo'!A84</f>
        <v>31382</v>
      </c>
      <c r="G1023" s="15">
        <f>'Hoja 4 - Cálculo'!H84</f>
        <v>14.171625000000001</v>
      </c>
      <c r="H1023" s="15">
        <f>IF(D1023="Uso único",'Hoja 4 - Cálculo'!I84,IF(D1023="Uso múltiple",AVERAGE('Hoja 4 - Cálculo'!$I$25:$I$384)+AVERAGE('Hoja 4 - Cálculo'!$J$25:$J$384)+AVERAGE('Hoja 4 - Cálculo'!$K$25:$K$384),IF(D1023="Uso prioritario",'Hoja 4 - Cálculo'!I84+'Hoja 4 - Cálculo'!K84,'Hoja 4 - Cálculo'!I84+'Hoja 4 - Cálculo'!J84+'Hoja 4 - Cálculo'!K84)))</f>
        <v>16</v>
      </c>
      <c r="I1023" s="15">
        <f t="shared" si="219"/>
        <v>20</v>
      </c>
      <c r="J1023" s="15">
        <f t="shared" si="229"/>
        <v>3</v>
      </c>
      <c r="K1023" s="15">
        <f>MIN(J1023+G1023,(J1023+G1023)*'Hoja 4 - Cálculo'!$B$15)</f>
        <v>0.34343249999999997</v>
      </c>
      <c r="L1023" s="15">
        <f t="shared" si="220"/>
        <v>16.8281925</v>
      </c>
      <c r="M1023" s="15">
        <f t="shared" si="221"/>
        <v>16.8281925</v>
      </c>
      <c r="N1023" s="15">
        <f t="shared" si="222"/>
        <v>0</v>
      </c>
      <c r="O1023" s="15">
        <f t="shared" si="223"/>
        <v>0</v>
      </c>
      <c r="P1023" s="15">
        <f t="shared" si="224"/>
        <v>3.1718074999999999</v>
      </c>
      <c r="Q1023" s="14" t="str">
        <f>IF(M1023&gt;=I1023*'Hoja 4 - Cálculo'!$B$16,"Satisfactorio","Falla")</f>
        <v>Falla</v>
      </c>
      <c r="R1023" s="14">
        <f t="shared" si="230"/>
        <v>0</v>
      </c>
      <c r="S1023" s="14">
        <f t="shared" si="231"/>
        <v>1</v>
      </c>
    </row>
    <row r="1024" spans="1:19">
      <c r="A1024" s="14" t="str">
        <f t="shared" si="228"/>
        <v>SRY-3-3</v>
      </c>
      <c r="B1024" s="15">
        <f>'Curvas SRY'!$B$10</f>
        <v>3</v>
      </c>
      <c r="C1024" s="15">
        <f>'Curvas SRY'!$E$10</f>
        <v>1.25</v>
      </c>
      <c r="D1024" s="14" t="str">
        <f>'Curvas SRY'!$B$14</f>
        <v>Uso variable</v>
      </c>
      <c r="E1024" s="14">
        <f>61</f>
        <v>61</v>
      </c>
      <c r="F1024" s="21">
        <f>'Hoja 4 - Cálculo'!A85</f>
        <v>31413</v>
      </c>
      <c r="G1024" s="15">
        <f>'Hoja 4 - Cálculo'!H85</f>
        <v>12.641624999999999</v>
      </c>
      <c r="H1024" s="15">
        <f>IF(D1024="Uso único",'Hoja 4 - Cálculo'!I85,IF(D1024="Uso múltiple",AVERAGE('Hoja 4 - Cálculo'!$I$25:$I$384)+AVERAGE('Hoja 4 - Cálculo'!$J$25:$J$384)+AVERAGE('Hoja 4 - Cálculo'!$K$25:$K$384),IF(D1024="Uso prioritario",'Hoja 4 - Cálculo'!I85+'Hoja 4 - Cálculo'!K85,'Hoja 4 - Cálculo'!I85+'Hoja 4 - Cálculo'!J85+'Hoja 4 - Cálculo'!K85)))</f>
        <v>16</v>
      </c>
      <c r="I1024" s="15">
        <f t="shared" si="219"/>
        <v>20</v>
      </c>
      <c r="J1024" s="15">
        <f t="shared" si="229"/>
        <v>0</v>
      </c>
      <c r="K1024" s="15">
        <f>MIN(J1024+G1024,(J1024+G1024)*'Hoja 4 - Cálculo'!$B$15)</f>
        <v>0.25283250000000002</v>
      </c>
      <c r="L1024" s="15">
        <f t="shared" si="220"/>
        <v>12.388792499999999</v>
      </c>
      <c r="M1024" s="15">
        <f t="shared" si="221"/>
        <v>12.388792499999999</v>
      </c>
      <c r="N1024" s="15">
        <f t="shared" si="222"/>
        <v>0</v>
      </c>
      <c r="O1024" s="15">
        <f t="shared" si="223"/>
        <v>0</v>
      </c>
      <c r="P1024" s="15">
        <f t="shared" si="224"/>
        <v>7.6112075000000008</v>
      </c>
      <c r="Q1024" s="14" t="str">
        <f>IF(M1024&gt;=I1024*'Hoja 4 - Cálculo'!$B$16,"Satisfactorio","Falla")</f>
        <v>Falla</v>
      </c>
      <c r="R1024" s="14">
        <f t="shared" si="230"/>
        <v>0</v>
      </c>
      <c r="S1024" s="14">
        <f t="shared" si="231"/>
        <v>0</v>
      </c>
    </row>
    <row r="1025" spans="1:19">
      <c r="A1025" s="14" t="str">
        <f t="shared" si="228"/>
        <v>SRY-3-3</v>
      </c>
      <c r="B1025" s="15">
        <f>'Curvas SRY'!$B$10</f>
        <v>3</v>
      </c>
      <c r="C1025" s="15">
        <f>'Curvas SRY'!$E$10</f>
        <v>1.25</v>
      </c>
      <c r="D1025" s="14" t="str">
        <f>'Curvas SRY'!$B$14</f>
        <v>Uso variable</v>
      </c>
      <c r="E1025" s="14">
        <f>62</f>
        <v>62</v>
      </c>
      <c r="F1025" s="21">
        <f>'Hoja 4 - Cálculo'!A86</f>
        <v>31444</v>
      </c>
      <c r="G1025" s="15">
        <f>'Hoja 4 - Cálculo'!H86</f>
        <v>15.357374999999999</v>
      </c>
      <c r="H1025" s="15">
        <f>IF(D1025="Uso único",'Hoja 4 - Cálculo'!I86,IF(D1025="Uso múltiple",AVERAGE('Hoja 4 - Cálculo'!$I$25:$I$384)+AVERAGE('Hoja 4 - Cálculo'!$J$25:$J$384)+AVERAGE('Hoja 4 - Cálculo'!$K$25:$K$384),IF(D1025="Uso prioritario",'Hoja 4 - Cálculo'!I86+'Hoja 4 - Cálculo'!K86,'Hoja 4 - Cálculo'!I86+'Hoja 4 - Cálculo'!J86+'Hoja 4 - Cálculo'!K86)))</f>
        <v>16</v>
      </c>
      <c r="I1025" s="15">
        <f t="shared" si="219"/>
        <v>20</v>
      </c>
      <c r="J1025" s="15">
        <f t="shared" si="229"/>
        <v>0</v>
      </c>
      <c r="K1025" s="15">
        <f>MIN(J1025+G1025,(J1025+G1025)*'Hoja 4 - Cálculo'!$B$15)</f>
        <v>0.30714750000000002</v>
      </c>
      <c r="L1025" s="15">
        <f t="shared" si="220"/>
        <v>15.0502275</v>
      </c>
      <c r="M1025" s="15">
        <f t="shared" si="221"/>
        <v>15.0502275</v>
      </c>
      <c r="N1025" s="15">
        <f t="shared" si="222"/>
        <v>0</v>
      </c>
      <c r="O1025" s="15">
        <f t="shared" si="223"/>
        <v>0</v>
      </c>
      <c r="P1025" s="15">
        <f t="shared" si="224"/>
        <v>4.9497724999999999</v>
      </c>
      <c r="Q1025" s="14" t="str">
        <f>IF(M1025&gt;=I1025*'Hoja 4 - Cálculo'!$B$16,"Satisfactorio","Falla")</f>
        <v>Falla</v>
      </c>
      <c r="R1025" s="14">
        <f t="shared" si="230"/>
        <v>0</v>
      </c>
      <c r="S1025" s="14">
        <f t="shared" si="231"/>
        <v>0</v>
      </c>
    </row>
    <row r="1026" spans="1:19">
      <c r="A1026" s="14" t="str">
        <f t="shared" si="228"/>
        <v>SRY-3-3</v>
      </c>
      <c r="B1026" s="15">
        <f>'Curvas SRY'!$B$10</f>
        <v>3</v>
      </c>
      <c r="C1026" s="15">
        <f>'Curvas SRY'!$E$10</f>
        <v>1.25</v>
      </c>
      <c r="D1026" s="14" t="str">
        <f>'Curvas SRY'!$B$14</f>
        <v>Uso variable</v>
      </c>
      <c r="E1026" s="14">
        <f>63</f>
        <v>63</v>
      </c>
      <c r="F1026" s="21">
        <f>'Hoja 4 - Cálculo'!A87</f>
        <v>31472</v>
      </c>
      <c r="G1026" s="15">
        <f>'Hoja 4 - Cálculo'!H87</f>
        <v>20.846250000000001</v>
      </c>
      <c r="H1026" s="15">
        <f>IF(D1026="Uso único",'Hoja 4 - Cálculo'!I87,IF(D1026="Uso múltiple",AVERAGE('Hoja 4 - Cálculo'!$I$25:$I$384)+AVERAGE('Hoja 4 - Cálculo'!$J$25:$J$384)+AVERAGE('Hoja 4 - Cálculo'!$K$25:$K$384),IF(D1026="Uso prioritario",'Hoja 4 - Cálculo'!I87+'Hoja 4 - Cálculo'!K87,'Hoja 4 - Cálculo'!I87+'Hoja 4 - Cálculo'!J87+'Hoja 4 - Cálculo'!K87)))</f>
        <v>16</v>
      </c>
      <c r="I1026" s="15">
        <f t="shared" si="219"/>
        <v>20</v>
      </c>
      <c r="J1026" s="15">
        <f t="shared" si="229"/>
        <v>0</v>
      </c>
      <c r="K1026" s="15">
        <f>MIN(J1026+G1026,(J1026+G1026)*'Hoja 4 - Cálculo'!$B$15)</f>
        <v>0.41692500000000005</v>
      </c>
      <c r="L1026" s="15">
        <f t="shared" si="220"/>
        <v>20.429325000000002</v>
      </c>
      <c r="M1026" s="15">
        <f t="shared" si="221"/>
        <v>20</v>
      </c>
      <c r="N1026" s="15">
        <f t="shared" si="222"/>
        <v>0.42932500000000218</v>
      </c>
      <c r="O1026" s="15">
        <f t="shared" si="223"/>
        <v>0</v>
      </c>
      <c r="P1026" s="15">
        <f t="shared" si="224"/>
        <v>0</v>
      </c>
      <c r="Q1026" s="14" t="str">
        <f>IF(M1026&gt;=I1026*'Hoja 4 - Cálculo'!$B$16,"Satisfactorio","Falla")</f>
        <v>Satisfactorio</v>
      </c>
      <c r="R1026" s="14">
        <f t="shared" si="230"/>
        <v>1</v>
      </c>
      <c r="S1026" s="14">
        <f t="shared" si="231"/>
        <v>0</v>
      </c>
    </row>
    <row r="1027" spans="1:19">
      <c r="A1027" s="14" t="str">
        <f t="shared" si="228"/>
        <v>SRY-3-3</v>
      </c>
      <c r="B1027" s="15">
        <f>'Curvas SRY'!$B$10</f>
        <v>3</v>
      </c>
      <c r="C1027" s="15">
        <f>'Curvas SRY'!$E$10</f>
        <v>1.25</v>
      </c>
      <c r="D1027" s="14" t="str">
        <f>'Curvas SRY'!$B$14</f>
        <v>Uso variable</v>
      </c>
      <c r="E1027" s="14">
        <f>64</f>
        <v>64</v>
      </c>
      <c r="F1027" s="21">
        <f>'Hoja 4 - Cálculo'!A88</f>
        <v>31503</v>
      </c>
      <c r="G1027" s="15">
        <f>'Hoja 4 - Cálculo'!H88</f>
        <v>30.638249999999999</v>
      </c>
      <c r="H1027" s="15">
        <f>IF(D1027="Uso único",'Hoja 4 - Cálculo'!I88,IF(D1027="Uso múltiple",AVERAGE('Hoja 4 - Cálculo'!$I$25:$I$384)+AVERAGE('Hoja 4 - Cálculo'!$J$25:$J$384)+AVERAGE('Hoja 4 - Cálculo'!$K$25:$K$384),IF(D1027="Uso prioritario",'Hoja 4 - Cálculo'!I88+'Hoja 4 - Cálculo'!K88,'Hoja 4 - Cálculo'!I88+'Hoja 4 - Cálculo'!J88+'Hoja 4 - Cálculo'!K88)))</f>
        <v>11.5</v>
      </c>
      <c r="I1027" s="15">
        <f t="shared" si="219"/>
        <v>14.375</v>
      </c>
      <c r="J1027" s="15">
        <f t="shared" si="229"/>
        <v>0.42932500000000218</v>
      </c>
      <c r="K1027" s="15">
        <f>MIN(J1027+G1027,(J1027+G1027)*'Hoja 4 - Cálculo'!$B$15)</f>
        <v>0.62135150000000006</v>
      </c>
      <c r="L1027" s="15">
        <f t="shared" si="220"/>
        <v>30.446223500000002</v>
      </c>
      <c r="M1027" s="15">
        <f t="shared" si="221"/>
        <v>14.375</v>
      </c>
      <c r="N1027" s="15">
        <f t="shared" si="222"/>
        <v>3</v>
      </c>
      <c r="O1027" s="15">
        <f t="shared" si="223"/>
        <v>13.071223500000002</v>
      </c>
      <c r="P1027" s="15">
        <f t="shared" si="224"/>
        <v>0</v>
      </c>
      <c r="Q1027" s="14" t="str">
        <f>IF(M1027&gt;=I1027*'Hoja 4 - Cálculo'!$B$16,"Satisfactorio","Falla")</f>
        <v>Satisfactorio</v>
      </c>
      <c r="R1027" s="14">
        <f t="shared" si="230"/>
        <v>0</v>
      </c>
      <c r="S1027" s="14">
        <f t="shared" si="231"/>
        <v>0</v>
      </c>
    </row>
    <row r="1028" spans="1:19">
      <c r="A1028" s="14" t="str">
        <f t="shared" ref="A1028:A1059" si="232">"SRY-3-3"</f>
        <v>SRY-3-3</v>
      </c>
      <c r="B1028" s="15">
        <f>'Curvas SRY'!$B$10</f>
        <v>3</v>
      </c>
      <c r="C1028" s="15">
        <f>'Curvas SRY'!$E$10</f>
        <v>1.25</v>
      </c>
      <c r="D1028" s="14" t="str">
        <f>'Curvas SRY'!$B$14</f>
        <v>Uso variable</v>
      </c>
      <c r="E1028" s="14">
        <f>65</f>
        <v>65</v>
      </c>
      <c r="F1028" s="21">
        <f>'Hoja 4 - Cálculo'!A89</f>
        <v>31533</v>
      </c>
      <c r="G1028" s="15">
        <f>'Hoja 4 - Cálculo'!H89</f>
        <v>28.438874999999999</v>
      </c>
      <c r="H1028" s="15">
        <f>IF(D1028="Uso único",'Hoja 4 - Cálculo'!I89,IF(D1028="Uso múltiple",AVERAGE('Hoja 4 - Cálculo'!$I$25:$I$384)+AVERAGE('Hoja 4 - Cálculo'!$J$25:$J$384)+AVERAGE('Hoja 4 - Cálculo'!$K$25:$K$384),IF(D1028="Uso prioritario",'Hoja 4 - Cálculo'!I89+'Hoja 4 - Cálculo'!K89,'Hoja 4 - Cálculo'!I89+'Hoja 4 - Cálculo'!J89+'Hoja 4 - Cálculo'!K89)))</f>
        <v>11.5</v>
      </c>
      <c r="I1028" s="15">
        <f t="shared" ref="I1028:I1091" si="233">H1028*C1028</f>
        <v>14.375</v>
      </c>
      <c r="J1028" s="15">
        <f t="shared" si="229"/>
        <v>3</v>
      </c>
      <c r="K1028" s="15">
        <f>MIN(J1028+G1028,(J1028+G1028)*'Hoja 4 - Cálculo'!$B$15)</f>
        <v>0.62877749999999999</v>
      </c>
      <c r="L1028" s="15">
        <f t="shared" ref="L1028:L1091" si="234">MAX(0,J1028+G1028-K1028)</f>
        <v>30.810097499999998</v>
      </c>
      <c r="M1028" s="15">
        <f t="shared" ref="M1028:M1091" si="235">MIN(I1028,L1028)</f>
        <v>14.375</v>
      </c>
      <c r="N1028" s="15">
        <f t="shared" ref="N1028:N1091" si="236">MIN(B1028,MAX(0,L1028-M1028))</f>
        <v>3</v>
      </c>
      <c r="O1028" s="15">
        <f t="shared" ref="O1028:O1091" si="237">MAX(0,L1028-M1028-B1028)</f>
        <v>13.435097499999998</v>
      </c>
      <c r="P1028" s="15">
        <f t="shared" ref="P1028:P1091" si="238">MAX(0,I1028-M1028)</f>
        <v>0</v>
      </c>
      <c r="Q1028" s="14" t="str">
        <f>IF(M1028&gt;=I1028*'Hoja 4 - Cálculo'!$B$16,"Satisfactorio","Falla")</f>
        <v>Satisfactorio</v>
      </c>
      <c r="R1028" s="14">
        <f t="shared" si="230"/>
        <v>0</v>
      </c>
      <c r="S1028" s="14">
        <f t="shared" si="231"/>
        <v>0</v>
      </c>
    </row>
    <row r="1029" spans="1:19">
      <c r="A1029" s="14" t="str">
        <f t="shared" si="232"/>
        <v>SRY-3-3</v>
      </c>
      <c r="B1029" s="15">
        <f>'Curvas SRY'!$B$10</f>
        <v>3</v>
      </c>
      <c r="C1029" s="15">
        <f>'Curvas SRY'!$E$10</f>
        <v>1.25</v>
      </c>
      <c r="D1029" s="14" t="str">
        <f>'Curvas SRY'!$B$14</f>
        <v>Uso variable</v>
      </c>
      <c r="E1029" s="14">
        <f>66</f>
        <v>66</v>
      </c>
      <c r="F1029" s="21">
        <f>'Hoja 4 - Cálculo'!A90</f>
        <v>31564</v>
      </c>
      <c r="G1029" s="15">
        <f>'Hoja 4 - Cálculo'!H90</f>
        <v>16.007625000000001</v>
      </c>
      <c r="H1029" s="15">
        <f>IF(D1029="Uso único",'Hoja 4 - Cálculo'!I90,IF(D1029="Uso múltiple",AVERAGE('Hoja 4 - Cálculo'!$I$25:$I$384)+AVERAGE('Hoja 4 - Cálculo'!$J$25:$J$384)+AVERAGE('Hoja 4 - Cálculo'!$K$25:$K$384),IF(D1029="Uso prioritario",'Hoja 4 - Cálculo'!I90+'Hoja 4 - Cálculo'!K90,'Hoja 4 - Cálculo'!I90+'Hoja 4 - Cálculo'!J90+'Hoja 4 - Cálculo'!K90)))</f>
        <v>11.5</v>
      </c>
      <c r="I1029" s="15">
        <f t="shared" si="233"/>
        <v>14.375</v>
      </c>
      <c r="J1029" s="15">
        <f t="shared" ref="J1029:J1060" si="239">N1028</f>
        <v>3</v>
      </c>
      <c r="K1029" s="15">
        <f>MIN(J1029+G1029,(J1029+G1029)*'Hoja 4 - Cálculo'!$B$15)</f>
        <v>0.3801525</v>
      </c>
      <c r="L1029" s="15">
        <f t="shared" si="234"/>
        <v>18.6274725</v>
      </c>
      <c r="M1029" s="15">
        <f t="shared" si="235"/>
        <v>14.375</v>
      </c>
      <c r="N1029" s="15">
        <f t="shared" si="236"/>
        <v>3</v>
      </c>
      <c r="O1029" s="15">
        <f t="shared" si="237"/>
        <v>1.2524724999999997</v>
      </c>
      <c r="P1029" s="15">
        <f t="shared" si="238"/>
        <v>0</v>
      </c>
      <c r="Q1029" s="14" t="str">
        <f>IF(M1029&gt;=I1029*'Hoja 4 - Cálculo'!$B$16,"Satisfactorio","Falla")</f>
        <v>Satisfactorio</v>
      </c>
      <c r="R1029" s="14">
        <f t="shared" ref="R1029:R1060" si="240">IF(AND(Q1028="Falla",Q1029="Satisfactorio"),1,0)</f>
        <v>0</v>
      </c>
      <c r="S1029" s="14">
        <f t="shared" ref="S1029:S1060" si="241">IF(AND(Q1029="Falla",Q1028&lt;&gt;"Falla"),1,0)</f>
        <v>0</v>
      </c>
    </row>
    <row r="1030" spans="1:19">
      <c r="A1030" s="14" t="str">
        <f t="shared" si="232"/>
        <v>SRY-3-3</v>
      </c>
      <c r="B1030" s="15">
        <f>'Curvas SRY'!$B$10</f>
        <v>3</v>
      </c>
      <c r="C1030" s="15">
        <f>'Curvas SRY'!$E$10</f>
        <v>1.25</v>
      </c>
      <c r="D1030" s="14" t="str">
        <f>'Curvas SRY'!$B$14</f>
        <v>Uso variable</v>
      </c>
      <c r="E1030" s="14">
        <f>67</f>
        <v>67</v>
      </c>
      <c r="F1030" s="21">
        <f>'Hoja 4 - Cálculo'!A91</f>
        <v>31594</v>
      </c>
      <c r="G1030" s="15">
        <f>'Hoja 4 - Cálculo'!H91</f>
        <v>14.056875</v>
      </c>
      <c r="H1030" s="15">
        <f>IF(D1030="Uso único",'Hoja 4 - Cálculo'!I91,IF(D1030="Uso múltiple",AVERAGE('Hoja 4 - Cálculo'!$I$25:$I$384)+AVERAGE('Hoja 4 - Cálculo'!$J$25:$J$384)+AVERAGE('Hoja 4 - Cálculo'!$K$25:$K$384),IF(D1030="Uso prioritario",'Hoja 4 - Cálculo'!I91+'Hoja 4 - Cálculo'!K91,'Hoja 4 - Cálculo'!I91+'Hoja 4 - Cálculo'!J91+'Hoja 4 - Cálculo'!K91)))</f>
        <v>16</v>
      </c>
      <c r="I1030" s="15">
        <f t="shared" si="233"/>
        <v>20</v>
      </c>
      <c r="J1030" s="15">
        <f t="shared" si="239"/>
        <v>3</v>
      </c>
      <c r="K1030" s="15">
        <f>MIN(J1030+G1030,(J1030+G1030)*'Hoja 4 - Cálculo'!$B$15)</f>
        <v>0.34113749999999998</v>
      </c>
      <c r="L1030" s="15">
        <f t="shared" si="234"/>
        <v>16.715737499999999</v>
      </c>
      <c r="M1030" s="15">
        <f t="shared" si="235"/>
        <v>16.715737499999999</v>
      </c>
      <c r="N1030" s="15">
        <f t="shared" si="236"/>
        <v>0</v>
      </c>
      <c r="O1030" s="15">
        <f t="shared" si="237"/>
        <v>0</v>
      </c>
      <c r="P1030" s="15">
        <f t="shared" si="238"/>
        <v>3.2842625000000005</v>
      </c>
      <c r="Q1030" s="14" t="str">
        <f>IF(M1030&gt;=I1030*'Hoja 4 - Cálculo'!$B$16,"Satisfactorio","Falla")</f>
        <v>Falla</v>
      </c>
      <c r="R1030" s="14">
        <f t="shared" si="240"/>
        <v>0</v>
      </c>
      <c r="S1030" s="14">
        <f t="shared" si="241"/>
        <v>1</v>
      </c>
    </row>
    <row r="1031" spans="1:19">
      <c r="A1031" s="14" t="str">
        <f t="shared" si="232"/>
        <v>SRY-3-3</v>
      </c>
      <c r="B1031" s="15">
        <f>'Curvas SRY'!$B$10</f>
        <v>3</v>
      </c>
      <c r="C1031" s="15">
        <f>'Curvas SRY'!$E$10</f>
        <v>1.25</v>
      </c>
      <c r="D1031" s="14" t="str">
        <f>'Curvas SRY'!$B$14</f>
        <v>Uso variable</v>
      </c>
      <c r="E1031" s="14">
        <f>68</f>
        <v>68</v>
      </c>
      <c r="F1031" s="21">
        <f>'Hoja 4 - Cálculo'!A92</f>
        <v>31625</v>
      </c>
      <c r="G1031" s="15">
        <f>'Hoja 4 - Cálculo'!H92</f>
        <v>15.032249999999999</v>
      </c>
      <c r="H1031" s="15">
        <f>IF(D1031="Uso único",'Hoja 4 - Cálculo'!I92,IF(D1031="Uso múltiple",AVERAGE('Hoja 4 - Cálculo'!$I$25:$I$384)+AVERAGE('Hoja 4 - Cálculo'!$J$25:$J$384)+AVERAGE('Hoja 4 - Cálculo'!$K$25:$K$384),IF(D1031="Uso prioritario",'Hoja 4 - Cálculo'!I92+'Hoja 4 - Cálculo'!K92,'Hoja 4 - Cálculo'!I92+'Hoja 4 - Cálculo'!J92+'Hoja 4 - Cálculo'!K92)))</f>
        <v>16</v>
      </c>
      <c r="I1031" s="15">
        <f t="shared" si="233"/>
        <v>20</v>
      </c>
      <c r="J1031" s="15">
        <f t="shared" si="239"/>
        <v>0</v>
      </c>
      <c r="K1031" s="15">
        <f>MIN(J1031+G1031,(J1031+G1031)*'Hoja 4 - Cálculo'!$B$15)</f>
        <v>0.300645</v>
      </c>
      <c r="L1031" s="15">
        <f t="shared" si="234"/>
        <v>14.731605</v>
      </c>
      <c r="M1031" s="15">
        <f t="shared" si="235"/>
        <v>14.731605</v>
      </c>
      <c r="N1031" s="15">
        <f t="shared" si="236"/>
        <v>0</v>
      </c>
      <c r="O1031" s="15">
        <f t="shared" si="237"/>
        <v>0</v>
      </c>
      <c r="P1031" s="15">
        <f t="shared" si="238"/>
        <v>5.2683949999999999</v>
      </c>
      <c r="Q1031" s="14" t="str">
        <f>IF(M1031&gt;=I1031*'Hoja 4 - Cálculo'!$B$16,"Satisfactorio","Falla")</f>
        <v>Falla</v>
      </c>
      <c r="R1031" s="14">
        <f t="shared" si="240"/>
        <v>0</v>
      </c>
      <c r="S1031" s="14">
        <f t="shared" si="241"/>
        <v>0</v>
      </c>
    </row>
    <row r="1032" spans="1:19">
      <c r="A1032" s="14" t="str">
        <f t="shared" si="232"/>
        <v>SRY-3-3</v>
      </c>
      <c r="B1032" s="15">
        <f>'Curvas SRY'!$B$10</f>
        <v>3</v>
      </c>
      <c r="C1032" s="15">
        <f>'Curvas SRY'!$E$10</f>
        <v>1.25</v>
      </c>
      <c r="D1032" s="14" t="str">
        <f>'Curvas SRY'!$B$14</f>
        <v>Uso variable</v>
      </c>
      <c r="E1032" s="14">
        <f>69</f>
        <v>69</v>
      </c>
      <c r="F1032" s="21">
        <f>'Hoja 4 - Cálculo'!A93</f>
        <v>31656</v>
      </c>
      <c r="G1032" s="15">
        <f>'Hoja 4 - Cálculo'!H93</f>
        <v>22.60575</v>
      </c>
      <c r="H1032" s="15">
        <f>IF(D1032="Uso único",'Hoja 4 - Cálculo'!I93,IF(D1032="Uso múltiple",AVERAGE('Hoja 4 - Cálculo'!$I$25:$I$384)+AVERAGE('Hoja 4 - Cálculo'!$J$25:$J$384)+AVERAGE('Hoja 4 - Cálculo'!$K$25:$K$384),IF(D1032="Uso prioritario",'Hoja 4 - Cálculo'!I93+'Hoja 4 - Cálculo'!K93,'Hoja 4 - Cálculo'!I93+'Hoja 4 - Cálculo'!J93+'Hoja 4 - Cálculo'!K93)))</f>
        <v>11.5</v>
      </c>
      <c r="I1032" s="15">
        <f t="shared" si="233"/>
        <v>14.375</v>
      </c>
      <c r="J1032" s="15">
        <f t="shared" si="239"/>
        <v>0</v>
      </c>
      <c r="K1032" s="15">
        <f>MIN(J1032+G1032,(J1032+G1032)*'Hoja 4 - Cálculo'!$B$15)</f>
        <v>0.45211500000000004</v>
      </c>
      <c r="L1032" s="15">
        <f t="shared" si="234"/>
        <v>22.153635000000001</v>
      </c>
      <c r="M1032" s="15">
        <f t="shared" si="235"/>
        <v>14.375</v>
      </c>
      <c r="N1032" s="15">
        <f t="shared" si="236"/>
        <v>3</v>
      </c>
      <c r="O1032" s="15">
        <f t="shared" si="237"/>
        <v>4.7786350000000013</v>
      </c>
      <c r="P1032" s="15">
        <f t="shared" si="238"/>
        <v>0</v>
      </c>
      <c r="Q1032" s="14" t="str">
        <f>IF(M1032&gt;=I1032*'Hoja 4 - Cálculo'!$B$16,"Satisfactorio","Falla")</f>
        <v>Satisfactorio</v>
      </c>
      <c r="R1032" s="14">
        <f t="shared" si="240"/>
        <v>1</v>
      </c>
      <c r="S1032" s="14">
        <f t="shared" si="241"/>
        <v>0</v>
      </c>
    </row>
    <row r="1033" spans="1:19">
      <c r="A1033" s="14" t="str">
        <f t="shared" si="232"/>
        <v>SRY-3-3</v>
      </c>
      <c r="B1033" s="15">
        <f>'Curvas SRY'!$B$10</f>
        <v>3</v>
      </c>
      <c r="C1033" s="15">
        <f>'Curvas SRY'!$E$10</f>
        <v>1.25</v>
      </c>
      <c r="D1033" s="14" t="str">
        <f>'Curvas SRY'!$B$14</f>
        <v>Uso variable</v>
      </c>
      <c r="E1033" s="14">
        <f>70</f>
        <v>70</v>
      </c>
      <c r="F1033" s="21">
        <f>'Hoja 4 - Cálculo'!A94</f>
        <v>31686</v>
      </c>
      <c r="G1033" s="15">
        <f>'Hoja 4 - Cálculo'!H94</f>
        <v>32.531624999999998</v>
      </c>
      <c r="H1033" s="15">
        <f>IF(D1033="Uso único",'Hoja 4 - Cálculo'!I94,IF(D1033="Uso múltiple",AVERAGE('Hoja 4 - Cálculo'!$I$25:$I$384)+AVERAGE('Hoja 4 - Cálculo'!$J$25:$J$384)+AVERAGE('Hoja 4 - Cálculo'!$K$25:$K$384),IF(D1033="Uso prioritario",'Hoja 4 - Cálculo'!I94+'Hoja 4 - Cálculo'!K94,'Hoja 4 - Cálculo'!I94+'Hoja 4 - Cálculo'!J94+'Hoja 4 - Cálculo'!K94)))</f>
        <v>11.5</v>
      </c>
      <c r="I1033" s="15">
        <f t="shared" si="233"/>
        <v>14.375</v>
      </c>
      <c r="J1033" s="15">
        <f t="shared" si="239"/>
        <v>3</v>
      </c>
      <c r="K1033" s="15">
        <f>MIN(J1033+G1033,(J1033+G1033)*'Hoja 4 - Cálculo'!$B$15)</f>
        <v>0.7106325</v>
      </c>
      <c r="L1033" s="15">
        <f t="shared" si="234"/>
        <v>34.820992499999996</v>
      </c>
      <c r="M1033" s="15">
        <f t="shared" si="235"/>
        <v>14.375</v>
      </c>
      <c r="N1033" s="15">
        <f t="shared" si="236"/>
        <v>3</v>
      </c>
      <c r="O1033" s="15">
        <f t="shared" si="237"/>
        <v>17.445992499999996</v>
      </c>
      <c r="P1033" s="15">
        <f t="shared" si="238"/>
        <v>0</v>
      </c>
      <c r="Q1033" s="14" t="str">
        <f>IF(M1033&gt;=I1033*'Hoja 4 - Cálculo'!$B$16,"Satisfactorio","Falla")</f>
        <v>Satisfactorio</v>
      </c>
      <c r="R1033" s="14">
        <f t="shared" si="240"/>
        <v>0</v>
      </c>
      <c r="S1033" s="14">
        <f t="shared" si="241"/>
        <v>0</v>
      </c>
    </row>
    <row r="1034" spans="1:19">
      <c r="A1034" s="14" t="str">
        <f t="shared" si="232"/>
        <v>SRY-3-3</v>
      </c>
      <c r="B1034" s="15">
        <f>'Curvas SRY'!$B$10</f>
        <v>3</v>
      </c>
      <c r="C1034" s="15">
        <f>'Curvas SRY'!$E$10</f>
        <v>1.25</v>
      </c>
      <c r="D1034" s="14" t="str">
        <f>'Curvas SRY'!$B$14</f>
        <v>Uso variable</v>
      </c>
      <c r="E1034" s="14">
        <f>71</f>
        <v>71</v>
      </c>
      <c r="F1034" s="21">
        <f>'Hoja 4 - Cálculo'!A95</f>
        <v>31717</v>
      </c>
      <c r="G1034" s="15">
        <f>'Hoja 4 - Cálculo'!H95</f>
        <v>26.641124999999999</v>
      </c>
      <c r="H1034" s="15">
        <f>IF(D1034="Uso único",'Hoja 4 - Cálculo'!I95,IF(D1034="Uso múltiple",AVERAGE('Hoja 4 - Cálculo'!$I$25:$I$384)+AVERAGE('Hoja 4 - Cálculo'!$J$25:$J$384)+AVERAGE('Hoja 4 - Cálculo'!$K$25:$K$384),IF(D1034="Uso prioritario",'Hoja 4 - Cálculo'!I95+'Hoja 4 - Cálculo'!K95,'Hoja 4 - Cálculo'!I95+'Hoja 4 - Cálculo'!J95+'Hoja 4 - Cálculo'!K95)))</f>
        <v>11.5</v>
      </c>
      <c r="I1034" s="15">
        <f t="shared" si="233"/>
        <v>14.375</v>
      </c>
      <c r="J1034" s="15">
        <f t="shared" si="239"/>
        <v>3</v>
      </c>
      <c r="K1034" s="15">
        <f>MIN(J1034+G1034,(J1034+G1034)*'Hoja 4 - Cálculo'!$B$15)</f>
        <v>0.59282250000000003</v>
      </c>
      <c r="L1034" s="15">
        <f t="shared" si="234"/>
        <v>29.048302499999998</v>
      </c>
      <c r="M1034" s="15">
        <f t="shared" si="235"/>
        <v>14.375</v>
      </c>
      <c r="N1034" s="15">
        <f t="shared" si="236"/>
        <v>3</v>
      </c>
      <c r="O1034" s="15">
        <f t="shared" si="237"/>
        <v>11.673302499999998</v>
      </c>
      <c r="P1034" s="15">
        <f t="shared" si="238"/>
        <v>0</v>
      </c>
      <c r="Q1034" s="14" t="str">
        <f>IF(M1034&gt;=I1034*'Hoja 4 - Cálculo'!$B$16,"Satisfactorio","Falla")</f>
        <v>Satisfactorio</v>
      </c>
      <c r="R1034" s="14">
        <f t="shared" si="240"/>
        <v>0</v>
      </c>
      <c r="S1034" s="14">
        <f t="shared" si="241"/>
        <v>0</v>
      </c>
    </row>
    <row r="1035" spans="1:19">
      <c r="A1035" s="14" t="str">
        <f t="shared" si="232"/>
        <v>SRY-3-3</v>
      </c>
      <c r="B1035" s="15">
        <f>'Curvas SRY'!$B$10</f>
        <v>3</v>
      </c>
      <c r="C1035" s="15">
        <f>'Curvas SRY'!$E$10</f>
        <v>1.25</v>
      </c>
      <c r="D1035" s="14" t="str">
        <f>'Curvas SRY'!$B$14</f>
        <v>Uso variable</v>
      </c>
      <c r="E1035" s="14">
        <f>72</f>
        <v>72</v>
      </c>
      <c r="F1035" s="21">
        <f>'Hoja 4 - Cálculo'!A96</f>
        <v>31747</v>
      </c>
      <c r="G1035" s="15">
        <f>'Hoja 4 - Cálculo'!H96</f>
        <v>15.166124999999999</v>
      </c>
      <c r="H1035" s="15">
        <f>IF(D1035="Uso único",'Hoja 4 - Cálculo'!I96,IF(D1035="Uso múltiple",AVERAGE('Hoja 4 - Cálculo'!$I$25:$I$384)+AVERAGE('Hoja 4 - Cálculo'!$J$25:$J$384)+AVERAGE('Hoja 4 - Cálculo'!$K$25:$K$384),IF(D1035="Uso prioritario",'Hoja 4 - Cálculo'!I96+'Hoja 4 - Cálculo'!K96,'Hoja 4 - Cálculo'!I96+'Hoja 4 - Cálculo'!J96+'Hoja 4 - Cálculo'!K96)))</f>
        <v>16</v>
      </c>
      <c r="I1035" s="15">
        <f t="shared" si="233"/>
        <v>20</v>
      </c>
      <c r="J1035" s="15">
        <f t="shared" si="239"/>
        <v>3</v>
      </c>
      <c r="K1035" s="15">
        <f>MIN(J1035+G1035,(J1035+G1035)*'Hoja 4 - Cálculo'!$B$15)</f>
        <v>0.36332250000000005</v>
      </c>
      <c r="L1035" s="15">
        <f t="shared" si="234"/>
        <v>17.802802500000002</v>
      </c>
      <c r="M1035" s="15">
        <f t="shared" si="235"/>
        <v>17.802802500000002</v>
      </c>
      <c r="N1035" s="15">
        <f t="shared" si="236"/>
        <v>0</v>
      </c>
      <c r="O1035" s="15">
        <f t="shared" si="237"/>
        <v>0</v>
      </c>
      <c r="P1035" s="15">
        <f t="shared" si="238"/>
        <v>2.1971974999999979</v>
      </c>
      <c r="Q1035" s="14" t="str">
        <f>IF(M1035&gt;=I1035*'Hoja 4 - Cálculo'!$B$16,"Satisfactorio","Falla")</f>
        <v>Falla</v>
      </c>
      <c r="R1035" s="14">
        <f t="shared" si="240"/>
        <v>0</v>
      </c>
      <c r="S1035" s="14">
        <f t="shared" si="241"/>
        <v>1</v>
      </c>
    </row>
    <row r="1036" spans="1:19">
      <c r="A1036" s="14" t="str">
        <f t="shared" si="232"/>
        <v>SRY-3-3</v>
      </c>
      <c r="B1036" s="15">
        <f>'Curvas SRY'!$B$10</f>
        <v>3</v>
      </c>
      <c r="C1036" s="15">
        <f>'Curvas SRY'!$E$10</f>
        <v>1.25</v>
      </c>
      <c r="D1036" s="14" t="str">
        <f>'Curvas SRY'!$B$14</f>
        <v>Uso variable</v>
      </c>
      <c r="E1036" s="14">
        <f>73</f>
        <v>73</v>
      </c>
      <c r="F1036" s="21">
        <f>'Hoja 4 - Cálculo'!A97</f>
        <v>31778</v>
      </c>
      <c r="G1036" s="15">
        <f>'Hoja 4 - Cálculo'!H97</f>
        <v>14.056875</v>
      </c>
      <c r="H1036" s="15">
        <f>IF(D1036="Uso único",'Hoja 4 - Cálculo'!I97,IF(D1036="Uso múltiple",AVERAGE('Hoja 4 - Cálculo'!$I$25:$I$384)+AVERAGE('Hoja 4 - Cálculo'!$J$25:$J$384)+AVERAGE('Hoja 4 - Cálculo'!$K$25:$K$384),IF(D1036="Uso prioritario",'Hoja 4 - Cálculo'!I97+'Hoja 4 - Cálculo'!K97,'Hoja 4 - Cálculo'!I97+'Hoja 4 - Cálculo'!J97+'Hoja 4 - Cálculo'!K97)))</f>
        <v>16</v>
      </c>
      <c r="I1036" s="15">
        <f t="shared" si="233"/>
        <v>20</v>
      </c>
      <c r="J1036" s="15">
        <f t="shared" si="239"/>
        <v>0</v>
      </c>
      <c r="K1036" s="15">
        <f>MIN(J1036+G1036,(J1036+G1036)*'Hoja 4 - Cálculo'!$B$15)</f>
        <v>0.28113749999999998</v>
      </c>
      <c r="L1036" s="15">
        <f t="shared" si="234"/>
        <v>13.7757375</v>
      </c>
      <c r="M1036" s="15">
        <f t="shared" si="235"/>
        <v>13.7757375</v>
      </c>
      <c r="N1036" s="15">
        <f t="shared" si="236"/>
        <v>0</v>
      </c>
      <c r="O1036" s="15">
        <f t="shared" si="237"/>
        <v>0</v>
      </c>
      <c r="P1036" s="15">
        <f t="shared" si="238"/>
        <v>6.2242625</v>
      </c>
      <c r="Q1036" s="14" t="str">
        <f>IF(M1036&gt;=I1036*'Hoja 4 - Cálculo'!$B$16,"Satisfactorio","Falla")</f>
        <v>Falla</v>
      </c>
      <c r="R1036" s="14">
        <f t="shared" si="240"/>
        <v>0</v>
      </c>
      <c r="S1036" s="14">
        <f t="shared" si="241"/>
        <v>0</v>
      </c>
    </row>
    <row r="1037" spans="1:19">
      <c r="A1037" s="14" t="str">
        <f t="shared" si="232"/>
        <v>SRY-3-3</v>
      </c>
      <c r="B1037" s="15">
        <f>'Curvas SRY'!$B$10</f>
        <v>3</v>
      </c>
      <c r="C1037" s="15">
        <f>'Curvas SRY'!$E$10</f>
        <v>1.25</v>
      </c>
      <c r="D1037" s="14" t="str">
        <f>'Curvas SRY'!$B$14</f>
        <v>Uso variable</v>
      </c>
      <c r="E1037" s="14">
        <f>74</f>
        <v>74</v>
      </c>
      <c r="F1037" s="21">
        <f>'Hoja 4 - Cálculo'!A98</f>
        <v>31809</v>
      </c>
      <c r="G1037" s="15">
        <f>'Hoja 4 - Cálculo'!H98</f>
        <v>15.969374999999999</v>
      </c>
      <c r="H1037" s="15">
        <f>IF(D1037="Uso único",'Hoja 4 - Cálculo'!I98,IF(D1037="Uso múltiple",AVERAGE('Hoja 4 - Cálculo'!$I$25:$I$384)+AVERAGE('Hoja 4 - Cálculo'!$J$25:$J$384)+AVERAGE('Hoja 4 - Cálculo'!$K$25:$K$384),IF(D1037="Uso prioritario",'Hoja 4 - Cálculo'!I98+'Hoja 4 - Cálculo'!K98,'Hoja 4 - Cálculo'!I98+'Hoja 4 - Cálculo'!J98+'Hoja 4 - Cálculo'!K98)))</f>
        <v>16</v>
      </c>
      <c r="I1037" s="15">
        <f t="shared" si="233"/>
        <v>20</v>
      </c>
      <c r="J1037" s="15">
        <f t="shared" si="239"/>
        <v>0</v>
      </c>
      <c r="K1037" s="15">
        <f>MIN(J1037+G1037,(J1037+G1037)*'Hoja 4 - Cálculo'!$B$15)</f>
        <v>0.31938749999999999</v>
      </c>
      <c r="L1037" s="15">
        <f t="shared" si="234"/>
        <v>15.6499875</v>
      </c>
      <c r="M1037" s="15">
        <f t="shared" si="235"/>
        <v>15.6499875</v>
      </c>
      <c r="N1037" s="15">
        <f t="shared" si="236"/>
        <v>0</v>
      </c>
      <c r="O1037" s="15">
        <f t="shared" si="237"/>
        <v>0</v>
      </c>
      <c r="P1037" s="15">
        <f t="shared" si="238"/>
        <v>4.3500125000000001</v>
      </c>
      <c r="Q1037" s="14" t="str">
        <f>IF(M1037&gt;=I1037*'Hoja 4 - Cálculo'!$B$16,"Satisfactorio","Falla")</f>
        <v>Falla</v>
      </c>
      <c r="R1037" s="14">
        <f t="shared" si="240"/>
        <v>0</v>
      </c>
      <c r="S1037" s="14">
        <f t="shared" si="241"/>
        <v>0</v>
      </c>
    </row>
    <row r="1038" spans="1:19">
      <c r="A1038" s="14" t="str">
        <f t="shared" si="232"/>
        <v>SRY-3-3</v>
      </c>
      <c r="B1038" s="15">
        <f>'Curvas SRY'!$B$10</f>
        <v>3</v>
      </c>
      <c r="C1038" s="15">
        <f>'Curvas SRY'!$E$10</f>
        <v>1.25</v>
      </c>
      <c r="D1038" s="14" t="str">
        <f>'Curvas SRY'!$B$14</f>
        <v>Uso variable</v>
      </c>
      <c r="E1038" s="14">
        <f>75</f>
        <v>75</v>
      </c>
      <c r="F1038" s="21">
        <f>'Hoja 4 - Cálculo'!A99</f>
        <v>31837</v>
      </c>
      <c r="G1038" s="15">
        <f>'Hoja 4 - Cálculo'!H99</f>
        <v>22.797000000000001</v>
      </c>
      <c r="H1038" s="15">
        <f>IF(D1038="Uso único",'Hoja 4 - Cálculo'!I99,IF(D1038="Uso múltiple",AVERAGE('Hoja 4 - Cálculo'!$I$25:$I$384)+AVERAGE('Hoja 4 - Cálculo'!$J$25:$J$384)+AVERAGE('Hoja 4 - Cálculo'!$K$25:$K$384),IF(D1038="Uso prioritario",'Hoja 4 - Cálculo'!I99+'Hoja 4 - Cálculo'!K99,'Hoja 4 - Cálculo'!I99+'Hoja 4 - Cálculo'!J99+'Hoja 4 - Cálculo'!K99)))</f>
        <v>16</v>
      </c>
      <c r="I1038" s="15">
        <f t="shared" si="233"/>
        <v>20</v>
      </c>
      <c r="J1038" s="15">
        <f t="shared" si="239"/>
        <v>0</v>
      </c>
      <c r="K1038" s="15">
        <f>MIN(J1038+G1038,(J1038+G1038)*'Hoja 4 - Cálculo'!$B$15)</f>
        <v>0.45594000000000001</v>
      </c>
      <c r="L1038" s="15">
        <f t="shared" si="234"/>
        <v>22.341059999999999</v>
      </c>
      <c r="M1038" s="15">
        <f t="shared" si="235"/>
        <v>20</v>
      </c>
      <c r="N1038" s="15">
        <f t="shared" si="236"/>
        <v>2.3410599999999988</v>
      </c>
      <c r="O1038" s="15">
        <f t="shared" si="237"/>
        <v>0</v>
      </c>
      <c r="P1038" s="15">
        <f t="shared" si="238"/>
        <v>0</v>
      </c>
      <c r="Q1038" s="14" t="str">
        <f>IF(M1038&gt;=I1038*'Hoja 4 - Cálculo'!$B$16,"Satisfactorio","Falla")</f>
        <v>Satisfactorio</v>
      </c>
      <c r="R1038" s="14">
        <f t="shared" si="240"/>
        <v>1</v>
      </c>
      <c r="S1038" s="14">
        <f t="shared" si="241"/>
        <v>0</v>
      </c>
    </row>
    <row r="1039" spans="1:19">
      <c r="A1039" s="14" t="str">
        <f t="shared" si="232"/>
        <v>SRY-3-3</v>
      </c>
      <c r="B1039" s="15">
        <f>'Curvas SRY'!$B$10</f>
        <v>3</v>
      </c>
      <c r="C1039" s="15">
        <f>'Curvas SRY'!$E$10</f>
        <v>1.25</v>
      </c>
      <c r="D1039" s="14" t="str">
        <f>'Curvas SRY'!$B$14</f>
        <v>Uso variable</v>
      </c>
      <c r="E1039" s="14">
        <f>76</f>
        <v>76</v>
      </c>
      <c r="F1039" s="21">
        <f>'Hoja 4 - Cálculo'!A100</f>
        <v>31868</v>
      </c>
      <c r="G1039" s="15">
        <f>'Hoja 4 - Cálculo'!H100</f>
        <v>34.138125000000002</v>
      </c>
      <c r="H1039" s="15">
        <f>IF(D1039="Uso único",'Hoja 4 - Cálculo'!I100,IF(D1039="Uso múltiple",AVERAGE('Hoja 4 - Cálculo'!$I$25:$I$384)+AVERAGE('Hoja 4 - Cálculo'!$J$25:$J$384)+AVERAGE('Hoja 4 - Cálculo'!$K$25:$K$384),IF(D1039="Uso prioritario",'Hoja 4 - Cálculo'!I100+'Hoja 4 - Cálculo'!K100,'Hoja 4 - Cálculo'!I100+'Hoja 4 - Cálculo'!J100+'Hoja 4 - Cálculo'!K100)))</f>
        <v>11.5</v>
      </c>
      <c r="I1039" s="15">
        <f t="shared" si="233"/>
        <v>14.375</v>
      </c>
      <c r="J1039" s="15">
        <f t="shared" si="239"/>
        <v>2.3410599999999988</v>
      </c>
      <c r="K1039" s="15">
        <f>MIN(J1039+G1039,(J1039+G1039)*'Hoja 4 - Cálculo'!$B$15)</f>
        <v>0.72958370000000006</v>
      </c>
      <c r="L1039" s="15">
        <f t="shared" si="234"/>
        <v>35.749601300000002</v>
      </c>
      <c r="M1039" s="15">
        <f t="shared" si="235"/>
        <v>14.375</v>
      </c>
      <c r="N1039" s="15">
        <f t="shared" si="236"/>
        <v>3</v>
      </c>
      <c r="O1039" s="15">
        <f t="shared" si="237"/>
        <v>18.374601300000002</v>
      </c>
      <c r="P1039" s="15">
        <f t="shared" si="238"/>
        <v>0</v>
      </c>
      <c r="Q1039" s="14" t="str">
        <f>IF(M1039&gt;=I1039*'Hoja 4 - Cálculo'!$B$16,"Satisfactorio","Falla")</f>
        <v>Satisfactorio</v>
      </c>
      <c r="R1039" s="14">
        <f t="shared" si="240"/>
        <v>0</v>
      </c>
      <c r="S1039" s="14">
        <f t="shared" si="241"/>
        <v>0</v>
      </c>
    </row>
    <row r="1040" spans="1:19">
      <c r="A1040" s="14" t="str">
        <f t="shared" si="232"/>
        <v>SRY-3-3</v>
      </c>
      <c r="B1040" s="15">
        <f>'Curvas SRY'!$B$10</f>
        <v>3</v>
      </c>
      <c r="C1040" s="15">
        <f>'Curvas SRY'!$E$10</f>
        <v>1.25</v>
      </c>
      <c r="D1040" s="14" t="str">
        <f>'Curvas SRY'!$B$14</f>
        <v>Uso variable</v>
      </c>
      <c r="E1040" s="14">
        <f>77</f>
        <v>77</v>
      </c>
      <c r="F1040" s="21">
        <f>'Hoja 4 - Cálculo'!A101</f>
        <v>31898</v>
      </c>
      <c r="G1040" s="15">
        <f>'Hoja 4 - Cálculo'!H101</f>
        <v>28.534500000000001</v>
      </c>
      <c r="H1040" s="15">
        <f>IF(D1040="Uso único",'Hoja 4 - Cálculo'!I101,IF(D1040="Uso múltiple",AVERAGE('Hoja 4 - Cálculo'!$I$25:$I$384)+AVERAGE('Hoja 4 - Cálculo'!$J$25:$J$384)+AVERAGE('Hoja 4 - Cálculo'!$K$25:$K$384),IF(D1040="Uso prioritario",'Hoja 4 - Cálculo'!I101+'Hoja 4 - Cálculo'!K101,'Hoja 4 - Cálculo'!I101+'Hoja 4 - Cálculo'!J101+'Hoja 4 - Cálculo'!K101)))</f>
        <v>11.5</v>
      </c>
      <c r="I1040" s="15">
        <f t="shared" si="233"/>
        <v>14.375</v>
      </c>
      <c r="J1040" s="15">
        <f t="shared" si="239"/>
        <v>3</v>
      </c>
      <c r="K1040" s="15">
        <f>MIN(J1040+G1040,(J1040+G1040)*'Hoja 4 - Cálculo'!$B$15)</f>
        <v>0.63069000000000008</v>
      </c>
      <c r="L1040" s="15">
        <f t="shared" si="234"/>
        <v>30.90381</v>
      </c>
      <c r="M1040" s="15">
        <f t="shared" si="235"/>
        <v>14.375</v>
      </c>
      <c r="N1040" s="15">
        <f t="shared" si="236"/>
        <v>3</v>
      </c>
      <c r="O1040" s="15">
        <f t="shared" si="237"/>
        <v>13.52881</v>
      </c>
      <c r="P1040" s="15">
        <f t="shared" si="238"/>
        <v>0</v>
      </c>
      <c r="Q1040" s="14" t="str">
        <f>IF(M1040&gt;=I1040*'Hoja 4 - Cálculo'!$B$16,"Satisfactorio","Falla")</f>
        <v>Satisfactorio</v>
      </c>
      <c r="R1040" s="14">
        <f t="shared" si="240"/>
        <v>0</v>
      </c>
      <c r="S1040" s="14">
        <f t="shared" si="241"/>
        <v>0</v>
      </c>
    </row>
    <row r="1041" spans="1:19">
      <c r="A1041" s="14" t="str">
        <f t="shared" si="232"/>
        <v>SRY-3-3</v>
      </c>
      <c r="B1041" s="15">
        <f>'Curvas SRY'!$B$10</f>
        <v>3</v>
      </c>
      <c r="C1041" s="15">
        <f>'Curvas SRY'!$E$10</f>
        <v>1.25</v>
      </c>
      <c r="D1041" s="14" t="str">
        <f>'Curvas SRY'!$B$14</f>
        <v>Uso variable</v>
      </c>
      <c r="E1041" s="14">
        <f>78</f>
        <v>78</v>
      </c>
      <c r="F1041" s="21">
        <f>'Hoja 4 - Cálculo'!A102</f>
        <v>31929</v>
      </c>
      <c r="G1041" s="15">
        <f>'Hoja 4 - Cálculo'!H102</f>
        <v>18.589500000000001</v>
      </c>
      <c r="H1041" s="15">
        <f>IF(D1041="Uso único",'Hoja 4 - Cálculo'!I102,IF(D1041="Uso múltiple",AVERAGE('Hoja 4 - Cálculo'!$I$25:$I$384)+AVERAGE('Hoja 4 - Cálculo'!$J$25:$J$384)+AVERAGE('Hoja 4 - Cálculo'!$K$25:$K$384),IF(D1041="Uso prioritario",'Hoja 4 - Cálculo'!I102+'Hoja 4 - Cálculo'!K102,'Hoja 4 - Cálculo'!I102+'Hoja 4 - Cálculo'!J102+'Hoja 4 - Cálculo'!K102)))</f>
        <v>11.5</v>
      </c>
      <c r="I1041" s="15">
        <f t="shared" si="233"/>
        <v>14.375</v>
      </c>
      <c r="J1041" s="15">
        <f t="shared" si="239"/>
        <v>3</v>
      </c>
      <c r="K1041" s="15">
        <f>MIN(J1041+G1041,(J1041+G1041)*'Hoja 4 - Cálculo'!$B$15)</f>
        <v>0.43179000000000001</v>
      </c>
      <c r="L1041" s="15">
        <f t="shared" si="234"/>
        <v>21.157710000000002</v>
      </c>
      <c r="M1041" s="15">
        <f t="shared" si="235"/>
        <v>14.375</v>
      </c>
      <c r="N1041" s="15">
        <f t="shared" si="236"/>
        <v>3</v>
      </c>
      <c r="O1041" s="15">
        <f t="shared" si="237"/>
        <v>3.7827100000000016</v>
      </c>
      <c r="P1041" s="15">
        <f t="shared" si="238"/>
        <v>0</v>
      </c>
      <c r="Q1041" s="14" t="str">
        <f>IF(M1041&gt;=I1041*'Hoja 4 - Cálculo'!$B$16,"Satisfactorio","Falla")</f>
        <v>Satisfactorio</v>
      </c>
      <c r="R1041" s="14">
        <f t="shared" si="240"/>
        <v>0</v>
      </c>
      <c r="S1041" s="14">
        <f t="shared" si="241"/>
        <v>0</v>
      </c>
    </row>
    <row r="1042" spans="1:19">
      <c r="A1042" s="14" t="str">
        <f t="shared" si="232"/>
        <v>SRY-3-3</v>
      </c>
      <c r="B1042" s="15">
        <f>'Curvas SRY'!$B$10</f>
        <v>3</v>
      </c>
      <c r="C1042" s="15">
        <f>'Curvas SRY'!$E$10</f>
        <v>1.25</v>
      </c>
      <c r="D1042" s="14" t="str">
        <f>'Curvas SRY'!$B$14</f>
        <v>Uso variable</v>
      </c>
      <c r="E1042" s="14">
        <f>79</f>
        <v>79</v>
      </c>
      <c r="F1042" s="21">
        <f>'Hoja 4 - Cálculo'!A103</f>
        <v>31959</v>
      </c>
      <c r="G1042" s="15">
        <f>'Hoja 4 - Cálculo'!H103</f>
        <v>14.688000000000001</v>
      </c>
      <c r="H1042" s="15">
        <f>IF(D1042="Uso único",'Hoja 4 - Cálculo'!I103,IF(D1042="Uso múltiple",AVERAGE('Hoja 4 - Cálculo'!$I$25:$I$384)+AVERAGE('Hoja 4 - Cálculo'!$J$25:$J$384)+AVERAGE('Hoja 4 - Cálculo'!$K$25:$K$384),IF(D1042="Uso prioritario",'Hoja 4 - Cálculo'!I103+'Hoja 4 - Cálculo'!K103,'Hoja 4 - Cálculo'!I103+'Hoja 4 - Cálculo'!J103+'Hoja 4 - Cálculo'!K103)))</f>
        <v>16</v>
      </c>
      <c r="I1042" s="15">
        <f t="shared" si="233"/>
        <v>20</v>
      </c>
      <c r="J1042" s="15">
        <f t="shared" si="239"/>
        <v>3</v>
      </c>
      <c r="K1042" s="15">
        <f>MIN(J1042+G1042,(J1042+G1042)*'Hoja 4 - Cálculo'!$B$15)</f>
        <v>0.35376000000000007</v>
      </c>
      <c r="L1042" s="15">
        <f t="shared" si="234"/>
        <v>17.334240000000001</v>
      </c>
      <c r="M1042" s="15">
        <f t="shared" si="235"/>
        <v>17.334240000000001</v>
      </c>
      <c r="N1042" s="15">
        <f t="shared" si="236"/>
        <v>0</v>
      </c>
      <c r="O1042" s="15">
        <f t="shared" si="237"/>
        <v>0</v>
      </c>
      <c r="P1042" s="15">
        <f t="shared" si="238"/>
        <v>2.6657599999999988</v>
      </c>
      <c r="Q1042" s="14" t="str">
        <f>IF(M1042&gt;=I1042*'Hoja 4 - Cálculo'!$B$16,"Satisfactorio","Falla")</f>
        <v>Falla</v>
      </c>
      <c r="R1042" s="14">
        <f t="shared" si="240"/>
        <v>0</v>
      </c>
      <c r="S1042" s="14">
        <f t="shared" si="241"/>
        <v>1</v>
      </c>
    </row>
    <row r="1043" spans="1:19">
      <c r="A1043" s="14" t="str">
        <f t="shared" si="232"/>
        <v>SRY-3-3</v>
      </c>
      <c r="B1043" s="15">
        <f>'Curvas SRY'!$B$10</f>
        <v>3</v>
      </c>
      <c r="C1043" s="15">
        <f>'Curvas SRY'!$E$10</f>
        <v>1.25</v>
      </c>
      <c r="D1043" s="14" t="str">
        <f>'Curvas SRY'!$B$14</f>
        <v>Uso variable</v>
      </c>
      <c r="E1043" s="14">
        <f>80</f>
        <v>80</v>
      </c>
      <c r="F1043" s="21">
        <f>'Hoja 4 - Cálculo'!A104</f>
        <v>31990</v>
      </c>
      <c r="G1043" s="15">
        <f>'Hoja 4 - Cálculo'!H104</f>
        <v>15.759</v>
      </c>
      <c r="H1043" s="15">
        <f>IF(D1043="Uso único",'Hoja 4 - Cálculo'!I104,IF(D1043="Uso múltiple",AVERAGE('Hoja 4 - Cálculo'!$I$25:$I$384)+AVERAGE('Hoja 4 - Cálculo'!$J$25:$J$384)+AVERAGE('Hoja 4 - Cálculo'!$K$25:$K$384),IF(D1043="Uso prioritario",'Hoja 4 - Cálculo'!I104+'Hoja 4 - Cálculo'!K104,'Hoja 4 - Cálculo'!I104+'Hoja 4 - Cálculo'!J104+'Hoja 4 - Cálculo'!K104)))</f>
        <v>16</v>
      </c>
      <c r="I1043" s="15">
        <f t="shared" si="233"/>
        <v>20</v>
      </c>
      <c r="J1043" s="15">
        <f t="shared" si="239"/>
        <v>0</v>
      </c>
      <c r="K1043" s="15">
        <f>MIN(J1043+G1043,(J1043+G1043)*'Hoja 4 - Cálculo'!$B$15)</f>
        <v>0.31518000000000002</v>
      </c>
      <c r="L1043" s="15">
        <f t="shared" si="234"/>
        <v>15.443820000000001</v>
      </c>
      <c r="M1043" s="15">
        <f t="shared" si="235"/>
        <v>15.443820000000001</v>
      </c>
      <c r="N1043" s="15">
        <f t="shared" si="236"/>
        <v>0</v>
      </c>
      <c r="O1043" s="15">
        <f t="shared" si="237"/>
        <v>0</v>
      </c>
      <c r="P1043" s="15">
        <f t="shared" si="238"/>
        <v>4.5561799999999995</v>
      </c>
      <c r="Q1043" s="14" t="str">
        <f>IF(M1043&gt;=I1043*'Hoja 4 - Cálculo'!$B$16,"Satisfactorio","Falla")</f>
        <v>Falla</v>
      </c>
      <c r="R1043" s="14">
        <f t="shared" si="240"/>
        <v>0</v>
      </c>
      <c r="S1043" s="14">
        <f t="shared" si="241"/>
        <v>0</v>
      </c>
    </row>
    <row r="1044" spans="1:19">
      <c r="A1044" s="14" t="str">
        <f t="shared" si="232"/>
        <v>SRY-3-3</v>
      </c>
      <c r="B1044" s="15">
        <f>'Curvas SRY'!$B$10</f>
        <v>3</v>
      </c>
      <c r="C1044" s="15">
        <f>'Curvas SRY'!$E$10</f>
        <v>1.25</v>
      </c>
      <c r="D1044" s="14" t="str">
        <f>'Curvas SRY'!$B$14</f>
        <v>Uso variable</v>
      </c>
      <c r="E1044" s="14">
        <f>81</f>
        <v>81</v>
      </c>
      <c r="F1044" s="21">
        <f>'Hoja 4 - Cálculo'!A105</f>
        <v>32021</v>
      </c>
      <c r="G1044" s="15">
        <f>'Hoja 4 - Cálculo'!H105</f>
        <v>26.220375000000001</v>
      </c>
      <c r="H1044" s="15">
        <f>IF(D1044="Uso único",'Hoja 4 - Cálculo'!I105,IF(D1044="Uso múltiple",AVERAGE('Hoja 4 - Cálculo'!$I$25:$I$384)+AVERAGE('Hoja 4 - Cálculo'!$J$25:$J$384)+AVERAGE('Hoja 4 - Cálculo'!$K$25:$K$384),IF(D1044="Uso prioritario",'Hoja 4 - Cálculo'!I105+'Hoja 4 - Cálculo'!K105,'Hoja 4 - Cálculo'!I105+'Hoja 4 - Cálculo'!J105+'Hoja 4 - Cálculo'!K105)))</f>
        <v>11.5</v>
      </c>
      <c r="I1044" s="15">
        <f t="shared" si="233"/>
        <v>14.375</v>
      </c>
      <c r="J1044" s="15">
        <f t="shared" si="239"/>
        <v>0</v>
      </c>
      <c r="K1044" s="15">
        <f>MIN(J1044+G1044,(J1044+G1044)*'Hoja 4 - Cálculo'!$B$15)</f>
        <v>0.52440750000000003</v>
      </c>
      <c r="L1044" s="15">
        <f t="shared" si="234"/>
        <v>25.695967500000002</v>
      </c>
      <c r="M1044" s="15">
        <f t="shared" si="235"/>
        <v>14.375</v>
      </c>
      <c r="N1044" s="15">
        <f t="shared" si="236"/>
        <v>3</v>
      </c>
      <c r="O1044" s="15">
        <f t="shared" si="237"/>
        <v>8.3209675000000018</v>
      </c>
      <c r="P1044" s="15">
        <f t="shared" si="238"/>
        <v>0</v>
      </c>
      <c r="Q1044" s="14" t="str">
        <f>IF(M1044&gt;=I1044*'Hoja 4 - Cálculo'!$B$16,"Satisfactorio","Falla")</f>
        <v>Satisfactorio</v>
      </c>
      <c r="R1044" s="14">
        <f t="shared" si="240"/>
        <v>1</v>
      </c>
      <c r="S1044" s="14">
        <f t="shared" si="241"/>
        <v>0</v>
      </c>
    </row>
    <row r="1045" spans="1:19">
      <c r="A1045" s="14" t="str">
        <f t="shared" si="232"/>
        <v>SRY-3-3</v>
      </c>
      <c r="B1045" s="15">
        <f>'Curvas SRY'!$B$10</f>
        <v>3</v>
      </c>
      <c r="C1045" s="15">
        <f>'Curvas SRY'!$E$10</f>
        <v>1.25</v>
      </c>
      <c r="D1045" s="14" t="str">
        <f>'Curvas SRY'!$B$14</f>
        <v>Uso variable</v>
      </c>
      <c r="E1045" s="14">
        <f>82</f>
        <v>82</v>
      </c>
      <c r="F1045" s="21">
        <f>'Hoja 4 - Cálculo'!A106</f>
        <v>32051</v>
      </c>
      <c r="G1045" s="15">
        <f>'Hoja 4 - Cálculo'!H106</f>
        <v>32.627249999999997</v>
      </c>
      <c r="H1045" s="15">
        <f>IF(D1045="Uso único",'Hoja 4 - Cálculo'!I106,IF(D1045="Uso múltiple",AVERAGE('Hoja 4 - Cálculo'!$I$25:$I$384)+AVERAGE('Hoja 4 - Cálculo'!$J$25:$J$384)+AVERAGE('Hoja 4 - Cálculo'!$K$25:$K$384),IF(D1045="Uso prioritario",'Hoja 4 - Cálculo'!I106+'Hoja 4 - Cálculo'!K106,'Hoja 4 - Cálculo'!I106+'Hoja 4 - Cálculo'!J106+'Hoja 4 - Cálculo'!K106)))</f>
        <v>11.5</v>
      </c>
      <c r="I1045" s="15">
        <f t="shared" si="233"/>
        <v>14.375</v>
      </c>
      <c r="J1045" s="15">
        <f t="shared" si="239"/>
        <v>3</v>
      </c>
      <c r="K1045" s="15">
        <f>MIN(J1045+G1045,(J1045+G1045)*'Hoja 4 - Cálculo'!$B$15)</f>
        <v>0.71254499999999998</v>
      </c>
      <c r="L1045" s="15">
        <f t="shared" si="234"/>
        <v>34.914704999999998</v>
      </c>
      <c r="M1045" s="15">
        <f t="shared" si="235"/>
        <v>14.375</v>
      </c>
      <c r="N1045" s="15">
        <f t="shared" si="236"/>
        <v>3</v>
      </c>
      <c r="O1045" s="15">
        <f t="shared" si="237"/>
        <v>17.539704999999998</v>
      </c>
      <c r="P1045" s="15">
        <f t="shared" si="238"/>
        <v>0</v>
      </c>
      <c r="Q1045" s="14" t="str">
        <f>IF(M1045&gt;=I1045*'Hoja 4 - Cálculo'!$B$16,"Satisfactorio","Falla")</f>
        <v>Satisfactorio</v>
      </c>
      <c r="R1045" s="14">
        <f t="shared" si="240"/>
        <v>0</v>
      </c>
      <c r="S1045" s="14">
        <f t="shared" si="241"/>
        <v>0</v>
      </c>
    </row>
    <row r="1046" spans="1:19">
      <c r="A1046" s="14" t="str">
        <f t="shared" si="232"/>
        <v>SRY-3-3</v>
      </c>
      <c r="B1046" s="15">
        <f>'Curvas SRY'!$B$10</f>
        <v>3</v>
      </c>
      <c r="C1046" s="15">
        <f>'Curvas SRY'!$E$10</f>
        <v>1.25</v>
      </c>
      <c r="D1046" s="14" t="str">
        <f>'Curvas SRY'!$B$14</f>
        <v>Uso variable</v>
      </c>
      <c r="E1046" s="14">
        <f>83</f>
        <v>83</v>
      </c>
      <c r="F1046" s="21">
        <f>'Hoja 4 - Cálculo'!A107</f>
        <v>32082</v>
      </c>
      <c r="G1046" s="15">
        <f>'Hoja 4 - Cálculo'!H107</f>
        <v>29.758500000000002</v>
      </c>
      <c r="H1046" s="15">
        <f>IF(D1046="Uso único",'Hoja 4 - Cálculo'!I107,IF(D1046="Uso múltiple",AVERAGE('Hoja 4 - Cálculo'!$I$25:$I$384)+AVERAGE('Hoja 4 - Cálculo'!$J$25:$J$384)+AVERAGE('Hoja 4 - Cálculo'!$K$25:$K$384),IF(D1046="Uso prioritario",'Hoja 4 - Cálculo'!I107+'Hoja 4 - Cálculo'!K107,'Hoja 4 - Cálculo'!I107+'Hoja 4 - Cálculo'!J107+'Hoja 4 - Cálculo'!K107)))</f>
        <v>11.5</v>
      </c>
      <c r="I1046" s="15">
        <f t="shared" si="233"/>
        <v>14.375</v>
      </c>
      <c r="J1046" s="15">
        <f t="shared" si="239"/>
        <v>3</v>
      </c>
      <c r="K1046" s="15">
        <f>MIN(J1046+G1046,(J1046+G1046)*'Hoja 4 - Cálculo'!$B$15)</f>
        <v>0.65516999999999992</v>
      </c>
      <c r="L1046" s="15">
        <f t="shared" si="234"/>
        <v>32.10333</v>
      </c>
      <c r="M1046" s="15">
        <f t="shared" si="235"/>
        <v>14.375</v>
      </c>
      <c r="N1046" s="15">
        <f t="shared" si="236"/>
        <v>3</v>
      </c>
      <c r="O1046" s="15">
        <f t="shared" si="237"/>
        <v>14.72833</v>
      </c>
      <c r="P1046" s="15">
        <f t="shared" si="238"/>
        <v>0</v>
      </c>
      <c r="Q1046" s="14" t="str">
        <f>IF(M1046&gt;=I1046*'Hoja 4 - Cálculo'!$B$16,"Satisfactorio","Falla")</f>
        <v>Satisfactorio</v>
      </c>
      <c r="R1046" s="14">
        <f t="shared" si="240"/>
        <v>0</v>
      </c>
      <c r="S1046" s="14">
        <f t="shared" si="241"/>
        <v>0</v>
      </c>
    </row>
    <row r="1047" spans="1:19">
      <c r="A1047" s="14" t="str">
        <f t="shared" si="232"/>
        <v>SRY-3-3</v>
      </c>
      <c r="B1047" s="15">
        <f>'Curvas SRY'!$B$10</f>
        <v>3</v>
      </c>
      <c r="C1047" s="15">
        <f>'Curvas SRY'!$E$10</f>
        <v>1.25</v>
      </c>
      <c r="D1047" s="14" t="str">
        <f>'Curvas SRY'!$B$14</f>
        <v>Uso variable</v>
      </c>
      <c r="E1047" s="14">
        <f>84</f>
        <v>84</v>
      </c>
      <c r="F1047" s="21">
        <f>'Hoja 4 - Cálculo'!A108</f>
        <v>32112</v>
      </c>
      <c r="G1047" s="15">
        <f>'Hoja 4 - Cálculo'!H108</f>
        <v>16.543125</v>
      </c>
      <c r="H1047" s="15">
        <f>IF(D1047="Uso único",'Hoja 4 - Cálculo'!I108,IF(D1047="Uso múltiple",AVERAGE('Hoja 4 - Cálculo'!$I$25:$I$384)+AVERAGE('Hoja 4 - Cálculo'!$J$25:$J$384)+AVERAGE('Hoja 4 - Cálculo'!$K$25:$K$384),IF(D1047="Uso prioritario",'Hoja 4 - Cálculo'!I108+'Hoja 4 - Cálculo'!K108,'Hoja 4 - Cálculo'!I108+'Hoja 4 - Cálculo'!J108+'Hoja 4 - Cálculo'!K108)))</f>
        <v>16</v>
      </c>
      <c r="I1047" s="15">
        <f t="shared" si="233"/>
        <v>20</v>
      </c>
      <c r="J1047" s="15">
        <f t="shared" si="239"/>
        <v>3</v>
      </c>
      <c r="K1047" s="15">
        <f>MIN(J1047+G1047,(J1047+G1047)*'Hoja 4 - Cálculo'!$B$15)</f>
        <v>0.3908625</v>
      </c>
      <c r="L1047" s="15">
        <f t="shared" si="234"/>
        <v>19.152262499999999</v>
      </c>
      <c r="M1047" s="15">
        <f t="shared" si="235"/>
        <v>19.152262499999999</v>
      </c>
      <c r="N1047" s="15">
        <f t="shared" si="236"/>
        <v>0</v>
      </c>
      <c r="O1047" s="15">
        <f t="shared" si="237"/>
        <v>0</v>
      </c>
      <c r="P1047" s="15">
        <f t="shared" si="238"/>
        <v>0.84773750000000092</v>
      </c>
      <c r="Q1047" s="14" t="str">
        <f>IF(M1047&gt;=I1047*'Hoja 4 - Cálculo'!$B$16,"Satisfactorio","Falla")</f>
        <v>Falla</v>
      </c>
      <c r="R1047" s="14">
        <f t="shared" si="240"/>
        <v>0</v>
      </c>
      <c r="S1047" s="14">
        <f t="shared" si="241"/>
        <v>1</v>
      </c>
    </row>
    <row r="1048" spans="1:19">
      <c r="A1048" s="14" t="str">
        <f t="shared" si="232"/>
        <v>SRY-3-3</v>
      </c>
      <c r="B1048" s="15">
        <f>'Curvas SRY'!$B$10</f>
        <v>3</v>
      </c>
      <c r="C1048" s="15">
        <f>'Curvas SRY'!$E$10</f>
        <v>1.25</v>
      </c>
      <c r="D1048" s="14" t="str">
        <f>'Curvas SRY'!$B$14</f>
        <v>Uso variable</v>
      </c>
      <c r="E1048" s="14">
        <f>85</f>
        <v>85</v>
      </c>
      <c r="F1048" s="21">
        <f>'Hoja 4 - Cálculo'!A109</f>
        <v>32143</v>
      </c>
      <c r="G1048" s="15">
        <f>'Hoja 4 - Cálculo'!H109</f>
        <v>13.291874999999999</v>
      </c>
      <c r="H1048" s="15">
        <f>IF(D1048="Uso único",'Hoja 4 - Cálculo'!I109,IF(D1048="Uso múltiple",AVERAGE('Hoja 4 - Cálculo'!$I$25:$I$384)+AVERAGE('Hoja 4 - Cálculo'!$J$25:$J$384)+AVERAGE('Hoja 4 - Cálculo'!$K$25:$K$384),IF(D1048="Uso prioritario",'Hoja 4 - Cálculo'!I109+'Hoja 4 - Cálculo'!K109,'Hoja 4 - Cálculo'!I109+'Hoja 4 - Cálculo'!J109+'Hoja 4 - Cálculo'!K109)))</f>
        <v>16</v>
      </c>
      <c r="I1048" s="15">
        <f t="shared" si="233"/>
        <v>20</v>
      </c>
      <c r="J1048" s="15">
        <f t="shared" si="239"/>
        <v>0</v>
      </c>
      <c r="K1048" s="15">
        <f>MIN(J1048+G1048,(J1048+G1048)*'Hoja 4 - Cálculo'!$B$15)</f>
        <v>0.2658375</v>
      </c>
      <c r="L1048" s="15">
        <f t="shared" si="234"/>
        <v>13.026037499999999</v>
      </c>
      <c r="M1048" s="15">
        <f t="shared" si="235"/>
        <v>13.026037499999999</v>
      </c>
      <c r="N1048" s="15">
        <f t="shared" si="236"/>
        <v>0</v>
      </c>
      <c r="O1048" s="15">
        <f t="shared" si="237"/>
        <v>0</v>
      </c>
      <c r="P1048" s="15">
        <f t="shared" si="238"/>
        <v>6.9739625000000007</v>
      </c>
      <c r="Q1048" s="14" t="str">
        <f>IF(M1048&gt;=I1048*'Hoja 4 - Cálculo'!$B$16,"Satisfactorio","Falla")</f>
        <v>Falla</v>
      </c>
      <c r="R1048" s="14">
        <f t="shared" si="240"/>
        <v>0</v>
      </c>
      <c r="S1048" s="14">
        <f t="shared" si="241"/>
        <v>0</v>
      </c>
    </row>
    <row r="1049" spans="1:19">
      <c r="A1049" s="14" t="str">
        <f t="shared" si="232"/>
        <v>SRY-3-3</v>
      </c>
      <c r="B1049" s="15">
        <f>'Curvas SRY'!$B$10</f>
        <v>3</v>
      </c>
      <c r="C1049" s="15">
        <f>'Curvas SRY'!$E$10</f>
        <v>1.25</v>
      </c>
      <c r="D1049" s="14" t="str">
        <f>'Curvas SRY'!$B$14</f>
        <v>Uso variable</v>
      </c>
      <c r="E1049" s="14">
        <f>86</f>
        <v>86</v>
      </c>
      <c r="F1049" s="21">
        <f>'Hoja 4 - Cálculo'!A110</f>
        <v>32174</v>
      </c>
      <c r="G1049" s="15">
        <f>'Hoja 4 - Cálculo'!H110</f>
        <v>14.19075</v>
      </c>
      <c r="H1049" s="15">
        <f>IF(D1049="Uso único",'Hoja 4 - Cálculo'!I110,IF(D1049="Uso múltiple",AVERAGE('Hoja 4 - Cálculo'!$I$25:$I$384)+AVERAGE('Hoja 4 - Cálculo'!$J$25:$J$384)+AVERAGE('Hoja 4 - Cálculo'!$K$25:$K$384),IF(D1049="Uso prioritario",'Hoja 4 - Cálculo'!I110+'Hoja 4 - Cálculo'!K110,'Hoja 4 - Cálculo'!I110+'Hoja 4 - Cálculo'!J110+'Hoja 4 - Cálculo'!K110)))</f>
        <v>16</v>
      </c>
      <c r="I1049" s="15">
        <f t="shared" si="233"/>
        <v>20</v>
      </c>
      <c r="J1049" s="15">
        <f t="shared" si="239"/>
        <v>0</v>
      </c>
      <c r="K1049" s="15">
        <f>MIN(J1049+G1049,(J1049+G1049)*'Hoja 4 - Cálculo'!$B$15)</f>
        <v>0.28381499999999998</v>
      </c>
      <c r="L1049" s="15">
        <f t="shared" si="234"/>
        <v>13.906934999999999</v>
      </c>
      <c r="M1049" s="15">
        <f t="shared" si="235"/>
        <v>13.906934999999999</v>
      </c>
      <c r="N1049" s="15">
        <f t="shared" si="236"/>
        <v>0</v>
      </c>
      <c r="O1049" s="15">
        <f t="shared" si="237"/>
        <v>0</v>
      </c>
      <c r="P1049" s="15">
        <f t="shared" si="238"/>
        <v>6.0930650000000011</v>
      </c>
      <c r="Q1049" s="14" t="str">
        <f>IF(M1049&gt;=I1049*'Hoja 4 - Cálculo'!$B$16,"Satisfactorio","Falla")</f>
        <v>Falla</v>
      </c>
      <c r="R1049" s="14">
        <f t="shared" si="240"/>
        <v>0</v>
      </c>
      <c r="S1049" s="14">
        <f t="shared" si="241"/>
        <v>0</v>
      </c>
    </row>
    <row r="1050" spans="1:19">
      <c r="A1050" s="14" t="str">
        <f t="shared" si="232"/>
        <v>SRY-3-3</v>
      </c>
      <c r="B1050" s="15">
        <f>'Curvas SRY'!$B$10</f>
        <v>3</v>
      </c>
      <c r="C1050" s="15">
        <f>'Curvas SRY'!$E$10</f>
        <v>1.25</v>
      </c>
      <c r="D1050" s="14" t="str">
        <f>'Curvas SRY'!$B$14</f>
        <v>Uso variable</v>
      </c>
      <c r="E1050" s="14">
        <f>87</f>
        <v>87</v>
      </c>
      <c r="F1050" s="21">
        <f>'Hoja 4 - Cálculo'!A111</f>
        <v>32203</v>
      </c>
      <c r="G1050" s="15">
        <f>'Hoja 4 - Cálculo'!H111</f>
        <v>22.338000000000001</v>
      </c>
      <c r="H1050" s="15">
        <f>IF(D1050="Uso único",'Hoja 4 - Cálculo'!I111,IF(D1050="Uso múltiple",AVERAGE('Hoja 4 - Cálculo'!$I$25:$I$384)+AVERAGE('Hoja 4 - Cálculo'!$J$25:$J$384)+AVERAGE('Hoja 4 - Cálculo'!$K$25:$K$384),IF(D1050="Uso prioritario",'Hoja 4 - Cálculo'!I111+'Hoja 4 - Cálculo'!K111,'Hoja 4 - Cálculo'!I111+'Hoja 4 - Cálculo'!J111+'Hoja 4 - Cálculo'!K111)))</f>
        <v>16</v>
      </c>
      <c r="I1050" s="15">
        <f t="shared" si="233"/>
        <v>20</v>
      </c>
      <c r="J1050" s="15">
        <f t="shared" si="239"/>
        <v>0</v>
      </c>
      <c r="K1050" s="15">
        <f>MIN(J1050+G1050,(J1050+G1050)*'Hoja 4 - Cálculo'!$B$15)</f>
        <v>0.44676000000000005</v>
      </c>
      <c r="L1050" s="15">
        <f t="shared" si="234"/>
        <v>21.89124</v>
      </c>
      <c r="M1050" s="15">
        <f t="shared" si="235"/>
        <v>20</v>
      </c>
      <c r="N1050" s="15">
        <f t="shared" si="236"/>
        <v>1.8912399999999998</v>
      </c>
      <c r="O1050" s="15">
        <f t="shared" si="237"/>
        <v>0</v>
      </c>
      <c r="P1050" s="15">
        <f t="shared" si="238"/>
        <v>0</v>
      </c>
      <c r="Q1050" s="14" t="str">
        <f>IF(M1050&gt;=I1050*'Hoja 4 - Cálculo'!$B$16,"Satisfactorio","Falla")</f>
        <v>Satisfactorio</v>
      </c>
      <c r="R1050" s="14">
        <f t="shared" si="240"/>
        <v>1</v>
      </c>
      <c r="S1050" s="14">
        <f t="shared" si="241"/>
        <v>0</v>
      </c>
    </row>
    <row r="1051" spans="1:19">
      <c r="A1051" s="14" t="str">
        <f t="shared" si="232"/>
        <v>SRY-3-3</v>
      </c>
      <c r="B1051" s="15">
        <f>'Curvas SRY'!$B$10</f>
        <v>3</v>
      </c>
      <c r="C1051" s="15">
        <f>'Curvas SRY'!$E$10</f>
        <v>1.25</v>
      </c>
      <c r="D1051" s="14" t="str">
        <f>'Curvas SRY'!$B$14</f>
        <v>Uso variable</v>
      </c>
      <c r="E1051" s="14">
        <f>88</f>
        <v>88</v>
      </c>
      <c r="F1051" s="21">
        <f>'Hoja 4 - Cálculo'!A112</f>
        <v>32234</v>
      </c>
      <c r="G1051" s="15">
        <f>'Hoja 4 - Cálculo'!H112</f>
        <v>29.643750000000001</v>
      </c>
      <c r="H1051" s="15">
        <f>IF(D1051="Uso único",'Hoja 4 - Cálculo'!I112,IF(D1051="Uso múltiple",AVERAGE('Hoja 4 - Cálculo'!$I$25:$I$384)+AVERAGE('Hoja 4 - Cálculo'!$J$25:$J$384)+AVERAGE('Hoja 4 - Cálculo'!$K$25:$K$384),IF(D1051="Uso prioritario",'Hoja 4 - Cálculo'!I112+'Hoja 4 - Cálculo'!K112,'Hoja 4 - Cálculo'!I112+'Hoja 4 - Cálculo'!J112+'Hoja 4 - Cálculo'!K112)))</f>
        <v>11.5</v>
      </c>
      <c r="I1051" s="15">
        <f t="shared" si="233"/>
        <v>14.375</v>
      </c>
      <c r="J1051" s="15">
        <f t="shared" si="239"/>
        <v>1.8912399999999998</v>
      </c>
      <c r="K1051" s="15">
        <f>MIN(J1051+G1051,(J1051+G1051)*'Hoja 4 - Cálculo'!$B$15)</f>
        <v>0.63069980000000003</v>
      </c>
      <c r="L1051" s="15">
        <f t="shared" si="234"/>
        <v>30.904290200000002</v>
      </c>
      <c r="M1051" s="15">
        <f t="shared" si="235"/>
        <v>14.375</v>
      </c>
      <c r="N1051" s="15">
        <f t="shared" si="236"/>
        <v>3</v>
      </c>
      <c r="O1051" s="15">
        <f t="shared" si="237"/>
        <v>13.529290200000002</v>
      </c>
      <c r="P1051" s="15">
        <f t="shared" si="238"/>
        <v>0</v>
      </c>
      <c r="Q1051" s="14" t="str">
        <f>IF(M1051&gt;=I1051*'Hoja 4 - Cálculo'!$B$16,"Satisfactorio","Falla")</f>
        <v>Satisfactorio</v>
      </c>
      <c r="R1051" s="14">
        <f t="shared" si="240"/>
        <v>0</v>
      </c>
      <c r="S1051" s="14">
        <f t="shared" si="241"/>
        <v>0</v>
      </c>
    </row>
    <row r="1052" spans="1:19">
      <c r="A1052" s="14" t="str">
        <f t="shared" si="232"/>
        <v>SRY-3-3</v>
      </c>
      <c r="B1052" s="15">
        <f>'Curvas SRY'!$B$10</f>
        <v>3</v>
      </c>
      <c r="C1052" s="15">
        <f>'Curvas SRY'!$E$10</f>
        <v>1.25</v>
      </c>
      <c r="D1052" s="14" t="str">
        <f>'Curvas SRY'!$B$14</f>
        <v>Uso variable</v>
      </c>
      <c r="E1052" s="14">
        <f>89</f>
        <v>89</v>
      </c>
      <c r="F1052" s="21">
        <f>'Hoja 4 - Cálculo'!A113</f>
        <v>32264</v>
      </c>
      <c r="G1052" s="15">
        <f>'Hoja 4 - Cálculo'!H113</f>
        <v>28.075500000000002</v>
      </c>
      <c r="H1052" s="15">
        <f>IF(D1052="Uso único",'Hoja 4 - Cálculo'!I113,IF(D1052="Uso múltiple",AVERAGE('Hoja 4 - Cálculo'!$I$25:$I$384)+AVERAGE('Hoja 4 - Cálculo'!$J$25:$J$384)+AVERAGE('Hoja 4 - Cálculo'!$K$25:$K$384),IF(D1052="Uso prioritario",'Hoja 4 - Cálculo'!I113+'Hoja 4 - Cálculo'!K113,'Hoja 4 - Cálculo'!I113+'Hoja 4 - Cálculo'!J113+'Hoja 4 - Cálculo'!K113)))</f>
        <v>11.5</v>
      </c>
      <c r="I1052" s="15">
        <f t="shared" si="233"/>
        <v>14.375</v>
      </c>
      <c r="J1052" s="15">
        <f t="shared" si="239"/>
        <v>3</v>
      </c>
      <c r="K1052" s="15">
        <f>MIN(J1052+G1052,(J1052+G1052)*'Hoja 4 - Cálculo'!$B$15)</f>
        <v>0.62151000000000001</v>
      </c>
      <c r="L1052" s="15">
        <f t="shared" si="234"/>
        <v>30.453990000000001</v>
      </c>
      <c r="M1052" s="15">
        <f t="shared" si="235"/>
        <v>14.375</v>
      </c>
      <c r="N1052" s="15">
        <f t="shared" si="236"/>
        <v>3</v>
      </c>
      <c r="O1052" s="15">
        <f t="shared" si="237"/>
        <v>13.078990000000001</v>
      </c>
      <c r="P1052" s="15">
        <f t="shared" si="238"/>
        <v>0</v>
      </c>
      <c r="Q1052" s="14" t="str">
        <f>IF(M1052&gt;=I1052*'Hoja 4 - Cálculo'!$B$16,"Satisfactorio","Falla")</f>
        <v>Satisfactorio</v>
      </c>
      <c r="R1052" s="14">
        <f t="shared" si="240"/>
        <v>0</v>
      </c>
      <c r="S1052" s="14">
        <f t="shared" si="241"/>
        <v>0</v>
      </c>
    </row>
    <row r="1053" spans="1:19">
      <c r="A1053" s="14" t="str">
        <f t="shared" si="232"/>
        <v>SRY-3-3</v>
      </c>
      <c r="B1053" s="15">
        <f>'Curvas SRY'!$B$10</f>
        <v>3</v>
      </c>
      <c r="C1053" s="15">
        <f>'Curvas SRY'!$E$10</f>
        <v>1.25</v>
      </c>
      <c r="D1053" s="14" t="str">
        <f>'Curvas SRY'!$B$14</f>
        <v>Uso variable</v>
      </c>
      <c r="E1053" s="14">
        <f>90</f>
        <v>90</v>
      </c>
      <c r="F1053" s="21">
        <f>'Hoja 4 - Cálculo'!A114</f>
        <v>32295</v>
      </c>
      <c r="G1053" s="15">
        <f>'Hoja 4 - Cálculo'!H114</f>
        <v>16.485749999999999</v>
      </c>
      <c r="H1053" s="15">
        <f>IF(D1053="Uso único",'Hoja 4 - Cálculo'!I114,IF(D1053="Uso múltiple",AVERAGE('Hoja 4 - Cálculo'!$I$25:$I$384)+AVERAGE('Hoja 4 - Cálculo'!$J$25:$J$384)+AVERAGE('Hoja 4 - Cálculo'!$K$25:$K$384),IF(D1053="Uso prioritario",'Hoja 4 - Cálculo'!I114+'Hoja 4 - Cálculo'!K114,'Hoja 4 - Cálculo'!I114+'Hoja 4 - Cálculo'!J114+'Hoja 4 - Cálculo'!K114)))</f>
        <v>11.5</v>
      </c>
      <c r="I1053" s="15">
        <f t="shared" si="233"/>
        <v>14.375</v>
      </c>
      <c r="J1053" s="15">
        <f t="shared" si="239"/>
        <v>3</v>
      </c>
      <c r="K1053" s="15">
        <f>MIN(J1053+G1053,(J1053+G1053)*'Hoja 4 - Cálculo'!$B$15)</f>
        <v>0.38971499999999998</v>
      </c>
      <c r="L1053" s="15">
        <f t="shared" si="234"/>
        <v>19.096035000000001</v>
      </c>
      <c r="M1053" s="15">
        <f t="shared" si="235"/>
        <v>14.375</v>
      </c>
      <c r="N1053" s="15">
        <f t="shared" si="236"/>
        <v>3</v>
      </c>
      <c r="O1053" s="15">
        <f t="shared" si="237"/>
        <v>1.7210350000000005</v>
      </c>
      <c r="P1053" s="15">
        <f t="shared" si="238"/>
        <v>0</v>
      </c>
      <c r="Q1053" s="14" t="str">
        <f>IF(M1053&gt;=I1053*'Hoja 4 - Cálculo'!$B$16,"Satisfactorio","Falla")</f>
        <v>Satisfactorio</v>
      </c>
      <c r="R1053" s="14">
        <f t="shared" si="240"/>
        <v>0</v>
      </c>
      <c r="S1053" s="14">
        <f t="shared" si="241"/>
        <v>0</v>
      </c>
    </row>
    <row r="1054" spans="1:19">
      <c r="A1054" s="14" t="str">
        <f t="shared" si="232"/>
        <v>SRY-3-3</v>
      </c>
      <c r="B1054" s="15">
        <f>'Curvas SRY'!$B$10</f>
        <v>3</v>
      </c>
      <c r="C1054" s="15">
        <f>'Curvas SRY'!$E$10</f>
        <v>1.25</v>
      </c>
      <c r="D1054" s="14" t="str">
        <f>'Curvas SRY'!$B$14</f>
        <v>Uso variable</v>
      </c>
      <c r="E1054" s="14">
        <f>91</f>
        <v>91</v>
      </c>
      <c r="F1054" s="21">
        <f>'Hoja 4 - Cálculo'!A115</f>
        <v>32325</v>
      </c>
      <c r="G1054" s="15">
        <f>'Hoja 4 - Cálculo'!H115</f>
        <v>13.827375</v>
      </c>
      <c r="H1054" s="15">
        <f>IF(D1054="Uso único",'Hoja 4 - Cálculo'!I115,IF(D1054="Uso múltiple",AVERAGE('Hoja 4 - Cálculo'!$I$25:$I$384)+AVERAGE('Hoja 4 - Cálculo'!$J$25:$J$384)+AVERAGE('Hoja 4 - Cálculo'!$K$25:$K$384),IF(D1054="Uso prioritario",'Hoja 4 - Cálculo'!I115+'Hoja 4 - Cálculo'!K115,'Hoja 4 - Cálculo'!I115+'Hoja 4 - Cálculo'!J115+'Hoja 4 - Cálculo'!K115)))</f>
        <v>16</v>
      </c>
      <c r="I1054" s="15">
        <f t="shared" si="233"/>
        <v>20</v>
      </c>
      <c r="J1054" s="15">
        <f t="shared" si="239"/>
        <v>3</v>
      </c>
      <c r="K1054" s="15">
        <f>MIN(J1054+G1054,(J1054+G1054)*'Hoja 4 - Cálculo'!$B$15)</f>
        <v>0.3365475</v>
      </c>
      <c r="L1054" s="15">
        <f t="shared" si="234"/>
        <v>16.490827500000002</v>
      </c>
      <c r="M1054" s="15">
        <f t="shared" si="235"/>
        <v>16.490827500000002</v>
      </c>
      <c r="N1054" s="15">
        <f t="shared" si="236"/>
        <v>0</v>
      </c>
      <c r="O1054" s="15">
        <f t="shared" si="237"/>
        <v>0</v>
      </c>
      <c r="P1054" s="15">
        <f t="shared" si="238"/>
        <v>3.5091724999999983</v>
      </c>
      <c r="Q1054" s="14" t="str">
        <f>IF(M1054&gt;=I1054*'Hoja 4 - Cálculo'!$B$16,"Satisfactorio","Falla")</f>
        <v>Falla</v>
      </c>
      <c r="R1054" s="14">
        <f t="shared" si="240"/>
        <v>0</v>
      </c>
      <c r="S1054" s="14">
        <f t="shared" si="241"/>
        <v>1</v>
      </c>
    </row>
    <row r="1055" spans="1:19">
      <c r="A1055" s="14" t="str">
        <f t="shared" si="232"/>
        <v>SRY-3-3</v>
      </c>
      <c r="B1055" s="15">
        <f>'Curvas SRY'!$B$10</f>
        <v>3</v>
      </c>
      <c r="C1055" s="15">
        <f>'Curvas SRY'!$E$10</f>
        <v>1.25</v>
      </c>
      <c r="D1055" s="14" t="str">
        <f>'Curvas SRY'!$B$14</f>
        <v>Uso variable</v>
      </c>
      <c r="E1055" s="14">
        <f>92</f>
        <v>92</v>
      </c>
      <c r="F1055" s="21">
        <f>'Hoja 4 - Cálculo'!A116</f>
        <v>32356</v>
      </c>
      <c r="G1055" s="15">
        <f>'Hoja 4 - Cálculo'!H116</f>
        <v>14.783625000000001</v>
      </c>
      <c r="H1055" s="15">
        <f>IF(D1055="Uso único",'Hoja 4 - Cálculo'!I116,IF(D1055="Uso múltiple",AVERAGE('Hoja 4 - Cálculo'!$I$25:$I$384)+AVERAGE('Hoja 4 - Cálculo'!$J$25:$J$384)+AVERAGE('Hoja 4 - Cálculo'!$K$25:$K$384),IF(D1055="Uso prioritario",'Hoja 4 - Cálculo'!I116+'Hoja 4 - Cálculo'!K116,'Hoja 4 - Cálculo'!I116+'Hoja 4 - Cálculo'!J116+'Hoja 4 - Cálculo'!K116)))</f>
        <v>16</v>
      </c>
      <c r="I1055" s="15">
        <f t="shared" si="233"/>
        <v>20</v>
      </c>
      <c r="J1055" s="15">
        <f t="shared" si="239"/>
        <v>0</v>
      </c>
      <c r="K1055" s="15">
        <f>MIN(J1055+G1055,(J1055+G1055)*'Hoja 4 - Cálculo'!$B$15)</f>
        <v>0.2956725</v>
      </c>
      <c r="L1055" s="15">
        <f t="shared" si="234"/>
        <v>14.4879525</v>
      </c>
      <c r="M1055" s="15">
        <f t="shared" si="235"/>
        <v>14.4879525</v>
      </c>
      <c r="N1055" s="15">
        <f t="shared" si="236"/>
        <v>0</v>
      </c>
      <c r="O1055" s="15">
        <f t="shared" si="237"/>
        <v>0</v>
      </c>
      <c r="P1055" s="15">
        <f t="shared" si="238"/>
        <v>5.5120474999999995</v>
      </c>
      <c r="Q1055" s="14" t="str">
        <f>IF(M1055&gt;=I1055*'Hoja 4 - Cálculo'!$B$16,"Satisfactorio","Falla")</f>
        <v>Falla</v>
      </c>
      <c r="R1055" s="14">
        <f t="shared" si="240"/>
        <v>0</v>
      </c>
      <c r="S1055" s="14">
        <f t="shared" si="241"/>
        <v>0</v>
      </c>
    </row>
    <row r="1056" spans="1:19">
      <c r="A1056" s="14" t="str">
        <f t="shared" si="232"/>
        <v>SRY-3-3</v>
      </c>
      <c r="B1056" s="15">
        <f>'Curvas SRY'!$B$10</f>
        <v>3</v>
      </c>
      <c r="C1056" s="15">
        <f>'Curvas SRY'!$E$10</f>
        <v>1.25</v>
      </c>
      <c r="D1056" s="14" t="str">
        <f>'Curvas SRY'!$B$14</f>
        <v>Uso variable</v>
      </c>
      <c r="E1056" s="14">
        <f>93</f>
        <v>93</v>
      </c>
      <c r="F1056" s="21">
        <f>'Hoja 4 - Cálculo'!A117</f>
        <v>32387</v>
      </c>
      <c r="G1056" s="15">
        <f>'Hoja 4 - Cálculo'!H117</f>
        <v>23.3325</v>
      </c>
      <c r="H1056" s="15">
        <f>IF(D1056="Uso único",'Hoja 4 - Cálculo'!I117,IF(D1056="Uso múltiple",AVERAGE('Hoja 4 - Cálculo'!$I$25:$I$384)+AVERAGE('Hoja 4 - Cálculo'!$J$25:$J$384)+AVERAGE('Hoja 4 - Cálculo'!$K$25:$K$384),IF(D1056="Uso prioritario",'Hoja 4 - Cálculo'!I117+'Hoja 4 - Cálculo'!K117,'Hoja 4 - Cálculo'!I117+'Hoja 4 - Cálculo'!J117+'Hoja 4 - Cálculo'!K117)))</f>
        <v>11.5</v>
      </c>
      <c r="I1056" s="15">
        <f t="shared" si="233"/>
        <v>14.375</v>
      </c>
      <c r="J1056" s="15">
        <f t="shared" si="239"/>
        <v>0</v>
      </c>
      <c r="K1056" s="15">
        <f>MIN(J1056+G1056,(J1056+G1056)*'Hoja 4 - Cálculo'!$B$15)</f>
        <v>0.46665000000000001</v>
      </c>
      <c r="L1056" s="15">
        <f t="shared" si="234"/>
        <v>22.865849999999998</v>
      </c>
      <c r="M1056" s="15">
        <f t="shared" si="235"/>
        <v>14.375</v>
      </c>
      <c r="N1056" s="15">
        <f t="shared" si="236"/>
        <v>3</v>
      </c>
      <c r="O1056" s="15">
        <f t="shared" si="237"/>
        <v>5.4908499999999982</v>
      </c>
      <c r="P1056" s="15">
        <f t="shared" si="238"/>
        <v>0</v>
      </c>
      <c r="Q1056" s="14" t="str">
        <f>IF(M1056&gt;=I1056*'Hoja 4 - Cálculo'!$B$16,"Satisfactorio","Falla")</f>
        <v>Satisfactorio</v>
      </c>
      <c r="R1056" s="14">
        <f t="shared" si="240"/>
        <v>1</v>
      </c>
      <c r="S1056" s="14">
        <f t="shared" si="241"/>
        <v>0</v>
      </c>
    </row>
    <row r="1057" spans="1:19">
      <c r="A1057" s="14" t="str">
        <f t="shared" si="232"/>
        <v>SRY-3-3</v>
      </c>
      <c r="B1057" s="15">
        <f>'Curvas SRY'!$B$10</f>
        <v>3</v>
      </c>
      <c r="C1057" s="15">
        <f>'Curvas SRY'!$E$10</f>
        <v>1.25</v>
      </c>
      <c r="D1057" s="14" t="str">
        <f>'Curvas SRY'!$B$14</f>
        <v>Uso variable</v>
      </c>
      <c r="E1057" s="14">
        <f>94</f>
        <v>94</v>
      </c>
      <c r="F1057" s="21">
        <f>'Hoja 4 - Cálculo'!A118</f>
        <v>32417</v>
      </c>
      <c r="G1057" s="15">
        <f>'Hoja 4 - Cálculo'!H118</f>
        <v>32.015250000000002</v>
      </c>
      <c r="H1057" s="15">
        <f>IF(D1057="Uso único",'Hoja 4 - Cálculo'!I118,IF(D1057="Uso múltiple",AVERAGE('Hoja 4 - Cálculo'!$I$25:$I$384)+AVERAGE('Hoja 4 - Cálculo'!$J$25:$J$384)+AVERAGE('Hoja 4 - Cálculo'!$K$25:$K$384),IF(D1057="Uso prioritario",'Hoja 4 - Cálculo'!I118+'Hoja 4 - Cálculo'!K118,'Hoja 4 - Cálculo'!I118+'Hoja 4 - Cálculo'!J118+'Hoja 4 - Cálculo'!K118)))</f>
        <v>11.5</v>
      </c>
      <c r="I1057" s="15">
        <f t="shared" si="233"/>
        <v>14.375</v>
      </c>
      <c r="J1057" s="15">
        <f t="shared" si="239"/>
        <v>3</v>
      </c>
      <c r="K1057" s="15">
        <f>MIN(J1057+G1057,(J1057+G1057)*'Hoja 4 - Cálculo'!$B$15)</f>
        <v>0.70030500000000007</v>
      </c>
      <c r="L1057" s="15">
        <f t="shared" si="234"/>
        <v>34.314945000000002</v>
      </c>
      <c r="M1057" s="15">
        <f t="shared" si="235"/>
        <v>14.375</v>
      </c>
      <c r="N1057" s="15">
        <f t="shared" si="236"/>
        <v>3</v>
      </c>
      <c r="O1057" s="15">
        <f t="shared" si="237"/>
        <v>16.939945000000002</v>
      </c>
      <c r="P1057" s="15">
        <f t="shared" si="238"/>
        <v>0</v>
      </c>
      <c r="Q1057" s="14" t="str">
        <f>IF(M1057&gt;=I1057*'Hoja 4 - Cálculo'!$B$16,"Satisfactorio","Falla")</f>
        <v>Satisfactorio</v>
      </c>
      <c r="R1057" s="14">
        <f t="shared" si="240"/>
        <v>0</v>
      </c>
      <c r="S1057" s="14">
        <f t="shared" si="241"/>
        <v>0</v>
      </c>
    </row>
    <row r="1058" spans="1:19">
      <c r="A1058" s="14" t="str">
        <f t="shared" si="232"/>
        <v>SRY-3-3</v>
      </c>
      <c r="B1058" s="15">
        <f>'Curvas SRY'!$B$10</f>
        <v>3</v>
      </c>
      <c r="C1058" s="15">
        <f>'Curvas SRY'!$E$10</f>
        <v>1.25</v>
      </c>
      <c r="D1058" s="14" t="str">
        <f>'Curvas SRY'!$B$14</f>
        <v>Uso variable</v>
      </c>
      <c r="E1058" s="14">
        <f>95</f>
        <v>95</v>
      </c>
      <c r="F1058" s="21">
        <f>'Hoja 4 - Cálculo'!A119</f>
        <v>32448</v>
      </c>
      <c r="G1058" s="15">
        <f>'Hoja 4 - Cálculo'!H119</f>
        <v>25.876124999999998</v>
      </c>
      <c r="H1058" s="15">
        <f>IF(D1058="Uso único",'Hoja 4 - Cálculo'!I119,IF(D1058="Uso múltiple",AVERAGE('Hoja 4 - Cálculo'!$I$25:$I$384)+AVERAGE('Hoja 4 - Cálculo'!$J$25:$J$384)+AVERAGE('Hoja 4 - Cálculo'!$K$25:$K$384),IF(D1058="Uso prioritario",'Hoja 4 - Cálculo'!I119+'Hoja 4 - Cálculo'!K119,'Hoja 4 - Cálculo'!I119+'Hoja 4 - Cálculo'!J119+'Hoja 4 - Cálculo'!K119)))</f>
        <v>11.5</v>
      </c>
      <c r="I1058" s="15">
        <f t="shared" si="233"/>
        <v>14.375</v>
      </c>
      <c r="J1058" s="15">
        <f t="shared" si="239"/>
        <v>3</v>
      </c>
      <c r="K1058" s="15">
        <f>MIN(J1058+G1058,(J1058+G1058)*'Hoja 4 - Cálculo'!$B$15)</f>
        <v>0.57752249999999994</v>
      </c>
      <c r="L1058" s="15">
        <f t="shared" si="234"/>
        <v>28.298602499999998</v>
      </c>
      <c r="M1058" s="15">
        <f t="shared" si="235"/>
        <v>14.375</v>
      </c>
      <c r="N1058" s="15">
        <f t="shared" si="236"/>
        <v>3</v>
      </c>
      <c r="O1058" s="15">
        <f t="shared" si="237"/>
        <v>10.923602499999998</v>
      </c>
      <c r="P1058" s="15">
        <f t="shared" si="238"/>
        <v>0</v>
      </c>
      <c r="Q1058" s="14" t="str">
        <f>IF(M1058&gt;=I1058*'Hoja 4 - Cálculo'!$B$16,"Satisfactorio","Falla")</f>
        <v>Satisfactorio</v>
      </c>
      <c r="R1058" s="14">
        <f t="shared" si="240"/>
        <v>0</v>
      </c>
      <c r="S1058" s="14">
        <f t="shared" si="241"/>
        <v>0</v>
      </c>
    </row>
    <row r="1059" spans="1:19">
      <c r="A1059" s="14" t="str">
        <f t="shared" si="232"/>
        <v>SRY-3-3</v>
      </c>
      <c r="B1059" s="15">
        <f>'Curvas SRY'!$B$10</f>
        <v>3</v>
      </c>
      <c r="C1059" s="15">
        <f>'Curvas SRY'!$E$10</f>
        <v>1.25</v>
      </c>
      <c r="D1059" s="14" t="str">
        <f>'Curvas SRY'!$B$14</f>
        <v>Uso variable</v>
      </c>
      <c r="E1059" s="14">
        <f>96</f>
        <v>96</v>
      </c>
      <c r="F1059" s="21">
        <f>'Hoja 4 - Cálculo'!A120</f>
        <v>32478</v>
      </c>
      <c r="G1059" s="15">
        <f>'Hoja 4 - Cálculo'!H120</f>
        <v>16.218</v>
      </c>
      <c r="H1059" s="15">
        <f>IF(D1059="Uso único",'Hoja 4 - Cálculo'!I120,IF(D1059="Uso múltiple",AVERAGE('Hoja 4 - Cálculo'!$I$25:$I$384)+AVERAGE('Hoja 4 - Cálculo'!$J$25:$J$384)+AVERAGE('Hoja 4 - Cálculo'!$K$25:$K$384),IF(D1059="Uso prioritario",'Hoja 4 - Cálculo'!I120+'Hoja 4 - Cálculo'!K120,'Hoja 4 - Cálculo'!I120+'Hoja 4 - Cálculo'!J120+'Hoja 4 - Cálculo'!K120)))</f>
        <v>16</v>
      </c>
      <c r="I1059" s="15">
        <f t="shared" si="233"/>
        <v>20</v>
      </c>
      <c r="J1059" s="15">
        <f t="shared" si="239"/>
        <v>3</v>
      </c>
      <c r="K1059" s="15">
        <f>MIN(J1059+G1059,(J1059+G1059)*'Hoja 4 - Cálculo'!$B$15)</f>
        <v>0.38436000000000003</v>
      </c>
      <c r="L1059" s="15">
        <f t="shared" si="234"/>
        <v>18.833639999999999</v>
      </c>
      <c r="M1059" s="15">
        <f t="shared" si="235"/>
        <v>18.833639999999999</v>
      </c>
      <c r="N1059" s="15">
        <f t="shared" si="236"/>
        <v>0</v>
      </c>
      <c r="O1059" s="15">
        <f t="shared" si="237"/>
        <v>0</v>
      </c>
      <c r="P1059" s="15">
        <f t="shared" si="238"/>
        <v>1.166360000000001</v>
      </c>
      <c r="Q1059" s="14" t="str">
        <f>IF(M1059&gt;=I1059*'Hoja 4 - Cálculo'!$B$16,"Satisfactorio","Falla")</f>
        <v>Falla</v>
      </c>
      <c r="R1059" s="14">
        <f t="shared" si="240"/>
        <v>0</v>
      </c>
      <c r="S1059" s="14">
        <f t="shared" si="241"/>
        <v>1</v>
      </c>
    </row>
    <row r="1060" spans="1:19">
      <c r="A1060" s="14" t="str">
        <f t="shared" ref="A1060:A1083" si="242">"SRY-3-3"</f>
        <v>SRY-3-3</v>
      </c>
      <c r="B1060" s="15">
        <f>'Curvas SRY'!$B$10</f>
        <v>3</v>
      </c>
      <c r="C1060" s="15">
        <f>'Curvas SRY'!$E$10</f>
        <v>1.25</v>
      </c>
      <c r="D1060" s="14" t="str">
        <f>'Curvas SRY'!$B$14</f>
        <v>Uso variable</v>
      </c>
      <c r="E1060" s="14">
        <f>97</f>
        <v>97</v>
      </c>
      <c r="F1060" s="21">
        <f>'Hoja 4 - Cálculo'!A121</f>
        <v>32509</v>
      </c>
      <c r="G1060" s="15">
        <f>'Hoja 4 - Cálculo'!H121</f>
        <v>11.761875</v>
      </c>
      <c r="H1060" s="15">
        <f>IF(D1060="Uso único",'Hoja 4 - Cálculo'!I121,IF(D1060="Uso múltiple",AVERAGE('Hoja 4 - Cálculo'!$I$25:$I$384)+AVERAGE('Hoja 4 - Cálculo'!$J$25:$J$384)+AVERAGE('Hoja 4 - Cálculo'!$K$25:$K$384),IF(D1060="Uso prioritario",'Hoja 4 - Cálculo'!I121+'Hoja 4 - Cálculo'!K121,'Hoja 4 - Cálculo'!I121+'Hoja 4 - Cálculo'!J121+'Hoja 4 - Cálculo'!K121)))</f>
        <v>16</v>
      </c>
      <c r="I1060" s="15">
        <f t="shared" si="233"/>
        <v>20</v>
      </c>
      <c r="J1060" s="15">
        <f t="shared" si="239"/>
        <v>0</v>
      </c>
      <c r="K1060" s="15">
        <f>MIN(J1060+G1060,(J1060+G1060)*'Hoja 4 - Cálculo'!$B$15)</f>
        <v>0.23523749999999999</v>
      </c>
      <c r="L1060" s="15">
        <f t="shared" si="234"/>
        <v>11.5266375</v>
      </c>
      <c r="M1060" s="15">
        <f t="shared" si="235"/>
        <v>11.5266375</v>
      </c>
      <c r="N1060" s="15">
        <f t="shared" si="236"/>
        <v>0</v>
      </c>
      <c r="O1060" s="15">
        <f t="shared" si="237"/>
        <v>0</v>
      </c>
      <c r="P1060" s="15">
        <f t="shared" si="238"/>
        <v>8.4733625000000004</v>
      </c>
      <c r="Q1060" s="14" t="str">
        <f>IF(M1060&gt;=I1060*'Hoja 4 - Cálculo'!$B$16,"Satisfactorio","Falla")</f>
        <v>Falla</v>
      </c>
      <c r="R1060" s="14">
        <f t="shared" si="240"/>
        <v>0</v>
      </c>
      <c r="S1060" s="14">
        <f t="shared" si="241"/>
        <v>0</v>
      </c>
    </row>
    <row r="1061" spans="1:19">
      <c r="A1061" s="14" t="str">
        <f t="shared" si="242"/>
        <v>SRY-3-3</v>
      </c>
      <c r="B1061" s="15">
        <f>'Curvas SRY'!$B$10</f>
        <v>3</v>
      </c>
      <c r="C1061" s="15">
        <f>'Curvas SRY'!$E$10</f>
        <v>1.25</v>
      </c>
      <c r="D1061" s="14" t="str">
        <f>'Curvas SRY'!$B$14</f>
        <v>Uso variable</v>
      </c>
      <c r="E1061" s="14">
        <f>98</f>
        <v>98</v>
      </c>
      <c r="F1061" s="21">
        <f>'Hoja 4 - Cálculo'!A122</f>
        <v>32540</v>
      </c>
      <c r="G1061" s="15">
        <f>'Hoja 4 - Cálculo'!H122</f>
        <v>12.43125</v>
      </c>
      <c r="H1061" s="15">
        <f>IF(D1061="Uso único",'Hoja 4 - Cálculo'!I122,IF(D1061="Uso múltiple",AVERAGE('Hoja 4 - Cálculo'!$I$25:$I$384)+AVERAGE('Hoja 4 - Cálculo'!$J$25:$J$384)+AVERAGE('Hoja 4 - Cálculo'!$K$25:$K$384),IF(D1061="Uso prioritario",'Hoja 4 - Cálculo'!I122+'Hoja 4 - Cálculo'!K122,'Hoja 4 - Cálculo'!I122+'Hoja 4 - Cálculo'!J122+'Hoja 4 - Cálculo'!K122)))</f>
        <v>16</v>
      </c>
      <c r="I1061" s="15">
        <f t="shared" si="233"/>
        <v>20</v>
      </c>
      <c r="J1061" s="15">
        <f t="shared" ref="J1061:J1083" si="243">N1060</f>
        <v>0</v>
      </c>
      <c r="K1061" s="15">
        <f>MIN(J1061+G1061,(J1061+G1061)*'Hoja 4 - Cálculo'!$B$15)</f>
        <v>0.24862500000000001</v>
      </c>
      <c r="L1061" s="15">
        <f t="shared" si="234"/>
        <v>12.182625</v>
      </c>
      <c r="M1061" s="15">
        <f t="shared" si="235"/>
        <v>12.182625</v>
      </c>
      <c r="N1061" s="15">
        <f t="shared" si="236"/>
        <v>0</v>
      </c>
      <c r="O1061" s="15">
        <f t="shared" si="237"/>
        <v>0</v>
      </c>
      <c r="P1061" s="15">
        <f t="shared" si="238"/>
        <v>7.8173750000000002</v>
      </c>
      <c r="Q1061" s="14" t="str">
        <f>IF(M1061&gt;=I1061*'Hoja 4 - Cálculo'!$B$16,"Satisfactorio","Falla")</f>
        <v>Falla</v>
      </c>
      <c r="R1061" s="14">
        <f t="shared" ref="R1061:R1092" si="244">IF(AND(Q1060="Falla",Q1061="Satisfactorio"),1,0)</f>
        <v>0</v>
      </c>
      <c r="S1061" s="14">
        <f t="shared" ref="S1061:S1083" si="245">IF(AND(Q1061="Falla",Q1060&lt;&gt;"Falla"),1,0)</f>
        <v>0</v>
      </c>
    </row>
    <row r="1062" spans="1:19">
      <c r="A1062" s="14" t="str">
        <f t="shared" si="242"/>
        <v>SRY-3-3</v>
      </c>
      <c r="B1062" s="15">
        <f>'Curvas SRY'!$B$10</f>
        <v>3</v>
      </c>
      <c r="C1062" s="15">
        <f>'Curvas SRY'!$E$10</f>
        <v>1.25</v>
      </c>
      <c r="D1062" s="14" t="str">
        <f>'Curvas SRY'!$B$14</f>
        <v>Uso variable</v>
      </c>
      <c r="E1062" s="14">
        <f>99</f>
        <v>99</v>
      </c>
      <c r="F1062" s="21">
        <f>'Hoja 4 - Cálculo'!A123</f>
        <v>32568</v>
      </c>
      <c r="G1062" s="15">
        <f>'Hoja 4 - Cálculo'!H123</f>
        <v>19.717874999999999</v>
      </c>
      <c r="H1062" s="15">
        <f>IF(D1062="Uso único",'Hoja 4 - Cálculo'!I123,IF(D1062="Uso múltiple",AVERAGE('Hoja 4 - Cálculo'!$I$25:$I$384)+AVERAGE('Hoja 4 - Cálculo'!$J$25:$J$384)+AVERAGE('Hoja 4 - Cálculo'!$K$25:$K$384),IF(D1062="Uso prioritario",'Hoja 4 - Cálculo'!I123+'Hoja 4 - Cálculo'!K123,'Hoja 4 - Cálculo'!I123+'Hoja 4 - Cálculo'!J123+'Hoja 4 - Cálculo'!K123)))</f>
        <v>16</v>
      </c>
      <c r="I1062" s="15">
        <f t="shared" si="233"/>
        <v>20</v>
      </c>
      <c r="J1062" s="15">
        <f t="shared" si="243"/>
        <v>0</v>
      </c>
      <c r="K1062" s="15">
        <f>MIN(J1062+G1062,(J1062+G1062)*'Hoja 4 - Cálculo'!$B$15)</f>
        <v>0.39435749999999997</v>
      </c>
      <c r="L1062" s="15">
        <f t="shared" si="234"/>
        <v>19.323517499999998</v>
      </c>
      <c r="M1062" s="15">
        <f t="shared" si="235"/>
        <v>19.323517499999998</v>
      </c>
      <c r="N1062" s="15">
        <f t="shared" si="236"/>
        <v>0</v>
      </c>
      <c r="O1062" s="15">
        <f t="shared" si="237"/>
        <v>0</v>
      </c>
      <c r="P1062" s="15">
        <f t="shared" si="238"/>
        <v>0.67648250000000232</v>
      </c>
      <c r="Q1062" s="14" t="str">
        <f>IF(M1062&gt;=I1062*'Hoja 4 - Cálculo'!$B$16,"Satisfactorio","Falla")</f>
        <v>Falla</v>
      </c>
      <c r="R1062" s="14">
        <f t="shared" si="244"/>
        <v>0</v>
      </c>
      <c r="S1062" s="14">
        <f t="shared" si="245"/>
        <v>0</v>
      </c>
    </row>
    <row r="1063" spans="1:19">
      <c r="A1063" s="14" t="str">
        <f t="shared" si="242"/>
        <v>SRY-3-3</v>
      </c>
      <c r="B1063" s="15">
        <f>'Curvas SRY'!$B$10</f>
        <v>3</v>
      </c>
      <c r="C1063" s="15">
        <f>'Curvas SRY'!$E$10</f>
        <v>1.25</v>
      </c>
      <c r="D1063" s="14" t="str">
        <f>'Curvas SRY'!$B$14</f>
        <v>Uso variable</v>
      </c>
      <c r="E1063" s="14">
        <f>100</f>
        <v>100</v>
      </c>
      <c r="F1063" s="21">
        <f>'Hoja 4 - Cálculo'!A124</f>
        <v>32599</v>
      </c>
      <c r="G1063" s="15">
        <f>'Hoja 4 - Cálculo'!H124</f>
        <v>26.029125000000001</v>
      </c>
      <c r="H1063" s="15">
        <f>IF(D1063="Uso único",'Hoja 4 - Cálculo'!I124,IF(D1063="Uso múltiple",AVERAGE('Hoja 4 - Cálculo'!$I$25:$I$384)+AVERAGE('Hoja 4 - Cálculo'!$J$25:$J$384)+AVERAGE('Hoja 4 - Cálculo'!$K$25:$K$384),IF(D1063="Uso prioritario",'Hoja 4 - Cálculo'!I124+'Hoja 4 - Cálculo'!K124,'Hoja 4 - Cálculo'!I124+'Hoja 4 - Cálculo'!J124+'Hoja 4 - Cálculo'!K124)))</f>
        <v>11.5</v>
      </c>
      <c r="I1063" s="15">
        <f t="shared" si="233"/>
        <v>14.375</v>
      </c>
      <c r="J1063" s="15">
        <f t="shared" si="243"/>
        <v>0</v>
      </c>
      <c r="K1063" s="15">
        <f>MIN(J1063+G1063,(J1063+G1063)*'Hoja 4 - Cálculo'!$B$15)</f>
        <v>0.52058250000000006</v>
      </c>
      <c r="L1063" s="15">
        <f t="shared" si="234"/>
        <v>25.508542500000001</v>
      </c>
      <c r="M1063" s="15">
        <f t="shared" si="235"/>
        <v>14.375</v>
      </c>
      <c r="N1063" s="15">
        <f t="shared" si="236"/>
        <v>3</v>
      </c>
      <c r="O1063" s="15">
        <f t="shared" si="237"/>
        <v>8.1335425000000008</v>
      </c>
      <c r="P1063" s="15">
        <f t="shared" si="238"/>
        <v>0</v>
      </c>
      <c r="Q1063" s="14" t="str">
        <f>IF(M1063&gt;=I1063*'Hoja 4 - Cálculo'!$B$16,"Satisfactorio","Falla")</f>
        <v>Satisfactorio</v>
      </c>
      <c r="R1063" s="14">
        <f t="shared" si="244"/>
        <v>1</v>
      </c>
      <c r="S1063" s="14">
        <f t="shared" si="245"/>
        <v>0</v>
      </c>
    </row>
    <row r="1064" spans="1:19">
      <c r="A1064" s="14" t="str">
        <f t="shared" si="242"/>
        <v>SRY-3-3</v>
      </c>
      <c r="B1064" s="15">
        <f>'Curvas SRY'!$B$10</f>
        <v>3</v>
      </c>
      <c r="C1064" s="15">
        <f>'Curvas SRY'!$E$10</f>
        <v>1.25</v>
      </c>
      <c r="D1064" s="14" t="str">
        <f>'Curvas SRY'!$B$14</f>
        <v>Uso variable</v>
      </c>
      <c r="E1064" s="14">
        <f>101</f>
        <v>101</v>
      </c>
      <c r="F1064" s="21">
        <f>'Hoja 4 - Cálculo'!A125</f>
        <v>32629</v>
      </c>
      <c r="G1064" s="15">
        <f>'Hoja 4 - Cálculo'!H125</f>
        <v>24.728625000000005</v>
      </c>
      <c r="H1064" s="15">
        <f>IF(D1064="Uso único",'Hoja 4 - Cálculo'!I125,IF(D1064="Uso múltiple",AVERAGE('Hoja 4 - Cálculo'!$I$25:$I$384)+AVERAGE('Hoja 4 - Cálculo'!$J$25:$J$384)+AVERAGE('Hoja 4 - Cálculo'!$K$25:$K$384),IF(D1064="Uso prioritario",'Hoja 4 - Cálculo'!I125+'Hoja 4 - Cálculo'!K125,'Hoja 4 - Cálculo'!I125+'Hoja 4 - Cálculo'!J125+'Hoja 4 - Cálculo'!K125)))</f>
        <v>11.5</v>
      </c>
      <c r="I1064" s="15">
        <f t="shared" si="233"/>
        <v>14.375</v>
      </c>
      <c r="J1064" s="15">
        <f t="shared" si="243"/>
        <v>3</v>
      </c>
      <c r="K1064" s="15">
        <f>MIN(J1064+G1064,(J1064+G1064)*'Hoja 4 - Cálculo'!$B$15)</f>
        <v>0.55457250000000013</v>
      </c>
      <c r="L1064" s="15">
        <f t="shared" si="234"/>
        <v>27.174052500000005</v>
      </c>
      <c r="M1064" s="15">
        <f t="shared" si="235"/>
        <v>14.375</v>
      </c>
      <c r="N1064" s="15">
        <f t="shared" si="236"/>
        <v>3</v>
      </c>
      <c r="O1064" s="15">
        <f t="shared" si="237"/>
        <v>9.7990525000000055</v>
      </c>
      <c r="P1064" s="15">
        <f t="shared" si="238"/>
        <v>0</v>
      </c>
      <c r="Q1064" s="14" t="str">
        <f>IF(M1064&gt;=I1064*'Hoja 4 - Cálculo'!$B$16,"Satisfactorio","Falla")</f>
        <v>Satisfactorio</v>
      </c>
      <c r="R1064" s="14">
        <f t="shared" si="244"/>
        <v>0</v>
      </c>
      <c r="S1064" s="14">
        <f t="shared" si="245"/>
        <v>0</v>
      </c>
    </row>
    <row r="1065" spans="1:19">
      <c r="A1065" s="14" t="str">
        <f t="shared" si="242"/>
        <v>SRY-3-3</v>
      </c>
      <c r="B1065" s="15">
        <f>'Curvas SRY'!$B$10</f>
        <v>3</v>
      </c>
      <c r="C1065" s="15">
        <f>'Curvas SRY'!$E$10</f>
        <v>1.25</v>
      </c>
      <c r="D1065" s="14" t="str">
        <f>'Curvas SRY'!$B$14</f>
        <v>Uso variable</v>
      </c>
      <c r="E1065" s="14">
        <f>102</f>
        <v>102</v>
      </c>
      <c r="F1065" s="21">
        <f>'Hoja 4 - Cálculo'!A126</f>
        <v>32660</v>
      </c>
      <c r="G1065" s="15">
        <f>'Hoja 4 - Cálculo'!H126</f>
        <v>14.515874999999999</v>
      </c>
      <c r="H1065" s="15">
        <f>IF(D1065="Uso único",'Hoja 4 - Cálculo'!I126,IF(D1065="Uso múltiple",AVERAGE('Hoja 4 - Cálculo'!$I$25:$I$384)+AVERAGE('Hoja 4 - Cálculo'!$J$25:$J$384)+AVERAGE('Hoja 4 - Cálculo'!$K$25:$K$384),IF(D1065="Uso prioritario",'Hoja 4 - Cálculo'!I126+'Hoja 4 - Cálculo'!K126,'Hoja 4 - Cálculo'!I126+'Hoja 4 - Cálculo'!J126+'Hoja 4 - Cálculo'!K126)))</f>
        <v>11.5</v>
      </c>
      <c r="I1065" s="15">
        <f t="shared" si="233"/>
        <v>14.375</v>
      </c>
      <c r="J1065" s="15">
        <f t="shared" si="243"/>
        <v>3</v>
      </c>
      <c r="K1065" s="15">
        <f>MIN(J1065+G1065,(J1065+G1065)*'Hoja 4 - Cálculo'!$B$15)</f>
        <v>0.3503175</v>
      </c>
      <c r="L1065" s="15">
        <f t="shared" si="234"/>
        <v>17.165557500000002</v>
      </c>
      <c r="M1065" s="15">
        <f t="shared" si="235"/>
        <v>14.375</v>
      </c>
      <c r="N1065" s="15">
        <f t="shared" si="236"/>
        <v>2.790557500000002</v>
      </c>
      <c r="O1065" s="15">
        <f t="shared" si="237"/>
        <v>0</v>
      </c>
      <c r="P1065" s="15">
        <f t="shared" si="238"/>
        <v>0</v>
      </c>
      <c r="Q1065" s="14" t="str">
        <f>IF(M1065&gt;=I1065*'Hoja 4 - Cálculo'!$B$16,"Satisfactorio","Falla")</f>
        <v>Satisfactorio</v>
      </c>
      <c r="R1065" s="14">
        <f t="shared" si="244"/>
        <v>0</v>
      </c>
      <c r="S1065" s="14">
        <f t="shared" si="245"/>
        <v>0</v>
      </c>
    </row>
    <row r="1066" spans="1:19">
      <c r="A1066" s="14" t="str">
        <f t="shared" si="242"/>
        <v>SRY-3-3</v>
      </c>
      <c r="B1066" s="15">
        <f>'Curvas SRY'!$B$10</f>
        <v>3</v>
      </c>
      <c r="C1066" s="15">
        <f>'Curvas SRY'!$E$10</f>
        <v>1.25</v>
      </c>
      <c r="D1066" s="14" t="str">
        <f>'Curvas SRY'!$B$14</f>
        <v>Uso variable</v>
      </c>
      <c r="E1066" s="14">
        <f>103</f>
        <v>103</v>
      </c>
      <c r="F1066" s="21">
        <f>'Hoja 4 - Cálculo'!A127</f>
        <v>32690</v>
      </c>
      <c r="G1066" s="15">
        <f>'Hoja 4 - Cálculo'!H127</f>
        <v>12.144375</v>
      </c>
      <c r="H1066" s="15">
        <f>IF(D1066="Uso único",'Hoja 4 - Cálculo'!I127,IF(D1066="Uso múltiple",AVERAGE('Hoja 4 - Cálculo'!$I$25:$I$384)+AVERAGE('Hoja 4 - Cálculo'!$J$25:$J$384)+AVERAGE('Hoja 4 - Cálculo'!$K$25:$K$384),IF(D1066="Uso prioritario",'Hoja 4 - Cálculo'!I127+'Hoja 4 - Cálculo'!K127,'Hoja 4 - Cálculo'!I127+'Hoja 4 - Cálculo'!J127+'Hoja 4 - Cálculo'!K127)))</f>
        <v>16</v>
      </c>
      <c r="I1066" s="15">
        <f t="shared" si="233"/>
        <v>20</v>
      </c>
      <c r="J1066" s="15">
        <f t="shared" si="243"/>
        <v>2.790557500000002</v>
      </c>
      <c r="K1066" s="15">
        <f>MIN(J1066+G1066,(J1066+G1066)*'Hoja 4 - Cálculo'!$B$15)</f>
        <v>0.29869865000000007</v>
      </c>
      <c r="L1066" s="15">
        <f t="shared" si="234"/>
        <v>14.636233850000002</v>
      </c>
      <c r="M1066" s="15">
        <f t="shared" si="235"/>
        <v>14.636233850000002</v>
      </c>
      <c r="N1066" s="15">
        <f t="shared" si="236"/>
        <v>0</v>
      </c>
      <c r="O1066" s="15">
        <f t="shared" si="237"/>
        <v>0</v>
      </c>
      <c r="P1066" s="15">
        <f t="shared" si="238"/>
        <v>5.3637661499999982</v>
      </c>
      <c r="Q1066" s="14" t="str">
        <f>IF(M1066&gt;=I1066*'Hoja 4 - Cálculo'!$B$16,"Satisfactorio","Falla")</f>
        <v>Falla</v>
      </c>
      <c r="R1066" s="14">
        <f t="shared" si="244"/>
        <v>0</v>
      </c>
      <c r="S1066" s="14">
        <f t="shared" si="245"/>
        <v>1</v>
      </c>
    </row>
    <row r="1067" spans="1:19">
      <c r="A1067" s="14" t="str">
        <f t="shared" si="242"/>
        <v>SRY-3-3</v>
      </c>
      <c r="B1067" s="15">
        <f>'Curvas SRY'!$B$10</f>
        <v>3</v>
      </c>
      <c r="C1067" s="15">
        <f>'Curvas SRY'!$E$10</f>
        <v>1.25</v>
      </c>
      <c r="D1067" s="14" t="str">
        <f>'Curvas SRY'!$B$14</f>
        <v>Uso variable</v>
      </c>
      <c r="E1067" s="14">
        <f>104</f>
        <v>104</v>
      </c>
      <c r="F1067" s="21">
        <f>'Hoja 4 - Cálculo'!A128</f>
        <v>32721</v>
      </c>
      <c r="G1067" s="15">
        <f>'Hoja 4 - Cálculo'!H128</f>
        <v>13.04325</v>
      </c>
      <c r="H1067" s="15">
        <f>IF(D1067="Uso único",'Hoja 4 - Cálculo'!I128,IF(D1067="Uso múltiple",AVERAGE('Hoja 4 - Cálculo'!$I$25:$I$384)+AVERAGE('Hoja 4 - Cálculo'!$J$25:$J$384)+AVERAGE('Hoja 4 - Cálculo'!$K$25:$K$384),IF(D1067="Uso prioritario",'Hoja 4 - Cálculo'!I128+'Hoja 4 - Cálculo'!K128,'Hoja 4 - Cálculo'!I128+'Hoja 4 - Cálculo'!J128+'Hoja 4 - Cálculo'!K128)))</f>
        <v>16</v>
      </c>
      <c r="I1067" s="15">
        <f t="shared" si="233"/>
        <v>20</v>
      </c>
      <c r="J1067" s="15">
        <f t="shared" si="243"/>
        <v>0</v>
      </c>
      <c r="K1067" s="15">
        <f>MIN(J1067+G1067,(J1067+G1067)*'Hoja 4 - Cálculo'!$B$15)</f>
        <v>0.26086500000000001</v>
      </c>
      <c r="L1067" s="15">
        <f t="shared" si="234"/>
        <v>12.782385</v>
      </c>
      <c r="M1067" s="15">
        <f t="shared" si="235"/>
        <v>12.782385</v>
      </c>
      <c r="N1067" s="15">
        <f t="shared" si="236"/>
        <v>0</v>
      </c>
      <c r="O1067" s="15">
        <f t="shared" si="237"/>
        <v>0</v>
      </c>
      <c r="P1067" s="15">
        <f t="shared" si="238"/>
        <v>7.2176150000000003</v>
      </c>
      <c r="Q1067" s="14" t="str">
        <f>IF(M1067&gt;=I1067*'Hoja 4 - Cálculo'!$B$16,"Satisfactorio","Falla")</f>
        <v>Falla</v>
      </c>
      <c r="R1067" s="14">
        <f t="shared" si="244"/>
        <v>0</v>
      </c>
      <c r="S1067" s="14">
        <f t="shared" si="245"/>
        <v>0</v>
      </c>
    </row>
    <row r="1068" spans="1:19">
      <c r="A1068" s="14" t="str">
        <f t="shared" si="242"/>
        <v>SRY-3-3</v>
      </c>
      <c r="B1068" s="15">
        <f>'Curvas SRY'!$B$10</f>
        <v>3</v>
      </c>
      <c r="C1068" s="15">
        <f>'Curvas SRY'!$E$10</f>
        <v>1.25</v>
      </c>
      <c r="D1068" s="14" t="str">
        <f>'Curvas SRY'!$B$14</f>
        <v>Uso variable</v>
      </c>
      <c r="E1068" s="14">
        <f>105</f>
        <v>105</v>
      </c>
      <c r="F1068" s="21">
        <f>'Hoja 4 - Cálculo'!A129</f>
        <v>32752</v>
      </c>
      <c r="G1068" s="15">
        <f>'Hoja 4 - Cálculo'!H129</f>
        <v>20.444624999999998</v>
      </c>
      <c r="H1068" s="15">
        <f>IF(D1068="Uso único",'Hoja 4 - Cálculo'!I129,IF(D1068="Uso múltiple",AVERAGE('Hoja 4 - Cálculo'!$I$25:$I$384)+AVERAGE('Hoja 4 - Cálculo'!$J$25:$J$384)+AVERAGE('Hoja 4 - Cálculo'!$K$25:$K$384),IF(D1068="Uso prioritario",'Hoja 4 - Cálculo'!I129+'Hoja 4 - Cálculo'!K129,'Hoja 4 - Cálculo'!I129+'Hoja 4 - Cálculo'!J129+'Hoja 4 - Cálculo'!K129)))</f>
        <v>11.5</v>
      </c>
      <c r="I1068" s="15">
        <f t="shared" si="233"/>
        <v>14.375</v>
      </c>
      <c r="J1068" s="15">
        <f t="shared" si="243"/>
        <v>0</v>
      </c>
      <c r="K1068" s="15">
        <f>MIN(J1068+G1068,(J1068+G1068)*'Hoja 4 - Cálculo'!$B$15)</f>
        <v>0.40889249999999999</v>
      </c>
      <c r="L1068" s="15">
        <f t="shared" si="234"/>
        <v>20.035732499999998</v>
      </c>
      <c r="M1068" s="15">
        <f t="shared" si="235"/>
        <v>14.375</v>
      </c>
      <c r="N1068" s="15">
        <f t="shared" si="236"/>
        <v>3</v>
      </c>
      <c r="O1068" s="15">
        <f t="shared" si="237"/>
        <v>2.6607324999999982</v>
      </c>
      <c r="P1068" s="15">
        <f t="shared" si="238"/>
        <v>0</v>
      </c>
      <c r="Q1068" s="14" t="str">
        <f>IF(M1068&gt;=I1068*'Hoja 4 - Cálculo'!$B$16,"Satisfactorio","Falla")</f>
        <v>Satisfactorio</v>
      </c>
      <c r="R1068" s="14">
        <f t="shared" si="244"/>
        <v>1</v>
      </c>
      <c r="S1068" s="14">
        <f t="shared" si="245"/>
        <v>0</v>
      </c>
    </row>
    <row r="1069" spans="1:19">
      <c r="A1069" s="14" t="str">
        <f t="shared" si="242"/>
        <v>SRY-3-3</v>
      </c>
      <c r="B1069" s="15">
        <f>'Curvas SRY'!$B$10</f>
        <v>3</v>
      </c>
      <c r="C1069" s="15">
        <f>'Curvas SRY'!$E$10</f>
        <v>1.25</v>
      </c>
      <c r="D1069" s="14" t="str">
        <f>'Curvas SRY'!$B$14</f>
        <v>Uso variable</v>
      </c>
      <c r="E1069" s="14">
        <f>106</f>
        <v>106</v>
      </c>
      <c r="F1069" s="21">
        <f>'Hoja 4 - Cálculo'!A130</f>
        <v>32782</v>
      </c>
      <c r="G1069" s="15">
        <f>'Hoja 4 - Cálculo'!H130</f>
        <v>28.343250000000001</v>
      </c>
      <c r="H1069" s="15">
        <f>IF(D1069="Uso único",'Hoja 4 - Cálculo'!I130,IF(D1069="Uso múltiple",AVERAGE('Hoja 4 - Cálculo'!$I$25:$I$384)+AVERAGE('Hoja 4 - Cálculo'!$J$25:$J$384)+AVERAGE('Hoja 4 - Cálculo'!$K$25:$K$384),IF(D1069="Uso prioritario",'Hoja 4 - Cálculo'!I130+'Hoja 4 - Cálculo'!K130,'Hoja 4 - Cálculo'!I130+'Hoja 4 - Cálculo'!J130+'Hoja 4 - Cálculo'!K130)))</f>
        <v>11.5</v>
      </c>
      <c r="I1069" s="15">
        <f t="shared" si="233"/>
        <v>14.375</v>
      </c>
      <c r="J1069" s="15">
        <f t="shared" si="243"/>
        <v>3</v>
      </c>
      <c r="K1069" s="15">
        <f>MIN(J1069+G1069,(J1069+G1069)*'Hoja 4 - Cálculo'!$B$15)</f>
        <v>0.62686500000000001</v>
      </c>
      <c r="L1069" s="15">
        <f t="shared" si="234"/>
        <v>30.716385000000002</v>
      </c>
      <c r="M1069" s="15">
        <f t="shared" si="235"/>
        <v>14.375</v>
      </c>
      <c r="N1069" s="15">
        <f t="shared" si="236"/>
        <v>3</v>
      </c>
      <c r="O1069" s="15">
        <f t="shared" si="237"/>
        <v>13.341385000000002</v>
      </c>
      <c r="P1069" s="15">
        <f t="shared" si="238"/>
        <v>0</v>
      </c>
      <c r="Q1069" s="14" t="str">
        <f>IF(M1069&gt;=I1069*'Hoja 4 - Cálculo'!$B$16,"Satisfactorio","Falla")</f>
        <v>Satisfactorio</v>
      </c>
      <c r="R1069" s="14">
        <f t="shared" si="244"/>
        <v>0</v>
      </c>
      <c r="S1069" s="14">
        <f t="shared" si="245"/>
        <v>0</v>
      </c>
    </row>
    <row r="1070" spans="1:19">
      <c r="A1070" s="14" t="str">
        <f t="shared" si="242"/>
        <v>SRY-3-3</v>
      </c>
      <c r="B1070" s="15">
        <f>'Curvas SRY'!$B$10</f>
        <v>3</v>
      </c>
      <c r="C1070" s="15">
        <f>'Curvas SRY'!$E$10</f>
        <v>1.25</v>
      </c>
      <c r="D1070" s="14" t="str">
        <f>'Curvas SRY'!$B$14</f>
        <v>Uso variable</v>
      </c>
      <c r="E1070" s="14">
        <f>107</f>
        <v>107</v>
      </c>
      <c r="F1070" s="21">
        <f>'Hoja 4 - Cálculo'!A131</f>
        <v>32813</v>
      </c>
      <c r="G1070" s="15">
        <f>'Hoja 4 - Cálculo'!H131</f>
        <v>22.60575</v>
      </c>
      <c r="H1070" s="15">
        <f>IF(D1070="Uso único",'Hoja 4 - Cálculo'!I131,IF(D1070="Uso múltiple",AVERAGE('Hoja 4 - Cálculo'!$I$25:$I$384)+AVERAGE('Hoja 4 - Cálculo'!$J$25:$J$384)+AVERAGE('Hoja 4 - Cálculo'!$K$25:$K$384),IF(D1070="Uso prioritario",'Hoja 4 - Cálculo'!I131+'Hoja 4 - Cálculo'!K131,'Hoja 4 - Cálculo'!I131+'Hoja 4 - Cálculo'!J131+'Hoja 4 - Cálculo'!K131)))</f>
        <v>11.5</v>
      </c>
      <c r="I1070" s="15">
        <f t="shared" si="233"/>
        <v>14.375</v>
      </c>
      <c r="J1070" s="15">
        <f t="shared" si="243"/>
        <v>3</v>
      </c>
      <c r="K1070" s="15">
        <f>MIN(J1070+G1070,(J1070+G1070)*'Hoja 4 - Cálculo'!$B$15)</f>
        <v>0.51211499999999999</v>
      </c>
      <c r="L1070" s="15">
        <f t="shared" si="234"/>
        <v>25.093634999999999</v>
      </c>
      <c r="M1070" s="15">
        <f t="shared" si="235"/>
        <v>14.375</v>
      </c>
      <c r="N1070" s="15">
        <f t="shared" si="236"/>
        <v>3</v>
      </c>
      <c r="O1070" s="15">
        <f t="shared" si="237"/>
        <v>7.718634999999999</v>
      </c>
      <c r="P1070" s="15">
        <f t="shared" si="238"/>
        <v>0</v>
      </c>
      <c r="Q1070" s="14" t="str">
        <f>IF(M1070&gt;=I1070*'Hoja 4 - Cálculo'!$B$16,"Satisfactorio","Falla")</f>
        <v>Satisfactorio</v>
      </c>
      <c r="R1070" s="14">
        <f t="shared" si="244"/>
        <v>0</v>
      </c>
      <c r="S1070" s="14">
        <f t="shared" si="245"/>
        <v>0</v>
      </c>
    </row>
    <row r="1071" spans="1:19">
      <c r="A1071" s="14" t="str">
        <f t="shared" si="242"/>
        <v>SRY-3-3</v>
      </c>
      <c r="B1071" s="15">
        <f>'Curvas SRY'!$B$10</f>
        <v>3</v>
      </c>
      <c r="C1071" s="15">
        <f>'Curvas SRY'!$E$10</f>
        <v>1.25</v>
      </c>
      <c r="D1071" s="14" t="str">
        <f>'Curvas SRY'!$B$14</f>
        <v>Uso variable</v>
      </c>
      <c r="E1071" s="14">
        <f>108</f>
        <v>108</v>
      </c>
      <c r="F1071" s="21">
        <f>'Hoja 4 - Cálculo'!A132</f>
        <v>32843</v>
      </c>
      <c r="G1071" s="15">
        <f>'Hoja 4 - Cálculo'!H132</f>
        <v>14.362875000000001</v>
      </c>
      <c r="H1071" s="15">
        <f>IF(D1071="Uso único",'Hoja 4 - Cálculo'!I132,IF(D1071="Uso múltiple",AVERAGE('Hoja 4 - Cálculo'!$I$25:$I$384)+AVERAGE('Hoja 4 - Cálculo'!$J$25:$J$384)+AVERAGE('Hoja 4 - Cálculo'!$K$25:$K$384),IF(D1071="Uso prioritario",'Hoja 4 - Cálculo'!I132+'Hoja 4 - Cálculo'!K132,'Hoja 4 - Cálculo'!I132+'Hoja 4 - Cálculo'!J132+'Hoja 4 - Cálculo'!K132)))</f>
        <v>16</v>
      </c>
      <c r="I1071" s="15">
        <f t="shared" si="233"/>
        <v>20</v>
      </c>
      <c r="J1071" s="15">
        <f t="shared" si="243"/>
        <v>3</v>
      </c>
      <c r="K1071" s="15">
        <f>MIN(J1071+G1071,(J1071+G1071)*'Hoja 4 - Cálculo'!$B$15)</f>
        <v>0.34725750000000005</v>
      </c>
      <c r="L1071" s="15">
        <f t="shared" si="234"/>
        <v>17.015617500000001</v>
      </c>
      <c r="M1071" s="15">
        <f t="shared" si="235"/>
        <v>17.015617500000001</v>
      </c>
      <c r="N1071" s="15">
        <f t="shared" si="236"/>
        <v>0</v>
      </c>
      <c r="O1071" s="15">
        <f t="shared" si="237"/>
        <v>0</v>
      </c>
      <c r="P1071" s="15">
        <f t="shared" si="238"/>
        <v>2.9843824999999988</v>
      </c>
      <c r="Q1071" s="14" t="str">
        <f>IF(M1071&gt;=I1071*'Hoja 4 - Cálculo'!$B$16,"Satisfactorio","Falla")</f>
        <v>Falla</v>
      </c>
      <c r="R1071" s="14">
        <f t="shared" si="244"/>
        <v>0</v>
      </c>
      <c r="S1071" s="14">
        <f t="shared" si="245"/>
        <v>1</v>
      </c>
    </row>
    <row r="1072" spans="1:19">
      <c r="A1072" s="14" t="str">
        <f t="shared" si="242"/>
        <v>SRY-3-3</v>
      </c>
      <c r="B1072" s="15">
        <f>'Curvas SRY'!$B$10</f>
        <v>3</v>
      </c>
      <c r="C1072" s="15">
        <f>'Curvas SRY'!$E$10</f>
        <v>1.25</v>
      </c>
      <c r="D1072" s="14" t="str">
        <f>'Curvas SRY'!$B$14</f>
        <v>Uso variable</v>
      </c>
      <c r="E1072" s="14">
        <f>109</f>
        <v>109</v>
      </c>
      <c r="F1072" s="21">
        <f>'Hoja 4 - Cálculo'!A133</f>
        <v>32874</v>
      </c>
      <c r="G1072" s="15">
        <f>'Hoja 4 - Cálculo'!H133</f>
        <v>11.723625</v>
      </c>
      <c r="H1072" s="15">
        <f>IF(D1072="Uso único",'Hoja 4 - Cálculo'!I133,IF(D1072="Uso múltiple",AVERAGE('Hoja 4 - Cálculo'!$I$25:$I$384)+AVERAGE('Hoja 4 - Cálculo'!$J$25:$J$384)+AVERAGE('Hoja 4 - Cálculo'!$K$25:$K$384),IF(D1072="Uso prioritario",'Hoja 4 - Cálculo'!I133+'Hoja 4 - Cálculo'!K133,'Hoja 4 - Cálculo'!I133+'Hoja 4 - Cálculo'!J133+'Hoja 4 - Cálculo'!K133)))</f>
        <v>16</v>
      </c>
      <c r="I1072" s="15">
        <f t="shared" si="233"/>
        <v>20</v>
      </c>
      <c r="J1072" s="15">
        <f t="shared" si="243"/>
        <v>0</v>
      </c>
      <c r="K1072" s="15">
        <f>MIN(J1072+G1072,(J1072+G1072)*'Hoja 4 - Cálculo'!$B$15)</f>
        <v>0.2344725</v>
      </c>
      <c r="L1072" s="15">
        <f t="shared" si="234"/>
        <v>11.489152499999999</v>
      </c>
      <c r="M1072" s="15">
        <f t="shared" si="235"/>
        <v>11.489152499999999</v>
      </c>
      <c r="N1072" s="15">
        <f t="shared" si="236"/>
        <v>0</v>
      </c>
      <c r="O1072" s="15">
        <f t="shared" si="237"/>
        <v>0</v>
      </c>
      <c r="P1072" s="15">
        <f t="shared" si="238"/>
        <v>8.5108475000000006</v>
      </c>
      <c r="Q1072" s="14" t="str">
        <f>IF(M1072&gt;=I1072*'Hoja 4 - Cálculo'!$B$16,"Satisfactorio","Falla")</f>
        <v>Falla</v>
      </c>
      <c r="R1072" s="14">
        <f t="shared" si="244"/>
        <v>0</v>
      </c>
      <c r="S1072" s="14">
        <f t="shared" si="245"/>
        <v>0</v>
      </c>
    </row>
    <row r="1073" spans="1:19">
      <c r="A1073" s="14" t="str">
        <f t="shared" si="242"/>
        <v>SRY-3-3</v>
      </c>
      <c r="B1073" s="15">
        <f>'Curvas SRY'!$B$10</f>
        <v>3</v>
      </c>
      <c r="C1073" s="15">
        <f>'Curvas SRY'!$E$10</f>
        <v>1.25</v>
      </c>
      <c r="D1073" s="14" t="str">
        <f>'Curvas SRY'!$B$14</f>
        <v>Uso variable</v>
      </c>
      <c r="E1073" s="14">
        <f>110</f>
        <v>110</v>
      </c>
      <c r="F1073" s="21">
        <f>'Hoja 4 - Cálculo'!A134</f>
        <v>32905</v>
      </c>
      <c r="G1073" s="15">
        <f>'Hoja 4 - Cálculo'!H134</f>
        <v>13.311</v>
      </c>
      <c r="H1073" s="15">
        <f>IF(D1073="Uso único",'Hoja 4 - Cálculo'!I134,IF(D1073="Uso múltiple",AVERAGE('Hoja 4 - Cálculo'!$I$25:$I$384)+AVERAGE('Hoja 4 - Cálculo'!$J$25:$J$384)+AVERAGE('Hoja 4 - Cálculo'!$K$25:$K$384),IF(D1073="Uso prioritario",'Hoja 4 - Cálculo'!I134+'Hoja 4 - Cálculo'!K134,'Hoja 4 - Cálculo'!I134+'Hoja 4 - Cálculo'!J134+'Hoja 4 - Cálculo'!K134)))</f>
        <v>16</v>
      </c>
      <c r="I1073" s="15">
        <f t="shared" si="233"/>
        <v>20</v>
      </c>
      <c r="J1073" s="15">
        <f t="shared" si="243"/>
        <v>0</v>
      </c>
      <c r="K1073" s="15">
        <f>MIN(J1073+G1073,(J1073+G1073)*'Hoja 4 - Cálculo'!$B$15)</f>
        <v>0.26622000000000001</v>
      </c>
      <c r="L1073" s="15">
        <f t="shared" si="234"/>
        <v>13.044779999999999</v>
      </c>
      <c r="M1073" s="15">
        <f t="shared" si="235"/>
        <v>13.044779999999999</v>
      </c>
      <c r="N1073" s="15">
        <f t="shared" si="236"/>
        <v>0</v>
      </c>
      <c r="O1073" s="15">
        <f t="shared" si="237"/>
        <v>0</v>
      </c>
      <c r="P1073" s="15">
        <f t="shared" si="238"/>
        <v>6.9552200000000006</v>
      </c>
      <c r="Q1073" s="14" t="str">
        <f>IF(M1073&gt;=I1073*'Hoja 4 - Cálculo'!$B$16,"Satisfactorio","Falla")</f>
        <v>Falla</v>
      </c>
      <c r="R1073" s="14">
        <f t="shared" si="244"/>
        <v>0</v>
      </c>
      <c r="S1073" s="14">
        <f t="shared" si="245"/>
        <v>0</v>
      </c>
    </row>
    <row r="1074" spans="1:19">
      <c r="A1074" s="14" t="str">
        <f t="shared" si="242"/>
        <v>SRY-3-3</v>
      </c>
      <c r="B1074" s="15">
        <f>'Curvas SRY'!$B$10</f>
        <v>3</v>
      </c>
      <c r="C1074" s="15">
        <f>'Curvas SRY'!$E$10</f>
        <v>1.25</v>
      </c>
      <c r="D1074" s="14" t="str">
        <f>'Curvas SRY'!$B$14</f>
        <v>Uso variable</v>
      </c>
      <c r="E1074" s="14">
        <f>111</f>
        <v>111</v>
      </c>
      <c r="F1074" s="21">
        <f>'Hoja 4 - Cálculo'!A135</f>
        <v>32933</v>
      </c>
      <c r="G1074" s="15">
        <f>'Hoja 4 - Cálculo'!H135</f>
        <v>18.838125000000002</v>
      </c>
      <c r="H1074" s="15">
        <f>IF(D1074="Uso único",'Hoja 4 - Cálculo'!I135,IF(D1074="Uso múltiple",AVERAGE('Hoja 4 - Cálculo'!$I$25:$I$384)+AVERAGE('Hoja 4 - Cálculo'!$J$25:$J$384)+AVERAGE('Hoja 4 - Cálculo'!$K$25:$K$384),IF(D1074="Uso prioritario",'Hoja 4 - Cálculo'!I135+'Hoja 4 - Cálculo'!K135,'Hoja 4 - Cálculo'!I135+'Hoja 4 - Cálculo'!J135+'Hoja 4 - Cálculo'!K135)))</f>
        <v>16</v>
      </c>
      <c r="I1074" s="15">
        <f t="shared" si="233"/>
        <v>20</v>
      </c>
      <c r="J1074" s="15">
        <f t="shared" si="243"/>
        <v>0</v>
      </c>
      <c r="K1074" s="15">
        <f>MIN(J1074+G1074,(J1074+G1074)*'Hoja 4 - Cálculo'!$B$15)</f>
        <v>0.37676250000000006</v>
      </c>
      <c r="L1074" s="15">
        <f t="shared" si="234"/>
        <v>18.4613625</v>
      </c>
      <c r="M1074" s="15">
        <f t="shared" si="235"/>
        <v>18.4613625</v>
      </c>
      <c r="N1074" s="15">
        <f t="shared" si="236"/>
        <v>0</v>
      </c>
      <c r="O1074" s="15">
        <f t="shared" si="237"/>
        <v>0</v>
      </c>
      <c r="P1074" s="15">
        <f t="shared" si="238"/>
        <v>1.5386375000000001</v>
      </c>
      <c r="Q1074" s="14" t="str">
        <f>IF(M1074&gt;=I1074*'Hoja 4 - Cálculo'!$B$16,"Satisfactorio","Falla")</f>
        <v>Falla</v>
      </c>
      <c r="R1074" s="14">
        <f t="shared" si="244"/>
        <v>0</v>
      </c>
      <c r="S1074" s="14">
        <f t="shared" si="245"/>
        <v>0</v>
      </c>
    </row>
    <row r="1075" spans="1:19">
      <c r="A1075" s="14" t="str">
        <f t="shared" si="242"/>
        <v>SRY-3-3</v>
      </c>
      <c r="B1075" s="15">
        <f>'Curvas SRY'!$B$10</f>
        <v>3</v>
      </c>
      <c r="C1075" s="15">
        <f>'Curvas SRY'!$E$10</f>
        <v>1.25</v>
      </c>
      <c r="D1075" s="14" t="str">
        <f>'Curvas SRY'!$B$14</f>
        <v>Uso variable</v>
      </c>
      <c r="E1075" s="14">
        <f>112</f>
        <v>112</v>
      </c>
      <c r="F1075" s="21">
        <f>'Hoja 4 - Cálculo'!A136</f>
        <v>32964</v>
      </c>
      <c r="G1075" s="15">
        <f>'Hoja 4 - Cálculo'!H136</f>
        <v>28.611000000000001</v>
      </c>
      <c r="H1075" s="15">
        <f>IF(D1075="Uso único",'Hoja 4 - Cálculo'!I136,IF(D1075="Uso múltiple",AVERAGE('Hoja 4 - Cálculo'!$I$25:$I$384)+AVERAGE('Hoja 4 - Cálculo'!$J$25:$J$384)+AVERAGE('Hoja 4 - Cálculo'!$K$25:$K$384),IF(D1075="Uso prioritario",'Hoja 4 - Cálculo'!I136+'Hoja 4 - Cálculo'!K136,'Hoja 4 - Cálculo'!I136+'Hoja 4 - Cálculo'!J136+'Hoja 4 - Cálculo'!K136)))</f>
        <v>11.5</v>
      </c>
      <c r="I1075" s="15">
        <f t="shared" si="233"/>
        <v>14.375</v>
      </c>
      <c r="J1075" s="15">
        <f t="shared" si="243"/>
        <v>0</v>
      </c>
      <c r="K1075" s="15">
        <f>MIN(J1075+G1075,(J1075+G1075)*'Hoja 4 - Cálculo'!$B$15)</f>
        <v>0.57222000000000006</v>
      </c>
      <c r="L1075" s="15">
        <f t="shared" si="234"/>
        <v>28.038779999999999</v>
      </c>
      <c r="M1075" s="15">
        <f t="shared" si="235"/>
        <v>14.375</v>
      </c>
      <c r="N1075" s="15">
        <f t="shared" si="236"/>
        <v>3</v>
      </c>
      <c r="O1075" s="15">
        <f t="shared" si="237"/>
        <v>10.663779999999999</v>
      </c>
      <c r="P1075" s="15">
        <f t="shared" si="238"/>
        <v>0</v>
      </c>
      <c r="Q1075" s="14" t="str">
        <f>IF(M1075&gt;=I1075*'Hoja 4 - Cálculo'!$B$16,"Satisfactorio","Falla")</f>
        <v>Satisfactorio</v>
      </c>
      <c r="R1075" s="14">
        <f t="shared" si="244"/>
        <v>1</v>
      </c>
      <c r="S1075" s="14">
        <f t="shared" si="245"/>
        <v>0</v>
      </c>
    </row>
    <row r="1076" spans="1:19">
      <c r="A1076" s="14" t="str">
        <f t="shared" si="242"/>
        <v>SRY-3-3</v>
      </c>
      <c r="B1076" s="15">
        <f>'Curvas SRY'!$B$10</f>
        <v>3</v>
      </c>
      <c r="C1076" s="15">
        <f>'Curvas SRY'!$E$10</f>
        <v>1.25</v>
      </c>
      <c r="D1076" s="14" t="str">
        <f>'Curvas SRY'!$B$14</f>
        <v>Uso variable</v>
      </c>
      <c r="E1076" s="14">
        <f>113</f>
        <v>113</v>
      </c>
      <c r="F1076" s="21">
        <f>'Hoja 4 - Cálculo'!A137</f>
        <v>32994</v>
      </c>
      <c r="G1076" s="15">
        <f>'Hoja 4 - Cálculo'!H137</f>
        <v>23.52375</v>
      </c>
      <c r="H1076" s="15">
        <f>IF(D1076="Uso único",'Hoja 4 - Cálculo'!I137,IF(D1076="Uso múltiple",AVERAGE('Hoja 4 - Cálculo'!$I$25:$I$384)+AVERAGE('Hoja 4 - Cálculo'!$J$25:$J$384)+AVERAGE('Hoja 4 - Cálculo'!$K$25:$K$384),IF(D1076="Uso prioritario",'Hoja 4 - Cálculo'!I137+'Hoja 4 - Cálculo'!K137,'Hoja 4 - Cálculo'!I137+'Hoja 4 - Cálculo'!J137+'Hoja 4 - Cálculo'!K137)))</f>
        <v>11.5</v>
      </c>
      <c r="I1076" s="15">
        <f t="shared" si="233"/>
        <v>14.375</v>
      </c>
      <c r="J1076" s="15">
        <f t="shared" si="243"/>
        <v>3</v>
      </c>
      <c r="K1076" s="15">
        <f>MIN(J1076+G1076,(J1076+G1076)*'Hoja 4 - Cálculo'!$B$15)</f>
        <v>0.53047500000000003</v>
      </c>
      <c r="L1076" s="15">
        <f t="shared" si="234"/>
        <v>25.993275000000001</v>
      </c>
      <c r="M1076" s="15">
        <f t="shared" si="235"/>
        <v>14.375</v>
      </c>
      <c r="N1076" s="15">
        <f t="shared" si="236"/>
        <v>3</v>
      </c>
      <c r="O1076" s="15">
        <f t="shared" si="237"/>
        <v>8.6182750000000006</v>
      </c>
      <c r="P1076" s="15">
        <f t="shared" si="238"/>
        <v>0</v>
      </c>
      <c r="Q1076" s="14" t="str">
        <f>IF(M1076&gt;=I1076*'Hoja 4 - Cálculo'!$B$16,"Satisfactorio","Falla")</f>
        <v>Satisfactorio</v>
      </c>
      <c r="R1076" s="14">
        <f t="shared" si="244"/>
        <v>0</v>
      </c>
      <c r="S1076" s="14">
        <f t="shared" si="245"/>
        <v>0</v>
      </c>
    </row>
    <row r="1077" spans="1:19">
      <c r="A1077" s="14" t="str">
        <f t="shared" si="242"/>
        <v>SRY-3-3</v>
      </c>
      <c r="B1077" s="15">
        <f>'Curvas SRY'!$B$10</f>
        <v>3</v>
      </c>
      <c r="C1077" s="15">
        <f>'Curvas SRY'!$E$10</f>
        <v>1.25</v>
      </c>
      <c r="D1077" s="14" t="str">
        <f>'Curvas SRY'!$B$14</f>
        <v>Uso variable</v>
      </c>
      <c r="E1077" s="14">
        <f>114</f>
        <v>114</v>
      </c>
      <c r="F1077" s="21">
        <f>'Hoja 4 - Cálculo'!A138</f>
        <v>33025</v>
      </c>
      <c r="G1077" s="15">
        <f>'Hoja 4 - Cálculo'!H138</f>
        <v>15.529500000000001</v>
      </c>
      <c r="H1077" s="15">
        <f>IF(D1077="Uso único",'Hoja 4 - Cálculo'!I138,IF(D1077="Uso múltiple",AVERAGE('Hoja 4 - Cálculo'!$I$25:$I$384)+AVERAGE('Hoja 4 - Cálculo'!$J$25:$J$384)+AVERAGE('Hoja 4 - Cálculo'!$K$25:$K$384),IF(D1077="Uso prioritario",'Hoja 4 - Cálculo'!I138+'Hoja 4 - Cálculo'!K138,'Hoja 4 - Cálculo'!I138+'Hoja 4 - Cálculo'!J138+'Hoja 4 - Cálculo'!K138)))</f>
        <v>11.5</v>
      </c>
      <c r="I1077" s="15">
        <f t="shared" si="233"/>
        <v>14.375</v>
      </c>
      <c r="J1077" s="15">
        <f t="shared" si="243"/>
        <v>3</v>
      </c>
      <c r="K1077" s="15">
        <f>MIN(J1077+G1077,(J1077+G1077)*'Hoja 4 - Cálculo'!$B$15)</f>
        <v>0.37058999999999997</v>
      </c>
      <c r="L1077" s="15">
        <f t="shared" si="234"/>
        <v>18.158909999999999</v>
      </c>
      <c r="M1077" s="15">
        <f t="shared" si="235"/>
        <v>14.375</v>
      </c>
      <c r="N1077" s="15">
        <f t="shared" si="236"/>
        <v>3</v>
      </c>
      <c r="O1077" s="15">
        <f t="shared" si="237"/>
        <v>0.78390999999999877</v>
      </c>
      <c r="P1077" s="15">
        <f t="shared" si="238"/>
        <v>0</v>
      </c>
      <c r="Q1077" s="14" t="str">
        <f>IF(M1077&gt;=I1077*'Hoja 4 - Cálculo'!$B$16,"Satisfactorio","Falla")</f>
        <v>Satisfactorio</v>
      </c>
      <c r="R1077" s="14">
        <f t="shared" si="244"/>
        <v>0</v>
      </c>
      <c r="S1077" s="14">
        <f t="shared" si="245"/>
        <v>0</v>
      </c>
    </row>
    <row r="1078" spans="1:19">
      <c r="A1078" s="14" t="str">
        <f t="shared" si="242"/>
        <v>SRY-3-3</v>
      </c>
      <c r="B1078" s="15">
        <f>'Curvas SRY'!$B$10</f>
        <v>3</v>
      </c>
      <c r="C1078" s="15">
        <f>'Curvas SRY'!$E$10</f>
        <v>1.25</v>
      </c>
      <c r="D1078" s="14" t="str">
        <f>'Curvas SRY'!$B$14</f>
        <v>Uso variable</v>
      </c>
      <c r="E1078" s="14">
        <f>115</f>
        <v>115</v>
      </c>
      <c r="F1078" s="21">
        <f>'Hoja 4 - Cálculo'!A139</f>
        <v>33055</v>
      </c>
      <c r="G1078" s="15">
        <f>'Hoja 4 - Cálculo'!H139</f>
        <v>12.201750000000001</v>
      </c>
      <c r="H1078" s="15">
        <f>IF(D1078="Uso único",'Hoja 4 - Cálculo'!I139,IF(D1078="Uso múltiple",AVERAGE('Hoja 4 - Cálculo'!$I$25:$I$384)+AVERAGE('Hoja 4 - Cálculo'!$J$25:$J$384)+AVERAGE('Hoja 4 - Cálculo'!$K$25:$K$384),IF(D1078="Uso prioritario",'Hoja 4 - Cálculo'!I139+'Hoja 4 - Cálculo'!K139,'Hoja 4 - Cálculo'!I139+'Hoja 4 - Cálculo'!J139+'Hoja 4 - Cálculo'!K139)))</f>
        <v>16</v>
      </c>
      <c r="I1078" s="15">
        <f t="shared" si="233"/>
        <v>20</v>
      </c>
      <c r="J1078" s="15">
        <f t="shared" si="243"/>
        <v>3</v>
      </c>
      <c r="K1078" s="15">
        <f>MIN(J1078+G1078,(J1078+G1078)*'Hoja 4 - Cálculo'!$B$15)</f>
        <v>0.304035</v>
      </c>
      <c r="L1078" s="15">
        <f t="shared" si="234"/>
        <v>14.897715</v>
      </c>
      <c r="M1078" s="15">
        <f t="shared" si="235"/>
        <v>14.897715</v>
      </c>
      <c r="N1078" s="15">
        <f t="shared" si="236"/>
        <v>0</v>
      </c>
      <c r="O1078" s="15">
        <f t="shared" si="237"/>
        <v>0</v>
      </c>
      <c r="P1078" s="15">
        <f t="shared" si="238"/>
        <v>5.1022850000000002</v>
      </c>
      <c r="Q1078" s="14" t="str">
        <f>IF(M1078&gt;=I1078*'Hoja 4 - Cálculo'!$B$16,"Satisfactorio","Falla")</f>
        <v>Falla</v>
      </c>
      <c r="R1078" s="14">
        <f t="shared" si="244"/>
        <v>0</v>
      </c>
      <c r="S1078" s="14">
        <f t="shared" si="245"/>
        <v>1</v>
      </c>
    </row>
    <row r="1079" spans="1:19">
      <c r="A1079" s="14" t="str">
        <f t="shared" si="242"/>
        <v>SRY-3-3</v>
      </c>
      <c r="B1079" s="15">
        <f>'Curvas SRY'!$B$10</f>
        <v>3</v>
      </c>
      <c r="C1079" s="15">
        <f>'Curvas SRY'!$E$10</f>
        <v>1.25</v>
      </c>
      <c r="D1079" s="14" t="str">
        <f>'Curvas SRY'!$B$14</f>
        <v>Uso variable</v>
      </c>
      <c r="E1079" s="14">
        <f>116</f>
        <v>116</v>
      </c>
      <c r="F1079" s="21">
        <f>'Hoja 4 - Cálculo'!A140</f>
        <v>33086</v>
      </c>
      <c r="G1079" s="15">
        <f>'Hoja 4 - Cálculo'!H140</f>
        <v>13.04325</v>
      </c>
      <c r="H1079" s="15">
        <f>IF(D1079="Uso único",'Hoja 4 - Cálculo'!I140,IF(D1079="Uso múltiple",AVERAGE('Hoja 4 - Cálculo'!$I$25:$I$384)+AVERAGE('Hoja 4 - Cálculo'!$J$25:$J$384)+AVERAGE('Hoja 4 - Cálculo'!$K$25:$K$384),IF(D1079="Uso prioritario",'Hoja 4 - Cálculo'!I140+'Hoja 4 - Cálculo'!K140,'Hoja 4 - Cálculo'!I140+'Hoja 4 - Cálculo'!J140+'Hoja 4 - Cálculo'!K140)))</f>
        <v>16</v>
      </c>
      <c r="I1079" s="15">
        <f t="shared" si="233"/>
        <v>20</v>
      </c>
      <c r="J1079" s="15">
        <f t="shared" si="243"/>
        <v>0</v>
      </c>
      <c r="K1079" s="15">
        <f>MIN(J1079+G1079,(J1079+G1079)*'Hoja 4 - Cálculo'!$B$15)</f>
        <v>0.26086500000000001</v>
      </c>
      <c r="L1079" s="15">
        <f t="shared" si="234"/>
        <v>12.782385</v>
      </c>
      <c r="M1079" s="15">
        <f t="shared" si="235"/>
        <v>12.782385</v>
      </c>
      <c r="N1079" s="15">
        <f t="shared" si="236"/>
        <v>0</v>
      </c>
      <c r="O1079" s="15">
        <f t="shared" si="237"/>
        <v>0</v>
      </c>
      <c r="P1079" s="15">
        <f t="shared" si="238"/>
        <v>7.2176150000000003</v>
      </c>
      <c r="Q1079" s="14" t="str">
        <f>IF(M1079&gt;=I1079*'Hoja 4 - Cálculo'!$B$16,"Satisfactorio","Falla")</f>
        <v>Falla</v>
      </c>
      <c r="R1079" s="14">
        <f t="shared" si="244"/>
        <v>0</v>
      </c>
      <c r="S1079" s="14">
        <f t="shared" si="245"/>
        <v>0</v>
      </c>
    </row>
    <row r="1080" spans="1:19">
      <c r="A1080" s="14" t="str">
        <f t="shared" si="242"/>
        <v>SRY-3-3</v>
      </c>
      <c r="B1080" s="15">
        <f>'Curvas SRY'!$B$10</f>
        <v>3</v>
      </c>
      <c r="C1080" s="15">
        <f>'Curvas SRY'!$E$10</f>
        <v>1.25</v>
      </c>
      <c r="D1080" s="14" t="str">
        <f>'Curvas SRY'!$B$14</f>
        <v>Uso variable</v>
      </c>
      <c r="E1080" s="14">
        <f>117</f>
        <v>117</v>
      </c>
      <c r="F1080" s="21">
        <f>'Hoja 4 - Cálculo'!A141</f>
        <v>33117</v>
      </c>
      <c r="G1080" s="15">
        <f>'Hoja 4 - Cálculo'!H141</f>
        <v>21.974625</v>
      </c>
      <c r="H1080" s="15">
        <f>IF(D1080="Uso único",'Hoja 4 - Cálculo'!I141,IF(D1080="Uso múltiple",AVERAGE('Hoja 4 - Cálculo'!$I$25:$I$384)+AVERAGE('Hoja 4 - Cálculo'!$J$25:$J$384)+AVERAGE('Hoja 4 - Cálculo'!$K$25:$K$384),IF(D1080="Uso prioritario",'Hoja 4 - Cálculo'!I141+'Hoja 4 - Cálculo'!K141,'Hoja 4 - Cálculo'!I141+'Hoja 4 - Cálculo'!J141+'Hoja 4 - Cálculo'!K141)))</f>
        <v>11.5</v>
      </c>
      <c r="I1080" s="15">
        <f t="shared" si="233"/>
        <v>14.375</v>
      </c>
      <c r="J1080" s="15">
        <f t="shared" si="243"/>
        <v>0</v>
      </c>
      <c r="K1080" s="15">
        <f>MIN(J1080+G1080,(J1080+G1080)*'Hoja 4 - Cálculo'!$B$15)</f>
        <v>0.43949250000000001</v>
      </c>
      <c r="L1080" s="15">
        <f t="shared" si="234"/>
        <v>21.5351325</v>
      </c>
      <c r="M1080" s="15">
        <f t="shared" si="235"/>
        <v>14.375</v>
      </c>
      <c r="N1080" s="15">
        <f t="shared" si="236"/>
        <v>3</v>
      </c>
      <c r="O1080" s="15">
        <f t="shared" si="237"/>
        <v>4.1601324999999996</v>
      </c>
      <c r="P1080" s="15">
        <f t="shared" si="238"/>
        <v>0</v>
      </c>
      <c r="Q1080" s="14" t="str">
        <f>IF(M1080&gt;=I1080*'Hoja 4 - Cálculo'!$B$16,"Satisfactorio","Falla")</f>
        <v>Satisfactorio</v>
      </c>
      <c r="R1080" s="14">
        <f t="shared" si="244"/>
        <v>1</v>
      </c>
      <c r="S1080" s="14">
        <f t="shared" si="245"/>
        <v>0</v>
      </c>
    </row>
    <row r="1081" spans="1:19">
      <c r="A1081" s="14" t="str">
        <f t="shared" si="242"/>
        <v>SRY-3-3</v>
      </c>
      <c r="B1081" s="15">
        <f>'Curvas SRY'!$B$10</f>
        <v>3</v>
      </c>
      <c r="C1081" s="15">
        <f>'Curvas SRY'!$E$10</f>
        <v>1.25</v>
      </c>
      <c r="D1081" s="14" t="str">
        <f>'Curvas SRY'!$B$14</f>
        <v>Uso variable</v>
      </c>
      <c r="E1081" s="14">
        <f>118</f>
        <v>118</v>
      </c>
      <c r="F1081" s="21">
        <f>'Hoja 4 - Cálculo'!A142</f>
        <v>33147</v>
      </c>
      <c r="G1081" s="15">
        <f>'Hoja 4 - Cálculo'!H142</f>
        <v>26.870625</v>
      </c>
      <c r="H1081" s="15">
        <f>IF(D1081="Uso único",'Hoja 4 - Cálculo'!I142,IF(D1081="Uso múltiple",AVERAGE('Hoja 4 - Cálculo'!$I$25:$I$384)+AVERAGE('Hoja 4 - Cálculo'!$J$25:$J$384)+AVERAGE('Hoja 4 - Cálculo'!$K$25:$K$384),IF(D1081="Uso prioritario",'Hoja 4 - Cálculo'!I142+'Hoja 4 - Cálculo'!K142,'Hoja 4 - Cálculo'!I142+'Hoja 4 - Cálculo'!J142+'Hoja 4 - Cálculo'!K142)))</f>
        <v>11.5</v>
      </c>
      <c r="I1081" s="15">
        <f t="shared" si="233"/>
        <v>14.375</v>
      </c>
      <c r="J1081" s="15">
        <f t="shared" si="243"/>
        <v>3</v>
      </c>
      <c r="K1081" s="15">
        <f>MIN(J1081+G1081,(J1081+G1081)*'Hoja 4 - Cálculo'!$B$15)</f>
        <v>0.59741250000000001</v>
      </c>
      <c r="L1081" s="15">
        <f t="shared" si="234"/>
        <v>29.2732125</v>
      </c>
      <c r="M1081" s="15">
        <f t="shared" si="235"/>
        <v>14.375</v>
      </c>
      <c r="N1081" s="15">
        <f t="shared" si="236"/>
        <v>3</v>
      </c>
      <c r="O1081" s="15">
        <f t="shared" si="237"/>
        <v>11.8982125</v>
      </c>
      <c r="P1081" s="15">
        <f t="shared" si="238"/>
        <v>0</v>
      </c>
      <c r="Q1081" s="14" t="str">
        <f>IF(M1081&gt;=I1081*'Hoja 4 - Cálculo'!$B$16,"Satisfactorio","Falla")</f>
        <v>Satisfactorio</v>
      </c>
      <c r="R1081" s="14">
        <f t="shared" si="244"/>
        <v>0</v>
      </c>
      <c r="S1081" s="14">
        <f t="shared" si="245"/>
        <v>0</v>
      </c>
    </row>
    <row r="1082" spans="1:19">
      <c r="A1082" s="14" t="str">
        <f t="shared" si="242"/>
        <v>SRY-3-3</v>
      </c>
      <c r="B1082" s="15">
        <f>'Curvas SRY'!$B$10</f>
        <v>3</v>
      </c>
      <c r="C1082" s="15">
        <f>'Curvas SRY'!$E$10</f>
        <v>1.25</v>
      </c>
      <c r="D1082" s="14" t="str">
        <f>'Curvas SRY'!$B$14</f>
        <v>Uso variable</v>
      </c>
      <c r="E1082" s="14">
        <f>119</f>
        <v>119</v>
      </c>
      <c r="F1082" s="21">
        <f>'Hoja 4 - Cálculo'!A143</f>
        <v>33178</v>
      </c>
      <c r="G1082" s="15">
        <f>'Hoja 4 - Cálculo'!H143</f>
        <v>24.881625</v>
      </c>
      <c r="H1082" s="15">
        <f>IF(D1082="Uso único",'Hoja 4 - Cálculo'!I143,IF(D1082="Uso múltiple",AVERAGE('Hoja 4 - Cálculo'!$I$25:$I$384)+AVERAGE('Hoja 4 - Cálculo'!$J$25:$J$384)+AVERAGE('Hoja 4 - Cálculo'!$K$25:$K$384),IF(D1082="Uso prioritario",'Hoja 4 - Cálculo'!I143+'Hoja 4 - Cálculo'!K143,'Hoja 4 - Cálculo'!I143+'Hoja 4 - Cálculo'!J143+'Hoja 4 - Cálculo'!K143)))</f>
        <v>11.5</v>
      </c>
      <c r="I1082" s="15">
        <f t="shared" si="233"/>
        <v>14.375</v>
      </c>
      <c r="J1082" s="15">
        <f t="shared" si="243"/>
        <v>3</v>
      </c>
      <c r="K1082" s="15">
        <f>MIN(J1082+G1082,(J1082+G1082)*'Hoja 4 - Cálculo'!$B$15)</f>
        <v>0.55763249999999998</v>
      </c>
      <c r="L1082" s="15">
        <f t="shared" si="234"/>
        <v>27.323992499999999</v>
      </c>
      <c r="M1082" s="15">
        <f t="shared" si="235"/>
        <v>14.375</v>
      </c>
      <c r="N1082" s="15">
        <f t="shared" si="236"/>
        <v>3</v>
      </c>
      <c r="O1082" s="15">
        <f t="shared" si="237"/>
        <v>9.9489924999999992</v>
      </c>
      <c r="P1082" s="15">
        <f t="shared" si="238"/>
        <v>0</v>
      </c>
      <c r="Q1082" s="14" t="str">
        <f>IF(M1082&gt;=I1082*'Hoja 4 - Cálculo'!$B$16,"Satisfactorio","Falla")</f>
        <v>Satisfactorio</v>
      </c>
      <c r="R1082" s="14">
        <f t="shared" si="244"/>
        <v>0</v>
      </c>
      <c r="S1082" s="14">
        <f t="shared" si="245"/>
        <v>0</v>
      </c>
    </row>
    <row r="1083" spans="1:19">
      <c r="A1083" s="14" t="str">
        <f t="shared" si="242"/>
        <v>SRY-3-3</v>
      </c>
      <c r="B1083" s="15">
        <f>'Curvas SRY'!$B$10</f>
        <v>3</v>
      </c>
      <c r="C1083" s="15">
        <f>'Curvas SRY'!$E$10</f>
        <v>1.25</v>
      </c>
      <c r="D1083" s="14" t="str">
        <f>'Curvas SRY'!$B$14</f>
        <v>Uso variable</v>
      </c>
      <c r="E1083" s="14">
        <f>120</f>
        <v>120</v>
      </c>
      <c r="F1083" s="21">
        <f>'Hoja 4 - Cálculo'!A144</f>
        <v>33208</v>
      </c>
      <c r="G1083" s="15">
        <f>'Hoja 4 - Cálculo'!H144</f>
        <v>13.73175</v>
      </c>
      <c r="H1083" s="15">
        <f>IF(D1083="Uso único",'Hoja 4 - Cálculo'!I144,IF(D1083="Uso múltiple",AVERAGE('Hoja 4 - Cálculo'!$I$25:$I$384)+AVERAGE('Hoja 4 - Cálculo'!$J$25:$J$384)+AVERAGE('Hoja 4 - Cálculo'!$K$25:$K$384),IF(D1083="Uso prioritario",'Hoja 4 - Cálculo'!I144+'Hoja 4 - Cálculo'!K144,'Hoja 4 - Cálculo'!I144+'Hoja 4 - Cálculo'!J144+'Hoja 4 - Cálculo'!K144)))</f>
        <v>16</v>
      </c>
      <c r="I1083" s="15">
        <f t="shared" si="233"/>
        <v>20</v>
      </c>
      <c r="J1083" s="15">
        <f t="shared" si="243"/>
        <v>3</v>
      </c>
      <c r="K1083" s="15">
        <f>MIN(J1083+G1083,(J1083+G1083)*'Hoja 4 - Cálculo'!$B$15)</f>
        <v>0.33463499999999996</v>
      </c>
      <c r="L1083" s="15">
        <f t="shared" si="234"/>
        <v>16.397114999999999</v>
      </c>
      <c r="M1083" s="15">
        <f t="shared" si="235"/>
        <v>16.397114999999999</v>
      </c>
      <c r="N1083" s="15">
        <f t="shared" si="236"/>
        <v>0</v>
      </c>
      <c r="O1083" s="15">
        <f t="shared" si="237"/>
        <v>0</v>
      </c>
      <c r="P1083" s="15">
        <f t="shared" si="238"/>
        <v>3.6028850000000006</v>
      </c>
      <c r="Q1083" s="14" t="str">
        <f>IF(M1083&gt;=I1083*'Hoja 4 - Cálculo'!$B$16,"Satisfactorio","Falla")</f>
        <v>Falla</v>
      </c>
      <c r="R1083" s="14">
        <f t="shared" si="244"/>
        <v>0</v>
      </c>
      <c r="S1083" s="14">
        <f t="shared" si="245"/>
        <v>1</v>
      </c>
    </row>
    <row r="1084" spans="1:19">
      <c r="A1084" s="14" t="str">
        <f t="shared" ref="A1084:A1115" si="246">"SRY-4-1"</f>
        <v>SRY-4-1</v>
      </c>
      <c r="B1084" s="15">
        <f>'Curvas SRY'!$B$11</f>
        <v>5</v>
      </c>
      <c r="C1084" s="15">
        <f>'Curvas SRY'!$E$8</f>
        <v>0.75</v>
      </c>
      <c r="D1084" s="14" t="str">
        <f>'Curvas SRY'!$B$14</f>
        <v>Uso variable</v>
      </c>
      <c r="E1084" s="14">
        <f>1</f>
        <v>1</v>
      </c>
      <c r="F1084" s="21">
        <f>'Hoja 4 - Cálculo'!A25</f>
        <v>29587</v>
      </c>
      <c r="G1084" s="15">
        <f>'Hoja 4 - Cálculo'!H25</f>
        <v>12.852</v>
      </c>
      <c r="H1084" s="15">
        <f>IF(D1084="Uso único",'Hoja 4 - Cálculo'!I25,IF(D1084="Uso múltiple",AVERAGE('Hoja 4 - Cálculo'!$I$25:$I$384)+AVERAGE('Hoja 4 - Cálculo'!$J$25:$J$384)+AVERAGE('Hoja 4 - Cálculo'!$K$25:$K$384),IF(D1084="Uso prioritario",'Hoja 4 - Cálculo'!I25+'Hoja 4 - Cálculo'!K25,'Hoja 4 - Cálculo'!I25+'Hoja 4 - Cálculo'!J25+'Hoja 4 - Cálculo'!K25)))</f>
        <v>16</v>
      </c>
      <c r="I1084" s="15">
        <f t="shared" si="233"/>
        <v>12</v>
      </c>
      <c r="J1084" s="15">
        <f>0</f>
        <v>0</v>
      </c>
      <c r="K1084" s="15">
        <f>MIN(J1084+G1084,(J1084+G1084)*'Hoja 4 - Cálculo'!$B$15)</f>
        <v>0.25703999999999999</v>
      </c>
      <c r="L1084" s="15">
        <f t="shared" si="234"/>
        <v>12.59496</v>
      </c>
      <c r="M1084" s="15">
        <f t="shared" si="235"/>
        <v>12</v>
      </c>
      <c r="N1084" s="15">
        <f t="shared" si="236"/>
        <v>0.59496000000000038</v>
      </c>
      <c r="O1084" s="15">
        <f t="shared" si="237"/>
        <v>0</v>
      </c>
      <c r="P1084" s="15">
        <f t="shared" si="238"/>
        <v>0</v>
      </c>
      <c r="Q1084" s="14" t="str">
        <f>IF(M1084&gt;=I1084*'Hoja 4 - Cálculo'!$B$16,"Satisfactorio","Falla")</f>
        <v>Satisfactorio</v>
      </c>
      <c r="R1084" s="14">
        <f>0</f>
        <v>0</v>
      </c>
      <c r="S1084" s="14">
        <f>IF(Q1084="Falla",1,0)</f>
        <v>0</v>
      </c>
    </row>
    <row r="1085" spans="1:19">
      <c r="A1085" s="14" t="str">
        <f t="shared" si="246"/>
        <v>SRY-4-1</v>
      </c>
      <c r="B1085" s="15">
        <f>'Curvas SRY'!$B$11</f>
        <v>5</v>
      </c>
      <c r="C1085" s="15">
        <f>'Curvas SRY'!$E$8</f>
        <v>0.75</v>
      </c>
      <c r="D1085" s="14" t="str">
        <f>'Curvas SRY'!$B$14</f>
        <v>Uso variable</v>
      </c>
      <c r="E1085" s="14">
        <f>2</f>
        <v>2</v>
      </c>
      <c r="F1085" s="21">
        <f>'Hoja 4 - Cálculo'!A26</f>
        <v>29618</v>
      </c>
      <c r="G1085" s="15">
        <f>'Hoja 4 - Cálculo'!H26</f>
        <v>14.630625</v>
      </c>
      <c r="H1085" s="15">
        <f>IF(D1085="Uso único",'Hoja 4 - Cálculo'!I26,IF(D1085="Uso múltiple",AVERAGE('Hoja 4 - Cálculo'!$I$25:$I$384)+AVERAGE('Hoja 4 - Cálculo'!$J$25:$J$384)+AVERAGE('Hoja 4 - Cálculo'!$K$25:$K$384),IF(D1085="Uso prioritario",'Hoja 4 - Cálculo'!I26+'Hoja 4 - Cálculo'!K26,'Hoja 4 - Cálculo'!I26+'Hoja 4 - Cálculo'!J26+'Hoja 4 - Cálculo'!K26)))</f>
        <v>16</v>
      </c>
      <c r="I1085" s="15">
        <f t="shared" si="233"/>
        <v>12</v>
      </c>
      <c r="J1085" s="15">
        <f t="shared" ref="J1085:J1116" si="247">N1084</f>
        <v>0.59496000000000038</v>
      </c>
      <c r="K1085" s="15">
        <f>MIN(J1085+G1085,(J1085+G1085)*'Hoja 4 - Cálculo'!$B$15)</f>
        <v>0.3045117</v>
      </c>
      <c r="L1085" s="15">
        <f t="shared" si="234"/>
        <v>14.9210733</v>
      </c>
      <c r="M1085" s="15">
        <f t="shared" si="235"/>
        <v>12</v>
      </c>
      <c r="N1085" s="15">
        <f t="shared" si="236"/>
        <v>2.9210732999999998</v>
      </c>
      <c r="O1085" s="15">
        <f t="shared" si="237"/>
        <v>0</v>
      </c>
      <c r="P1085" s="15">
        <f t="shared" si="238"/>
        <v>0</v>
      </c>
      <c r="Q1085" s="14" t="str">
        <f>IF(M1085&gt;=I1085*'Hoja 4 - Cálculo'!$B$16,"Satisfactorio","Falla")</f>
        <v>Satisfactorio</v>
      </c>
      <c r="R1085" s="14">
        <f t="shared" ref="R1085:R1116" si="248">IF(AND(Q1084="Falla",Q1085="Satisfactorio"),1,0)</f>
        <v>0</v>
      </c>
      <c r="S1085" s="14">
        <f t="shared" ref="S1085:S1116" si="249">IF(AND(Q1085="Falla",Q1084&lt;&gt;"Falla"),1,0)</f>
        <v>0</v>
      </c>
    </row>
    <row r="1086" spans="1:19">
      <c r="A1086" s="14" t="str">
        <f t="shared" si="246"/>
        <v>SRY-4-1</v>
      </c>
      <c r="B1086" s="15">
        <f>'Curvas SRY'!$B$11</f>
        <v>5</v>
      </c>
      <c r="C1086" s="15">
        <f>'Curvas SRY'!$E$8</f>
        <v>0.75</v>
      </c>
      <c r="D1086" s="14" t="str">
        <f>'Curvas SRY'!$B$14</f>
        <v>Uso variable</v>
      </c>
      <c r="E1086" s="14">
        <f>3</f>
        <v>3</v>
      </c>
      <c r="F1086" s="21">
        <f>'Hoja 4 - Cálculo'!A27</f>
        <v>29646</v>
      </c>
      <c r="G1086" s="15">
        <f>'Hoja 4 - Cálculo'!H27</f>
        <v>21.114000000000001</v>
      </c>
      <c r="H1086" s="15">
        <f>IF(D1086="Uso único",'Hoja 4 - Cálculo'!I27,IF(D1086="Uso múltiple",AVERAGE('Hoja 4 - Cálculo'!$I$25:$I$384)+AVERAGE('Hoja 4 - Cálculo'!$J$25:$J$384)+AVERAGE('Hoja 4 - Cálculo'!$K$25:$K$384),IF(D1086="Uso prioritario",'Hoja 4 - Cálculo'!I27+'Hoja 4 - Cálculo'!K27,'Hoja 4 - Cálculo'!I27+'Hoja 4 - Cálculo'!J27+'Hoja 4 - Cálculo'!K27)))</f>
        <v>16</v>
      </c>
      <c r="I1086" s="15">
        <f t="shared" si="233"/>
        <v>12</v>
      </c>
      <c r="J1086" s="15">
        <f t="shared" si="247"/>
        <v>2.9210732999999998</v>
      </c>
      <c r="K1086" s="15">
        <f>MIN(J1086+G1086,(J1086+G1086)*'Hoja 4 - Cálculo'!$B$15)</f>
        <v>0.48070146600000002</v>
      </c>
      <c r="L1086" s="15">
        <f t="shared" si="234"/>
        <v>23.554371834000001</v>
      </c>
      <c r="M1086" s="15">
        <f t="shared" si="235"/>
        <v>12</v>
      </c>
      <c r="N1086" s="15">
        <f t="shared" si="236"/>
        <v>5</v>
      </c>
      <c r="O1086" s="15">
        <f t="shared" si="237"/>
        <v>6.5543718340000012</v>
      </c>
      <c r="P1086" s="15">
        <f t="shared" si="238"/>
        <v>0</v>
      </c>
      <c r="Q1086" s="14" t="str">
        <f>IF(M1086&gt;=I1086*'Hoja 4 - Cálculo'!$B$16,"Satisfactorio","Falla")</f>
        <v>Satisfactorio</v>
      </c>
      <c r="R1086" s="14">
        <f t="shared" si="248"/>
        <v>0</v>
      </c>
      <c r="S1086" s="14">
        <f t="shared" si="249"/>
        <v>0</v>
      </c>
    </row>
    <row r="1087" spans="1:19">
      <c r="A1087" s="14" t="str">
        <f t="shared" si="246"/>
        <v>SRY-4-1</v>
      </c>
      <c r="B1087" s="15">
        <f>'Curvas SRY'!$B$11</f>
        <v>5</v>
      </c>
      <c r="C1087" s="15">
        <f>'Curvas SRY'!$E$8</f>
        <v>0.75</v>
      </c>
      <c r="D1087" s="14" t="str">
        <f>'Curvas SRY'!$B$14</f>
        <v>Uso variable</v>
      </c>
      <c r="E1087" s="14">
        <f>4</f>
        <v>4</v>
      </c>
      <c r="F1087" s="21">
        <f>'Hoja 4 - Cálculo'!A28</f>
        <v>29677</v>
      </c>
      <c r="G1087" s="15">
        <f>'Hoja 4 - Cálculo'!H28</f>
        <v>29.280374999999999</v>
      </c>
      <c r="H1087" s="15">
        <f>IF(D1087="Uso único",'Hoja 4 - Cálculo'!I28,IF(D1087="Uso múltiple",AVERAGE('Hoja 4 - Cálculo'!$I$25:$I$384)+AVERAGE('Hoja 4 - Cálculo'!$J$25:$J$384)+AVERAGE('Hoja 4 - Cálculo'!$K$25:$K$384),IF(D1087="Uso prioritario",'Hoja 4 - Cálculo'!I28+'Hoja 4 - Cálculo'!K28,'Hoja 4 - Cálculo'!I28+'Hoja 4 - Cálculo'!J28+'Hoja 4 - Cálculo'!K28)))</f>
        <v>11.5</v>
      </c>
      <c r="I1087" s="15">
        <f t="shared" si="233"/>
        <v>8.625</v>
      </c>
      <c r="J1087" s="15">
        <f t="shared" si="247"/>
        <v>5</v>
      </c>
      <c r="K1087" s="15">
        <f>MIN(J1087+G1087,(J1087+G1087)*'Hoja 4 - Cálculo'!$B$15)</f>
        <v>0.68560750000000004</v>
      </c>
      <c r="L1087" s="15">
        <f t="shared" si="234"/>
        <v>33.594767499999996</v>
      </c>
      <c r="M1087" s="15">
        <f t="shared" si="235"/>
        <v>8.625</v>
      </c>
      <c r="N1087" s="15">
        <f t="shared" si="236"/>
        <v>5</v>
      </c>
      <c r="O1087" s="15">
        <f t="shared" si="237"/>
        <v>19.969767499999996</v>
      </c>
      <c r="P1087" s="15">
        <f t="shared" si="238"/>
        <v>0</v>
      </c>
      <c r="Q1087" s="14" t="str">
        <f>IF(M1087&gt;=I1087*'Hoja 4 - Cálculo'!$B$16,"Satisfactorio","Falla")</f>
        <v>Satisfactorio</v>
      </c>
      <c r="R1087" s="14">
        <f t="shared" si="248"/>
        <v>0</v>
      </c>
      <c r="S1087" s="14">
        <f t="shared" si="249"/>
        <v>0</v>
      </c>
    </row>
    <row r="1088" spans="1:19">
      <c r="A1088" s="14" t="str">
        <f t="shared" si="246"/>
        <v>SRY-4-1</v>
      </c>
      <c r="B1088" s="15">
        <f>'Curvas SRY'!$B$11</f>
        <v>5</v>
      </c>
      <c r="C1088" s="15">
        <f>'Curvas SRY'!$E$8</f>
        <v>0.75</v>
      </c>
      <c r="D1088" s="14" t="str">
        <f>'Curvas SRY'!$B$14</f>
        <v>Uso variable</v>
      </c>
      <c r="E1088" s="14">
        <f>5</f>
        <v>5</v>
      </c>
      <c r="F1088" s="21">
        <f>'Hoja 4 - Cálculo'!A29</f>
        <v>29707</v>
      </c>
      <c r="G1088" s="15">
        <f>'Hoja 4 - Cálculo'!H29</f>
        <v>26.048249999999999</v>
      </c>
      <c r="H1088" s="15">
        <f>IF(D1088="Uso único",'Hoja 4 - Cálculo'!I29,IF(D1088="Uso múltiple",AVERAGE('Hoja 4 - Cálculo'!$I$25:$I$384)+AVERAGE('Hoja 4 - Cálculo'!$J$25:$J$384)+AVERAGE('Hoja 4 - Cálculo'!$K$25:$K$384),IF(D1088="Uso prioritario",'Hoja 4 - Cálculo'!I29+'Hoja 4 - Cálculo'!K29,'Hoja 4 - Cálculo'!I29+'Hoja 4 - Cálculo'!J29+'Hoja 4 - Cálculo'!K29)))</f>
        <v>11.5</v>
      </c>
      <c r="I1088" s="15">
        <f t="shared" si="233"/>
        <v>8.625</v>
      </c>
      <c r="J1088" s="15">
        <f t="shared" si="247"/>
        <v>5</v>
      </c>
      <c r="K1088" s="15">
        <f>MIN(J1088+G1088,(J1088+G1088)*'Hoja 4 - Cálculo'!$B$15)</f>
        <v>0.62096499999999999</v>
      </c>
      <c r="L1088" s="15">
        <f t="shared" si="234"/>
        <v>30.427284999999998</v>
      </c>
      <c r="M1088" s="15">
        <f t="shared" si="235"/>
        <v>8.625</v>
      </c>
      <c r="N1088" s="15">
        <f t="shared" si="236"/>
        <v>5</v>
      </c>
      <c r="O1088" s="15">
        <f t="shared" si="237"/>
        <v>16.802284999999998</v>
      </c>
      <c r="P1088" s="15">
        <f t="shared" si="238"/>
        <v>0</v>
      </c>
      <c r="Q1088" s="14" t="str">
        <f>IF(M1088&gt;=I1088*'Hoja 4 - Cálculo'!$B$16,"Satisfactorio","Falla")</f>
        <v>Satisfactorio</v>
      </c>
      <c r="R1088" s="14">
        <f t="shared" si="248"/>
        <v>0</v>
      </c>
      <c r="S1088" s="14">
        <f t="shared" si="249"/>
        <v>0</v>
      </c>
    </row>
    <row r="1089" spans="1:19">
      <c r="A1089" s="14" t="str">
        <f t="shared" si="246"/>
        <v>SRY-4-1</v>
      </c>
      <c r="B1089" s="15">
        <f>'Curvas SRY'!$B$11</f>
        <v>5</v>
      </c>
      <c r="C1089" s="15">
        <f>'Curvas SRY'!$E$8</f>
        <v>0.75</v>
      </c>
      <c r="D1089" s="14" t="str">
        <f>'Curvas SRY'!$B$14</f>
        <v>Uso variable</v>
      </c>
      <c r="E1089" s="14">
        <f>6</f>
        <v>6</v>
      </c>
      <c r="F1089" s="21">
        <f>'Hoja 4 - Cálculo'!A30</f>
        <v>29738</v>
      </c>
      <c r="G1089" s="15">
        <f>'Hoja 4 - Cálculo'!H30</f>
        <v>15.625125000000001</v>
      </c>
      <c r="H1089" s="15">
        <f>IF(D1089="Uso único",'Hoja 4 - Cálculo'!I30,IF(D1089="Uso múltiple",AVERAGE('Hoja 4 - Cálculo'!$I$25:$I$384)+AVERAGE('Hoja 4 - Cálculo'!$J$25:$J$384)+AVERAGE('Hoja 4 - Cálculo'!$K$25:$K$384),IF(D1089="Uso prioritario",'Hoja 4 - Cálculo'!I30+'Hoja 4 - Cálculo'!K30,'Hoja 4 - Cálculo'!I30+'Hoja 4 - Cálculo'!J30+'Hoja 4 - Cálculo'!K30)))</f>
        <v>11.5</v>
      </c>
      <c r="I1089" s="15">
        <f t="shared" si="233"/>
        <v>8.625</v>
      </c>
      <c r="J1089" s="15">
        <f t="shared" si="247"/>
        <v>5</v>
      </c>
      <c r="K1089" s="15">
        <f>MIN(J1089+G1089,(J1089+G1089)*'Hoja 4 - Cálculo'!$B$15)</f>
        <v>0.41250249999999999</v>
      </c>
      <c r="L1089" s="15">
        <f t="shared" si="234"/>
        <v>20.212622500000002</v>
      </c>
      <c r="M1089" s="15">
        <f t="shared" si="235"/>
        <v>8.625</v>
      </c>
      <c r="N1089" s="15">
        <f t="shared" si="236"/>
        <v>5</v>
      </c>
      <c r="O1089" s="15">
        <f t="shared" si="237"/>
        <v>6.5876225000000019</v>
      </c>
      <c r="P1089" s="15">
        <f t="shared" si="238"/>
        <v>0</v>
      </c>
      <c r="Q1089" s="14" t="str">
        <f>IF(M1089&gt;=I1089*'Hoja 4 - Cálculo'!$B$16,"Satisfactorio","Falla")</f>
        <v>Satisfactorio</v>
      </c>
      <c r="R1089" s="14">
        <f t="shared" si="248"/>
        <v>0</v>
      </c>
      <c r="S1089" s="14">
        <f t="shared" si="249"/>
        <v>0</v>
      </c>
    </row>
    <row r="1090" spans="1:19">
      <c r="A1090" s="14" t="str">
        <f t="shared" si="246"/>
        <v>SRY-4-1</v>
      </c>
      <c r="B1090" s="15">
        <f>'Curvas SRY'!$B$11</f>
        <v>5</v>
      </c>
      <c r="C1090" s="15">
        <f>'Curvas SRY'!$E$8</f>
        <v>0.75</v>
      </c>
      <c r="D1090" s="14" t="str">
        <f>'Curvas SRY'!$B$14</f>
        <v>Uso variable</v>
      </c>
      <c r="E1090" s="14">
        <f>7</f>
        <v>7</v>
      </c>
      <c r="F1090" s="21">
        <f>'Hoja 4 - Cálculo'!A31</f>
        <v>29768</v>
      </c>
      <c r="G1090" s="15">
        <f>'Hoja 4 - Cálculo'!H31</f>
        <v>12.794625</v>
      </c>
      <c r="H1090" s="15">
        <f>IF(D1090="Uso único",'Hoja 4 - Cálculo'!I31,IF(D1090="Uso múltiple",AVERAGE('Hoja 4 - Cálculo'!$I$25:$I$384)+AVERAGE('Hoja 4 - Cálculo'!$J$25:$J$384)+AVERAGE('Hoja 4 - Cálculo'!$K$25:$K$384),IF(D1090="Uso prioritario",'Hoja 4 - Cálculo'!I31+'Hoja 4 - Cálculo'!K31,'Hoja 4 - Cálculo'!I31+'Hoja 4 - Cálculo'!J31+'Hoja 4 - Cálculo'!K31)))</f>
        <v>16</v>
      </c>
      <c r="I1090" s="15">
        <f t="shared" si="233"/>
        <v>12</v>
      </c>
      <c r="J1090" s="15">
        <f t="shared" si="247"/>
        <v>5</v>
      </c>
      <c r="K1090" s="15">
        <f>MIN(J1090+G1090,(J1090+G1090)*'Hoja 4 - Cálculo'!$B$15)</f>
        <v>0.3558925</v>
      </c>
      <c r="L1090" s="15">
        <f t="shared" si="234"/>
        <v>17.4387325</v>
      </c>
      <c r="M1090" s="15">
        <f t="shared" si="235"/>
        <v>12</v>
      </c>
      <c r="N1090" s="15">
        <f t="shared" si="236"/>
        <v>5</v>
      </c>
      <c r="O1090" s="15">
        <f t="shared" si="237"/>
        <v>0.43873250000000041</v>
      </c>
      <c r="P1090" s="15">
        <f t="shared" si="238"/>
        <v>0</v>
      </c>
      <c r="Q1090" s="14" t="str">
        <f>IF(M1090&gt;=I1090*'Hoja 4 - Cálculo'!$B$16,"Satisfactorio","Falla")</f>
        <v>Satisfactorio</v>
      </c>
      <c r="R1090" s="14">
        <f t="shared" si="248"/>
        <v>0</v>
      </c>
      <c r="S1090" s="14">
        <f t="shared" si="249"/>
        <v>0</v>
      </c>
    </row>
    <row r="1091" spans="1:19">
      <c r="A1091" s="14" t="str">
        <f t="shared" si="246"/>
        <v>SRY-4-1</v>
      </c>
      <c r="B1091" s="15">
        <f>'Curvas SRY'!$B$11</f>
        <v>5</v>
      </c>
      <c r="C1091" s="15">
        <f>'Curvas SRY'!$E$8</f>
        <v>0.75</v>
      </c>
      <c r="D1091" s="14" t="str">
        <f>'Curvas SRY'!$B$14</f>
        <v>Uso variable</v>
      </c>
      <c r="E1091" s="14">
        <f>8</f>
        <v>8</v>
      </c>
      <c r="F1091" s="21">
        <f>'Hoja 4 - Cálculo'!A32</f>
        <v>29799</v>
      </c>
      <c r="G1091" s="15">
        <f>'Hoja 4 - Cálculo'!H32</f>
        <v>13.712624999999999</v>
      </c>
      <c r="H1091" s="15">
        <f>IF(D1091="Uso único",'Hoja 4 - Cálculo'!I32,IF(D1091="Uso múltiple",AVERAGE('Hoja 4 - Cálculo'!$I$25:$I$384)+AVERAGE('Hoja 4 - Cálculo'!$J$25:$J$384)+AVERAGE('Hoja 4 - Cálculo'!$K$25:$K$384),IF(D1091="Uso prioritario",'Hoja 4 - Cálculo'!I32+'Hoja 4 - Cálculo'!K32,'Hoja 4 - Cálculo'!I32+'Hoja 4 - Cálculo'!J32+'Hoja 4 - Cálculo'!K32)))</f>
        <v>16</v>
      </c>
      <c r="I1091" s="15">
        <f t="shared" si="233"/>
        <v>12</v>
      </c>
      <c r="J1091" s="15">
        <f t="shared" si="247"/>
        <v>5</v>
      </c>
      <c r="K1091" s="15">
        <f>MIN(J1091+G1091,(J1091+G1091)*'Hoja 4 - Cálculo'!$B$15)</f>
        <v>0.37425249999999999</v>
      </c>
      <c r="L1091" s="15">
        <f t="shared" si="234"/>
        <v>18.338372499999998</v>
      </c>
      <c r="M1091" s="15">
        <f t="shared" si="235"/>
        <v>12</v>
      </c>
      <c r="N1091" s="15">
        <f t="shared" si="236"/>
        <v>5</v>
      </c>
      <c r="O1091" s="15">
        <f t="shared" si="237"/>
        <v>1.3383724999999984</v>
      </c>
      <c r="P1091" s="15">
        <f t="shared" si="238"/>
        <v>0</v>
      </c>
      <c r="Q1091" s="14" t="str">
        <f>IF(M1091&gt;=I1091*'Hoja 4 - Cálculo'!$B$16,"Satisfactorio","Falla")</f>
        <v>Satisfactorio</v>
      </c>
      <c r="R1091" s="14">
        <f t="shared" si="248"/>
        <v>0</v>
      </c>
      <c r="S1091" s="14">
        <f t="shared" si="249"/>
        <v>0</v>
      </c>
    </row>
    <row r="1092" spans="1:19">
      <c r="A1092" s="14" t="str">
        <f t="shared" si="246"/>
        <v>SRY-4-1</v>
      </c>
      <c r="B1092" s="15">
        <f>'Curvas SRY'!$B$11</f>
        <v>5</v>
      </c>
      <c r="C1092" s="15">
        <f>'Curvas SRY'!$E$8</f>
        <v>0.75</v>
      </c>
      <c r="D1092" s="14" t="str">
        <f>'Curvas SRY'!$B$14</f>
        <v>Uso variable</v>
      </c>
      <c r="E1092" s="14">
        <f>9</f>
        <v>9</v>
      </c>
      <c r="F1092" s="21">
        <f>'Hoja 4 - Cálculo'!A33</f>
        <v>29830</v>
      </c>
      <c r="G1092" s="15">
        <f>'Hoja 4 - Cálculo'!H33</f>
        <v>22.070250000000001</v>
      </c>
      <c r="H1092" s="15">
        <f>IF(D1092="Uso único",'Hoja 4 - Cálculo'!I33,IF(D1092="Uso múltiple",AVERAGE('Hoja 4 - Cálculo'!$I$25:$I$384)+AVERAGE('Hoja 4 - Cálculo'!$J$25:$J$384)+AVERAGE('Hoja 4 - Cálculo'!$K$25:$K$384),IF(D1092="Uso prioritario",'Hoja 4 - Cálculo'!I33+'Hoja 4 - Cálculo'!K33,'Hoja 4 - Cálculo'!I33+'Hoja 4 - Cálculo'!J33+'Hoja 4 - Cálculo'!K33)))</f>
        <v>11.5</v>
      </c>
      <c r="I1092" s="15">
        <f t="shared" ref="I1092:I1155" si="250">H1092*C1092</f>
        <v>8.625</v>
      </c>
      <c r="J1092" s="15">
        <f t="shared" si="247"/>
        <v>5</v>
      </c>
      <c r="K1092" s="15">
        <f>MIN(J1092+G1092,(J1092+G1092)*'Hoja 4 - Cálculo'!$B$15)</f>
        <v>0.54140500000000003</v>
      </c>
      <c r="L1092" s="15">
        <f t="shared" ref="L1092:L1155" si="251">MAX(0,J1092+G1092-K1092)</f>
        <v>26.528845</v>
      </c>
      <c r="M1092" s="15">
        <f t="shared" ref="M1092:M1155" si="252">MIN(I1092,L1092)</f>
        <v>8.625</v>
      </c>
      <c r="N1092" s="15">
        <f t="shared" ref="N1092:N1155" si="253">MIN(B1092,MAX(0,L1092-M1092))</f>
        <v>5</v>
      </c>
      <c r="O1092" s="15">
        <f t="shared" ref="O1092:O1155" si="254">MAX(0,L1092-M1092-B1092)</f>
        <v>12.903845</v>
      </c>
      <c r="P1092" s="15">
        <f t="shared" ref="P1092:P1155" si="255">MAX(0,I1092-M1092)</f>
        <v>0</v>
      </c>
      <c r="Q1092" s="14" t="str">
        <f>IF(M1092&gt;=I1092*'Hoja 4 - Cálculo'!$B$16,"Satisfactorio","Falla")</f>
        <v>Satisfactorio</v>
      </c>
      <c r="R1092" s="14">
        <f t="shared" si="248"/>
        <v>0</v>
      </c>
      <c r="S1092" s="14">
        <f t="shared" si="249"/>
        <v>0</v>
      </c>
    </row>
    <row r="1093" spans="1:19">
      <c r="A1093" s="14" t="str">
        <f t="shared" si="246"/>
        <v>SRY-4-1</v>
      </c>
      <c r="B1093" s="15">
        <f>'Curvas SRY'!$B$11</f>
        <v>5</v>
      </c>
      <c r="C1093" s="15">
        <f>'Curvas SRY'!$E$8</f>
        <v>0.75</v>
      </c>
      <c r="D1093" s="14" t="str">
        <f>'Curvas SRY'!$B$14</f>
        <v>Uso variable</v>
      </c>
      <c r="E1093" s="14">
        <f>10</f>
        <v>10</v>
      </c>
      <c r="F1093" s="21">
        <f>'Hoja 4 - Cálculo'!A34</f>
        <v>29860</v>
      </c>
      <c r="G1093" s="15">
        <f>'Hoja 4 - Cálculo'!H34</f>
        <v>29.777625</v>
      </c>
      <c r="H1093" s="15">
        <f>IF(D1093="Uso único",'Hoja 4 - Cálculo'!I34,IF(D1093="Uso múltiple",AVERAGE('Hoja 4 - Cálculo'!$I$25:$I$384)+AVERAGE('Hoja 4 - Cálculo'!$J$25:$J$384)+AVERAGE('Hoja 4 - Cálculo'!$K$25:$K$384),IF(D1093="Uso prioritario",'Hoja 4 - Cálculo'!I34+'Hoja 4 - Cálculo'!K34,'Hoja 4 - Cálculo'!I34+'Hoja 4 - Cálculo'!J34+'Hoja 4 - Cálculo'!K34)))</f>
        <v>11.5</v>
      </c>
      <c r="I1093" s="15">
        <f t="shared" si="250"/>
        <v>8.625</v>
      </c>
      <c r="J1093" s="15">
        <f t="shared" si="247"/>
        <v>5</v>
      </c>
      <c r="K1093" s="15">
        <f>MIN(J1093+G1093,(J1093+G1093)*'Hoja 4 - Cálculo'!$B$15)</f>
        <v>0.69555250000000002</v>
      </c>
      <c r="L1093" s="15">
        <f t="shared" si="251"/>
        <v>34.082072500000002</v>
      </c>
      <c r="M1093" s="15">
        <f t="shared" si="252"/>
        <v>8.625</v>
      </c>
      <c r="N1093" s="15">
        <f t="shared" si="253"/>
        <v>5</v>
      </c>
      <c r="O1093" s="15">
        <f t="shared" si="254"/>
        <v>20.457072500000002</v>
      </c>
      <c r="P1093" s="15">
        <f t="shared" si="255"/>
        <v>0</v>
      </c>
      <c r="Q1093" s="14" t="str">
        <f>IF(M1093&gt;=I1093*'Hoja 4 - Cálculo'!$B$16,"Satisfactorio","Falla")</f>
        <v>Satisfactorio</v>
      </c>
      <c r="R1093" s="14">
        <f t="shared" si="248"/>
        <v>0</v>
      </c>
      <c r="S1093" s="14">
        <f t="shared" si="249"/>
        <v>0</v>
      </c>
    </row>
    <row r="1094" spans="1:19">
      <c r="A1094" s="14" t="str">
        <f t="shared" si="246"/>
        <v>SRY-4-1</v>
      </c>
      <c r="B1094" s="15">
        <f>'Curvas SRY'!$B$11</f>
        <v>5</v>
      </c>
      <c r="C1094" s="15">
        <f>'Curvas SRY'!$E$8</f>
        <v>0.75</v>
      </c>
      <c r="D1094" s="14" t="str">
        <f>'Curvas SRY'!$B$14</f>
        <v>Uso variable</v>
      </c>
      <c r="E1094" s="14">
        <f>11</f>
        <v>11</v>
      </c>
      <c r="F1094" s="21">
        <f>'Hoja 4 - Cálculo'!A35</f>
        <v>29891</v>
      </c>
      <c r="G1094" s="15">
        <f>'Hoja 4 - Cálculo'!H35</f>
        <v>25.51275</v>
      </c>
      <c r="H1094" s="15">
        <f>IF(D1094="Uso único",'Hoja 4 - Cálculo'!I35,IF(D1094="Uso múltiple",AVERAGE('Hoja 4 - Cálculo'!$I$25:$I$384)+AVERAGE('Hoja 4 - Cálculo'!$J$25:$J$384)+AVERAGE('Hoja 4 - Cálculo'!$K$25:$K$384),IF(D1094="Uso prioritario",'Hoja 4 - Cálculo'!I35+'Hoja 4 - Cálculo'!K35,'Hoja 4 - Cálculo'!I35+'Hoja 4 - Cálculo'!J35+'Hoja 4 - Cálculo'!K35)))</f>
        <v>11.5</v>
      </c>
      <c r="I1094" s="15">
        <f t="shared" si="250"/>
        <v>8.625</v>
      </c>
      <c r="J1094" s="15">
        <f t="shared" si="247"/>
        <v>5</v>
      </c>
      <c r="K1094" s="15">
        <f>MIN(J1094+G1094,(J1094+G1094)*'Hoja 4 - Cálculo'!$B$15)</f>
        <v>0.61025499999999999</v>
      </c>
      <c r="L1094" s="15">
        <f t="shared" si="251"/>
        <v>29.902495000000002</v>
      </c>
      <c r="M1094" s="15">
        <f t="shared" si="252"/>
        <v>8.625</v>
      </c>
      <c r="N1094" s="15">
        <f t="shared" si="253"/>
        <v>5</v>
      </c>
      <c r="O1094" s="15">
        <f t="shared" si="254"/>
        <v>16.277495000000002</v>
      </c>
      <c r="P1094" s="15">
        <f t="shared" si="255"/>
        <v>0</v>
      </c>
      <c r="Q1094" s="14" t="str">
        <f>IF(M1094&gt;=I1094*'Hoja 4 - Cálculo'!$B$16,"Satisfactorio","Falla")</f>
        <v>Satisfactorio</v>
      </c>
      <c r="R1094" s="14">
        <f t="shared" si="248"/>
        <v>0</v>
      </c>
      <c r="S1094" s="14">
        <f t="shared" si="249"/>
        <v>0</v>
      </c>
    </row>
    <row r="1095" spans="1:19">
      <c r="A1095" s="14" t="str">
        <f t="shared" si="246"/>
        <v>SRY-4-1</v>
      </c>
      <c r="B1095" s="15">
        <f>'Curvas SRY'!$B$11</f>
        <v>5</v>
      </c>
      <c r="C1095" s="15">
        <f>'Curvas SRY'!$E$8</f>
        <v>0.75</v>
      </c>
      <c r="D1095" s="14" t="str">
        <f>'Curvas SRY'!$B$14</f>
        <v>Uso variable</v>
      </c>
      <c r="E1095" s="14">
        <f>12</f>
        <v>12</v>
      </c>
      <c r="F1095" s="21">
        <f>'Hoja 4 - Cálculo'!A36</f>
        <v>29921</v>
      </c>
      <c r="G1095" s="15">
        <f>'Hoja 4 - Cálculo'!H36</f>
        <v>15.3765</v>
      </c>
      <c r="H1095" s="15">
        <f>IF(D1095="Uso único",'Hoja 4 - Cálculo'!I36,IF(D1095="Uso múltiple",AVERAGE('Hoja 4 - Cálculo'!$I$25:$I$384)+AVERAGE('Hoja 4 - Cálculo'!$J$25:$J$384)+AVERAGE('Hoja 4 - Cálculo'!$K$25:$K$384),IF(D1095="Uso prioritario",'Hoja 4 - Cálculo'!I36+'Hoja 4 - Cálculo'!K36,'Hoja 4 - Cálculo'!I36+'Hoja 4 - Cálculo'!J36+'Hoja 4 - Cálculo'!K36)))</f>
        <v>16</v>
      </c>
      <c r="I1095" s="15">
        <f t="shared" si="250"/>
        <v>12</v>
      </c>
      <c r="J1095" s="15">
        <f t="shared" si="247"/>
        <v>5</v>
      </c>
      <c r="K1095" s="15">
        <f>MIN(J1095+G1095,(J1095+G1095)*'Hoja 4 - Cálculo'!$B$15)</f>
        <v>0.40753</v>
      </c>
      <c r="L1095" s="15">
        <f t="shared" si="251"/>
        <v>19.968969999999999</v>
      </c>
      <c r="M1095" s="15">
        <f t="shared" si="252"/>
        <v>12</v>
      </c>
      <c r="N1095" s="15">
        <f t="shared" si="253"/>
        <v>5</v>
      </c>
      <c r="O1095" s="15">
        <f t="shared" si="254"/>
        <v>2.9689699999999988</v>
      </c>
      <c r="P1095" s="15">
        <f t="shared" si="255"/>
        <v>0</v>
      </c>
      <c r="Q1095" s="14" t="str">
        <f>IF(M1095&gt;=I1095*'Hoja 4 - Cálculo'!$B$16,"Satisfactorio","Falla")</f>
        <v>Satisfactorio</v>
      </c>
      <c r="R1095" s="14">
        <f t="shared" si="248"/>
        <v>0</v>
      </c>
      <c r="S1095" s="14">
        <f t="shared" si="249"/>
        <v>0</v>
      </c>
    </row>
    <row r="1096" spans="1:19">
      <c r="A1096" s="14" t="str">
        <f t="shared" si="246"/>
        <v>SRY-4-1</v>
      </c>
      <c r="B1096" s="15">
        <f>'Curvas SRY'!$B$11</f>
        <v>5</v>
      </c>
      <c r="C1096" s="15">
        <f>'Curvas SRY'!$E$8</f>
        <v>0.75</v>
      </c>
      <c r="D1096" s="14" t="str">
        <f>'Curvas SRY'!$B$14</f>
        <v>Uso variable</v>
      </c>
      <c r="E1096" s="14">
        <f>13</f>
        <v>13</v>
      </c>
      <c r="F1096" s="21">
        <f>'Hoja 4 - Cálculo'!A37</f>
        <v>29952</v>
      </c>
      <c r="G1096" s="15">
        <f>'Hoja 4 - Cálculo'!H37</f>
        <v>13.808249999999999</v>
      </c>
      <c r="H1096" s="15">
        <f>IF(D1096="Uso único",'Hoja 4 - Cálculo'!I37,IF(D1096="Uso múltiple",AVERAGE('Hoja 4 - Cálculo'!$I$25:$I$384)+AVERAGE('Hoja 4 - Cálculo'!$J$25:$J$384)+AVERAGE('Hoja 4 - Cálculo'!$K$25:$K$384),IF(D1096="Uso prioritario",'Hoja 4 - Cálculo'!I37+'Hoja 4 - Cálculo'!K37,'Hoja 4 - Cálculo'!I37+'Hoja 4 - Cálculo'!J37+'Hoja 4 - Cálculo'!K37)))</f>
        <v>16</v>
      </c>
      <c r="I1096" s="15">
        <f t="shared" si="250"/>
        <v>12</v>
      </c>
      <c r="J1096" s="15">
        <f t="shared" si="247"/>
        <v>5</v>
      </c>
      <c r="K1096" s="15">
        <f>MIN(J1096+G1096,(J1096+G1096)*'Hoja 4 - Cálculo'!$B$15)</f>
        <v>0.37616500000000003</v>
      </c>
      <c r="L1096" s="15">
        <f t="shared" si="251"/>
        <v>18.432085000000001</v>
      </c>
      <c r="M1096" s="15">
        <f t="shared" si="252"/>
        <v>12</v>
      </c>
      <c r="N1096" s="15">
        <f t="shared" si="253"/>
        <v>5</v>
      </c>
      <c r="O1096" s="15">
        <f t="shared" si="254"/>
        <v>1.4320850000000007</v>
      </c>
      <c r="P1096" s="15">
        <f t="shared" si="255"/>
        <v>0</v>
      </c>
      <c r="Q1096" s="14" t="str">
        <f>IF(M1096&gt;=I1096*'Hoja 4 - Cálculo'!$B$16,"Satisfactorio","Falla")</f>
        <v>Satisfactorio</v>
      </c>
      <c r="R1096" s="14">
        <f t="shared" si="248"/>
        <v>0</v>
      </c>
      <c r="S1096" s="14">
        <f t="shared" si="249"/>
        <v>0</v>
      </c>
    </row>
    <row r="1097" spans="1:19">
      <c r="A1097" s="14" t="str">
        <f t="shared" si="246"/>
        <v>SRY-4-1</v>
      </c>
      <c r="B1097" s="15">
        <f>'Curvas SRY'!$B$11</f>
        <v>5</v>
      </c>
      <c r="C1097" s="15">
        <f>'Curvas SRY'!$E$8</f>
        <v>0.75</v>
      </c>
      <c r="D1097" s="14" t="str">
        <f>'Curvas SRY'!$B$14</f>
        <v>Uso variable</v>
      </c>
      <c r="E1097" s="14">
        <f>14</f>
        <v>14</v>
      </c>
      <c r="F1097" s="21">
        <f>'Hoja 4 - Cálculo'!A38</f>
        <v>29983</v>
      </c>
      <c r="G1097" s="15">
        <f>'Hoja 4 - Cálculo'!H38</f>
        <v>15.472125</v>
      </c>
      <c r="H1097" s="15">
        <f>IF(D1097="Uso único",'Hoja 4 - Cálculo'!I38,IF(D1097="Uso múltiple",AVERAGE('Hoja 4 - Cálculo'!$I$25:$I$384)+AVERAGE('Hoja 4 - Cálculo'!$J$25:$J$384)+AVERAGE('Hoja 4 - Cálculo'!$K$25:$K$384),IF(D1097="Uso prioritario",'Hoja 4 - Cálculo'!I38+'Hoja 4 - Cálculo'!K38,'Hoja 4 - Cálculo'!I38+'Hoja 4 - Cálculo'!J38+'Hoja 4 - Cálculo'!K38)))</f>
        <v>16</v>
      </c>
      <c r="I1097" s="15">
        <f t="shared" si="250"/>
        <v>12</v>
      </c>
      <c r="J1097" s="15">
        <f t="shared" si="247"/>
        <v>5</v>
      </c>
      <c r="K1097" s="15">
        <f>MIN(J1097+G1097,(J1097+G1097)*'Hoja 4 - Cálculo'!$B$15)</f>
        <v>0.40944249999999999</v>
      </c>
      <c r="L1097" s="15">
        <f t="shared" si="251"/>
        <v>20.062682499999998</v>
      </c>
      <c r="M1097" s="15">
        <f t="shared" si="252"/>
        <v>12</v>
      </c>
      <c r="N1097" s="15">
        <f t="shared" si="253"/>
        <v>5</v>
      </c>
      <c r="O1097" s="15">
        <f t="shared" si="254"/>
        <v>3.0626824999999975</v>
      </c>
      <c r="P1097" s="15">
        <f t="shared" si="255"/>
        <v>0</v>
      </c>
      <c r="Q1097" s="14" t="str">
        <f>IF(M1097&gt;=I1097*'Hoja 4 - Cálculo'!$B$16,"Satisfactorio","Falla")</f>
        <v>Satisfactorio</v>
      </c>
      <c r="R1097" s="14">
        <f t="shared" si="248"/>
        <v>0</v>
      </c>
      <c r="S1097" s="14">
        <f t="shared" si="249"/>
        <v>0</v>
      </c>
    </row>
    <row r="1098" spans="1:19">
      <c r="A1098" s="14" t="str">
        <f t="shared" si="246"/>
        <v>SRY-4-1</v>
      </c>
      <c r="B1098" s="15">
        <f>'Curvas SRY'!$B$11</f>
        <v>5</v>
      </c>
      <c r="C1098" s="15">
        <f>'Curvas SRY'!$E$8</f>
        <v>0.75</v>
      </c>
      <c r="D1098" s="14" t="str">
        <f>'Curvas SRY'!$B$14</f>
        <v>Uso variable</v>
      </c>
      <c r="E1098" s="14">
        <f>15</f>
        <v>15</v>
      </c>
      <c r="F1098" s="21">
        <f>'Hoja 4 - Cálculo'!A39</f>
        <v>30011</v>
      </c>
      <c r="G1098" s="15">
        <f>'Hoja 4 - Cálculo'!H39</f>
        <v>22.338000000000001</v>
      </c>
      <c r="H1098" s="15">
        <f>IF(D1098="Uso único",'Hoja 4 - Cálculo'!I39,IF(D1098="Uso múltiple",AVERAGE('Hoja 4 - Cálculo'!$I$25:$I$384)+AVERAGE('Hoja 4 - Cálculo'!$J$25:$J$384)+AVERAGE('Hoja 4 - Cálculo'!$K$25:$K$384),IF(D1098="Uso prioritario",'Hoja 4 - Cálculo'!I39+'Hoja 4 - Cálculo'!K39,'Hoja 4 - Cálculo'!I39+'Hoja 4 - Cálculo'!J39+'Hoja 4 - Cálculo'!K39)))</f>
        <v>16</v>
      </c>
      <c r="I1098" s="15">
        <f t="shared" si="250"/>
        <v>12</v>
      </c>
      <c r="J1098" s="15">
        <f t="shared" si="247"/>
        <v>5</v>
      </c>
      <c r="K1098" s="15">
        <f>MIN(J1098+G1098,(J1098+G1098)*'Hoja 4 - Cálculo'!$B$15)</f>
        <v>0.54676000000000002</v>
      </c>
      <c r="L1098" s="15">
        <f t="shared" si="251"/>
        <v>26.791240000000002</v>
      </c>
      <c r="M1098" s="15">
        <f t="shared" si="252"/>
        <v>12</v>
      </c>
      <c r="N1098" s="15">
        <f t="shared" si="253"/>
        <v>5</v>
      </c>
      <c r="O1098" s="15">
        <f t="shared" si="254"/>
        <v>9.7912400000000019</v>
      </c>
      <c r="P1098" s="15">
        <f t="shared" si="255"/>
        <v>0</v>
      </c>
      <c r="Q1098" s="14" t="str">
        <f>IF(M1098&gt;=I1098*'Hoja 4 - Cálculo'!$B$16,"Satisfactorio","Falla")</f>
        <v>Satisfactorio</v>
      </c>
      <c r="R1098" s="14">
        <f t="shared" si="248"/>
        <v>0</v>
      </c>
      <c r="S1098" s="14">
        <f t="shared" si="249"/>
        <v>0</v>
      </c>
    </row>
    <row r="1099" spans="1:19">
      <c r="A1099" s="14" t="str">
        <f t="shared" si="246"/>
        <v>SRY-4-1</v>
      </c>
      <c r="B1099" s="15">
        <f>'Curvas SRY'!$B$11</f>
        <v>5</v>
      </c>
      <c r="C1099" s="15">
        <f>'Curvas SRY'!$E$8</f>
        <v>0.75</v>
      </c>
      <c r="D1099" s="14" t="str">
        <f>'Curvas SRY'!$B$14</f>
        <v>Uso variable</v>
      </c>
      <c r="E1099" s="14">
        <f>16</f>
        <v>16</v>
      </c>
      <c r="F1099" s="21">
        <f>'Hoja 4 - Cálculo'!A40</f>
        <v>30042</v>
      </c>
      <c r="G1099" s="15">
        <f>'Hoja 4 - Cálculo'!H40</f>
        <v>31.670999999999999</v>
      </c>
      <c r="H1099" s="15">
        <f>IF(D1099="Uso único",'Hoja 4 - Cálculo'!I40,IF(D1099="Uso múltiple",AVERAGE('Hoja 4 - Cálculo'!$I$25:$I$384)+AVERAGE('Hoja 4 - Cálculo'!$J$25:$J$384)+AVERAGE('Hoja 4 - Cálculo'!$K$25:$K$384),IF(D1099="Uso prioritario",'Hoja 4 - Cálculo'!I40+'Hoja 4 - Cálculo'!K40,'Hoja 4 - Cálculo'!I40+'Hoja 4 - Cálculo'!J40+'Hoja 4 - Cálculo'!K40)))</f>
        <v>11.5</v>
      </c>
      <c r="I1099" s="15">
        <f t="shared" si="250"/>
        <v>8.625</v>
      </c>
      <c r="J1099" s="15">
        <f t="shared" si="247"/>
        <v>5</v>
      </c>
      <c r="K1099" s="15">
        <f>MIN(J1099+G1099,(J1099+G1099)*'Hoja 4 - Cálculo'!$B$15)</f>
        <v>0.73341999999999996</v>
      </c>
      <c r="L1099" s="15">
        <f t="shared" si="251"/>
        <v>35.937579999999997</v>
      </c>
      <c r="M1099" s="15">
        <f t="shared" si="252"/>
        <v>8.625</v>
      </c>
      <c r="N1099" s="15">
        <f t="shared" si="253"/>
        <v>5</v>
      </c>
      <c r="O1099" s="15">
        <f t="shared" si="254"/>
        <v>22.312579999999997</v>
      </c>
      <c r="P1099" s="15">
        <f t="shared" si="255"/>
        <v>0</v>
      </c>
      <c r="Q1099" s="14" t="str">
        <f>IF(M1099&gt;=I1099*'Hoja 4 - Cálculo'!$B$16,"Satisfactorio","Falla")</f>
        <v>Satisfactorio</v>
      </c>
      <c r="R1099" s="14">
        <f t="shared" si="248"/>
        <v>0</v>
      </c>
      <c r="S1099" s="14">
        <f t="shared" si="249"/>
        <v>0</v>
      </c>
    </row>
    <row r="1100" spans="1:19">
      <c r="A1100" s="14" t="str">
        <f t="shared" si="246"/>
        <v>SRY-4-1</v>
      </c>
      <c r="B1100" s="15">
        <f>'Curvas SRY'!$B$11</f>
        <v>5</v>
      </c>
      <c r="C1100" s="15">
        <f>'Curvas SRY'!$E$8</f>
        <v>0.75</v>
      </c>
      <c r="D1100" s="14" t="str">
        <f>'Curvas SRY'!$B$14</f>
        <v>Uso variable</v>
      </c>
      <c r="E1100" s="14">
        <f>17</f>
        <v>17</v>
      </c>
      <c r="F1100" s="21">
        <f>'Hoja 4 - Cálculo'!A41</f>
        <v>30072</v>
      </c>
      <c r="G1100" s="15">
        <f>'Hoja 4 - Cálculo'!H41</f>
        <v>29.299499999999998</v>
      </c>
      <c r="H1100" s="15">
        <f>IF(D1100="Uso único",'Hoja 4 - Cálculo'!I41,IF(D1100="Uso múltiple",AVERAGE('Hoja 4 - Cálculo'!$I$25:$I$384)+AVERAGE('Hoja 4 - Cálculo'!$J$25:$J$384)+AVERAGE('Hoja 4 - Cálculo'!$K$25:$K$384),IF(D1100="Uso prioritario",'Hoja 4 - Cálculo'!I41+'Hoja 4 - Cálculo'!K41,'Hoja 4 - Cálculo'!I41+'Hoja 4 - Cálculo'!J41+'Hoja 4 - Cálculo'!K41)))</f>
        <v>11.5</v>
      </c>
      <c r="I1100" s="15">
        <f t="shared" si="250"/>
        <v>8.625</v>
      </c>
      <c r="J1100" s="15">
        <f t="shared" si="247"/>
        <v>5</v>
      </c>
      <c r="K1100" s="15">
        <f>MIN(J1100+G1100,(J1100+G1100)*'Hoja 4 - Cálculo'!$B$15)</f>
        <v>0.68598999999999988</v>
      </c>
      <c r="L1100" s="15">
        <f t="shared" si="251"/>
        <v>33.613509999999998</v>
      </c>
      <c r="M1100" s="15">
        <f t="shared" si="252"/>
        <v>8.625</v>
      </c>
      <c r="N1100" s="15">
        <f t="shared" si="253"/>
        <v>5</v>
      </c>
      <c r="O1100" s="15">
        <f t="shared" si="254"/>
        <v>19.988509999999998</v>
      </c>
      <c r="P1100" s="15">
        <f t="shared" si="255"/>
        <v>0</v>
      </c>
      <c r="Q1100" s="14" t="str">
        <f>IF(M1100&gt;=I1100*'Hoja 4 - Cálculo'!$B$16,"Satisfactorio","Falla")</f>
        <v>Satisfactorio</v>
      </c>
      <c r="R1100" s="14">
        <f t="shared" si="248"/>
        <v>0</v>
      </c>
      <c r="S1100" s="14">
        <f t="shared" si="249"/>
        <v>0</v>
      </c>
    </row>
    <row r="1101" spans="1:19">
      <c r="A1101" s="14" t="str">
        <f t="shared" si="246"/>
        <v>SRY-4-1</v>
      </c>
      <c r="B1101" s="15">
        <f>'Curvas SRY'!$B$11</f>
        <v>5</v>
      </c>
      <c r="C1101" s="15">
        <f>'Curvas SRY'!$E$8</f>
        <v>0.75</v>
      </c>
      <c r="D1101" s="14" t="str">
        <f>'Curvas SRY'!$B$14</f>
        <v>Uso variable</v>
      </c>
      <c r="E1101" s="14">
        <f>18</f>
        <v>18</v>
      </c>
      <c r="F1101" s="21">
        <f>'Hoja 4 - Cálculo'!A42</f>
        <v>30103</v>
      </c>
      <c r="G1101" s="15">
        <f>'Hoja 4 - Cálculo'!H42</f>
        <v>18.321750000000002</v>
      </c>
      <c r="H1101" s="15">
        <f>IF(D1101="Uso único",'Hoja 4 - Cálculo'!I42,IF(D1101="Uso múltiple",AVERAGE('Hoja 4 - Cálculo'!$I$25:$I$384)+AVERAGE('Hoja 4 - Cálculo'!$J$25:$J$384)+AVERAGE('Hoja 4 - Cálculo'!$K$25:$K$384),IF(D1101="Uso prioritario",'Hoja 4 - Cálculo'!I42+'Hoja 4 - Cálculo'!K42,'Hoja 4 - Cálculo'!I42+'Hoja 4 - Cálculo'!J42+'Hoja 4 - Cálculo'!K42)))</f>
        <v>11.5</v>
      </c>
      <c r="I1101" s="15">
        <f t="shared" si="250"/>
        <v>8.625</v>
      </c>
      <c r="J1101" s="15">
        <f t="shared" si="247"/>
        <v>5</v>
      </c>
      <c r="K1101" s="15">
        <f>MIN(J1101+G1101,(J1101+G1101)*'Hoja 4 - Cálculo'!$B$15)</f>
        <v>0.46643500000000004</v>
      </c>
      <c r="L1101" s="15">
        <f t="shared" si="251"/>
        <v>22.855315000000001</v>
      </c>
      <c r="M1101" s="15">
        <f t="shared" si="252"/>
        <v>8.625</v>
      </c>
      <c r="N1101" s="15">
        <f t="shared" si="253"/>
        <v>5</v>
      </c>
      <c r="O1101" s="15">
        <f t="shared" si="254"/>
        <v>9.2303150000000009</v>
      </c>
      <c r="P1101" s="15">
        <f t="shared" si="255"/>
        <v>0</v>
      </c>
      <c r="Q1101" s="14" t="str">
        <f>IF(M1101&gt;=I1101*'Hoja 4 - Cálculo'!$B$16,"Satisfactorio","Falla")</f>
        <v>Satisfactorio</v>
      </c>
      <c r="R1101" s="14">
        <f t="shared" si="248"/>
        <v>0</v>
      </c>
      <c r="S1101" s="14">
        <f t="shared" si="249"/>
        <v>0</v>
      </c>
    </row>
    <row r="1102" spans="1:19">
      <c r="A1102" s="14" t="str">
        <f t="shared" si="246"/>
        <v>SRY-4-1</v>
      </c>
      <c r="B1102" s="15">
        <f>'Curvas SRY'!$B$11</f>
        <v>5</v>
      </c>
      <c r="C1102" s="15">
        <f>'Curvas SRY'!$E$8</f>
        <v>0.75</v>
      </c>
      <c r="D1102" s="14" t="str">
        <f>'Curvas SRY'!$B$14</f>
        <v>Uso variable</v>
      </c>
      <c r="E1102" s="14">
        <f>19</f>
        <v>19</v>
      </c>
      <c r="F1102" s="21">
        <f>'Hoja 4 - Cálculo'!A43</f>
        <v>30133</v>
      </c>
      <c r="G1102" s="15">
        <f>'Hoja 4 - Cálculo'!H43</f>
        <v>15.3765</v>
      </c>
      <c r="H1102" s="15">
        <f>IF(D1102="Uso único",'Hoja 4 - Cálculo'!I43,IF(D1102="Uso múltiple",AVERAGE('Hoja 4 - Cálculo'!$I$25:$I$384)+AVERAGE('Hoja 4 - Cálculo'!$J$25:$J$384)+AVERAGE('Hoja 4 - Cálculo'!$K$25:$K$384),IF(D1102="Uso prioritario",'Hoja 4 - Cálculo'!I43+'Hoja 4 - Cálculo'!K43,'Hoja 4 - Cálculo'!I43+'Hoja 4 - Cálculo'!J43+'Hoja 4 - Cálculo'!K43)))</f>
        <v>16</v>
      </c>
      <c r="I1102" s="15">
        <f t="shared" si="250"/>
        <v>12</v>
      </c>
      <c r="J1102" s="15">
        <f t="shared" si="247"/>
        <v>5</v>
      </c>
      <c r="K1102" s="15">
        <f>MIN(J1102+G1102,(J1102+G1102)*'Hoja 4 - Cálculo'!$B$15)</f>
        <v>0.40753</v>
      </c>
      <c r="L1102" s="15">
        <f t="shared" si="251"/>
        <v>19.968969999999999</v>
      </c>
      <c r="M1102" s="15">
        <f t="shared" si="252"/>
        <v>12</v>
      </c>
      <c r="N1102" s="15">
        <f t="shared" si="253"/>
        <v>5</v>
      </c>
      <c r="O1102" s="15">
        <f t="shared" si="254"/>
        <v>2.9689699999999988</v>
      </c>
      <c r="P1102" s="15">
        <f t="shared" si="255"/>
        <v>0</v>
      </c>
      <c r="Q1102" s="14" t="str">
        <f>IF(M1102&gt;=I1102*'Hoja 4 - Cálculo'!$B$16,"Satisfactorio","Falla")</f>
        <v>Satisfactorio</v>
      </c>
      <c r="R1102" s="14">
        <f t="shared" si="248"/>
        <v>0</v>
      </c>
      <c r="S1102" s="14">
        <f t="shared" si="249"/>
        <v>0</v>
      </c>
    </row>
    <row r="1103" spans="1:19">
      <c r="A1103" s="14" t="str">
        <f t="shared" si="246"/>
        <v>SRY-4-1</v>
      </c>
      <c r="B1103" s="15">
        <f>'Curvas SRY'!$B$11</f>
        <v>5</v>
      </c>
      <c r="C1103" s="15">
        <f>'Curvas SRY'!$E$8</f>
        <v>0.75</v>
      </c>
      <c r="D1103" s="14" t="str">
        <f>'Curvas SRY'!$B$14</f>
        <v>Uso variable</v>
      </c>
      <c r="E1103" s="14">
        <f>20</f>
        <v>20</v>
      </c>
      <c r="F1103" s="21">
        <f>'Hoja 4 - Cálculo'!A44</f>
        <v>30164</v>
      </c>
      <c r="G1103" s="15">
        <f>'Hoja 4 - Cálculo'!H44</f>
        <v>16.466625000000001</v>
      </c>
      <c r="H1103" s="15">
        <f>IF(D1103="Uso único",'Hoja 4 - Cálculo'!I44,IF(D1103="Uso múltiple",AVERAGE('Hoja 4 - Cálculo'!$I$25:$I$384)+AVERAGE('Hoja 4 - Cálculo'!$J$25:$J$384)+AVERAGE('Hoja 4 - Cálculo'!$K$25:$K$384),IF(D1103="Uso prioritario",'Hoja 4 - Cálculo'!I44+'Hoja 4 - Cálculo'!K44,'Hoja 4 - Cálculo'!I44+'Hoja 4 - Cálculo'!J44+'Hoja 4 - Cálculo'!K44)))</f>
        <v>16</v>
      </c>
      <c r="I1103" s="15">
        <f t="shared" si="250"/>
        <v>12</v>
      </c>
      <c r="J1103" s="15">
        <f t="shared" si="247"/>
        <v>5</v>
      </c>
      <c r="K1103" s="15">
        <f>MIN(J1103+G1103,(J1103+G1103)*'Hoja 4 - Cálculo'!$B$15)</f>
        <v>0.42933250000000001</v>
      </c>
      <c r="L1103" s="15">
        <f t="shared" si="251"/>
        <v>21.0372925</v>
      </c>
      <c r="M1103" s="15">
        <f t="shared" si="252"/>
        <v>12</v>
      </c>
      <c r="N1103" s="15">
        <f t="shared" si="253"/>
        <v>5</v>
      </c>
      <c r="O1103" s="15">
        <f t="shared" si="254"/>
        <v>4.0372924999999995</v>
      </c>
      <c r="P1103" s="15">
        <f t="shared" si="255"/>
        <v>0</v>
      </c>
      <c r="Q1103" s="14" t="str">
        <f>IF(M1103&gt;=I1103*'Hoja 4 - Cálculo'!$B$16,"Satisfactorio","Falla")</f>
        <v>Satisfactorio</v>
      </c>
      <c r="R1103" s="14">
        <f t="shared" si="248"/>
        <v>0</v>
      </c>
      <c r="S1103" s="14">
        <f t="shared" si="249"/>
        <v>0</v>
      </c>
    </row>
    <row r="1104" spans="1:19">
      <c r="A1104" s="14" t="str">
        <f t="shared" si="246"/>
        <v>SRY-4-1</v>
      </c>
      <c r="B1104" s="15">
        <f>'Curvas SRY'!$B$11</f>
        <v>5</v>
      </c>
      <c r="C1104" s="15">
        <f>'Curvas SRY'!$E$8</f>
        <v>0.75</v>
      </c>
      <c r="D1104" s="14" t="str">
        <f>'Curvas SRY'!$B$14</f>
        <v>Uso variable</v>
      </c>
      <c r="E1104" s="14">
        <f>21</f>
        <v>21</v>
      </c>
      <c r="F1104" s="21">
        <f>'Hoja 4 - Cálculo'!A45</f>
        <v>30195</v>
      </c>
      <c r="G1104" s="15">
        <f>'Hoja 4 - Cálculo'!H45</f>
        <v>25.837875</v>
      </c>
      <c r="H1104" s="15">
        <f>IF(D1104="Uso único",'Hoja 4 - Cálculo'!I45,IF(D1104="Uso múltiple",AVERAGE('Hoja 4 - Cálculo'!$I$25:$I$384)+AVERAGE('Hoja 4 - Cálculo'!$J$25:$J$384)+AVERAGE('Hoja 4 - Cálculo'!$K$25:$K$384),IF(D1104="Uso prioritario",'Hoja 4 - Cálculo'!I45+'Hoja 4 - Cálculo'!K45,'Hoja 4 - Cálculo'!I45+'Hoja 4 - Cálculo'!J45+'Hoja 4 - Cálculo'!K45)))</f>
        <v>11.5</v>
      </c>
      <c r="I1104" s="15">
        <f t="shared" si="250"/>
        <v>8.625</v>
      </c>
      <c r="J1104" s="15">
        <f t="shared" si="247"/>
        <v>5</v>
      </c>
      <c r="K1104" s="15">
        <f>MIN(J1104+G1104,(J1104+G1104)*'Hoja 4 - Cálculo'!$B$15)</f>
        <v>0.61675750000000007</v>
      </c>
      <c r="L1104" s="15">
        <f t="shared" si="251"/>
        <v>30.221117500000002</v>
      </c>
      <c r="M1104" s="15">
        <f t="shared" si="252"/>
        <v>8.625</v>
      </c>
      <c r="N1104" s="15">
        <f t="shared" si="253"/>
        <v>5</v>
      </c>
      <c r="O1104" s="15">
        <f t="shared" si="254"/>
        <v>16.596117500000002</v>
      </c>
      <c r="P1104" s="15">
        <f t="shared" si="255"/>
        <v>0</v>
      </c>
      <c r="Q1104" s="14" t="str">
        <f>IF(M1104&gt;=I1104*'Hoja 4 - Cálculo'!$B$16,"Satisfactorio","Falla")</f>
        <v>Satisfactorio</v>
      </c>
      <c r="R1104" s="14">
        <f t="shared" si="248"/>
        <v>0</v>
      </c>
      <c r="S1104" s="14">
        <f t="shared" si="249"/>
        <v>0</v>
      </c>
    </row>
    <row r="1105" spans="1:19">
      <c r="A1105" s="14" t="str">
        <f t="shared" si="246"/>
        <v>SRY-4-1</v>
      </c>
      <c r="B1105" s="15">
        <f>'Curvas SRY'!$B$11</f>
        <v>5</v>
      </c>
      <c r="C1105" s="15">
        <f>'Curvas SRY'!$E$8</f>
        <v>0.75</v>
      </c>
      <c r="D1105" s="14" t="str">
        <f>'Curvas SRY'!$B$14</f>
        <v>Uso variable</v>
      </c>
      <c r="E1105" s="14">
        <f>22</f>
        <v>22</v>
      </c>
      <c r="F1105" s="21">
        <f>'Hoja 4 - Cálculo'!A46</f>
        <v>30225</v>
      </c>
      <c r="G1105" s="15">
        <f>'Hoja 4 - Cálculo'!H46</f>
        <v>33.46875</v>
      </c>
      <c r="H1105" s="15">
        <f>IF(D1105="Uso único",'Hoja 4 - Cálculo'!I46,IF(D1105="Uso múltiple",AVERAGE('Hoja 4 - Cálculo'!$I$25:$I$384)+AVERAGE('Hoja 4 - Cálculo'!$J$25:$J$384)+AVERAGE('Hoja 4 - Cálculo'!$K$25:$K$384),IF(D1105="Uso prioritario",'Hoja 4 - Cálculo'!I46+'Hoja 4 - Cálculo'!K46,'Hoja 4 - Cálculo'!I46+'Hoja 4 - Cálculo'!J46+'Hoja 4 - Cálculo'!K46)))</f>
        <v>11.5</v>
      </c>
      <c r="I1105" s="15">
        <f t="shared" si="250"/>
        <v>8.625</v>
      </c>
      <c r="J1105" s="15">
        <f t="shared" si="247"/>
        <v>5</v>
      </c>
      <c r="K1105" s="15">
        <f>MIN(J1105+G1105,(J1105+G1105)*'Hoja 4 - Cálculo'!$B$15)</f>
        <v>0.76937500000000003</v>
      </c>
      <c r="L1105" s="15">
        <f t="shared" si="251"/>
        <v>37.699375000000003</v>
      </c>
      <c r="M1105" s="15">
        <f t="shared" si="252"/>
        <v>8.625</v>
      </c>
      <c r="N1105" s="15">
        <f t="shared" si="253"/>
        <v>5</v>
      </c>
      <c r="O1105" s="15">
        <f t="shared" si="254"/>
        <v>24.074375000000003</v>
      </c>
      <c r="P1105" s="15">
        <f t="shared" si="255"/>
        <v>0</v>
      </c>
      <c r="Q1105" s="14" t="str">
        <f>IF(M1105&gt;=I1105*'Hoja 4 - Cálculo'!$B$16,"Satisfactorio","Falla")</f>
        <v>Satisfactorio</v>
      </c>
      <c r="R1105" s="14">
        <f t="shared" si="248"/>
        <v>0</v>
      </c>
      <c r="S1105" s="14">
        <f t="shared" si="249"/>
        <v>0</v>
      </c>
    </row>
    <row r="1106" spans="1:19">
      <c r="A1106" s="14" t="str">
        <f t="shared" si="246"/>
        <v>SRY-4-1</v>
      </c>
      <c r="B1106" s="15">
        <f>'Curvas SRY'!$B$11</f>
        <v>5</v>
      </c>
      <c r="C1106" s="15">
        <f>'Curvas SRY'!$E$8</f>
        <v>0.75</v>
      </c>
      <c r="D1106" s="14" t="str">
        <f>'Curvas SRY'!$B$14</f>
        <v>Uso variable</v>
      </c>
      <c r="E1106" s="14">
        <f>23</f>
        <v>23</v>
      </c>
      <c r="F1106" s="21">
        <f>'Hoja 4 - Cálculo'!A47</f>
        <v>30256</v>
      </c>
      <c r="G1106" s="15">
        <f>'Hoja 4 - Cálculo'!H47</f>
        <v>27.578250000000001</v>
      </c>
      <c r="H1106" s="15">
        <f>IF(D1106="Uso único",'Hoja 4 - Cálculo'!I47,IF(D1106="Uso múltiple",AVERAGE('Hoja 4 - Cálculo'!$I$25:$I$384)+AVERAGE('Hoja 4 - Cálculo'!$J$25:$J$384)+AVERAGE('Hoja 4 - Cálculo'!$K$25:$K$384),IF(D1106="Uso prioritario",'Hoja 4 - Cálculo'!I47+'Hoja 4 - Cálculo'!K47,'Hoja 4 - Cálculo'!I47+'Hoja 4 - Cálculo'!J47+'Hoja 4 - Cálculo'!K47)))</f>
        <v>11.5</v>
      </c>
      <c r="I1106" s="15">
        <f t="shared" si="250"/>
        <v>8.625</v>
      </c>
      <c r="J1106" s="15">
        <f t="shared" si="247"/>
        <v>5</v>
      </c>
      <c r="K1106" s="15">
        <f>MIN(J1106+G1106,(J1106+G1106)*'Hoja 4 - Cálculo'!$B$15)</f>
        <v>0.65156499999999995</v>
      </c>
      <c r="L1106" s="15">
        <f t="shared" si="251"/>
        <v>31.926684999999996</v>
      </c>
      <c r="M1106" s="15">
        <f t="shared" si="252"/>
        <v>8.625</v>
      </c>
      <c r="N1106" s="15">
        <f t="shared" si="253"/>
        <v>5</v>
      </c>
      <c r="O1106" s="15">
        <f t="shared" si="254"/>
        <v>18.301684999999996</v>
      </c>
      <c r="P1106" s="15">
        <f t="shared" si="255"/>
        <v>0</v>
      </c>
      <c r="Q1106" s="14" t="str">
        <f>IF(M1106&gt;=I1106*'Hoja 4 - Cálculo'!$B$16,"Satisfactorio","Falla")</f>
        <v>Satisfactorio</v>
      </c>
      <c r="R1106" s="14">
        <f t="shared" si="248"/>
        <v>0</v>
      </c>
      <c r="S1106" s="14">
        <f t="shared" si="249"/>
        <v>0</v>
      </c>
    </row>
    <row r="1107" spans="1:19">
      <c r="A1107" s="14" t="str">
        <f t="shared" si="246"/>
        <v>SRY-4-1</v>
      </c>
      <c r="B1107" s="15">
        <f>'Curvas SRY'!$B$11</f>
        <v>5</v>
      </c>
      <c r="C1107" s="15">
        <f>'Curvas SRY'!$E$8</f>
        <v>0.75</v>
      </c>
      <c r="D1107" s="14" t="str">
        <f>'Curvas SRY'!$B$14</f>
        <v>Uso variable</v>
      </c>
      <c r="E1107" s="14">
        <f>24</f>
        <v>24</v>
      </c>
      <c r="F1107" s="21">
        <f>'Hoja 4 - Cálculo'!A48</f>
        <v>30286</v>
      </c>
      <c r="G1107" s="15">
        <f>'Hoja 4 - Cálculo'!H48</f>
        <v>16.256250000000001</v>
      </c>
      <c r="H1107" s="15">
        <f>IF(D1107="Uso único",'Hoja 4 - Cálculo'!I48,IF(D1107="Uso múltiple",AVERAGE('Hoja 4 - Cálculo'!$I$25:$I$384)+AVERAGE('Hoja 4 - Cálculo'!$J$25:$J$384)+AVERAGE('Hoja 4 - Cálculo'!$K$25:$K$384),IF(D1107="Uso prioritario",'Hoja 4 - Cálculo'!I48+'Hoja 4 - Cálculo'!K48,'Hoja 4 - Cálculo'!I48+'Hoja 4 - Cálculo'!J48+'Hoja 4 - Cálculo'!K48)))</f>
        <v>16</v>
      </c>
      <c r="I1107" s="15">
        <f t="shared" si="250"/>
        <v>12</v>
      </c>
      <c r="J1107" s="15">
        <f t="shared" si="247"/>
        <v>5</v>
      </c>
      <c r="K1107" s="15">
        <f>MIN(J1107+G1107,(J1107+G1107)*'Hoja 4 - Cálculo'!$B$15)</f>
        <v>0.42512500000000003</v>
      </c>
      <c r="L1107" s="15">
        <f t="shared" si="251"/>
        <v>20.831125</v>
      </c>
      <c r="M1107" s="15">
        <f t="shared" si="252"/>
        <v>12</v>
      </c>
      <c r="N1107" s="15">
        <f t="shared" si="253"/>
        <v>5</v>
      </c>
      <c r="O1107" s="15">
        <f t="shared" si="254"/>
        <v>3.8311250000000001</v>
      </c>
      <c r="P1107" s="15">
        <f t="shared" si="255"/>
        <v>0</v>
      </c>
      <c r="Q1107" s="14" t="str">
        <f>IF(M1107&gt;=I1107*'Hoja 4 - Cálculo'!$B$16,"Satisfactorio","Falla")</f>
        <v>Satisfactorio</v>
      </c>
      <c r="R1107" s="14">
        <f t="shared" si="248"/>
        <v>0</v>
      </c>
      <c r="S1107" s="14">
        <f t="shared" si="249"/>
        <v>0</v>
      </c>
    </row>
    <row r="1108" spans="1:19">
      <c r="A1108" s="14" t="str">
        <f t="shared" si="246"/>
        <v>SRY-4-1</v>
      </c>
      <c r="B1108" s="15">
        <f>'Curvas SRY'!$B$11</f>
        <v>5</v>
      </c>
      <c r="C1108" s="15">
        <f>'Curvas SRY'!$E$8</f>
        <v>0.75</v>
      </c>
      <c r="D1108" s="14" t="str">
        <f>'Curvas SRY'!$B$14</f>
        <v>Uso variable</v>
      </c>
      <c r="E1108" s="14">
        <f>25</f>
        <v>25</v>
      </c>
      <c r="F1108" s="21">
        <f>'Hoja 4 - Cálculo'!A49</f>
        <v>30317</v>
      </c>
      <c r="G1108" s="15">
        <f>'Hoja 4 - Cálculo'!H49</f>
        <v>12.775499999999999</v>
      </c>
      <c r="H1108" s="15">
        <f>IF(D1108="Uso único",'Hoja 4 - Cálculo'!I49,IF(D1108="Uso múltiple",AVERAGE('Hoja 4 - Cálculo'!$I$25:$I$384)+AVERAGE('Hoja 4 - Cálculo'!$J$25:$J$384)+AVERAGE('Hoja 4 - Cálculo'!$K$25:$K$384),IF(D1108="Uso prioritario",'Hoja 4 - Cálculo'!I49+'Hoja 4 - Cálculo'!K49,'Hoja 4 - Cálculo'!I49+'Hoja 4 - Cálculo'!J49+'Hoja 4 - Cálculo'!K49)))</f>
        <v>16</v>
      </c>
      <c r="I1108" s="15">
        <f t="shared" si="250"/>
        <v>12</v>
      </c>
      <c r="J1108" s="15">
        <f t="shared" si="247"/>
        <v>5</v>
      </c>
      <c r="K1108" s="15">
        <f>MIN(J1108+G1108,(J1108+G1108)*'Hoja 4 - Cálculo'!$B$15)</f>
        <v>0.35551000000000005</v>
      </c>
      <c r="L1108" s="15">
        <f t="shared" si="251"/>
        <v>17.419990000000002</v>
      </c>
      <c r="M1108" s="15">
        <f t="shared" si="252"/>
        <v>12</v>
      </c>
      <c r="N1108" s="15">
        <f t="shared" si="253"/>
        <v>5</v>
      </c>
      <c r="O1108" s="15">
        <f t="shared" si="254"/>
        <v>0.41999000000000208</v>
      </c>
      <c r="P1108" s="15">
        <f t="shared" si="255"/>
        <v>0</v>
      </c>
      <c r="Q1108" s="14" t="str">
        <f>IF(M1108&gt;=I1108*'Hoja 4 - Cálculo'!$B$16,"Satisfactorio","Falla")</f>
        <v>Satisfactorio</v>
      </c>
      <c r="R1108" s="14">
        <f t="shared" si="248"/>
        <v>0</v>
      </c>
      <c r="S1108" s="14">
        <f t="shared" si="249"/>
        <v>0</v>
      </c>
    </row>
    <row r="1109" spans="1:19">
      <c r="A1109" s="14" t="str">
        <f t="shared" si="246"/>
        <v>SRY-4-1</v>
      </c>
      <c r="B1109" s="15">
        <f>'Curvas SRY'!$B$11</f>
        <v>5</v>
      </c>
      <c r="C1109" s="15">
        <f>'Curvas SRY'!$E$8</f>
        <v>0.75</v>
      </c>
      <c r="D1109" s="14" t="str">
        <f>'Curvas SRY'!$B$14</f>
        <v>Uso variable</v>
      </c>
      <c r="E1109" s="14">
        <f>26</f>
        <v>26</v>
      </c>
      <c r="F1109" s="21">
        <f>'Hoja 4 - Cálculo'!A50</f>
        <v>30348</v>
      </c>
      <c r="G1109" s="15">
        <f>'Hoja 4 - Cálculo'!H50</f>
        <v>14.49675</v>
      </c>
      <c r="H1109" s="15">
        <f>IF(D1109="Uso único",'Hoja 4 - Cálculo'!I50,IF(D1109="Uso múltiple",AVERAGE('Hoja 4 - Cálculo'!$I$25:$I$384)+AVERAGE('Hoja 4 - Cálculo'!$J$25:$J$384)+AVERAGE('Hoja 4 - Cálculo'!$K$25:$K$384),IF(D1109="Uso prioritario",'Hoja 4 - Cálculo'!I50+'Hoja 4 - Cálculo'!K50,'Hoja 4 - Cálculo'!I50+'Hoja 4 - Cálculo'!J50+'Hoja 4 - Cálculo'!K50)))</f>
        <v>16</v>
      </c>
      <c r="I1109" s="15">
        <f t="shared" si="250"/>
        <v>12</v>
      </c>
      <c r="J1109" s="15">
        <f t="shared" si="247"/>
        <v>5</v>
      </c>
      <c r="K1109" s="15">
        <f>MIN(J1109+G1109,(J1109+G1109)*'Hoja 4 - Cálculo'!$B$15)</f>
        <v>0.38993499999999998</v>
      </c>
      <c r="L1109" s="15">
        <f t="shared" si="251"/>
        <v>19.106814999999997</v>
      </c>
      <c r="M1109" s="15">
        <f t="shared" si="252"/>
        <v>12</v>
      </c>
      <c r="N1109" s="15">
        <f t="shared" si="253"/>
        <v>5</v>
      </c>
      <c r="O1109" s="15">
        <f t="shared" si="254"/>
        <v>2.1068149999999974</v>
      </c>
      <c r="P1109" s="15">
        <f t="shared" si="255"/>
        <v>0</v>
      </c>
      <c r="Q1109" s="14" t="str">
        <f>IF(M1109&gt;=I1109*'Hoja 4 - Cálculo'!$B$16,"Satisfactorio","Falla")</f>
        <v>Satisfactorio</v>
      </c>
      <c r="R1109" s="14">
        <f t="shared" si="248"/>
        <v>0</v>
      </c>
      <c r="S1109" s="14">
        <f t="shared" si="249"/>
        <v>0</v>
      </c>
    </row>
    <row r="1110" spans="1:19">
      <c r="A1110" s="14" t="str">
        <f t="shared" si="246"/>
        <v>SRY-4-1</v>
      </c>
      <c r="B1110" s="15">
        <f>'Curvas SRY'!$B$11</f>
        <v>5</v>
      </c>
      <c r="C1110" s="15">
        <f>'Curvas SRY'!$E$8</f>
        <v>0.75</v>
      </c>
      <c r="D1110" s="14" t="str">
        <f>'Curvas SRY'!$B$14</f>
        <v>Uso variable</v>
      </c>
      <c r="E1110" s="14">
        <f>27</f>
        <v>27</v>
      </c>
      <c r="F1110" s="21">
        <f>'Hoja 4 - Cálculo'!A51</f>
        <v>30376</v>
      </c>
      <c r="G1110" s="15">
        <f>'Hoja 4 - Cálculo'!H51</f>
        <v>21.936375000000002</v>
      </c>
      <c r="H1110" s="15">
        <f>IF(D1110="Uso único",'Hoja 4 - Cálculo'!I51,IF(D1110="Uso múltiple",AVERAGE('Hoja 4 - Cálculo'!$I$25:$I$384)+AVERAGE('Hoja 4 - Cálculo'!$J$25:$J$384)+AVERAGE('Hoja 4 - Cálculo'!$K$25:$K$384),IF(D1110="Uso prioritario",'Hoja 4 - Cálculo'!I51+'Hoja 4 - Cálculo'!K51,'Hoja 4 - Cálculo'!I51+'Hoja 4 - Cálculo'!J51+'Hoja 4 - Cálculo'!K51)))</f>
        <v>16</v>
      </c>
      <c r="I1110" s="15">
        <f t="shared" si="250"/>
        <v>12</v>
      </c>
      <c r="J1110" s="15">
        <f t="shared" si="247"/>
        <v>5</v>
      </c>
      <c r="K1110" s="15">
        <f>MIN(J1110+G1110,(J1110+G1110)*'Hoja 4 - Cálculo'!$B$15)</f>
        <v>0.53872750000000003</v>
      </c>
      <c r="L1110" s="15">
        <f t="shared" si="251"/>
        <v>26.397647500000001</v>
      </c>
      <c r="M1110" s="15">
        <f t="shared" si="252"/>
        <v>12</v>
      </c>
      <c r="N1110" s="15">
        <f t="shared" si="253"/>
        <v>5</v>
      </c>
      <c r="O1110" s="15">
        <f t="shared" si="254"/>
        <v>9.3976475000000015</v>
      </c>
      <c r="P1110" s="15">
        <f t="shared" si="255"/>
        <v>0</v>
      </c>
      <c r="Q1110" s="14" t="str">
        <f>IF(M1110&gt;=I1110*'Hoja 4 - Cálculo'!$B$16,"Satisfactorio","Falla")</f>
        <v>Satisfactorio</v>
      </c>
      <c r="R1110" s="14">
        <f t="shared" si="248"/>
        <v>0</v>
      </c>
      <c r="S1110" s="14">
        <f t="shared" si="249"/>
        <v>0</v>
      </c>
    </row>
    <row r="1111" spans="1:19">
      <c r="A1111" s="14" t="str">
        <f t="shared" si="246"/>
        <v>SRY-4-1</v>
      </c>
      <c r="B1111" s="15">
        <f>'Curvas SRY'!$B$11</f>
        <v>5</v>
      </c>
      <c r="C1111" s="15">
        <f>'Curvas SRY'!$E$8</f>
        <v>0.75</v>
      </c>
      <c r="D1111" s="14" t="str">
        <f>'Curvas SRY'!$B$14</f>
        <v>Uso variable</v>
      </c>
      <c r="E1111" s="14">
        <f>28</f>
        <v>28</v>
      </c>
      <c r="F1111" s="21">
        <f>'Hoja 4 - Cálculo'!A52</f>
        <v>30407</v>
      </c>
      <c r="G1111" s="15">
        <f>'Hoja 4 - Cálculo'!H52</f>
        <v>32.263874999999999</v>
      </c>
      <c r="H1111" s="15">
        <f>IF(D1111="Uso único",'Hoja 4 - Cálculo'!I52,IF(D1111="Uso múltiple",AVERAGE('Hoja 4 - Cálculo'!$I$25:$I$384)+AVERAGE('Hoja 4 - Cálculo'!$J$25:$J$384)+AVERAGE('Hoja 4 - Cálculo'!$K$25:$K$384),IF(D1111="Uso prioritario",'Hoja 4 - Cálculo'!I52+'Hoja 4 - Cálculo'!K52,'Hoja 4 - Cálculo'!I52+'Hoja 4 - Cálculo'!J52+'Hoja 4 - Cálculo'!K52)))</f>
        <v>11.5</v>
      </c>
      <c r="I1111" s="15">
        <f t="shared" si="250"/>
        <v>8.625</v>
      </c>
      <c r="J1111" s="15">
        <f t="shared" si="247"/>
        <v>5</v>
      </c>
      <c r="K1111" s="15">
        <f>MIN(J1111+G1111,(J1111+G1111)*'Hoja 4 - Cálculo'!$B$15)</f>
        <v>0.74527750000000004</v>
      </c>
      <c r="L1111" s="15">
        <f t="shared" si="251"/>
        <v>36.518597499999998</v>
      </c>
      <c r="M1111" s="15">
        <f t="shared" si="252"/>
        <v>8.625</v>
      </c>
      <c r="N1111" s="15">
        <f t="shared" si="253"/>
        <v>5</v>
      </c>
      <c r="O1111" s="15">
        <f t="shared" si="254"/>
        <v>22.893597499999998</v>
      </c>
      <c r="P1111" s="15">
        <f t="shared" si="255"/>
        <v>0</v>
      </c>
      <c r="Q1111" s="14" t="str">
        <f>IF(M1111&gt;=I1111*'Hoja 4 - Cálculo'!$B$16,"Satisfactorio","Falla")</f>
        <v>Satisfactorio</v>
      </c>
      <c r="R1111" s="14">
        <f t="shared" si="248"/>
        <v>0</v>
      </c>
      <c r="S1111" s="14">
        <f t="shared" si="249"/>
        <v>0</v>
      </c>
    </row>
    <row r="1112" spans="1:19">
      <c r="A1112" s="14" t="str">
        <f t="shared" si="246"/>
        <v>SRY-4-1</v>
      </c>
      <c r="B1112" s="15">
        <f>'Curvas SRY'!$B$11</f>
        <v>5</v>
      </c>
      <c r="C1112" s="15">
        <f>'Curvas SRY'!$E$8</f>
        <v>0.75</v>
      </c>
      <c r="D1112" s="14" t="str">
        <f>'Curvas SRY'!$B$14</f>
        <v>Uso variable</v>
      </c>
      <c r="E1112" s="14">
        <f>29</f>
        <v>29</v>
      </c>
      <c r="F1112" s="21">
        <f>'Hoja 4 - Cálculo'!A53</f>
        <v>30437</v>
      </c>
      <c r="G1112" s="15">
        <f>'Hoja 4 - Cálculo'!H53</f>
        <v>29.356874999999999</v>
      </c>
      <c r="H1112" s="15">
        <f>IF(D1112="Uso único",'Hoja 4 - Cálculo'!I53,IF(D1112="Uso múltiple",AVERAGE('Hoja 4 - Cálculo'!$I$25:$I$384)+AVERAGE('Hoja 4 - Cálculo'!$J$25:$J$384)+AVERAGE('Hoja 4 - Cálculo'!$K$25:$K$384),IF(D1112="Uso prioritario",'Hoja 4 - Cálculo'!I53+'Hoja 4 - Cálculo'!K53,'Hoja 4 - Cálculo'!I53+'Hoja 4 - Cálculo'!J53+'Hoja 4 - Cálculo'!K53)))</f>
        <v>11.5</v>
      </c>
      <c r="I1112" s="15">
        <f t="shared" si="250"/>
        <v>8.625</v>
      </c>
      <c r="J1112" s="15">
        <f t="shared" si="247"/>
        <v>5</v>
      </c>
      <c r="K1112" s="15">
        <f>MIN(J1112+G1112,(J1112+G1112)*'Hoja 4 - Cálculo'!$B$15)</f>
        <v>0.68713750000000007</v>
      </c>
      <c r="L1112" s="15">
        <f t="shared" si="251"/>
        <v>33.669737500000004</v>
      </c>
      <c r="M1112" s="15">
        <f t="shared" si="252"/>
        <v>8.625</v>
      </c>
      <c r="N1112" s="15">
        <f t="shared" si="253"/>
        <v>5</v>
      </c>
      <c r="O1112" s="15">
        <f t="shared" si="254"/>
        <v>20.044737500000004</v>
      </c>
      <c r="P1112" s="15">
        <f t="shared" si="255"/>
        <v>0</v>
      </c>
      <c r="Q1112" s="14" t="str">
        <f>IF(M1112&gt;=I1112*'Hoja 4 - Cálculo'!$B$16,"Satisfactorio","Falla")</f>
        <v>Satisfactorio</v>
      </c>
      <c r="R1112" s="14">
        <f t="shared" si="248"/>
        <v>0</v>
      </c>
      <c r="S1112" s="14">
        <f t="shared" si="249"/>
        <v>0</v>
      </c>
    </row>
    <row r="1113" spans="1:19">
      <c r="A1113" s="14" t="str">
        <f t="shared" si="246"/>
        <v>SRY-4-1</v>
      </c>
      <c r="B1113" s="15">
        <f>'Curvas SRY'!$B$11</f>
        <v>5</v>
      </c>
      <c r="C1113" s="15">
        <f>'Curvas SRY'!$E$8</f>
        <v>0.75</v>
      </c>
      <c r="D1113" s="14" t="str">
        <f>'Curvas SRY'!$B$14</f>
        <v>Uso variable</v>
      </c>
      <c r="E1113" s="14">
        <f>30</f>
        <v>30</v>
      </c>
      <c r="F1113" s="21">
        <f>'Hoja 4 - Cálculo'!A54</f>
        <v>30468</v>
      </c>
      <c r="G1113" s="15">
        <f>'Hoja 4 - Cálculo'!H54</f>
        <v>17.212499999999999</v>
      </c>
      <c r="H1113" s="15">
        <f>IF(D1113="Uso único",'Hoja 4 - Cálculo'!I54,IF(D1113="Uso múltiple",AVERAGE('Hoja 4 - Cálculo'!$I$25:$I$384)+AVERAGE('Hoja 4 - Cálculo'!$J$25:$J$384)+AVERAGE('Hoja 4 - Cálculo'!$K$25:$K$384),IF(D1113="Uso prioritario",'Hoja 4 - Cálculo'!I54+'Hoja 4 - Cálculo'!K54,'Hoja 4 - Cálculo'!I54+'Hoja 4 - Cálculo'!J54+'Hoja 4 - Cálculo'!K54)))</f>
        <v>11.5</v>
      </c>
      <c r="I1113" s="15">
        <f t="shared" si="250"/>
        <v>8.625</v>
      </c>
      <c r="J1113" s="15">
        <f t="shared" si="247"/>
        <v>5</v>
      </c>
      <c r="K1113" s="15">
        <f>MIN(J1113+G1113,(J1113+G1113)*'Hoja 4 - Cálculo'!$B$15)</f>
        <v>0.44424999999999998</v>
      </c>
      <c r="L1113" s="15">
        <f t="shared" si="251"/>
        <v>21.768249999999998</v>
      </c>
      <c r="M1113" s="15">
        <f t="shared" si="252"/>
        <v>8.625</v>
      </c>
      <c r="N1113" s="15">
        <f t="shared" si="253"/>
        <v>5</v>
      </c>
      <c r="O1113" s="15">
        <f t="shared" si="254"/>
        <v>8.1432499999999983</v>
      </c>
      <c r="P1113" s="15">
        <f t="shared" si="255"/>
        <v>0</v>
      </c>
      <c r="Q1113" s="14" t="str">
        <f>IF(M1113&gt;=I1113*'Hoja 4 - Cálculo'!$B$16,"Satisfactorio","Falla")</f>
        <v>Satisfactorio</v>
      </c>
      <c r="R1113" s="14">
        <f t="shared" si="248"/>
        <v>0</v>
      </c>
      <c r="S1113" s="14">
        <f t="shared" si="249"/>
        <v>0</v>
      </c>
    </row>
    <row r="1114" spans="1:19">
      <c r="A1114" s="14" t="str">
        <f t="shared" si="246"/>
        <v>SRY-4-1</v>
      </c>
      <c r="B1114" s="15">
        <f>'Curvas SRY'!$B$11</f>
        <v>5</v>
      </c>
      <c r="C1114" s="15">
        <f>'Curvas SRY'!$E$8</f>
        <v>0.75</v>
      </c>
      <c r="D1114" s="14" t="str">
        <f>'Curvas SRY'!$B$14</f>
        <v>Uso variable</v>
      </c>
      <c r="E1114" s="14">
        <f>31</f>
        <v>31</v>
      </c>
      <c r="F1114" s="21">
        <f>'Hoja 4 - Cálculo'!A55</f>
        <v>30498</v>
      </c>
      <c r="G1114" s="15">
        <f>'Hoja 4 - Cálculo'!H55</f>
        <v>13.597875</v>
      </c>
      <c r="H1114" s="15">
        <f>IF(D1114="Uso único",'Hoja 4 - Cálculo'!I55,IF(D1114="Uso múltiple",AVERAGE('Hoja 4 - Cálculo'!$I$25:$I$384)+AVERAGE('Hoja 4 - Cálculo'!$J$25:$J$384)+AVERAGE('Hoja 4 - Cálculo'!$K$25:$K$384),IF(D1114="Uso prioritario",'Hoja 4 - Cálculo'!I55+'Hoja 4 - Cálculo'!K55,'Hoja 4 - Cálculo'!I55+'Hoja 4 - Cálculo'!J55+'Hoja 4 - Cálculo'!K55)))</f>
        <v>16</v>
      </c>
      <c r="I1114" s="15">
        <f t="shared" si="250"/>
        <v>12</v>
      </c>
      <c r="J1114" s="15">
        <f t="shared" si="247"/>
        <v>5</v>
      </c>
      <c r="K1114" s="15">
        <f>MIN(J1114+G1114,(J1114+G1114)*'Hoja 4 - Cálculo'!$B$15)</f>
        <v>0.37195750000000005</v>
      </c>
      <c r="L1114" s="15">
        <f t="shared" si="251"/>
        <v>18.225917500000001</v>
      </c>
      <c r="M1114" s="15">
        <f t="shared" si="252"/>
        <v>12</v>
      </c>
      <c r="N1114" s="15">
        <f t="shared" si="253"/>
        <v>5</v>
      </c>
      <c r="O1114" s="15">
        <f t="shared" si="254"/>
        <v>1.2259175000000013</v>
      </c>
      <c r="P1114" s="15">
        <f t="shared" si="255"/>
        <v>0</v>
      </c>
      <c r="Q1114" s="14" t="str">
        <f>IF(M1114&gt;=I1114*'Hoja 4 - Cálculo'!$B$16,"Satisfactorio","Falla")</f>
        <v>Satisfactorio</v>
      </c>
      <c r="R1114" s="14">
        <f t="shared" si="248"/>
        <v>0</v>
      </c>
      <c r="S1114" s="14">
        <f t="shared" si="249"/>
        <v>0</v>
      </c>
    </row>
    <row r="1115" spans="1:19">
      <c r="A1115" s="14" t="str">
        <f t="shared" si="246"/>
        <v>SRY-4-1</v>
      </c>
      <c r="B1115" s="15">
        <f>'Curvas SRY'!$B$11</f>
        <v>5</v>
      </c>
      <c r="C1115" s="15">
        <f>'Curvas SRY'!$E$8</f>
        <v>0.75</v>
      </c>
      <c r="D1115" s="14" t="str">
        <f>'Curvas SRY'!$B$14</f>
        <v>Uso variable</v>
      </c>
      <c r="E1115" s="14">
        <f>32</f>
        <v>32</v>
      </c>
      <c r="F1115" s="21">
        <f>'Hoja 4 - Cálculo'!A56</f>
        <v>30529</v>
      </c>
      <c r="G1115" s="15">
        <f>'Hoja 4 - Cálculo'!H56</f>
        <v>14.592375000000001</v>
      </c>
      <c r="H1115" s="15">
        <f>IF(D1115="Uso único",'Hoja 4 - Cálculo'!I56,IF(D1115="Uso múltiple",AVERAGE('Hoja 4 - Cálculo'!$I$25:$I$384)+AVERAGE('Hoja 4 - Cálculo'!$J$25:$J$384)+AVERAGE('Hoja 4 - Cálculo'!$K$25:$K$384),IF(D1115="Uso prioritario",'Hoja 4 - Cálculo'!I56+'Hoja 4 - Cálculo'!K56,'Hoja 4 - Cálculo'!I56+'Hoja 4 - Cálculo'!J56+'Hoja 4 - Cálculo'!K56)))</f>
        <v>16</v>
      </c>
      <c r="I1115" s="15">
        <f t="shared" si="250"/>
        <v>12</v>
      </c>
      <c r="J1115" s="15">
        <f t="shared" si="247"/>
        <v>5</v>
      </c>
      <c r="K1115" s="15">
        <f>MIN(J1115+G1115,(J1115+G1115)*'Hoja 4 - Cálculo'!$B$15)</f>
        <v>0.39184750000000002</v>
      </c>
      <c r="L1115" s="15">
        <f t="shared" si="251"/>
        <v>19.2005275</v>
      </c>
      <c r="M1115" s="15">
        <f t="shared" si="252"/>
        <v>12</v>
      </c>
      <c r="N1115" s="15">
        <f t="shared" si="253"/>
        <v>5</v>
      </c>
      <c r="O1115" s="15">
        <f t="shared" si="254"/>
        <v>2.2005274999999997</v>
      </c>
      <c r="P1115" s="15">
        <f t="shared" si="255"/>
        <v>0</v>
      </c>
      <c r="Q1115" s="14" t="str">
        <f>IF(M1115&gt;=I1115*'Hoja 4 - Cálculo'!$B$16,"Satisfactorio","Falla")</f>
        <v>Satisfactorio</v>
      </c>
      <c r="R1115" s="14">
        <f t="shared" si="248"/>
        <v>0</v>
      </c>
      <c r="S1115" s="14">
        <f t="shared" si="249"/>
        <v>0</v>
      </c>
    </row>
    <row r="1116" spans="1:19">
      <c r="A1116" s="14" t="str">
        <f t="shared" ref="A1116:A1147" si="256">"SRY-4-1"</f>
        <v>SRY-4-1</v>
      </c>
      <c r="B1116" s="15">
        <f>'Curvas SRY'!$B$11</f>
        <v>5</v>
      </c>
      <c r="C1116" s="15">
        <f>'Curvas SRY'!$E$8</f>
        <v>0.75</v>
      </c>
      <c r="D1116" s="14" t="str">
        <f>'Curvas SRY'!$B$14</f>
        <v>Uso variable</v>
      </c>
      <c r="E1116" s="14">
        <f>33</f>
        <v>33</v>
      </c>
      <c r="F1116" s="21">
        <f>'Hoja 4 - Cálculo'!A57</f>
        <v>30560</v>
      </c>
      <c r="G1116" s="15">
        <f>'Hoja 4 - Cálculo'!H57</f>
        <v>24.307874999999999</v>
      </c>
      <c r="H1116" s="15">
        <f>IF(D1116="Uso único",'Hoja 4 - Cálculo'!I57,IF(D1116="Uso múltiple",AVERAGE('Hoja 4 - Cálculo'!$I$25:$I$384)+AVERAGE('Hoja 4 - Cálculo'!$J$25:$J$384)+AVERAGE('Hoja 4 - Cálculo'!$K$25:$K$384),IF(D1116="Uso prioritario",'Hoja 4 - Cálculo'!I57+'Hoja 4 - Cálculo'!K57,'Hoja 4 - Cálculo'!I57+'Hoja 4 - Cálculo'!J57+'Hoja 4 - Cálculo'!K57)))</f>
        <v>11.5</v>
      </c>
      <c r="I1116" s="15">
        <f t="shared" si="250"/>
        <v>8.625</v>
      </c>
      <c r="J1116" s="15">
        <f t="shared" si="247"/>
        <v>5</v>
      </c>
      <c r="K1116" s="15">
        <f>MIN(J1116+G1116,(J1116+G1116)*'Hoja 4 - Cálculo'!$B$15)</f>
        <v>0.5861575</v>
      </c>
      <c r="L1116" s="15">
        <f t="shared" si="251"/>
        <v>28.7217175</v>
      </c>
      <c r="M1116" s="15">
        <f t="shared" si="252"/>
        <v>8.625</v>
      </c>
      <c r="N1116" s="15">
        <f t="shared" si="253"/>
        <v>5</v>
      </c>
      <c r="O1116" s="15">
        <f t="shared" si="254"/>
        <v>15.0967175</v>
      </c>
      <c r="P1116" s="15">
        <f t="shared" si="255"/>
        <v>0</v>
      </c>
      <c r="Q1116" s="14" t="str">
        <f>IF(M1116&gt;=I1116*'Hoja 4 - Cálculo'!$B$16,"Satisfactorio","Falla")</f>
        <v>Satisfactorio</v>
      </c>
      <c r="R1116" s="14">
        <f t="shared" si="248"/>
        <v>0</v>
      </c>
      <c r="S1116" s="14">
        <f t="shared" si="249"/>
        <v>0</v>
      </c>
    </row>
    <row r="1117" spans="1:19">
      <c r="A1117" s="14" t="str">
        <f t="shared" si="256"/>
        <v>SRY-4-1</v>
      </c>
      <c r="B1117" s="15">
        <f>'Curvas SRY'!$B$11</f>
        <v>5</v>
      </c>
      <c r="C1117" s="15">
        <f>'Curvas SRY'!$E$8</f>
        <v>0.75</v>
      </c>
      <c r="D1117" s="14" t="str">
        <f>'Curvas SRY'!$B$14</f>
        <v>Uso variable</v>
      </c>
      <c r="E1117" s="14">
        <f>34</f>
        <v>34</v>
      </c>
      <c r="F1117" s="21">
        <f>'Hoja 4 - Cálculo'!A58</f>
        <v>30590</v>
      </c>
      <c r="G1117" s="15">
        <f>'Hoja 4 - Cálculo'!H58</f>
        <v>33.564374999999998</v>
      </c>
      <c r="H1117" s="15">
        <f>IF(D1117="Uso único",'Hoja 4 - Cálculo'!I58,IF(D1117="Uso múltiple",AVERAGE('Hoja 4 - Cálculo'!$I$25:$I$384)+AVERAGE('Hoja 4 - Cálculo'!$J$25:$J$384)+AVERAGE('Hoja 4 - Cálculo'!$K$25:$K$384),IF(D1117="Uso prioritario",'Hoja 4 - Cálculo'!I58+'Hoja 4 - Cálculo'!K58,'Hoja 4 - Cálculo'!I58+'Hoja 4 - Cálculo'!J58+'Hoja 4 - Cálculo'!K58)))</f>
        <v>11.5</v>
      </c>
      <c r="I1117" s="15">
        <f t="shared" si="250"/>
        <v>8.625</v>
      </c>
      <c r="J1117" s="15">
        <f t="shared" ref="J1117:J1148" si="257">N1116</f>
        <v>5</v>
      </c>
      <c r="K1117" s="15">
        <f>MIN(J1117+G1117,(J1117+G1117)*'Hoja 4 - Cálculo'!$B$15)</f>
        <v>0.77128750000000001</v>
      </c>
      <c r="L1117" s="15">
        <f t="shared" si="251"/>
        <v>37.793087499999999</v>
      </c>
      <c r="M1117" s="15">
        <f t="shared" si="252"/>
        <v>8.625</v>
      </c>
      <c r="N1117" s="15">
        <f t="shared" si="253"/>
        <v>5</v>
      </c>
      <c r="O1117" s="15">
        <f t="shared" si="254"/>
        <v>24.168087499999999</v>
      </c>
      <c r="P1117" s="15">
        <f t="shared" si="255"/>
        <v>0</v>
      </c>
      <c r="Q1117" s="14" t="str">
        <f>IF(M1117&gt;=I1117*'Hoja 4 - Cálculo'!$B$16,"Satisfactorio","Falla")</f>
        <v>Satisfactorio</v>
      </c>
      <c r="R1117" s="14">
        <f t="shared" ref="R1117:R1148" si="258">IF(AND(Q1116="Falla",Q1117="Satisfactorio"),1,0)</f>
        <v>0</v>
      </c>
      <c r="S1117" s="14">
        <f t="shared" ref="S1117:S1148" si="259">IF(AND(Q1117="Falla",Q1116&lt;&gt;"Falla"),1,0)</f>
        <v>0</v>
      </c>
    </row>
    <row r="1118" spans="1:19">
      <c r="A1118" s="14" t="str">
        <f t="shared" si="256"/>
        <v>SRY-4-1</v>
      </c>
      <c r="B1118" s="15">
        <f>'Curvas SRY'!$B$11</f>
        <v>5</v>
      </c>
      <c r="C1118" s="15">
        <f>'Curvas SRY'!$E$8</f>
        <v>0.75</v>
      </c>
      <c r="D1118" s="14" t="str">
        <f>'Curvas SRY'!$B$14</f>
        <v>Uso variable</v>
      </c>
      <c r="E1118" s="14">
        <f>35</f>
        <v>35</v>
      </c>
      <c r="F1118" s="21">
        <f>'Hoja 4 - Cálculo'!A59</f>
        <v>30621</v>
      </c>
      <c r="G1118" s="15">
        <f>'Hoja 4 - Cálculo'!H59</f>
        <v>28.075500000000002</v>
      </c>
      <c r="H1118" s="15">
        <f>IF(D1118="Uso único",'Hoja 4 - Cálculo'!I59,IF(D1118="Uso múltiple",AVERAGE('Hoja 4 - Cálculo'!$I$25:$I$384)+AVERAGE('Hoja 4 - Cálculo'!$J$25:$J$384)+AVERAGE('Hoja 4 - Cálculo'!$K$25:$K$384),IF(D1118="Uso prioritario",'Hoja 4 - Cálculo'!I59+'Hoja 4 - Cálculo'!K59,'Hoja 4 - Cálculo'!I59+'Hoja 4 - Cálculo'!J59+'Hoja 4 - Cálculo'!K59)))</f>
        <v>11.5</v>
      </c>
      <c r="I1118" s="15">
        <f t="shared" si="250"/>
        <v>8.625</v>
      </c>
      <c r="J1118" s="15">
        <f t="shared" si="257"/>
        <v>5</v>
      </c>
      <c r="K1118" s="15">
        <f>MIN(J1118+G1118,(J1118+G1118)*'Hoja 4 - Cálculo'!$B$15)</f>
        <v>0.66151000000000015</v>
      </c>
      <c r="L1118" s="15">
        <f t="shared" si="251"/>
        <v>32.413990000000005</v>
      </c>
      <c r="M1118" s="15">
        <f t="shared" si="252"/>
        <v>8.625</v>
      </c>
      <c r="N1118" s="15">
        <f t="shared" si="253"/>
        <v>5</v>
      </c>
      <c r="O1118" s="15">
        <f t="shared" si="254"/>
        <v>18.788990000000005</v>
      </c>
      <c r="P1118" s="15">
        <f t="shared" si="255"/>
        <v>0</v>
      </c>
      <c r="Q1118" s="14" t="str">
        <f>IF(M1118&gt;=I1118*'Hoja 4 - Cálculo'!$B$16,"Satisfactorio","Falla")</f>
        <v>Satisfactorio</v>
      </c>
      <c r="R1118" s="14">
        <f t="shared" si="258"/>
        <v>0</v>
      </c>
      <c r="S1118" s="14">
        <f t="shared" si="259"/>
        <v>0</v>
      </c>
    </row>
    <row r="1119" spans="1:19">
      <c r="A1119" s="14" t="str">
        <f t="shared" si="256"/>
        <v>SRY-4-1</v>
      </c>
      <c r="B1119" s="15">
        <f>'Curvas SRY'!$B$11</f>
        <v>5</v>
      </c>
      <c r="C1119" s="15">
        <f>'Curvas SRY'!$E$8</f>
        <v>0.75</v>
      </c>
      <c r="D1119" s="14" t="str">
        <f>'Curvas SRY'!$B$14</f>
        <v>Uso variable</v>
      </c>
      <c r="E1119" s="14">
        <f>36</f>
        <v>36</v>
      </c>
      <c r="F1119" s="21">
        <f>'Hoja 4 - Cálculo'!A60</f>
        <v>30651</v>
      </c>
      <c r="G1119" s="15">
        <f>'Hoja 4 - Cálculo'!H60</f>
        <v>15.931125</v>
      </c>
      <c r="H1119" s="15">
        <f>IF(D1119="Uso único",'Hoja 4 - Cálculo'!I60,IF(D1119="Uso múltiple",AVERAGE('Hoja 4 - Cálculo'!$I$25:$I$384)+AVERAGE('Hoja 4 - Cálculo'!$J$25:$J$384)+AVERAGE('Hoja 4 - Cálculo'!$K$25:$K$384),IF(D1119="Uso prioritario",'Hoja 4 - Cálculo'!I60+'Hoja 4 - Cálculo'!K60,'Hoja 4 - Cálculo'!I60+'Hoja 4 - Cálculo'!J60+'Hoja 4 - Cálculo'!K60)))</f>
        <v>16</v>
      </c>
      <c r="I1119" s="15">
        <f t="shared" si="250"/>
        <v>12</v>
      </c>
      <c r="J1119" s="15">
        <f t="shared" si="257"/>
        <v>5</v>
      </c>
      <c r="K1119" s="15">
        <f>MIN(J1119+G1119,(J1119+G1119)*'Hoja 4 - Cálculo'!$B$15)</f>
        <v>0.41862250000000006</v>
      </c>
      <c r="L1119" s="15">
        <f t="shared" si="251"/>
        <v>20.5125025</v>
      </c>
      <c r="M1119" s="15">
        <f t="shared" si="252"/>
        <v>12</v>
      </c>
      <c r="N1119" s="15">
        <f t="shared" si="253"/>
        <v>5</v>
      </c>
      <c r="O1119" s="15">
        <f t="shared" si="254"/>
        <v>3.5125025000000001</v>
      </c>
      <c r="P1119" s="15">
        <f t="shared" si="255"/>
        <v>0</v>
      </c>
      <c r="Q1119" s="14" t="str">
        <f>IF(M1119&gt;=I1119*'Hoja 4 - Cálculo'!$B$16,"Satisfactorio","Falla")</f>
        <v>Satisfactorio</v>
      </c>
      <c r="R1119" s="14">
        <f t="shared" si="258"/>
        <v>0</v>
      </c>
      <c r="S1119" s="14">
        <f t="shared" si="259"/>
        <v>0</v>
      </c>
    </row>
    <row r="1120" spans="1:19">
      <c r="A1120" s="14" t="str">
        <f t="shared" si="256"/>
        <v>SRY-4-1</v>
      </c>
      <c r="B1120" s="15">
        <f>'Curvas SRY'!$B$11</f>
        <v>5</v>
      </c>
      <c r="C1120" s="15">
        <f>'Curvas SRY'!$E$8</f>
        <v>0.75</v>
      </c>
      <c r="D1120" s="14" t="str">
        <f>'Curvas SRY'!$B$14</f>
        <v>Uso variable</v>
      </c>
      <c r="E1120" s="14">
        <f>37</f>
        <v>37</v>
      </c>
      <c r="F1120" s="21">
        <f>'Hoja 4 - Cálculo'!A61</f>
        <v>30682</v>
      </c>
      <c r="G1120" s="15">
        <f>'Hoja 4 - Cálculo'!H61</f>
        <v>10.920375</v>
      </c>
      <c r="H1120" s="15">
        <f>IF(D1120="Uso único",'Hoja 4 - Cálculo'!I61,IF(D1120="Uso múltiple",AVERAGE('Hoja 4 - Cálculo'!$I$25:$I$384)+AVERAGE('Hoja 4 - Cálculo'!$J$25:$J$384)+AVERAGE('Hoja 4 - Cálculo'!$K$25:$K$384),IF(D1120="Uso prioritario",'Hoja 4 - Cálculo'!I61+'Hoja 4 - Cálculo'!K61,'Hoja 4 - Cálculo'!I61+'Hoja 4 - Cálculo'!J61+'Hoja 4 - Cálculo'!K61)))</f>
        <v>16</v>
      </c>
      <c r="I1120" s="15">
        <f t="shared" si="250"/>
        <v>12</v>
      </c>
      <c r="J1120" s="15">
        <f t="shared" si="257"/>
        <v>5</v>
      </c>
      <c r="K1120" s="15">
        <f>MIN(J1120+G1120,(J1120+G1120)*'Hoja 4 - Cálculo'!$B$15)</f>
        <v>0.31840750000000001</v>
      </c>
      <c r="L1120" s="15">
        <f t="shared" si="251"/>
        <v>15.601967500000001</v>
      </c>
      <c r="M1120" s="15">
        <f t="shared" si="252"/>
        <v>12</v>
      </c>
      <c r="N1120" s="15">
        <f t="shared" si="253"/>
        <v>3.6019675000000007</v>
      </c>
      <c r="O1120" s="15">
        <f t="shared" si="254"/>
        <v>0</v>
      </c>
      <c r="P1120" s="15">
        <f t="shared" si="255"/>
        <v>0</v>
      </c>
      <c r="Q1120" s="14" t="str">
        <f>IF(M1120&gt;=I1120*'Hoja 4 - Cálculo'!$B$16,"Satisfactorio","Falla")</f>
        <v>Satisfactorio</v>
      </c>
      <c r="R1120" s="14">
        <f t="shared" si="258"/>
        <v>0</v>
      </c>
      <c r="S1120" s="14">
        <f t="shared" si="259"/>
        <v>0</v>
      </c>
    </row>
    <row r="1121" spans="1:19">
      <c r="A1121" s="14" t="str">
        <f t="shared" si="256"/>
        <v>SRY-4-1</v>
      </c>
      <c r="B1121" s="15">
        <f>'Curvas SRY'!$B$11</f>
        <v>5</v>
      </c>
      <c r="C1121" s="15">
        <f>'Curvas SRY'!$E$8</f>
        <v>0.75</v>
      </c>
      <c r="D1121" s="14" t="str">
        <f>'Curvas SRY'!$B$14</f>
        <v>Uso variable</v>
      </c>
      <c r="E1121" s="14">
        <f>38</f>
        <v>38</v>
      </c>
      <c r="F1121" s="21">
        <f>'Hoja 4 - Cálculo'!A62</f>
        <v>30713</v>
      </c>
      <c r="G1121" s="15">
        <f>'Hoja 4 - Cálculo'!H62</f>
        <v>13.04325</v>
      </c>
      <c r="H1121" s="15">
        <f>IF(D1121="Uso único",'Hoja 4 - Cálculo'!I62,IF(D1121="Uso múltiple",AVERAGE('Hoja 4 - Cálculo'!$I$25:$I$384)+AVERAGE('Hoja 4 - Cálculo'!$J$25:$J$384)+AVERAGE('Hoja 4 - Cálculo'!$K$25:$K$384),IF(D1121="Uso prioritario",'Hoja 4 - Cálculo'!I62+'Hoja 4 - Cálculo'!K62,'Hoja 4 - Cálculo'!I62+'Hoja 4 - Cálculo'!J62+'Hoja 4 - Cálculo'!K62)))</f>
        <v>16</v>
      </c>
      <c r="I1121" s="15">
        <f t="shared" si="250"/>
        <v>12</v>
      </c>
      <c r="J1121" s="15">
        <f t="shared" si="257"/>
        <v>3.6019675000000007</v>
      </c>
      <c r="K1121" s="15">
        <f>MIN(J1121+G1121,(J1121+G1121)*'Hoja 4 - Cálculo'!$B$15)</f>
        <v>0.33290435000000002</v>
      </c>
      <c r="L1121" s="15">
        <f t="shared" si="251"/>
        <v>16.312313150000001</v>
      </c>
      <c r="M1121" s="15">
        <f t="shared" si="252"/>
        <v>12</v>
      </c>
      <c r="N1121" s="15">
        <f t="shared" si="253"/>
        <v>4.3123131500000014</v>
      </c>
      <c r="O1121" s="15">
        <f t="shared" si="254"/>
        <v>0</v>
      </c>
      <c r="P1121" s="15">
        <f t="shared" si="255"/>
        <v>0</v>
      </c>
      <c r="Q1121" s="14" t="str">
        <f>IF(M1121&gt;=I1121*'Hoja 4 - Cálculo'!$B$16,"Satisfactorio","Falla")</f>
        <v>Satisfactorio</v>
      </c>
      <c r="R1121" s="14">
        <f t="shared" si="258"/>
        <v>0</v>
      </c>
      <c r="S1121" s="14">
        <f t="shared" si="259"/>
        <v>0</v>
      </c>
    </row>
    <row r="1122" spans="1:19">
      <c r="A1122" s="14" t="str">
        <f t="shared" si="256"/>
        <v>SRY-4-1</v>
      </c>
      <c r="B1122" s="15">
        <f>'Curvas SRY'!$B$11</f>
        <v>5</v>
      </c>
      <c r="C1122" s="15">
        <f>'Curvas SRY'!$E$8</f>
        <v>0.75</v>
      </c>
      <c r="D1122" s="14" t="str">
        <f>'Curvas SRY'!$B$14</f>
        <v>Uso variable</v>
      </c>
      <c r="E1122" s="14">
        <f>39</f>
        <v>39</v>
      </c>
      <c r="F1122" s="21">
        <f>'Hoja 4 - Cálculo'!A63</f>
        <v>30742</v>
      </c>
      <c r="G1122" s="15">
        <f>'Hoja 4 - Cálculo'!H63</f>
        <v>20.272500000000001</v>
      </c>
      <c r="H1122" s="15">
        <f>IF(D1122="Uso único",'Hoja 4 - Cálculo'!I63,IF(D1122="Uso múltiple",AVERAGE('Hoja 4 - Cálculo'!$I$25:$I$384)+AVERAGE('Hoja 4 - Cálculo'!$J$25:$J$384)+AVERAGE('Hoja 4 - Cálculo'!$K$25:$K$384),IF(D1122="Uso prioritario",'Hoja 4 - Cálculo'!I63+'Hoja 4 - Cálculo'!K63,'Hoja 4 - Cálculo'!I63+'Hoja 4 - Cálculo'!J63+'Hoja 4 - Cálculo'!K63)))</f>
        <v>16</v>
      </c>
      <c r="I1122" s="15">
        <f t="shared" si="250"/>
        <v>12</v>
      </c>
      <c r="J1122" s="15">
        <f t="shared" si="257"/>
        <v>4.3123131500000014</v>
      </c>
      <c r="K1122" s="15">
        <f>MIN(J1122+G1122,(J1122+G1122)*'Hoja 4 - Cálculo'!$B$15)</f>
        <v>0.49169626300000008</v>
      </c>
      <c r="L1122" s="15">
        <f t="shared" si="251"/>
        <v>24.093116887000001</v>
      </c>
      <c r="M1122" s="15">
        <f t="shared" si="252"/>
        <v>12</v>
      </c>
      <c r="N1122" s="15">
        <f t="shared" si="253"/>
        <v>5</v>
      </c>
      <c r="O1122" s="15">
        <f t="shared" si="254"/>
        <v>7.0931168870000008</v>
      </c>
      <c r="P1122" s="15">
        <f t="shared" si="255"/>
        <v>0</v>
      </c>
      <c r="Q1122" s="14" t="str">
        <f>IF(M1122&gt;=I1122*'Hoja 4 - Cálculo'!$B$16,"Satisfactorio","Falla")</f>
        <v>Satisfactorio</v>
      </c>
      <c r="R1122" s="14">
        <f t="shared" si="258"/>
        <v>0</v>
      </c>
      <c r="S1122" s="14">
        <f t="shared" si="259"/>
        <v>0</v>
      </c>
    </row>
    <row r="1123" spans="1:19">
      <c r="A1123" s="14" t="str">
        <f t="shared" si="256"/>
        <v>SRY-4-1</v>
      </c>
      <c r="B1123" s="15">
        <f>'Curvas SRY'!$B$11</f>
        <v>5</v>
      </c>
      <c r="C1123" s="15">
        <f>'Curvas SRY'!$E$8</f>
        <v>0.75</v>
      </c>
      <c r="D1123" s="14" t="str">
        <f>'Curvas SRY'!$B$14</f>
        <v>Uso variable</v>
      </c>
      <c r="E1123" s="14">
        <f>40</f>
        <v>40</v>
      </c>
      <c r="F1123" s="21">
        <f>'Hoja 4 - Cálculo'!A64</f>
        <v>30773</v>
      </c>
      <c r="G1123" s="15">
        <f>'Hoja 4 - Cálculo'!H64</f>
        <v>27.922499999999999</v>
      </c>
      <c r="H1123" s="15">
        <f>IF(D1123="Uso único",'Hoja 4 - Cálculo'!I64,IF(D1123="Uso múltiple",AVERAGE('Hoja 4 - Cálculo'!$I$25:$I$384)+AVERAGE('Hoja 4 - Cálculo'!$J$25:$J$384)+AVERAGE('Hoja 4 - Cálculo'!$K$25:$K$384),IF(D1123="Uso prioritario",'Hoja 4 - Cálculo'!I64+'Hoja 4 - Cálculo'!K64,'Hoja 4 - Cálculo'!I64+'Hoja 4 - Cálculo'!J64+'Hoja 4 - Cálculo'!K64)))</f>
        <v>11.5</v>
      </c>
      <c r="I1123" s="15">
        <f t="shared" si="250"/>
        <v>8.625</v>
      </c>
      <c r="J1123" s="15">
        <f t="shared" si="257"/>
        <v>5</v>
      </c>
      <c r="K1123" s="15">
        <f>MIN(J1123+G1123,(J1123+G1123)*'Hoja 4 - Cálculo'!$B$15)</f>
        <v>0.65844999999999998</v>
      </c>
      <c r="L1123" s="15">
        <f t="shared" si="251"/>
        <v>32.264049999999997</v>
      </c>
      <c r="M1123" s="15">
        <f t="shared" si="252"/>
        <v>8.625</v>
      </c>
      <c r="N1123" s="15">
        <f t="shared" si="253"/>
        <v>5</v>
      </c>
      <c r="O1123" s="15">
        <f t="shared" si="254"/>
        <v>18.639049999999997</v>
      </c>
      <c r="P1123" s="15">
        <f t="shared" si="255"/>
        <v>0</v>
      </c>
      <c r="Q1123" s="14" t="str">
        <f>IF(M1123&gt;=I1123*'Hoja 4 - Cálculo'!$B$16,"Satisfactorio","Falla")</f>
        <v>Satisfactorio</v>
      </c>
      <c r="R1123" s="14">
        <f t="shared" si="258"/>
        <v>0</v>
      </c>
      <c r="S1123" s="14">
        <f t="shared" si="259"/>
        <v>0</v>
      </c>
    </row>
    <row r="1124" spans="1:19">
      <c r="A1124" s="14" t="str">
        <f t="shared" si="256"/>
        <v>SRY-4-1</v>
      </c>
      <c r="B1124" s="15">
        <f>'Curvas SRY'!$B$11</f>
        <v>5</v>
      </c>
      <c r="C1124" s="15">
        <f>'Curvas SRY'!$E$8</f>
        <v>0.75</v>
      </c>
      <c r="D1124" s="14" t="str">
        <f>'Curvas SRY'!$B$14</f>
        <v>Uso variable</v>
      </c>
      <c r="E1124" s="14">
        <f>41</f>
        <v>41</v>
      </c>
      <c r="F1124" s="21">
        <f>'Hoja 4 - Cálculo'!A65</f>
        <v>30803</v>
      </c>
      <c r="G1124" s="15">
        <f>'Hoja 4 - Cálculo'!H65</f>
        <v>23.657624999999999</v>
      </c>
      <c r="H1124" s="15">
        <f>IF(D1124="Uso único",'Hoja 4 - Cálculo'!I65,IF(D1124="Uso múltiple",AVERAGE('Hoja 4 - Cálculo'!$I$25:$I$384)+AVERAGE('Hoja 4 - Cálculo'!$J$25:$J$384)+AVERAGE('Hoja 4 - Cálculo'!$K$25:$K$384),IF(D1124="Uso prioritario",'Hoja 4 - Cálculo'!I65+'Hoja 4 - Cálculo'!K65,'Hoja 4 - Cálculo'!I65+'Hoja 4 - Cálculo'!J65+'Hoja 4 - Cálculo'!K65)))</f>
        <v>11.5</v>
      </c>
      <c r="I1124" s="15">
        <f t="shared" si="250"/>
        <v>8.625</v>
      </c>
      <c r="J1124" s="15">
        <f t="shared" si="257"/>
        <v>5</v>
      </c>
      <c r="K1124" s="15">
        <f>MIN(J1124+G1124,(J1124+G1124)*'Hoja 4 - Cálculo'!$B$15)</f>
        <v>0.57315249999999995</v>
      </c>
      <c r="L1124" s="15">
        <f t="shared" si="251"/>
        <v>28.0844725</v>
      </c>
      <c r="M1124" s="15">
        <f t="shared" si="252"/>
        <v>8.625</v>
      </c>
      <c r="N1124" s="15">
        <f t="shared" si="253"/>
        <v>5</v>
      </c>
      <c r="O1124" s="15">
        <f t="shared" si="254"/>
        <v>14.4594725</v>
      </c>
      <c r="P1124" s="15">
        <f t="shared" si="255"/>
        <v>0</v>
      </c>
      <c r="Q1124" s="14" t="str">
        <f>IF(M1124&gt;=I1124*'Hoja 4 - Cálculo'!$B$16,"Satisfactorio","Falla")</f>
        <v>Satisfactorio</v>
      </c>
      <c r="R1124" s="14">
        <f t="shared" si="258"/>
        <v>0</v>
      </c>
      <c r="S1124" s="14">
        <f t="shared" si="259"/>
        <v>0</v>
      </c>
    </row>
    <row r="1125" spans="1:19">
      <c r="A1125" s="14" t="str">
        <f t="shared" si="256"/>
        <v>SRY-4-1</v>
      </c>
      <c r="B1125" s="15">
        <f>'Curvas SRY'!$B$11</f>
        <v>5</v>
      </c>
      <c r="C1125" s="15">
        <f>'Curvas SRY'!$E$8</f>
        <v>0.75</v>
      </c>
      <c r="D1125" s="14" t="str">
        <f>'Curvas SRY'!$B$14</f>
        <v>Uso variable</v>
      </c>
      <c r="E1125" s="14">
        <f>42</f>
        <v>42</v>
      </c>
      <c r="F1125" s="21">
        <f>'Hoja 4 - Cálculo'!A66</f>
        <v>30834</v>
      </c>
      <c r="G1125" s="15">
        <f>'Hoja 4 - Cálculo'!H66</f>
        <v>14.554125000000001</v>
      </c>
      <c r="H1125" s="15">
        <f>IF(D1125="Uso único",'Hoja 4 - Cálculo'!I66,IF(D1125="Uso múltiple",AVERAGE('Hoja 4 - Cálculo'!$I$25:$I$384)+AVERAGE('Hoja 4 - Cálculo'!$J$25:$J$384)+AVERAGE('Hoja 4 - Cálculo'!$K$25:$K$384),IF(D1125="Uso prioritario",'Hoja 4 - Cálculo'!I66+'Hoja 4 - Cálculo'!K66,'Hoja 4 - Cálculo'!I66+'Hoja 4 - Cálculo'!J66+'Hoja 4 - Cálculo'!K66)))</f>
        <v>11.5</v>
      </c>
      <c r="I1125" s="15">
        <f t="shared" si="250"/>
        <v>8.625</v>
      </c>
      <c r="J1125" s="15">
        <f t="shared" si="257"/>
        <v>5</v>
      </c>
      <c r="K1125" s="15">
        <f>MIN(J1125+G1125,(J1125+G1125)*'Hoja 4 - Cálculo'!$B$15)</f>
        <v>0.3910825</v>
      </c>
      <c r="L1125" s="15">
        <f t="shared" si="251"/>
        <v>19.1630425</v>
      </c>
      <c r="M1125" s="15">
        <f t="shared" si="252"/>
        <v>8.625</v>
      </c>
      <c r="N1125" s="15">
        <f t="shared" si="253"/>
        <v>5</v>
      </c>
      <c r="O1125" s="15">
        <f t="shared" si="254"/>
        <v>5.5380424999999995</v>
      </c>
      <c r="P1125" s="15">
        <f t="shared" si="255"/>
        <v>0</v>
      </c>
      <c r="Q1125" s="14" t="str">
        <f>IF(M1125&gt;=I1125*'Hoja 4 - Cálculo'!$B$16,"Satisfactorio","Falla")</f>
        <v>Satisfactorio</v>
      </c>
      <c r="R1125" s="14">
        <f t="shared" si="258"/>
        <v>0</v>
      </c>
      <c r="S1125" s="14">
        <f t="shared" si="259"/>
        <v>0</v>
      </c>
    </row>
    <row r="1126" spans="1:19">
      <c r="A1126" s="14" t="str">
        <f t="shared" si="256"/>
        <v>SRY-4-1</v>
      </c>
      <c r="B1126" s="15">
        <f>'Curvas SRY'!$B$11</f>
        <v>5</v>
      </c>
      <c r="C1126" s="15">
        <f>'Curvas SRY'!$E$8</f>
        <v>0.75</v>
      </c>
      <c r="D1126" s="14" t="str">
        <f>'Curvas SRY'!$B$14</f>
        <v>Uso variable</v>
      </c>
      <c r="E1126" s="14">
        <f>43</f>
        <v>43</v>
      </c>
      <c r="F1126" s="21">
        <f>'Hoja 4 - Cálculo'!A67</f>
        <v>30864</v>
      </c>
      <c r="G1126" s="15">
        <f>'Hoja 4 - Cálculo'!H67</f>
        <v>12.794625</v>
      </c>
      <c r="H1126" s="15">
        <f>IF(D1126="Uso único",'Hoja 4 - Cálculo'!I67,IF(D1126="Uso múltiple",AVERAGE('Hoja 4 - Cálculo'!$I$25:$I$384)+AVERAGE('Hoja 4 - Cálculo'!$J$25:$J$384)+AVERAGE('Hoja 4 - Cálculo'!$K$25:$K$384),IF(D1126="Uso prioritario",'Hoja 4 - Cálculo'!I67+'Hoja 4 - Cálculo'!K67,'Hoja 4 - Cálculo'!I67+'Hoja 4 - Cálculo'!J67+'Hoja 4 - Cálculo'!K67)))</f>
        <v>16</v>
      </c>
      <c r="I1126" s="15">
        <f t="shared" si="250"/>
        <v>12</v>
      </c>
      <c r="J1126" s="15">
        <f t="shared" si="257"/>
        <v>5</v>
      </c>
      <c r="K1126" s="15">
        <f>MIN(J1126+G1126,(J1126+G1126)*'Hoja 4 - Cálculo'!$B$15)</f>
        <v>0.3558925</v>
      </c>
      <c r="L1126" s="15">
        <f t="shared" si="251"/>
        <v>17.4387325</v>
      </c>
      <c r="M1126" s="15">
        <f t="shared" si="252"/>
        <v>12</v>
      </c>
      <c r="N1126" s="15">
        <f t="shared" si="253"/>
        <v>5</v>
      </c>
      <c r="O1126" s="15">
        <f t="shared" si="254"/>
        <v>0.43873250000000041</v>
      </c>
      <c r="P1126" s="15">
        <f t="shared" si="255"/>
        <v>0</v>
      </c>
      <c r="Q1126" s="14" t="str">
        <f>IF(M1126&gt;=I1126*'Hoja 4 - Cálculo'!$B$16,"Satisfactorio","Falla")</f>
        <v>Satisfactorio</v>
      </c>
      <c r="R1126" s="14">
        <f t="shared" si="258"/>
        <v>0</v>
      </c>
      <c r="S1126" s="14">
        <f t="shared" si="259"/>
        <v>0</v>
      </c>
    </row>
    <row r="1127" spans="1:19">
      <c r="A1127" s="14" t="str">
        <f t="shared" si="256"/>
        <v>SRY-4-1</v>
      </c>
      <c r="B1127" s="15">
        <f>'Curvas SRY'!$B$11</f>
        <v>5</v>
      </c>
      <c r="C1127" s="15">
        <f>'Curvas SRY'!$E$8</f>
        <v>0.75</v>
      </c>
      <c r="D1127" s="14" t="str">
        <f>'Curvas SRY'!$B$14</f>
        <v>Uso variable</v>
      </c>
      <c r="E1127" s="14">
        <f>44</f>
        <v>44</v>
      </c>
      <c r="F1127" s="21">
        <f>'Hoja 4 - Cálculo'!A68</f>
        <v>30895</v>
      </c>
      <c r="G1127" s="15">
        <f>'Hoja 4 - Cálculo'!H68</f>
        <v>13.6935</v>
      </c>
      <c r="H1127" s="15">
        <f>IF(D1127="Uso único",'Hoja 4 - Cálculo'!I68,IF(D1127="Uso múltiple",AVERAGE('Hoja 4 - Cálculo'!$I$25:$I$384)+AVERAGE('Hoja 4 - Cálculo'!$J$25:$J$384)+AVERAGE('Hoja 4 - Cálculo'!$K$25:$K$384),IF(D1127="Uso prioritario",'Hoja 4 - Cálculo'!I68+'Hoja 4 - Cálculo'!K68,'Hoja 4 - Cálculo'!I68+'Hoja 4 - Cálculo'!J68+'Hoja 4 - Cálculo'!K68)))</f>
        <v>16</v>
      </c>
      <c r="I1127" s="15">
        <f t="shared" si="250"/>
        <v>12</v>
      </c>
      <c r="J1127" s="15">
        <f t="shared" si="257"/>
        <v>5</v>
      </c>
      <c r="K1127" s="15">
        <f>MIN(J1127+G1127,(J1127+G1127)*'Hoja 4 - Cálculo'!$B$15)</f>
        <v>0.37387000000000004</v>
      </c>
      <c r="L1127" s="15">
        <f t="shared" si="251"/>
        <v>18.31963</v>
      </c>
      <c r="M1127" s="15">
        <f t="shared" si="252"/>
        <v>12</v>
      </c>
      <c r="N1127" s="15">
        <f t="shared" si="253"/>
        <v>5</v>
      </c>
      <c r="O1127" s="15">
        <f t="shared" si="254"/>
        <v>1.3196300000000001</v>
      </c>
      <c r="P1127" s="15">
        <f t="shared" si="255"/>
        <v>0</v>
      </c>
      <c r="Q1127" s="14" t="str">
        <f>IF(M1127&gt;=I1127*'Hoja 4 - Cálculo'!$B$16,"Satisfactorio","Falla")</f>
        <v>Satisfactorio</v>
      </c>
      <c r="R1127" s="14">
        <f t="shared" si="258"/>
        <v>0</v>
      </c>
      <c r="S1127" s="14">
        <f t="shared" si="259"/>
        <v>0</v>
      </c>
    </row>
    <row r="1128" spans="1:19">
      <c r="A1128" s="14" t="str">
        <f t="shared" si="256"/>
        <v>SRY-4-1</v>
      </c>
      <c r="B1128" s="15">
        <f>'Curvas SRY'!$B$11</f>
        <v>5</v>
      </c>
      <c r="C1128" s="15">
        <f>'Curvas SRY'!$E$8</f>
        <v>0.75</v>
      </c>
      <c r="D1128" s="14" t="str">
        <f>'Curvas SRY'!$B$14</f>
        <v>Uso variable</v>
      </c>
      <c r="E1128" s="14">
        <f>45</f>
        <v>45</v>
      </c>
      <c r="F1128" s="21">
        <f>'Hoja 4 - Cálculo'!A69</f>
        <v>30926</v>
      </c>
      <c r="G1128" s="15">
        <f>'Hoja 4 - Cálculo'!H69</f>
        <v>20.521125000000001</v>
      </c>
      <c r="H1128" s="15">
        <f>IF(D1128="Uso único",'Hoja 4 - Cálculo'!I69,IF(D1128="Uso múltiple",AVERAGE('Hoja 4 - Cálculo'!$I$25:$I$384)+AVERAGE('Hoja 4 - Cálculo'!$J$25:$J$384)+AVERAGE('Hoja 4 - Cálculo'!$K$25:$K$384),IF(D1128="Uso prioritario",'Hoja 4 - Cálculo'!I69+'Hoja 4 - Cálculo'!K69,'Hoja 4 - Cálculo'!I69+'Hoja 4 - Cálculo'!J69+'Hoja 4 - Cálculo'!K69)))</f>
        <v>11.5</v>
      </c>
      <c r="I1128" s="15">
        <f t="shared" si="250"/>
        <v>8.625</v>
      </c>
      <c r="J1128" s="15">
        <f t="shared" si="257"/>
        <v>5</v>
      </c>
      <c r="K1128" s="15">
        <f>MIN(J1128+G1128,(J1128+G1128)*'Hoja 4 - Cálculo'!$B$15)</f>
        <v>0.5104225</v>
      </c>
      <c r="L1128" s="15">
        <f t="shared" si="251"/>
        <v>25.010702500000001</v>
      </c>
      <c r="M1128" s="15">
        <f t="shared" si="252"/>
        <v>8.625</v>
      </c>
      <c r="N1128" s="15">
        <f t="shared" si="253"/>
        <v>5</v>
      </c>
      <c r="O1128" s="15">
        <f t="shared" si="254"/>
        <v>11.385702500000001</v>
      </c>
      <c r="P1128" s="15">
        <f t="shared" si="255"/>
        <v>0</v>
      </c>
      <c r="Q1128" s="14" t="str">
        <f>IF(M1128&gt;=I1128*'Hoja 4 - Cálculo'!$B$16,"Satisfactorio","Falla")</f>
        <v>Satisfactorio</v>
      </c>
      <c r="R1128" s="14">
        <f t="shared" si="258"/>
        <v>0</v>
      </c>
      <c r="S1128" s="14">
        <f t="shared" si="259"/>
        <v>0</v>
      </c>
    </row>
    <row r="1129" spans="1:19">
      <c r="A1129" s="14" t="str">
        <f t="shared" si="256"/>
        <v>SRY-4-1</v>
      </c>
      <c r="B1129" s="15">
        <f>'Curvas SRY'!$B$11</f>
        <v>5</v>
      </c>
      <c r="C1129" s="15">
        <f>'Curvas SRY'!$E$8</f>
        <v>0.75</v>
      </c>
      <c r="D1129" s="14" t="str">
        <f>'Curvas SRY'!$B$14</f>
        <v>Uso variable</v>
      </c>
      <c r="E1129" s="14">
        <f>46</f>
        <v>46</v>
      </c>
      <c r="F1129" s="21">
        <f>'Hoja 4 - Cálculo'!A70</f>
        <v>30956</v>
      </c>
      <c r="G1129" s="15">
        <f>'Hoja 4 - Cálculo'!H70</f>
        <v>27.061875000000001</v>
      </c>
      <c r="H1129" s="15">
        <f>IF(D1129="Uso único",'Hoja 4 - Cálculo'!I70,IF(D1129="Uso múltiple",AVERAGE('Hoja 4 - Cálculo'!$I$25:$I$384)+AVERAGE('Hoja 4 - Cálculo'!$J$25:$J$384)+AVERAGE('Hoja 4 - Cálculo'!$K$25:$K$384),IF(D1129="Uso prioritario",'Hoja 4 - Cálculo'!I70+'Hoja 4 - Cálculo'!K70,'Hoja 4 - Cálculo'!I70+'Hoja 4 - Cálculo'!J70+'Hoja 4 - Cálculo'!K70)))</f>
        <v>11.5</v>
      </c>
      <c r="I1129" s="15">
        <f t="shared" si="250"/>
        <v>8.625</v>
      </c>
      <c r="J1129" s="15">
        <f t="shared" si="257"/>
        <v>5</v>
      </c>
      <c r="K1129" s="15">
        <f>MIN(J1129+G1129,(J1129+G1129)*'Hoja 4 - Cálculo'!$B$15)</f>
        <v>0.64123750000000002</v>
      </c>
      <c r="L1129" s="15">
        <f t="shared" si="251"/>
        <v>31.420637500000002</v>
      </c>
      <c r="M1129" s="15">
        <f t="shared" si="252"/>
        <v>8.625</v>
      </c>
      <c r="N1129" s="15">
        <f t="shared" si="253"/>
        <v>5</v>
      </c>
      <c r="O1129" s="15">
        <f t="shared" si="254"/>
        <v>17.795637500000002</v>
      </c>
      <c r="P1129" s="15">
        <f t="shared" si="255"/>
        <v>0</v>
      </c>
      <c r="Q1129" s="14" t="str">
        <f>IF(M1129&gt;=I1129*'Hoja 4 - Cálculo'!$B$16,"Satisfactorio","Falla")</f>
        <v>Satisfactorio</v>
      </c>
      <c r="R1129" s="14">
        <f t="shared" si="258"/>
        <v>0</v>
      </c>
      <c r="S1129" s="14">
        <f t="shared" si="259"/>
        <v>0</v>
      </c>
    </row>
    <row r="1130" spans="1:19">
      <c r="A1130" s="14" t="str">
        <f t="shared" si="256"/>
        <v>SRY-4-1</v>
      </c>
      <c r="B1130" s="15">
        <f>'Curvas SRY'!$B$11</f>
        <v>5</v>
      </c>
      <c r="C1130" s="15">
        <f>'Curvas SRY'!$E$8</f>
        <v>0.75</v>
      </c>
      <c r="D1130" s="14" t="str">
        <f>'Curvas SRY'!$B$14</f>
        <v>Uso variable</v>
      </c>
      <c r="E1130" s="14">
        <f>47</f>
        <v>47</v>
      </c>
      <c r="F1130" s="21">
        <f>'Hoja 4 - Cálculo'!A71</f>
        <v>30987</v>
      </c>
      <c r="G1130" s="15">
        <f>'Hoja 4 - Cálculo'!H71</f>
        <v>24.346125000000001</v>
      </c>
      <c r="H1130" s="15">
        <f>IF(D1130="Uso único",'Hoja 4 - Cálculo'!I71,IF(D1130="Uso múltiple",AVERAGE('Hoja 4 - Cálculo'!$I$25:$I$384)+AVERAGE('Hoja 4 - Cálculo'!$J$25:$J$384)+AVERAGE('Hoja 4 - Cálculo'!$K$25:$K$384),IF(D1130="Uso prioritario",'Hoja 4 - Cálculo'!I71+'Hoja 4 - Cálculo'!K71,'Hoja 4 - Cálculo'!I71+'Hoja 4 - Cálculo'!J71+'Hoja 4 - Cálculo'!K71)))</f>
        <v>11.5</v>
      </c>
      <c r="I1130" s="15">
        <f t="shared" si="250"/>
        <v>8.625</v>
      </c>
      <c r="J1130" s="15">
        <f t="shared" si="257"/>
        <v>5</v>
      </c>
      <c r="K1130" s="15">
        <f>MIN(J1130+G1130,(J1130+G1130)*'Hoja 4 - Cálculo'!$B$15)</f>
        <v>0.58692250000000001</v>
      </c>
      <c r="L1130" s="15">
        <f t="shared" si="251"/>
        <v>28.759202500000001</v>
      </c>
      <c r="M1130" s="15">
        <f t="shared" si="252"/>
        <v>8.625</v>
      </c>
      <c r="N1130" s="15">
        <f t="shared" si="253"/>
        <v>5</v>
      </c>
      <c r="O1130" s="15">
        <f t="shared" si="254"/>
        <v>15.134202500000001</v>
      </c>
      <c r="P1130" s="15">
        <f t="shared" si="255"/>
        <v>0</v>
      </c>
      <c r="Q1130" s="14" t="str">
        <f>IF(M1130&gt;=I1130*'Hoja 4 - Cálculo'!$B$16,"Satisfactorio","Falla")</f>
        <v>Satisfactorio</v>
      </c>
      <c r="R1130" s="14">
        <f t="shared" si="258"/>
        <v>0</v>
      </c>
      <c r="S1130" s="14">
        <f t="shared" si="259"/>
        <v>0</v>
      </c>
    </row>
    <row r="1131" spans="1:19">
      <c r="A1131" s="14" t="str">
        <f t="shared" si="256"/>
        <v>SRY-4-1</v>
      </c>
      <c r="B1131" s="15">
        <f>'Curvas SRY'!$B$11</f>
        <v>5</v>
      </c>
      <c r="C1131" s="15">
        <f>'Curvas SRY'!$E$8</f>
        <v>0.75</v>
      </c>
      <c r="D1131" s="14" t="str">
        <f>'Curvas SRY'!$B$14</f>
        <v>Uso variable</v>
      </c>
      <c r="E1131" s="14">
        <f>48</f>
        <v>48</v>
      </c>
      <c r="F1131" s="21">
        <f>'Hoja 4 - Cálculo'!A72</f>
        <v>31017</v>
      </c>
      <c r="G1131" s="15">
        <f>'Hoja 4 - Cálculo'!H72</f>
        <v>14.745374999999999</v>
      </c>
      <c r="H1131" s="15">
        <f>IF(D1131="Uso único",'Hoja 4 - Cálculo'!I72,IF(D1131="Uso múltiple",AVERAGE('Hoja 4 - Cálculo'!$I$25:$I$384)+AVERAGE('Hoja 4 - Cálculo'!$J$25:$J$384)+AVERAGE('Hoja 4 - Cálculo'!$K$25:$K$384),IF(D1131="Uso prioritario",'Hoja 4 - Cálculo'!I72+'Hoja 4 - Cálculo'!K72,'Hoja 4 - Cálculo'!I72+'Hoja 4 - Cálculo'!J72+'Hoja 4 - Cálculo'!K72)))</f>
        <v>16</v>
      </c>
      <c r="I1131" s="15">
        <f t="shared" si="250"/>
        <v>12</v>
      </c>
      <c r="J1131" s="15">
        <f t="shared" si="257"/>
        <v>5</v>
      </c>
      <c r="K1131" s="15">
        <f>MIN(J1131+G1131,(J1131+G1131)*'Hoja 4 - Cálculo'!$B$15)</f>
        <v>0.39490749999999997</v>
      </c>
      <c r="L1131" s="15">
        <f t="shared" si="251"/>
        <v>19.350467500000001</v>
      </c>
      <c r="M1131" s="15">
        <f t="shared" si="252"/>
        <v>12</v>
      </c>
      <c r="N1131" s="15">
        <f t="shared" si="253"/>
        <v>5</v>
      </c>
      <c r="O1131" s="15">
        <f t="shared" si="254"/>
        <v>2.3504675000000006</v>
      </c>
      <c r="P1131" s="15">
        <f t="shared" si="255"/>
        <v>0</v>
      </c>
      <c r="Q1131" s="14" t="str">
        <f>IF(M1131&gt;=I1131*'Hoja 4 - Cálculo'!$B$16,"Satisfactorio","Falla")</f>
        <v>Satisfactorio</v>
      </c>
      <c r="R1131" s="14">
        <f t="shared" si="258"/>
        <v>0</v>
      </c>
      <c r="S1131" s="14">
        <f t="shared" si="259"/>
        <v>0</v>
      </c>
    </row>
    <row r="1132" spans="1:19">
      <c r="A1132" s="14" t="str">
        <f t="shared" si="256"/>
        <v>SRY-4-1</v>
      </c>
      <c r="B1132" s="15">
        <f>'Curvas SRY'!$B$11</f>
        <v>5</v>
      </c>
      <c r="C1132" s="15">
        <f>'Curvas SRY'!$E$8</f>
        <v>0.75</v>
      </c>
      <c r="D1132" s="14" t="str">
        <f>'Curvas SRY'!$B$14</f>
        <v>Uso variable</v>
      </c>
      <c r="E1132" s="14">
        <f>49</f>
        <v>49</v>
      </c>
      <c r="F1132" s="21">
        <f>'Hoja 4 - Cálculo'!A73</f>
        <v>31048</v>
      </c>
      <c r="G1132" s="15">
        <f>'Hoja 4 - Cálculo'!H73</f>
        <v>10.767374999999999</v>
      </c>
      <c r="H1132" s="15">
        <f>IF(D1132="Uso único",'Hoja 4 - Cálculo'!I73,IF(D1132="Uso múltiple",AVERAGE('Hoja 4 - Cálculo'!$I$25:$I$384)+AVERAGE('Hoja 4 - Cálculo'!$J$25:$J$384)+AVERAGE('Hoja 4 - Cálculo'!$K$25:$K$384),IF(D1132="Uso prioritario",'Hoja 4 - Cálculo'!I73+'Hoja 4 - Cálculo'!K73,'Hoja 4 - Cálculo'!I73+'Hoja 4 - Cálculo'!J73+'Hoja 4 - Cálculo'!K73)))</f>
        <v>16</v>
      </c>
      <c r="I1132" s="15">
        <f t="shared" si="250"/>
        <v>12</v>
      </c>
      <c r="J1132" s="15">
        <f t="shared" si="257"/>
        <v>5</v>
      </c>
      <c r="K1132" s="15">
        <f>MIN(J1132+G1132,(J1132+G1132)*'Hoja 4 - Cálculo'!$B$15)</f>
        <v>0.3153475</v>
      </c>
      <c r="L1132" s="15">
        <f t="shared" si="251"/>
        <v>15.4520275</v>
      </c>
      <c r="M1132" s="15">
        <f t="shared" si="252"/>
        <v>12</v>
      </c>
      <c r="N1132" s="15">
        <f t="shared" si="253"/>
        <v>3.4520274999999998</v>
      </c>
      <c r="O1132" s="15">
        <f t="shared" si="254"/>
        <v>0</v>
      </c>
      <c r="P1132" s="15">
        <f t="shared" si="255"/>
        <v>0</v>
      </c>
      <c r="Q1132" s="14" t="str">
        <f>IF(M1132&gt;=I1132*'Hoja 4 - Cálculo'!$B$16,"Satisfactorio","Falla")</f>
        <v>Satisfactorio</v>
      </c>
      <c r="R1132" s="14">
        <f t="shared" si="258"/>
        <v>0</v>
      </c>
      <c r="S1132" s="14">
        <f t="shared" si="259"/>
        <v>0</v>
      </c>
    </row>
    <row r="1133" spans="1:19">
      <c r="A1133" s="14" t="str">
        <f t="shared" si="256"/>
        <v>SRY-4-1</v>
      </c>
      <c r="B1133" s="15">
        <f>'Curvas SRY'!$B$11</f>
        <v>5</v>
      </c>
      <c r="C1133" s="15">
        <f>'Curvas SRY'!$E$8</f>
        <v>0.75</v>
      </c>
      <c r="D1133" s="14" t="str">
        <f>'Curvas SRY'!$B$14</f>
        <v>Uso variable</v>
      </c>
      <c r="E1133" s="14">
        <f>50</f>
        <v>50</v>
      </c>
      <c r="F1133" s="21">
        <f>'Hoja 4 - Cálculo'!A74</f>
        <v>31079</v>
      </c>
      <c r="G1133" s="15">
        <f>'Hoja 4 - Cálculo'!H74</f>
        <v>13.464</v>
      </c>
      <c r="H1133" s="15">
        <f>IF(D1133="Uso único",'Hoja 4 - Cálculo'!I74,IF(D1133="Uso múltiple",AVERAGE('Hoja 4 - Cálculo'!$I$25:$I$384)+AVERAGE('Hoja 4 - Cálculo'!$J$25:$J$384)+AVERAGE('Hoja 4 - Cálculo'!$K$25:$K$384),IF(D1133="Uso prioritario",'Hoja 4 - Cálculo'!I74+'Hoja 4 - Cálculo'!K74,'Hoja 4 - Cálculo'!I74+'Hoja 4 - Cálculo'!J74+'Hoja 4 - Cálculo'!K74)))</f>
        <v>16</v>
      </c>
      <c r="I1133" s="15">
        <f t="shared" si="250"/>
        <v>12</v>
      </c>
      <c r="J1133" s="15">
        <f t="shared" si="257"/>
        <v>3.4520274999999998</v>
      </c>
      <c r="K1133" s="15">
        <f>MIN(J1133+G1133,(J1133+G1133)*'Hoja 4 - Cálculo'!$B$15)</f>
        <v>0.33832055</v>
      </c>
      <c r="L1133" s="15">
        <f t="shared" si="251"/>
        <v>16.57770695</v>
      </c>
      <c r="M1133" s="15">
        <f t="shared" si="252"/>
        <v>12</v>
      </c>
      <c r="N1133" s="15">
        <f t="shared" si="253"/>
        <v>4.5777069499999996</v>
      </c>
      <c r="O1133" s="15">
        <f t="shared" si="254"/>
        <v>0</v>
      </c>
      <c r="P1133" s="15">
        <f t="shared" si="255"/>
        <v>0</v>
      </c>
      <c r="Q1133" s="14" t="str">
        <f>IF(M1133&gt;=I1133*'Hoja 4 - Cálculo'!$B$16,"Satisfactorio","Falla")</f>
        <v>Satisfactorio</v>
      </c>
      <c r="R1133" s="14">
        <f t="shared" si="258"/>
        <v>0</v>
      </c>
      <c r="S1133" s="14">
        <f t="shared" si="259"/>
        <v>0</v>
      </c>
    </row>
    <row r="1134" spans="1:19">
      <c r="A1134" s="14" t="str">
        <f t="shared" si="256"/>
        <v>SRY-4-1</v>
      </c>
      <c r="B1134" s="15">
        <f>'Curvas SRY'!$B$11</f>
        <v>5</v>
      </c>
      <c r="C1134" s="15">
        <f>'Curvas SRY'!$E$8</f>
        <v>0.75</v>
      </c>
      <c r="D1134" s="14" t="str">
        <f>'Curvas SRY'!$B$14</f>
        <v>Uso variable</v>
      </c>
      <c r="E1134" s="14">
        <f>51</f>
        <v>51</v>
      </c>
      <c r="F1134" s="21">
        <f>'Hoja 4 - Cálculo'!A75</f>
        <v>31107</v>
      </c>
      <c r="G1134" s="15">
        <f>'Hoja 4 - Cálculo'!H75</f>
        <v>19.450125</v>
      </c>
      <c r="H1134" s="15">
        <f>IF(D1134="Uso único",'Hoja 4 - Cálculo'!I75,IF(D1134="Uso múltiple",AVERAGE('Hoja 4 - Cálculo'!$I$25:$I$384)+AVERAGE('Hoja 4 - Cálculo'!$J$25:$J$384)+AVERAGE('Hoja 4 - Cálculo'!$K$25:$K$384),IF(D1134="Uso prioritario",'Hoja 4 - Cálculo'!I75+'Hoja 4 - Cálculo'!K75,'Hoja 4 - Cálculo'!I75+'Hoja 4 - Cálculo'!J75+'Hoja 4 - Cálculo'!K75)))</f>
        <v>16</v>
      </c>
      <c r="I1134" s="15">
        <f t="shared" si="250"/>
        <v>12</v>
      </c>
      <c r="J1134" s="15">
        <f t="shared" si="257"/>
        <v>4.5777069499999996</v>
      </c>
      <c r="K1134" s="15">
        <f>MIN(J1134+G1134,(J1134+G1134)*'Hoja 4 - Cálculo'!$B$15)</f>
        <v>0.48055663900000001</v>
      </c>
      <c r="L1134" s="15">
        <f t="shared" si="251"/>
        <v>23.547275311</v>
      </c>
      <c r="M1134" s="15">
        <f t="shared" si="252"/>
        <v>12</v>
      </c>
      <c r="N1134" s="15">
        <f t="shared" si="253"/>
        <v>5</v>
      </c>
      <c r="O1134" s="15">
        <f t="shared" si="254"/>
        <v>6.5472753109999999</v>
      </c>
      <c r="P1134" s="15">
        <f t="shared" si="255"/>
        <v>0</v>
      </c>
      <c r="Q1134" s="14" t="str">
        <f>IF(M1134&gt;=I1134*'Hoja 4 - Cálculo'!$B$16,"Satisfactorio","Falla")</f>
        <v>Satisfactorio</v>
      </c>
      <c r="R1134" s="14">
        <f t="shared" si="258"/>
        <v>0</v>
      </c>
      <c r="S1134" s="14">
        <f t="shared" si="259"/>
        <v>0</v>
      </c>
    </row>
    <row r="1135" spans="1:19">
      <c r="A1135" s="14" t="str">
        <f t="shared" si="256"/>
        <v>SRY-4-1</v>
      </c>
      <c r="B1135" s="15">
        <f>'Curvas SRY'!$B$11</f>
        <v>5</v>
      </c>
      <c r="C1135" s="15">
        <f>'Curvas SRY'!$E$8</f>
        <v>0.75</v>
      </c>
      <c r="D1135" s="14" t="str">
        <f>'Curvas SRY'!$B$14</f>
        <v>Uso variable</v>
      </c>
      <c r="E1135" s="14">
        <f>52</f>
        <v>52</v>
      </c>
      <c r="F1135" s="21">
        <f>'Hoja 4 - Cálculo'!A76</f>
        <v>31138</v>
      </c>
      <c r="G1135" s="15">
        <f>'Hoja 4 - Cálculo'!H76</f>
        <v>25.51275</v>
      </c>
      <c r="H1135" s="15">
        <f>IF(D1135="Uso único",'Hoja 4 - Cálculo'!I76,IF(D1135="Uso múltiple",AVERAGE('Hoja 4 - Cálculo'!$I$25:$I$384)+AVERAGE('Hoja 4 - Cálculo'!$J$25:$J$384)+AVERAGE('Hoja 4 - Cálculo'!$K$25:$K$384),IF(D1135="Uso prioritario",'Hoja 4 - Cálculo'!I76+'Hoja 4 - Cálculo'!K76,'Hoja 4 - Cálculo'!I76+'Hoja 4 - Cálculo'!J76+'Hoja 4 - Cálculo'!K76)))</f>
        <v>11.5</v>
      </c>
      <c r="I1135" s="15">
        <f t="shared" si="250"/>
        <v>8.625</v>
      </c>
      <c r="J1135" s="15">
        <f t="shared" si="257"/>
        <v>5</v>
      </c>
      <c r="K1135" s="15">
        <f>MIN(J1135+G1135,(J1135+G1135)*'Hoja 4 - Cálculo'!$B$15)</f>
        <v>0.61025499999999999</v>
      </c>
      <c r="L1135" s="15">
        <f t="shared" si="251"/>
        <v>29.902495000000002</v>
      </c>
      <c r="M1135" s="15">
        <f t="shared" si="252"/>
        <v>8.625</v>
      </c>
      <c r="N1135" s="15">
        <f t="shared" si="253"/>
        <v>5</v>
      </c>
      <c r="O1135" s="15">
        <f t="shared" si="254"/>
        <v>16.277495000000002</v>
      </c>
      <c r="P1135" s="15">
        <f t="shared" si="255"/>
        <v>0</v>
      </c>
      <c r="Q1135" s="14" t="str">
        <f>IF(M1135&gt;=I1135*'Hoja 4 - Cálculo'!$B$16,"Satisfactorio","Falla")</f>
        <v>Satisfactorio</v>
      </c>
      <c r="R1135" s="14">
        <f t="shared" si="258"/>
        <v>0</v>
      </c>
      <c r="S1135" s="14">
        <f t="shared" si="259"/>
        <v>0</v>
      </c>
    </row>
    <row r="1136" spans="1:19">
      <c r="A1136" s="14" t="str">
        <f t="shared" si="256"/>
        <v>SRY-4-1</v>
      </c>
      <c r="B1136" s="15">
        <f>'Curvas SRY'!$B$11</f>
        <v>5</v>
      </c>
      <c r="C1136" s="15">
        <f>'Curvas SRY'!$E$8</f>
        <v>0.75</v>
      </c>
      <c r="D1136" s="14" t="str">
        <f>'Curvas SRY'!$B$14</f>
        <v>Uso variable</v>
      </c>
      <c r="E1136" s="14">
        <f>53</f>
        <v>53</v>
      </c>
      <c r="F1136" s="21">
        <f>'Hoja 4 - Cálculo'!A77</f>
        <v>31168</v>
      </c>
      <c r="G1136" s="15">
        <f>'Hoja 4 - Cálculo'!H77</f>
        <v>24.36525</v>
      </c>
      <c r="H1136" s="15">
        <f>IF(D1136="Uso único",'Hoja 4 - Cálculo'!I77,IF(D1136="Uso múltiple",AVERAGE('Hoja 4 - Cálculo'!$I$25:$I$384)+AVERAGE('Hoja 4 - Cálculo'!$J$25:$J$384)+AVERAGE('Hoja 4 - Cálculo'!$K$25:$K$384),IF(D1136="Uso prioritario",'Hoja 4 - Cálculo'!I77+'Hoja 4 - Cálculo'!K77,'Hoja 4 - Cálculo'!I77+'Hoja 4 - Cálculo'!J77+'Hoja 4 - Cálculo'!K77)))</f>
        <v>11.5</v>
      </c>
      <c r="I1136" s="15">
        <f t="shared" si="250"/>
        <v>8.625</v>
      </c>
      <c r="J1136" s="15">
        <f t="shared" si="257"/>
        <v>5</v>
      </c>
      <c r="K1136" s="15">
        <f>MIN(J1136+G1136,(J1136+G1136)*'Hoja 4 - Cálculo'!$B$15)</f>
        <v>0.58730499999999997</v>
      </c>
      <c r="L1136" s="15">
        <f t="shared" si="251"/>
        <v>28.777944999999999</v>
      </c>
      <c r="M1136" s="15">
        <f t="shared" si="252"/>
        <v>8.625</v>
      </c>
      <c r="N1136" s="15">
        <f t="shared" si="253"/>
        <v>5</v>
      </c>
      <c r="O1136" s="15">
        <f t="shared" si="254"/>
        <v>15.152944999999999</v>
      </c>
      <c r="P1136" s="15">
        <f t="shared" si="255"/>
        <v>0</v>
      </c>
      <c r="Q1136" s="14" t="str">
        <f>IF(M1136&gt;=I1136*'Hoja 4 - Cálculo'!$B$16,"Satisfactorio","Falla")</f>
        <v>Satisfactorio</v>
      </c>
      <c r="R1136" s="14">
        <f t="shared" si="258"/>
        <v>0</v>
      </c>
      <c r="S1136" s="14">
        <f t="shared" si="259"/>
        <v>0</v>
      </c>
    </row>
    <row r="1137" spans="1:19">
      <c r="A1137" s="14" t="str">
        <f t="shared" si="256"/>
        <v>SRY-4-1</v>
      </c>
      <c r="B1137" s="15">
        <f>'Curvas SRY'!$B$11</f>
        <v>5</v>
      </c>
      <c r="C1137" s="15">
        <f>'Curvas SRY'!$E$8</f>
        <v>0.75</v>
      </c>
      <c r="D1137" s="14" t="str">
        <f>'Curvas SRY'!$B$14</f>
        <v>Uso variable</v>
      </c>
      <c r="E1137" s="14">
        <f>54</f>
        <v>54</v>
      </c>
      <c r="F1137" s="21">
        <f>'Hoja 4 - Cálculo'!A78</f>
        <v>31199</v>
      </c>
      <c r="G1137" s="15">
        <f>'Hoja 4 - Cálculo'!H78</f>
        <v>15.395625000000001</v>
      </c>
      <c r="H1137" s="15">
        <f>IF(D1137="Uso único",'Hoja 4 - Cálculo'!I78,IF(D1137="Uso múltiple",AVERAGE('Hoja 4 - Cálculo'!$I$25:$I$384)+AVERAGE('Hoja 4 - Cálculo'!$J$25:$J$384)+AVERAGE('Hoja 4 - Cálculo'!$K$25:$K$384),IF(D1137="Uso prioritario",'Hoja 4 - Cálculo'!I78+'Hoja 4 - Cálculo'!K78,'Hoja 4 - Cálculo'!I78+'Hoja 4 - Cálculo'!J78+'Hoja 4 - Cálculo'!K78)))</f>
        <v>11.5</v>
      </c>
      <c r="I1137" s="15">
        <f t="shared" si="250"/>
        <v>8.625</v>
      </c>
      <c r="J1137" s="15">
        <f t="shared" si="257"/>
        <v>5</v>
      </c>
      <c r="K1137" s="15">
        <f>MIN(J1137+G1137,(J1137+G1137)*'Hoja 4 - Cálculo'!$B$15)</f>
        <v>0.40791250000000007</v>
      </c>
      <c r="L1137" s="15">
        <f t="shared" si="251"/>
        <v>19.987712500000004</v>
      </c>
      <c r="M1137" s="15">
        <f t="shared" si="252"/>
        <v>8.625</v>
      </c>
      <c r="N1137" s="15">
        <f t="shared" si="253"/>
        <v>5</v>
      </c>
      <c r="O1137" s="15">
        <f t="shared" si="254"/>
        <v>6.3627125000000042</v>
      </c>
      <c r="P1137" s="15">
        <f t="shared" si="255"/>
        <v>0</v>
      </c>
      <c r="Q1137" s="14" t="str">
        <f>IF(M1137&gt;=I1137*'Hoja 4 - Cálculo'!$B$16,"Satisfactorio","Falla")</f>
        <v>Satisfactorio</v>
      </c>
      <c r="R1137" s="14">
        <f t="shared" si="258"/>
        <v>0</v>
      </c>
      <c r="S1137" s="14">
        <f t="shared" si="259"/>
        <v>0</v>
      </c>
    </row>
    <row r="1138" spans="1:19">
      <c r="A1138" s="14" t="str">
        <f t="shared" si="256"/>
        <v>SRY-4-1</v>
      </c>
      <c r="B1138" s="15">
        <f>'Curvas SRY'!$B$11</f>
        <v>5</v>
      </c>
      <c r="C1138" s="15">
        <f>'Curvas SRY'!$E$8</f>
        <v>0.75</v>
      </c>
      <c r="D1138" s="14" t="str">
        <f>'Curvas SRY'!$B$14</f>
        <v>Uso variable</v>
      </c>
      <c r="E1138" s="14">
        <f>55</f>
        <v>55</v>
      </c>
      <c r="F1138" s="21">
        <f>'Hoja 4 - Cálculo'!A79</f>
        <v>31229</v>
      </c>
      <c r="G1138" s="15">
        <f>'Hoja 4 - Cálculo'!H79</f>
        <v>11.742749999999999</v>
      </c>
      <c r="H1138" s="15">
        <f>IF(D1138="Uso único",'Hoja 4 - Cálculo'!I79,IF(D1138="Uso múltiple",AVERAGE('Hoja 4 - Cálculo'!$I$25:$I$384)+AVERAGE('Hoja 4 - Cálculo'!$J$25:$J$384)+AVERAGE('Hoja 4 - Cálculo'!$K$25:$K$384),IF(D1138="Uso prioritario",'Hoja 4 - Cálculo'!I79+'Hoja 4 - Cálculo'!K79,'Hoja 4 - Cálculo'!I79+'Hoja 4 - Cálculo'!J79+'Hoja 4 - Cálculo'!K79)))</f>
        <v>16</v>
      </c>
      <c r="I1138" s="15">
        <f t="shared" si="250"/>
        <v>12</v>
      </c>
      <c r="J1138" s="15">
        <f t="shared" si="257"/>
        <v>5</v>
      </c>
      <c r="K1138" s="15">
        <f>MIN(J1138+G1138,(J1138+G1138)*'Hoja 4 - Cálculo'!$B$15)</f>
        <v>0.33485500000000001</v>
      </c>
      <c r="L1138" s="15">
        <f t="shared" si="251"/>
        <v>16.407895</v>
      </c>
      <c r="M1138" s="15">
        <f t="shared" si="252"/>
        <v>12</v>
      </c>
      <c r="N1138" s="15">
        <f t="shared" si="253"/>
        <v>4.4078949999999999</v>
      </c>
      <c r="O1138" s="15">
        <f t="shared" si="254"/>
        <v>0</v>
      </c>
      <c r="P1138" s="15">
        <f t="shared" si="255"/>
        <v>0</v>
      </c>
      <c r="Q1138" s="14" t="str">
        <f>IF(M1138&gt;=I1138*'Hoja 4 - Cálculo'!$B$16,"Satisfactorio","Falla")</f>
        <v>Satisfactorio</v>
      </c>
      <c r="R1138" s="14">
        <f t="shared" si="258"/>
        <v>0</v>
      </c>
      <c r="S1138" s="14">
        <f t="shared" si="259"/>
        <v>0</v>
      </c>
    </row>
    <row r="1139" spans="1:19">
      <c r="A1139" s="14" t="str">
        <f t="shared" si="256"/>
        <v>SRY-4-1</v>
      </c>
      <c r="B1139" s="15">
        <f>'Curvas SRY'!$B$11</f>
        <v>5</v>
      </c>
      <c r="C1139" s="15">
        <f>'Curvas SRY'!$E$8</f>
        <v>0.75</v>
      </c>
      <c r="D1139" s="14" t="str">
        <f>'Curvas SRY'!$B$14</f>
        <v>Uso variable</v>
      </c>
      <c r="E1139" s="14">
        <f>56</f>
        <v>56</v>
      </c>
      <c r="F1139" s="21">
        <f>'Hoja 4 - Cálculo'!A80</f>
        <v>31260</v>
      </c>
      <c r="G1139" s="15">
        <f>'Hoja 4 - Cálculo'!H80</f>
        <v>12.603375</v>
      </c>
      <c r="H1139" s="15">
        <f>IF(D1139="Uso único",'Hoja 4 - Cálculo'!I80,IF(D1139="Uso múltiple",AVERAGE('Hoja 4 - Cálculo'!$I$25:$I$384)+AVERAGE('Hoja 4 - Cálculo'!$J$25:$J$384)+AVERAGE('Hoja 4 - Cálculo'!$K$25:$K$384),IF(D1139="Uso prioritario",'Hoja 4 - Cálculo'!I80+'Hoja 4 - Cálculo'!K80,'Hoja 4 - Cálculo'!I80+'Hoja 4 - Cálculo'!J80+'Hoja 4 - Cálculo'!K80)))</f>
        <v>16</v>
      </c>
      <c r="I1139" s="15">
        <f t="shared" si="250"/>
        <v>12</v>
      </c>
      <c r="J1139" s="15">
        <f t="shared" si="257"/>
        <v>4.4078949999999999</v>
      </c>
      <c r="K1139" s="15">
        <f>MIN(J1139+G1139,(J1139+G1139)*'Hoja 4 - Cálculo'!$B$15)</f>
        <v>0.34022540000000001</v>
      </c>
      <c r="L1139" s="15">
        <f t="shared" si="251"/>
        <v>16.671044599999998</v>
      </c>
      <c r="M1139" s="15">
        <f t="shared" si="252"/>
        <v>12</v>
      </c>
      <c r="N1139" s="15">
        <f t="shared" si="253"/>
        <v>4.6710445999999983</v>
      </c>
      <c r="O1139" s="15">
        <f t="shared" si="254"/>
        <v>0</v>
      </c>
      <c r="P1139" s="15">
        <f t="shared" si="255"/>
        <v>0</v>
      </c>
      <c r="Q1139" s="14" t="str">
        <f>IF(M1139&gt;=I1139*'Hoja 4 - Cálculo'!$B$16,"Satisfactorio","Falla")</f>
        <v>Satisfactorio</v>
      </c>
      <c r="R1139" s="14">
        <f t="shared" si="258"/>
        <v>0</v>
      </c>
      <c r="S1139" s="14">
        <f t="shared" si="259"/>
        <v>0</v>
      </c>
    </row>
    <row r="1140" spans="1:19">
      <c r="A1140" s="14" t="str">
        <f t="shared" si="256"/>
        <v>SRY-4-1</v>
      </c>
      <c r="B1140" s="15">
        <f>'Curvas SRY'!$B$11</f>
        <v>5</v>
      </c>
      <c r="C1140" s="15">
        <f>'Curvas SRY'!$E$8</f>
        <v>0.75</v>
      </c>
      <c r="D1140" s="14" t="str">
        <f>'Curvas SRY'!$B$14</f>
        <v>Uso variable</v>
      </c>
      <c r="E1140" s="14">
        <f>57</f>
        <v>57</v>
      </c>
      <c r="F1140" s="21">
        <f>'Hoja 4 - Cálculo'!A81</f>
        <v>31291</v>
      </c>
      <c r="G1140" s="15">
        <f>'Hoja 4 - Cálculo'!H81</f>
        <v>21.745125000000002</v>
      </c>
      <c r="H1140" s="15">
        <f>IF(D1140="Uso único",'Hoja 4 - Cálculo'!I81,IF(D1140="Uso múltiple",AVERAGE('Hoja 4 - Cálculo'!$I$25:$I$384)+AVERAGE('Hoja 4 - Cálculo'!$J$25:$J$384)+AVERAGE('Hoja 4 - Cálculo'!$K$25:$K$384),IF(D1140="Uso prioritario",'Hoja 4 - Cálculo'!I81+'Hoja 4 - Cálculo'!K81,'Hoja 4 - Cálculo'!I81+'Hoja 4 - Cálculo'!J81+'Hoja 4 - Cálculo'!K81)))</f>
        <v>11.5</v>
      </c>
      <c r="I1140" s="15">
        <f t="shared" si="250"/>
        <v>8.625</v>
      </c>
      <c r="J1140" s="15">
        <f t="shared" si="257"/>
        <v>4.6710445999999983</v>
      </c>
      <c r="K1140" s="15">
        <f>MIN(J1140+G1140,(J1140+G1140)*'Hoja 4 - Cálculo'!$B$15)</f>
        <v>0.528323392</v>
      </c>
      <c r="L1140" s="15">
        <f t="shared" si="251"/>
        <v>25.887846207999999</v>
      </c>
      <c r="M1140" s="15">
        <f t="shared" si="252"/>
        <v>8.625</v>
      </c>
      <c r="N1140" s="15">
        <f t="shared" si="253"/>
        <v>5</v>
      </c>
      <c r="O1140" s="15">
        <f t="shared" si="254"/>
        <v>12.262846207999999</v>
      </c>
      <c r="P1140" s="15">
        <f t="shared" si="255"/>
        <v>0</v>
      </c>
      <c r="Q1140" s="14" t="str">
        <f>IF(M1140&gt;=I1140*'Hoja 4 - Cálculo'!$B$16,"Satisfactorio","Falla")</f>
        <v>Satisfactorio</v>
      </c>
      <c r="R1140" s="14">
        <f t="shared" si="258"/>
        <v>0</v>
      </c>
      <c r="S1140" s="14">
        <f t="shared" si="259"/>
        <v>0</v>
      </c>
    </row>
    <row r="1141" spans="1:19">
      <c r="A1141" s="14" t="str">
        <f t="shared" si="256"/>
        <v>SRY-4-1</v>
      </c>
      <c r="B1141" s="15">
        <f>'Curvas SRY'!$B$11</f>
        <v>5</v>
      </c>
      <c r="C1141" s="15">
        <f>'Curvas SRY'!$E$8</f>
        <v>0.75</v>
      </c>
      <c r="D1141" s="14" t="str">
        <f>'Curvas SRY'!$B$14</f>
        <v>Uso variable</v>
      </c>
      <c r="E1141" s="14">
        <f>58</f>
        <v>58</v>
      </c>
      <c r="F1141" s="21">
        <f>'Hoja 4 - Cálculo'!A82</f>
        <v>31321</v>
      </c>
      <c r="G1141" s="15">
        <f>'Hoja 4 - Cálculo'!H82</f>
        <v>27.788625</v>
      </c>
      <c r="H1141" s="15">
        <f>IF(D1141="Uso único",'Hoja 4 - Cálculo'!I82,IF(D1141="Uso múltiple",AVERAGE('Hoja 4 - Cálculo'!$I$25:$I$384)+AVERAGE('Hoja 4 - Cálculo'!$J$25:$J$384)+AVERAGE('Hoja 4 - Cálculo'!$K$25:$K$384),IF(D1141="Uso prioritario",'Hoja 4 - Cálculo'!I82+'Hoja 4 - Cálculo'!K82,'Hoja 4 - Cálculo'!I82+'Hoja 4 - Cálculo'!J82+'Hoja 4 - Cálculo'!K82)))</f>
        <v>11.5</v>
      </c>
      <c r="I1141" s="15">
        <f t="shared" si="250"/>
        <v>8.625</v>
      </c>
      <c r="J1141" s="15">
        <f t="shared" si="257"/>
        <v>5</v>
      </c>
      <c r="K1141" s="15">
        <f>MIN(J1141+G1141,(J1141+G1141)*'Hoja 4 - Cálculo'!$B$15)</f>
        <v>0.65577249999999998</v>
      </c>
      <c r="L1141" s="15">
        <f t="shared" si="251"/>
        <v>32.132852499999998</v>
      </c>
      <c r="M1141" s="15">
        <f t="shared" si="252"/>
        <v>8.625</v>
      </c>
      <c r="N1141" s="15">
        <f t="shared" si="253"/>
        <v>5</v>
      </c>
      <c r="O1141" s="15">
        <f t="shared" si="254"/>
        <v>18.507852499999998</v>
      </c>
      <c r="P1141" s="15">
        <f t="shared" si="255"/>
        <v>0</v>
      </c>
      <c r="Q1141" s="14" t="str">
        <f>IF(M1141&gt;=I1141*'Hoja 4 - Cálculo'!$B$16,"Satisfactorio","Falla")</f>
        <v>Satisfactorio</v>
      </c>
      <c r="R1141" s="14">
        <f t="shared" si="258"/>
        <v>0</v>
      </c>
      <c r="S1141" s="14">
        <f t="shared" si="259"/>
        <v>0</v>
      </c>
    </row>
    <row r="1142" spans="1:19">
      <c r="A1142" s="14" t="str">
        <f t="shared" si="256"/>
        <v>SRY-4-1</v>
      </c>
      <c r="B1142" s="15">
        <f>'Curvas SRY'!$B$11</f>
        <v>5</v>
      </c>
      <c r="C1142" s="15">
        <f>'Curvas SRY'!$E$8</f>
        <v>0.75</v>
      </c>
      <c r="D1142" s="14" t="str">
        <f>'Curvas SRY'!$B$14</f>
        <v>Uso variable</v>
      </c>
      <c r="E1142" s="14">
        <f>59</f>
        <v>59</v>
      </c>
      <c r="F1142" s="21">
        <f>'Hoja 4 - Cálculo'!A83</f>
        <v>31352</v>
      </c>
      <c r="G1142" s="15">
        <f>'Hoja 4 - Cálculo'!H83</f>
        <v>22.22325</v>
      </c>
      <c r="H1142" s="15">
        <f>IF(D1142="Uso único",'Hoja 4 - Cálculo'!I83,IF(D1142="Uso múltiple",AVERAGE('Hoja 4 - Cálculo'!$I$25:$I$384)+AVERAGE('Hoja 4 - Cálculo'!$J$25:$J$384)+AVERAGE('Hoja 4 - Cálculo'!$K$25:$K$384),IF(D1142="Uso prioritario",'Hoja 4 - Cálculo'!I83+'Hoja 4 - Cálculo'!K83,'Hoja 4 - Cálculo'!I83+'Hoja 4 - Cálculo'!J83+'Hoja 4 - Cálculo'!K83)))</f>
        <v>11.5</v>
      </c>
      <c r="I1142" s="15">
        <f t="shared" si="250"/>
        <v>8.625</v>
      </c>
      <c r="J1142" s="15">
        <f t="shared" si="257"/>
        <v>5</v>
      </c>
      <c r="K1142" s="15">
        <f>MIN(J1142+G1142,(J1142+G1142)*'Hoja 4 - Cálculo'!$B$15)</f>
        <v>0.54446499999999998</v>
      </c>
      <c r="L1142" s="15">
        <f t="shared" si="251"/>
        <v>26.678785000000001</v>
      </c>
      <c r="M1142" s="15">
        <f t="shared" si="252"/>
        <v>8.625</v>
      </c>
      <c r="N1142" s="15">
        <f t="shared" si="253"/>
        <v>5</v>
      </c>
      <c r="O1142" s="15">
        <f t="shared" si="254"/>
        <v>13.053785000000001</v>
      </c>
      <c r="P1142" s="15">
        <f t="shared" si="255"/>
        <v>0</v>
      </c>
      <c r="Q1142" s="14" t="str">
        <f>IF(M1142&gt;=I1142*'Hoja 4 - Cálculo'!$B$16,"Satisfactorio","Falla")</f>
        <v>Satisfactorio</v>
      </c>
      <c r="R1142" s="14">
        <f t="shared" si="258"/>
        <v>0</v>
      </c>
      <c r="S1142" s="14">
        <f t="shared" si="259"/>
        <v>0</v>
      </c>
    </row>
    <row r="1143" spans="1:19">
      <c r="A1143" s="14" t="str">
        <f t="shared" si="256"/>
        <v>SRY-4-1</v>
      </c>
      <c r="B1143" s="15">
        <f>'Curvas SRY'!$B$11</f>
        <v>5</v>
      </c>
      <c r="C1143" s="15">
        <f>'Curvas SRY'!$E$8</f>
        <v>0.75</v>
      </c>
      <c r="D1143" s="14" t="str">
        <f>'Curvas SRY'!$B$14</f>
        <v>Uso variable</v>
      </c>
      <c r="E1143" s="14">
        <f>60</f>
        <v>60</v>
      </c>
      <c r="F1143" s="21">
        <f>'Hoja 4 - Cálculo'!A84</f>
        <v>31382</v>
      </c>
      <c r="G1143" s="15">
        <f>'Hoja 4 - Cálculo'!H84</f>
        <v>14.171625000000001</v>
      </c>
      <c r="H1143" s="15">
        <f>IF(D1143="Uso único",'Hoja 4 - Cálculo'!I84,IF(D1143="Uso múltiple",AVERAGE('Hoja 4 - Cálculo'!$I$25:$I$384)+AVERAGE('Hoja 4 - Cálculo'!$J$25:$J$384)+AVERAGE('Hoja 4 - Cálculo'!$K$25:$K$384),IF(D1143="Uso prioritario",'Hoja 4 - Cálculo'!I84+'Hoja 4 - Cálculo'!K84,'Hoja 4 - Cálculo'!I84+'Hoja 4 - Cálculo'!J84+'Hoja 4 - Cálculo'!K84)))</f>
        <v>16</v>
      </c>
      <c r="I1143" s="15">
        <f t="shared" si="250"/>
        <v>12</v>
      </c>
      <c r="J1143" s="15">
        <f t="shared" si="257"/>
        <v>5</v>
      </c>
      <c r="K1143" s="15">
        <f>MIN(J1143+G1143,(J1143+G1143)*'Hoja 4 - Cálculo'!$B$15)</f>
        <v>0.38343250000000001</v>
      </c>
      <c r="L1143" s="15">
        <f t="shared" si="251"/>
        <v>18.788192499999997</v>
      </c>
      <c r="M1143" s="15">
        <f t="shared" si="252"/>
        <v>12</v>
      </c>
      <c r="N1143" s="15">
        <f t="shared" si="253"/>
        <v>5</v>
      </c>
      <c r="O1143" s="15">
        <f t="shared" si="254"/>
        <v>1.7881924999999974</v>
      </c>
      <c r="P1143" s="15">
        <f t="shared" si="255"/>
        <v>0</v>
      </c>
      <c r="Q1143" s="14" t="str">
        <f>IF(M1143&gt;=I1143*'Hoja 4 - Cálculo'!$B$16,"Satisfactorio","Falla")</f>
        <v>Satisfactorio</v>
      </c>
      <c r="R1143" s="14">
        <f t="shared" si="258"/>
        <v>0</v>
      </c>
      <c r="S1143" s="14">
        <f t="shared" si="259"/>
        <v>0</v>
      </c>
    </row>
    <row r="1144" spans="1:19">
      <c r="A1144" s="14" t="str">
        <f t="shared" si="256"/>
        <v>SRY-4-1</v>
      </c>
      <c r="B1144" s="15">
        <f>'Curvas SRY'!$B$11</f>
        <v>5</v>
      </c>
      <c r="C1144" s="15">
        <f>'Curvas SRY'!$E$8</f>
        <v>0.75</v>
      </c>
      <c r="D1144" s="14" t="str">
        <f>'Curvas SRY'!$B$14</f>
        <v>Uso variable</v>
      </c>
      <c r="E1144" s="14">
        <f>61</f>
        <v>61</v>
      </c>
      <c r="F1144" s="21">
        <f>'Hoja 4 - Cálculo'!A85</f>
        <v>31413</v>
      </c>
      <c r="G1144" s="15">
        <f>'Hoja 4 - Cálculo'!H85</f>
        <v>12.641624999999999</v>
      </c>
      <c r="H1144" s="15">
        <f>IF(D1144="Uso único",'Hoja 4 - Cálculo'!I85,IF(D1144="Uso múltiple",AVERAGE('Hoja 4 - Cálculo'!$I$25:$I$384)+AVERAGE('Hoja 4 - Cálculo'!$J$25:$J$384)+AVERAGE('Hoja 4 - Cálculo'!$K$25:$K$384),IF(D1144="Uso prioritario",'Hoja 4 - Cálculo'!I85+'Hoja 4 - Cálculo'!K85,'Hoja 4 - Cálculo'!I85+'Hoja 4 - Cálculo'!J85+'Hoja 4 - Cálculo'!K85)))</f>
        <v>16</v>
      </c>
      <c r="I1144" s="15">
        <f t="shared" si="250"/>
        <v>12</v>
      </c>
      <c r="J1144" s="15">
        <f t="shared" si="257"/>
        <v>5</v>
      </c>
      <c r="K1144" s="15">
        <f>MIN(J1144+G1144,(J1144+G1144)*'Hoja 4 - Cálculo'!$B$15)</f>
        <v>0.35283249999999994</v>
      </c>
      <c r="L1144" s="15">
        <f t="shared" si="251"/>
        <v>17.288792499999996</v>
      </c>
      <c r="M1144" s="15">
        <f t="shared" si="252"/>
        <v>12</v>
      </c>
      <c r="N1144" s="15">
        <f t="shared" si="253"/>
        <v>5</v>
      </c>
      <c r="O1144" s="15">
        <f t="shared" si="254"/>
        <v>0.28879249999999601</v>
      </c>
      <c r="P1144" s="15">
        <f t="shared" si="255"/>
        <v>0</v>
      </c>
      <c r="Q1144" s="14" t="str">
        <f>IF(M1144&gt;=I1144*'Hoja 4 - Cálculo'!$B$16,"Satisfactorio","Falla")</f>
        <v>Satisfactorio</v>
      </c>
      <c r="R1144" s="14">
        <f t="shared" si="258"/>
        <v>0</v>
      </c>
      <c r="S1144" s="14">
        <f t="shared" si="259"/>
        <v>0</v>
      </c>
    </row>
    <row r="1145" spans="1:19">
      <c r="A1145" s="14" t="str">
        <f t="shared" si="256"/>
        <v>SRY-4-1</v>
      </c>
      <c r="B1145" s="15">
        <f>'Curvas SRY'!$B$11</f>
        <v>5</v>
      </c>
      <c r="C1145" s="15">
        <f>'Curvas SRY'!$E$8</f>
        <v>0.75</v>
      </c>
      <c r="D1145" s="14" t="str">
        <f>'Curvas SRY'!$B$14</f>
        <v>Uso variable</v>
      </c>
      <c r="E1145" s="14">
        <f>62</f>
        <v>62</v>
      </c>
      <c r="F1145" s="21">
        <f>'Hoja 4 - Cálculo'!A86</f>
        <v>31444</v>
      </c>
      <c r="G1145" s="15">
        <f>'Hoja 4 - Cálculo'!H86</f>
        <v>15.357374999999999</v>
      </c>
      <c r="H1145" s="15">
        <f>IF(D1145="Uso único",'Hoja 4 - Cálculo'!I86,IF(D1145="Uso múltiple",AVERAGE('Hoja 4 - Cálculo'!$I$25:$I$384)+AVERAGE('Hoja 4 - Cálculo'!$J$25:$J$384)+AVERAGE('Hoja 4 - Cálculo'!$K$25:$K$384),IF(D1145="Uso prioritario",'Hoja 4 - Cálculo'!I86+'Hoja 4 - Cálculo'!K86,'Hoja 4 - Cálculo'!I86+'Hoja 4 - Cálculo'!J86+'Hoja 4 - Cálculo'!K86)))</f>
        <v>16</v>
      </c>
      <c r="I1145" s="15">
        <f t="shared" si="250"/>
        <v>12</v>
      </c>
      <c r="J1145" s="15">
        <f t="shared" si="257"/>
        <v>5</v>
      </c>
      <c r="K1145" s="15">
        <f>MIN(J1145+G1145,(J1145+G1145)*'Hoja 4 - Cálculo'!$B$15)</f>
        <v>0.40714749999999994</v>
      </c>
      <c r="L1145" s="15">
        <f t="shared" si="251"/>
        <v>19.950227499999997</v>
      </c>
      <c r="M1145" s="15">
        <f t="shared" si="252"/>
        <v>12</v>
      </c>
      <c r="N1145" s="15">
        <f t="shared" si="253"/>
        <v>5</v>
      </c>
      <c r="O1145" s="15">
        <f t="shared" si="254"/>
        <v>2.9502274999999969</v>
      </c>
      <c r="P1145" s="15">
        <f t="shared" si="255"/>
        <v>0</v>
      </c>
      <c r="Q1145" s="14" t="str">
        <f>IF(M1145&gt;=I1145*'Hoja 4 - Cálculo'!$B$16,"Satisfactorio","Falla")</f>
        <v>Satisfactorio</v>
      </c>
      <c r="R1145" s="14">
        <f t="shared" si="258"/>
        <v>0</v>
      </c>
      <c r="S1145" s="14">
        <f t="shared" si="259"/>
        <v>0</v>
      </c>
    </row>
    <row r="1146" spans="1:19">
      <c r="A1146" s="14" t="str">
        <f t="shared" si="256"/>
        <v>SRY-4-1</v>
      </c>
      <c r="B1146" s="15">
        <f>'Curvas SRY'!$B$11</f>
        <v>5</v>
      </c>
      <c r="C1146" s="15">
        <f>'Curvas SRY'!$E$8</f>
        <v>0.75</v>
      </c>
      <c r="D1146" s="14" t="str">
        <f>'Curvas SRY'!$B$14</f>
        <v>Uso variable</v>
      </c>
      <c r="E1146" s="14">
        <f>63</f>
        <v>63</v>
      </c>
      <c r="F1146" s="21">
        <f>'Hoja 4 - Cálculo'!A87</f>
        <v>31472</v>
      </c>
      <c r="G1146" s="15">
        <f>'Hoja 4 - Cálculo'!H87</f>
        <v>20.846250000000001</v>
      </c>
      <c r="H1146" s="15">
        <f>IF(D1146="Uso único",'Hoja 4 - Cálculo'!I87,IF(D1146="Uso múltiple",AVERAGE('Hoja 4 - Cálculo'!$I$25:$I$384)+AVERAGE('Hoja 4 - Cálculo'!$J$25:$J$384)+AVERAGE('Hoja 4 - Cálculo'!$K$25:$K$384),IF(D1146="Uso prioritario",'Hoja 4 - Cálculo'!I87+'Hoja 4 - Cálculo'!K87,'Hoja 4 - Cálculo'!I87+'Hoja 4 - Cálculo'!J87+'Hoja 4 - Cálculo'!K87)))</f>
        <v>16</v>
      </c>
      <c r="I1146" s="15">
        <f t="shared" si="250"/>
        <v>12</v>
      </c>
      <c r="J1146" s="15">
        <f t="shared" si="257"/>
        <v>5</v>
      </c>
      <c r="K1146" s="15">
        <f>MIN(J1146+G1146,(J1146+G1146)*'Hoja 4 - Cálculo'!$B$15)</f>
        <v>0.51692500000000008</v>
      </c>
      <c r="L1146" s="15">
        <f t="shared" si="251"/>
        <v>25.329325000000001</v>
      </c>
      <c r="M1146" s="15">
        <f t="shared" si="252"/>
        <v>12</v>
      </c>
      <c r="N1146" s="15">
        <f t="shared" si="253"/>
        <v>5</v>
      </c>
      <c r="O1146" s="15">
        <f t="shared" si="254"/>
        <v>8.3293250000000008</v>
      </c>
      <c r="P1146" s="15">
        <f t="shared" si="255"/>
        <v>0</v>
      </c>
      <c r="Q1146" s="14" t="str">
        <f>IF(M1146&gt;=I1146*'Hoja 4 - Cálculo'!$B$16,"Satisfactorio","Falla")</f>
        <v>Satisfactorio</v>
      </c>
      <c r="R1146" s="14">
        <f t="shared" si="258"/>
        <v>0</v>
      </c>
      <c r="S1146" s="14">
        <f t="shared" si="259"/>
        <v>0</v>
      </c>
    </row>
    <row r="1147" spans="1:19">
      <c r="A1147" s="14" t="str">
        <f t="shared" si="256"/>
        <v>SRY-4-1</v>
      </c>
      <c r="B1147" s="15">
        <f>'Curvas SRY'!$B$11</f>
        <v>5</v>
      </c>
      <c r="C1147" s="15">
        <f>'Curvas SRY'!$E$8</f>
        <v>0.75</v>
      </c>
      <c r="D1147" s="14" t="str">
        <f>'Curvas SRY'!$B$14</f>
        <v>Uso variable</v>
      </c>
      <c r="E1147" s="14">
        <f>64</f>
        <v>64</v>
      </c>
      <c r="F1147" s="21">
        <f>'Hoja 4 - Cálculo'!A88</f>
        <v>31503</v>
      </c>
      <c r="G1147" s="15">
        <f>'Hoja 4 - Cálculo'!H88</f>
        <v>30.638249999999999</v>
      </c>
      <c r="H1147" s="15">
        <f>IF(D1147="Uso único",'Hoja 4 - Cálculo'!I88,IF(D1147="Uso múltiple",AVERAGE('Hoja 4 - Cálculo'!$I$25:$I$384)+AVERAGE('Hoja 4 - Cálculo'!$J$25:$J$384)+AVERAGE('Hoja 4 - Cálculo'!$K$25:$K$384),IF(D1147="Uso prioritario",'Hoja 4 - Cálculo'!I88+'Hoja 4 - Cálculo'!K88,'Hoja 4 - Cálculo'!I88+'Hoja 4 - Cálculo'!J88+'Hoja 4 - Cálculo'!K88)))</f>
        <v>11.5</v>
      </c>
      <c r="I1147" s="15">
        <f t="shared" si="250"/>
        <v>8.625</v>
      </c>
      <c r="J1147" s="15">
        <f t="shared" si="257"/>
        <v>5</v>
      </c>
      <c r="K1147" s="15">
        <f>MIN(J1147+G1147,(J1147+G1147)*'Hoja 4 - Cálculo'!$B$15)</f>
        <v>0.71276499999999998</v>
      </c>
      <c r="L1147" s="15">
        <f t="shared" si="251"/>
        <v>34.925485000000002</v>
      </c>
      <c r="M1147" s="15">
        <f t="shared" si="252"/>
        <v>8.625</v>
      </c>
      <c r="N1147" s="15">
        <f t="shared" si="253"/>
        <v>5</v>
      </c>
      <c r="O1147" s="15">
        <f t="shared" si="254"/>
        <v>21.300485000000002</v>
      </c>
      <c r="P1147" s="15">
        <f t="shared" si="255"/>
        <v>0</v>
      </c>
      <c r="Q1147" s="14" t="str">
        <f>IF(M1147&gt;=I1147*'Hoja 4 - Cálculo'!$B$16,"Satisfactorio","Falla")</f>
        <v>Satisfactorio</v>
      </c>
      <c r="R1147" s="14">
        <f t="shared" si="258"/>
        <v>0</v>
      </c>
      <c r="S1147" s="14">
        <f t="shared" si="259"/>
        <v>0</v>
      </c>
    </row>
    <row r="1148" spans="1:19">
      <c r="A1148" s="14" t="str">
        <f t="shared" ref="A1148:A1179" si="260">"SRY-4-1"</f>
        <v>SRY-4-1</v>
      </c>
      <c r="B1148" s="15">
        <f>'Curvas SRY'!$B$11</f>
        <v>5</v>
      </c>
      <c r="C1148" s="15">
        <f>'Curvas SRY'!$E$8</f>
        <v>0.75</v>
      </c>
      <c r="D1148" s="14" t="str">
        <f>'Curvas SRY'!$B$14</f>
        <v>Uso variable</v>
      </c>
      <c r="E1148" s="14">
        <f>65</f>
        <v>65</v>
      </c>
      <c r="F1148" s="21">
        <f>'Hoja 4 - Cálculo'!A89</f>
        <v>31533</v>
      </c>
      <c r="G1148" s="15">
        <f>'Hoja 4 - Cálculo'!H89</f>
        <v>28.438874999999999</v>
      </c>
      <c r="H1148" s="15">
        <f>IF(D1148="Uso único",'Hoja 4 - Cálculo'!I89,IF(D1148="Uso múltiple",AVERAGE('Hoja 4 - Cálculo'!$I$25:$I$384)+AVERAGE('Hoja 4 - Cálculo'!$J$25:$J$384)+AVERAGE('Hoja 4 - Cálculo'!$K$25:$K$384),IF(D1148="Uso prioritario",'Hoja 4 - Cálculo'!I89+'Hoja 4 - Cálculo'!K89,'Hoja 4 - Cálculo'!I89+'Hoja 4 - Cálculo'!J89+'Hoja 4 - Cálculo'!K89)))</f>
        <v>11.5</v>
      </c>
      <c r="I1148" s="15">
        <f t="shared" si="250"/>
        <v>8.625</v>
      </c>
      <c r="J1148" s="15">
        <f t="shared" si="257"/>
        <v>5</v>
      </c>
      <c r="K1148" s="15">
        <f>MIN(J1148+G1148,(J1148+G1148)*'Hoja 4 - Cálculo'!$B$15)</f>
        <v>0.66877749999999991</v>
      </c>
      <c r="L1148" s="15">
        <f t="shared" si="251"/>
        <v>32.770097499999999</v>
      </c>
      <c r="M1148" s="15">
        <f t="shared" si="252"/>
        <v>8.625</v>
      </c>
      <c r="N1148" s="15">
        <f t="shared" si="253"/>
        <v>5</v>
      </c>
      <c r="O1148" s="15">
        <f t="shared" si="254"/>
        <v>19.145097499999999</v>
      </c>
      <c r="P1148" s="15">
        <f t="shared" si="255"/>
        <v>0</v>
      </c>
      <c r="Q1148" s="14" t="str">
        <f>IF(M1148&gt;=I1148*'Hoja 4 - Cálculo'!$B$16,"Satisfactorio","Falla")</f>
        <v>Satisfactorio</v>
      </c>
      <c r="R1148" s="14">
        <f t="shared" si="258"/>
        <v>0</v>
      </c>
      <c r="S1148" s="14">
        <f t="shared" si="259"/>
        <v>0</v>
      </c>
    </row>
    <row r="1149" spans="1:19">
      <c r="A1149" s="14" t="str">
        <f t="shared" si="260"/>
        <v>SRY-4-1</v>
      </c>
      <c r="B1149" s="15">
        <f>'Curvas SRY'!$B$11</f>
        <v>5</v>
      </c>
      <c r="C1149" s="15">
        <f>'Curvas SRY'!$E$8</f>
        <v>0.75</v>
      </c>
      <c r="D1149" s="14" t="str">
        <f>'Curvas SRY'!$B$14</f>
        <v>Uso variable</v>
      </c>
      <c r="E1149" s="14">
        <f>66</f>
        <v>66</v>
      </c>
      <c r="F1149" s="21">
        <f>'Hoja 4 - Cálculo'!A90</f>
        <v>31564</v>
      </c>
      <c r="G1149" s="15">
        <f>'Hoja 4 - Cálculo'!H90</f>
        <v>16.007625000000001</v>
      </c>
      <c r="H1149" s="15">
        <f>IF(D1149="Uso único",'Hoja 4 - Cálculo'!I90,IF(D1149="Uso múltiple",AVERAGE('Hoja 4 - Cálculo'!$I$25:$I$384)+AVERAGE('Hoja 4 - Cálculo'!$J$25:$J$384)+AVERAGE('Hoja 4 - Cálculo'!$K$25:$K$384),IF(D1149="Uso prioritario",'Hoja 4 - Cálculo'!I90+'Hoja 4 - Cálculo'!K90,'Hoja 4 - Cálculo'!I90+'Hoja 4 - Cálculo'!J90+'Hoja 4 - Cálculo'!K90)))</f>
        <v>11.5</v>
      </c>
      <c r="I1149" s="15">
        <f t="shared" si="250"/>
        <v>8.625</v>
      </c>
      <c r="J1149" s="15">
        <f t="shared" ref="J1149:J1180" si="261">N1148</f>
        <v>5</v>
      </c>
      <c r="K1149" s="15">
        <f>MIN(J1149+G1149,(J1149+G1149)*'Hoja 4 - Cálculo'!$B$15)</f>
        <v>0.42015250000000004</v>
      </c>
      <c r="L1149" s="15">
        <f t="shared" si="251"/>
        <v>20.587472500000001</v>
      </c>
      <c r="M1149" s="15">
        <f t="shared" si="252"/>
        <v>8.625</v>
      </c>
      <c r="N1149" s="15">
        <f t="shared" si="253"/>
        <v>5</v>
      </c>
      <c r="O1149" s="15">
        <f t="shared" si="254"/>
        <v>6.9624725000000005</v>
      </c>
      <c r="P1149" s="15">
        <f t="shared" si="255"/>
        <v>0</v>
      </c>
      <c r="Q1149" s="14" t="str">
        <f>IF(M1149&gt;=I1149*'Hoja 4 - Cálculo'!$B$16,"Satisfactorio","Falla")</f>
        <v>Satisfactorio</v>
      </c>
      <c r="R1149" s="14">
        <f t="shared" ref="R1149:R1180" si="262">IF(AND(Q1148="Falla",Q1149="Satisfactorio"),1,0)</f>
        <v>0</v>
      </c>
      <c r="S1149" s="14">
        <f t="shared" ref="S1149:S1180" si="263">IF(AND(Q1149="Falla",Q1148&lt;&gt;"Falla"),1,0)</f>
        <v>0</v>
      </c>
    </row>
    <row r="1150" spans="1:19">
      <c r="A1150" s="14" t="str">
        <f t="shared" si="260"/>
        <v>SRY-4-1</v>
      </c>
      <c r="B1150" s="15">
        <f>'Curvas SRY'!$B$11</f>
        <v>5</v>
      </c>
      <c r="C1150" s="15">
        <f>'Curvas SRY'!$E$8</f>
        <v>0.75</v>
      </c>
      <c r="D1150" s="14" t="str">
        <f>'Curvas SRY'!$B$14</f>
        <v>Uso variable</v>
      </c>
      <c r="E1150" s="14">
        <f>67</f>
        <v>67</v>
      </c>
      <c r="F1150" s="21">
        <f>'Hoja 4 - Cálculo'!A91</f>
        <v>31594</v>
      </c>
      <c r="G1150" s="15">
        <f>'Hoja 4 - Cálculo'!H91</f>
        <v>14.056875</v>
      </c>
      <c r="H1150" s="15">
        <f>IF(D1150="Uso único",'Hoja 4 - Cálculo'!I91,IF(D1150="Uso múltiple",AVERAGE('Hoja 4 - Cálculo'!$I$25:$I$384)+AVERAGE('Hoja 4 - Cálculo'!$J$25:$J$384)+AVERAGE('Hoja 4 - Cálculo'!$K$25:$K$384),IF(D1150="Uso prioritario",'Hoja 4 - Cálculo'!I91+'Hoja 4 - Cálculo'!K91,'Hoja 4 - Cálculo'!I91+'Hoja 4 - Cálculo'!J91+'Hoja 4 - Cálculo'!K91)))</f>
        <v>16</v>
      </c>
      <c r="I1150" s="15">
        <f t="shared" si="250"/>
        <v>12</v>
      </c>
      <c r="J1150" s="15">
        <f t="shared" si="261"/>
        <v>5</v>
      </c>
      <c r="K1150" s="15">
        <f>MIN(J1150+G1150,(J1150+G1150)*'Hoja 4 - Cálculo'!$B$15)</f>
        <v>0.38113749999999996</v>
      </c>
      <c r="L1150" s="15">
        <f t="shared" si="251"/>
        <v>18.675737499999997</v>
      </c>
      <c r="M1150" s="15">
        <f t="shared" si="252"/>
        <v>12</v>
      </c>
      <c r="N1150" s="15">
        <f t="shared" si="253"/>
        <v>5</v>
      </c>
      <c r="O1150" s="15">
        <f t="shared" si="254"/>
        <v>1.6757374999999968</v>
      </c>
      <c r="P1150" s="15">
        <f t="shared" si="255"/>
        <v>0</v>
      </c>
      <c r="Q1150" s="14" t="str">
        <f>IF(M1150&gt;=I1150*'Hoja 4 - Cálculo'!$B$16,"Satisfactorio","Falla")</f>
        <v>Satisfactorio</v>
      </c>
      <c r="R1150" s="14">
        <f t="shared" si="262"/>
        <v>0</v>
      </c>
      <c r="S1150" s="14">
        <f t="shared" si="263"/>
        <v>0</v>
      </c>
    </row>
    <row r="1151" spans="1:19">
      <c r="A1151" s="14" t="str">
        <f t="shared" si="260"/>
        <v>SRY-4-1</v>
      </c>
      <c r="B1151" s="15">
        <f>'Curvas SRY'!$B$11</f>
        <v>5</v>
      </c>
      <c r="C1151" s="15">
        <f>'Curvas SRY'!$E$8</f>
        <v>0.75</v>
      </c>
      <c r="D1151" s="14" t="str">
        <f>'Curvas SRY'!$B$14</f>
        <v>Uso variable</v>
      </c>
      <c r="E1151" s="14">
        <f>68</f>
        <v>68</v>
      </c>
      <c r="F1151" s="21">
        <f>'Hoja 4 - Cálculo'!A92</f>
        <v>31625</v>
      </c>
      <c r="G1151" s="15">
        <f>'Hoja 4 - Cálculo'!H92</f>
        <v>15.032249999999999</v>
      </c>
      <c r="H1151" s="15">
        <f>IF(D1151="Uso único",'Hoja 4 - Cálculo'!I92,IF(D1151="Uso múltiple",AVERAGE('Hoja 4 - Cálculo'!$I$25:$I$384)+AVERAGE('Hoja 4 - Cálculo'!$J$25:$J$384)+AVERAGE('Hoja 4 - Cálculo'!$K$25:$K$384),IF(D1151="Uso prioritario",'Hoja 4 - Cálculo'!I92+'Hoja 4 - Cálculo'!K92,'Hoja 4 - Cálculo'!I92+'Hoja 4 - Cálculo'!J92+'Hoja 4 - Cálculo'!K92)))</f>
        <v>16</v>
      </c>
      <c r="I1151" s="15">
        <f t="shared" si="250"/>
        <v>12</v>
      </c>
      <c r="J1151" s="15">
        <f t="shared" si="261"/>
        <v>5</v>
      </c>
      <c r="K1151" s="15">
        <f>MIN(J1151+G1151,(J1151+G1151)*'Hoja 4 - Cálculo'!$B$15)</f>
        <v>0.40064499999999997</v>
      </c>
      <c r="L1151" s="15">
        <f t="shared" si="251"/>
        <v>19.631604999999997</v>
      </c>
      <c r="M1151" s="15">
        <f t="shared" si="252"/>
        <v>12</v>
      </c>
      <c r="N1151" s="15">
        <f t="shared" si="253"/>
        <v>5</v>
      </c>
      <c r="O1151" s="15">
        <f t="shared" si="254"/>
        <v>2.6316049999999969</v>
      </c>
      <c r="P1151" s="15">
        <f t="shared" si="255"/>
        <v>0</v>
      </c>
      <c r="Q1151" s="14" t="str">
        <f>IF(M1151&gt;=I1151*'Hoja 4 - Cálculo'!$B$16,"Satisfactorio","Falla")</f>
        <v>Satisfactorio</v>
      </c>
      <c r="R1151" s="14">
        <f t="shared" si="262"/>
        <v>0</v>
      </c>
      <c r="S1151" s="14">
        <f t="shared" si="263"/>
        <v>0</v>
      </c>
    </row>
    <row r="1152" spans="1:19">
      <c r="A1152" s="14" t="str">
        <f t="shared" si="260"/>
        <v>SRY-4-1</v>
      </c>
      <c r="B1152" s="15">
        <f>'Curvas SRY'!$B$11</f>
        <v>5</v>
      </c>
      <c r="C1152" s="15">
        <f>'Curvas SRY'!$E$8</f>
        <v>0.75</v>
      </c>
      <c r="D1152" s="14" t="str">
        <f>'Curvas SRY'!$B$14</f>
        <v>Uso variable</v>
      </c>
      <c r="E1152" s="14">
        <f>69</f>
        <v>69</v>
      </c>
      <c r="F1152" s="21">
        <f>'Hoja 4 - Cálculo'!A93</f>
        <v>31656</v>
      </c>
      <c r="G1152" s="15">
        <f>'Hoja 4 - Cálculo'!H93</f>
        <v>22.60575</v>
      </c>
      <c r="H1152" s="15">
        <f>IF(D1152="Uso único",'Hoja 4 - Cálculo'!I93,IF(D1152="Uso múltiple",AVERAGE('Hoja 4 - Cálculo'!$I$25:$I$384)+AVERAGE('Hoja 4 - Cálculo'!$J$25:$J$384)+AVERAGE('Hoja 4 - Cálculo'!$K$25:$K$384),IF(D1152="Uso prioritario",'Hoja 4 - Cálculo'!I93+'Hoja 4 - Cálculo'!K93,'Hoja 4 - Cálculo'!I93+'Hoja 4 - Cálculo'!J93+'Hoja 4 - Cálculo'!K93)))</f>
        <v>11.5</v>
      </c>
      <c r="I1152" s="15">
        <f t="shared" si="250"/>
        <v>8.625</v>
      </c>
      <c r="J1152" s="15">
        <f t="shared" si="261"/>
        <v>5</v>
      </c>
      <c r="K1152" s="15">
        <f>MIN(J1152+G1152,(J1152+G1152)*'Hoja 4 - Cálculo'!$B$15)</f>
        <v>0.55211500000000002</v>
      </c>
      <c r="L1152" s="15">
        <f t="shared" si="251"/>
        <v>27.053635</v>
      </c>
      <c r="M1152" s="15">
        <f t="shared" si="252"/>
        <v>8.625</v>
      </c>
      <c r="N1152" s="15">
        <f t="shared" si="253"/>
        <v>5</v>
      </c>
      <c r="O1152" s="15">
        <f t="shared" si="254"/>
        <v>13.428635</v>
      </c>
      <c r="P1152" s="15">
        <f t="shared" si="255"/>
        <v>0</v>
      </c>
      <c r="Q1152" s="14" t="str">
        <f>IF(M1152&gt;=I1152*'Hoja 4 - Cálculo'!$B$16,"Satisfactorio","Falla")</f>
        <v>Satisfactorio</v>
      </c>
      <c r="R1152" s="14">
        <f t="shared" si="262"/>
        <v>0</v>
      </c>
      <c r="S1152" s="14">
        <f t="shared" si="263"/>
        <v>0</v>
      </c>
    </row>
    <row r="1153" spans="1:19">
      <c r="A1153" s="14" t="str">
        <f t="shared" si="260"/>
        <v>SRY-4-1</v>
      </c>
      <c r="B1153" s="15">
        <f>'Curvas SRY'!$B$11</f>
        <v>5</v>
      </c>
      <c r="C1153" s="15">
        <f>'Curvas SRY'!$E$8</f>
        <v>0.75</v>
      </c>
      <c r="D1153" s="14" t="str">
        <f>'Curvas SRY'!$B$14</f>
        <v>Uso variable</v>
      </c>
      <c r="E1153" s="14">
        <f>70</f>
        <v>70</v>
      </c>
      <c r="F1153" s="21">
        <f>'Hoja 4 - Cálculo'!A94</f>
        <v>31686</v>
      </c>
      <c r="G1153" s="15">
        <f>'Hoja 4 - Cálculo'!H94</f>
        <v>32.531624999999998</v>
      </c>
      <c r="H1153" s="15">
        <f>IF(D1153="Uso único",'Hoja 4 - Cálculo'!I94,IF(D1153="Uso múltiple",AVERAGE('Hoja 4 - Cálculo'!$I$25:$I$384)+AVERAGE('Hoja 4 - Cálculo'!$J$25:$J$384)+AVERAGE('Hoja 4 - Cálculo'!$K$25:$K$384),IF(D1153="Uso prioritario",'Hoja 4 - Cálculo'!I94+'Hoja 4 - Cálculo'!K94,'Hoja 4 - Cálculo'!I94+'Hoja 4 - Cálculo'!J94+'Hoja 4 - Cálculo'!K94)))</f>
        <v>11.5</v>
      </c>
      <c r="I1153" s="15">
        <f t="shared" si="250"/>
        <v>8.625</v>
      </c>
      <c r="J1153" s="15">
        <f t="shared" si="261"/>
        <v>5</v>
      </c>
      <c r="K1153" s="15">
        <f>MIN(J1153+G1153,(J1153+G1153)*'Hoja 4 - Cálculo'!$B$15)</f>
        <v>0.75063250000000004</v>
      </c>
      <c r="L1153" s="15">
        <f t="shared" si="251"/>
        <v>36.780992499999996</v>
      </c>
      <c r="M1153" s="15">
        <f t="shared" si="252"/>
        <v>8.625</v>
      </c>
      <c r="N1153" s="15">
        <f t="shared" si="253"/>
        <v>5</v>
      </c>
      <c r="O1153" s="15">
        <f t="shared" si="254"/>
        <v>23.155992499999996</v>
      </c>
      <c r="P1153" s="15">
        <f t="shared" si="255"/>
        <v>0</v>
      </c>
      <c r="Q1153" s="14" t="str">
        <f>IF(M1153&gt;=I1153*'Hoja 4 - Cálculo'!$B$16,"Satisfactorio","Falla")</f>
        <v>Satisfactorio</v>
      </c>
      <c r="R1153" s="14">
        <f t="shared" si="262"/>
        <v>0</v>
      </c>
      <c r="S1153" s="14">
        <f t="shared" si="263"/>
        <v>0</v>
      </c>
    </row>
    <row r="1154" spans="1:19">
      <c r="A1154" s="14" t="str">
        <f t="shared" si="260"/>
        <v>SRY-4-1</v>
      </c>
      <c r="B1154" s="15">
        <f>'Curvas SRY'!$B$11</f>
        <v>5</v>
      </c>
      <c r="C1154" s="15">
        <f>'Curvas SRY'!$E$8</f>
        <v>0.75</v>
      </c>
      <c r="D1154" s="14" t="str">
        <f>'Curvas SRY'!$B$14</f>
        <v>Uso variable</v>
      </c>
      <c r="E1154" s="14">
        <f>71</f>
        <v>71</v>
      </c>
      <c r="F1154" s="21">
        <f>'Hoja 4 - Cálculo'!A95</f>
        <v>31717</v>
      </c>
      <c r="G1154" s="15">
        <f>'Hoja 4 - Cálculo'!H95</f>
        <v>26.641124999999999</v>
      </c>
      <c r="H1154" s="15">
        <f>IF(D1154="Uso único",'Hoja 4 - Cálculo'!I95,IF(D1154="Uso múltiple",AVERAGE('Hoja 4 - Cálculo'!$I$25:$I$384)+AVERAGE('Hoja 4 - Cálculo'!$J$25:$J$384)+AVERAGE('Hoja 4 - Cálculo'!$K$25:$K$384),IF(D1154="Uso prioritario",'Hoja 4 - Cálculo'!I95+'Hoja 4 - Cálculo'!K95,'Hoja 4 - Cálculo'!I95+'Hoja 4 - Cálculo'!J95+'Hoja 4 - Cálculo'!K95)))</f>
        <v>11.5</v>
      </c>
      <c r="I1154" s="15">
        <f t="shared" si="250"/>
        <v>8.625</v>
      </c>
      <c r="J1154" s="15">
        <f t="shared" si="261"/>
        <v>5</v>
      </c>
      <c r="K1154" s="15">
        <f>MIN(J1154+G1154,(J1154+G1154)*'Hoja 4 - Cálculo'!$B$15)</f>
        <v>0.63282249999999995</v>
      </c>
      <c r="L1154" s="15">
        <f t="shared" si="251"/>
        <v>31.008302499999999</v>
      </c>
      <c r="M1154" s="15">
        <f t="shared" si="252"/>
        <v>8.625</v>
      </c>
      <c r="N1154" s="15">
        <f t="shared" si="253"/>
        <v>5</v>
      </c>
      <c r="O1154" s="15">
        <f t="shared" si="254"/>
        <v>17.383302499999999</v>
      </c>
      <c r="P1154" s="15">
        <f t="shared" si="255"/>
        <v>0</v>
      </c>
      <c r="Q1154" s="14" t="str">
        <f>IF(M1154&gt;=I1154*'Hoja 4 - Cálculo'!$B$16,"Satisfactorio","Falla")</f>
        <v>Satisfactorio</v>
      </c>
      <c r="R1154" s="14">
        <f t="shared" si="262"/>
        <v>0</v>
      </c>
      <c r="S1154" s="14">
        <f t="shared" si="263"/>
        <v>0</v>
      </c>
    </row>
    <row r="1155" spans="1:19">
      <c r="A1155" s="14" t="str">
        <f t="shared" si="260"/>
        <v>SRY-4-1</v>
      </c>
      <c r="B1155" s="15">
        <f>'Curvas SRY'!$B$11</f>
        <v>5</v>
      </c>
      <c r="C1155" s="15">
        <f>'Curvas SRY'!$E$8</f>
        <v>0.75</v>
      </c>
      <c r="D1155" s="14" t="str">
        <f>'Curvas SRY'!$B$14</f>
        <v>Uso variable</v>
      </c>
      <c r="E1155" s="14">
        <f>72</f>
        <v>72</v>
      </c>
      <c r="F1155" s="21">
        <f>'Hoja 4 - Cálculo'!A96</f>
        <v>31747</v>
      </c>
      <c r="G1155" s="15">
        <f>'Hoja 4 - Cálculo'!H96</f>
        <v>15.166124999999999</v>
      </c>
      <c r="H1155" s="15">
        <f>IF(D1155="Uso único",'Hoja 4 - Cálculo'!I96,IF(D1155="Uso múltiple",AVERAGE('Hoja 4 - Cálculo'!$I$25:$I$384)+AVERAGE('Hoja 4 - Cálculo'!$J$25:$J$384)+AVERAGE('Hoja 4 - Cálculo'!$K$25:$K$384),IF(D1155="Uso prioritario",'Hoja 4 - Cálculo'!I96+'Hoja 4 - Cálculo'!K96,'Hoja 4 - Cálculo'!I96+'Hoja 4 - Cálculo'!J96+'Hoja 4 - Cálculo'!K96)))</f>
        <v>16</v>
      </c>
      <c r="I1155" s="15">
        <f t="shared" si="250"/>
        <v>12</v>
      </c>
      <c r="J1155" s="15">
        <f t="shared" si="261"/>
        <v>5</v>
      </c>
      <c r="K1155" s="15">
        <f>MIN(J1155+G1155,(J1155+G1155)*'Hoja 4 - Cálculo'!$B$15)</f>
        <v>0.40332250000000003</v>
      </c>
      <c r="L1155" s="15">
        <f t="shared" si="251"/>
        <v>19.762802499999999</v>
      </c>
      <c r="M1155" s="15">
        <f t="shared" si="252"/>
        <v>12</v>
      </c>
      <c r="N1155" s="15">
        <f t="shared" si="253"/>
        <v>5</v>
      </c>
      <c r="O1155" s="15">
        <f t="shared" si="254"/>
        <v>2.7628024999999994</v>
      </c>
      <c r="P1155" s="15">
        <f t="shared" si="255"/>
        <v>0</v>
      </c>
      <c r="Q1155" s="14" t="str">
        <f>IF(M1155&gt;=I1155*'Hoja 4 - Cálculo'!$B$16,"Satisfactorio","Falla")</f>
        <v>Satisfactorio</v>
      </c>
      <c r="R1155" s="14">
        <f t="shared" si="262"/>
        <v>0</v>
      </c>
      <c r="S1155" s="14">
        <f t="shared" si="263"/>
        <v>0</v>
      </c>
    </row>
    <row r="1156" spans="1:19">
      <c r="A1156" s="14" t="str">
        <f t="shared" si="260"/>
        <v>SRY-4-1</v>
      </c>
      <c r="B1156" s="15">
        <f>'Curvas SRY'!$B$11</f>
        <v>5</v>
      </c>
      <c r="C1156" s="15">
        <f>'Curvas SRY'!$E$8</f>
        <v>0.75</v>
      </c>
      <c r="D1156" s="14" t="str">
        <f>'Curvas SRY'!$B$14</f>
        <v>Uso variable</v>
      </c>
      <c r="E1156" s="14">
        <f>73</f>
        <v>73</v>
      </c>
      <c r="F1156" s="21">
        <f>'Hoja 4 - Cálculo'!A97</f>
        <v>31778</v>
      </c>
      <c r="G1156" s="15">
        <f>'Hoja 4 - Cálculo'!H97</f>
        <v>14.056875</v>
      </c>
      <c r="H1156" s="15">
        <f>IF(D1156="Uso único",'Hoja 4 - Cálculo'!I97,IF(D1156="Uso múltiple",AVERAGE('Hoja 4 - Cálculo'!$I$25:$I$384)+AVERAGE('Hoja 4 - Cálculo'!$J$25:$J$384)+AVERAGE('Hoja 4 - Cálculo'!$K$25:$K$384),IF(D1156="Uso prioritario",'Hoja 4 - Cálculo'!I97+'Hoja 4 - Cálculo'!K97,'Hoja 4 - Cálculo'!I97+'Hoja 4 - Cálculo'!J97+'Hoja 4 - Cálculo'!K97)))</f>
        <v>16</v>
      </c>
      <c r="I1156" s="15">
        <f t="shared" ref="I1156:I1219" si="264">H1156*C1156</f>
        <v>12</v>
      </c>
      <c r="J1156" s="15">
        <f t="shared" si="261"/>
        <v>5</v>
      </c>
      <c r="K1156" s="15">
        <f>MIN(J1156+G1156,(J1156+G1156)*'Hoja 4 - Cálculo'!$B$15)</f>
        <v>0.38113749999999996</v>
      </c>
      <c r="L1156" s="15">
        <f t="shared" ref="L1156:L1219" si="265">MAX(0,J1156+G1156-K1156)</f>
        <v>18.675737499999997</v>
      </c>
      <c r="M1156" s="15">
        <f t="shared" ref="M1156:M1219" si="266">MIN(I1156,L1156)</f>
        <v>12</v>
      </c>
      <c r="N1156" s="15">
        <f t="shared" ref="N1156:N1219" si="267">MIN(B1156,MAX(0,L1156-M1156))</f>
        <v>5</v>
      </c>
      <c r="O1156" s="15">
        <f t="shared" ref="O1156:O1219" si="268">MAX(0,L1156-M1156-B1156)</f>
        <v>1.6757374999999968</v>
      </c>
      <c r="P1156" s="15">
        <f t="shared" ref="P1156:P1219" si="269">MAX(0,I1156-M1156)</f>
        <v>0</v>
      </c>
      <c r="Q1156" s="14" t="str">
        <f>IF(M1156&gt;=I1156*'Hoja 4 - Cálculo'!$B$16,"Satisfactorio","Falla")</f>
        <v>Satisfactorio</v>
      </c>
      <c r="R1156" s="14">
        <f t="shared" si="262"/>
        <v>0</v>
      </c>
      <c r="S1156" s="14">
        <f t="shared" si="263"/>
        <v>0</v>
      </c>
    </row>
    <row r="1157" spans="1:19">
      <c r="A1157" s="14" t="str">
        <f t="shared" si="260"/>
        <v>SRY-4-1</v>
      </c>
      <c r="B1157" s="15">
        <f>'Curvas SRY'!$B$11</f>
        <v>5</v>
      </c>
      <c r="C1157" s="15">
        <f>'Curvas SRY'!$E$8</f>
        <v>0.75</v>
      </c>
      <c r="D1157" s="14" t="str">
        <f>'Curvas SRY'!$B$14</f>
        <v>Uso variable</v>
      </c>
      <c r="E1157" s="14">
        <f>74</f>
        <v>74</v>
      </c>
      <c r="F1157" s="21">
        <f>'Hoja 4 - Cálculo'!A98</f>
        <v>31809</v>
      </c>
      <c r="G1157" s="15">
        <f>'Hoja 4 - Cálculo'!H98</f>
        <v>15.969374999999999</v>
      </c>
      <c r="H1157" s="15">
        <f>IF(D1157="Uso único",'Hoja 4 - Cálculo'!I98,IF(D1157="Uso múltiple",AVERAGE('Hoja 4 - Cálculo'!$I$25:$I$384)+AVERAGE('Hoja 4 - Cálculo'!$J$25:$J$384)+AVERAGE('Hoja 4 - Cálculo'!$K$25:$K$384),IF(D1157="Uso prioritario",'Hoja 4 - Cálculo'!I98+'Hoja 4 - Cálculo'!K98,'Hoja 4 - Cálculo'!I98+'Hoja 4 - Cálculo'!J98+'Hoja 4 - Cálculo'!K98)))</f>
        <v>16</v>
      </c>
      <c r="I1157" s="15">
        <f t="shared" si="264"/>
        <v>12</v>
      </c>
      <c r="J1157" s="15">
        <f t="shared" si="261"/>
        <v>5</v>
      </c>
      <c r="K1157" s="15">
        <f>MIN(J1157+G1157,(J1157+G1157)*'Hoja 4 - Cálculo'!$B$15)</f>
        <v>0.41938750000000002</v>
      </c>
      <c r="L1157" s="15">
        <f t="shared" si="265"/>
        <v>20.5499875</v>
      </c>
      <c r="M1157" s="15">
        <f t="shared" si="266"/>
        <v>12</v>
      </c>
      <c r="N1157" s="15">
        <f t="shared" si="267"/>
        <v>5</v>
      </c>
      <c r="O1157" s="15">
        <f t="shared" si="268"/>
        <v>3.5499875000000003</v>
      </c>
      <c r="P1157" s="15">
        <f t="shared" si="269"/>
        <v>0</v>
      </c>
      <c r="Q1157" s="14" t="str">
        <f>IF(M1157&gt;=I1157*'Hoja 4 - Cálculo'!$B$16,"Satisfactorio","Falla")</f>
        <v>Satisfactorio</v>
      </c>
      <c r="R1157" s="14">
        <f t="shared" si="262"/>
        <v>0</v>
      </c>
      <c r="S1157" s="14">
        <f t="shared" si="263"/>
        <v>0</v>
      </c>
    </row>
    <row r="1158" spans="1:19">
      <c r="A1158" s="14" t="str">
        <f t="shared" si="260"/>
        <v>SRY-4-1</v>
      </c>
      <c r="B1158" s="15">
        <f>'Curvas SRY'!$B$11</f>
        <v>5</v>
      </c>
      <c r="C1158" s="15">
        <f>'Curvas SRY'!$E$8</f>
        <v>0.75</v>
      </c>
      <c r="D1158" s="14" t="str">
        <f>'Curvas SRY'!$B$14</f>
        <v>Uso variable</v>
      </c>
      <c r="E1158" s="14">
        <f>75</f>
        <v>75</v>
      </c>
      <c r="F1158" s="21">
        <f>'Hoja 4 - Cálculo'!A99</f>
        <v>31837</v>
      </c>
      <c r="G1158" s="15">
        <f>'Hoja 4 - Cálculo'!H99</f>
        <v>22.797000000000001</v>
      </c>
      <c r="H1158" s="15">
        <f>IF(D1158="Uso único",'Hoja 4 - Cálculo'!I99,IF(D1158="Uso múltiple",AVERAGE('Hoja 4 - Cálculo'!$I$25:$I$384)+AVERAGE('Hoja 4 - Cálculo'!$J$25:$J$384)+AVERAGE('Hoja 4 - Cálculo'!$K$25:$K$384),IF(D1158="Uso prioritario",'Hoja 4 - Cálculo'!I99+'Hoja 4 - Cálculo'!K99,'Hoja 4 - Cálculo'!I99+'Hoja 4 - Cálculo'!J99+'Hoja 4 - Cálculo'!K99)))</f>
        <v>16</v>
      </c>
      <c r="I1158" s="15">
        <f t="shared" si="264"/>
        <v>12</v>
      </c>
      <c r="J1158" s="15">
        <f t="shared" si="261"/>
        <v>5</v>
      </c>
      <c r="K1158" s="15">
        <f>MIN(J1158+G1158,(J1158+G1158)*'Hoja 4 - Cálculo'!$B$15)</f>
        <v>0.55593999999999999</v>
      </c>
      <c r="L1158" s="15">
        <f t="shared" si="265"/>
        <v>27.241060000000001</v>
      </c>
      <c r="M1158" s="15">
        <f t="shared" si="266"/>
        <v>12</v>
      </c>
      <c r="N1158" s="15">
        <f t="shared" si="267"/>
        <v>5</v>
      </c>
      <c r="O1158" s="15">
        <f t="shared" si="268"/>
        <v>10.241060000000001</v>
      </c>
      <c r="P1158" s="15">
        <f t="shared" si="269"/>
        <v>0</v>
      </c>
      <c r="Q1158" s="14" t="str">
        <f>IF(M1158&gt;=I1158*'Hoja 4 - Cálculo'!$B$16,"Satisfactorio","Falla")</f>
        <v>Satisfactorio</v>
      </c>
      <c r="R1158" s="14">
        <f t="shared" si="262"/>
        <v>0</v>
      </c>
      <c r="S1158" s="14">
        <f t="shared" si="263"/>
        <v>0</v>
      </c>
    </row>
    <row r="1159" spans="1:19">
      <c r="A1159" s="14" t="str">
        <f t="shared" si="260"/>
        <v>SRY-4-1</v>
      </c>
      <c r="B1159" s="15">
        <f>'Curvas SRY'!$B$11</f>
        <v>5</v>
      </c>
      <c r="C1159" s="15">
        <f>'Curvas SRY'!$E$8</f>
        <v>0.75</v>
      </c>
      <c r="D1159" s="14" t="str">
        <f>'Curvas SRY'!$B$14</f>
        <v>Uso variable</v>
      </c>
      <c r="E1159" s="14">
        <f>76</f>
        <v>76</v>
      </c>
      <c r="F1159" s="21">
        <f>'Hoja 4 - Cálculo'!A100</f>
        <v>31868</v>
      </c>
      <c r="G1159" s="15">
        <f>'Hoja 4 - Cálculo'!H100</f>
        <v>34.138125000000002</v>
      </c>
      <c r="H1159" s="15">
        <f>IF(D1159="Uso único",'Hoja 4 - Cálculo'!I100,IF(D1159="Uso múltiple",AVERAGE('Hoja 4 - Cálculo'!$I$25:$I$384)+AVERAGE('Hoja 4 - Cálculo'!$J$25:$J$384)+AVERAGE('Hoja 4 - Cálculo'!$K$25:$K$384),IF(D1159="Uso prioritario",'Hoja 4 - Cálculo'!I100+'Hoja 4 - Cálculo'!K100,'Hoja 4 - Cálculo'!I100+'Hoja 4 - Cálculo'!J100+'Hoja 4 - Cálculo'!K100)))</f>
        <v>11.5</v>
      </c>
      <c r="I1159" s="15">
        <f t="shared" si="264"/>
        <v>8.625</v>
      </c>
      <c r="J1159" s="15">
        <f t="shared" si="261"/>
        <v>5</v>
      </c>
      <c r="K1159" s="15">
        <f>MIN(J1159+G1159,(J1159+G1159)*'Hoja 4 - Cálculo'!$B$15)</f>
        <v>0.78276250000000003</v>
      </c>
      <c r="L1159" s="15">
        <f t="shared" si="265"/>
        <v>38.355362500000005</v>
      </c>
      <c r="M1159" s="15">
        <f t="shared" si="266"/>
        <v>8.625</v>
      </c>
      <c r="N1159" s="15">
        <f t="shared" si="267"/>
        <v>5</v>
      </c>
      <c r="O1159" s="15">
        <f t="shared" si="268"/>
        <v>24.730362500000005</v>
      </c>
      <c r="P1159" s="15">
        <f t="shared" si="269"/>
        <v>0</v>
      </c>
      <c r="Q1159" s="14" t="str">
        <f>IF(M1159&gt;=I1159*'Hoja 4 - Cálculo'!$B$16,"Satisfactorio","Falla")</f>
        <v>Satisfactorio</v>
      </c>
      <c r="R1159" s="14">
        <f t="shared" si="262"/>
        <v>0</v>
      </c>
      <c r="S1159" s="14">
        <f t="shared" si="263"/>
        <v>0</v>
      </c>
    </row>
    <row r="1160" spans="1:19">
      <c r="A1160" s="14" t="str">
        <f t="shared" si="260"/>
        <v>SRY-4-1</v>
      </c>
      <c r="B1160" s="15">
        <f>'Curvas SRY'!$B$11</f>
        <v>5</v>
      </c>
      <c r="C1160" s="15">
        <f>'Curvas SRY'!$E$8</f>
        <v>0.75</v>
      </c>
      <c r="D1160" s="14" t="str">
        <f>'Curvas SRY'!$B$14</f>
        <v>Uso variable</v>
      </c>
      <c r="E1160" s="14">
        <f>77</f>
        <v>77</v>
      </c>
      <c r="F1160" s="21">
        <f>'Hoja 4 - Cálculo'!A101</f>
        <v>31898</v>
      </c>
      <c r="G1160" s="15">
        <f>'Hoja 4 - Cálculo'!H101</f>
        <v>28.534500000000001</v>
      </c>
      <c r="H1160" s="15">
        <f>IF(D1160="Uso único",'Hoja 4 - Cálculo'!I101,IF(D1160="Uso múltiple",AVERAGE('Hoja 4 - Cálculo'!$I$25:$I$384)+AVERAGE('Hoja 4 - Cálculo'!$J$25:$J$384)+AVERAGE('Hoja 4 - Cálculo'!$K$25:$K$384),IF(D1160="Uso prioritario",'Hoja 4 - Cálculo'!I101+'Hoja 4 - Cálculo'!K101,'Hoja 4 - Cálculo'!I101+'Hoja 4 - Cálculo'!J101+'Hoja 4 - Cálculo'!K101)))</f>
        <v>11.5</v>
      </c>
      <c r="I1160" s="15">
        <f t="shared" si="264"/>
        <v>8.625</v>
      </c>
      <c r="J1160" s="15">
        <f t="shared" si="261"/>
        <v>5</v>
      </c>
      <c r="K1160" s="15">
        <f>MIN(J1160+G1160,(J1160+G1160)*'Hoja 4 - Cálculo'!$B$15)</f>
        <v>0.67069000000000001</v>
      </c>
      <c r="L1160" s="15">
        <f t="shared" si="265"/>
        <v>32.863810000000001</v>
      </c>
      <c r="M1160" s="15">
        <f t="shared" si="266"/>
        <v>8.625</v>
      </c>
      <c r="N1160" s="15">
        <f t="shared" si="267"/>
        <v>5</v>
      </c>
      <c r="O1160" s="15">
        <f t="shared" si="268"/>
        <v>19.238810000000001</v>
      </c>
      <c r="P1160" s="15">
        <f t="shared" si="269"/>
        <v>0</v>
      </c>
      <c r="Q1160" s="14" t="str">
        <f>IF(M1160&gt;=I1160*'Hoja 4 - Cálculo'!$B$16,"Satisfactorio","Falla")</f>
        <v>Satisfactorio</v>
      </c>
      <c r="R1160" s="14">
        <f t="shared" si="262"/>
        <v>0</v>
      </c>
      <c r="S1160" s="14">
        <f t="shared" si="263"/>
        <v>0</v>
      </c>
    </row>
    <row r="1161" spans="1:19">
      <c r="A1161" s="14" t="str">
        <f t="shared" si="260"/>
        <v>SRY-4-1</v>
      </c>
      <c r="B1161" s="15">
        <f>'Curvas SRY'!$B$11</f>
        <v>5</v>
      </c>
      <c r="C1161" s="15">
        <f>'Curvas SRY'!$E$8</f>
        <v>0.75</v>
      </c>
      <c r="D1161" s="14" t="str">
        <f>'Curvas SRY'!$B$14</f>
        <v>Uso variable</v>
      </c>
      <c r="E1161" s="14">
        <f>78</f>
        <v>78</v>
      </c>
      <c r="F1161" s="21">
        <f>'Hoja 4 - Cálculo'!A102</f>
        <v>31929</v>
      </c>
      <c r="G1161" s="15">
        <f>'Hoja 4 - Cálculo'!H102</f>
        <v>18.589500000000001</v>
      </c>
      <c r="H1161" s="15">
        <f>IF(D1161="Uso único",'Hoja 4 - Cálculo'!I102,IF(D1161="Uso múltiple",AVERAGE('Hoja 4 - Cálculo'!$I$25:$I$384)+AVERAGE('Hoja 4 - Cálculo'!$J$25:$J$384)+AVERAGE('Hoja 4 - Cálculo'!$K$25:$K$384),IF(D1161="Uso prioritario",'Hoja 4 - Cálculo'!I102+'Hoja 4 - Cálculo'!K102,'Hoja 4 - Cálculo'!I102+'Hoja 4 - Cálculo'!J102+'Hoja 4 - Cálculo'!K102)))</f>
        <v>11.5</v>
      </c>
      <c r="I1161" s="15">
        <f t="shared" si="264"/>
        <v>8.625</v>
      </c>
      <c r="J1161" s="15">
        <f t="shared" si="261"/>
        <v>5</v>
      </c>
      <c r="K1161" s="15">
        <f>MIN(J1161+G1161,(J1161+G1161)*'Hoja 4 - Cálculo'!$B$15)</f>
        <v>0.47179000000000004</v>
      </c>
      <c r="L1161" s="15">
        <f t="shared" si="265"/>
        <v>23.117710000000002</v>
      </c>
      <c r="M1161" s="15">
        <f t="shared" si="266"/>
        <v>8.625</v>
      </c>
      <c r="N1161" s="15">
        <f t="shared" si="267"/>
        <v>5</v>
      </c>
      <c r="O1161" s="15">
        <f t="shared" si="268"/>
        <v>9.4927100000000024</v>
      </c>
      <c r="P1161" s="15">
        <f t="shared" si="269"/>
        <v>0</v>
      </c>
      <c r="Q1161" s="14" t="str">
        <f>IF(M1161&gt;=I1161*'Hoja 4 - Cálculo'!$B$16,"Satisfactorio","Falla")</f>
        <v>Satisfactorio</v>
      </c>
      <c r="R1161" s="14">
        <f t="shared" si="262"/>
        <v>0</v>
      </c>
      <c r="S1161" s="14">
        <f t="shared" si="263"/>
        <v>0</v>
      </c>
    </row>
    <row r="1162" spans="1:19">
      <c r="A1162" s="14" t="str">
        <f t="shared" si="260"/>
        <v>SRY-4-1</v>
      </c>
      <c r="B1162" s="15">
        <f>'Curvas SRY'!$B$11</f>
        <v>5</v>
      </c>
      <c r="C1162" s="15">
        <f>'Curvas SRY'!$E$8</f>
        <v>0.75</v>
      </c>
      <c r="D1162" s="14" t="str">
        <f>'Curvas SRY'!$B$14</f>
        <v>Uso variable</v>
      </c>
      <c r="E1162" s="14">
        <f>79</f>
        <v>79</v>
      </c>
      <c r="F1162" s="21">
        <f>'Hoja 4 - Cálculo'!A103</f>
        <v>31959</v>
      </c>
      <c r="G1162" s="15">
        <f>'Hoja 4 - Cálculo'!H103</f>
        <v>14.688000000000001</v>
      </c>
      <c r="H1162" s="15">
        <f>IF(D1162="Uso único",'Hoja 4 - Cálculo'!I103,IF(D1162="Uso múltiple",AVERAGE('Hoja 4 - Cálculo'!$I$25:$I$384)+AVERAGE('Hoja 4 - Cálculo'!$J$25:$J$384)+AVERAGE('Hoja 4 - Cálculo'!$K$25:$K$384),IF(D1162="Uso prioritario",'Hoja 4 - Cálculo'!I103+'Hoja 4 - Cálculo'!K103,'Hoja 4 - Cálculo'!I103+'Hoja 4 - Cálculo'!J103+'Hoja 4 - Cálculo'!K103)))</f>
        <v>16</v>
      </c>
      <c r="I1162" s="15">
        <f t="shared" si="264"/>
        <v>12</v>
      </c>
      <c r="J1162" s="15">
        <f t="shared" si="261"/>
        <v>5</v>
      </c>
      <c r="K1162" s="15">
        <f>MIN(J1162+G1162,(J1162+G1162)*'Hoja 4 - Cálculo'!$B$15)</f>
        <v>0.39376000000000005</v>
      </c>
      <c r="L1162" s="15">
        <f t="shared" si="265"/>
        <v>19.294240000000002</v>
      </c>
      <c r="M1162" s="15">
        <f t="shared" si="266"/>
        <v>12</v>
      </c>
      <c r="N1162" s="15">
        <f t="shared" si="267"/>
        <v>5</v>
      </c>
      <c r="O1162" s="15">
        <f t="shared" si="268"/>
        <v>2.2942400000000021</v>
      </c>
      <c r="P1162" s="15">
        <f t="shared" si="269"/>
        <v>0</v>
      </c>
      <c r="Q1162" s="14" t="str">
        <f>IF(M1162&gt;=I1162*'Hoja 4 - Cálculo'!$B$16,"Satisfactorio","Falla")</f>
        <v>Satisfactorio</v>
      </c>
      <c r="R1162" s="14">
        <f t="shared" si="262"/>
        <v>0</v>
      </c>
      <c r="S1162" s="14">
        <f t="shared" si="263"/>
        <v>0</v>
      </c>
    </row>
    <row r="1163" spans="1:19">
      <c r="A1163" s="14" t="str">
        <f t="shared" si="260"/>
        <v>SRY-4-1</v>
      </c>
      <c r="B1163" s="15">
        <f>'Curvas SRY'!$B$11</f>
        <v>5</v>
      </c>
      <c r="C1163" s="15">
        <f>'Curvas SRY'!$E$8</f>
        <v>0.75</v>
      </c>
      <c r="D1163" s="14" t="str">
        <f>'Curvas SRY'!$B$14</f>
        <v>Uso variable</v>
      </c>
      <c r="E1163" s="14">
        <f>80</f>
        <v>80</v>
      </c>
      <c r="F1163" s="21">
        <f>'Hoja 4 - Cálculo'!A104</f>
        <v>31990</v>
      </c>
      <c r="G1163" s="15">
        <f>'Hoja 4 - Cálculo'!H104</f>
        <v>15.759</v>
      </c>
      <c r="H1163" s="15">
        <f>IF(D1163="Uso único",'Hoja 4 - Cálculo'!I104,IF(D1163="Uso múltiple",AVERAGE('Hoja 4 - Cálculo'!$I$25:$I$384)+AVERAGE('Hoja 4 - Cálculo'!$J$25:$J$384)+AVERAGE('Hoja 4 - Cálculo'!$K$25:$K$384),IF(D1163="Uso prioritario",'Hoja 4 - Cálculo'!I104+'Hoja 4 - Cálculo'!K104,'Hoja 4 - Cálculo'!I104+'Hoja 4 - Cálculo'!J104+'Hoja 4 - Cálculo'!K104)))</f>
        <v>16</v>
      </c>
      <c r="I1163" s="15">
        <f t="shared" si="264"/>
        <v>12</v>
      </c>
      <c r="J1163" s="15">
        <f t="shared" si="261"/>
        <v>5</v>
      </c>
      <c r="K1163" s="15">
        <f>MIN(J1163+G1163,(J1163+G1163)*'Hoja 4 - Cálculo'!$B$15)</f>
        <v>0.41517999999999999</v>
      </c>
      <c r="L1163" s="15">
        <f t="shared" si="265"/>
        <v>20.343820000000001</v>
      </c>
      <c r="M1163" s="15">
        <f t="shared" si="266"/>
        <v>12</v>
      </c>
      <c r="N1163" s="15">
        <f t="shared" si="267"/>
        <v>5</v>
      </c>
      <c r="O1163" s="15">
        <f t="shared" si="268"/>
        <v>3.3438200000000009</v>
      </c>
      <c r="P1163" s="15">
        <f t="shared" si="269"/>
        <v>0</v>
      </c>
      <c r="Q1163" s="14" t="str">
        <f>IF(M1163&gt;=I1163*'Hoja 4 - Cálculo'!$B$16,"Satisfactorio","Falla")</f>
        <v>Satisfactorio</v>
      </c>
      <c r="R1163" s="14">
        <f t="shared" si="262"/>
        <v>0</v>
      </c>
      <c r="S1163" s="14">
        <f t="shared" si="263"/>
        <v>0</v>
      </c>
    </row>
    <row r="1164" spans="1:19">
      <c r="A1164" s="14" t="str">
        <f t="shared" si="260"/>
        <v>SRY-4-1</v>
      </c>
      <c r="B1164" s="15">
        <f>'Curvas SRY'!$B$11</f>
        <v>5</v>
      </c>
      <c r="C1164" s="15">
        <f>'Curvas SRY'!$E$8</f>
        <v>0.75</v>
      </c>
      <c r="D1164" s="14" t="str">
        <f>'Curvas SRY'!$B$14</f>
        <v>Uso variable</v>
      </c>
      <c r="E1164" s="14">
        <f>81</f>
        <v>81</v>
      </c>
      <c r="F1164" s="21">
        <f>'Hoja 4 - Cálculo'!A105</f>
        <v>32021</v>
      </c>
      <c r="G1164" s="15">
        <f>'Hoja 4 - Cálculo'!H105</f>
        <v>26.220375000000001</v>
      </c>
      <c r="H1164" s="15">
        <f>IF(D1164="Uso único",'Hoja 4 - Cálculo'!I105,IF(D1164="Uso múltiple",AVERAGE('Hoja 4 - Cálculo'!$I$25:$I$384)+AVERAGE('Hoja 4 - Cálculo'!$J$25:$J$384)+AVERAGE('Hoja 4 - Cálculo'!$K$25:$K$384),IF(D1164="Uso prioritario",'Hoja 4 - Cálculo'!I105+'Hoja 4 - Cálculo'!K105,'Hoja 4 - Cálculo'!I105+'Hoja 4 - Cálculo'!J105+'Hoja 4 - Cálculo'!K105)))</f>
        <v>11.5</v>
      </c>
      <c r="I1164" s="15">
        <f t="shared" si="264"/>
        <v>8.625</v>
      </c>
      <c r="J1164" s="15">
        <f t="shared" si="261"/>
        <v>5</v>
      </c>
      <c r="K1164" s="15">
        <f>MIN(J1164+G1164,(J1164+G1164)*'Hoja 4 - Cálculo'!$B$15)</f>
        <v>0.6244075</v>
      </c>
      <c r="L1164" s="15">
        <f t="shared" si="265"/>
        <v>30.5959675</v>
      </c>
      <c r="M1164" s="15">
        <f t="shared" si="266"/>
        <v>8.625</v>
      </c>
      <c r="N1164" s="15">
        <f t="shared" si="267"/>
        <v>5</v>
      </c>
      <c r="O1164" s="15">
        <f t="shared" si="268"/>
        <v>16.9709675</v>
      </c>
      <c r="P1164" s="15">
        <f t="shared" si="269"/>
        <v>0</v>
      </c>
      <c r="Q1164" s="14" t="str">
        <f>IF(M1164&gt;=I1164*'Hoja 4 - Cálculo'!$B$16,"Satisfactorio","Falla")</f>
        <v>Satisfactorio</v>
      </c>
      <c r="R1164" s="14">
        <f t="shared" si="262"/>
        <v>0</v>
      </c>
      <c r="S1164" s="14">
        <f t="shared" si="263"/>
        <v>0</v>
      </c>
    </row>
    <row r="1165" spans="1:19">
      <c r="A1165" s="14" t="str">
        <f t="shared" si="260"/>
        <v>SRY-4-1</v>
      </c>
      <c r="B1165" s="15">
        <f>'Curvas SRY'!$B$11</f>
        <v>5</v>
      </c>
      <c r="C1165" s="15">
        <f>'Curvas SRY'!$E$8</f>
        <v>0.75</v>
      </c>
      <c r="D1165" s="14" t="str">
        <f>'Curvas SRY'!$B$14</f>
        <v>Uso variable</v>
      </c>
      <c r="E1165" s="14">
        <f>82</f>
        <v>82</v>
      </c>
      <c r="F1165" s="21">
        <f>'Hoja 4 - Cálculo'!A106</f>
        <v>32051</v>
      </c>
      <c r="G1165" s="15">
        <f>'Hoja 4 - Cálculo'!H106</f>
        <v>32.627249999999997</v>
      </c>
      <c r="H1165" s="15">
        <f>IF(D1165="Uso único",'Hoja 4 - Cálculo'!I106,IF(D1165="Uso múltiple",AVERAGE('Hoja 4 - Cálculo'!$I$25:$I$384)+AVERAGE('Hoja 4 - Cálculo'!$J$25:$J$384)+AVERAGE('Hoja 4 - Cálculo'!$K$25:$K$384),IF(D1165="Uso prioritario",'Hoja 4 - Cálculo'!I106+'Hoja 4 - Cálculo'!K106,'Hoja 4 - Cálculo'!I106+'Hoja 4 - Cálculo'!J106+'Hoja 4 - Cálculo'!K106)))</f>
        <v>11.5</v>
      </c>
      <c r="I1165" s="15">
        <f t="shared" si="264"/>
        <v>8.625</v>
      </c>
      <c r="J1165" s="15">
        <f t="shared" si="261"/>
        <v>5</v>
      </c>
      <c r="K1165" s="15">
        <f>MIN(J1165+G1165,(J1165+G1165)*'Hoja 4 - Cálculo'!$B$15)</f>
        <v>0.75254499999999991</v>
      </c>
      <c r="L1165" s="15">
        <f t="shared" si="265"/>
        <v>36.874704999999999</v>
      </c>
      <c r="M1165" s="15">
        <f t="shared" si="266"/>
        <v>8.625</v>
      </c>
      <c r="N1165" s="15">
        <f t="shared" si="267"/>
        <v>5</v>
      </c>
      <c r="O1165" s="15">
        <f t="shared" si="268"/>
        <v>23.249704999999999</v>
      </c>
      <c r="P1165" s="15">
        <f t="shared" si="269"/>
        <v>0</v>
      </c>
      <c r="Q1165" s="14" t="str">
        <f>IF(M1165&gt;=I1165*'Hoja 4 - Cálculo'!$B$16,"Satisfactorio","Falla")</f>
        <v>Satisfactorio</v>
      </c>
      <c r="R1165" s="14">
        <f t="shared" si="262"/>
        <v>0</v>
      </c>
      <c r="S1165" s="14">
        <f t="shared" si="263"/>
        <v>0</v>
      </c>
    </row>
    <row r="1166" spans="1:19">
      <c r="A1166" s="14" t="str">
        <f t="shared" si="260"/>
        <v>SRY-4-1</v>
      </c>
      <c r="B1166" s="15">
        <f>'Curvas SRY'!$B$11</f>
        <v>5</v>
      </c>
      <c r="C1166" s="15">
        <f>'Curvas SRY'!$E$8</f>
        <v>0.75</v>
      </c>
      <c r="D1166" s="14" t="str">
        <f>'Curvas SRY'!$B$14</f>
        <v>Uso variable</v>
      </c>
      <c r="E1166" s="14">
        <f>83</f>
        <v>83</v>
      </c>
      <c r="F1166" s="21">
        <f>'Hoja 4 - Cálculo'!A107</f>
        <v>32082</v>
      </c>
      <c r="G1166" s="15">
        <f>'Hoja 4 - Cálculo'!H107</f>
        <v>29.758500000000002</v>
      </c>
      <c r="H1166" s="15">
        <f>IF(D1166="Uso único",'Hoja 4 - Cálculo'!I107,IF(D1166="Uso múltiple",AVERAGE('Hoja 4 - Cálculo'!$I$25:$I$384)+AVERAGE('Hoja 4 - Cálculo'!$J$25:$J$384)+AVERAGE('Hoja 4 - Cálculo'!$K$25:$K$384),IF(D1166="Uso prioritario",'Hoja 4 - Cálculo'!I107+'Hoja 4 - Cálculo'!K107,'Hoja 4 - Cálculo'!I107+'Hoja 4 - Cálculo'!J107+'Hoja 4 - Cálculo'!K107)))</f>
        <v>11.5</v>
      </c>
      <c r="I1166" s="15">
        <f t="shared" si="264"/>
        <v>8.625</v>
      </c>
      <c r="J1166" s="15">
        <f t="shared" si="261"/>
        <v>5</v>
      </c>
      <c r="K1166" s="15">
        <f>MIN(J1166+G1166,(J1166+G1166)*'Hoja 4 - Cálculo'!$B$15)</f>
        <v>0.69516999999999995</v>
      </c>
      <c r="L1166" s="15">
        <f t="shared" si="265"/>
        <v>34.063330000000001</v>
      </c>
      <c r="M1166" s="15">
        <f t="shared" si="266"/>
        <v>8.625</v>
      </c>
      <c r="N1166" s="15">
        <f t="shared" si="267"/>
        <v>5</v>
      </c>
      <c r="O1166" s="15">
        <f t="shared" si="268"/>
        <v>20.438330000000001</v>
      </c>
      <c r="P1166" s="15">
        <f t="shared" si="269"/>
        <v>0</v>
      </c>
      <c r="Q1166" s="14" t="str">
        <f>IF(M1166&gt;=I1166*'Hoja 4 - Cálculo'!$B$16,"Satisfactorio","Falla")</f>
        <v>Satisfactorio</v>
      </c>
      <c r="R1166" s="14">
        <f t="shared" si="262"/>
        <v>0</v>
      </c>
      <c r="S1166" s="14">
        <f t="shared" si="263"/>
        <v>0</v>
      </c>
    </row>
    <row r="1167" spans="1:19">
      <c r="A1167" s="14" t="str">
        <f t="shared" si="260"/>
        <v>SRY-4-1</v>
      </c>
      <c r="B1167" s="15">
        <f>'Curvas SRY'!$B$11</f>
        <v>5</v>
      </c>
      <c r="C1167" s="15">
        <f>'Curvas SRY'!$E$8</f>
        <v>0.75</v>
      </c>
      <c r="D1167" s="14" t="str">
        <f>'Curvas SRY'!$B$14</f>
        <v>Uso variable</v>
      </c>
      <c r="E1167" s="14">
        <f>84</f>
        <v>84</v>
      </c>
      <c r="F1167" s="21">
        <f>'Hoja 4 - Cálculo'!A108</f>
        <v>32112</v>
      </c>
      <c r="G1167" s="15">
        <f>'Hoja 4 - Cálculo'!H108</f>
        <v>16.543125</v>
      </c>
      <c r="H1167" s="15">
        <f>IF(D1167="Uso único",'Hoja 4 - Cálculo'!I108,IF(D1167="Uso múltiple",AVERAGE('Hoja 4 - Cálculo'!$I$25:$I$384)+AVERAGE('Hoja 4 - Cálculo'!$J$25:$J$384)+AVERAGE('Hoja 4 - Cálculo'!$K$25:$K$384),IF(D1167="Uso prioritario",'Hoja 4 - Cálculo'!I108+'Hoja 4 - Cálculo'!K108,'Hoja 4 - Cálculo'!I108+'Hoja 4 - Cálculo'!J108+'Hoja 4 - Cálculo'!K108)))</f>
        <v>16</v>
      </c>
      <c r="I1167" s="15">
        <f t="shared" si="264"/>
        <v>12</v>
      </c>
      <c r="J1167" s="15">
        <f t="shared" si="261"/>
        <v>5</v>
      </c>
      <c r="K1167" s="15">
        <f>MIN(J1167+G1167,(J1167+G1167)*'Hoja 4 - Cálculo'!$B$15)</f>
        <v>0.43086249999999998</v>
      </c>
      <c r="L1167" s="15">
        <f t="shared" si="265"/>
        <v>21.1122625</v>
      </c>
      <c r="M1167" s="15">
        <f t="shared" si="266"/>
        <v>12</v>
      </c>
      <c r="N1167" s="15">
        <f t="shared" si="267"/>
        <v>5</v>
      </c>
      <c r="O1167" s="15">
        <f t="shared" si="268"/>
        <v>4.1122624999999999</v>
      </c>
      <c r="P1167" s="15">
        <f t="shared" si="269"/>
        <v>0</v>
      </c>
      <c r="Q1167" s="14" t="str">
        <f>IF(M1167&gt;=I1167*'Hoja 4 - Cálculo'!$B$16,"Satisfactorio","Falla")</f>
        <v>Satisfactorio</v>
      </c>
      <c r="R1167" s="14">
        <f t="shared" si="262"/>
        <v>0</v>
      </c>
      <c r="S1167" s="14">
        <f t="shared" si="263"/>
        <v>0</v>
      </c>
    </row>
    <row r="1168" spans="1:19">
      <c r="A1168" s="14" t="str">
        <f t="shared" si="260"/>
        <v>SRY-4-1</v>
      </c>
      <c r="B1168" s="15">
        <f>'Curvas SRY'!$B$11</f>
        <v>5</v>
      </c>
      <c r="C1168" s="15">
        <f>'Curvas SRY'!$E$8</f>
        <v>0.75</v>
      </c>
      <c r="D1168" s="14" t="str">
        <f>'Curvas SRY'!$B$14</f>
        <v>Uso variable</v>
      </c>
      <c r="E1168" s="14">
        <f>85</f>
        <v>85</v>
      </c>
      <c r="F1168" s="21">
        <f>'Hoja 4 - Cálculo'!A109</f>
        <v>32143</v>
      </c>
      <c r="G1168" s="15">
        <f>'Hoja 4 - Cálculo'!H109</f>
        <v>13.291874999999999</v>
      </c>
      <c r="H1168" s="15">
        <f>IF(D1168="Uso único",'Hoja 4 - Cálculo'!I109,IF(D1168="Uso múltiple",AVERAGE('Hoja 4 - Cálculo'!$I$25:$I$384)+AVERAGE('Hoja 4 - Cálculo'!$J$25:$J$384)+AVERAGE('Hoja 4 - Cálculo'!$K$25:$K$384),IF(D1168="Uso prioritario",'Hoja 4 - Cálculo'!I109+'Hoja 4 - Cálculo'!K109,'Hoja 4 - Cálculo'!I109+'Hoja 4 - Cálculo'!J109+'Hoja 4 - Cálculo'!K109)))</f>
        <v>16</v>
      </c>
      <c r="I1168" s="15">
        <f t="shared" si="264"/>
        <v>12</v>
      </c>
      <c r="J1168" s="15">
        <f t="shared" si="261"/>
        <v>5</v>
      </c>
      <c r="K1168" s="15">
        <f>MIN(J1168+G1168,(J1168+G1168)*'Hoja 4 - Cálculo'!$B$15)</f>
        <v>0.36583749999999998</v>
      </c>
      <c r="L1168" s="15">
        <f t="shared" si="265"/>
        <v>17.926037499999996</v>
      </c>
      <c r="M1168" s="15">
        <f t="shared" si="266"/>
        <v>12</v>
      </c>
      <c r="N1168" s="15">
        <f t="shared" si="267"/>
        <v>5</v>
      </c>
      <c r="O1168" s="15">
        <f t="shared" si="268"/>
        <v>0.92603749999999607</v>
      </c>
      <c r="P1168" s="15">
        <f t="shared" si="269"/>
        <v>0</v>
      </c>
      <c r="Q1168" s="14" t="str">
        <f>IF(M1168&gt;=I1168*'Hoja 4 - Cálculo'!$B$16,"Satisfactorio","Falla")</f>
        <v>Satisfactorio</v>
      </c>
      <c r="R1168" s="14">
        <f t="shared" si="262"/>
        <v>0</v>
      </c>
      <c r="S1168" s="14">
        <f t="shared" si="263"/>
        <v>0</v>
      </c>
    </row>
    <row r="1169" spans="1:19">
      <c r="A1169" s="14" t="str">
        <f t="shared" si="260"/>
        <v>SRY-4-1</v>
      </c>
      <c r="B1169" s="15">
        <f>'Curvas SRY'!$B$11</f>
        <v>5</v>
      </c>
      <c r="C1169" s="15">
        <f>'Curvas SRY'!$E$8</f>
        <v>0.75</v>
      </c>
      <c r="D1169" s="14" t="str">
        <f>'Curvas SRY'!$B$14</f>
        <v>Uso variable</v>
      </c>
      <c r="E1169" s="14">
        <f>86</f>
        <v>86</v>
      </c>
      <c r="F1169" s="21">
        <f>'Hoja 4 - Cálculo'!A110</f>
        <v>32174</v>
      </c>
      <c r="G1169" s="15">
        <f>'Hoja 4 - Cálculo'!H110</f>
        <v>14.19075</v>
      </c>
      <c r="H1169" s="15">
        <f>IF(D1169="Uso único",'Hoja 4 - Cálculo'!I110,IF(D1169="Uso múltiple",AVERAGE('Hoja 4 - Cálculo'!$I$25:$I$384)+AVERAGE('Hoja 4 - Cálculo'!$J$25:$J$384)+AVERAGE('Hoja 4 - Cálculo'!$K$25:$K$384),IF(D1169="Uso prioritario",'Hoja 4 - Cálculo'!I110+'Hoja 4 - Cálculo'!K110,'Hoja 4 - Cálculo'!I110+'Hoja 4 - Cálculo'!J110+'Hoja 4 - Cálculo'!K110)))</f>
        <v>16</v>
      </c>
      <c r="I1169" s="15">
        <f t="shared" si="264"/>
        <v>12</v>
      </c>
      <c r="J1169" s="15">
        <f t="shared" si="261"/>
        <v>5</v>
      </c>
      <c r="K1169" s="15">
        <f>MIN(J1169+G1169,(J1169+G1169)*'Hoja 4 - Cálculo'!$B$15)</f>
        <v>0.38381500000000002</v>
      </c>
      <c r="L1169" s="15">
        <f t="shared" si="265"/>
        <v>18.806935000000003</v>
      </c>
      <c r="M1169" s="15">
        <f t="shared" si="266"/>
        <v>12</v>
      </c>
      <c r="N1169" s="15">
        <f t="shared" si="267"/>
        <v>5</v>
      </c>
      <c r="O1169" s="15">
        <f t="shared" si="268"/>
        <v>1.8069350000000028</v>
      </c>
      <c r="P1169" s="15">
        <f t="shared" si="269"/>
        <v>0</v>
      </c>
      <c r="Q1169" s="14" t="str">
        <f>IF(M1169&gt;=I1169*'Hoja 4 - Cálculo'!$B$16,"Satisfactorio","Falla")</f>
        <v>Satisfactorio</v>
      </c>
      <c r="R1169" s="14">
        <f t="shared" si="262"/>
        <v>0</v>
      </c>
      <c r="S1169" s="14">
        <f t="shared" si="263"/>
        <v>0</v>
      </c>
    </row>
    <row r="1170" spans="1:19">
      <c r="A1170" s="14" t="str">
        <f t="shared" si="260"/>
        <v>SRY-4-1</v>
      </c>
      <c r="B1170" s="15">
        <f>'Curvas SRY'!$B$11</f>
        <v>5</v>
      </c>
      <c r="C1170" s="15">
        <f>'Curvas SRY'!$E$8</f>
        <v>0.75</v>
      </c>
      <c r="D1170" s="14" t="str">
        <f>'Curvas SRY'!$B$14</f>
        <v>Uso variable</v>
      </c>
      <c r="E1170" s="14">
        <f>87</f>
        <v>87</v>
      </c>
      <c r="F1170" s="21">
        <f>'Hoja 4 - Cálculo'!A111</f>
        <v>32203</v>
      </c>
      <c r="G1170" s="15">
        <f>'Hoja 4 - Cálculo'!H111</f>
        <v>22.338000000000001</v>
      </c>
      <c r="H1170" s="15">
        <f>IF(D1170="Uso único",'Hoja 4 - Cálculo'!I111,IF(D1170="Uso múltiple",AVERAGE('Hoja 4 - Cálculo'!$I$25:$I$384)+AVERAGE('Hoja 4 - Cálculo'!$J$25:$J$384)+AVERAGE('Hoja 4 - Cálculo'!$K$25:$K$384),IF(D1170="Uso prioritario",'Hoja 4 - Cálculo'!I111+'Hoja 4 - Cálculo'!K111,'Hoja 4 - Cálculo'!I111+'Hoja 4 - Cálculo'!J111+'Hoja 4 - Cálculo'!K111)))</f>
        <v>16</v>
      </c>
      <c r="I1170" s="15">
        <f t="shared" si="264"/>
        <v>12</v>
      </c>
      <c r="J1170" s="15">
        <f t="shared" si="261"/>
        <v>5</v>
      </c>
      <c r="K1170" s="15">
        <f>MIN(J1170+G1170,(J1170+G1170)*'Hoja 4 - Cálculo'!$B$15)</f>
        <v>0.54676000000000002</v>
      </c>
      <c r="L1170" s="15">
        <f t="shared" si="265"/>
        <v>26.791240000000002</v>
      </c>
      <c r="M1170" s="15">
        <f t="shared" si="266"/>
        <v>12</v>
      </c>
      <c r="N1170" s="15">
        <f t="shared" si="267"/>
        <v>5</v>
      </c>
      <c r="O1170" s="15">
        <f t="shared" si="268"/>
        <v>9.7912400000000019</v>
      </c>
      <c r="P1170" s="15">
        <f t="shared" si="269"/>
        <v>0</v>
      </c>
      <c r="Q1170" s="14" t="str">
        <f>IF(M1170&gt;=I1170*'Hoja 4 - Cálculo'!$B$16,"Satisfactorio","Falla")</f>
        <v>Satisfactorio</v>
      </c>
      <c r="R1170" s="14">
        <f t="shared" si="262"/>
        <v>0</v>
      </c>
      <c r="S1170" s="14">
        <f t="shared" si="263"/>
        <v>0</v>
      </c>
    </row>
    <row r="1171" spans="1:19">
      <c r="A1171" s="14" t="str">
        <f t="shared" si="260"/>
        <v>SRY-4-1</v>
      </c>
      <c r="B1171" s="15">
        <f>'Curvas SRY'!$B$11</f>
        <v>5</v>
      </c>
      <c r="C1171" s="15">
        <f>'Curvas SRY'!$E$8</f>
        <v>0.75</v>
      </c>
      <c r="D1171" s="14" t="str">
        <f>'Curvas SRY'!$B$14</f>
        <v>Uso variable</v>
      </c>
      <c r="E1171" s="14">
        <f>88</f>
        <v>88</v>
      </c>
      <c r="F1171" s="21">
        <f>'Hoja 4 - Cálculo'!A112</f>
        <v>32234</v>
      </c>
      <c r="G1171" s="15">
        <f>'Hoja 4 - Cálculo'!H112</f>
        <v>29.643750000000001</v>
      </c>
      <c r="H1171" s="15">
        <f>IF(D1171="Uso único",'Hoja 4 - Cálculo'!I112,IF(D1171="Uso múltiple",AVERAGE('Hoja 4 - Cálculo'!$I$25:$I$384)+AVERAGE('Hoja 4 - Cálculo'!$J$25:$J$384)+AVERAGE('Hoja 4 - Cálculo'!$K$25:$K$384),IF(D1171="Uso prioritario",'Hoja 4 - Cálculo'!I112+'Hoja 4 - Cálculo'!K112,'Hoja 4 - Cálculo'!I112+'Hoja 4 - Cálculo'!J112+'Hoja 4 - Cálculo'!K112)))</f>
        <v>11.5</v>
      </c>
      <c r="I1171" s="15">
        <f t="shared" si="264"/>
        <v>8.625</v>
      </c>
      <c r="J1171" s="15">
        <f t="shared" si="261"/>
        <v>5</v>
      </c>
      <c r="K1171" s="15">
        <f>MIN(J1171+G1171,(J1171+G1171)*'Hoja 4 - Cálculo'!$B$15)</f>
        <v>0.69287499999999991</v>
      </c>
      <c r="L1171" s="15">
        <f t="shared" si="265"/>
        <v>33.950874999999996</v>
      </c>
      <c r="M1171" s="15">
        <f t="shared" si="266"/>
        <v>8.625</v>
      </c>
      <c r="N1171" s="15">
        <f t="shared" si="267"/>
        <v>5</v>
      </c>
      <c r="O1171" s="15">
        <f t="shared" si="268"/>
        <v>20.325874999999996</v>
      </c>
      <c r="P1171" s="15">
        <f t="shared" si="269"/>
        <v>0</v>
      </c>
      <c r="Q1171" s="14" t="str">
        <f>IF(M1171&gt;=I1171*'Hoja 4 - Cálculo'!$B$16,"Satisfactorio","Falla")</f>
        <v>Satisfactorio</v>
      </c>
      <c r="R1171" s="14">
        <f t="shared" si="262"/>
        <v>0</v>
      </c>
      <c r="S1171" s="14">
        <f t="shared" si="263"/>
        <v>0</v>
      </c>
    </row>
    <row r="1172" spans="1:19">
      <c r="A1172" s="14" t="str">
        <f t="shared" si="260"/>
        <v>SRY-4-1</v>
      </c>
      <c r="B1172" s="15">
        <f>'Curvas SRY'!$B$11</f>
        <v>5</v>
      </c>
      <c r="C1172" s="15">
        <f>'Curvas SRY'!$E$8</f>
        <v>0.75</v>
      </c>
      <c r="D1172" s="14" t="str">
        <f>'Curvas SRY'!$B$14</f>
        <v>Uso variable</v>
      </c>
      <c r="E1172" s="14">
        <f>89</f>
        <v>89</v>
      </c>
      <c r="F1172" s="21">
        <f>'Hoja 4 - Cálculo'!A113</f>
        <v>32264</v>
      </c>
      <c r="G1172" s="15">
        <f>'Hoja 4 - Cálculo'!H113</f>
        <v>28.075500000000002</v>
      </c>
      <c r="H1172" s="15">
        <f>IF(D1172="Uso único",'Hoja 4 - Cálculo'!I113,IF(D1172="Uso múltiple",AVERAGE('Hoja 4 - Cálculo'!$I$25:$I$384)+AVERAGE('Hoja 4 - Cálculo'!$J$25:$J$384)+AVERAGE('Hoja 4 - Cálculo'!$K$25:$K$384),IF(D1172="Uso prioritario",'Hoja 4 - Cálculo'!I113+'Hoja 4 - Cálculo'!K113,'Hoja 4 - Cálculo'!I113+'Hoja 4 - Cálculo'!J113+'Hoja 4 - Cálculo'!K113)))</f>
        <v>11.5</v>
      </c>
      <c r="I1172" s="15">
        <f t="shared" si="264"/>
        <v>8.625</v>
      </c>
      <c r="J1172" s="15">
        <f t="shared" si="261"/>
        <v>5</v>
      </c>
      <c r="K1172" s="15">
        <f>MIN(J1172+G1172,(J1172+G1172)*'Hoja 4 - Cálculo'!$B$15)</f>
        <v>0.66151000000000015</v>
      </c>
      <c r="L1172" s="15">
        <f t="shared" si="265"/>
        <v>32.413990000000005</v>
      </c>
      <c r="M1172" s="15">
        <f t="shared" si="266"/>
        <v>8.625</v>
      </c>
      <c r="N1172" s="15">
        <f t="shared" si="267"/>
        <v>5</v>
      </c>
      <c r="O1172" s="15">
        <f t="shared" si="268"/>
        <v>18.788990000000005</v>
      </c>
      <c r="P1172" s="15">
        <f t="shared" si="269"/>
        <v>0</v>
      </c>
      <c r="Q1172" s="14" t="str">
        <f>IF(M1172&gt;=I1172*'Hoja 4 - Cálculo'!$B$16,"Satisfactorio","Falla")</f>
        <v>Satisfactorio</v>
      </c>
      <c r="R1172" s="14">
        <f t="shared" si="262"/>
        <v>0</v>
      </c>
      <c r="S1172" s="14">
        <f t="shared" si="263"/>
        <v>0</v>
      </c>
    </row>
    <row r="1173" spans="1:19">
      <c r="A1173" s="14" t="str">
        <f t="shared" si="260"/>
        <v>SRY-4-1</v>
      </c>
      <c r="B1173" s="15">
        <f>'Curvas SRY'!$B$11</f>
        <v>5</v>
      </c>
      <c r="C1173" s="15">
        <f>'Curvas SRY'!$E$8</f>
        <v>0.75</v>
      </c>
      <c r="D1173" s="14" t="str">
        <f>'Curvas SRY'!$B$14</f>
        <v>Uso variable</v>
      </c>
      <c r="E1173" s="14">
        <f>90</f>
        <v>90</v>
      </c>
      <c r="F1173" s="21">
        <f>'Hoja 4 - Cálculo'!A114</f>
        <v>32295</v>
      </c>
      <c r="G1173" s="15">
        <f>'Hoja 4 - Cálculo'!H114</f>
        <v>16.485749999999999</v>
      </c>
      <c r="H1173" s="15">
        <f>IF(D1173="Uso único",'Hoja 4 - Cálculo'!I114,IF(D1173="Uso múltiple",AVERAGE('Hoja 4 - Cálculo'!$I$25:$I$384)+AVERAGE('Hoja 4 - Cálculo'!$J$25:$J$384)+AVERAGE('Hoja 4 - Cálculo'!$K$25:$K$384),IF(D1173="Uso prioritario",'Hoja 4 - Cálculo'!I114+'Hoja 4 - Cálculo'!K114,'Hoja 4 - Cálculo'!I114+'Hoja 4 - Cálculo'!J114+'Hoja 4 - Cálculo'!K114)))</f>
        <v>11.5</v>
      </c>
      <c r="I1173" s="15">
        <f t="shared" si="264"/>
        <v>8.625</v>
      </c>
      <c r="J1173" s="15">
        <f t="shared" si="261"/>
        <v>5</v>
      </c>
      <c r="K1173" s="15">
        <f>MIN(J1173+G1173,(J1173+G1173)*'Hoja 4 - Cálculo'!$B$15)</f>
        <v>0.42971500000000001</v>
      </c>
      <c r="L1173" s="15">
        <f t="shared" si="265"/>
        <v>21.056034999999998</v>
      </c>
      <c r="M1173" s="15">
        <f t="shared" si="266"/>
        <v>8.625</v>
      </c>
      <c r="N1173" s="15">
        <f t="shared" si="267"/>
        <v>5</v>
      </c>
      <c r="O1173" s="15">
        <f t="shared" si="268"/>
        <v>7.4310349999999978</v>
      </c>
      <c r="P1173" s="15">
        <f t="shared" si="269"/>
        <v>0</v>
      </c>
      <c r="Q1173" s="14" t="str">
        <f>IF(M1173&gt;=I1173*'Hoja 4 - Cálculo'!$B$16,"Satisfactorio","Falla")</f>
        <v>Satisfactorio</v>
      </c>
      <c r="R1173" s="14">
        <f t="shared" si="262"/>
        <v>0</v>
      </c>
      <c r="S1173" s="14">
        <f t="shared" si="263"/>
        <v>0</v>
      </c>
    </row>
    <row r="1174" spans="1:19">
      <c r="A1174" s="14" t="str">
        <f t="shared" si="260"/>
        <v>SRY-4-1</v>
      </c>
      <c r="B1174" s="15">
        <f>'Curvas SRY'!$B$11</f>
        <v>5</v>
      </c>
      <c r="C1174" s="15">
        <f>'Curvas SRY'!$E$8</f>
        <v>0.75</v>
      </c>
      <c r="D1174" s="14" t="str">
        <f>'Curvas SRY'!$B$14</f>
        <v>Uso variable</v>
      </c>
      <c r="E1174" s="14">
        <f>91</f>
        <v>91</v>
      </c>
      <c r="F1174" s="21">
        <f>'Hoja 4 - Cálculo'!A115</f>
        <v>32325</v>
      </c>
      <c r="G1174" s="15">
        <f>'Hoja 4 - Cálculo'!H115</f>
        <v>13.827375</v>
      </c>
      <c r="H1174" s="15">
        <f>IF(D1174="Uso único",'Hoja 4 - Cálculo'!I115,IF(D1174="Uso múltiple",AVERAGE('Hoja 4 - Cálculo'!$I$25:$I$384)+AVERAGE('Hoja 4 - Cálculo'!$J$25:$J$384)+AVERAGE('Hoja 4 - Cálculo'!$K$25:$K$384),IF(D1174="Uso prioritario",'Hoja 4 - Cálculo'!I115+'Hoja 4 - Cálculo'!K115,'Hoja 4 - Cálculo'!I115+'Hoja 4 - Cálculo'!J115+'Hoja 4 - Cálculo'!K115)))</f>
        <v>16</v>
      </c>
      <c r="I1174" s="15">
        <f t="shared" si="264"/>
        <v>12</v>
      </c>
      <c r="J1174" s="15">
        <f t="shared" si="261"/>
        <v>5</v>
      </c>
      <c r="K1174" s="15">
        <f>MIN(J1174+G1174,(J1174+G1174)*'Hoja 4 - Cálculo'!$B$15)</f>
        <v>0.37654750000000003</v>
      </c>
      <c r="L1174" s="15">
        <f t="shared" si="265"/>
        <v>18.450827499999999</v>
      </c>
      <c r="M1174" s="15">
        <f t="shared" si="266"/>
        <v>12</v>
      </c>
      <c r="N1174" s="15">
        <f t="shared" si="267"/>
        <v>5</v>
      </c>
      <c r="O1174" s="15">
        <f t="shared" si="268"/>
        <v>1.450827499999999</v>
      </c>
      <c r="P1174" s="15">
        <f t="shared" si="269"/>
        <v>0</v>
      </c>
      <c r="Q1174" s="14" t="str">
        <f>IF(M1174&gt;=I1174*'Hoja 4 - Cálculo'!$B$16,"Satisfactorio","Falla")</f>
        <v>Satisfactorio</v>
      </c>
      <c r="R1174" s="14">
        <f t="shared" si="262"/>
        <v>0</v>
      </c>
      <c r="S1174" s="14">
        <f t="shared" si="263"/>
        <v>0</v>
      </c>
    </row>
    <row r="1175" spans="1:19">
      <c r="A1175" s="14" t="str">
        <f t="shared" si="260"/>
        <v>SRY-4-1</v>
      </c>
      <c r="B1175" s="15">
        <f>'Curvas SRY'!$B$11</f>
        <v>5</v>
      </c>
      <c r="C1175" s="15">
        <f>'Curvas SRY'!$E$8</f>
        <v>0.75</v>
      </c>
      <c r="D1175" s="14" t="str">
        <f>'Curvas SRY'!$B$14</f>
        <v>Uso variable</v>
      </c>
      <c r="E1175" s="14">
        <f>92</f>
        <v>92</v>
      </c>
      <c r="F1175" s="21">
        <f>'Hoja 4 - Cálculo'!A116</f>
        <v>32356</v>
      </c>
      <c r="G1175" s="15">
        <f>'Hoja 4 - Cálculo'!H116</f>
        <v>14.783625000000001</v>
      </c>
      <c r="H1175" s="15">
        <f>IF(D1175="Uso único",'Hoja 4 - Cálculo'!I116,IF(D1175="Uso múltiple",AVERAGE('Hoja 4 - Cálculo'!$I$25:$I$384)+AVERAGE('Hoja 4 - Cálculo'!$J$25:$J$384)+AVERAGE('Hoja 4 - Cálculo'!$K$25:$K$384),IF(D1175="Uso prioritario",'Hoja 4 - Cálculo'!I116+'Hoja 4 - Cálculo'!K116,'Hoja 4 - Cálculo'!I116+'Hoja 4 - Cálculo'!J116+'Hoja 4 - Cálculo'!K116)))</f>
        <v>16</v>
      </c>
      <c r="I1175" s="15">
        <f t="shared" si="264"/>
        <v>12</v>
      </c>
      <c r="J1175" s="15">
        <f t="shared" si="261"/>
        <v>5</v>
      </c>
      <c r="K1175" s="15">
        <f>MIN(J1175+G1175,(J1175+G1175)*'Hoja 4 - Cálculo'!$B$15)</f>
        <v>0.39567250000000004</v>
      </c>
      <c r="L1175" s="15">
        <f t="shared" si="265"/>
        <v>19.387952500000001</v>
      </c>
      <c r="M1175" s="15">
        <f t="shared" si="266"/>
        <v>12</v>
      </c>
      <c r="N1175" s="15">
        <f t="shared" si="267"/>
        <v>5</v>
      </c>
      <c r="O1175" s="15">
        <f t="shared" si="268"/>
        <v>2.3879525000000008</v>
      </c>
      <c r="P1175" s="15">
        <f t="shared" si="269"/>
        <v>0</v>
      </c>
      <c r="Q1175" s="14" t="str">
        <f>IF(M1175&gt;=I1175*'Hoja 4 - Cálculo'!$B$16,"Satisfactorio","Falla")</f>
        <v>Satisfactorio</v>
      </c>
      <c r="R1175" s="14">
        <f t="shared" si="262"/>
        <v>0</v>
      </c>
      <c r="S1175" s="14">
        <f t="shared" si="263"/>
        <v>0</v>
      </c>
    </row>
    <row r="1176" spans="1:19">
      <c r="A1176" s="14" t="str">
        <f t="shared" si="260"/>
        <v>SRY-4-1</v>
      </c>
      <c r="B1176" s="15">
        <f>'Curvas SRY'!$B$11</f>
        <v>5</v>
      </c>
      <c r="C1176" s="15">
        <f>'Curvas SRY'!$E$8</f>
        <v>0.75</v>
      </c>
      <c r="D1176" s="14" t="str">
        <f>'Curvas SRY'!$B$14</f>
        <v>Uso variable</v>
      </c>
      <c r="E1176" s="14">
        <f>93</f>
        <v>93</v>
      </c>
      <c r="F1176" s="21">
        <f>'Hoja 4 - Cálculo'!A117</f>
        <v>32387</v>
      </c>
      <c r="G1176" s="15">
        <f>'Hoja 4 - Cálculo'!H117</f>
        <v>23.3325</v>
      </c>
      <c r="H1176" s="15">
        <f>IF(D1176="Uso único",'Hoja 4 - Cálculo'!I117,IF(D1176="Uso múltiple",AVERAGE('Hoja 4 - Cálculo'!$I$25:$I$384)+AVERAGE('Hoja 4 - Cálculo'!$J$25:$J$384)+AVERAGE('Hoja 4 - Cálculo'!$K$25:$K$384),IF(D1176="Uso prioritario",'Hoja 4 - Cálculo'!I117+'Hoja 4 - Cálculo'!K117,'Hoja 4 - Cálculo'!I117+'Hoja 4 - Cálculo'!J117+'Hoja 4 - Cálculo'!K117)))</f>
        <v>11.5</v>
      </c>
      <c r="I1176" s="15">
        <f t="shared" si="264"/>
        <v>8.625</v>
      </c>
      <c r="J1176" s="15">
        <f t="shared" si="261"/>
        <v>5</v>
      </c>
      <c r="K1176" s="15">
        <f>MIN(J1176+G1176,(J1176+G1176)*'Hoja 4 - Cálculo'!$B$15)</f>
        <v>0.56664999999999999</v>
      </c>
      <c r="L1176" s="15">
        <f t="shared" si="265"/>
        <v>27.76585</v>
      </c>
      <c r="M1176" s="15">
        <f t="shared" si="266"/>
        <v>8.625</v>
      </c>
      <c r="N1176" s="15">
        <f t="shared" si="267"/>
        <v>5</v>
      </c>
      <c r="O1176" s="15">
        <f t="shared" si="268"/>
        <v>14.14085</v>
      </c>
      <c r="P1176" s="15">
        <f t="shared" si="269"/>
        <v>0</v>
      </c>
      <c r="Q1176" s="14" t="str">
        <f>IF(M1176&gt;=I1176*'Hoja 4 - Cálculo'!$B$16,"Satisfactorio","Falla")</f>
        <v>Satisfactorio</v>
      </c>
      <c r="R1176" s="14">
        <f t="shared" si="262"/>
        <v>0</v>
      </c>
      <c r="S1176" s="14">
        <f t="shared" si="263"/>
        <v>0</v>
      </c>
    </row>
    <row r="1177" spans="1:19">
      <c r="A1177" s="14" t="str">
        <f t="shared" si="260"/>
        <v>SRY-4-1</v>
      </c>
      <c r="B1177" s="15">
        <f>'Curvas SRY'!$B$11</f>
        <v>5</v>
      </c>
      <c r="C1177" s="15">
        <f>'Curvas SRY'!$E$8</f>
        <v>0.75</v>
      </c>
      <c r="D1177" s="14" t="str">
        <f>'Curvas SRY'!$B$14</f>
        <v>Uso variable</v>
      </c>
      <c r="E1177" s="14">
        <f>94</f>
        <v>94</v>
      </c>
      <c r="F1177" s="21">
        <f>'Hoja 4 - Cálculo'!A118</f>
        <v>32417</v>
      </c>
      <c r="G1177" s="15">
        <f>'Hoja 4 - Cálculo'!H118</f>
        <v>32.015250000000002</v>
      </c>
      <c r="H1177" s="15">
        <f>IF(D1177="Uso único",'Hoja 4 - Cálculo'!I118,IF(D1177="Uso múltiple",AVERAGE('Hoja 4 - Cálculo'!$I$25:$I$384)+AVERAGE('Hoja 4 - Cálculo'!$J$25:$J$384)+AVERAGE('Hoja 4 - Cálculo'!$K$25:$K$384),IF(D1177="Uso prioritario",'Hoja 4 - Cálculo'!I118+'Hoja 4 - Cálculo'!K118,'Hoja 4 - Cálculo'!I118+'Hoja 4 - Cálculo'!J118+'Hoja 4 - Cálculo'!K118)))</f>
        <v>11.5</v>
      </c>
      <c r="I1177" s="15">
        <f t="shared" si="264"/>
        <v>8.625</v>
      </c>
      <c r="J1177" s="15">
        <f t="shared" si="261"/>
        <v>5</v>
      </c>
      <c r="K1177" s="15">
        <f>MIN(J1177+G1177,(J1177+G1177)*'Hoja 4 - Cálculo'!$B$15)</f>
        <v>0.7403050000000001</v>
      </c>
      <c r="L1177" s="15">
        <f t="shared" si="265"/>
        <v>36.274945000000002</v>
      </c>
      <c r="M1177" s="15">
        <f t="shared" si="266"/>
        <v>8.625</v>
      </c>
      <c r="N1177" s="15">
        <f t="shared" si="267"/>
        <v>5</v>
      </c>
      <c r="O1177" s="15">
        <f t="shared" si="268"/>
        <v>22.649945000000002</v>
      </c>
      <c r="P1177" s="15">
        <f t="shared" si="269"/>
        <v>0</v>
      </c>
      <c r="Q1177" s="14" t="str">
        <f>IF(M1177&gt;=I1177*'Hoja 4 - Cálculo'!$B$16,"Satisfactorio","Falla")</f>
        <v>Satisfactorio</v>
      </c>
      <c r="R1177" s="14">
        <f t="shared" si="262"/>
        <v>0</v>
      </c>
      <c r="S1177" s="14">
        <f t="shared" si="263"/>
        <v>0</v>
      </c>
    </row>
    <row r="1178" spans="1:19">
      <c r="A1178" s="14" t="str">
        <f t="shared" si="260"/>
        <v>SRY-4-1</v>
      </c>
      <c r="B1178" s="15">
        <f>'Curvas SRY'!$B$11</f>
        <v>5</v>
      </c>
      <c r="C1178" s="15">
        <f>'Curvas SRY'!$E$8</f>
        <v>0.75</v>
      </c>
      <c r="D1178" s="14" t="str">
        <f>'Curvas SRY'!$B$14</f>
        <v>Uso variable</v>
      </c>
      <c r="E1178" s="14">
        <f>95</f>
        <v>95</v>
      </c>
      <c r="F1178" s="21">
        <f>'Hoja 4 - Cálculo'!A119</f>
        <v>32448</v>
      </c>
      <c r="G1178" s="15">
        <f>'Hoja 4 - Cálculo'!H119</f>
        <v>25.876124999999998</v>
      </c>
      <c r="H1178" s="15">
        <f>IF(D1178="Uso único",'Hoja 4 - Cálculo'!I119,IF(D1178="Uso múltiple",AVERAGE('Hoja 4 - Cálculo'!$I$25:$I$384)+AVERAGE('Hoja 4 - Cálculo'!$J$25:$J$384)+AVERAGE('Hoja 4 - Cálculo'!$K$25:$K$384),IF(D1178="Uso prioritario",'Hoja 4 - Cálculo'!I119+'Hoja 4 - Cálculo'!K119,'Hoja 4 - Cálculo'!I119+'Hoja 4 - Cálculo'!J119+'Hoja 4 - Cálculo'!K119)))</f>
        <v>11.5</v>
      </c>
      <c r="I1178" s="15">
        <f t="shared" si="264"/>
        <v>8.625</v>
      </c>
      <c r="J1178" s="15">
        <f t="shared" si="261"/>
        <v>5</v>
      </c>
      <c r="K1178" s="15">
        <f>MIN(J1178+G1178,(J1178+G1178)*'Hoja 4 - Cálculo'!$B$15)</f>
        <v>0.61752249999999997</v>
      </c>
      <c r="L1178" s="15">
        <f t="shared" si="265"/>
        <v>30.258602499999999</v>
      </c>
      <c r="M1178" s="15">
        <f t="shared" si="266"/>
        <v>8.625</v>
      </c>
      <c r="N1178" s="15">
        <f t="shared" si="267"/>
        <v>5</v>
      </c>
      <c r="O1178" s="15">
        <f t="shared" si="268"/>
        <v>16.633602499999999</v>
      </c>
      <c r="P1178" s="15">
        <f t="shared" si="269"/>
        <v>0</v>
      </c>
      <c r="Q1178" s="14" t="str">
        <f>IF(M1178&gt;=I1178*'Hoja 4 - Cálculo'!$B$16,"Satisfactorio","Falla")</f>
        <v>Satisfactorio</v>
      </c>
      <c r="R1178" s="14">
        <f t="shared" si="262"/>
        <v>0</v>
      </c>
      <c r="S1178" s="14">
        <f t="shared" si="263"/>
        <v>0</v>
      </c>
    </row>
    <row r="1179" spans="1:19">
      <c r="A1179" s="14" t="str">
        <f t="shared" si="260"/>
        <v>SRY-4-1</v>
      </c>
      <c r="B1179" s="15">
        <f>'Curvas SRY'!$B$11</f>
        <v>5</v>
      </c>
      <c r="C1179" s="15">
        <f>'Curvas SRY'!$E$8</f>
        <v>0.75</v>
      </c>
      <c r="D1179" s="14" t="str">
        <f>'Curvas SRY'!$B$14</f>
        <v>Uso variable</v>
      </c>
      <c r="E1179" s="14">
        <f>96</f>
        <v>96</v>
      </c>
      <c r="F1179" s="21">
        <f>'Hoja 4 - Cálculo'!A120</f>
        <v>32478</v>
      </c>
      <c r="G1179" s="15">
        <f>'Hoja 4 - Cálculo'!H120</f>
        <v>16.218</v>
      </c>
      <c r="H1179" s="15">
        <f>IF(D1179="Uso único",'Hoja 4 - Cálculo'!I120,IF(D1179="Uso múltiple",AVERAGE('Hoja 4 - Cálculo'!$I$25:$I$384)+AVERAGE('Hoja 4 - Cálculo'!$J$25:$J$384)+AVERAGE('Hoja 4 - Cálculo'!$K$25:$K$384),IF(D1179="Uso prioritario",'Hoja 4 - Cálculo'!I120+'Hoja 4 - Cálculo'!K120,'Hoja 4 - Cálculo'!I120+'Hoja 4 - Cálculo'!J120+'Hoja 4 - Cálculo'!K120)))</f>
        <v>16</v>
      </c>
      <c r="I1179" s="15">
        <f t="shared" si="264"/>
        <v>12</v>
      </c>
      <c r="J1179" s="15">
        <f t="shared" si="261"/>
        <v>5</v>
      </c>
      <c r="K1179" s="15">
        <f>MIN(J1179+G1179,(J1179+G1179)*'Hoja 4 - Cálculo'!$B$15)</f>
        <v>0.42436000000000001</v>
      </c>
      <c r="L1179" s="15">
        <f t="shared" si="265"/>
        <v>20.79364</v>
      </c>
      <c r="M1179" s="15">
        <f t="shared" si="266"/>
        <v>12</v>
      </c>
      <c r="N1179" s="15">
        <f t="shared" si="267"/>
        <v>5</v>
      </c>
      <c r="O1179" s="15">
        <f t="shared" si="268"/>
        <v>3.7936399999999999</v>
      </c>
      <c r="P1179" s="15">
        <f t="shared" si="269"/>
        <v>0</v>
      </c>
      <c r="Q1179" s="14" t="str">
        <f>IF(M1179&gt;=I1179*'Hoja 4 - Cálculo'!$B$16,"Satisfactorio","Falla")</f>
        <v>Satisfactorio</v>
      </c>
      <c r="R1179" s="14">
        <f t="shared" si="262"/>
        <v>0</v>
      </c>
      <c r="S1179" s="14">
        <f t="shared" si="263"/>
        <v>0</v>
      </c>
    </row>
    <row r="1180" spans="1:19">
      <c r="A1180" s="14" t="str">
        <f t="shared" ref="A1180:A1203" si="270">"SRY-4-1"</f>
        <v>SRY-4-1</v>
      </c>
      <c r="B1180" s="15">
        <f>'Curvas SRY'!$B$11</f>
        <v>5</v>
      </c>
      <c r="C1180" s="15">
        <f>'Curvas SRY'!$E$8</f>
        <v>0.75</v>
      </c>
      <c r="D1180" s="14" t="str">
        <f>'Curvas SRY'!$B$14</f>
        <v>Uso variable</v>
      </c>
      <c r="E1180" s="14">
        <f>97</f>
        <v>97</v>
      </c>
      <c r="F1180" s="21">
        <f>'Hoja 4 - Cálculo'!A121</f>
        <v>32509</v>
      </c>
      <c r="G1180" s="15">
        <f>'Hoja 4 - Cálculo'!H121</f>
        <v>11.761875</v>
      </c>
      <c r="H1180" s="15">
        <f>IF(D1180="Uso único",'Hoja 4 - Cálculo'!I121,IF(D1180="Uso múltiple",AVERAGE('Hoja 4 - Cálculo'!$I$25:$I$384)+AVERAGE('Hoja 4 - Cálculo'!$J$25:$J$384)+AVERAGE('Hoja 4 - Cálculo'!$K$25:$K$384),IF(D1180="Uso prioritario",'Hoja 4 - Cálculo'!I121+'Hoja 4 - Cálculo'!K121,'Hoja 4 - Cálculo'!I121+'Hoja 4 - Cálculo'!J121+'Hoja 4 - Cálculo'!K121)))</f>
        <v>16</v>
      </c>
      <c r="I1180" s="15">
        <f t="shared" si="264"/>
        <v>12</v>
      </c>
      <c r="J1180" s="15">
        <f t="shared" si="261"/>
        <v>5</v>
      </c>
      <c r="K1180" s="15">
        <f>MIN(J1180+G1180,(J1180+G1180)*'Hoja 4 - Cálculo'!$B$15)</f>
        <v>0.33523750000000002</v>
      </c>
      <c r="L1180" s="15">
        <f t="shared" si="265"/>
        <v>16.426637499999998</v>
      </c>
      <c r="M1180" s="15">
        <f t="shared" si="266"/>
        <v>12</v>
      </c>
      <c r="N1180" s="15">
        <f t="shared" si="267"/>
        <v>4.4266374999999982</v>
      </c>
      <c r="O1180" s="15">
        <f t="shared" si="268"/>
        <v>0</v>
      </c>
      <c r="P1180" s="15">
        <f t="shared" si="269"/>
        <v>0</v>
      </c>
      <c r="Q1180" s="14" t="str">
        <f>IF(M1180&gt;=I1180*'Hoja 4 - Cálculo'!$B$16,"Satisfactorio","Falla")</f>
        <v>Satisfactorio</v>
      </c>
      <c r="R1180" s="14">
        <f t="shared" si="262"/>
        <v>0</v>
      </c>
      <c r="S1180" s="14">
        <f t="shared" si="263"/>
        <v>0</v>
      </c>
    </row>
    <row r="1181" spans="1:19">
      <c r="A1181" s="14" t="str">
        <f t="shared" si="270"/>
        <v>SRY-4-1</v>
      </c>
      <c r="B1181" s="15">
        <f>'Curvas SRY'!$B$11</f>
        <v>5</v>
      </c>
      <c r="C1181" s="15">
        <f>'Curvas SRY'!$E$8</f>
        <v>0.75</v>
      </c>
      <c r="D1181" s="14" t="str">
        <f>'Curvas SRY'!$B$14</f>
        <v>Uso variable</v>
      </c>
      <c r="E1181" s="14">
        <f>98</f>
        <v>98</v>
      </c>
      <c r="F1181" s="21">
        <f>'Hoja 4 - Cálculo'!A122</f>
        <v>32540</v>
      </c>
      <c r="G1181" s="15">
        <f>'Hoja 4 - Cálculo'!H122</f>
        <v>12.43125</v>
      </c>
      <c r="H1181" s="15">
        <f>IF(D1181="Uso único",'Hoja 4 - Cálculo'!I122,IF(D1181="Uso múltiple",AVERAGE('Hoja 4 - Cálculo'!$I$25:$I$384)+AVERAGE('Hoja 4 - Cálculo'!$J$25:$J$384)+AVERAGE('Hoja 4 - Cálculo'!$K$25:$K$384),IF(D1181="Uso prioritario",'Hoja 4 - Cálculo'!I122+'Hoja 4 - Cálculo'!K122,'Hoja 4 - Cálculo'!I122+'Hoja 4 - Cálculo'!J122+'Hoja 4 - Cálculo'!K122)))</f>
        <v>16</v>
      </c>
      <c r="I1181" s="15">
        <f t="shared" si="264"/>
        <v>12</v>
      </c>
      <c r="J1181" s="15">
        <f t="shared" ref="J1181:J1203" si="271">N1180</f>
        <v>4.4266374999999982</v>
      </c>
      <c r="K1181" s="15">
        <f>MIN(J1181+G1181,(J1181+G1181)*'Hoja 4 - Cálculo'!$B$15)</f>
        <v>0.33715774999999992</v>
      </c>
      <c r="L1181" s="15">
        <f t="shared" si="265"/>
        <v>16.520729749999997</v>
      </c>
      <c r="M1181" s="15">
        <f t="shared" si="266"/>
        <v>12</v>
      </c>
      <c r="N1181" s="15">
        <f t="shared" si="267"/>
        <v>4.5207297499999974</v>
      </c>
      <c r="O1181" s="15">
        <f t="shared" si="268"/>
        <v>0</v>
      </c>
      <c r="P1181" s="15">
        <f t="shared" si="269"/>
        <v>0</v>
      </c>
      <c r="Q1181" s="14" t="str">
        <f>IF(M1181&gt;=I1181*'Hoja 4 - Cálculo'!$B$16,"Satisfactorio","Falla")</f>
        <v>Satisfactorio</v>
      </c>
      <c r="R1181" s="14">
        <f t="shared" ref="R1181:R1212" si="272">IF(AND(Q1180="Falla",Q1181="Satisfactorio"),1,0)</f>
        <v>0</v>
      </c>
      <c r="S1181" s="14">
        <f t="shared" ref="S1181:S1203" si="273">IF(AND(Q1181="Falla",Q1180&lt;&gt;"Falla"),1,0)</f>
        <v>0</v>
      </c>
    </row>
    <row r="1182" spans="1:19">
      <c r="A1182" s="14" t="str">
        <f t="shared" si="270"/>
        <v>SRY-4-1</v>
      </c>
      <c r="B1182" s="15">
        <f>'Curvas SRY'!$B$11</f>
        <v>5</v>
      </c>
      <c r="C1182" s="15">
        <f>'Curvas SRY'!$E$8</f>
        <v>0.75</v>
      </c>
      <c r="D1182" s="14" t="str">
        <f>'Curvas SRY'!$B$14</f>
        <v>Uso variable</v>
      </c>
      <c r="E1182" s="14">
        <f>99</f>
        <v>99</v>
      </c>
      <c r="F1182" s="21">
        <f>'Hoja 4 - Cálculo'!A123</f>
        <v>32568</v>
      </c>
      <c r="G1182" s="15">
        <f>'Hoja 4 - Cálculo'!H123</f>
        <v>19.717874999999999</v>
      </c>
      <c r="H1182" s="15">
        <f>IF(D1182="Uso único",'Hoja 4 - Cálculo'!I123,IF(D1182="Uso múltiple",AVERAGE('Hoja 4 - Cálculo'!$I$25:$I$384)+AVERAGE('Hoja 4 - Cálculo'!$J$25:$J$384)+AVERAGE('Hoja 4 - Cálculo'!$K$25:$K$384),IF(D1182="Uso prioritario",'Hoja 4 - Cálculo'!I123+'Hoja 4 - Cálculo'!K123,'Hoja 4 - Cálculo'!I123+'Hoja 4 - Cálculo'!J123+'Hoja 4 - Cálculo'!K123)))</f>
        <v>16</v>
      </c>
      <c r="I1182" s="15">
        <f t="shared" si="264"/>
        <v>12</v>
      </c>
      <c r="J1182" s="15">
        <f t="shared" si="271"/>
        <v>4.5207297499999974</v>
      </c>
      <c r="K1182" s="15">
        <f>MIN(J1182+G1182,(J1182+G1182)*'Hoja 4 - Cálculo'!$B$15)</f>
        <v>0.48477209499999996</v>
      </c>
      <c r="L1182" s="15">
        <f t="shared" si="265"/>
        <v>23.753832654999997</v>
      </c>
      <c r="M1182" s="15">
        <f t="shared" si="266"/>
        <v>12</v>
      </c>
      <c r="N1182" s="15">
        <f t="shared" si="267"/>
        <v>5</v>
      </c>
      <c r="O1182" s="15">
        <f t="shared" si="268"/>
        <v>6.7538326549999965</v>
      </c>
      <c r="P1182" s="15">
        <f t="shared" si="269"/>
        <v>0</v>
      </c>
      <c r="Q1182" s="14" t="str">
        <f>IF(M1182&gt;=I1182*'Hoja 4 - Cálculo'!$B$16,"Satisfactorio","Falla")</f>
        <v>Satisfactorio</v>
      </c>
      <c r="R1182" s="14">
        <f t="shared" si="272"/>
        <v>0</v>
      </c>
      <c r="S1182" s="14">
        <f t="shared" si="273"/>
        <v>0</v>
      </c>
    </row>
    <row r="1183" spans="1:19">
      <c r="A1183" s="14" t="str">
        <f t="shared" si="270"/>
        <v>SRY-4-1</v>
      </c>
      <c r="B1183" s="15">
        <f>'Curvas SRY'!$B$11</f>
        <v>5</v>
      </c>
      <c r="C1183" s="15">
        <f>'Curvas SRY'!$E$8</f>
        <v>0.75</v>
      </c>
      <c r="D1183" s="14" t="str">
        <f>'Curvas SRY'!$B$14</f>
        <v>Uso variable</v>
      </c>
      <c r="E1183" s="14">
        <f>100</f>
        <v>100</v>
      </c>
      <c r="F1183" s="21">
        <f>'Hoja 4 - Cálculo'!A124</f>
        <v>32599</v>
      </c>
      <c r="G1183" s="15">
        <f>'Hoja 4 - Cálculo'!H124</f>
        <v>26.029125000000001</v>
      </c>
      <c r="H1183" s="15">
        <f>IF(D1183="Uso único",'Hoja 4 - Cálculo'!I124,IF(D1183="Uso múltiple",AVERAGE('Hoja 4 - Cálculo'!$I$25:$I$384)+AVERAGE('Hoja 4 - Cálculo'!$J$25:$J$384)+AVERAGE('Hoja 4 - Cálculo'!$K$25:$K$384),IF(D1183="Uso prioritario",'Hoja 4 - Cálculo'!I124+'Hoja 4 - Cálculo'!K124,'Hoja 4 - Cálculo'!I124+'Hoja 4 - Cálculo'!J124+'Hoja 4 - Cálculo'!K124)))</f>
        <v>11.5</v>
      </c>
      <c r="I1183" s="15">
        <f t="shared" si="264"/>
        <v>8.625</v>
      </c>
      <c r="J1183" s="15">
        <f t="shared" si="271"/>
        <v>5</v>
      </c>
      <c r="K1183" s="15">
        <f>MIN(J1183+G1183,(J1183+G1183)*'Hoja 4 - Cálculo'!$B$15)</f>
        <v>0.62058250000000004</v>
      </c>
      <c r="L1183" s="15">
        <f t="shared" si="265"/>
        <v>30.408542499999999</v>
      </c>
      <c r="M1183" s="15">
        <f t="shared" si="266"/>
        <v>8.625</v>
      </c>
      <c r="N1183" s="15">
        <f t="shared" si="267"/>
        <v>5</v>
      </c>
      <c r="O1183" s="15">
        <f t="shared" si="268"/>
        <v>16.783542499999999</v>
      </c>
      <c r="P1183" s="15">
        <f t="shared" si="269"/>
        <v>0</v>
      </c>
      <c r="Q1183" s="14" t="str">
        <f>IF(M1183&gt;=I1183*'Hoja 4 - Cálculo'!$B$16,"Satisfactorio","Falla")</f>
        <v>Satisfactorio</v>
      </c>
      <c r="R1183" s="14">
        <f t="shared" si="272"/>
        <v>0</v>
      </c>
      <c r="S1183" s="14">
        <f t="shared" si="273"/>
        <v>0</v>
      </c>
    </row>
    <row r="1184" spans="1:19">
      <c r="A1184" s="14" t="str">
        <f t="shared" si="270"/>
        <v>SRY-4-1</v>
      </c>
      <c r="B1184" s="15">
        <f>'Curvas SRY'!$B$11</f>
        <v>5</v>
      </c>
      <c r="C1184" s="15">
        <f>'Curvas SRY'!$E$8</f>
        <v>0.75</v>
      </c>
      <c r="D1184" s="14" t="str">
        <f>'Curvas SRY'!$B$14</f>
        <v>Uso variable</v>
      </c>
      <c r="E1184" s="14">
        <f>101</f>
        <v>101</v>
      </c>
      <c r="F1184" s="21">
        <f>'Hoja 4 - Cálculo'!A125</f>
        <v>32629</v>
      </c>
      <c r="G1184" s="15">
        <f>'Hoja 4 - Cálculo'!H125</f>
        <v>24.728625000000005</v>
      </c>
      <c r="H1184" s="15">
        <f>IF(D1184="Uso único",'Hoja 4 - Cálculo'!I125,IF(D1184="Uso múltiple",AVERAGE('Hoja 4 - Cálculo'!$I$25:$I$384)+AVERAGE('Hoja 4 - Cálculo'!$J$25:$J$384)+AVERAGE('Hoja 4 - Cálculo'!$K$25:$K$384),IF(D1184="Uso prioritario",'Hoja 4 - Cálculo'!I125+'Hoja 4 - Cálculo'!K125,'Hoja 4 - Cálculo'!I125+'Hoja 4 - Cálculo'!J125+'Hoja 4 - Cálculo'!K125)))</f>
        <v>11.5</v>
      </c>
      <c r="I1184" s="15">
        <f t="shared" si="264"/>
        <v>8.625</v>
      </c>
      <c r="J1184" s="15">
        <f t="shared" si="271"/>
        <v>5</v>
      </c>
      <c r="K1184" s="15">
        <f>MIN(J1184+G1184,(J1184+G1184)*'Hoja 4 - Cálculo'!$B$15)</f>
        <v>0.59457250000000006</v>
      </c>
      <c r="L1184" s="15">
        <f t="shared" si="265"/>
        <v>29.134052500000003</v>
      </c>
      <c r="M1184" s="15">
        <f t="shared" si="266"/>
        <v>8.625</v>
      </c>
      <c r="N1184" s="15">
        <f t="shared" si="267"/>
        <v>5</v>
      </c>
      <c r="O1184" s="15">
        <f t="shared" si="268"/>
        <v>15.509052500000003</v>
      </c>
      <c r="P1184" s="15">
        <f t="shared" si="269"/>
        <v>0</v>
      </c>
      <c r="Q1184" s="14" t="str">
        <f>IF(M1184&gt;=I1184*'Hoja 4 - Cálculo'!$B$16,"Satisfactorio","Falla")</f>
        <v>Satisfactorio</v>
      </c>
      <c r="R1184" s="14">
        <f t="shared" si="272"/>
        <v>0</v>
      </c>
      <c r="S1184" s="14">
        <f t="shared" si="273"/>
        <v>0</v>
      </c>
    </row>
    <row r="1185" spans="1:19">
      <c r="A1185" s="14" t="str">
        <f t="shared" si="270"/>
        <v>SRY-4-1</v>
      </c>
      <c r="B1185" s="15">
        <f>'Curvas SRY'!$B$11</f>
        <v>5</v>
      </c>
      <c r="C1185" s="15">
        <f>'Curvas SRY'!$E$8</f>
        <v>0.75</v>
      </c>
      <c r="D1185" s="14" t="str">
        <f>'Curvas SRY'!$B$14</f>
        <v>Uso variable</v>
      </c>
      <c r="E1185" s="14">
        <f>102</f>
        <v>102</v>
      </c>
      <c r="F1185" s="21">
        <f>'Hoja 4 - Cálculo'!A126</f>
        <v>32660</v>
      </c>
      <c r="G1185" s="15">
        <f>'Hoja 4 - Cálculo'!H126</f>
        <v>14.515874999999999</v>
      </c>
      <c r="H1185" s="15">
        <f>IF(D1185="Uso único",'Hoja 4 - Cálculo'!I126,IF(D1185="Uso múltiple",AVERAGE('Hoja 4 - Cálculo'!$I$25:$I$384)+AVERAGE('Hoja 4 - Cálculo'!$J$25:$J$384)+AVERAGE('Hoja 4 - Cálculo'!$K$25:$K$384),IF(D1185="Uso prioritario",'Hoja 4 - Cálculo'!I126+'Hoja 4 - Cálculo'!K126,'Hoja 4 - Cálculo'!I126+'Hoja 4 - Cálculo'!J126+'Hoja 4 - Cálculo'!K126)))</f>
        <v>11.5</v>
      </c>
      <c r="I1185" s="15">
        <f t="shared" si="264"/>
        <v>8.625</v>
      </c>
      <c r="J1185" s="15">
        <f t="shared" si="271"/>
        <v>5</v>
      </c>
      <c r="K1185" s="15">
        <f>MIN(J1185+G1185,(J1185+G1185)*'Hoja 4 - Cálculo'!$B$15)</f>
        <v>0.39031750000000004</v>
      </c>
      <c r="L1185" s="15">
        <f t="shared" si="265"/>
        <v>19.125557500000003</v>
      </c>
      <c r="M1185" s="15">
        <f t="shared" si="266"/>
        <v>8.625</v>
      </c>
      <c r="N1185" s="15">
        <f t="shared" si="267"/>
        <v>5</v>
      </c>
      <c r="O1185" s="15">
        <f t="shared" si="268"/>
        <v>5.5005575000000029</v>
      </c>
      <c r="P1185" s="15">
        <f t="shared" si="269"/>
        <v>0</v>
      </c>
      <c r="Q1185" s="14" t="str">
        <f>IF(M1185&gt;=I1185*'Hoja 4 - Cálculo'!$B$16,"Satisfactorio","Falla")</f>
        <v>Satisfactorio</v>
      </c>
      <c r="R1185" s="14">
        <f t="shared" si="272"/>
        <v>0</v>
      </c>
      <c r="S1185" s="14">
        <f t="shared" si="273"/>
        <v>0</v>
      </c>
    </row>
    <row r="1186" spans="1:19">
      <c r="A1186" s="14" t="str">
        <f t="shared" si="270"/>
        <v>SRY-4-1</v>
      </c>
      <c r="B1186" s="15">
        <f>'Curvas SRY'!$B$11</f>
        <v>5</v>
      </c>
      <c r="C1186" s="15">
        <f>'Curvas SRY'!$E$8</f>
        <v>0.75</v>
      </c>
      <c r="D1186" s="14" t="str">
        <f>'Curvas SRY'!$B$14</f>
        <v>Uso variable</v>
      </c>
      <c r="E1186" s="14">
        <f>103</f>
        <v>103</v>
      </c>
      <c r="F1186" s="21">
        <f>'Hoja 4 - Cálculo'!A127</f>
        <v>32690</v>
      </c>
      <c r="G1186" s="15">
        <f>'Hoja 4 - Cálculo'!H127</f>
        <v>12.144375</v>
      </c>
      <c r="H1186" s="15">
        <f>IF(D1186="Uso único",'Hoja 4 - Cálculo'!I127,IF(D1186="Uso múltiple",AVERAGE('Hoja 4 - Cálculo'!$I$25:$I$384)+AVERAGE('Hoja 4 - Cálculo'!$J$25:$J$384)+AVERAGE('Hoja 4 - Cálculo'!$K$25:$K$384),IF(D1186="Uso prioritario",'Hoja 4 - Cálculo'!I127+'Hoja 4 - Cálculo'!K127,'Hoja 4 - Cálculo'!I127+'Hoja 4 - Cálculo'!J127+'Hoja 4 - Cálculo'!K127)))</f>
        <v>16</v>
      </c>
      <c r="I1186" s="15">
        <f t="shared" si="264"/>
        <v>12</v>
      </c>
      <c r="J1186" s="15">
        <f t="shared" si="271"/>
        <v>5</v>
      </c>
      <c r="K1186" s="15">
        <f>MIN(J1186+G1186,(J1186+G1186)*'Hoja 4 - Cálculo'!$B$15)</f>
        <v>0.34288750000000001</v>
      </c>
      <c r="L1186" s="15">
        <f t="shared" si="265"/>
        <v>16.8014875</v>
      </c>
      <c r="M1186" s="15">
        <f t="shared" si="266"/>
        <v>12</v>
      </c>
      <c r="N1186" s="15">
        <f t="shared" si="267"/>
        <v>4.8014875000000004</v>
      </c>
      <c r="O1186" s="15">
        <f t="shared" si="268"/>
        <v>0</v>
      </c>
      <c r="P1186" s="15">
        <f t="shared" si="269"/>
        <v>0</v>
      </c>
      <c r="Q1186" s="14" t="str">
        <f>IF(M1186&gt;=I1186*'Hoja 4 - Cálculo'!$B$16,"Satisfactorio","Falla")</f>
        <v>Satisfactorio</v>
      </c>
      <c r="R1186" s="14">
        <f t="shared" si="272"/>
        <v>0</v>
      </c>
      <c r="S1186" s="14">
        <f t="shared" si="273"/>
        <v>0</v>
      </c>
    </row>
    <row r="1187" spans="1:19">
      <c r="A1187" s="14" t="str">
        <f t="shared" si="270"/>
        <v>SRY-4-1</v>
      </c>
      <c r="B1187" s="15">
        <f>'Curvas SRY'!$B$11</f>
        <v>5</v>
      </c>
      <c r="C1187" s="15">
        <f>'Curvas SRY'!$E$8</f>
        <v>0.75</v>
      </c>
      <c r="D1187" s="14" t="str">
        <f>'Curvas SRY'!$B$14</f>
        <v>Uso variable</v>
      </c>
      <c r="E1187" s="14">
        <f>104</f>
        <v>104</v>
      </c>
      <c r="F1187" s="21">
        <f>'Hoja 4 - Cálculo'!A128</f>
        <v>32721</v>
      </c>
      <c r="G1187" s="15">
        <f>'Hoja 4 - Cálculo'!H128</f>
        <v>13.04325</v>
      </c>
      <c r="H1187" s="15">
        <f>IF(D1187="Uso único",'Hoja 4 - Cálculo'!I128,IF(D1187="Uso múltiple",AVERAGE('Hoja 4 - Cálculo'!$I$25:$I$384)+AVERAGE('Hoja 4 - Cálculo'!$J$25:$J$384)+AVERAGE('Hoja 4 - Cálculo'!$K$25:$K$384),IF(D1187="Uso prioritario",'Hoja 4 - Cálculo'!I128+'Hoja 4 - Cálculo'!K128,'Hoja 4 - Cálculo'!I128+'Hoja 4 - Cálculo'!J128+'Hoja 4 - Cálculo'!K128)))</f>
        <v>16</v>
      </c>
      <c r="I1187" s="15">
        <f t="shared" si="264"/>
        <v>12</v>
      </c>
      <c r="J1187" s="15">
        <f t="shared" si="271"/>
        <v>4.8014875000000004</v>
      </c>
      <c r="K1187" s="15">
        <f>MIN(J1187+G1187,(J1187+G1187)*'Hoja 4 - Cálculo'!$B$15)</f>
        <v>0.35689475000000004</v>
      </c>
      <c r="L1187" s="15">
        <f t="shared" si="265"/>
        <v>17.487842750000002</v>
      </c>
      <c r="M1187" s="15">
        <f t="shared" si="266"/>
        <v>12</v>
      </c>
      <c r="N1187" s="15">
        <f t="shared" si="267"/>
        <v>5</v>
      </c>
      <c r="O1187" s="15">
        <f t="shared" si="268"/>
        <v>0.48784275000000221</v>
      </c>
      <c r="P1187" s="15">
        <f t="shared" si="269"/>
        <v>0</v>
      </c>
      <c r="Q1187" s="14" t="str">
        <f>IF(M1187&gt;=I1187*'Hoja 4 - Cálculo'!$B$16,"Satisfactorio","Falla")</f>
        <v>Satisfactorio</v>
      </c>
      <c r="R1187" s="14">
        <f t="shared" si="272"/>
        <v>0</v>
      </c>
      <c r="S1187" s="14">
        <f t="shared" si="273"/>
        <v>0</v>
      </c>
    </row>
    <row r="1188" spans="1:19">
      <c r="A1188" s="14" t="str">
        <f t="shared" si="270"/>
        <v>SRY-4-1</v>
      </c>
      <c r="B1188" s="15">
        <f>'Curvas SRY'!$B$11</f>
        <v>5</v>
      </c>
      <c r="C1188" s="15">
        <f>'Curvas SRY'!$E$8</f>
        <v>0.75</v>
      </c>
      <c r="D1188" s="14" t="str">
        <f>'Curvas SRY'!$B$14</f>
        <v>Uso variable</v>
      </c>
      <c r="E1188" s="14">
        <f>105</f>
        <v>105</v>
      </c>
      <c r="F1188" s="21">
        <f>'Hoja 4 - Cálculo'!A129</f>
        <v>32752</v>
      </c>
      <c r="G1188" s="15">
        <f>'Hoja 4 - Cálculo'!H129</f>
        <v>20.444624999999998</v>
      </c>
      <c r="H1188" s="15">
        <f>IF(D1188="Uso único",'Hoja 4 - Cálculo'!I129,IF(D1188="Uso múltiple",AVERAGE('Hoja 4 - Cálculo'!$I$25:$I$384)+AVERAGE('Hoja 4 - Cálculo'!$J$25:$J$384)+AVERAGE('Hoja 4 - Cálculo'!$K$25:$K$384),IF(D1188="Uso prioritario",'Hoja 4 - Cálculo'!I129+'Hoja 4 - Cálculo'!K129,'Hoja 4 - Cálculo'!I129+'Hoja 4 - Cálculo'!J129+'Hoja 4 - Cálculo'!K129)))</f>
        <v>11.5</v>
      </c>
      <c r="I1188" s="15">
        <f t="shared" si="264"/>
        <v>8.625</v>
      </c>
      <c r="J1188" s="15">
        <f t="shared" si="271"/>
        <v>5</v>
      </c>
      <c r="K1188" s="15">
        <f>MIN(J1188+G1188,(J1188+G1188)*'Hoja 4 - Cálculo'!$B$15)</f>
        <v>0.50889249999999997</v>
      </c>
      <c r="L1188" s="15">
        <f t="shared" si="265"/>
        <v>24.9357325</v>
      </c>
      <c r="M1188" s="15">
        <f t="shared" si="266"/>
        <v>8.625</v>
      </c>
      <c r="N1188" s="15">
        <f t="shared" si="267"/>
        <v>5</v>
      </c>
      <c r="O1188" s="15">
        <f t="shared" si="268"/>
        <v>11.3107325</v>
      </c>
      <c r="P1188" s="15">
        <f t="shared" si="269"/>
        <v>0</v>
      </c>
      <c r="Q1188" s="14" t="str">
        <f>IF(M1188&gt;=I1188*'Hoja 4 - Cálculo'!$B$16,"Satisfactorio","Falla")</f>
        <v>Satisfactorio</v>
      </c>
      <c r="R1188" s="14">
        <f t="shared" si="272"/>
        <v>0</v>
      </c>
      <c r="S1188" s="14">
        <f t="shared" si="273"/>
        <v>0</v>
      </c>
    </row>
    <row r="1189" spans="1:19">
      <c r="A1189" s="14" t="str">
        <f t="shared" si="270"/>
        <v>SRY-4-1</v>
      </c>
      <c r="B1189" s="15">
        <f>'Curvas SRY'!$B$11</f>
        <v>5</v>
      </c>
      <c r="C1189" s="15">
        <f>'Curvas SRY'!$E$8</f>
        <v>0.75</v>
      </c>
      <c r="D1189" s="14" t="str">
        <f>'Curvas SRY'!$B$14</f>
        <v>Uso variable</v>
      </c>
      <c r="E1189" s="14">
        <f>106</f>
        <v>106</v>
      </c>
      <c r="F1189" s="21">
        <f>'Hoja 4 - Cálculo'!A130</f>
        <v>32782</v>
      </c>
      <c r="G1189" s="15">
        <f>'Hoja 4 - Cálculo'!H130</f>
        <v>28.343250000000001</v>
      </c>
      <c r="H1189" s="15">
        <f>IF(D1189="Uso único",'Hoja 4 - Cálculo'!I130,IF(D1189="Uso múltiple",AVERAGE('Hoja 4 - Cálculo'!$I$25:$I$384)+AVERAGE('Hoja 4 - Cálculo'!$J$25:$J$384)+AVERAGE('Hoja 4 - Cálculo'!$K$25:$K$384),IF(D1189="Uso prioritario",'Hoja 4 - Cálculo'!I130+'Hoja 4 - Cálculo'!K130,'Hoja 4 - Cálculo'!I130+'Hoja 4 - Cálculo'!J130+'Hoja 4 - Cálculo'!K130)))</f>
        <v>11.5</v>
      </c>
      <c r="I1189" s="15">
        <f t="shared" si="264"/>
        <v>8.625</v>
      </c>
      <c r="J1189" s="15">
        <f t="shared" si="271"/>
        <v>5</v>
      </c>
      <c r="K1189" s="15">
        <f>MIN(J1189+G1189,(J1189+G1189)*'Hoja 4 - Cálculo'!$B$15)</f>
        <v>0.66686499999999993</v>
      </c>
      <c r="L1189" s="15">
        <f t="shared" si="265"/>
        <v>32.676384999999996</v>
      </c>
      <c r="M1189" s="15">
        <f t="shared" si="266"/>
        <v>8.625</v>
      </c>
      <c r="N1189" s="15">
        <f t="shared" si="267"/>
        <v>5</v>
      </c>
      <c r="O1189" s="15">
        <f t="shared" si="268"/>
        <v>19.051384999999996</v>
      </c>
      <c r="P1189" s="15">
        <f t="shared" si="269"/>
        <v>0</v>
      </c>
      <c r="Q1189" s="14" t="str">
        <f>IF(M1189&gt;=I1189*'Hoja 4 - Cálculo'!$B$16,"Satisfactorio","Falla")</f>
        <v>Satisfactorio</v>
      </c>
      <c r="R1189" s="14">
        <f t="shared" si="272"/>
        <v>0</v>
      </c>
      <c r="S1189" s="14">
        <f t="shared" si="273"/>
        <v>0</v>
      </c>
    </row>
    <row r="1190" spans="1:19">
      <c r="A1190" s="14" t="str">
        <f t="shared" si="270"/>
        <v>SRY-4-1</v>
      </c>
      <c r="B1190" s="15">
        <f>'Curvas SRY'!$B$11</f>
        <v>5</v>
      </c>
      <c r="C1190" s="15">
        <f>'Curvas SRY'!$E$8</f>
        <v>0.75</v>
      </c>
      <c r="D1190" s="14" t="str">
        <f>'Curvas SRY'!$B$14</f>
        <v>Uso variable</v>
      </c>
      <c r="E1190" s="14">
        <f>107</f>
        <v>107</v>
      </c>
      <c r="F1190" s="21">
        <f>'Hoja 4 - Cálculo'!A131</f>
        <v>32813</v>
      </c>
      <c r="G1190" s="15">
        <f>'Hoja 4 - Cálculo'!H131</f>
        <v>22.60575</v>
      </c>
      <c r="H1190" s="15">
        <f>IF(D1190="Uso único",'Hoja 4 - Cálculo'!I131,IF(D1190="Uso múltiple",AVERAGE('Hoja 4 - Cálculo'!$I$25:$I$384)+AVERAGE('Hoja 4 - Cálculo'!$J$25:$J$384)+AVERAGE('Hoja 4 - Cálculo'!$K$25:$K$384),IF(D1190="Uso prioritario",'Hoja 4 - Cálculo'!I131+'Hoja 4 - Cálculo'!K131,'Hoja 4 - Cálculo'!I131+'Hoja 4 - Cálculo'!J131+'Hoja 4 - Cálculo'!K131)))</f>
        <v>11.5</v>
      </c>
      <c r="I1190" s="15">
        <f t="shared" si="264"/>
        <v>8.625</v>
      </c>
      <c r="J1190" s="15">
        <f t="shared" si="271"/>
        <v>5</v>
      </c>
      <c r="K1190" s="15">
        <f>MIN(J1190+G1190,(J1190+G1190)*'Hoja 4 - Cálculo'!$B$15)</f>
        <v>0.55211500000000002</v>
      </c>
      <c r="L1190" s="15">
        <f t="shared" si="265"/>
        <v>27.053635</v>
      </c>
      <c r="M1190" s="15">
        <f t="shared" si="266"/>
        <v>8.625</v>
      </c>
      <c r="N1190" s="15">
        <f t="shared" si="267"/>
        <v>5</v>
      </c>
      <c r="O1190" s="15">
        <f t="shared" si="268"/>
        <v>13.428635</v>
      </c>
      <c r="P1190" s="15">
        <f t="shared" si="269"/>
        <v>0</v>
      </c>
      <c r="Q1190" s="14" t="str">
        <f>IF(M1190&gt;=I1190*'Hoja 4 - Cálculo'!$B$16,"Satisfactorio","Falla")</f>
        <v>Satisfactorio</v>
      </c>
      <c r="R1190" s="14">
        <f t="shared" si="272"/>
        <v>0</v>
      </c>
      <c r="S1190" s="14">
        <f t="shared" si="273"/>
        <v>0</v>
      </c>
    </row>
    <row r="1191" spans="1:19">
      <c r="A1191" s="14" t="str">
        <f t="shared" si="270"/>
        <v>SRY-4-1</v>
      </c>
      <c r="B1191" s="15">
        <f>'Curvas SRY'!$B$11</f>
        <v>5</v>
      </c>
      <c r="C1191" s="15">
        <f>'Curvas SRY'!$E$8</f>
        <v>0.75</v>
      </c>
      <c r="D1191" s="14" t="str">
        <f>'Curvas SRY'!$B$14</f>
        <v>Uso variable</v>
      </c>
      <c r="E1191" s="14">
        <f>108</f>
        <v>108</v>
      </c>
      <c r="F1191" s="21">
        <f>'Hoja 4 - Cálculo'!A132</f>
        <v>32843</v>
      </c>
      <c r="G1191" s="15">
        <f>'Hoja 4 - Cálculo'!H132</f>
        <v>14.362875000000001</v>
      </c>
      <c r="H1191" s="15">
        <f>IF(D1191="Uso único",'Hoja 4 - Cálculo'!I132,IF(D1191="Uso múltiple",AVERAGE('Hoja 4 - Cálculo'!$I$25:$I$384)+AVERAGE('Hoja 4 - Cálculo'!$J$25:$J$384)+AVERAGE('Hoja 4 - Cálculo'!$K$25:$K$384),IF(D1191="Uso prioritario",'Hoja 4 - Cálculo'!I132+'Hoja 4 - Cálculo'!K132,'Hoja 4 - Cálculo'!I132+'Hoja 4 - Cálculo'!J132+'Hoja 4 - Cálculo'!K132)))</f>
        <v>16</v>
      </c>
      <c r="I1191" s="15">
        <f t="shared" si="264"/>
        <v>12</v>
      </c>
      <c r="J1191" s="15">
        <f t="shared" si="271"/>
        <v>5</v>
      </c>
      <c r="K1191" s="15">
        <f>MIN(J1191+G1191,(J1191+G1191)*'Hoja 4 - Cálculo'!$B$15)</f>
        <v>0.38725750000000003</v>
      </c>
      <c r="L1191" s="15">
        <f t="shared" si="265"/>
        <v>18.975617500000002</v>
      </c>
      <c r="M1191" s="15">
        <f t="shared" si="266"/>
        <v>12</v>
      </c>
      <c r="N1191" s="15">
        <f t="shared" si="267"/>
        <v>5</v>
      </c>
      <c r="O1191" s="15">
        <f t="shared" si="268"/>
        <v>1.975617500000002</v>
      </c>
      <c r="P1191" s="15">
        <f t="shared" si="269"/>
        <v>0</v>
      </c>
      <c r="Q1191" s="14" t="str">
        <f>IF(M1191&gt;=I1191*'Hoja 4 - Cálculo'!$B$16,"Satisfactorio","Falla")</f>
        <v>Satisfactorio</v>
      </c>
      <c r="R1191" s="14">
        <f t="shared" si="272"/>
        <v>0</v>
      </c>
      <c r="S1191" s="14">
        <f t="shared" si="273"/>
        <v>0</v>
      </c>
    </row>
    <row r="1192" spans="1:19">
      <c r="A1192" s="14" t="str">
        <f t="shared" si="270"/>
        <v>SRY-4-1</v>
      </c>
      <c r="B1192" s="15">
        <f>'Curvas SRY'!$B$11</f>
        <v>5</v>
      </c>
      <c r="C1192" s="15">
        <f>'Curvas SRY'!$E$8</f>
        <v>0.75</v>
      </c>
      <c r="D1192" s="14" t="str">
        <f>'Curvas SRY'!$B$14</f>
        <v>Uso variable</v>
      </c>
      <c r="E1192" s="14">
        <f>109</f>
        <v>109</v>
      </c>
      <c r="F1192" s="21">
        <f>'Hoja 4 - Cálculo'!A133</f>
        <v>32874</v>
      </c>
      <c r="G1192" s="15">
        <f>'Hoja 4 - Cálculo'!H133</f>
        <v>11.723625</v>
      </c>
      <c r="H1192" s="15">
        <f>IF(D1192="Uso único",'Hoja 4 - Cálculo'!I133,IF(D1192="Uso múltiple",AVERAGE('Hoja 4 - Cálculo'!$I$25:$I$384)+AVERAGE('Hoja 4 - Cálculo'!$J$25:$J$384)+AVERAGE('Hoja 4 - Cálculo'!$K$25:$K$384),IF(D1192="Uso prioritario",'Hoja 4 - Cálculo'!I133+'Hoja 4 - Cálculo'!K133,'Hoja 4 - Cálculo'!I133+'Hoja 4 - Cálculo'!J133+'Hoja 4 - Cálculo'!K133)))</f>
        <v>16</v>
      </c>
      <c r="I1192" s="15">
        <f t="shared" si="264"/>
        <v>12</v>
      </c>
      <c r="J1192" s="15">
        <f t="shared" si="271"/>
        <v>5</v>
      </c>
      <c r="K1192" s="15">
        <f>MIN(J1192+G1192,(J1192+G1192)*'Hoja 4 - Cálculo'!$B$15)</f>
        <v>0.33447249999999995</v>
      </c>
      <c r="L1192" s="15">
        <f t="shared" si="265"/>
        <v>16.389152499999998</v>
      </c>
      <c r="M1192" s="15">
        <f t="shared" si="266"/>
        <v>12</v>
      </c>
      <c r="N1192" s="15">
        <f t="shared" si="267"/>
        <v>4.389152499999998</v>
      </c>
      <c r="O1192" s="15">
        <f t="shared" si="268"/>
        <v>0</v>
      </c>
      <c r="P1192" s="15">
        <f t="shared" si="269"/>
        <v>0</v>
      </c>
      <c r="Q1192" s="14" t="str">
        <f>IF(M1192&gt;=I1192*'Hoja 4 - Cálculo'!$B$16,"Satisfactorio","Falla")</f>
        <v>Satisfactorio</v>
      </c>
      <c r="R1192" s="14">
        <f t="shared" si="272"/>
        <v>0</v>
      </c>
      <c r="S1192" s="14">
        <f t="shared" si="273"/>
        <v>0</v>
      </c>
    </row>
    <row r="1193" spans="1:19">
      <c r="A1193" s="14" t="str">
        <f t="shared" si="270"/>
        <v>SRY-4-1</v>
      </c>
      <c r="B1193" s="15">
        <f>'Curvas SRY'!$B$11</f>
        <v>5</v>
      </c>
      <c r="C1193" s="15">
        <f>'Curvas SRY'!$E$8</f>
        <v>0.75</v>
      </c>
      <c r="D1193" s="14" t="str">
        <f>'Curvas SRY'!$B$14</f>
        <v>Uso variable</v>
      </c>
      <c r="E1193" s="14">
        <f>110</f>
        <v>110</v>
      </c>
      <c r="F1193" s="21">
        <f>'Hoja 4 - Cálculo'!A134</f>
        <v>32905</v>
      </c>
      <c r="G1193" s="15">
        <f>'Hoja 4 - Cálculo'!H134</f>
        <v>13.311</v>
      </c>
      <c r="H1193" s="15">
        <f>IF(D1193="Uso único",'Hoja 4 - Cálculo'!I134,IF(D1193="Uso múltiple",AVERAGE('Hoja 4 - Cálculo'!$I$25:$I$384)+AVERAGE('Hoja 4 - Cálculo'!$J$25:$J$384)+AVERAGE('Hoja 4 - Cálculo'!$K$25:$K$384),IF(D1193="Uso prioritario",'Hoja 4 - Cálculo'!I134+'Hoja 4 - Cálculo'!K134,'Hoja 4 - Cálculo'!I134+'Hoja 4 - Cálculo'!J134+'Hoja 4 - Cálculo'!K134)))</f>
        <v>16</v>
      </c>
      <c r="I1193" s="15">
        <f t="shared" si="264"/>
        <v>12</v>
      </c>
      <c r="J1193" s="15">
        <f t="shared" si="271"/>
        <v>4.389152499999998</v>
      </c>
      <c r="K1193" s="15">
        <f>MIN(J1193+G1193,(J1193+G1193)*'Hoja 4 - Cálculo'!$B$15)</f>
        <v>0.35400304999999999</v>
      </c>
      <c r="L1193" s="15">
        <f t="shared" si="265"/>
        <v>17.346149449999999</v>
      </c>
      <c r="M1193" s="15">
        <f t="shared" si="266"/>
        <v>12</v>
      </c>
      <c r="N1193" s="15">
        <f t="shared" si="267"/>
        <v>5</v>
      </c>
      <c r="O1193" s="15">
        <f t="shared" si="268"/>
        <v>0.34614944999999864</v>
      </c>
      <c r="P1193" s="15">
        <f t="shared" si="269"/>
        <v>0</v>
      </c>
      <c r="Q1193" s="14" t="str">
        <f>IF(M1193&gt;=I1193*'Hoja 4 - Cálculo'!$B$16,"Satisfactorio","Falla")</f>
        <v>Satisfactorio</v>
      </c>
      <c r="R1193" s="14">
        <f t="shared" si="272"/>
        <v>0</v>
      </c>
      <c r="S1193" s="14">
        <f t="shared" si="273"/>
        <v>0</v>
      </c>
    </row>
    <row r="1194" spans="1:19">
      <c r="A1194" s="14" t="str">
        <f t="shared" si="270"/>
        <v>SRY-4-1</v>
      </c>
      <c r="B1194" s="15">
        <f>'Curvas SRY'!$B$11</f>
        <v>5</v>
      </c>
      <c r="C1194" s="15">
        <f>'Curvas SRY'!$E$8</f>
        <v>0.75</v>
      </c>
      <c r="D1194" s="14" t="str">
        <f>'Curvas SRY'!$B$14</f>
        <v>Uso variable</v>
      </c>
      <c r="E1194" s="14">
        <f>111</f>
        <v>111</v>
      </c>
      <c r="F1194" s="21">
        <f>'Hoja 4 - Cálculo'!A135</f>
        <v>32933</v>
      </c>
      <c r="G1194" s="15">
        <f>'Hoja 4 - Cálculo'!H135</f>
        <v>18.838125000000002</v>
      </c>
      <c r="H1194" s="15">
        <f>IF(D1194="Uso único",'Hoja 4 - Cálculo'!I135,IF(D1194="Uso múltiple",AVERAGE('Hoja 4 - Cálculo'!$I$25:$I$384)+AVERAGE('Hoja 4 - Cálculo'!$J$25:$J$384)+AVERAGE('Hoja 4 - Cálculo'!$K$25:$K$384),IF(D1194="Uso prioritario",'Hoja 4 - Cálculo'!I135+'Hoja 4 - Cálculo'!K135,'Hoja 4 - Cálculo'!I135+'Hoja 4 - Cálculo'!J135+'Hoja 4 - Cálculo'!K135)))</f>
        <v>16</v>
      </c>
      <c r="I1194" s="15">
        <f t="shared" si="264"/>
        <v>12</v>
      </c>
      <c r="J1194" s="15">
        <f t="shared" si="271"/>
        <v>5</v>
      </c>
      <c r="K1194" s="15">
        <f>MIN(J1194+G1194,(J1194+G1194)*'Hoja 4 - Cálculo'!$B$15)</f>
        <v>0.47676250000000003</v>
      </c>
      <c r="L1194" s="15">
        <f t="shared" si="265"/>
        <v>23.361362500000002</v>
      </c>
      <c r="M1194" s="15">
        <f t="shared" si="266"/>
        <v>12</v>
      </c>
      <c r="N1194" s="15">
        <f t="shared" si="267"/>
        <v>5</v>
      </c>
      <c r="O1194" s="15">
        <f t="shared" si="268"/>
        <v>6.361362500000002</v>
      </c>
      <c r="P1194" s="15">
        <f t="shared" si="269"/>
        <v>0</v>
      </c>
      <c r="Q1194" s="14" t="str">
        <f>IF(M1194&gt;=I1194*'Hoja 4 - Cálculo'!$B$16,"Satisfactorio","Falla")</f>
        <v>Satisfactorio</v>
      </c>
      <c r="R1194" s="14">
        <f t="shared" si="272"/>
        <v>0</v>
      </c>
      <c r="S1194" s="14">
        <f t="shared" si="273"/>
        <v>0</v>
      </c>
    </row>
    <row r="1195" spans="1:19">
      <c r="A1195" s="14" t="str">
        <f t="shared" si="270"/>
        <v>SRY-4-1</v>
      </c>
      <c r="B1195" s="15">
        <f>'Curvas SRY'!$B$11</f>
        <v>5</v>
      </c>
      <c r="C1195" s="15">
        <f>'Curvas SRY'!$E$8</f>
        <v>0.75</v>
      </c>
      <c r="D1195" s="14" t="str">
        <f>'Curvas SRY'!$B$14</f>
        <v>Uso variable</v>
      </c>
      <c r="E1195" s="14">
        <f>112</f>
        <v>112</v>
      </c>
      <c r="F1195" s="21">
        <f>'Hoja 4 - Cálculo'!A136</f>
        <v>32964</v>
      </c>
      <c r="G1195" s="15">
        <f>'Hoja 4 - Cálculo'!H136</f>
        <v>28.611000000000001</v>
      </c>
      <c r="H1195" s="15">
        <f>IF(D1195="Uso único",'Hoja 4 - Cálculo'!I136,IF(D1195="Uso múltiple",AVERAGE('Hoja 4 - Cálculo'!$I$25:$I$384)+AVERAGE('Hoja 4 - Cálculo'!$J$25:$J$384)+AVERAGE('Hoja 4 - Cálculo'!$K$25:$K$384),IF(D1195="Uso prioritario",'Hoja 4 - Cálculo'!I136+'Hoja 4 - Cálculo'!K136,'Hoja 4 - Cálculo'!I136+'Hoja 4 - Cálculo'!J136+'Hoja 4 - Cálculo'!K136)))</f>
        <v>11.5</v>
      </c>
      <c r="I1195" s="15">
        <f t="shared" si="264"/>
        <v>8.625</v>
      </c>
      <c r="J1195" s="15">
        <f t="shared" si="271"/>
        <v>5</v>
      </c>
      <c r="K1195" s="15">
        <f>MIN(J1195+G1195,(J1195+G1195)*'Hoja 4 - Cálculo'!$B$15)</f>
        <v>0.67222000000000015</v>
      </c>
      <c r="L1195" s="15">
        <f t="shared" si="265"/>
        <v>32.938780000000001</v>
      </c>
      <c r="M1195" s="15">
        <f t="shared" si="266"/>
        <v>8.625</v>
      </c>
      <c r="N1195" s="15">
        <f t="shared" si="267"/>
        <v>5</v>
      </c>
      <c r="O1195" s="15">
        <f t="shared" si="268"/>
        <v>19.313780000000001</v>
      </c>
      <c r="P1195" s="15">
        <f t="shared" si="269"/>
        <v>0</v>
      </c>
      <c r="Q1195" s="14" t="str">
        <f>IF(M1195&gt;=I1195*'Hoja 4 - Cálculo'!$B$16,"Satisfactorio","Falla")</f>
        <v>Satisfactorio</v>
      </c>
      <c r="R1195" s="14">
        <f t="shared" si="272"/>
        <v>0</v>
      </c>
      <c r="S1195" s="14">
        <f t="shared" si="273"/>
        <v>0</v>
      </c>
    </row>
    <row r="1196" spans="1:19">
      <c r="A1196" s="14" t="str">
        <f t="shared" si="270"/>
        <v>SRY-4-1</v>
      </c>
      <c r="B1196" s="15">
        <f>'Curvas SRY'!$B$11</f>
        <v>5</v>
      </c>
      <c r="C1196" s="15">
        <f>'Curvas SRY'!$E$8</f>
        <v>0.75</v>
      </c>
      <c r="D1196" s="14" t="str">
        <f>'Curvas SRY'!$B$14</f>
        <v>Uso variable</v>
      </c>
      <c r="E1196" s="14">
        <f>113</f>
        <v>113</v>
      </c>
      <c r="F1196" s="21">
        <f>'Hoja 4 - Cálculo'!A137</f>
        <v>32994</v>
      </c>
      <c r="G1196" s="15">
        <f>'Hoja 4 - Cálculo'!H137</f>
        <v>23.52375</v>
      </c>
      <c r="H1196" s="15">
        <f>IF(D1196="Uso único",'Hoja 4 - Cálculo'!I137,IF(D1196="Uso múltiple",AVERAGE('Hoja 4 - Cálculo'!$I$25:$I$384)+AVERAGE('Hoja 4 - Cálculo'!$J$25:$J$384)+AVERAGE('Hoja 4 - Cálculo'!$K$25:$K$384),IF(D1196="Uso prioritario",'Hoja 4 - Cálculo'!I137+'Hoja 4 - Cálculo'!K137,'Hoja 4 - Cálculo'!I137+'Hoja 4 - Cálculo'!J137+'Hoja 4 - Cálculo'!K137)))</f>
        <v>11.5</v>
      </c>
      <c r="I1196" s="15">
        <f t="shared" si="264"/>
        <v>8.625</v>
      </c>
      <c r="J1196" s="15">
        <f t="shared" si="271"/>
        <v>5</v>
      </c>
      <c r="K1196" s="15">
        <f>MIN(J1196+G1196,(J1196+G1196)*'Hoja 4 - Cálculo'!$B$15)</f>
        <v>0.57047499999999995</v>
      </c>
      <c r="L1196" s="15">
        <f t="shared" si="265"/>
        <v>27.953275000000001</v>
      </c>
      <c r="M1196" s="15">
        <f t="shared" si="266"/>
        <v>8.625</v>
      </c>
      <c r="N1196" s="15">
        <f t="shared" si="267"/>
        <v>5</v>
      </c>
      <c r="O1196" s="15">
        <f t="shared" si="268"/>
        <v>14.328275000000001</v>
      </c>
      <c r="P1196" s="15">
        <f t="shared" si="269"/>
        <v>0</v>
      </c>
      <c r="Q1196" s="14" t="str">
        <f>IF(M1196&gt;=I1196*'Hoja 4 - Cálculo'!$B$16,"Satisfactorio","Falla")</f>
        <v>Satisfactorio</v>
      </c>
      <c r="R1196" s="14">
        <f t="shared" si="272"/>
        <v>0</v>
      </c>
      <c r="S1196" s="14">
        <f t="shared" si="273"/>
        <v>0</v>
      </c>
    </row>
    <row r="1197" spans="1:19">
      <c r="A1197" s="14" t="str">
        <f t="shared" si="270"/>
        <v>SRY-4-1</v>
      </c>
      <c r="B1197" s="15">
        <f>'Curvas SRY'!$B$11</f>
        <v>5</v>
      </c>
      <c r="C1197" s="15">
        <f>'Curvas SRY'!$E$8</f>
        <v>0.75</v>
      </c>
      <c r="D1197" s="14" t="str">
        <f>'Curvas SRY'!$B$14</f>
        <v>Uso variable</v>
      </c>
      <c r="E1197" s="14">
        <f>114</f>
        <v>114</v>
      </c>
      <c r="F1197" s="21">
        <f>'Hoja 4 - Cálculo'!A138</f>
        <v>33025</v>
      </c>
      <c r="G1197" s="15">
        <f>'Hoja 4 - Cálculo'!H138</f>
        <v>15.529500000000001</v>
      </c>
      <c r="H1197" s="15">
        <f>IF(D1197="Uso único",'Hoja 4 - Cálculo'!I138,IF(D1197="Uso múltiple",AVERAGE('Hoja 4 - Cálculo'!$I$25:$I$384)+AVERAGE('Hoja 4 - Cálculo'!$J$25:$J$384)+AVERAGE('Hoja 4 - Cálculo'!$K$25:$K$384),IF(D1197="Uso prioritario",'Hoja 4 - Cálculo'!I138+'Hoja 4 - Cálculo'!K138,'Hoja 4 - Cálculo'!I138+'Hoja 4 - Cálculo'!J138+'Hoja 4 - Cálculo'!K138)))</f>
        <v>11.5</v>
      </c>
      <c r="I1197" s="15">
        <f t="shared" si="264"/>
        <v>8.625</v>
      </c>
      <c r="J1197" s="15">
        <f t="shared" si="271"/>
        <v>5</v>
      </c>
      <c r="K1197" s="15">
        <f>MIN(J1197+G1197,(J1197+G1197)*'Hoja 4 - Cálculo'!$B$15)</f>
        <v>0.41059000000000001</v>
      </c>
      <c r="L1197" s="15">
        <f t="shared" si="265"/>
        <v>20.11891</v>
      </c>
      <c r="M1197" s="15">
        <f t="shared" si="266"/>
        <v>8.625</v>
      </c>
      <c r="N1197" s="15">
        <f t="shared" si="267"/>
        <v>5</v>
      </c>
      <c r="O1197" s="15">
        <f t="shared" si="268"/>
        <v>6.4939099999999996</v>
      </c>
      <c r="P1197" s="15">
        <f t="shared" si="269"/>
        <v>0</v>
      </c>
      <c r="Q1197" s="14" t="str">
        <f>IF(M1197&gt;=I1197*'Hoja 4 - Cálculo'!$B$16,"Satisfactorio","Falla")</f>
        <v>Satisfactorio</v>
      </c>
      <c r="R1197" s="14">
        <f t="shared" si="272"/>
        <v>0</v>
      </c>
      <c r="S1197" s="14">
        <f t="shared" si="273"/>
        <v>0</v>
      </c>
    </row>
    <row r="1198" spans="1:19">
      <c r="A1198" s="14" t="str">
        <f t="shared" si="270"/>
        <v>SRY-4-1</v>
      </c>
      <c r="B1198" s="15">
        <f>'Curvas SRY'!$B$11</f>
        <v>5</v>
      </c>
      <c r="C1198" s="15">
        <f>'Curvas SRY'!$E$8</f>
        <v>0.75</v>
      </c>
      <c r="D1198" s="14" t="str">
        <f>'Curvas SRY'!$B$14</f>
        <v>Uso variable</v>
      </c>
      <c r="E1198" s="14">
        <f>115</f>
        <v>115</v>
      </c>
      <c r="F1198" s="21">
        <f>'Hoja 4 - Cálculo'!A139</f>
        <v>33055</v>
      </c>
      <c r="G1198" s="15">
        <f>'Hoja 4 - Cálculo'!H139</f>
        <v>12.201750000000001</v>
      </c>
      <c r="H1198" s="15">
        <f>IF(D1198="Uso único",'Hoja 4 - Cálculo'!I139,IF(D1198="Uso múltiple",AVERAGE('Hoja 4 - Cálculo'!$I$25:$I$384)+AVERAGE('Hoja 4 - Cálculo'!$J$25:$J$384)+AVERAGE('Hoja 4 - Cálculo'!$K$25:$K$384),IF(D1198="Uso prioritario",'Hoja 4 - Cálculo'!I139+'Hoja 4 - Cálculo'!K139,'Hoja 4 - Cálculo'!I139+'Hoja 4 - Cálculo'!J139+'Hoja 4 - Cálculo'!K139)))</f>
        <v>16</v>
      </c>
      <c r="I1198" s="15">
        <f t="shared" si="264"/>
        <v>12</v>
      </c>
      <c r="J1198" s="15">
        <f t="shared" si="271"/>
        <v>5</v>
      </c>
      <c r="K1198" s="15">
        <f>MIN(J1198+G1198,(J1198+G1198)*'Hoja 4 - Cálculo'!$B$15)</f>
        <v>0.34403500000000004</v>
      </c>
      <c r="L1198" s="15">
        <f t="shared" si="265"/>
        <v>16.857714999999999</v>
      </c>
      <c r="M1198" s="15">
        <f t="shared" si="266"/>
        <v>12</v>
      </c>
      <c r="N1198" s="15">
        <f t="shared" si="267"/>
        <v>4.8577149999999989</v>
      </c>
      <c r="O1198" s="15">
        <f t="shared" si="268"/>
        <v>0</v>
      </c>
      <c r="P1198" s="15">
        <f t="shared" si="269"/>
        <v>0</v>
      </c>
      <c r="Q1198" s="14" t="str">
        <f>IF(M1198&gt;=I1198*'Hoja 4 - Cálculo'!$B$16,"Satisfactorio","Falla")</f>
        <v>Satisfactorio</v>
      </c>
      <c r="R1198" s="14">
        <f t="shared" si="272"/>
        <v>0</v>
      </c>
      <c r="S1198" s="14">
        <f t="shared" si="273"/>
        <v>0</v>
      </c>
    </row>
    <row r="1199" spans="1:19">
      <c r="A1199" s="14" t="str">
        <f t="shared" si="270"/>
        <v>SRY-4-1</v>
      </c>
      <c r="B1199" s="15">
        <f>'Curvas SRY'!$B$11</f>
        <v>5</v>
      </c>
      <c r="C1199" s="15">
        <f>'Curvas SRY'!$E$8</f>
        <v>0.75</v>
      </c>
      <c r="D1199" s="14" t="str">
        <f>'Curvas SRY'!$B$14</f>
        <v>Uso variable</v>
      </c>
      <c r="E1199" s="14">
        <f>116</f>
        <v>116</v>
      </c>
      <c r="F1199" s="21">
        <f>'Hoja 4 - Cálculo'!A140</f>
        <v>33086</v>
      </c>
      <c r="G1199" s="15">
        <f>'Hoja 4 - Cálculo'!H140</f>
        <v>13.04325</v>
      </c>
      <c r="H1199" s="15">
        <f>IF(D1199="Uso único",'Hoja 4 - Cálculo'!I140,IF(D1199="Uso múltiple",AVERAGE('Hoja 4 - Cálculo'!$I$25:$I$384)+AVERAGE('Hoja 4 - Cálculo'!$J$25:$J$384)+AVERAGE('Hoja 4 - Cálculo'!$K$25:$K$384),IF(D1199="Uso prioritario",'Hoja 4 - Cálculo'!I140+'Hoja 4 - Cálculo'!K140,'Hoja 4 - Cálculo'!I140+'Hoja 4 - Cálculo'!J140+'Hoja 4 - Cálculo'!K140)))</f>
        <v>16</v>
      </c>
      <c r="I1199" s="15">
        <f t="shared" si="264"/>
        <v>12</v>
      </c>
      <c r="J1199" s="15">
        <f t="shared" si="271"/>
        <v>4.8577149999999989</v>
      </c>
      <c r="K1199" s="15">
        <f>MIN(J1199+G1199,(J1199+G1199)*'Hoja 4 - Cálculo'!$B$15)</f>
        <v>0.35801929999999998</v>
      </c>
      <c r="L1199" s="15">
        <f t="shared" si="265"/>
        <v>17.542945700000001</v>
      </c>
      <c r="M1199" s="15">
        <f t="shared" si="266"/>
        <v>12</v>
      </c>
      <c r="N1199" s="15">
        <f t="shared" si="267"/>
        <v>5</v>
      </c>
      <c r="O1199" s="15">
        <f t="shared" si="268"/>
        <v>0.54294570000000064</v>
      </c>
      <c r="P1199" s="15">
        <f t="shared" si="269"/>
        <v>0</v>
      </c>
      <c r="Q1199" s="14" t="str">
        <f>IF(M1199&gt;=I1199*'Hoja 4 - Cálculo'!$B$16,"Satisfactorio","Falla")</f>
        <v>Satisfactorio</v>
      </c>
      <c r="R1199" s="14">
        <f t="shared" si="272"/>
        <v>0</v>
      </c>
      <c r="S1199" s="14">
        <f t="shared" si="273"/>
        <v>0</v>
      </c>
    </row>
    <row r="1200" spans="1:19">
      <c r="A1200" s="14" t="str">
        <f t="shared" si="270"/>
        <v>SRY-4-1</v>
      </c>
      <c r="B1200" s="15">
        <f>'Curvas SRY'!$B$11</f>
        <v>5</v>
      </c>
      <c r="C1200" s="15">
        <f>'Curvas SRY'!$E$8</f>
        <v>0.75</v>
      </c>
      <c r="D1200" s="14" t="str">
        <f>'Curvas SRY'!$B$14</f>
        <v>Uso variable</v>
      </c>
      <c r="E1200" s="14">
        <f>117</f>
        <v>117</v>
      </c>
      <c r="F1200" s="21">
        <f>'Hoja 4 - Cálculo'!A141</f>
        <v>33117</v>
      </c>
      <c r="G1200" s="15">
        <f>'Hoja 4 - Cálculo'!H141</f>
        <v>21.974625</v>
      </c>
      <c r="H1200" s="15">
        <f>IF(D1200="Uso único",'Hoja 4 - Cálculo'!I141,IF(D1200="Uso múltiple",AVERAGE('Hoja 4 - Cálculo'!$I$25:$I$384)+AVERAGE('Hoja 4 - Cálculo'!$J$25:$J$384)+AVERAGE('Hoja 4 - Cálculo'!$K$25:$K$384),IF(D1200="Uso prioritario",'Hoja 4 - Cálculo'!I141+'Hoja 4 - Cálculo'!K141,'Hoja 4 - Cálculo'!I141+'Hoja 4 - Cálculo'!J141+'Hoja 4 - Cálculo'!K141)))</f>
        <v>11.5</v>
      </c>
      <c r="I1200" s="15">
        <f t="shared" si="264"/>
        <v>8.625</v>
      </c>
      <c r="J1200" s="15">
        <f t="shared" si="271"/>
        <v>5</v>
      </c>
      <c r="K1200" s="15">
        <f>MIN(J1200+G1200,(J1200+G1200)*'Hoja 4 - Cálculo'!$B$15)</f>
        <v>0.53949250000000004</v>
      </c>
      <c r="L1200" s="15">
        <f t="shared" si="265"/>
        <v>26.435132499999998</v>
      </c>
      <c r="M1200" s="15">
        <f t="shared" si="266"/>
        <v>8.625</v>
      </c>
      <c r="N1200" s="15">
        <f t="shared" si="267"/>
        <v>5</v>
      </c>
      <c r="O1200" s="15">
        <f t="shared" si="268"/>
        <v>12.810132499999998</v>
      </c>
      <c r="P1200" s="15">
        <f t="shared" si="269"/>
        <v>0</v>
      </c>
      <c r="Q1200" s="14" t="str">
        <f>IF(M1200&gt;=I1200*'Hoja 4 - Cálculo'!$B$16,"Satisfactorio","Falla")</f>
        <v>Satisfactorio</v>
      </c>
      <c r="R1200" s="14">
        <f t="shared" si="272"/>
        <v>0</v>
      </c>
      <c r="S1200" s="14">
        <f t="shared" si="273"/>
        <v>0</v>
      </c>
    </row>
    <row r="1201" spans="1:19">
      <c r="A1201" s="14" t="str">
        <f t="shared" si="270"/>
        <v>SRY-4-1</v>
      </c>
      <c r="B1201" s="15">
        <f>'Curvas SRY'!$B$11</f>
        <v>5</v>
      </c>
      <c r="C1201" s="15">
        <f>'Curvas SRY'!$E$8</f>
        <v>0.75</v>
      </c>
      <c r="D1201" s="14" t="str">
        <f>'Curvas SRY'!$B$14</f>
        <v>Uso variable</v>
      </c>
      <c r="E1201" s="14">
        <f>118</f>
        <v>118</v>
      </c>
      <c r="F1201" s="21">
        <f>'Hoja 4 - Cálculo'!A142</f>
        <v>33147</v>
      </c>
      <c r="G1201" s="15">
        <f>'Hoja 4 - Cálculo'!H142</f>
        <v>26.870625</v>
      </c>
      <c r="H1201" s="15">
        <f>IF(D1201="Uso único",'Hoja 4 - Cálculo'!I142,IF(D1201="Uso múltiple",AVERAGE('Hoja 4 - Cálculo'!$I$25:$I$384)+AVERAGE('Hoja 4 - Cálculo'!$J$25:$J$384)+AVERAGE('Hoja 4 - Cálculo'!$K$25:$K$384),IF(D1201="Uso prioritario",'Hoja 4 - Cálculo'!I142+'Hoja 4 - Cálculo'!K142,'Hoja 4 - Cálculo'!I142+'Hoja 4 - Cálculo'!J142+'Hoja 4 - Cálculo'!K142)))</f>
        <v>11.5</v>
      </c>
      <c r="I1201" s="15">
        <f t="shared" si="264"/>
        <v>8.625</v>
      </c>
      <c r="J1201" s="15">
        <f t="shared" si="271"/>
        <v>5</v>
      </c>
      <c r="K1201" s="15">
        <f>MIN(J1201+G1201,(J1201+G1201)*'Hoja 4 - Cálculo'!$B$15)</f>
        <v>0.63741250000000005</v>
      </c>
      <c r="L1201" s="15">
        <f t="shared" si="265"/>
        <v>31.2332125</v>
      </c>
      <c r="M1201" s="15">
        <f t="shared" si="266"/>
        <v>8.625</v>
      </c>
      <c r="N1201" s="15">
        <f t="shared" si="267"/>
        <v>5</v>
      </c>
      <c r="O1201" s="15">
        <f t="shared" si="268"/>
        <v>17.6082125</v>
      </c>
      <c r="P1201" s="15">
        <f t="shared" si="269"/>
        <v>0</v>
      </c>
      <c r="Q1201" s="14" t="str">
        <f>IF(M1201&gt;=I1201*'Hoja 4 - Cálculo'!$B$16,"Satisfactorio","Falla")</f>
        <v>Satisfactorio</v>
      </c>
      <c r="R1201" s="14">
        <f t="shared" si="272"/>
        <v>0</v>
      </c>
      <c r="S1201" s="14">
        <f t="shared" si="273"/>
        <v>0</v>
      </c>
    </row>
    <row r="1202" spans="1:19">
      <c r="A1202" s="14" t="str">
        <f t="shared" si="270"/>
        <v>SRY-4-1</v>
      </c>
      <c r="B1202" s="15">
        <f>'Curvas SRY'!$B$11</f>
        <v>5</v>
      </c>
      <c r="C1202" s="15">
        <f>'Curvas SRY'!$E$8</f>
        <v>0.75</v>
      </c>
      <c r="D1202" s="14" t="str">
        <f>'Curvas SRY'!$B$14</f>
        <v>Uso variable</v>
      </c>
      <c r="E1202" s="14">
        <f>119</f>
        <v>119</v>
      </c>
      <c r="F1202" s="21">
        <f>'Hoja 4 - Cálculo'!A143</f>
        <v>33178</v>
      </c>
      <c r="G1202" s="15">
        <f>'Hoja 4 - Cálculo'!H143</f>
        <v>24.881625</v>
      </c>
      <c r="H1202" s="15">
        <f>IF(D1202="Uso único",'Hoja 4 - Cálculo'!I143,IF(D1202="Uso múltiple",AVERAGE('Hoja 4 - Cálculo'!$I$25:$I$384)+AVERAGE('Hoja 4 - Cálculo'!$J$25:$J$384)+AVERAGE('Hoja 4 - Cálculo'!$K$25:$K$384),IF(D1202="Uso prioritario",'Hoja 4 - Cálculo'!I143+'Hoja 4 - Cálculo'!K143,'Hoja 4 - Cálculo'!I143+'Hoja 4 - Cálculo'!J143+'Hoja 4 - Cálculo'!K143)))</f>
        <v>11.5</v>
      </c>
      <c r="I1202" s="15">
        <f t="shared" si="264"/>
        <v>8.625</v>
      </c>
      <c r="J1202" s="15">
        <f t="shared" si="271"/>
        <v>5</v>
      </c>
      <c r="K1202" s="15">
        <f>MIN(J1202+G1202,(J1202+G1202)*'Hoja 4 - Cálculo'!$B$15)</f>
        <v>0.59763250000000001</v>
      </c>
      <c r="L1202" s="15">
        <f t="shared" si="265"/>
        <v>29.2839925</v>
      </c>
      <c r="M1202" s="15">
        <f t="shared" si="266"/>
        <v>8.625</v>
      </c>
      <c r="N1202" s="15">
        <f t="shared" si="267"/>
        <v>5</v>
      </c>
      <c r="O1202" s="15">
        <f t="shared" si="268"/>
        <v>15.6589925</v>
      </c>
      <c r="P1202" s="15">
        <f t="shared" si="269"/>
        <v>0</v>
      </c>
      <c r="Q1202" s="14" t="str">
        <f>IF(M1202&gt;=I1202*'Hoja 4 - Cálculo'!$B$16,"Satisfactorio","Falla")</f>
        <v>Satisfactorio</v>
      </c>
      <c r="R1202" s="14">
        <f t="shared" si="272"/>
        <v>0</v>
      </c>
      <c r="S1202" s="14">
        <f t="shared" si="273"/>
        <v>0</v>
      </c>
    </row>
    <row r="1203" spans="1:19">
      <c r="A1203" s="14" t="str">
        <f t="shared" si="270"/>
        <v>SRY-4-1</v>
      </c>
      <c r="B1203" s="15">
        <f>'Curvas SRY'!$B$11</f>
        <v>5</v>
      </c>
      <c r="C1203" s="15">
        <f>'Curvas SRY'!$E$8</f>
        <v>0.75</v>
      </c>
      <c r="D1203" s="14" t="str">
        <f>'Curvas SRY'!$B$14</f>
        <v>Uso variable</v>
      </c>
      <c r="E1203" s="14">
        <f>120</f>
        <v>120</v>
      </c>
      <c r="F1203" s="21">
        <f>'Hoja 4 - Cálculo'!A144</f>
        <v>33208</v>
      </c>
      <c r="G1203" s="15">
        <f>'Hoja 4 - Cálculo'!H144</f>
        <v>13.73175</v>
      </c>
      <c r="H1203" s="15">
        <f>IF(D1203="Uso único",'Hoja 4 - Cálculo'!I144,IF(D1203="Uso múltiple",AVERAGE('Hoja 4 - Cálculo'!$I$25:$I$384)+AVERAGE('Hoja 4 - Cálculo'!$J$25:$J$384)+AVERAGE('Hoja 4 - Cálculo'!$K$25:$K$384),IF(D1203="Uso prioritario",'Hoja 4 - Cálculo'!I144+'Hoja 4 - Cálculo'!K144,'Hoja 4 - Cálculo'!I144+'Hoja 4 - Cálculo'!J144+'Hoja 4 - Cálculo'!K144)))</f>
        <v>16</v>
      </c>
      <c r="I1203" s="15">
        <f t="shared" si="264"/>
        <v>12</v>
      </c>
      <c r="J1203" s="15">
        <f t="shared" si="271"/>
        <v>5</v>
      </c>
      <c r="K1203" s="15">
        <f>MIN(J1203+G1203,(J1203+G1203)*'Hoja 4 - Cálculo'!$B$15)</f>
        <v>0.374635</v>
      </c>
      <c r="L1203" s="15">
        <f t="shared" si="265"/>
        <v>18.357114999999997</v>
      </c>
      <c r="M1203" s="15">
        <f t="shared" si="266"/>
        <v>12</v>
      </c>
      <c r="N1203" s="15">
        <f t="shared" si="267"/>
        <v>5</v>
      </c>
      <c r="O1203" s="15">
        <f t="shared" si="268"/>
        <v>1.3571149999999967</v>
      </c>
      <c r="P1203" s="15">
        <f t="shared" si="269"/>
        <v>0</v>
      </c>
      <c r="Q1203" s="14" t="str">
        <f>IF(M1203&gt;=I1203*'Hoja 4 - Cálculo'!$B$16,"Satisfactorio","Falla")</f>
        <v>Satisfactorio</v>
      </c>
      <c r="R1203" s="14">
        <f t="shared" si="272"/>
        <v>0</v>
      </c>
      <c r="S1203" s="14">
        <f t="shared" si="273"/>
        <v>0</v>
      </c>
    </row>
    <row r="1204" spans="1:19">
      <c r="A1204" s="14" t="str">
        <f t="shared" ref="A1204:A1235" si="274">"SRY-4-2"</f>
        <v>SRY-4-2</v>
      </c>
      <c r="B1204" s="15">
        <f>'Curvas SRY'!$B$11</f>
        <v>5</v>
      </c>
      <c r="C1204" s="15">
        <f>'Curvas SRY'!$E$9</f>
        <v>1</v>
      </c>
      <c r="D1204" s="14" t="str">
        <f>'Curvas SRY'!$B$14</f>
        <v>Uso variable</v>
      </c>
      <c r="E1204" s="14">
        <f>1</f>
        <v>1</v>
      </c>
      <c r="F1204" s="21">
        <f>'Hoja 4 - Cálculo'!A25</f>
        <v>29587</v>
      </c>
      <c r="G1204" s="15">
        <f>'Hoja 4 - Cálculo'!H25</f>
        <v>12.852</v>
      </c>
      <c r="H1204" s="15">
        <f>IF(D1204="Uso único",'Hoja 4 - Cálculo'!I25,IF(D1204="Uso múltiple",AVERAGE('Hoja 4 - Cálculo'!$I$25:$I$384)+AVERAGE('Hoja 4 - Cálculo'!$J$25:$J$384)+AVERAGE('Hoja 4 - Cálculo'!$K$25:$K$384),IF(D1204="Uso prioritario",'Hoja 4 - Cálculo'!I25+'Hoja 4 - Cálculo'!K25,'Hoja 4 - Cálculo'!I25+'Hoja 4 - Cálculo'!J25+'Hoja 4 - Cálculo'!K25)))</f>
        <v>16</v>
      </c>
      <c r="I1204" s="15">
        <f t="shared" si="264"/>
        <v>16</v>
      </c>
      <c r="J1204" s="15">
        <f>0</f>
        <v>0</v>
      </c>
      <c r="K1204" s="15">
        <f>MIN(J1204+G1204,(J1204+G1204)*'Hoja 4 - Cálculo'!$B$15)</f>
        <v>0.25703999999999999</v>
      </c>
      <c r="L1204" s="15">
        <f t="shared" si="265"/>
        <v>12.59496</v>
      </c>
      <c r="M1204" s="15">
        <f t="shared" si="266"/>
        <v>12.59496</v>
      </c>
      <c r="N1204" s="15">
        <f t="shared" si="267"/>
        <v>0</v>
      </c>
      <c r="O1204" s="15">
        <f t="shared" si="268"/>
        <v>0</v>
      </c>
      <c r="P1204" s="15">
        <f t="shared" si="269"/>
        <v>3.4050399999999996</v>
      </c>
      <c r="Q1204" s="14" t="str">
        <f>IF(M1204&gt;=I1204*'Hoja 4 - Cálculo'!$B$16,"Satisfactorio","Falla")</f>
        <v>Falla</v>
      </c>
      <c r="R1204" s="14">
        <f>0</f>
        <v>0</v>
      </c>
      <c r="S1204" s="14">
        <f>IF(Q1204="Falla",1,0)</f>
        <v>1</v>
      </c>
    </row>
    <row r="1205" spans="1:19">
      <c r="A1205" s="14" t="str">
        <f t="shared" si="274"/>
        <v>SRY-4-2</v>
      </c>
      <c r="B1205" s="15">
        <f>'Curvas SRY'!$B$11</f>
        <v>5</v>
      </c>
      <c r="C1205" s="15">
        <f>'Curvas SRY'!$E$9</f>
        <v>1</v>
      </c>
      <c r="D1205" s="14" t="str">
        <f>'Curvas SRY'!$B$14</f>
        <v>Uso variable</v>
      </c>
      <c r="E1205" s="14">
        <f>2</f>
        <v>2</v>
      </c>
      <c r="F1205" s="21">
        <f>'Hoja 4 - Cálculo'!A26</f>
        <v>29618</v>
      </c>
      <c r="G1205" s="15">
        <f>'Hoja 4 - Cálculo'!H26</f>
        <v>14.630625</v>
      </c>
      <c r="H1205" s="15">
        <f>IF(D1205="Uso único",'Hoja 4 - Cálculo'!I26,IF(D1205="Uso múltiple",AVERAGE('Hoja 4 - Cálculo'!$I$25:$I$384)+AVERAGE('Hoja 4 - Cálculo'!$J$25:$J$384)+AVERAGE('Hoja 4 - Cálculo'!$K$25:$K$384),IF(D1205="Uso prioritario",'Hoja 4 - Cálculo'!I26+'Hoja 4 - Cálculo'!K26,'Hoja 4 - Cálculo'!I26+'Hoja 4 - Cálculo'!J26+'Hoja 4 - Cálculo'!K26)))</f>
        <v>16</v>
      </c>
      <c r="I1205" s="15">
        <f t="shared" si="264"/>
        <v>16</v>
      </c>
      <c r="J1205" s="15">
        <f t="shared" ref="J1205:J1236" si="275">N1204</f>
        <v>0</v>
      </c>
      <c r="K1205" s="15">
        <f>MIN(J1205+G1205,(J1205+G1205)*'Hoja 4 - Cálculo'!$B$15)</f>
        <v>0.2926125</v>
      </c>
      <c r="L1205" s="15">
        <f t="shared" si="265"/>
        <v>14.3380125</v>
      </c>
      <c r="M1205" s="15">
        <f t="shared" si="266"/>
        <v>14.3380125</v>
      </c>
      <c r="N1205" s="15">
        <f t="shared" si="267"/>
        <v>0</v>
      </c>
      <c r="O1205" s="15">
        <f t="shared" si="268"/>
        <v>0</v>
      </c>
      <c r="P1205" s="15">
        <f t="shared" si="269"/>
        <v>1.6619875000000004</v>
      </c>
      <c r="Q1205" s="14" t="str">
        <f>IF(M1205&gt;=I1205*'Hoja 4 - Cálculo'!$B$16,"Satisfactorio","Falla")</f>
        <v>Falla</v>
      </c>
      <c r="R1205" s="14">
        <f t="shared" ref="R1205:R1236" si="276">IF(AND(Q1204="Falla",Q1205="Satisfactorio"),1,0)</f>
        <v>0</v>
      </c>
      <c r="S1205" s="14">
        <f t="shared" ref="S1205:S1236" si="277">IF(AND(Q1205="Falla",Q1204&lt;&gt;"Falla"),1,0)</f>
        <v>0</v>
      </c>
    </row>
    <row r="1206" spans="1:19">
      <c r="A1206" s="14" t="str">
        <f t="shared" si="274"/>
        <v>SRY-4-2</v>
      </c>
      <c r="B1206" s="15">
        <f>'Curvas SRY'!$B$11</f>
        <v>5</v>
      </c>
      <c r="C1206" s="15">
        <f>'Curvas SRY'!$E$9</f>
        <v>1</v>
      </c>
      <c r="D1206" s="14" t="str">
        <f>'Curvas SRY'!$B$14</f>
        <v>Uso variable</v>
      </c>
      <c r="E1206" s="14">
        <f>3</f>
        <v>3</v>
      </c>
      <c r="F1206" s="21">
        <f>'Hoja 4 - Cálculo'!A27</f>
        <v>29646</v>
      </c>
      <c r="G1206" s="15">
        <f>'Hoja 4 - Cálculo'!H27</f>
        <v>21.114000000000001</v>
      </c>
      <c r="H1206" s="15">
        <f>IF(D1206="Uso único",'Hoja 4 - Cálculo'!I27,IF(D1206="Uso múltiple",AVERAGE('Hoja 4 - Cálculo'!$I$25:$I$384)+AVERAGE('Hoja 4 - Cálculo'!$J$25:$J$384)+AVERAGE('Hoja 4 - Cálculo'!$K$25:$K$384),IF(D1206="Uso prioritario",'Hoja 4 - Cálculo'!I27+'Hoja 4 - Cálculo'!K27,'Hoja 4 - Cálculo'!I27+'Hoja 4 - Cálculo'!J27+'Hoja 4 - Cálculo'!K27)))</f>
        <v>16</v>
      </c>
      <c r="I1206" s="15">
        <f t="shared" si="264"/>
        <v>16</v>
      </c>
      <c r="J1206" s="15">
        <f t="shared" si="275"/>
        <v>0</v>
      </c>
      <c r="K1206" s="15">
        <f>MIN(J1206+G1206,(J1206+G1206)*'Hoja 4 - Cálculo'!$B$15)</f>
        <v>0.42228000000000004</v>
      </c>
      <c r="L1206" s="15">
        <f t="shared" si="265"/>
        <v>20.69172</v>
      </c>
      <c r="M1206" s="15">
        <f t="shared" si="266"/>
        <v>16</v>
      </c>
      <c r="N1206" s="15">
        <f t="shared" si="267"/>
        <v>4.6917200000000001</v>
      </c>
      <c r="O1206" s="15">
        <f t="shared" si="268"/>
        <v>0</v>
      </c>
      <c r="P1206" s="15">
        <f t="shared" si="269"/>
        <v>0</v>
      </c>
      <c r="Q1206" s="14" t="str">
        <f>IF(M1206&gt;=I1206*'Hoja 4 - Cálculo'!$B$16,"Satisfactorio","Falla")</f>
        <v>Satisfactorio</v>
      </c>
      <c r="R1206" s="14">
        <f t="shared" si="276"/>
        <v>1</v>
      </c>
      <c r="S1206" s="14">
        <f t="shared" si="277"/>
        <v>0</v>
      </c>
    </row>
    <row r="1207" spans="1:19">
      <c r="A1207" s="14" t="str">
        <f t="shared" si="274"/>
        <v>SRY-4-2</v>
      </c>
      <c r="B1207" s="15">
        <f>'Curvas SRY'!$B$11</f>
        <v>5</v>
      </c>
      <c r="C1207" s="15">
        <f>'Curvas SRY'!$E$9</f>
        <v>1</v>
      </c>
      <c r="D1207" s="14" t="str">
        <f>'Curvas SRY'!$B$14</f>
        <v>Uso variable</v>
      </c>
      <c r="E1207" s="14">
        <f>4</f>
        <v>4</v>
      </c>
      <c r="F1207" s="21">
        <f>'Hoja 4 - Cálculo'!A28</f>
        <v>29677</v>
      </c>
      <c r="G1207" s="15">
        <f>'Hoja 4 - Cálculo'!H28</f>
        <v>29.280374999999999</v>
      </c>
      <c r="H1207" s="15">
        <f>IF(D1207="Uso único",'Hoja 4 - Cálculo'!I28,IF(D1207="Uso múltiple",AVERAGE('Hoja 4 - Cálculo'!$I$25:$I$384)+AVERAGE('Hoja 4 - Cálculo'!$J$25:$J$384)+AVERAGE('Hoja 4 - Cálculo'!$K$25:$K$384),IF(D1207="Uso prioritario",'Hoja 4 - Cálculo'!I28+'Hoja 4 - Cálculo'!K28,'Hoja 4 - Cálculo'!I28+'Hoja 4 - Cálculo'!J28+'Hoja 4 - Cálculo'!K28)))</f>
        <v>11.5</v>
      </c>
      <c r="I1207" s="15">
        <f t="shared" si="264"/>
        <v>11.5</v>
      </c>
      <c r="J1207" s="15">
        <f t="shared" si="275"/>
        <v>4.6917200000000001</v>
      </c>
      <c r="K1207" s="15">
        <f>MIN(J1207+G1207,(J1207+G1207)*'Hoja 4 - Cálculo'!$B$15)</f>
        <v>0.67944189999999993</v>
      </c>
      <c r="L1207" s="15">
        <f t="shared" si="265"/>
        <v>33.292653099999995</v>
      </c>
      <c r="M1207" s="15">
        <f t="shared" si="266"/>
        <v>11.5</v>
      </c>
      <c r="N1207" s="15">
        <f t="shared" si="267"/>
        <v>5</v>
      </c>
      <c r="O1207" s="15">
        <f t="shared" si="268"/>
        <v>16.792653099999995</v>
      </c>
      <c r="P1207" s="15">
        <f t="shared" si="269"/>
        <v>0</v>
      </c>
      <c r="Q1207" s="14" t="str">
        <f>IF(M1207&gt;=I1207*'Hoja 4 - Cálculo'!$B$16,"Satisfactorio","Falla")</f>
        <v>Satisfactorio</v>
      </c>
      <c r="R1207" s="14">
        <f t="shared" si="276"/>
        <v>0</v>
      </c>
      <c r="S1207" s="14">
        <f t="shared" si="277"/>
        <v>0</v>
      </c>
    </row>
    <row r="1208" spans="1:19">
      <c r="A1208" s="14" t="str">
        <f t="shared" si="274"/>
        <v>SRY-4-2</v>
      </c>
      <c r="B1208" s="15">
        <f>'Curvas SRY'!$B$11</f>
        <v>5</v>
      </c>
      <c r="C1208" s="15">
        <f>'Curvas SRY'!$E$9</f>
        <v>1</v>
      </c>
      <c r="D1208" s="14" t="str">
        <f>'Curvas SRY'!$B$14</f>
        <v>Uso variable</v>
      </c>
      <c r="E1208" s="14">
        <f>5</f>
        <v>5</v>
      </c>
      <c r="F1208" s="21">
        <f>'Hoja 4 - Cálculo'!A29</f>
        <v>29707</v>
      </c>
      <c r="G1208" s="15">
        <f>'Hoja 4 - Cálculo'!H29</f>
        <v>26.048249999999999</v>
      </c>
      <c r="H1208" s="15">
        <f>IF(D1208="Uso único",'Hoja 4 - Cálculo'!I29,IF(D1208="Uso múltiple",AVERAGE('Hoja 4 - Cálculo'!$I$25:$I$384)+AVERAGE('Hoja 4 - Cálculo'!$J$25:$J$384)+AVERAGE('Hoja 4 - Cálculo'!$K$25:$K$384),IF(D1208="Uso prioritario",'Hoja 4 - Cálculo'!I29+'Hoja 4 - Cálculo'!K29,'Hoja 4 - Cálculo'!I29+'Hoja 4 - Cálculo'!J29+'Hoja 4 - Cálculo'!K29)))</f>
        <v>11.5</v>
      </c>
      <c r="I1208" s="15">
        <f t="shared" si="264"/>
        <v>11.5</v>
      </c>
      <c r="J1208" s="15">
        <f t="shared" si="275"/>
        <v>5</v>
      </c>
      <c r="K1208" s="15">
        <f>MIN(J1208+G1208,(J1208+G1208)*'Hoja 4 - Cálculo'!$B$15)</f>
        <v>0.62096499999999999</v>
      </c>
      <c r="L1208" s="15">
        <f t="shared" si="265"/>
        <v>30.427284999999998</v>
      </c>
      <c r="M1208" s="15">
        <f t="shared" si="266"/>
        <v>11.5</v>
      </c>
      <c r="N1208" s="15">
        <f t="shared" si="267"/>
        <v>5</v>
      </c>
      <c r="O1208" s="15">
        <f t="shared" si="268"/>
        <v>13.927284999999998</v>
      </c>
      <c r="P1208" s="15">
        <f t="shared" si="269"/>
        <v>0</v>
      </c>
      <c r="Q1208" s="14" t="str">
        <f>IF(M1208&gt;=I1208*'Hoja 4 - Cálculo'!$B$16,"Satisfactorio","Falla")</f>
        <v>Satisfactorio</v>
      </c>
      <c r="R1208" s="14">
        <f t="shared" si="276"/>
        <v>0</v>
      </c>
      <c r="S1208" s="14">
        <f t="shared" si="277"/>
        <v>0</v>
      </c>
    </row>
    <row r="1209" spans="1:19">
      <c r="A1209" s="14" t="str">
        <f t="shared" si="274"/>
        <v>SRY-4-2</v>
      </c>
      <c r="B1209" s="15">
        <f>'Curvas SRY'!$B$11</f>
        <v>5</v>
      </c>
      <c r="C1209" s="15">
        <f>'Curvas SRY'!$E$9</f>
        <v>1</v>
      </c>
      <c r="D1209" s="14" t="str">
        <f>'Curvas SRY'!$B$14</f>
        <v>Uso variable</v>
      </c>
      <c r="E1209" s="14">
        <f>6</f>
        <v>6</v>
      </c>
      <c r="F1209" s="21">
        <f>'Hoja 4 - Cálculo'!A30</f>
        <v>29738</v>
      </c>
      <c r="G1209" s="15">
        <f>'Hoja 4 - Cálculo'!H30</f>
        <v>15.625125000000001</v>
      </c>
      <c r="H1209" s="15">
        <f>IF(D1209="Uso único",'Hoja 4 - Cálculo'!I30,IF(D1209="Uso múltiple",AVERAGE('Hoja 4 - Cálculo'!$I$25:$I$384)+AVERAGE('Hoja 4 - Cálculo'!$J$25:$J$384)+AVERAGE('Hoja 4 - Cálculo'!$K$25:$K$384),IF(D1209="Uso prioritario",'Hoja 4 - Cálculo'!I30+'Hoja 4 - Cálculo'!K30,'Hoja 4 - Cálculo'!I30+'Hoja 4 - Cálculo'!J30+'Hoja 4 - Cálculo'!K30)))</f>
        <v>11.5</v>
      </c>
      <c r="I1209" s="15">
        <f t="shared" si="264"/>
        <v>11.5</v>
      </c>
      <c r="J1209" s="15">
        <f t="shared" si="275"/>
        <v>5</v>
      </c>
      <c r="K1209" s="15">
        <f>MIN(J1209+G1209,(J1209+G1209)*'Hoja 4 - Cálculo'!$B$15)</f>
        <v>0.41250249999999999</v>
      </c>
      <c r="L1209" s="15">
        <f t="shared" si="265"/>
        <v>20.212622500000002</v>
      </c>
      <c r="M1209" s="15">
        <f t="shared" si="266"/>
        <v>11.5</v>
      </c>
      <c r="N1209" s="15">
        <f t="shared" si="267"/>
        <v>5</v>
      </c>
      <c r="O1209" s="15">
        <f t="shared" si="268"/>
        <v>3.7126225000000019</v>
      </c>
      <c r="P1209" s="15">
        <f t="shared" si="269"/>
        <v>0</v>
      </c>
      <c r="Q1209" s="14" t="str">
        <f>IF(M1209&gt;=I1209*'Hoja 4 - Cálculo'!$B$16,"Satisfactorio","Falla")</f>
        <v>Satisfactorio</v>
      </c>
      <c r="R1209" s="14">
        <f t="shared" si="276"/>
        <v>0</v>
      </c>
      <c r="S1209" s="14">
        <f t="shared" si="277"/>
        <v>0</v>
      </c>
    </row>
    <row r="1210" spans="1:19">
      <c r="A1210" s="14" t="str">
        <f t="shared" si="274"/>
        <v>SRY-4-2</v>
      </c>
      <c r="B1210" s="15">
        <f>'Curvas SRY'!$B$11</f>
        <v>5</v>
      </c>
      <c r="C1210" s="15">
        <f>'Curvas SRY'!$E$9</f>
        <v>1</v>
      </c>
      <c r="D1210" s="14" t="str">
        <f>'Curvas SRY'!$B$14</f>
        <v>Uso variable</v>
      </c>
      <c r="E1210" s="14">
        <f>7</f>
        <v>7</v>
      </c>
      <c r="F1210" s="21">
        <f>'Hoja 4 - Cálculo'!A31</f>
        <v>29768</v>
      </c>
      <c r="G1210" s="15">
        <f>'Hoja 4 - Cálculo'!H31</f>
        <v>12.794625</v>
      </c>
      <c r="H1210" s="15">
        <f>IF(D1210="Uso único",'Hoja 4 - Cálculo'!I31,IF(D1210="Uso múltiple",AVERAGE('Hoja 4 - Cálculo'!$I$25:$I$384)+AVERAGE('Hoja 4 - Cálculo'!$J$25:$J$384)+AVERAGE('Hoja 4 - Cálculo'!$K$25:$K$384),IF(D1210="Uso prioritario",'Hoja 4 - Cálculo'!I31+'Hoja 4 - Cálculo'!K31,'Hoja 4 - Cálculo'!I31+'Hoja 4 - Cálculo'!J31+'Hoja 4 - Cálculo'!K31)))</f>
        <v>16</v>
      </c>
      <c r="I1210" s="15">
        <f t="shared" si="264"/>
        <v>16</v>
      </c>
      <c r="J1210" s="15">
        <f t="shared" si="275"/>
        <v>5</v>
      </c>
      <c r="K1210" s="15">
        <f>MIN(J1210+G1210,(J1210+G1210)*'Hoja 4 - Cálculo'!$B$15)</f>
        <v>0.3558925</v>
      </c>
      <c r="L1210" s="15">
        <f t="shared" si="265"/>
        <v>17.4387325</v>
      </c>
      <c r="M1210" s="15">
        <f t="shared" si="266"/>
        <v>16</v>
      </c>
      <c r="N1210" s="15">
        <f t="shared" si="267"/>
        <v>1.4387325000000004</v>
      </c>
      <c r="O1210" s="15">
        <f t="shared" si="268"/>
        <v>0</v>
      </c>
      <c r="P1210" s="15">
        <f t="shared" si="269"/>
        <v>0</v>
      </c>
      <c r="Q1210" s="14" t="str">
        <f>IF(M1210&gt;=I1210*'Hoja 4 - Cálculo'!$B$16,"Satisfactorio","Falla")</f>
        <v>Satisfactorio</v>
      </c>
      <c r="R1210" s="14">
        <f t="shared" si="276"/>
        <v>0</v>
      </c>
      <c r="S1210" s="14">
        <f t="shared" si="277"/>
        <v>0</v>
      </c>
    </row>
    <row r="1211" spans="1:19">
      <c r="A1211" s="14" t="str">
        <f t="shared" si="274"/>
        <v>SRY-4-2</v>
      </c>
      <c r="B1211" s="15">
        <f>'Curvas SRY'!$B$11</f>
        <v>5</v>
      </c>
      <c r="C1211" s="15">
        <f>'Curvas SRY'!$E$9</f>
        <v>1</v>
      </c>
      <c r="D1211" s="14" t="str">
        <f>'Curvas SRY'!$B$14</f>
        <v>Uso variable</v>
      </c>
      <c r="E1211" s="14">
        <f>8</f>
        <v>8</v>
      </c>
      <c r="F1211" s="21">
        <f>'Hoja 4 - Cálculo'!A32</f>
        <v>29799</v>
      </c>
      <c r="G1211" s="15">
        <f>'Hoja 4 - Cálculo'!H32</f>
        <v>13.712624999999999</v>
      </c>
      <c r="H1211" s="15">
        <f>IF(D1211="Uso único",'Hoja 4 - Cálculo'!I32,IF(D1211="Uso múltiple",AVERAGE('Hoja 4 - Cálculo'!$I$25:$I$384)+AVERAGE('Hoja 4 - Cálculo'!$J$25:$J$384)+AVERAGE('Hoja 4 - Cálculo'!$K$25:$K$384),IF(D1211="Uso prioritario",'Hoja 4 - Cálculo'!I32+'Hoja 4 - Cálculo'!K32,'Hoja 4 - Cálculo'!I32+'Hoja 4 - Cálculo'!J32+'Hoja 4 - Cálculo'!K32)))</f>
        <v>16</v>
      </c>
      <c r="I1211" s="15">
        <f t="shared" si="264"/>
        <v>16</v>
      </c>
      <c r="J1211" s="15">
        <f t="shared" si="275"/>
        <v>1.4387325000000004</v>
      </c>
      <c r="K1211" s="15">
        <f>MIN(J1211+G1211,(J1211+G1211)*'Hoja 4 - Cálculo'!$B$15)</f>
        <v>0.30302715000000002</v>
      </c>
      <c r="L1211" s="15">
        <f t="shared" si="265"/>
        <v>14.848330349999999</v>
      </c>
      <c r="M1211" s="15">
        <f t="shared" si="266"/>
        <v>14.848330349999999</v>
      </c>
      <c r="N1211" s="15">
        <f t="shared" si="267"/>
        <v>0</v>
      </c>
      <c r="O1211" s="15">
        <f t="shared" si="268"/>
        <v>0</v>
      </c>
      <c r="P1211" s="15">
        <f t="shared" si="269"/>
        <v>1.1516696500000005</v>
      </c>
      <c r="Q1211" s="14" t="str">
        <f>IF(M1211&gt;=I1211*'Hoja 4 - Cálculo'!$B$16,"Satisfactorio","Falla")</f>
        <v>Falla</v>
      </c>
      <c r="R1211" s="14">
        <f t="shared" si="276"/>
        <v>0</v>
      </c>
      <c r="S1211" s="14">
        <f t="shared" si="277"/>
        <v>1</v>
      </c>
    </row>
    <row r="1212" spans="1:19">
      <c r="A1212" s="14" t="str">
        <f t="shared" si="274"/>
        <v>SRY-4-2</v>
      </c>
      <c r="B1212" s="15">
        <f>'Curvas SRY'!$B$11</f>
        <v>5</v>
      </c>
      <c r="C1212" s="15">
        <f>'Curvas SRY'!$E$9</f>
        <v>1</v>
      </c>
      <c r="D1212" s="14" t="str">
        <f>'Curvas SRY'!$B$14</f>
        <v>Uso variable</v>
      </c>
      <c r="E1212" s="14">
        <f>9</f>
        <v>9</v>
      </c>
      <c r="F1212" s="21">
        <f>'Hoja 4 - Cálculo'!A33</f>
        <v>29830</v>
      </c>
      <c r="G1212" s="15">
        <f>'Hoja 4 - Cálculo'!H33</f>
        <v>22.070250000000001</v>
      </c>
      <c r="H1212" s="15">
        <f>IF(D1212="Uso único",'Hoja 4 - Cálculo'!I33,IF(D1212="Uso múltiple",AVERAGE('Hoja 4 - Cálculo'!$I$25:$I$384)+AVERAGE('Hoja 4 - Cálculo'!$J$25:$J$384)+AVERAGE('Hoja 4 - Cálculo'!$K$25:$K$384),IF(D1212="Uso prioritario",'Hoja 4 - Cálculo'!I33+'Hoja 4 - Cálculo'!K33,'Hoja 4 - Cálculo'!I33+'Hoja 4 - Cálculo'!J33+'Hoja 4 - Cálculo'!K33)))</f>
        <v>11.5</v>
      </c>
      <c r="I1212" s="15">
        <f t="shared" si="264"/>
        <v>11.5</v>
      </c>
      <c r="J1212" s="15">
        <f t="shared" si="275"/>
        <v>0</v>
      </c>
      <c r="K1212" s="15">
        <f>MIN(J1212+G1212,(J1212+G1212)*'Hoja 4 - Cálculo'!$B$15)</f>
        <v>0.44140500000000005</v>
      </c>
      <c r="L1212" s="15">
        <f t="shared" si="265"/>
        <v>21.628845000000002</v>
      </c>
      <c r="M1212" s="15">
        <f t="shared" si="266"/>
        <v>11.5</v>
      </c>
      <c r="N1212" s="15">
        <f t="shared" si="267"/>
        <v>5</v>
      </c>
      <c r="O1212" s="15">
        <f t="shared" si="268"/>
        <v>5.1288450000000019</v>
      </c>
      <c r="P1212" s="15">
        <f t="shared" si="269"/>
        <v>0</v>
      </c>
      <c r="Q1212" s="14" t="str">
        <f>IF(M1212&gt;=I1212*'Hoja 4 - Cálculo'!$B$16,"Satisfactorio","Falla")</f>
        <v>Satisfactorio</v>
      </c>
      <c r="R1212" s="14">
        <f t="shared" si="276"/>
        <v>1</v>
      </c>
      <c r="S1212" s="14">
        <f t="shared" si="277"/>
        <v>0</v>
      </c>
    </row>
    <row r="1213" spans="1:19">
      <c r="A1213" s="14" t="str">
        <f t="shared" si="274"/>
        <v>SRY-4-2</v>
      </c>
      <c r="B1213" s="15">
        <f>'Curvas SRY'!$B$11</f>
        <v>5</v>
      </c>
      <c r="C1213" s="15">
        <f>'Curvas SRY'!$E$9</f>
        <v>1</v>
      </c>
      <c r="D1213" s="14" t="str">
        <f>'Curvas SRY'!$B$14</f>
        <v>Uso variable</v>
      </c>
      <c r="E1213" s="14">
        <f>10</f>
        <v>10</v>
      </c>
      <c r="F1213" s="21">
        <f>'Hoja 4 - Cálculo'!A34</f>
        <v>29860</v>
      </c>
      <c r="G1213" s="15">
        <f>'Hoja 4 - Cálculo'!H34</f>
        <v>29.777625</v>
      </c>
      <c r="H1213" s="15">
        <f>IF(D1213="Uso único",'Hoja 4 - Cálculo'!I34,IF(D1213="Uso múltiple",AVERAGE('Hoja 4 - Cálculo'!$I$25:$I$384)+AVERAGE('Hoja 4 - Cálculo'!$J$25:$J$384)+AVERAGE('Hoja 4 - Cálculo'!$K$25:$K$384),IF(D1213="Uso prioritario",'Hoja 4 - Cálculo'!I34+'Hoja 4 - Cálculo'!K34,'Hoja 4 - Cálculo'!I34+'Hoja 4 - Cálculo'!J34+'Hoja 4 - Cálculo'!K34)))</f>
        <v>11.5</v>
      </c>
      <c r="I1213" s="15">
        <f t="shared" si="264"/>
        <v>11.5</v>
      </c>
      <c r="J1213" s="15">
        <f t="shared" si="275"/>
        <v>5</v>
      </c>
      <c r="K1213" s="15">
        <f>MIN(J1213+G1213,(J1213+G1213)*'Hoja 4 - Cálculo'!$B$15)</f>
        <v>0.69555250000000002</v>
      </c>
      <c r="L1213" s="15">
        <f t="shared" si="265"/>
        <v>34.082072500000002</v>
      </c>
      <c r="M1213" s="15">
        <f t="shared" si="266"/>
        <v>11.5</v>
      </c>
      <c r="N1213" s="15">
        <f t="shared" si="267"/>
        <v>5</v>
      </c>
      <c r="O1213" s="15">
        <f t="shared" si="268"/>
        <v>17.582072500000002</v>
      </c>
      <c r="P1213" s="15">
        <f t="shared" si="269"/>
        <v>0</v>
      </c>
      <c r="Q1213" s="14" t="str">
        <f>IF(M1213&gt;=I1213*'Hoja 4 - Cálculo'!$B$16,"Satisfactorio","Falla")</f>
        <v>Satisfactorio</v>
      </c>
      <c r="R1213" s="14">
        <f t="shared" si="276"/>
        <v>0</v>
      </c>
      <c r="S1213" s="14">
        <f t="shared" si="277"/>
        <v>0</v>
      </c>
    </row>
    <row r="1214" spans="1:19">
      <c r="A1214" s="14" t="str">
        <f t="shared" si="274"/>
        <v>SRY-4-2</v>
      </c>
      <c r="B1214" s="15">
        <f>'Curvas SRY'!$B$11</f>
        <v>5</v>
      </c>
      <c r="C1214" s="15">
        <f>'Curvas SRY'!$E$9</f>
        <v>1</v>
      </c>
      <c r="D1214" s="14" t="str">
        <f>'Curvas SRY'!$B$14</f>
        <v>Uso variable</v>
      </c>
      <c r="E1214" s="14">
        <f>11</f>
        <v>11</v>
      </c>
      <c r="F1214" s="21">
        <f>'Hoja 4 - Cálculo'!A35</f>
        <v>29891</v>
      </c>
      <c r="G1214" s="15">
        <f>'Hoja 4 - Cálculo'!H35</f>
        <v>25.51275</v>
      </c>
      <c r="H1214" s="15">
        <f>IF(D1214="Uso único",'Hoja 4 - Cálculo'!I35,IF(D1214="Uso múltiple",AVERAGE('Hoja 4 - Cálculo'!$I$25:$I$384)+AVERAGE('Hoja 4 - Cálculo'!$J$25:$J$384)+AVERAGE('Hoja 4 - Cálculo'!$K$25:$K$384),IF(D1214="Uso prioritario",'Hoja 4 - Cálculo'!I35+'Hoja 4 - Cálculo'!K35,'Hoja 4 - Cálculo'!I35+'Hoja 4 - Cálculo'!J35+'Hoja 4 - Cálculo'!K35)))</f>
        <v>11.5</v>
      </c>
      <c r="I1214" s="15">
        <f t="shared" si="264"/>
        <v>11.5</v>
      </c>
      <c r="J1214" s="15">
        <f t="shared" si="275"/>
        <v>5</v>
      </c>
      <c r="K1214" s="15">
        <f>MIN(J1214+G1214,(J1214+G1214)*'Hoja 4 - Cálculo'!$B$15)</f>
        <v>0.61025499999999999</v>
      </c>
      <c r="L1214" s="15">
        <f t="shared" si="265"/>
        <v>29.902495000000002</v>
      </c>
      <c r="M1214" s="15">
        <f t="shared" si="266"/>
        <v>11.5</v>
      </c>
      <c r="N1214" s="15">
        <f t="shared" si="267"/>
        <v>5</v>
      </c>
      <c r="O1214" s="15">
        <f t="shared" si="268"/>
        <v>13.402495000000002</v>
      </c>
      <c r="P1214" s="15">
        <f t="shared" si="269"/>
        <v>0</v>
      </c>
      <c r="Q1214" s="14" t="str">
        <f>IF(M1214&gt;=I1214*'Hoja 4 - Cálculo'!$B$16,"Satisfactorio","Falla")</f>
        <v>Satisfactorio</v>
      </c>
      <c r="R1214" s="14">
        <f t="shared" si="276"/>
        <v>0</v>
      </c>
      <c r="S1214" s="14">
        <f t="shared" si="277"/>
        <v>0</v>
      </c>
    </row>
    <row r="1215" spans="1:19">
      <c r="A1215" s="14" t="str">
        <f t="shared" si="274"/>
        <v>SRY-4-2</v>
      </c>
      <c r="B1215" s="15">
        <f>'Curvas SRY'!$B$11</f>
        <v>5</v>
      </c>
      <c r="C1215" s="15">
        <f>'Curvas SRY'!$E$9</f>
        <v>1</v>
      </c>
      <c r="D1215" s="14" t="str">
        <f>'Curvas SRY'!$B$14</f>
        <v>Uso variable</v>
      </c>
      <c r="E1215" s="14">
        <f>12</f>
        <v>12</v>
      </c>
      <c r="F1215" s="21">
        <f>'Hoja 4 - Cálculo'!A36</f>
        <v>29921</v>
      </c>
      <c r="G1215" s="15">
        <f>'Hoja 4 - Cálculo'!H36</f>
        <v>15.3765</v>
      </c>
      <c r="H1215" s="15">
        <f>IF(D1215="Uso único",'Hoja 4 - Cálculo'!I36,IF(D1215="Uso múltiple",AVERAGE('Hoja 4 - Cálculo'!$I$25:$I$384)+AVERAGE('Hoja 4 - Cálculo'!$J$25:$J$384)+AVERAGE('Hoja 4 - Cálculo'!$K$25:$K$384),IF(D1215="Uso prioritario",'Hoja 4 - Cálculo'!I36+'Hoja 4 - Cálculo'!K36,'Hoja 4 - Cálculo'!I36+'Hoja 4 - Cálculo'!J36+'Hoja 4 - Cálculo'!K36)))</f>
        <v>16</v>
      </c>
      <c r="I1215" s="15">
        <f t="shared" si="264"/>
        <v>16</v>
      </c>
      <c r="J1215" s="15">
        <f t="shared" si="275"/>
        <v>5</v>
      </c>
      <c r="K1215" s="15">
        <f>MIN(J1215+G1215,(J1215+G1215)*'Hoja 4 - Cálculo'!$B$15)</f>
        <v>0.40753</v>
      </c>
      <c r="L1215" s="15">
        <f t="shared" si="265"/>
        <v>19.968969999999999</v>
      </c>
      <c r="M1215" s="15">
        <f t="shared" si="266"/>
        <v>16</v>
      </c>
      <c r="N1215" s="15">
        <f t="shared" si="267"/>
        <v>3.9689699999999988</v>
      </c>
      <c r="O1215" s="15">
        <f t="shared" si="268"/>
        <v>0</v>
      </c>
      <c r="P1215" s="15">
        <f t="shared" si="269"/>
        <v>0</v>
      </c>
      <c r="Q1215" s="14" t="str">
        <f>IF(M1215&gt;=I1215*'Hoja 4 - Cálculo'!$B$16,"Satisfactorio","Falla")</f>
        <v>Satisfactorio</v>
      </c>
      <c r="R1215" s="14">
        <f t="shared" si="276"/>
        <v>0</v>
      </c>
      <c r="S1215" s="14">
        <f t="shared" si="277"/>
        <v>0</v>
      </c>
    </row>
    <row r="1216" spans="1:19">
      <c r="A1216" s="14" t="str">
        <f t="shared" si="274"/>
        <v>SRY-4-2</v>
      </c>
      <c r="B1216" s="15">
        <f>'Curvas SRY'!$B$11</f>
        <v>5</v>
      </c>
      <c r="C1216" s="15">
        <f>'Curvas SRY'!$E$9</f>
        <v>1</v>
      </c>
      <c r="D1216" s="14" t="str">
        <f>'Curvas SRY'!$B$14</f>
        <v>Uso variable</v>
      </c>
      <c r="E1216" s="14">
        <f>13</f>
        <v>13</v>
      </c>
      <c r="F1216" s="21">
        <f>'Hoja 4 - Cálculo'!A37</f>
        <v>29952</v>
      </c>
      <c r="G1216" s="15">
        <f>'Hoja 4 - Cálculo'!H37</f>
        <v>13.808249999999999</v>
      </c>
      <c r="H1216" s="15">
        <f>IF(D1216="Uso único",'Hoja 4 - Cálculo'!I37,IF(D1216="Uso múltiple",AVERAGE('Hoja 4 - Cálculo'!$I$25:$I$384)+AVERAGE('Hoja 4 - Cálculo'!$J$25:$J$384)+AVERAGE('Hoja 4 - Cálculo'!$K$25:$K$384),IF(D1216="Uso prioritario",'Hoja 4 - Cálculo'!I37+'Hoja 4 - Cálculo'!K37,'Hoja 4 - Cálculo'!I37+'Hoja 4 - Cálculo'!J37+'Hoja 4 - Cálculo'!K37)))</f>
        <v>16</v>
      </c>
      <c r="I1216" s="15">
        <f t="shared" si="264"/>
        <v>16</v>
      </c>
      <c r="J1216" s="15">
        <f t="shared" si="275"/>
        <v>3.9689699999999988</v>
      </c>
      <c r="K1216" s="15">
        <f>MIN(J1216+G1216,(J1216+G1216)*'Hoja 4 - Cálculo'!$B$15)</f>
        <v>0.35554439999999998</v>
      </c>
      <c r="L1216" s="15">
        <f t="shared" si="265"/>
        <v>17.4216756</v>
      </c>
      <c r="M1216" s="15">
        <f t="shared" si="266"/>
        <v>16</v>
      </c>
      <c r="N1216" s="15">
        <f t="shared" si="267"/>
        <v>1.4216756000000004</v>
      </c>
      <c r="O1216" s="15">
        <f t="shared" si="268"/>
        <v>0</v>
      </c>
      <c r="P1216" s="15">
        <f t="shared" si="269"/>
        <v>0</v>
      </c>
      <c r="Q1216" s="14" t="str">
        <f>IF(M1216&gt;=I1216*'Hoja 4 - Cálculo'!$B$16,"Satisfactorio","Falla")</f>
        <v>Satisfactorio</v>
      </c>
      <c r="R1216" s="14">
        <f t="shared" si="276"/>
        <v>0</v>
      </c>
      <c r="S1216" s="14">
        <f t="shared" si="277"/>
        <v>0</v>
      </c>
    </row>
    <row r="1217" spans="1:19">
      <c r="A1217" s="14" t="str">
        <f t="shared" si="274"/>
        <v>SRY-4-2</v>
      </c>
      <c r="B1217" s="15">
        <f>'Curvas SRY'!$B$11</f>
        <v>5</v>
      </c>
      <c r="C1217" s="15">
        <f>'Curvas SRY'!$E$9</f>
        <v>1</v>
      </c>
      <c r="D1217" s="14" t="str">
        <f>'Curvas SRY'!$B$14</f>
        <v>Uso variable</v>
      </c>
      <c r="E1217" s="14">
        <f>14</f>
        <v>14</v>
      </c>
      <c r="F1217" s="21">
        <f>'Hoja 4 - Cálculo'!A38</f>
        <v>29983</v>
      </c>
      <c r="G1217" s="15">
        <f>'Hoja 4 - Cálculo'!H38</f>
        <v>15.472125</v>
      </c>
      <c r="H1217" s="15">
        <f>IF(D1217="Uso único",'Hoja 4 - Cálculo'!I38,IF(D1217="Uso múltiple",AVERAGE('Hoja 4 - Cálculo'!$I$25:$I$384)+AVERAGE('Hoja 4 - Cálculo'!$J$25:$J$384)+AVERAGE('Hoja 4 - Cálculo'!$K$25:$K$384),IF(D1217="Uso prioritario",'Hoja 4 - Cálculo'!I38+'Hoja 4 - Cálculo'!K38,'Hoja 4 - Cálculo'!I38+'Hoja 4 - Cálculo'!J38+'Hoja 4 - Cálculo'!K38)))</f>
        <v>16</v>
      </c>
      <c r="I1217" s="15">
        <f t="shared" si="264"/>
        <v>16</v>
      </c>
      <c r="J1217" s="15">
        <f t="shared" si="275"/>
        <v>1.4216756000000004</v>
      </c>
      <c r="K1217" s="15">
        <f>MIN(J1217+G1217,(J1217+G1217)*'Hoja 4 - Cálculo'!$B$15)</f>
        <v>0.337876012</v>
      </c>
      <c r="L1217" s="15">
        <f t="shared" si="265"/>
        <v>16.555924588</v>
      </c>
      <c r="M1217" s="15">
        <f t="shared" si="266"/>
        <v>16</v>
      </c>
      <c r="N1217" s="15">
        <f t="shared" si="267"/>
        <v>0.55592458799999989</v>
      </c>
      <c r="O1217" s="15">
        <f t="shared" si="268"/>
        <v>0</v>
      </c>
      <c r="P1217" s="15">
        <f t="shared" si="269"/>
        <v>0</v>
      </c>
      <c r="Q1217" s="14" t="str">
        <f>IF(M1217&gt;=I1217*'Hoja 4 - Cálculo'!$B$16,"Satisfactorio","Falla")</f>
        <v>Satisfactorio</v>
      </c>
      <c r="R1217" s="14">
        <f t="shared" si="276"/>
        <v>0</v>
      </c>
      <c r="S1217" s="14">
        <f t="shared" si="277"/>
        <v>0</v>
      </c>
    </row>
    <row r="1218" spans="1:19">
      <c r="A1218" s="14" t="str">
        <f t="shared" si="274"/>
        <v>SRY-4-2</v>
      </c>
      <c r="B1218" s="15">
        <f>'Curvas SRY'!$B$11</f>
        <v>5</v>
      </c>
      <c r="C1218" s="15">
        <f>'Curvas SRY'!$E$9</f>
        <v>1</v>
      </c>
      <c r="D1218" s="14" t="str">
        <f>'Curvas SRY'!$B$14</f>
        <v>Uso variable</v>
      </c>
      <c r="E1218" s="14">
        <f>15</f>
        <v>15</v>
      </c>
      <c r="F1218" s="21">
        <f>'Hoja 4 - Cálculo'!A39</f>
        <v>30011</v>
      </c>
      <c r="G1218" s="15">
        <f>'Hoja 4 - Cálculo'!H39</f>
        <v>22.338000000000001</v>
      </c>
      <c r="H1218" s="15">
        <f>IF(D1218="Uso único",'Hoja 4 - Cálculo'!I39,IF(D1218="Uso múltiple",AVERAGE('Hoja 4 - Cálculo'!$I$25:$I$384)+AVERAGE('Hoja 4 - Cálculo'!$J$25:$J$384)+AVERAGE('Hoja 4 - Cálculo'!$K$25:$K$384),IF(D1218="Uso prioritario",'Hoja 4 - Cálculo'!I39+'Hoja 4 - Cálculo'!K39,'Hoja 4 - Cálculo'!I39+'Hoja 4 - Cálculo'!J39+'Hoja 4 - Cálculo'!K39)))</f>
        <v>16</v>
      </c>
      <c r="I1218" s="15">
        <f t="shared" si="264"/>
        <v>16</v>
      </c>
      <c r="J1218" s="15">
        <f t="shared" si="275"/>
        <v>0.55592458799999989</v>
      </c>
      <c r="K1218" s="15">
        <f>MIN(J1218+G1218,(J1218+G1218)*'Hoja 4 - Cálculo'!$B$15)</f>
        <v>0.45787849176000001</v>
      </c>
      <c r="L1218" s="15">
        <f t="shared" si="265"/>
        <v>22.436046096240002</v>
      </c>
      <c r="M1218" s="15">
        <f t="shared" si="266"/>
        <v>16</v>
      </c>
      <c r="N1218" s="15">
        <f t="shared" si="267"/>
        <v>5</v>
      </c>
      <c r="O1218" s="15">
        <f t="shared" si="268"/>
        <v>1.4360460962400019</v>
      </c>
      <c r="P1218" s="15">
        <f t="shared" si="269"/>
        <v>0</v>
      </c>
      <c r="Q1218" s="14" t="str">
        <f>IF(M1218&gt;=I1218*'Hoja 4 - Cálculo'!$B$16,"Satisfactorio","Falla")</f>
        <v>Satisfactorio</v>
      </c>
      <c r="R1218" s="14">
        <f t="shared" si="276"/>
        <v>0</v>
      </c>
      <c r="S1218" s="14">
        <f t="shared" si="277"/>
        <v>0</v>
      </c>
    </row>
    <row r="1219" spans="1:19">
      <c r="A1219" s="14" t="str">
        <f t="shared" si="274"/>
        <v>SRY-4-2</v>
      </c>
      <c r="B1219" s="15">
        <f>'Curvas SRY'!$B$11</f>
        <v>5</v>
      </c>
      <c r="C1219" s="15">
        <f>'Curvas SRY'!$E$9</f>
        <v>1</v>
      </c>
      <c r="D1219" s="14" t="str">
        <f>'Curvas SRY'!$B$14</f>
        <v>Uso variable</v>
      </c>
      <c r="E1219" s="14">
        <f>16</f>
        <v>16</v>
      </c>
      <c r="F1219" s="21">
        <f>'Hoja 4 - Cálculo'!A40</f>
        <v>30042</v>
      </c>
      <c r="G1219" s="15">
        <f>'Hoja 4 - Cálculo'!H40</f>
        <v>31.670999999999999</v>
      </c>
      <c r="H1219" s="15">
        <f>IF(D1219="Uso único",'Hoja 4 - Cálculo'!I40,IF(D1219="Uso múltiple",AVERAGE('Hoja 4 - Cálculo'!$I$25:$I$384)+AVERAGE('Hoja 4 - Cálculo'!$J$25:$J$384)+AVERAGE('Hoja 4 - Cálculo'!$K$25:$K$384),IF(D1219="Uso prioritario",'Hoja 4 - Cálculo'!I40+'Hoja 4 - Cálculo'!K40,'Hoja 4 - Cálculo'!I40+'Hoja 4 - Cálculo'!J40+'Hoja 4 - Cálculo'!K40)))</f>
        <v>11.5</v>
      </c>
      <c r="I1219" s="15">
        <f t="shared" si="264"/>
        <v>11.5</v>
      </c>
      <c r="J1219" s="15">
        <f t="shared" si="275"/>
        <v>5</v>
      </c>
      <c r="K1219" s="15">
        <f>MIN(J1219+G1219,(J1219+G1219)*'Hoja 4 - Cálculo'!$B$15)</f>
        <v>0.73341999999999996</v>
      </c>
      <c r="L1219" s="15">
        <f t="shared" si="265"/>
        <v>35.937579999999997</v>
      </c>
      <c r="M1219" s="15">
        <f t="shared" si="266"/>
        <v>11.5</v>
      </c>
      <c r="N1219" s="15">
        <f t="shared" si="267"/>
        <v>5</v>
      </c>
      <c r="O1219" s="15">
        <f t="shared" si="268"/>
        <v>19.437579999999997</v>
      </c>
      <c r="P1219" s="15">
        <f t="shared" si="269"/>
        <v>0</v>
      </c>
      <c r="Q1219" s="14" t="str">
        <f>IF(M1219&gt;=I1219*'Hoja 4 - Cálculo'!$B$16,"Satisfactorio","Falla")</f>
        <v>Satisfactorio</v>
      </c>
      <c r="R1219" s="14">
        <f t="shared" si="276"/>
        <v>0</v>
      </c>
      <c r="S1219" s="14">
        <f t="shared" si="277"/>
        <v>0</v>
      </c>
    </row>
    <row r="1220" spans="1:19">
      <c r="A1220" s="14" t="str">
        <f t="shared" si="274"/>
        <v>SRY-4-2</v>
      </c>
      <c r="B1220" s="15">
        <f>'Curvas SRY'!$B$11</f>
        <v>5</v>
      </c>
      <c r="C1220" s="15">
        <f>'Curvas SRY'!$E$9</f>
        <v>1</v>
      </c>
      <c r="D1220" s="14" t="str">
        <f>'Curvas SRY'!$B$14</f>
        <v>Uso variable</v>
      </c>
      <c r="E1220" s="14">
        <f>17</f>
        <v>17</v>
      </c>
      <c r="F1220" s="21">
        <f>'Hoja 4 - Cálculo'!A41</f>
        <v>30072</v>
      </c>
      <c r="G1220" s="15">
        <f>'Hoja 4 - Cálculo'!H41</f>
        <v>29.299499999999998</v>
      </c>
      <c r="H1220" s="15">
        <f>IF(D1220="Uso único",'Hoja 4 - Cálculo'!I41,IF(D1220="Uso múltiple",AVERAGE('Hoja 4 - Cálculo'!$I$25:$I$384)+AVERAGE('Hoja 4 - Cálculo'!$J$25:$J$384)+AVERAGE('Hoja 4 - Cálculo'!$K$25:$K$384),IF(D1220="Uso prioritario",'Hoja 4 - Cálculo'!I41+'Hoja 4 - Cálculo'!K41,'Hoja 4 - Cálculo'!I41+'Hoja 4 - Cálculo'!J41+'Hoja 4 - Cálculo'!K41)))</f>
        <v>11.5</v>
      </c>
      <c r="I1220" s="15">
        <f t="shared" ref="I1220:I1283" si="278">H1220*C1220</f>
        <v>11.5</v>
      </c>
      <c r="J1220" s="15">
        <f t="shared" si="275"/>
        <v>5</v>
      </c>
      <c r="K1220" s="15">
        <f>MIN(J1220+G1220,(J1220+G1220)*'Hoja 4 - Cálculo'!$B$15)</f>
        <v>0.68598999999999988</v>
      </c>
      <c r="L1220" s="15">
        <f t="shared" ref="L1220:L1283" si="279">MAX(0,J1220+G1220-K1220)</f>
        <v>33.613509999999998</v>
      </c>
      <c r="M1220" s="15">
        <f t="shared" ref="M1220:M1283" si="280">MIN(I1220,L1220)</f>
        <v>11.5</v>
      </c>
      <c r="N1220" s="15">
        <f t="shared" ref="N1220:N1283" si="281">MIN(B1220,MAX(0,L1220-M1220))</f>
        <v>5</v>
      </c>
      <c r="O1220" s="15">
        <f t="shared" ref="O1220:O1283" si="282">MAX(0,L1220-M1220-B1220)</f>
        <v>17.113509999999998</v>
      </c>
      <c r="P1220" s="15">
        <f t="shared" ref="P1220:P1283" si="283">MAX(0,I1220-M1220)</f>
        <v>0</v>
      </c>
      <c r="Q1220" s="14" t="str">
        <f>IF(M1220&gt;=I1220*'Hoja 4 - Cálculo'!$B$16,"Satisfactorio","Falla")</f>
        <v>Satisfactorio</v>
      </c>
      <c r="R1220" s="14">
        <f t="shared" si="276"/>
        <v>0</v>
      </c>
      <c r="S1220" s="14">
        <f t="shared" si="277"/>
        <v>0</v>
      </c>
    </row>
    <row r="1221" spans="1:19">
      <c r="A1221" s="14" t="str">
        <f t="shared" si="274"/>
        <v>SRY-4-2</v>
      </c>
      <c r="B1221" s="15">
        <f>'Curvas SRY'!$B$11</f>
        <v>5</v>
      </c>
      <c r="C1221" s="15">
        <f>'Curvas SRY'!$E$9</f>
        <v>1</v>
      </c>
      <c r="D1221" s="14" t="str">
        <f>'Curvas SRY'!$B$14</f>
        <v>Uso variable</v>
      </c>
      <c r="E1221" s="14">
        <f>18</f>
        <v>18</v>
      </c>
      <c r="F1221" s="21">
        <f>'Hoja 4 - Cálculo'!A42</f>
        <v>30103</v>
      </c>
      <c r="G1221" s="15">
        <f>'Hoja 4 - Cálculo'!H42</f>
        <v>18.321750000000002</v>
      </c>
      <c r="H1221" s="15">
        <f>IF(D1221="Uso único",'Hoja 4 - Cálculo'!I42,IF(D1221="Uso múltiple",AVERAGE('Hoja 4 - Cálculo'!$I$25:$I$384)+AVERAGE('Hoja 4 - Cálculo'!$J$25:$J$384)+AVERAGE('Hoja 4 - Cálculo'!$K$25:$K$384),IF(D1221="Uso prioritario",'Hoja 4 - Cálculo'!I42+'Hoja 4 - Cálculo'!K42,'Hoja 4 - Cálculo'!I42+'Hoja 4 - Cálculo'!J42+'Hoja 4 - Cálculo'!K42)))</f>
        <v>11.5</v>
      </c>
      <c r="I1221" s="15">
        <f t="shared" si="278"/>
        <v>11.5</v>
      </c>
      <c r="J1221" s="15">
        <f t="shared" si="275"/>
        <v>5</v>
      </c>
      <c r="K1221" s="15">
        <f>MIN(J1221+G1221,(J1221+G1221)*'Hoja 4 - Cálculo'!$B$15)</f>
        <v>0.46643500000000004</v>
      </c>
      <c r="L1221" s="15">
        <f t="shared" si="279"/>
        <v>22.855315000000001</v>
      </c>
      <c r="M1221" s="15">
        <f t="shared" si="280"/>
        <v>11.5</v>
      </c>
      <c r="N1221" s="15">
        <f t="shared" si="281"/>
        <v>5</v>
      </c>
      <c r="O1221" s="15">
        <f t="shared" si="282"/>
        <v>6.3553150000000009</v>
      </c>
      <c r="P1221" s="15">
        <f t="shared" si="283"/>
        <v>0</v>
      </c>
      <c r="Q1221" s="14" t="str">
        <f>IF(M1221&gt;=I1221*'Hoja 4 - Cálculo'!$B$16,"Satisfactorio","Falla")</f>
        <v>Satisfactorio</v>
      </c>
      <c r="R1221" s="14">
        <f t="shared" si="276"/>
        <v>0</v>
      </c>
      <c r="S1221" s="14">
        <f t="shared" si="277"/>
        <v>0</v>
      </c>
    </row>
    <row r="1222" spans="1:19">
      <c r="A1222" s="14" t="str">
        <f t="shared" si="274"/>
        <v>SRY-4-2</v>
      </c>
      <c r="B1222" s="15">
        <f>'Curvas SRY'!$B$11</f>
        <v>5</v>
      </c>
      <c r="C1222" s="15">
        <f>'Curvas SRY'!$E$9</f>
        <v>1</v>
      </c>
      <c r="D1222" s="14" t="str">
        <f>'Curvas SRY'!$B$14</f>
        <v>Uso variable</v>
      </c>
      <c r="E1222" s="14">
        <f>19</f>
        <v>19</v>
      </c>
      <c r="F1222" s="21">
        <f>'Hoja 4 - Cálculo'!A43</f>
        <v>30133</v>
      </c>
      <c r="G1222" s="15">
        <f>'Hoja 4 - Cálculo'!H43</f>
        <v>15.3765</v>
      </c>
      <c r="H1222" s="15">
        <f>IF(D1222="Uso único",'Hoja 4 - Cálculo'!I43,IF(D1222="Uso múltiple",AVERAGE('Hoja 4 - Cálculo'!$I$25:$I$384)+AVERAGE('Hoja 4 - Cálculo'!$J$25:$J$384)+AVERAGE('Hoja 4 - Cálculo'!$K$25:$K$384),IF(D1222="Uso prioritario",'Hoja 4 - Cálculo'!I43+'Hoja 4 - Cálculo'!K43,'Hoja 4 - Cálculo'!I43+'Hoja 4 - Cálculo'!J43+'Hoja 4 - Cálculo'!K43)))</f>
        <v>16</v>
      </c>
      <c r="I1222" s="15">
        <f t="shared" si="278"/>
        <v>16</v>
      </c>
      <c r="J1222" s="15">
        <f t="shared" si="275"/>
        <v>5</v>
      </c>
      <c r="K1222" s="15">
        <f>MIN(J1222+G1222,(J1222+G1222)*'Hoja 4 - Cálculo'!$B$15)</f>
        <v>0.40753</v>
      </c>
      <c r="L1222" s="15">
        <f t="shared" si="279"/>
        <v>19.968969999999999</v>
      </c>
      <c r="M1222" s="15">
        <f t="shared" si="280"/>
        <v>16</v>
      </c>
      <c r="N1222" s="15">
        <f t="shared" si="281"/>
        <v>3.9689699999999988</v>
      </c>
      <c r="O1222" s="15">
        <f t="shared" si="282"/>
        <v>0</v>
      </c>
      <c r="P1222" s="15">
        <f t="shared" si="283"/>
        <v>0</v>
      </c>
      <c r="Q1222" s="14" t="str">
        <f>IF(M1222&gt;=I1222*'Hoja 4 - Cálculo'!$B$16,"Satisfactorio","Falla")</f>
        <v>Satisfactorio</v>
      </c>
      <c r="R1222" s="14">
        <f t="shared" si="276"/>
        <v>0</v>
      </c>
      <c r="S1222" s="14">
        <f t="shared" si="277"/>
        <v>0</v>
      </c>
    </row>
    <row r="1223" spans="1:19">
      <c r="A1223" s="14" t="str">
        <f t="shared" si="274"/>
        <v>SRY-4-2</v>
      </c>
      <c r="B1223" s="15">
        <f>'Curvas SRY'!$B$11</f>
        <v>5</v>
      </c>
      <c r="C1223" s="15">
        <f>'Curvas SRY'!$E$9</f>
        <v>1</v>
      </c>
      <c r="D1223" s="14" t="str">
        <f>'Curvas SRY'!$B$14</f>
        <v>Uso variable</v>
      </c>
      <c r="E1223" s="14">
        <f>20</f>
        <v>20</v>
      </c>
      <c r="F1223" s="21">
        <f>'Hoja 4 - Cálculo'!A44</f>
        <v>30164</v>
      </c>
      <c r="G1223" s="15">
        <f>'Hoja 4 - Cálculo'!H44</f>
        <v>16.466625000000001</v>
      </c>
      <c r="H1223" s="15">
        <f>IF(D1223="Uso único",'Hoja 4 - Cálculo'!I44,IF(D1223="Uso múltiple",AVERAGE('Hoja 4 - Cálculo'!$I$25:$I$384)+AVERAGE('Hoja 4 - Cálculo'!$J$25:$J$384)+AVERAGE('Hoja 4 - Cálculo'!$K$25:$K$384),IF(D1223="Uso prioritario",'Hoja 4 - Cálculo'!I44+'Hoja 4 - Cálculo'!K44,'Hoja 4 - Cálculo'!I44+'Hoja 4 - Cálculo'!J44+'Hoja 4 - Cálculo'!K44)))</f>
        <v>16</v>
      </c>
      <c r="I1223" s="15">
        <f t="shared" si="278"/>
        <v>16</v>
      </c>
      <c r="J1223" s="15">
        <f t="shared" si="275"/>
        <v>3.9689699999999988</v>
      </c>
      <c r="K1223" s="15">
        <f>MIN(J1223+G1223,(J1223+G1223)*'Hoja 4 - Cálculo'!$B$15)</f>
        <v>0.40871190000000002</v>
      </c>
      <c r="L1223" s="15">
        <f t="shared" si="279"/>
        <v>20.026883099999999</v>
      </c>
      <c r="M1223" s="15">
        <f t="shared" si="280"/>
        <v>16</v>
      </c>
      <c r="N1223" s="15">
        <f t="shared" si="281"/>
        <v>4.0268830999999992</v>
      </c>
      <c r="O1223" s="15">
        <f t="shared" si="282"/>
        <v>0</v>
      </c>
      <c r="P1223" s="15">
        <f t="shared" si="283"/>
        <v>0</v>
      </c>
      <c r="Q1223" s="14" t="str">
        <f>IF(M1223&gt;=I1223*'Hoja 4 - Cálculo'!$B$16,"Satisfactorio","Falla")</f>
        <v>Satisfactorio</v>
      </c>
      <c r="R1223" s="14">
        <f t="shared" si="276"/>
        <v>0</v>
      </c>
      <c r="S1223" s="14">
        <f t="shared" si="277"/>
        <v>0</v>
      </c>
    </row>
    <row r="1224" spans="1:19">
      <c r="A1224" s="14" t="str">
        <f t="shared" si="274"/>
        <v>SRY-4-2</v>
      </c>
      <c r="B1224" s="15">
        <f>'Curvas SRY'!$B$11</f>
        <v>5</v>
      </c>
      <c r="C1224" s="15">
        <f>'Curvas SRY'!$E$9</f>
        <v>1</v>
      </c>
      <c r="D1224" s="14" t="str">
        <f>'Curvas SRY'!$B$14</f>
        <v>Uso variable</v>
      </c>
      <c r="E1224" s="14">
        <f>21</f>
        <v>21</v>
      </c>
      <c r="F1224" s="21">
        <f>'Hoja 4 - Cálculo'!A45</f>
        <v>30195</v>
      </c>
      <c r="G1224" s="15">
        <f>'Hoja 4 - Cálculo'!H45</f>
        <v>25.837875</v>
      </c>
      <c r="H1224" s="15">
        <f>IF(D1224="Uso único",'Hoja 4 - Cálculo'!I45,IF(D1224="Uso múltiple",AVERAGE('Hoja 4 - Cálculo'!$I$25:$I$384)+AVERAGE('Hoja 4 - Cálculo'!$J$25:$J$384)+AVERAGE('Hoja 4 - Cálculo'!$K$25:$K$384),IF(D1224="Uso prioritario",'Hoja 4 - Cálculo'!I45+'Hoja 4 - Cálculo'!K45,'Hoja 4 - Cálculo'!I45+'Hoja 4 - Cálculo'!J45+'Hoja 4 - Cálculo'!K45)))</f>
        <v>11.5</v>
      </c>
      <c r="I1224" s="15">
        <f t="shared" si="278"/>
        <v>11.5</v>
      </c>
      <c r="J1224" s="15">
        <f t="shared" si="275"/>
        <v>4.0268830999999992</v>
      </c>
      <c r="K1224" s="15">
        <f>MIN(J1224+G1224,(J1224+G1224)*'Hoja 4 - Cálculo'!$B$15)</f>
        <v>0.59729516199999999</v>
      </c>
      <c r="L1224" s="15">
        <f t="shared" si="279"/>
        <v>29.267462938000001</v>
      </c>
      <c r="M1224" s="15">
        <f t="shared" si="280"/>
        <v>11.5</v>
      </c>
      <c r="N1224" s="15">
        <f t="shared" si="281"/>
        <v>5</v>
      </c>
      <c r="O1224" s="15">
        <f t="shared" si="282"/>
        <v>12.767462938000001</v>
      </c>
      <c r="P1224" s="15">
        <f t="shared" si="283"/>
        <v>0</v>
      </c>
      <c r="Q1224" s="14" t="str">
        <f>IF(M1224&gt;=I1224*'Hoja 4 - Cálculo'!$B$16,"Satisfactorio","Falla")</f>
        <v>Satisfactorio</v>
      </c>
      <c r="R1224" s="14">
        <f t="shared" si="276"/>
        <v>0</v>
      </c>
      <c r="S1224" s="14">
        <f t="shared" si="277"/>
        <v>0</v>
      </c>
    </row>
    <row r="1225" spans="1:19">
      <c r="A1225" s="14" t="str">
        <f t="shared" si="274"/>
        <v>SRY-4-2</v>
      </c>
      <c r="B1225" s="15">
        <f>'Curvas SRY'!$B$11</f>
        <v>5</v>
      </c>
      <c r="C1225" s="15">
        <f>'Curvas SRY'!$E$9</f>
        <v>1</v>
      </c>
      <c r="D1225" s="14" t="str">
        <f>'Curvas SRY'!$B$14</f>
        <v>Uso variable</v>
      </c>
      <c r="E1225" s="14">
        <f>22</f>
        <v>22</v>
      </c>
      <c r="F1225" s="21">
        <f>'Hoja 4 - Cálculo'!A46</f>
        <v>30225</v>
      </c>
      <c r="G1225" s="15">
        <f>'Hoja 4 - Cálculo'!H46</f>
        <v>33.46875</v>
      </c>
      <c r="H1225" s="15">
        <f>IF(D1225="Uso único",'Hoja 4 - Cálculo'!I46,IF(D1225="Uso múltiple",AVERAGE('Hoja 4 - Cálculo'!$I$25:$I$384)+AVERAGE('Hoja 4 - Cálculo'!$J$25:$J$384)+AVERAGE('Hoja 4 - Cálculo'!$K$25:$K$384),IF(D1225="Uso prioritario",'Hoja 4 - Cálculo'!I46+'Hoja 4 - Cálculo'!K46,'Hoja 4 - Cálculo'!I46+'Hoja 4 - Cálculo'!J46+'Hoja 4 - Cálculo'!K46)))</f>
        <v>11.5</v>
      </c>
      <c r="I1225" s="15">
        <f t="shared" si="278"/>
        <v>11.5</v>
      </c>
      <c r="J1225" s="15">
        <f t="shared" si="275"/>
        <v>5</v>
      </c>
      <c r="K1225" s="15">
        <f>MIN(J1225+G1225,(J1225+G1225)*'Hoja 4 - Cálculo'!$B$15)</f>
        <v>0.76937500000000003</v>
      </c>
      <c r="L1225" s="15">
        <f t="shared" si="279"/>
        <v>37.699375000000003</v>
      </c>
      <c r="M1225" s="15">
        <f t="shared" si="280"/>
        <v>11.5</v>
      </c>
      <c r="N1225" s="15">
        <f t="shared" si="281"/>
        <v>5</v>
      </c>
      <c r="O1225" s="15">
        <f t="shared" si="282"/>
        <v>21.199375000000003</v>
      </c>
      <c r="P1225" s="15">
        <f t="shared" si="283"/>
        <v>0</v>
      </c>
      <c r="Q1225" s="14" t="str">
        <f>IF(M1225&gt;=I1225*'Hoja 4 - Cálculo'!$B$16,"Satisfactorio","Falla")</f>
        <v>Satisfactorio</v>
      </c>
      <c r="R1225" s="14">
        <f t="shared" si="276"/>
        <v>0</v>
      </c>
      <c r="S1225" s="14">
        <f t="shared" si="277"/>
        <v>0</v>
      </c>
    </row>
    <row r="1226" spans="1:19">
      <c r="A1226" s="14" t="str">
        <f t="shared" si="274"/>
        <v>SRY-4-2</v>
      </c>
      <c r="B1226" s="15">
        <f>'Curvas SRY'!$B$11</f>
        <v>5</v>
      </c>
      <c r="C1226" s="15">
        <f>'Curvas SRY'!$E$9</f>
        <v>1</v>
      </c>
      <c r="D1226" s="14" t="str">
        <f>'Curvas SRY'!$B$14</f>
        <v>Uso variable</v>
      </c>
      <c r="E1226" s="14">
        <f>23</f>
        <v>23</v>
      </c>
      <c r="F1226" s="21">
        <f>'Hoja 4 - Cálculo'!A47</f>
        <v>30256</v>
      </c>
      <c r="G1226" s="15">
        <f>'Hoja 4 - Cálculo'!H47</f>
        <v>27.578250000000001</v>
      </c>
      <c r="H1226" s="15">
        <f>IF(D1226="Uso único",'Hoja 4 - Cálculo'!I47,IF(D1226="Uso múltiple",AVERAGE('Hoja 4 - Cálculo'!$I$25:$I$384)+AVERAGE('Hoja 4 - Cálculo'!$J$25:$J$384)+AVERAGE('Hoja 4 - Cálculo'!$K$25:$K$384),IF(D1226="Uso prioritario",'Hoja 4 - Cálculo'!I47+'Hoja 4 - Cálculo'!K47,'Hoja 4 - Cálculo'!I47+'Hoja 4 - Cálculo'!J47+'Hoja 4 - Cálculo'!K47)))</f>
        <v>11.5</v>
      </c>
      <c r="I1226" s="15">
        <f t="shared" si="278"/>
        <v>11.5</v>
      </c>
      <c r="J1226" s="15">
        <f t="shared" si="275"/>
        <v>5</v>
      </c>
      <c r="K1226" s="15">
        <f>MIN(J1226+G1226,(J1226+G1226)*'Hoja 4 - Cálculo'!$B$15)</f>
        <v>0.65156499999999995</v>
      </c>
      <c r="L1226" s="15">
        <f t="shared" si="279"/>
        <v>31.926684999999996</v>
      </c>
      <c r="M1226" s="15">
        <f t="shared" si="280"/>
        <v>11.5</v>
      </c>
      <c r="N1226" s="15">
        <f t="shared" si="281"/>
        <v>5</v>
      </c>
      <c r="O1226" s="15">
        <f t="shared" si="282"/>
        <v>15.426684999999996</v>
      </c>
      <c r="P1226" s="15">
        <f t="shared" si="283"/>
        <v>0</v>
      </c>
      <c r="Q1226" s="14" t="str">
        <f>IF(M1226&gt;=I1226*'Hoja 4 - Cálculo'!$B$16,"Satisfactorio","Falla")</f>
        <v>Satisfactorio</v>
      </c>
      <c r="R1226" s="14">
        <f t="shared" si="276"/>
        <v>0</v>
      </c>
      <c r="S1226" s="14">
        <f t="shared" si="277"/>
        <v>0</v>
      </c>
    </row>
    <row r="1227" spans="1:19">
      <c r="A1227" s="14" t="str">
        <f t="shared" si="274"/>
        <v>SRY-4-2</v>
      </c>
      <c r="B1227" s="15">
        <f>'Curvas SRY'!$B$11</f>
        <v>5</v>
      </c>
      <c r="C1227" s="15">
        <f>'Curvas SRY'!$E$9</f>
        <v>1</v>
      </c>
      <c r="D1227" s="14" t="str">
        <f>'Curvas SRY'!$B$14</f>
        <v>Uso variable</v>
      </c>
      <c r="E1227" s="14">
        <f>24</f>
        <v>24</v>
      </c>
      <c r="F1227" s="21">
        <f>'Hoja 4 - Cálculo'!A48</f>
        <v>30286</v>
      </c>
      <c r="G1227" s="15">
        <f>'Hoja 4 - Cálculo'!H48</f>
        <v>16.256250000000001</v>
      </c>
      <c r="H1227" s="15">
        <f>IF(D1227="Uso único",'Hoja 4 - Cálculo'!I48,IF(D1227="Uso múltiple",AVERAGE('Hoja 4 - Cálculo'!$I$25:$I$384)+AVERAGE('Hoja 4 - Cálculo'!$J$25:$J$384)+AVERAGE('Hoja 4 - Cálculo'!$K$25:$K$384),IF(D1227="Uso prioritario",'Hoja 4 - Cálculo'!I48+'Hoja 4 - Cálculo'!K48,'Hoja 4 - Cálculo'!I48+'Hoja 4 - Cálculo'!J48+'Hoja 4 - Cálculo'!K48)))</f>
        <v>16</v>
      </c>
      <c r="I1227" s="15">
        <f t="shared" si="278"/>
        <v>16</v>
      </c>
      <c r="J1227" s="15">
        <f t="shared" si="275"/>
        <v>5</v>
      </c>
      <c r="K1227" s="15">
        <f>MIN(J1227+G1227,(J1227+G1227)*'Hoja 4 - Cálculo'!$B$15)</f>
        <v>0.42512500000000003</v>
      </c>
      <c r="L1227" s="15">
        <f t="shared" si="279"/>
        <v>20.831125</v>
      </c>
      <c r="M1227" s="15">
        <f t="shared" si="280"/>
        <v>16</v>
      </c>
      <c r="N1227" s="15">
        <f t="shared" si="281"/>
        <v>4.8311250000000001</v>
      </c>
      <c r="O1227" s="15">
        <f t="shared" si="282"/>
        <v>0</v>
      </c>
      <c r="P1227" s="15">
        <f t="shared" si="283"/>
        <v>0</v>
      </c>
      <c r="Q1227" s="14" t="str">
        <f>IF(M1227&gt;=I1227*'Hoja 4 - Cálculo'!$B$16,"Satisfactorio","Falla")</f>
        <v>Satisfactorio</v>
      </c>
      <c r="R1227" s="14">
        <f t="shared" si="276"/>
        <v>0</v>
      </c>
      <c r="S1227" s="14">
        <f t="shared" si="277"/>
        <v>0</v>
      </c>
    </row>
    <row r="1228" spans="1:19">
      <c r="A1228" s="14" t="str">
        <f t="shared" si="274"/>
        <v>SRY-4-2</v>
      </c>
      <c r="B1228" s="15">
        <f>'Curvas SRY'!$B$11</f>
        <v>5</v>
      </c>
      <c r="C1228" s="15">
        <f>'Curvas SRY'!$E$9</f>
        <v>1</v>
      </c>
      <c r="D1228" s="14" t="str">
        <f>'Curvas SRY'!$B$14</f>
        <v>Uso variable</v>
      </c>
      <c r="E1228" s="14">
        <f>25</f>
        <v>25</v>
      </c>
      <c r="F1228" s="21">
        <f>'Hoja 4 - Cálculo'!A49</f>
        <v>30317</v>
      </c>
      <c r="G1228" s="15">
        <f>'Hoja 4 - Cálculo'!H49</f>
        <v>12.775499999999999</v>
      </c>
      <c r="H1228" s="15">
        <f>IF(D1228="Uso único",'Hoja 4 - Cálculo'!I49,IF(D1228="Uso múltiple",AVERAGE('Hoja 4 - Cálculo'!$I$25:$I$384)+AVERAGE('Hoja 4 - Cálculo'!$J$25:$J$384)+AVERAGE('Hoja 4 - Cálculo'!$K$25:$K$384),IF(D1228="Uso prioritario",'Hoja 4 - Cálculo'!I49+'Hoja 4 - Cálculo'!K49,'Hoja 4 - Cálculo'!I49+'Hoja 4 - Cálculo'!J49+'Hoja 4 - Cálculo'!K49)))</f>
        <v>16</v>
      </c>
      <c r="I1228" s="15">
        <f t="shared" si="278"/>
        <v>16</v>
      </c>
      <c r="J1228" s="15">
        <f t="shared" si="275"/>
        <v>4.8311250000000001</v>
      </c>
      <c r="K1228" s="15">
        <f>MIN(J1228+G1228,(J1228+G1228)*'Hoja 4 - Cálculo'!$B$15)</f>
        <v>0.35213250000000001</v>
      </c>
      <c r="L1228" s="15">
        <f t="shared" si="279"/>
        <v>17.254492500000001</v>
      </c>
      <c r="M1228" s="15">
        <f t="shared" si="280"/>
        <v>16</v>
      </c>
      <c r="N1228" s="15">
        <f t="shared" si="281"/>
        <v>1.2544925000000013</v>
      </c>
      <c r="O1228" s="15">
        <f t="shared" si="282"/>
        <v>0</v>
      </c>
      <c r="P1228" s="15">
        <f t="shared" si="283"/>
        <v>0</v>
      </c>
      <c r="Q1228" s="14" t="str">
        <f>IF(M1228&gt;=I1228*'Hoja 4 - Cálculo'!$B$16,"Satisfactorio","Falla")</f>
        <v>Satisfactorio</v>
      </c>
      <c r="R1228" s="14">
        <f t="shared" si="276"/>
        <v>0</v>
      </c>
      <c r="S1228" s="14">
        <f t="shared" si="277"/>
        <v>0</v>
      </c>
    </row>
    <row r="1229" spans="1:19">
      <c r="A1229" s="14" t="str">
        <f t="shared" si="274"/>
        <v>SRY-4-2</v>
      </c>
      <c r="B1229" s="15">
        <f>'Curvas SRY'!$B$11</f>
        <v>5</v>
      </c>
      <c r="C1229" s="15">
        <f>'Curvas SRY'!$E$9</f>
        <v>1</v>
      </c>
      <c r="D1229" s="14" t="str">
        <f>'Curvas SRY'!$B$14</f>
        <v>Uso variable</v>
      </c>
      <c r="E1229" s="14">
        <f>26</f>
        <v>26</v>
      </c>
      <c r="F1229" s="21">
        <f>'Hoja 4 - Cálculo'!A50</f>
        <v>30348</v>
      </c>
      <c r="G1229" s="15">
        <f>'Hoja 4 - Cálculo'!H50</f>
        <v>14.49675</v>
      </c>
      <c r="H1229" s="15">
        <f>IF(D1229="Uso único",'Hoja 4 - Cálculo'!I50,IF(D1229="Uso múltiple",AVERAGE('Hoja 4 - Cálculo'!$I$25:$I$384)+AVERAGE('Hoja 4 - Cálculo'!$J$25:$J$384)+AVERAGE('Hoja 4 - Cálculo'!$K$25:$K$384),IF(D1229="Uso prioritario",'Hoja 4 - Cálculo'!I50+'Hoja 4 - Cálculo'!K50,'Hoja 4 - Cálculo'!I50+'Hoja 4 - Cálculo'!J50+'Hoja 4 - Cálculo'!K50)))</f>
        <v>16</v>
      </c>
      <c r="I1229" s="15">
        <f t="shared" si="278"/>
        <v>16</v>
      </c>
      <c r="J1229" s="15">
        <f t="shared" si="275"/>
        <v>1.2544925000000013</v>
      </c>
      <c r="K1229" s="15">
        <f>MIN(J1229+G1229,(J1229+G1229)*'Hoja 4 - Cálculo'!$B$15)</f>
        <v>0.31502485000000002</v>
      </c>
      <c r="L1229" s="15">
        <f t="shared" si="279"/>
        <v>15.436217650000001</v>
      </c>
      <c r="M1229" s="15">
        <f t="shared" si="280"/>
        <v>15.436217650000001</v>
      </c>
      <c r="N1229" s="15">
        <f t="shared" si="281"/>
        <v>0</v>
      </c>
      <c r="O1229" s="15">
        <f t="shared" si="282"/>
        <v>0</v>
      </c>
      <c r="P1229" s="15">
        <f t="shared" si="283"/>
        <v>0.56378234999999854</v>
      </c>
      <c r="Q1229" s="14" t="str">
        <f>IF(M1229&gt;=I1229*'Hoja 4 - Cálculo'!$B$16,"Satisfactorio","Falla")</f>
        <v>Falla</v>
      </c>
      <c r="R1229" s="14">
        <f t="shared" si="276"/>
        <v>0</v>
      </c>
      <c r="S1229" s="14">
        <f t="shared" si="277"/>
        <v>1</v>
      </c>
    </row>
    <row r="1230" spans="1:19">
      <c r="A1230" s="14" t="str">
        <f t="shared" si="274"/>
        <v>SRY-4-2</v>
      </c>
      <c r="B1230" s="15">
        <f>'Curvas SRY'!$B$11</f>
        <v>5</v>
      </c>
      <c r="C1230" s="15">
        <f>'Curvas SRY'!$E$9</f>
        <v>1</v>
      </c>
      <c r="D1230" s="14" t="str">
        <f>'Curvas SRY'!$B$14</f>
        <v>Uso variable</v>
      </c>
      <c r="E1230" s="14">
        <f>27</f>
        <v>27</v>
      </c>
      <c r="F1230" s="21">
        <f>'Hoja 4 - Cálculo'!A51</f>
        <v>30376</v>
      </c>
      <c r="G1230" s="15">
        <f>'Hoja 4 - Cálculo'!H51</f>
        <v>21.936375000000002</v>
      </c>
      <c r="H1230" s="15">
        <f>IF(D1230="Uso único",'Hoja 4 - Cálculo'!I51,IF(D1230="Uso múltiple",AVERAGE('Hoja 4 - Cálculo'!$I$25:$I$384)+AVERAGE('Hoja 4 - Cálculo'!$J$25:$J$384)+AVERAGE('Hoja 4 - Cálculo'!$K$25:$K$384),IF(D1230="Uso prioritario",'Hoja 4 - Cálculo'!I51+'Hoja 4 - Cálculo'!K51,'Hoja 4 - Cálculo'!I51+'Hoja 4 - Cálculo'!J51+'Hoja 4 - Cálculo'!K51)))</f>
        <v>16</v>
      </c>
      <c r="I1230" s="15">
        <f t="shared" si="278"/>
        <v>16</v>
      </c>
      <c r="J1230" s="15">
        <f t="shared" si="275"/>
        <v>0</v>
      </c>
      <c r="K1230" s="15">
        <f>MIN(J1230+G1230,(J1230+G1230)*'Hoja 4 - Cálculo'!$B$15)</f>
        <v>0.43872750000000005</v>
      </c>
      <c r="L1230" s="15">
        <f t="shared" si="279"/>
        <v>21.497647500000003</v>
      </c>
      <c r="M1230" s="15">
        <f t="shared" si="280"/>
        <v>16</v>
      </c>
      <c r="N1230" s="15">
        <f t="shared" si="281"/>
        <v>5</v>
      </c>
      <c r="O1230" s="15">
        <f t="shared" si="282"/>
        <v>0.49764750000000291</v>
      </c>
      <c r="P1230" s="15">
        <f t="shared" si="283"/>
        <v>0</v>
      </c>
      <c r="Q1230" s="14" t="str">
        <f>IF(M1230&gt;=I1230*'Hoja 4 - Cálculo'!$B$16,"Satisfactorio","Falla")</f>
        <v>Satisfactorio</v>
      </c>
      <c r="R1230" s="14">
        <f t="shared" si="276"/>
        <v>1</v>
      </c>
      <c r="S1230" s="14">
        <f t="shared" si="277"/>
        <v>0</v>
      </c>
    </row>
    <row r="1231" spans="1:19">
      <c r="A1231" s="14" t="str">
        <f t="shared" si="274"/>
        <v>SRY-4-2</v>
      </c>
      <c r="B1231" s="15">
        <f>'Curvas SRY'!$B$11</f>
        <v>5</v>
      </c>
      <c r="C1231" s="15">
        <f>'Curvas SRY'!$E$9</f>
        <v>1</v>
      </c>
      <c r="D1231" s="14" t="str">
        <f>'Curvas SRY'!$B$14</f>
        <v>Uso variable</v>
      </c>
      <c r="E1231" s="14">
        <f>28</f>
        <v>28</v>
      </c>
      <c r="F1231" s="21">
        <f>'Hoja 4 - Cálculo'!A52</f>
        <v>30407</v>
      </c>
      <c r="G1231" s="15">
        <f>'Hoja 4 - Cálculo'!H52</f>
        <v>32.263874999999999</v>
      </c>
      <c r="H1231" s="15">
        <f>IF(D1231="Uso único",'Hoja 4 - Cálculo'!I52,IF(D1231="Uso múltiple",AVERAGE('Hoja 4 - Cálculo'!$I$25:$I$384)+AVERAGE('Hoja 4 - Cálculo'!$J$25:$J$384)+AVERAGE('Hoja 4 - Cálculo'!$K$25:$K$384),IF(D1231="Uso prioritario",'Hoja 4 - Cálculo'!I52+'Hoja 4 - Cálculo'!K52,'Hoja 4 - Cálculo'!I52+'Hoja 4 - Cálculo'!J52+'Hoja 4 - Cálculo'!K52)))</f>
        <v>11.5</v>
      </c>
      <c r="I1231" s="15">
        <f t="shared" si="278"/>
        <v>11.5</v>
      </c>
      <c r="J1231" s="15">
        <f t="shared" si="275"/>
        <v>5</v>
      </c>
      <c r="K1231" s="15">
        <f>MIN(J1231+G1231,(J1231+G1231)*'Hoja 4 - Cálculo'!$B$15)</f>
        <v>0.74527750000000004</v>
      </c>
      <c r="L1231" s="15">
        <f t="shared" si="279"/>
        <v>36.518597499999998</v>
      </c>
      <c r="M1231" s="15">
        <f t="shared" si="280"/>
        <v>11.5</v>
      </c>
      <c r="N1231" s="15">
        <f t="shared" si="281"/>
        <v>5</v>
      </c>
      <c r="O1231" s="15">
        <f t="shared" si="282"/>
        <v>20.018597499999998</v>
      </c>
      <c r="P1231" s="15">
        <f t="shared" si="283"/>
        <v>0</v>
      </c>
      <c r="Q1231" s="14" t="str">
        <f>IF(M1231&gt;=I1231*'Hoja 4 - Cálculo'!$B$16,"Satisfactorio","Falla")</f>
        <v>Satisfactorio</v>
      </c>
      <c r="R1231" s="14">
        <f t="shared" si="276"/>
        <v>0</v>
      </c>
      <c r="S1231" s="14">
        <f t="shared" si="277"/>
        <v>0</v>
      </c>
    </row>
    <row r="1232" spans="1:19">
      <c r="A1232" s="14" t="str">
        <f t="shared" si="274"/>
        <v>SRY-4-2</v>
      </c>
      <c r="B1232" s="15">
        <f>'Curvas SRY'!$B$11</f>
        <v>5</v>
      </c>
      <c r="C1232" s="15">
        <f>'Curvas SRY'!$E$9</f>
        <v>1</v>
      </c>
      <c r="D1232" s="14" t="str">
        <f>'Curvas SRY'!$B$14</f>
        <v>Uso variable</v>
      </c>
      <c r="E1232" s="14">
        <f>29</f>
        <v>29</v>
      </c>
      <c r="F1232" s="21">
        <f>'Hoja 4 - Cálculo'!A53</f>
        <v>30437</v>
      </c>
      <c r="G1232" s="15">
        <f>'Hoja 4 - Cálculo'!H53</f>
        <v>29.356874999999999</v>
      </c>
      <c r="H1232" s="15">
        <f>IF(D1232="Uso único",'Hoja 4 - Cálculo'!I53,IF(D1232="Uso múltiple",AVERAGE('Hoja 4 - Cálculo'!$I$25:$I$384)+AVERAGE('Hoja 4 - Cálculo'!$J$25:$J$384)+AVERAGE('Hoja 4 - Cálculo'!$K$25:$K$384),IF(D1232="Uso prioritario",'Hoja 4 - Cálculo'!I53+'Hoja 4 - Cálculo'!K53,'Hoja 4 - Cálculo'!I53+'Hoja 4 - Cálculo'!J53+'Hoja 4 - Cálculo'!K53)))</f>
        <v>11.5</v>
      </c>
      <c r="I1232" s="15">
        <f t="shared" si="278"/>
        <v>11.5</v>
      </c>
      <c r="J1232" s="15">
        <f t="shared" si="275"/>
        <v>5</v>
      </c>
      <c r="K1232" s="15">
        <f>MIN(J1232+G1232,(J1232+G1232)*'Hoja 4 - Cálculo'!$B$15)</f>
        <v>0.68713750000000007</v>
      </c>
      <c r="L1232" s="15">
        <f t="shared" si="279"/>
        <v>33.669737500000004</v>
      </c>
      <c r="M1232" s="15">
        <f t="shared" si="280"/>
        <v>11.5</v>
      </c>
      <c r="N1232" s="15">
        <f t="shared" si="281"/>
        <v>5</v>
      </c>
      <c r="O1232" s="15">
        <f t="shared" si="282"/>
        <v>17.169737500000004</v>
      </c>
      <c r="P1232" s="15">
        <f t="shared" si="283"/>
        <v>0</v>
      </c>
      <c r="Q1232" s="14" t="str">
        <f>IF(M1232&gt;=I1232*'Hoja 4 - Cálculo'!$B$16,"Satisfactorio","Falla")</f>
        <v>Satisfactorio</v>
      </c>
      <c r="R1232" s="14">
        <f t="shared" si="276"/>
        <v>0</v>
      </c>
      <c r="S1232" s="14">
        <f t="shared" si="277"/>
        <v>0</v>
      </c>
    </row>
    <row r="1233" spans="1:19">
      <c r="A1233" s="14" t="str">
        <f t="shared" si="274"/>
        <v>SRY-4-2</v>
      </c>
      <c r="B1233" s="15">
        <f>'Curvas SRY'!$B$11</f>
        <v>5</v>
      </c>
      <c r="C1233" s="15">
        <f>'Curvas SRY'!$E$9</f>
        <v>1</v>
      </c>
      <c r="D1233" s="14" t="str">
        <f>'Curvas SRY'!$B$14</f>
        <v>Uso variable</v>
      </c>
      <c r="E1233" s="14">
        <f>30</f>
        <v>30</v>
      </c>
      <c r="F1233" s="21">
        <f>'Hoja 4 - Cálculo'!A54</f>
        <v>30468</v>
      </c>
      <c r="G1233" s="15">
        <f>'Hoja 4 - Cálculo'!H54</f>
        <v>17.212499999999999</v>
      </c>
      <c r="H1233" s="15">
        <f>IF(D1233="Uso único",'Hoja 4 - Cálculo'!I54,IF(D1233="Uso múltiple",AVERAGE('Hoja 4 - Cálculo'!$I$25:$I$384)+AVERAGE('Hoja 4 - Cálculo'!$J$25:$J$384)+AVERAGE('Hoja 4 - Cálculo'!$K$25:$K$384),IF(D1233="Uso prioritario",'Hoja 4 - Cálculo'!I54+'Hoja 4 - Cálculo'!K54,'Hoja 4 - Cálculo'!I54+'Hoja 4 - Cálculo'!J54+'Hoja 4 - Cálculo'!K54)))</f>
        <v>11.5</v>
      </c>
      <c r="I1233" s="15">
        <f t="shared" si="278"/>
        <v>11.5</v>
      </c>
      <c r="J1233" s="15">
        <f t="shared" si="275"/>
        <v>5</v>
      </c>
      <c r="K1233" s="15">
        <f>MIN(J1233+G1233,(J1233+G1233)*'Hoja 4 - Cálculo'!$B$15)</f>
        <v>0.44424999999999998</v>
      </c>
      <c r="L1233" s="15">
        <f t="shared" si="279"/>
        <v>21.768249999999998</v>
      </c>
      <c r="M1233" s="15">
        <f t="shared" si="280"/>
        <v>11.5</v>
      </c>
      <c r="N1233" s="15">
        <f t="shared" si="281"/>
        <v>5</v>
      </c>
      <c r="O1233" s="15">
        <f t="shared" si="282"/>
        <v>5.2682499999999983</v>
      </c>
      <c r="P1233" s="15">
        <f t="shared" si="283"/>
        <v>0</v>
      </c>
      <c r="Q1233" s="14" t="str">
        <f>IF(M1233&gt;=I1233*'Hoja 4 - Cálculo'!$B$16,"Satisfactorio","Falla")</f>
        <v>Satisfactorio</v>
      </c>
      <c r="R1233" s="14">
        <f t="shared" si="276"/>
        <v>0</v>
      </c>
      <c r="S1233" s="14">
        <f t="shared" si="277"/>
        <v>0</v>
      </c>
    </row>
    <row r="1234" spans="1:19">
      <c r="A1234" s="14" t="str">
        <f t="shared" si="274"/>
        <v>SRY-4-2</v>
      </c>
      <c r="B1234" s="15">
        <f>'Curvas SRY'!$B$11</f>
        <v>5</v>
      </c>
      <c r="C1234" s="15">
        <f>'Curvas SRY'!$E$9</f>
        <v>1</v>
      </c>
      <c r="D1234" s="14" t="str">
        <f>'Curvas SRY'!$B$14</f>
        <v>Uso variable</v>
      </c>
      <c r="E1234" s="14">
        <f>31</f>
        <v>31</v>
      </c>
      <c r="F1234" s="21">
        <f>'Hoja 4 - Cálculo'!A55</f>
        <v>30498</v>
      </c>
      <c r="G1234" s="15">
        <f>'Hoja 4 - Cálculo'!H55</f>
        <v>13.597875</v>
      </c>
      <c r="H1234" s="15">
        <f>IF(D1234="Uso único",'Hoja 4 - Cálculo'!I55,IF(D1234="Uso múltiple",AVERAGE('Hoja 4 - Cálculo'!$I$25:$I$384)+AVERAGE('Hoja 4 - Cálculo'!$J$25:$J$384)+AVERAGE('Hoja 4 - Cálculo'!$K$25:$K$384),IF(D1234="Uso prioritario",'Hoja 4 - Cálculo'!I55+'Hoja 4 - Cálculo'!K55,'Hoja 4 - Cálculo'!I55+'Hoja 4 - Cálculo'!J55+'Hoja 4 - Cálculo'!K55)))</f>
        <v>16</v>
      </c>
      <c r="I1234" s="15">
        <f t="shared" si="278"/>
        <v>16</v>
      </c>
      <c r="J1234" s="15">
        <f t="shared" si="275"/>
        <v>5</v>
      </c>
      <c r="K1234" s="15">
        <f>MIN(J1234+G1234,(J1234+G1234)*'Hoja 4 - Cálculo'!$B$15)</f>
        <v>0.37195750000000005</v>
      </c>
      <c r="L1234" s="15">
        <f t="shared" si="279"/>
        <v>18.225917500000001</v>
      </c>
      <c r="M1234" s="15">
        <f t="shared" si="280"/>
        <v>16</v>
      </c>
      <c r="N1234" s="15">
        <f t="shared" si="281"/>
        <v>2.2259175000000013</v>
      </c>
      <c r="O1234" s="15">
        <f t="shared" si="282"/>
        <v>0</v>
      </c>
      <c r="P1234" s="15">
        <f t="shared" si="283"/>
        <v>0</v>
      </c>
      <c r="Q1234" s="14" t="str">
        <f>IF(M1234&gt;=I1234*'Hoja 4 - Cálculo'!$B$16,"Satisfactorio","Falla")</f>
        <v>Satisfactorio</v>
      </c>
      <c r="R1234" s="14">
        <f t="shared" si="276"/>
        <v>0</v>
      </c>
      <c r="S1234" s="14">
        <f t="shared" si="277"/>
        <v>0</v>
      </c>
    </row>
    <row r="1235" spans="1:19">
      <c r="A1235" s="14" t="str">
        <f t="shared" si="274"/>
        <v>SRY-4-2</v>
      </c>
      <c r="B1235" s="15">
        <f>'Curvas SRY'!$B$11</f>
        <v>5</v>
      </c>
      <c r="C1235" s="15">
        <f>'Curvas SRY'!$E$9</f>
        <v>1</v>
      </c>
      <c r="D1235" s="14" t="str">
        <f>'Curvas SRY'!$B$14</f>
        <v>Uso variable</v>
      </c>
      <c r="E1235" s="14">
        <f>32</f>
        <v>32</v>
      </c>
      <c r="F1235" s="21">
        <f>'Hoja 4 - Cálculo'!A56</f>
        <v>30529</v>
      </c>
      <c r="G1235" s="15">
        <f>'Hoja 4 - Cálculo'!H56</f>
        <v>14.592375000000001</v>
      </c>
      <c r="H1235" s="15">
        <f>IF(D1235="Uso único",'Hoja 4 - Cálculo'!I56,IF(D1235="Uso múltiple",AVERAGE('Hoja 4 - Cálculo'!$I$25:$I$384)+AVERAGE('Hoja 4 - Cálculo'!$J$25:$J$384)+AVERAGE('Hoja 4 - Cálculo'!$K$25:$K$384),IF(D1235="Uso prioritario",'Hoja 4 - Cálculo'!I56+'Hoja 4 - Cálculo'!K56,'Hoja 4 - Cálculo'!I56+'Hoja 4 - Cálculo'!J56+'Hoja 4 - Cálculo'!K56)))</f>
        <v>16</v>
      </c>
      <c r="I1235" s="15">
        <f t="shared" si="278"/>
        <v>16</v>
      </c>
      <c r="J1235" s="15">
        <f t="shared" si="275"/>
        <v>2.2259175000000013</v>
      </c>
      <c r="K1235" s="15">
        <f>MIN(J1235+G1235,(J1235+G1235)*'Hoja 4 - Cálculo'!$B$15)</f>
        <v>0.33636585000000002</v>
      </c>
      <c r="L1235" s="15">
        <f t="shared" si="279"/>
        <v>16.481926650000002</v>
      </c>
      <c r="M1235" s="15">
        <f t="shared" si="280"/>
        <v>16</v>
      </c>
      <c r="N1235" s="15">
        <f t="shared" si="281"/>
        <v>0.4819266500000019</v>
      </c>
      <c r="O1235" s="15">
        <f t="shared" si="282"/>
        <v>0</v>
      </c>
      <c r="P1235" s="15">
        <f t="shared" si="283"/>
        <v>0</v>
      </c>
      <c r="Q1235" s="14" t="str">
        <f>IF(M1235&gt;=I1235*'Hoja 4 - Cálculo'!$B$16,"Satisfactorio","Falla")</f>
        <v>Satisfactorio</v>
      </c>
      <c r="R1235" s="14">
        <f t="shared" si="276"/>
        <v>0</v>
      </c>
      <c r="S1235" s="14">
        <f t="shared" si="277"/>
        <v>0</v>
      </c>
    </row>
    <row r="1236" spans="1:19">
      <c r="A1236" s="14" t="str">
        <f t="shared" ref="A1236:A1267" si="284">"SRY-4-2"</f>
        <v>SRY-4-2</v>
      </c>
      <c r="B1236" s="15">
        <f>'Curvas SRY'!$B$11</f>
        <v>5</v>
      </c>
      <c r="C1236" s="15">
        <f>'Curvas SRY'!$E$9</f>
        <v>1</v>
      </c>
      <c r="D1236" s="14" t="str">
        <f>'Curvas SRY'!$B$14</f>
        <v>Uso variable</v>
      </c>
      <c r="E1236" s="14">
        <f>33</f>
        <v>33</v>
      </c>
      <c r="F1236" s="21">
        <f>'Hoja 4 - Cálculo'!A57</f>
        <v>30560</v>
      </c>
      <c r="G1236" s="15">
        <f>'Hoja 4 - Cálculo'!H57</f>
        <v>24.307874999999999</v>
      </c>
      <c r="H1236" s="15">
        <f>IF(D1236="Uso único",'Hoja 4 - Cálculo'!I57,IF(D1236="Uso múltiple",AVERAGE('Hoja 4 - Cálculo'!$I$25:$I$384)+AVERAGE('Hoja 4 - Cálculo'!$J$25:$J$384)+AVERAGE('Hoja 4 - Cálculo'!$K$25:$K$384),IF(D1236="Uso prioritario",'Hoja 4 - Cálculo'!I57+'Hoja 4 - Cálculo'!K57,'Hoja 4 - Cálculo'!I57+'Hoja 4 - Cálculo'!J57+'Hoja 4 - Cálculo'!K57)))</f>
        <v>11.5</v>
      </c>
      <c r="I1236" s="15">
        <f t="shared" si="278"/>
        <v>11.5</v>
      </c>
      <c r="J1236" s="15">
        <f t="shared" si="275"/>
        <v>0.4819266500000019</v>
      </c>
      <c r="K1236" s="15">
        <f>MIN(J1236+G1236,(J1236+G1236)*'Hoja 4 - Cálculo'!$B$15)</f>
        <v>0.49579603300000002</v>
      </c>
      <c r="L1236" s="15">
        <f t="shared" si="279"/>
        <v>24.294005617</v>
      </c>
      <c r="M1236" s="15">
        <f t="shared" si="280"/>
        <v>11.5</v>
      </c>
      <c r="N1236" s="15">
        <f t="shared" si="281"/>
        <v>5</v>
      </c>
      <c r="O1236" s="15">
        <f t="shared" si="282"/>
        <v>7.7940056169999998</v>
      </c>
      <c r="P1236" s="15">
        <f t="shared" si="283"/>
        <v>0</v>
      </c>
      <c r="Q1236" s="14" t="str">
        <f>IF(M1236&gt;=I1236*'Hoja 4 - Cálculo'!$B$16,"Satisfactorio","Falla")</f>
        <v>Satisfactorio</v>
      </c>
      <c r="R1236" s="14">
        <f t="shared" si="276"/>
        <v>0</v>
      </c>
      <c r="S1236" s="14">
        <f t="shared" si="277"/>
        <v>0</v>
      </c>
    </row>
    <row r="1237" spans="1:19">
      <c r="A1237" s="14" t="str">
        <f t="shared" si="284"/>
        <v>SRY-4-2</v>
      </c>
      <c r="B1237" s="15">
        <f>'Curvas SRY'!$B$11</f>
        <v>5</v>
      </c>
      <c r="C1237" s="15">
        <f>'Curvas SRY'!$E$9</f>
        <v>1</v>
      </c>
      <c r="D1237" s="14" t="str">
        <f>'Curvas SRY'!$B$14</f>
        <v>Uso variable</v>
      </c>
      <c r="E1237" s="14">
        <f>34</f>
        <v>34</v>
      </c>
      <c r="F1237" s="21">
        <f>'Hoja 4 - Cálculo'!A58</f>
        <v>30590</v>
      </c>
      <c r="G1237" s="15">
        <f>'Hoja 4 - Cálculo'!H58</f>
        <v>33.564374999999998</v>
      </c>
      <c r="H1237" s="15">
        <f>IF(D1237="Uso único",'Hoja 4 - Cálculo'!I58,IF(D1237="Uso múltiple",AVERAGE('Hoja 4 - Cálculo'!$I$25:$I$384)+AVERAGE('Hoja 4 - Cálculo'!$J$25:$J$384)+AVERAGE('Hoja 4 - Cálculo'!$K$25:$K$384),IF(D1237="Uso prioritario",'Hoja 4 - Cálculo'!I58+'Hoja 4 - Cálculo'!K58,'Hoja 4 - Cálculo'!I58+'Hoja 4 - Cálculo'!J58+'Hoja 4 - Cálculo'!K58)))</f>
        <v>11.5</v>
      </c>
      <c r="I1237" s="15">
        <f t="shared" si="278"/>
        <v>11.5</v>
      </c>
      <c r="J1237" s="15">
        <f t="shared" ref="J1237:J1268" si="285">N1236</f>
        <v>5</v>
      </c>
      <c r="K1237" s="15">
        <f>MIN(J1237+G1237,(J1237+G1237)*'Hoja 4 - Cálculo'!$B$15)</f>
        <v>0.77128750000000001</v>
      </c>
      <c r="L1237" s="15">
        <f t="shared" si="279"/>
        <v>37.793087499999999</v>
      </c>
      <c r="M1237" s="15">
        <f t="shared" si="280"/>
        <v>11.5</v>
      </c>
      <c r="N1237" s="15">
        <f t="shared" si="281"/>
        <v>5</v>
      </c>
      <c r="O1237" s="15">
        <f t="shared" si="282"/>
        <v>21.293087499999999</v>
      </c>
      <c r="P1237" s="15">
        <f t="shared" si="283"/>
        <v>0</v>
      </c>
      <c r="Q1237" s="14" t="str">
        <f>IF(M1237&gt;=I1237*'Hoja 4 - Cálculo'!$B$16,"Satisfactorio","Falla")</f>
        <v>Satisfactorio</v>
      </c>
      <c r="R1237" s="14">
        <f t="shared" ref="R1237:R1268" si="286">IF(AND(Q1236="Falla",Q1237="Satisfactorio"),1,0)</f>
        <v>0</v>
      </c>
      <c r="S1237" s="14">
        <f t="shared" ref="S1237:S1268" si="287">IF(AND(Q1237="Falla",Q1236&lt;&gt;"Falla"),1,0)</f>
        <v>0</v>
      </c>
    </row>
    <row r="1238" spans="1:19">
      <c r="A1238" s="14" t="str">
        <f t="shared" si="284"/>
        <v>SRY-4-2</v>
      </c>
      <c r="B1238" s="15">
        <f>'Curvas SRY'!$B$11</f>
        <v>5</v>
      </c>
      <c r="C1238" s="15">
        <f>'Curvas SRY'!$E$9</f>
        <v>1</v>
      </c>
      <c r="D1238" s="14" t="str">
        <f>'Curvas SRY'!$B$14</f>
        <v>Uso variable</v>
      </c>
      <c r="E1238" s="14">
        <f>35</f>
        <v>35</v>
      </c>
      <c r="F1238" s="21">
        <f>'Hoja 4 - Cálculo'!A59</f>
        <v>30621</v>
      </c>
      <c r="G1238" s="15">
        <f>'Hoja 4 - Cálculo'!H59</f>
        <v>28.075500000000002</v>
      </c>
      <c r="H1238" s="15">
        <f>IF(D1238="Uso único",'Hoja 4 - Cálculo'!I59,IF(D1238="Uso múltiple",AVERAGE('Hoja 4 - Cálculo'!$I$25:$I$384)+AVERAGE('Hoja 4 - Cálculo'!$J$25:$J$384)+AVERAGE('Hoja 4 - Cálculo'!$K$25:$K$384),IF(D1238="Uso prioritario",'Hoja 4 - Cálculo'!I59+'Hoja 4 - Cálculo'!K59,'Hoja 4 - Cálculo'!I59+'Hoja 4 - Cálculo'!J59+'Hoja 4 - Cálculo'!K59)))</f>
        <v>11.5</v>
      </c>
      <c r="I1238" s="15">
        <f t="shared" si="278"/>
        <v>11.5</v>
      </c>
      <c r="J1238" s="15">
        <f t="shared" si="285"/>
        <v>5</v>
      </c>
      <c r="K1238" s="15">
        <f>MIN(J1238+G1238,(J1238+G1238)*'Hoja 4 - Cálculo'!$B$15)</f>
        <v>0.66151000000000015</v>
      </c>
      <c r="L1238" s="15">
        <f t="shared" si="279"/>
        <v>32.413990000000005</v>
      </c>
      <c r="M1238" s="15">
        <f t="shared" si="280"/>
        <v>11.5</v>
      </c>
      <c r="N1238" s="15">
        <f t="shared" si="281"/>
        <v>5</v>
      </c>
      <c r="O1238" s="15">
        <f t="shared" si="282"/>
        <v>15.913990000000005</v>
      </c>
      <c r="P1238" s="15">
        <f t="shared" si="283"/>
        <v>0</v>
      </c>
      <c r="Q1238" s="14" t="str">
        <f>IF(M1238&gt;=I1238*'Hoja 4 - Cálculo'!$B$16,"Satisfactorio","Falla")</f>
        <v>Satisfactorio</v>
      </c>
      <c r="R1238" s="14">
        <f t="shared" si="286"/>
        <v>0</v>
      </c>
      <c r="S1238" s="14">
        <f t="shared" si="287"/>
        <v>0</v>
      </c>
    </row>
    <row r="1239" spans="1:19">
      <c r="A1239" s="14" t="str">
        <f t="shared" si="284"/>
        <v>SRY-4-2</v>
      </c>
      <c r="B1239" s="15">
        <f>'Curvas SRY'!$B$11</f>
        <v>5</v>
      </c>
      <c r="C1239" s="15">
        <f>'Curvas SRY'!$E$9</f>
        <v>1</v>
      </c>
      <c r="D1239" s="14" t="str">
        <f>'Curvas SRY'!$B$14</f>
        <v>Uso variable</v>
      </c>
      <c r="E1239" s="14">
        <f>36</f>
        <v>36</v>
      </c>
      <c r="F1239" s="21">
        <f>'Hoja 4 - Cálculo'!A60</f>
        <v>30651</v>
      </c>
      <c r="G1239" s="15">
        <f>'Hoja 4 - Cálculo'!H60</f>
        <v>15.931125</v>
      </c>
      <c r="H1239" s="15">
        <f>IF(D1239="Uso único",'Hoja 4 - Cálculo'!I60,IF(D1239="Uso múltiple",AVERAGE('Hoja 4 - Cálculo'!$I$25:$I$384)+AVERAGE('Hoja 4 - Cálculo'!$J$25:$J$384)+AVERAGE('Hoja 4 - Cálculo'!$K$25:$K$384),IF(D1239="Uso prioritario",'Hoja 4 - Cálculo'!I60+'Hoja 4 - Cálculo'!K60,'Hoja 4 - Cálculo'!I60+'Hoja 4 - Cálculo'!J60+'Hoja 4 - Cálculo'!K60)))</f>
        <v>16</v>
      </c>
      <c r="I1239" s="15">
        <f t="shared" si="278"/>
        <v>16</v>
      </c>
      <c r="J1239" s="15">
        <f t="shared" si="285"/>
        <v>5</v>
      </c>
      <c r="K1239" s="15">
        <f>MIN(J1239+G1239,(J1239+G1239)*'Hoja 4 - Cálculo'!$B$15)</f>
        <v>0.41862250000000006</v>
      </c>
      <c r="L1239" s="15">
        <f t="shared" si="279"/>
        <v>20.5125025</v>
      </c>
      <c r="M1239" s="15">
        <f t="shared" si="280"/>
        <v>16</v>
      </c>
      <c r="N1239" s="15">
        <f t="shared" si="281"/>
        <v>4.5125025000000001</v>
      </c>
      <c r="O1239" s="15">
        <f t="shared" si="282"/>
        <v>0</v>
      </c>
      <c r="P1239" s="15">
        <f t="shared" si="283"/>
        <v>0</v>
      </c>
      <c r="Q1239" s="14" t="str">
        <f>IF(M1239&gt;=I1239*'Hoja 4 - Cálculo'!$B$16,"Satisfactorio","Falla")</f>
        <v>Satisfactorio</v>
      </c>
      <c r="R1239" s="14">
        <f t="shared" si="286"/>
        <v>0</v>
      </c>
      <c r="S1239" s="14">
        <f t="shared" si="287"/>
        <v>0</v>
      </c>
    </row>
    <row r="1240" spans="1:19">
      <c r="A1240" s="14" t="str">
        <f t="shared" si="284"/>
        <v>SRY-4-2</v>
      </c>
      <c r="B1240" s="15">
        <f>'Curvas SRY'!$B$11</f>
        <v>5</v>
      </c>
      <c r="C1240" s="15">
        <f>'Curvas SRY'!$E$9</f>
        <v>1</v>
      </c>
      <c r="D1240" s="14" t="str">
        <f>'Curvas SRY'!$B$14</f>
        <v>Uso variable</v>
      </c>
      <c r="E1240" s="14">
        <f>37</f>
        <v>37</v>
      </c>
      <c r="F1240" s="21">
        <f>'Hoja 4 - Cálculo'!A61</f>
        <v>30682</v>
      </c>
      <c r="G1240" s="15">
        <f>'Hoja 4 - Cálculo'!H61</f>
        <v>10.920375</v>
      </c>
      <c r="H1240" s="15">
        <f>IF(D1240="Uso único",'Hoja 4 - Cálculo'!I61,IF(D1240="Uso múltiple",AVERAGE('Hoja 4 - Cálculo'!$I$25:$I$384)+AVERAGE('Hoja 4 - Cálculo'!$J$25:$J$384)+AVERAGE('Hoja 4 - Cálculo'!$K$25:$K$384),IF(D1240="Uso prioritario",'Hoja 4 - Cálculo'!I61+'Hoja 4 - Cálculo'!K61,'Hoja 4 - Cálculo'!I61+'Hoja 4 - Cálculo'!J61+'Hoja 4 - Cálculo'!K61)))</f>
        <v>16</v>
      </c>
      <c r="I1240" s="15">
        <f t="shared" si="278"/>
        <v>16</v>
      </c>
      <c r="J1240" s="15">
        <f t="shared" si="285"/>
        <v>4.5125025000000001</v>
      </c>
      <c r="K1240" s="15">
        <f>MIN(J1240+G1240,(J1240+G1240)*'Hoja 4 - Cálculo'!$B$15)</f>
        <v>0.30865755</v>
      </c>
      <c r="L1240" s="15">
        <f t="shared" si="279"/>
        <v>15.124219950000001</v>
      </c>
      <c r="M1240" s="15">
        <f t="shared" si="280"/>
        <v>15.124219950000001</v>
      </c>
      <c r="N1240" s="15">
        <f t="shared" si="281"/>
        <v>0</v>
      </c>
      <c r="O1240" s="15">
        <f t="shared" si="282"/>
        <v>0</v>
      </c>
      <c r="P1240" s="15">
        <f t="shared" si="283"/>
        <v>0.87578004999999948</v>
      </c>
      <c r="Q1240" s="14" t="str">
        <f>IF(M1240&gt;=I1240*'Hoja 4 - Cálculo'!$B$16,"Satisfactorio","Falla")</f>
        <v>Falla</v>
      </c>
      <c r="R1240" s="14">
        <f t="shared" si="286"/>
        <v>0</v>
      </c>
      <c r="S1240" s="14">
        <f t="shared" si="287"/>
        <v>1</v>
      </c>
    </row>
    <row r="1241" spans="1:19">
      <c r="A1241" s="14" t="str">
        <f t="shared" si="284"/>
        <v>SRY-4-2</v>
      </c>
      <c r="B1241" s="15">
        <f>'Curvas SRY'!$B$11</f>
        <v>5</v>
      </c>
      <c r="C1241" s="15">
        <f>'Curvas SRY'!$E$9</f>
        <v>1</v>
      </c>
      <c r="D1241" s="14" t="str">
        <f>'Curvas SRY'!$B$14</f>
        <v>Uso variable</v>
      </c>
      <c r="E1241" s="14">
        <f>38</f>
        <v>38</v>
      </c>
      <c r="F1241" s="21">
        <f>'Hoja 4 - Cálculo'!A62</f>
        <v>30713</v>
      </c>
      <c r="G1241" s="15">
        <f>'Hoja 4 - Cálculo'!H62</f>
        <v>13.04325</v>
      </c>
      <c r="H1241" s="15">
        <f>IF(D1241="Uso único",'Hoja 4 - Cálculo'!I62,IF(D1241="Uso múltiple",AVERAGE('Hoja 4 - Cálculo'!$I$25:$I$384)+AVERAGE('Hoja 4 - Cálculo'!$J$25:$J$384)+AVERAGE('Hoja 4 - Cálculo'!$K$25:$K$384),IF(D1241="Uso prioritario",'Hoja 4 - Cálculo'!I62+'Hoja 4 - Cálculo'!K62,'Hoja 4 - Cálculo'!I62+'Hoja 4 - Cálculo'!J62+'Hoja 4 - Cálculo'!K62)))</f>
        <v>16</v>
      </c>
      <c r="I1241" s="15">
        <f t="shared" si="278"/>
        <v>16</v>
      </c>
      <c r="J1241" s="15">
        <f t="shared" si="285"/>
        <v>0</v>
      </c>
      <c r="K1241" s="15">
        <f>MIN(J1241+G1241,(J1241+G1241)*'Hoja 4 - Cálculo'!$B$15)</f>
        <v>0.26086500000000001</v>
      </c>
      <c r="L1241" s="15">
        <f t="shared" si="279"/>
        <v>12.782385</v>
      </c>
      <c r="M1241" s="15">
        <f t="shared" si="280"/>
        <v>12.782385</v>
      </c>
      <c r="N1241" s="15">
        <f t="shared" si="281"/>
        <v>0</v>
      </c>
      <c r="O1241" s="15">
        <f t="shared" si="282"/>
        <v>0</v>
      </c>
      <c r="P1241" s="15">
        <f t="shared" si="283"/>
        <v>3.2176150000000003</v>
      </c>
      <c r="Q1241" s="14" t="str">
        <f>IF(M1241&gt;=I1241*'Hoja 4 - Cálculo'!$B$16,"Satisfactorio","Falla")</f>
        <v>Falla</v>
      </c>
      <c r="R1241" s="14">
        <f t="shared" si="286"/>
        <v>0</v>
      </c>
      <c r="S1241" s="14">
        <f t="shared" si="287"/>
        <v>0</v>
      </c>
    </row>
    <row r="1242" spans="1:19">
      <c r="A1242" s="14" t="str">
        <f t="shared" si="284"/>
        <v>SRY-4-2</v>
      </c>
      <c r="B1242" s="15">
        <f>'Curvas SRY'!$B$11</f>
        <v>5</v>
      </c>
      <c r="C1242" s="15">
        <f>'Curvas SRY'!$E$9</f>
        <v>1</v>
      </c>
      <c r="D1242" s="14" t="str">
        <f>'Curvas SRY'!$B$14</f>
        <v>Uso variable</v>
      </c>
      <c r="E1242" s="14">
        <f>39</f>
        <v>39</v>
      </c>
      <c r="F1242" s="21">
        <f>'Hoja 4 - Cálculo'!A63</f>
        <v>30742</v>
      </c>
      <c r="G1242" s="15">
        <f>'Hoja 4 - Cálculo'!H63</f>
        <v>20.272500000000001</v>
      </c>
      <c r="H1242" s="15">
        <f>IF(D1242="Uso único",'Hoja 4 - Cálculo'!I63,IF(D1242="Uso múltiple",AVERAGE('Hoja 4 - Cálculo'!$I$25:$I$384)+AVERAGE('Hoja 4 - Cálculo'!$J$25:$J$384)+AVERAGE('Hoja 4 - Cálculo'!$K$25:$K$384),IF(D1242="Uso prioritario",'Hoja 4 - Cálculo'!I63+'Hoja 4 - Cálculo'!K63,'Hoja 4 - Cálculo'!I63+'Hoja 4 - Cálculo'!J63+'Hoja 4 - Cálculo'!K63)))</f>
        <v>16</v>
      </c>
      <c r="I1242" s="15">
        <f t="shared" si="278"/>
        <v>16</v>
      </c>
      <c r="J1242" s="15">
        <f t="shared" si="285"/>
        <v>0</v>
      </c>
      <c r="K1242" s="15">
        <f>MIN(J1242+G1242,(J1242+G1242)*'Hoja 4 - Cálculo'!$B$15)</f>
        <v>0.40545000000000003</v>
      </c>
      <c r="L1242" s="15">
        <f t="shared" si="279"/>
        <v>19.867050000000003</v>
      </c>
      <c r="M1242" s="15">
        <f t="shared" si="280"/>
        <v>16</v>
      </c>
      <c r="N1242" s="15">
        <f t="shared" si="281"/>
        <v>3.8670500000000025</v>
      </c>
      <c r="O1242" s="15">
        <f t="shared" si="282"/>
        <v>0</v>
      </c>
      <c r="P1242" s="15">
        <f t="shared" si="283"/>
        <v>0</v>
      </c>
      <c r="Q1242" s="14" t="str">
        <f>IF(M1242&gt;=I1242*'Hoja 4 - Cálculo'!$B$16,"Satisfactorio","Falla")</f>
        <v>Satisfactorio</v>
      </c>
      <c r="R1242" s="14">
        <f t="shared" si="286"/>
        <v>1</v>
      </c>
      <c r="S1242" s="14">
        <f t="shared" si="287"/>
        <v>0</v>
      </c>
    </row>
    <row r="1243" spans="1:19">
      <c r="A1243" s="14" t="str">
        <f t="shared" si="284"/>
        <v>SRY-4-2</v>
      </c>
      <c r="B1243" s="15">
        <f>'Curvas SRY'!$B$11</f>
        <v>5</v>
      </c>
      <c r="C1243" s="15">
        <f>'Curvas SRY'!$E$9</f>
        <v>1</v>
      </c>
      <c r="D1243" s="14" t="str">
        <f>'Curvas SRY'!$B$14</f>
        <v>Uso variable</v>
      </c>
      <c r="E1243" s="14">
        <f>40</f>
        <v>40</v>
      </c>
      <c r="F1243" s="21">
        <f>'Hoja 4 - Cálculo'!A64</f>
        <v>30773</v>
      </c>
      <c r="G1243" s="15">
        <f>'Hoja 4 - Cálculo'!H64</f>
        <v>27.922499999999999</v>
      </c>
      <c r="H1243" s="15">
        <f>IF(D1243="Uso único",'Hoja 4 - Cálculo'!I64,IF(D1243="Uso múltiple",AVERAGE('Hoja 4 - Cálculo'!$I$25:$I$384)+AVERAGE('Hoja 4 - Cálculo'!$J$25:$J$384)+AVERAGE('Hoja 4 - Cálculo'!$K$25:$K$384),IF(D1243="Uso prioritario",'Hoja 4 - Cálculo'!I64+'Hoja 4 - Cálculo'!K64,'Hoja 4 - Cálculo'!I64+'Hoja 4 - Cálculo'!J64+'Hoja 4 - Cálculo'!K64)))</f>
        <v>11.5</v>
      </c>
      <c r="I1243" s="15">
        <f t="shared" si="278"/>
        <v>11.5</v>
      </c>
      <c r="J1243" s="15">
        <f t="shared" si="285"/>
        <v>3.8670500000000025</v>
      </c>
      <c r="K1243" s="15">
        <f>MIN(J1243+G1243,(J1243+G1243)*'Hoja 4 - Cálculo'!$B$15)</f>
        <v>0.63579100000000011</v>
      </c>
      <c r="L1243" s="15">
        <f t="shared" si="279"/>
        <v>31.153759000000001</v>
      </c>
      <c r="M1243" s="15">
        <f t="shared" si="280"/>
        <v>11.5</v>
      </c>
      <c r="N1243" s="15">
        <f t="shared" si="281"/>
        <v>5</v>
      </c>
      <c r="O1243" s="15">
        <f t="shared" si="282"/>
        <v>14.653759000000001</v>
      </c>
      <c r="P1243" s="15">
        <f t="shared" si="283"/>
        <v>0</v>
      </c>
      <c r="Q1243" s="14" t="str">
        <f>IF(M1243&gt;=I1243*'Hoja 4 - Cálculo'!$B$16,"Satisfactorio","Falla")</f>
        <v>Satisfactorio</v>
      </c>
      <c r="R1243" s="14">
        <f t="shared" si="286"/>
        <v>0</v>
      </c>
      <c r="S1243" s="14">
        <f t="shared" si="287"/>
        <v>0</v>
      </c>
    </row>
    <row r="1244" spans="1:19">
      <c r="A1244" s="14" t="str">
        <f t="shared" si="284"/>
        <v>SRY-4-2</v>
      </c>
      <c r="B1244" s="15">
        <f>'Curvas SRY'!$B$11</f>
        <v>5</v>
      </c>
      <c r="C1244" s="15">
        <f>'Curvas SRY'!$E$9</f>
        <v>1</v>
      </c>
      <c r="D1244" s="14" t="str">
        <f>'Curvas SRY'!$B$14</f>
        <v>Uso variable</v>
      </c>
      <c r="E1244" s="14">
        <f>41</f>
        <v>41</v>
      </c>
      <c r="F1244" s="21">
        <f>'Hoja 4 - Cálculo'!A65</f>
        <v>30803</v>
      </c>
      <c r="G1244" s="15">
        <f>'Hoja 4 - Cálculo'!H65</f>
        <v>23.657624999999999</v>
      </c>
      <c r="H1244" s="15">
        <f>IF(D1244="Uso único",'Hoja 4 - Cálculo'!I65,IF(D1244="Uso múltiple",AVERAGE('Hoja 4 - Cálculo'!$I$25:$I$384)+AVERAGE('Hoja 4 - Cálculo'!$J$25:$J$384)+AVERAGE('Hoja 4 - Cálculo'!$K$25:$K$384),IF(D1244="Uso prioritario",'Hoja 4 - Cálculo'!I65+'Hoja 4 - Cálculo'!K65,'Hoja 4 - Cálculo'!I65+'Hoja 4 - Cálculo'!J65+'Hoja 4 - Cálculo'!K65)))</f>
        <v>11.5</v>
      </c>
      <c r="I1244" s="15">
        <f t="shared" si="278"/>
        <v>11.5</v>
      </c>
      <c r="J1244" s="15">
        <f t="shared" si="285"/>
        <v>5</v>
      </c>
      <c r="K1244" s="15">
        <f>MIN(J1244+G1244,(J1244+G1244)*'Hoja 4 - Cálculo'!$B$15)</f>
        <v>0.57315249999999995</v>
      </c>
      <c r="L1244" s="15">
        <f t="shared" si="279"/>
        <v>28.0844725</v>
      </c>
      <c r="M1244" s="15">
        <f t="shared" si="280"/>
        <v>11.5</v>
      </c>
      <c r="N1244" s="15">
        <f t="shared" si="281"/>
        <v>5</v>
      </c>
      <c r="O1244" s="15">
        <f t="shared" si="282"/>
        <v>11.5844725</v>
      </c>
      <c r="P1244" s="15">
        <f t="shared" si="283"/>
        <v>0</v>
      </c>
      <c r="Q1244" s="14" t="str">
        <f>IF(M1244&gt;=I1244*'Hoja 4 - Cálculo'!$B$16,"Satisfactorio","Falla")</f>
        <v>Satisfactorio</v>
      </c>
      <c r="R1244" s="14">
        <f t="shared" si="286"/>
        <v>0</v>
      </c>
      <c r="S1244" s="14">
        <f t="shared" si="287"/>
        <v>0</v>
      </c>
    </row>
    <row r="1245" spans="1:19">
      <c r="A1245" s="14" t="str">
        <f t="shared" si="284"/>
        <v>SRY-4-2</v>
      </c>
      <c r="B1245" s="15">
        <f>'Curvas SRY'!$B$11</f>
        <v>5</v>
      </c>
      <c r="C1245" s="15">
        <f>'Curvas SRY'!$E$9</f>
        <v>1</v>
      </c>
      <c r="D1245" s="14" t="str">
        <f>'Curvas SRY'!$B$14</f>
        <v>Uso variable</v>
      </c>
      <c r="E1245" s="14">
        <f>42</f>
        <v>42</v>
      </c>
      <c r="F1245" s="21">
        <f>'Hoja 4 - Cálculo'!A66</f>
        <v>30834</v>
      </c>
      <c r="G1245" s="15">
        <f>'Hoja 4 - Cálculo'!H66</f>
        <v>14.554125000000001</v>
      </c>
      <c r="H1245" s="15">
        <f>IF(D1245="Uso único",'Hoja 4 - Cálculo'!I66,IF(D1245="Uso múltiple",AVERAGE('Hoja 4 - Cálculo'!$I$25:$I$384)+AVERAGE('Hoja 4 - Cálculo'!$J$25:$J$384)+AVERAGE('Hoja 4 - Cálculo'!$K$25:$K$384),IF(D1245="Uso prioritario",'Hoja 4 - Cálculo'!I66+'Hoja 4 - Cálculo'!K66,'Hoja 4 - Cálculo'!I66+'Hoja 4 - Cálculo'!J66+'Hoja 4 - Cálculo'!K66)))</f>
        <v>11.5</v>
      </c>
      <c r="I1245" s="15">
        <f t="shared" si="278"/>
        <v>11.5</v>
      </c>
      <c r="J1245" s="15">
        <f t="shared" si="285"/>
        <v>5</v>
      </c>
      <c r="K1245" s="15">
        <f>MIN(J1245+G1245,(J1245+G1245)*'Hoja 4 - Cálculo'!$B$15)</f>
        <v>0.3910825</v>
      </c>
      <c r="L1245" s="15">
        <f t="shared" si="279"/>
        <v>19.1630425</v>
      </c>
      <c r="M1245" s="15">
        <f t="shared" si="280"/>
        <v>11.5</v>
      </c>
      <c r="N1245" s="15">
        <f t="shared" si="281"/>
        <v>5</v>
      </c>
      <c r="O1245" s="15">
        <f t="shared" si="282"/>
        <v>2.6630424999999995</v>
      </c>
      <c r="P1245" s="15">
        <f t="shared" si="283"/>
        <v>0</v>
      </c>
      <c r="Q1245" s="14" t="str">
        <f>IF(M1245&gt;=I1245*'Hoja 4 - Cálculo'!$B$16,"Satisfactorio","Falla")</f>
        <v>Satisfactorio</v>
      </c>
      <c r="R1245" s="14">
        <f t="shared" si="286"/>
        <v>0</v>
      </c>
      <c r="S1245" s="14">
        <f t="shared" si="287"/>
        <v>0</v>
      </c>
    </row>
    <row r="1246" spans="1:19">
      <c r="A1246" s="14" t="str">
        <f t="shared" si="284"/>
        <v>SRY-4-2</v>
      </c>
      <c r="B1246" s="15">
        <f>'Curvas SRY'!$B$11</f>
        <v>5</v>
      </c>
      <c r="C1246" s="15">
        <f>'Curvas SRY'!$E$9</f>
        <v>1</v>
      </c>
      <c r="D1246" s="14" t="str">
        <f>'Curvas SRY'!$B$14</f>
        <v>Uso variable</v>
      </c>
      <c r="E1246" s="14">
        <f>43</f>
        <v>43</v>
      </c>
      <c r="F1246" s="21">
        <f>'Hoja 4 - Cálculo'!A67</f>
        <v>30864</v>
      </c>
      <c r="G1246" s="15">
        <f>'Hoja 4 - Cálculo'!H67</f>
        <v>12.794625</v>
      </c>
      <c r="H1246" s="15">
        <f>IF(D1246="Uso único",'Hoja 4 - Cálculo'!I67,IF(D1246="Uso múltiple",AVERAGE('Hoja 4 - Cálculo'!$I$25:$I$384)+AVERAGE('Hoja 4 - Cálculo'!$J$25:$J$384)+AVERAGE('Hoja 4 - Cálculo'!$K$25:$K$384),IF(D1246="Uso prioritario",'Hoja 4 - Cálculo'!I67+'Hoja 4 - Cálculo'!K67,'Hoja 4 - Cálculo'!I67+'Hoja 4 - Cálculo'!J67+'Hoja 4 - Cálculo'!K67)))</f>
        <v>16</v>
      </c>
      <c r="I1246" s="15">
        <f t="shared" si="278"/>
        <v>16</v>
      </c>
      <c r="J1246" s="15">
        <f t="shared" si="285"/>
        <v>5</v>
      </c>
      <c r="K1246" s="15">
        <f>MIN(J1246+G1246,(J1246+G1246)*'Hoja 4 - Cálculo'!$B$15)</f>
        <v>0.3558925</v>
      </c>
      <c r="L1246" s="15">
        <f t="shared" si="279"/>
        <v>17.4387325</v>
      </c>
      <c r="M1246" s="15">
        <f t="shared" si="280"/>
        <v>16</v>
      </c>
      <c r="N1246" s="15">
        <f t="shared" si="281"/>
        <v>1.4387325000000004</v>
      </c>
      <c r="O1246" s="15">
        <f t="shared" si="282"/>
        <v>0</v>
      </c>
      <c r="P1246" s="15">
        <f t="shared" si="283"/>
        <v>0</v>
      </c>
      <c r="Q1246" s="14" t="str">
        <f>IF(M1246&gt;=I1246*'Hoja 4 - Cálculo'!$B$16,"Satisfactorio","Falla")</f>
        <v>Satisfactorio</v>
      </c>
      <c r="R1246" s="14">
        <f t="shared" si="286"/>
        <v>0</v>
      </c>
      <c r="S1246" s="14">
        <f t="shared" si="287"/>
        <v>0</v>
      </c>
    </row>
    <row r="1247" spans="1:19">
      <c r="A1247" s="14" t="str">
        <f t="shared" si="284"/>
        <v>SRY-4-2</v>
      </c>
      <c r="B1247" s="15">
        <f>'Curvas SRY'!$B$11</f>
        <v>5</v>
      </c>
      <c r="C1247" s="15">
        <f>'Curvas SRY'!$E$9</f>
        <v>1</v>
      </c>
      <c r="D1247" s="14" t="str">
        <f>'Curvas SRY'!$B$14</f>
        <v>Uso variable</v>
      </c>
      <c r="E1247" s="14">
        <f>44</f>
        <v>44</v>
      </c>
      <c r="F1247" s="21">
        <f>'Hoja 4 - Cálculo'!A68</f>
        <v>30895</v>
      </c>
      <c r="G1247" s="15">
        <f>'Hoja 4 - Cálculo'!H68</f>
        <v>13.6935</v>
      </c>
      <c r="H1247" s="15">
        <f>IF(D1247="Uso único",'Hoja 4 - Cálculo'!I68,IF(D1247="Uso múltiple",AVERAGE('Hoja 4 - Cálculo'!$I$25:$I$384)+AVERAGE('Hoja 4 - Cálculo'!$J$25:$J$384)+AVERAGE('Hoja 4 - Cálculo'!$K$25:$K$384),IF(D1247="Uso prioritario",'Hoja 4 - Cálculo'!I68+'Hoja 4 - Cálculo'!K68,'Hoja 4 - Cálculo'!I68+'Hoja 4 - Cálculo'!J68+'Hoja 4 - Cálculo'!K68)))</f>
        <v>16</v>
      </c>
      <c r="I1247" s="15">
        <f t="shared" si="278"/>
        <v>16</v>
      </c>
      <c r="J1247" s="15">
        <f t="shared" si="285"/>
        <v>1.4387325000000004</v>
      </c>
      <c r="K1247" s="15">
        <f>MIN(J1247+G1247,(J1247+G1247)*'Hoja 4 - Cálculo'!$B$15)</f>
        <v>0.30264465000000002</v>
      </c>
      <c r="L1247" s="15">
        <f t="shared" si="279"/>
        <v>14.829587850000001</v>
      </c>
      <c r="M1247" s="15">
        <f t="shared" si="280"/>
        <v>14.829587850000001</v>
      </c>
      <c r="N1247" s="15">
        <f t="shared" si="281"/>
        <v>0</v>
      </c>
      <c r="O1247" s="15">
        <f t="shared" si="282"/>
        <v>0</v>
      </c>
      <c r="P1247" s="15">
        <f t="shared" si="283"/>
        <v>1.1704121499999989</v>
      </c>
      <c r="Q1247" s="14" t="str">
        <f>IF(M1247&gt;=I1247*'Hoja 4 - Cálculo'!$B$16,"Satisfactorio","Falla")</f>
        <v>Falla</v>
      </c>
      <c r="R1247" s="14">
        <f t="shared" si="286"/>
        <v>0</v>
      </c>
      <c r="S1247" s="14">
        <f t="shared" si="287"/>
        <v>1</v>
      </c>
    </row>
    <row r="1248" spans="1:19">
      <c r="A1248" s="14" t="str">
        <f t="shared" si="284"/>
        <v>SRY-4-2</v>
      </c>
      <c r="B1248" s="15">
        <f>'Curvas SRY'!$B$11</f>
        <v>5</v>
      </c>
      <c r="C1248" s="15">
        <f>'Curvas SRY'!$E$9</f>
        <v>1</v>
      </c>
      <c r="D1248" s="14" t="str">
        <f>'Curvas SRY'!$B$14</f>
        <v>Uso variable</v>
      </c>
      <c r="E1248" s="14">
        <f>45</f>
        <v>45</v>
      </c>
      <c r="F1248" s="21">
        <f>'Hoja 4 - Cálculo'!A69</f>
        <v>30926</v>
      </c>
      <c r="G1248" s="15">
        <f>'Hoja 4 - Cálculo'!H69</f>
        <v>20.521125000000001</v>
      </c>
      <c r="H1248" s="15">
        <f>IF(D1248="Uso único",'Hoja 4 - Cálculo'!I69,IF(D1248="Uso múltiple",AVERAGE('Hoja 4 - Cálculo'!$I$25:$I$384)+AVERAGE('Hoja 4 - Cálculo'!$J$25:$J$384)+AVERAGE('Hoja 4 - Cálculo'!$K$25:$K$384),IF(D1248="Uso prioritario",'Hoja 4 - Cálculo'!I69+'Hoja 4 - Cálculo'!K69,'Hoja 4 - Cálculo'!I69+'Hoja 4 - Cálculo'!J69+'Hoja 4 - Cálculo'!K69)))</f>
        <v>11.5</v>
      </c>
      <c r="I1248" s="15">
        <f t="shared" si="278"/>
        <v>11.5</v>
      </c>
      <c r="J1248" s="15">
        <f t="shared" si="285"/>
        <v>0</v>
      </c>
      <c r="K1248" s="15">
        <f>MIN(J1248+G1248,(J1248+G1248)*'Hoja 4 - Cálculo'!$B$15)</f>
        <v>0.41042250000000002</v>
      </c>
      <c r="L1248" s="15">
        <f t="shared" si="279"/>
        <v>20.110702500000002</v>
      </c>
      <c r="M1248" s="15">
        <f t="shared" si="280"/>
        <v>11.5</v>
      </c>
      <c r="N1248" s="15">
        <f t="shared" si="281"/>
        <v>5</v>
      </c>
      <c r="O1248" s="15">
        <f t="shared" si="282"/>
        <v>3.6107025000000021</v>
      </c>
      <c r="P1248" s="15">
        <f t="shared" si="283"/>
        <v>0</v>
      </c>
      <c r="Q1248" s="14" t="str">
        <f>IF(M1248&gt;=I1248*'Hoja 4 - Cálculo'!$B$16,"Satisfactorio","Falla")</f>
        <v>Satisfactorio</v>
      </c>
      <c r="R1248" s="14">
        <f t="shared" si="286"/>
        <v>1</v>
      </c>
      <c r="S1248" s="14">
        <f t="shared" si="287"/>
        <v>0</v>
      </c>
    </row>
    <row r="1249" spans="1:19">
      <c r="A1249" s="14" t="str">
        <f t="shared" si="284"/>
        <v>SRY-4-2</v>
      </c>
      <c r="B1249" s="15">
        <f>'Curvas SRY'!$B$11</f>
        <v>5</v>
      </c>
      <c r="C1249" s="15">
        <f>'Curvas SRY'!$E$9</f>
        <v>1</v>
      </c>
      <c r="D1249" s="14" t="str">
        <f>'Curvas SRY'!$B$14</f>
        <v>Uso variable</v>
      </c>
      <c r="E1249" s="14">
        <f>46</f>
        <v>46</v>
      </c>
      <c r="F1249" s="21">
        <f>'Hoja 4 - Cálculo'!A70</f>
        <v>30956</v>
      </c>
      <c r="G1249" s="15">
        <f>'Hoja 4 - Cálculo'!H70</f>
        <v>27.061875000000001</v>
      </c>
      <c r="H1249" s="15">
        <f>IF(D1249="Uso único",'Hoja 4 - Cálculo'!I70,IF(D1249="Uso múltiple",AVERAGE('Hoja 4 - Cálculo'!$I$25:$I$384)+AVERAGE('Hoja 4 - Cálculo'!$J$25:$J$384)+AVERAGE('Hoja 4 - Cálculo'!$K$25:$K$384),IF(D1249="Uso prioritario",'Hoja 4 - Cálculo'!I70+'Hoja 4 - Cálculo'!K70,'Hoja 4 - Cálculo'!I70+'Hoja 4 - Cálculo'!J70+'Hoja 4 - Cálculo'!K70)))</f>
        <v>11.5</v>
      </c>
      <c r="I1249" s="15">
        <f t="shared" si="278"/>
        <v>11.5</v>
      </c>
      <c r="J1249" s="15">
        <f t="shared" si="285"/>
        <v>5</v>
      </c>
      <c r="K1249" s="15">
        <f>MIN(J1249+G1249,(J1249+G1249)*'Hoja 4 - Cálculo'!$B$15)</f>
        <v>0.64123750000000002</v>
      </c>
      <c r="L1249" s="15">
        <f t="shared" si="279"/>
        <v>31.420637500000002</v>
      </c>
      <c r="M1249" s="15">
        <f t="shared" si="280"/>
        <v>11.5</v>
      </c>
      <c r="N1249" s="15">
        <f t="shared" si="281"/>
        <v>5</v>
      </c>
      <c r="O1249" s="15">
        <f t="shared" si="282"/>
        <v>14.920637500000002</v>
      </c>
      <c r="P1249" s="15">
        <f t="shared" si="283"/>
        <v>0</v>
      </c>
      <c r="Q1249" s="14" t="str">
        <f>IF(M1249&gt;=I1249*'Hoja 4 - Cálculo'!$B$16,"Satisfactorio","Falla")</f>
        <v>Satisfactorio</v>
      </c>
      <c r="R1249" s="14">
        <f t="shared" si="286"/>
        <v>0</v>
      </c>
      <c r="S1249" s="14">
        <f t="shared" si="287"/>
        <v>0</v>
      </c>
    </row>
    <row r="1250" spans="1:19">
      <c r="A1250" s="14" t="str">
        <f t="shared" si="284"/>
        <v>SRY-4-2</v>
      </c>
      <c r="B1250" s="15">
        <f>'Curvas SRY'!$B$11</f>
        <v>5</v>
      </c>
      <c r="C1250" s="15">
        <f>'Curvas SRY'!$E$9</f>
        <v>1</v>
      </c>
      <c r="D1250" s="14" t="str">
        <f>'Curvas SRY'!$B$14</f>
        <v>Uso variable</v>
      </c>
      <c r="E1250" s="14">
        <f>47</f>
        <v>47</v>
      </c>
      <c r="F1250" s="21">
        <f>'Hoja 4 - Cálculo'!A71</f>
        <v>30987</v>
      </c>
      <c r="G1250" s="15">
        <f>'Hoja 4 - Cálculo'!H71</f>
        <v>24.346125000000001</v>
      </c>
      <c r="H1250" s="15">
        <f>IF(D1250="Uso único",'Hoja 4 - Cálculo'!I71,IF(D1250="Uso múltiple",AVERAGE('Hoja 4 - Cálculo'!$I$25:$I$384)+AVERAGE('Hoja 4 - Cálculo'!$J$25:$J$384)+AVERAGE('Hoja 4 - Cálculo'!$K$25:$K$384),IF(D1250="Uso prioritario",'Hoja 4 - Cálculo'!I71+'Hoja 4 - Cálculo'!K71,'Hoja 4 - Cálculo'!I71+'Hoja 4 - Cálculo'!J71+'Hoja 4 - Cálculo'!K71)))</f>
        <v>11.5</v>
      </c>
      <c r="I1250" s="15">
        <f t="shared" si="278"/>
        <v>11.5</v>
      </c>
      <c r="J1250" s="15">
        <f t="shared" si="285"/>
        <v>5</v>
      </c>
      <c r="K1250" s="15">
        <f>MIN(J1250+G1250,(J1250+G1250)*'Hoja 4 - Cálculo'!$B$15)</f>
        <v>0.58692250000000001</v>
      </c>
      <c r="L1250" s="15">
        <f t="shared" si="279"/>
        <v>28.759202500000001</v>
      </c>
      <c r="M1250" s="15">
        <f t="shared" si="280"/>
        <v>11.5</v>
      </c>
      <c r="N1250" s="15">
        <f t="shared" si="281"/>
        <v>5</v>
      </c>
      <c r="O1250" s="15">
        <f t="shared" si="282"/>
        <v>12.259202500000001</v>
      </c>
      <c r="P1250" s="15">
        <f t="shared" si="283"/>
        <v>0</v>
      </c>
      <c r="Q1250" s="14" t="str">
        <f>IF(M1250&gt;=I1250*'Hoja 4 - Cálculo'!$B$16,"Satisfactorio","Falla")</f>
        <v>Satisfactorio</v>
      </c>
      <c r="R1250" s="14">
        <f t="shared" si="286"/>
        <v>0</v>
      </c>
      <c r="S1250" s="14">
        <f t="shared" si="287"/>
        <v>0</v>
      </c>
    </row>
    <row r="1251" spans="1:19">
      <c r="A1251" s="14" t="str">
        <f t="shared" si="284"/>
        <v>SRY-4-2</v>
      </c>
      <c r="B1251" s="15">
        <f>'Curvas SRY'!$B$11</f>
        <v>5</v>
      </c>
      <c r="C1251" s="15">
        <f>'Curvas SRY'!$E$9</f>
        <v>1</v>
      </c>
      <c r="D1251" s="14" t="str">
        <f>'Curvas SRY'!$B$14</f>
        <v>Uso variable</v>
      </c>
      <c r="E1251" s="14">
        <f>48</f>
        <v>48</v>
      </c>
      <c r="F1251" s="21">
        <f>'Hoja 4 - Cálculo'!A72</f>
        <v>31017</v>
      </c>
      <c r="G1251" s="15">
        <f>'Hoja 4 - Cálculo'!H72</f>
        <v>14.745374999999999</v>
      </c>
      <c r="H1251" s="15">
        <f>IF(D1251="Uso único",'Hoja 4 - Cálculo'!I72,IF(D1251="Uso múltiple",AVERAGE('Hoja 4 - Cálculo'!$I$25:$I$384)+AVERAGE('Hoja 4 - Cálculo'!$J$25:$J$384)+AVERAGE('Hoja 4 - Cálculo'!$K$25:$K$384),IF(D1251="Uso prioritario",'Hoja 4 - Cálculo'!I72+'Hoja 4 - Cálculo'!K72,'Hoja 4 - Cálculo'!I72+'Hoja 4 - Cálculo'!J72+'Hoja 4 - Cálculo'!K72)))</f>
        <v>16</v>
      </c>
      <c r="I1251" s="15">
        <f t="shared" si="278"/>
        <v>16</v>
      </c>
      <c r="J1251" s="15">
        <f t="shared" si="285"/>
        <v>5</v>
      </c>
      <c r="K1251" s="15">
        <f>MIN(J1251+G1251,(J1251+G1251)*'Hoja 4 - Cálculo'!$B$15)</f>
        <v>0.39490749999999997</v>
      </c>
      <c r="L1251" s="15">
        <f t="shared" si="279"/>
        <v>19.350467500000001</v>
      </c>
      <c r="M1251" s="15">
        <f t="shared" si="280"/>
        <v>16</v>
      </c>
      <c r="N1251" s="15">
        <f t="shared" si="281"/>
        <v>3.3504675000000006</v>
      </c>
      <c r="O1251" s="15">
        <f t="shared" si="282"/>
        <v>0</v>
      </c>
      <c r="P1251" s="15">
        <f t="shared" si="283"/>
        <v>0</v>
      </c>
      <c r="Q1251" s="14" t="str">
        <f>IF(M1251&gt;=I1251*'Hoja 4 - Cálculo'!$B$16,"Satisfactorio","Falla")</f>
        <v>Satisfactorio</v>
      </c>
      <c r="R1251" s="14">
        <f t="shared" si="286"/>
        <v>0</v>
      </c>
      <c r="S1251" s="14">
        <f t="shared" si="287"/>
        <v>0</v>
      </c>
    </row>
    <row r="1252" spans="1:19">
      <c r="A1252" s="14" t="str">
        <f t="shared" si="284"/>
        <v>SRY-4-2</v>
      </c>
      <c r="B1252" s="15">
        <f>'Curvas SRY'!$B$11</f>
        <v>5</v>
      </c>
      <c r="C1252" s="15">
        <f>'Curvas SRY'!$E$9</f>
        <v>1</v>
      </c>
      <c r="D1252" s="14" t="str">
        <f>'Curvas SRY'!$B$14</f>
        <v>Uso variable</v>
      </c>
      <c r="E1252" s="14">
        <f>49</f>
        <v>49</v>
      </c>
      <c r="F1252" s="21">
        <f>'Hoja 4 - Cálculo'!A73</f>
        <v>31048</v>
      </c>
      <c r="G1252" s="15">
        <f>'Hoja 4 - Cálculo'!H73</f>
        <v>10.767374999999999</v>
      </c>
      <c r="H1252" s="15">
        <f>IF(D1252="Uso único",'Hoja 4 - Cálculo'!I73,IF(D1252="Uso múltiple",AVERAGE('Hoja 4 - Cálculo'!$I$25:$I$384)+AVERAGE('Hoja 4 - Cálculo'!$J$25:$J$384)+AVERAGE('Hoja 4 - Cálculo'!$K$25:$K$384),IF(D1252="Uso prioritario",'Hoja 4 - Cálculo'!I73+'Hoja 4 - Cálculo'!K73,'Hoja 4 - Cálculo'!I73+'Hoja 4 - Cálculo'!J73+'Hoja 4 - Cálculo'!K73)))</f>
        <v>16</v>
      </c>
      <c r="I1252" s="15">
        <f t="shared" si="278"/>
        <v>16</v>
      </c>
      <c r="J1252" s="15">
        <f t="shared" si="285"/>
        <v>3.3504675000000006</v>
      </c>
      <c r="K1252" s="15">
        <f>MIN(J1252+G1252,(J1252+G1252)*'Hoja 4 - Cálculo'!$B$15)</f>
        <v>0.28235684999999999</v>
      </c>
      <c r="L1252" s="15">
        <f t="shared" si="279"/>
        <v>13.835485650000001</v>
      </c>
      <c r="M1252" s="15">
        <f t="shared" si="280"/>
        <v>13.835485650000001</v>
      </c>
      <c r="N1252" s="15">
        <f t="shared" si="281"/>
        <v>0</v>
      </c>
      <c r="O1252" s="15">
        <f t="shared" si="282"/>
        <v>0</v>
      </c>
      <c r="P1252" s="15">
        <f t="shared" si="283"/>
        <v>2.1645143499999993</v>
      </c>
      <c r="Q1252" s="14" t="str">
        <f>IF(M1252&gt;=I1252*'Hoja 4 - Cálculo'!$B$16,"Satisfactorio","Falla")</f>
        <v>Falla</v>
      </c>
      <c r="R1252" s="14">
        <f t="shared" si="286"/>
        <v>0</v>
      </c>
      <c r="S1252" s="14">
        <f t="shared" si="287"/>
        <v>1</v>
      </c>
    </row>
    <row r="1253" spans="1:19">
      <c r="A1253" s="14" t="str">
        <f t="shared" si="284"/>
        <v>SRY-4-2</v>
      </c>
      <c r="B1253" s="15">
        <f>'Curvas SRY'!$B$11</f>
        <v>5</v>
      </c>
      <c r="C1253" s="15">
        <f>'Curvas SRY'!$E$9</f>
        <v>1</v>
      </c>
      <c r="D1253" s="14" t="str">
        <f>'Curvas SRY'!$B$14</f>
        <v>Uso variable</v>
      </c>
      <c r="E1253" s="14">
        <f>50</f>
        <v>50</v>
      </c>
      <c r="F1253" s="21">
        <f>'Hoja 4 - Cálculo'!A74</f>
        <v>31079</v>
      </c>
      <c r="G1253" s="15">
        <f>'Hoja 4 - Cálculo'!H74</f>
        <v>13.464</v>
      </c>
      <c r="H1253" s="15">
        <f>IF(D1253="Uso único",'Hoja 4 - Cálculo'!I74,IF(D1253="Uso múltiple",AVERAGE('Hoja 4 - Cálculo'!$I$25:$I$384)+AVERAGE('Hoja 4 - Cálculo'!$J$25:$J$384)+AVERAGE('Hoja 4 - Cálculo'!$K$25:$K$384),IF(D1253="Uso prioritario",'Hoja 4 - Cálculo'!I74+'Hoja 4 - Cálculo'!K74,'Hoja 4 - Cálculo'!I74+'Hoja 4 - Cálculo'!J74+'Hoja 4 - Cálculo'!K74)))</f>
        <v>16</v>
      </c>
      <c r="I1253" s="15">
        <f t="shared" si="278"/>
        <v>16</v>
      </c>
      <c r="J1253" s="15">
        <f t="shared" si="285"/>
        <v>0</v>
      </c>
      <c r="K1253" s="15">
        <f>MIN(J1253+G1253,(J1253+G1253)*'Hoja 4 - Cálculo'!$B$15)</f>
        <v>0.26928000000000002</v>
      </c>
      <c r="L1253" s="15">
        <f t="shared" si="279"/>
        <v>13.19472</v>
      </c>
      <c r="M1253" s="15">
        <f t="shared" si="280"/>
        <v>13.19472</v>
      </c>
      <c r="N1253" s="15">
        <f t="shared" si="281"/>
        <v>0</v>
      </c>
      <c r="O1253" s="15">
        <f t="shared" si="282"/>
        <v>0</v>
      </c>
      <c r="P1253" s="15">
        <f t="shared" si="283"/>
        <v>2.8052799999999998</v>
      </c>
      <c r="Q1253" s="14" t="str">
        <f>IF(M1253&gt;=I1253*'Hoja 4 - Cálculo'!$B$16,"Satisfactorio","Falla")</f>
        <v>Falla</v>
      </c>
      <c r="R1253" s="14">
        <f t="shared" si="286"/>
        <v>0</v>
      </c>
      <c r="S1253" s="14">
        <f t="shared" si="287"/>
        <v>0</v>
      </c>
    </row>
    <row r="1254" spans="1:19">
      <c r="A1254" s="14" t="str">
        <f t="shared" si="284"/>
        <v>SRY-4-2</v>
      </c>
      <c r="B1254" s="15">
        <f>'Curvas SRY'!$B$11</f>
        <v>5</v>
      </c>
      <c r="C1254" s="15">
        <f>'Curvas SRY'!$E$9</f>
        <v>1</v>
      </c>
      <c r="D1254" s="14" t="str">
        <f>'Curvas SRY'!$B$14</f>
        <v>Uso variable</v>
      </c>
      <c r="E1254" s="14">
        <f>51</f>
        <v>51</v>
      </c>
      <c r="F1254" s="21">
        <f>'Hoja 4 - Cálculo'!A75</f>
        <v>31107</v>
      </c>
      <c r="G1254" s="15">
        <f>'Hoja 4 - Cálculo'!H75</f>
        <v>19.450125</v>
      </c>
      <c r="H1254" s="15">
        <f>IF(D1254="Uso único",'Hoja 4 - Cálculo'!I75,IF(D1254="Uso múltiple",AVERAGE('Hoja 4 - Cálculo'!$I$25:$I$384)+AVERAGE('Hoja 4 - Cálculo'!$J$25:$J$384)+AVERAGE('Hoja 4 - Cálculo'!$K$25:$K$384),IF(D1254="Uso prioritario",'Hoja 4 - Cálculo'!I75+'Hoja 4 - Cálculo'!K75,'Hoja 4 - Cálculo'!I75+'Hoja 4 - Cálculo'!J75+'Hoja 4 - Cálculo'!K75)))</f>
        <v>16</v>
      </c>
      <c r="I1254" s="15">
        <f t="shared" si="278"/>
        <v>16</v>
      </c>
      <c r="J1254" s="15">
        <f t="shared" si="285"/>
        <v>0</v>
      </c>
      <c r="K1254" s="15">
        <f>MIN(J1254+G1254,(J1254+G1254)*'Hoja 4 - Cálculo'!$B$15)</f>
        <v>0.38900250000000003</v>
      </c>
      <c r="L1254" s="15">
        <f t="shared" si="279"/>
        <v>19.0611225</v>
      </c>
      <c r="M1254" s="15">
        <f t="shared" si="280"/>
        <v>16</v>
      </c>
      <c r="N1254" s="15">
        <f t="shared" si="281"/>
        <v>3.0611224999999997</v>
      </c>
      <c r="O1254" s="15">
        <f t="shared" si="282"/>
        <v>0</v>
      </c>
      <c r="P1254" s="15">
        <f t="shared" si="283"/>
        <v>0</v>
      </c>
      <c r="Q1254" s="14" t="str">
        <f>IF(M1254&gt;=I1254*'Hoja 4 - Cálculo'!$B$16,"Satisfactorio","Falla")</f>
        <v>Satisfactorio</v>
      </c>
      <c r="R1254" s="14">
        <f t="shared" si="286"/>
        <v>1</v>
      </c>
      <c r="S1254" s="14">
        <f t="shared" si="287"/>
        <v>0</v>
      </c>
    </row>
    <row r="1255" spans="1:19">
      <c r="A1255" s="14" t="str">
        <f t="shared" si="284"/>
        <v>SRY-4-2</v>
      </c>
      <c r="B1255" s="15">
        <f>'Curvas SRY'!$B$11</f>
        <v>5</v>
      </c>
      <c r="C1255" s="15">
        <f>'Curvas SRY'!$E$9</f>
        <v>1</v>
      </c>
      <c r="D1255" s="14" t="str">
        <f>'Curvas SRY'!$B$14</f>
        <v>Uso variable</v>
      </c>
      <c r="E1255" s="14">
        <f>52</f>
        <v>52</v>
      </c>
      <c r="F1255" s="21">
        <f>'Hoja 4 - Cálculo'!A76</f>
        <v>31138</v>
      </c>
      <c r="G1255" s="15">
        <f>'Hoja 4 - Cálculo'!H76</f>
        <v>25.51275</v>
      </c>
      <c r="H1255" s="15">
        <f>IF(D1255="Uso único",'Hoja 4 - Cálculo'!I76,IF(D1255="Uso múltiple",AVERAGE('Hoja 4 - Cálculo'!$I$25:$I$384)+AVERAGE('Hoja 4 - Cálculo'!$J$25:$J$384)+AVERAGE('Hoja 4 - Cálculo'!$K$25:$K$384),IF(D1255="Uso prioritario",'Hoja 4 - Cálculo'!I76+'Hoja 4 - Cálculo'!K76,'Hoja 4 - Cálculo'!I76+'Hoja 4 - Cálculo'!J76+'Hoja 4 - Cálculo'!K76)))</f>
        <v>11.5</v>
      </c>
      <c r="I1255" s="15">
        <f t="shared" si="278"/>
        <v>11.5</v>
      </c>
      <c r="J1255" s="15">
        <f t="shared" si="285"/>
        <v>3.0611224999999997</v>
      </c>
      <c r="K1255" s="15">
        <f>MIN(J1255+G1255,(J1255+G1255)*'Hoja 4 - Cálculo'!$B$15)</f>
        <v>0.57147745000000005</v>
      </c>
      <c r="L1255" s="15">
        <f t="shared" si="279"/>
        <v>28.002395050000001</v>
      </c>
      <c r="M1255" s="15">
        <f t="shared" si="280"/>
        <v>11.5</v>
      </c>
      <c r="N1255" s="15">
        <f t="shared" si="281"/>
        <v>5</v>
      </c>
      <c r="O1255" s="15">
        <f t="shared" si="282"/>
        <v>11.502395050000001</v>
      </c>
      <c r="P1255" s="15">
        <f t="shared" si="283"/>
        <v>0</v>
      </c>
      <c r="Q1255" s="14" t="str">
        <f>IF(M1255&gt;=I1255*'Hoja 4 - Cálculo'!$B$16,"Satisfactorio","Falla")</f>
        <v>Satisfactorio</v>
      </c>
      <c r="R1255" s="14">
        <f t="shared" si="286"/>
        <v>0</v>
      </c>
      <c r="S1255" s="14">
        <f t="shared" si="287"/>
        <v>0</v>
      </c>
    </row>
    <row r="1256" spans="1:19">
      <c r="A1256" s="14" t="str">
        <f t="shared" si="284"/>
        <v>SRY-4-2</v>
      </c>
      <c r="B1256" s="15">
        <f>'Curvas SRY'!$B$11</f>
        <v>5</v>
      </c>
      <c r="C1256" s="15">
        <f>'Curvas SRY'!$E$9</f>
        <v>1</v>
      </c>
      <c r="D1256" s="14" t="str">
        <f>'Curvas SRY'!$B$14</f>
        <v>Uso variable</v>
      </c>
      <c r="E1256" s="14">
        <f>53</f>
        <v>53</v>
      </c>
      <c r="F1256" s="21">
        <f>'Hoja 4 - Cálculo'!A77</f>
        <v>31168</v>
      </c>
      <c r="G1256" s="15">
        <f>'Hoja 4 - Cálculo'!H77</f>
        <v>24.36525</v>
      </c>
      <c r="H1256" s="15">
        <f>IF(D1256="Uso único",'Hoja 4 - Cálculo'!I77,IF(D1256="Uso múltiple",AVERAGE('Hoja 4 - Cálculo'!$I$25:$I$384)+AVERAGE('Hoja 4 - Cálculo'!$J$25:$J$384)+AVERAGE('Hoja 4 - Cálculo'!$K$25:$K$384),IF(D1256="Uso prioritario",'Hoja 4 - Cálculo'!I77+'Hoja 4 - Cálculo'!K77,'Hoja 4 - Cálculo'!I77+'Hoja 4 - Cálculo'!J77+'Hoja 4 - Cálculo'!K77)))</f>
        <v>11.5</v>
      </c>
      <c r="I1256" s="15">
        <f t="shared" si="278"/>
        <v>11.5</v>
      </c>
      <c r="J1256" s="15">
        <f t="shared" si="285"/>
        <v>5</v>
      </c>
      <c r="K1256" s="15">
        <f>MIN(J1256+G1256,(J1256+G1256)*'Hoja 4 - Cálculo'!$B$15)</f>
        <v>0.58730499999999997</v>
      </c>
      <c r="L1256" s="15">
        <f t="shared" si="279"/>
        <v>28.777944999999999</v>
      </c>
      <c r="M1256" s="15">
        <f t="shared" si="280"/>
        <v>11.5</v>
      </c>
      <c r="N1256" s="15">
        <f t="shared" si="281"/>
        <v>5</v>
      </c>
      <c r="O1256" s="15">
        <f t="shared" si="282"/>
        <v>12.277944999999999</v>
      </c>
      <c r="P1256" s="15">
        <f t="shared" si="283"/>
        <v>0</v>
      </c>
      <c r="Q1256" s="14" t="str">
        <f>IF(M1256&gt;=I1256*'Hoja 4 - Cálculo'!$B$16,"Satisfactorio","Falla")</f>
        <v>Satisfactorio</v>
      </c>
      <c r="R1256" s="14">
        <f t="shared" si="286"/>
        <v>0</v>
      </c>
      <c r="S1256" s="14">
        <f t="shared" si="287"/>
        <v>0</v>
      </c>
    </row>
    <row r="1257" spans="1:19">
      <c r="A1257" s="14" t="str">
        <f t="shared" si="284"/>
        <v>SRY-4-2</v>
      </c>
      <c r="B1257" s="15">
        <f>'Curvas SRY'!$B$11</f>
        <v>5</v>
      </c>
      <c r="C1257" s="15">
        <f>'Curvas SRY'!$E$9</f>
        <v>1</v>
      </c>
      <c r="D1257" s="14" t="str">
        <f>'Curvas SRY'!$B$14</f>
        <v>Uso variable</v>
      </c>
      <c r="E1257" s="14">
        <f>54</f>
        <v>54</v>
      </c>
      <c r="F1257" s="21">
        <f>'Hoja 4 - Cálculo'!A78</f>
        <v>31199</v>
      </c>
      <c r="G1257" s="15">
        <f>'Hoja 4 - Cálculo'!H78</f>
        <v>15.395625000000001</v>
      </c>
      <c r="H1257" s="15">
        <f>IF(D1257="Uso único",'Hoja 4 - Cálculo'!I78,IF(D1257="Uso múltiple",AVERAGE('Hoja 4 - Cálculo'!$I$25:$I$384)+AVERAGE('Hoja 4 - Cálculo'!$J$25:$J$384)+AVERAGE('Hoja 4 - Cálculo'!$K$25:$K$384),IF(D1257="Uso prioritario",'Hoja 4 - Cálculo'!I78+'Hoja 4 - Cálculo'!K78,'Hoja 4 - Cálculo'!I78+'Hoja 4 - Cálculo'!J78+'Hoja 4 - Cálculo'!K78)))</f>
        <v>11.5</v>
      </c>
      <c r="I1257" s="15">
        <f t="shared" si="278"/>
        <v>11.5</v>
      </c>
      <c r="J1257" s="15">
        <f t="shared" si="285"/>
        <v>5</v>
      </c>
      <c r="K1257" s="15">
        <f>MIN(J1257+G1257,(J1257+G1257)*'Hoja 4 - Cálculo'!$B$15)</f>
        <v>0.40791250000000007</v>
      </c>
      <c r="L1257" s="15">
        <f t="shared" si="279"/>
        <v>19.987712500000004</v>
      </c>
      <c r="M1257" s="15">
        <f t="shared" si="280"/>
        <v>11.5</v>
      </c>
      <c r="N1257" s="15">
        <f t="shared" si="281"/>
        <v>5</v>
      </c>
      <c r="O1257" s="15">
        <f t="shared" si="282"/>
        <v>3.4877125000000042</v>
      </c>
      <c r="P1257" s="15">
        <f t="shared" si="283"/>
        <v>0</v>
      </c>
      <c r="Q1257" s="14" t="str">
        <f>IF(M1257&gt;=I1257*'Hoja 4 - Cálculo'!$B$16,"Satisfactorio","Falla")</f>
        <v>Satisfactorio</v>
      </c>
      <c r="R1257" s="14">
        <f t="shared" si="286"/>
        <v>0</v>
      </c>
      <c r="S1257" s="14">
        <f t="shared" si="287"/>
        <v>0</v>
      </c>
    </row>
    <row r="1258" spans="1:19">
      <c r="A1258" s="14" t="str">
        <f t="shared" si="284"/>
        <v>SRY-4-2</v>
      </c>
      <c r="B1258" s="15">
        <f>'Curvas SRY'!$B$11</f>
        <v>5</v>
      </c>
      <c r="C1258" s="15">
        <f>'Curvas SRY'!$E$9</f>
        <v>1</v>
      </c>
      <c r="D1258" s="14" t="str">
        <f>'Curvas SRY'!$B$14</f>
        <v>Uso variable</v>
      </c>
      <c r="E1258" s="14">
        <f>55</f>
        <v>55</v>
      </c>
      <c r="F1258" s="21">
        <f>'Hoja 4 - Cálculo'!A79</f>
        <v>31229</v>
      </c>
      <c r="G1258" s="15">
        <f>'Hoja 4 - Cálculo'!H79</f>
        <v>11.742749999999999</v>
      </c>
      <c r="H1258" s="15">
        <f>IF(D1258="Uso único",'Hoja 4 - Cálculo'!I79,IF(D1258="Uso múltiple",AVERAGE('Hoja 4 - Cálculo'!$I$25:$I$384)+AVERAGE('Hoja 4 - Cálculo'!$J$25:$J$384)+AVERAGE('Hoja 4 - Cálculo'!$K$25:$K$384),IF(D1258="Uso prioritario",'Hoja 4 - Cálculo'!I79+'Hoja 4 - Cálculo'!K79,'Hoja 4 - Cálculo'!I79+'Hoja 4 - Cálculo'!J79+'Hoja 4 - Cálculo'!K79)))</f>
        <v>16</v>
      </c>
      <c r="I1258" s="15">
        <f t="shared" si="278"/>
        <v>16</v>
      </c>
      <c r="J1258" s="15">
        <f t="shared" si="285"/>
        <v>5</v>
      </c>
      <c r="K1258" s="15">
        <f>MIN(J1258+G1258,(J1258+G1258)*'Hoja 4 - Cálculo'!$B$15)</f>
        <v>0.33485500000000001</v>
      </c>
      <c r="L1258" s="15">
        <f t="shared" si="279"/>
        <v>16.407895</v>
      </c>
      <c r="M1258" s="15">
        <f t="shared" si="280"/>
        <v>16</v>
      </c>
      <c r="N1258" s="15">
        <f t="shared" si="281"/>
        <v>0.4078949999999999</v>
      </c>
      <c r="O1258" s="15">
        <f t="shared" si="282"/>
        <v>0</v>
      </c>
      <c r="P1258" s="15">
        <f t="shared" si="283"/>
        <v>0</v>
      </c>
      <c r="Q1258" s="14" t="str">
        <f>IF(M1258&gt;=I1258*'Hoja 4 - Cálculo'!$B$16,"Satisfactorio","Falla")</f>
        <v>Satisfactorio</v>
      </c>
      <c r="R1258" s="14">
        <f t="shared" si="286"/>
        <v>0</v>
      </c>
      <c r="S1258" s="14">
        <f t="shared" si="287"/>
        <v>0</v>
      </c>
    </row>
    <row r="1259" spans="1:19">
      <c r="A1259" s="14" t="str">
        <f t="shared" si="284"/>
        <v>SRY-4-2</v>
      </c>
      <c r="B1259" s="15">
        <f>'Curvas SRY'!$B$11</f>
        <v>5</v>
      </c>
      <c r="C1259" s="15">
        <f>'Curvas SRY'!$E$9</f>
        <v>1</v>
      </c>
      <c r="D1259" s="14" t="str">
        <f>'Curvas SRY'!$B$14</f>
        <v>Uso variable</v>
      </c>
      <c r="E1259" s="14">
        <f>56</f>
        <v>56</v>
      </c>
      <c r="F1259" s="21">
        <f>'Hoja 4 - Cálculo'!A80</f>
        <v>31260</v>
      </c>
      <c r="G1259" s="15">
        <f>'Hoja 4 - Cálculo'!H80</f>
        <v>12.603375</v>
      </c>
      <c r="H1259" s="15">
        <f>IF(D1259="Uso único",'Hoja 4 - Cálculo'!I80,IF(D1259="Uso múltiple",AVERAGE('Hoja 4 - Cálculo'!$I$25:$I$384)+AVERAGE('Hoja 4 - Cálculo'!$J$25:$J$384)+AVERAGE('Hoja 4 - Cálculo'!$K$25:$K$384),IF(D1259="Uso prioritario",'Hoja 4 - Cálculo'!I80+'Hoja 4 - Cálculo'!K80,'Hoja 4 - Cálculo'!I80+'Hoja 4 - Cálculo'!J80+'Hoja 4 - Cálculo'!K80)))</f>
        <v>16</v>
      </c>
      <c r="I1259" s="15">
        <f t="shared" si="278"/>
        <v>16</v>
      </c>
      <c r="J1259" s="15">
        <f t="shared" si="285"/>
        <v>0.4078949999999999</v>
      </c>
      <c r="K1259" s="15">
        <f>MIN(J1259+G1259,(J1259+G1259)*'Hoja 4 - Cálculo'!$B$15)</f>
        <v>0.2602254</v>
      </c>
      <c r="L1259" s="15">
        <f t="shared" si="279"/>
        <v>12.7510446</v>
      </c>
      <c r="M1259" s="15">
        <f t="shared" si="280"/>
        <v>12.7510446</v>
      </c>
      <c r="N1259" s="15">
        <f t="shared" si="281"/>
        <v>0</v>
      </c>
      <c r="O1259" s="15">
        <f t="shared" si="282"/>
        <v>0</v>
      </c>
      <c r="P1259" s="15">
        <f t="shared" si="283"/>
        <v>3.2489553999999998</v>
      </c>
      <c r="Q1259" s="14" t="str">
        <f>IF(M1259&gt;=I1259*'Hoja 4 - Cálculo'!$B$16,"Satisfactorio","Falla")</f>
        <v>Falla</v>
      </c>
      <c r="R1259" s="14">
        <f t="shared" si="286"/>
        <v>0</v>
      </c>
      <c r="S1259" s="14">
        <f t="shared" si="287"/>
        <v>1</v>
      </c>
    </row>
    <row r="1260" spans="1:19">
      <c r="A1260" s="14" t="str">
        <f t="shared" si="284"/>
        <v>SRY-4-2</v>
      </c>
      <c r="B1260" s="15">
        <f>'Curvas SRY'!$B$11</f>
        <v>5</v>
      </c>
      <c r="C1260" s="15">
        <f>'Curvas SRY'!$E$9</f>
        <v>1</v>
      </c>
      <c r="D1260" s="14" t="str">
        <f>'Curvas SRY'!$B$14</f>
        <v>Uso variable</v>
      </c>
      <c r="E1260" s="14">
        <f>57</f>
        <v>57</v>
      </c>
      <c r="F1260" s="21">
        <f>'Hoja 4 - Cálculo'!A81</f>
        <v>31291</v>
      </c>
      <c r="G1260" s="15">
        <f>'Hoja 4 - Cálculo'!H81</f>
        <v>21.745125000000002</v>
      </c>
      <c r="H1260" s="15">
        <f>IF(D1260="Uso único",'Hoja 4 - Cálculo'!I81,IF(D1260="Uso múltiple",AVERAGE('Hoja 4 - Cálculo'!$I$25:$I$384)+AVERAGE('Hoja 4 - Cálculo'!$J$25:$J$384)+AVERAGE('Hoja 4 - Cálculo'!$K$25:$K$384),IF(D1260="Uso prioritario",'Hoja 4 - Cálculo'!I81+'Hoja 4 - Cálculo'!K81,'Hoja 4 - Cálculo'!I81+'Hoja 4 - Cálculo'!J81+'Hoja 4 - Cálculo'!K81)))</f>
        <v>11.5</v>
      </c>
      <c r="I1260" s="15">
        <f t="shared" si="278"/>
        <v>11.5</v>
      </c>
      <c r="J1260" s="15">
        <f t="shared" si="285"/>
        <v>0</v>
      </c>
      <c r="K1260" s="15">
        <f>MIN(J1260+G1260,(J1260+G1260)*'Hoja 4 - Cálculo'!$B$15)</f>
        <v>0.43490250000000003</v>
      </c>
      <c r="L1260" s="15">
        <f t="shared" si="279"/>
        <v>21.310222500000002</v>
      </c>
      <c r="M1260" s="15">
        <f t="shared" si="280"/>
        <v>11.5</v>
      </c>
      <c r="N1260" s="15">
        <f t="shared" si="281"/>
        <v>5</v>
      </c>
      <c r="O1260" s="15">
        <f t="shared" si="282"/>
        <v>4.8102225000000018</v>
      </c>
      <c r="P1260" s="15">
        <f t="shared" si="283"/>
        <v>0</v>
      </c>
      <c r="Q1260" s="14" t="str">
        <f>IF(M1260&gt;=I1260*'Hoja 4 - Cálculo'!$B$16,"Satisfactorio","Falla")</f>
        <v>Satisfactorio</v>
      </c>
      <c r="R1260" s="14">
        <f t="shared" si="286"/>
        <v>1</v>
      </c>
      <c r="S1260" s="14">
        <f t="shared" si="287"/>
        <v>0</v>
      </c>
    </row>
    <row r="1261" spans="1:19">
      <c r="A1261" s="14" t="str">
        <f t="shared" si="284"/>
        <v>SRY-4-2</v>
      </c>
      <c r="B1261" s="15">
        <f>'Curvas SRY'!$B$11</f>
        <v>5</v>
      </c>
      <c r="C1261" s="15">
        <f>'Curvas SRY'!$E$9</f>
        <v>1</v>
      </c>
      <c r="D1261" s="14" t="str">
        <f>'Curvas SRY'!$B$14</f>
        <v>Uso variable</v>
      </c>
      <c r="E1261" s="14">
        <f>58</f>
        <v>58</v>
      </c>
      <c r="F1261" s="21">
        <f>'Hoja 4 - Cálculo'!A82</f>
        <v>31321</v>
      </c>
      <c r="G1261" s="15">
        <f>'Hoja 4 - Cálculo'!H82</f>
        <v>27.788625</v>
      </c>
      <c r="H1261" s="15">
        <f>IF(D1261="Uso único",'Hoja 4 - Cálculo'!I82,IF(D1261="Uso múltiple",AVERAGE('Hoja 4 - Cálculo'!$I$25:$I$384)+AVERAGE('Hoja 4 - Cálculo'!$J$25:$J$384)+AVERAGE('Hoja 4 - Cálculo'!$K$25:$K$384),IF(D1261="Uso prioritario",'Hoja 4 - Cálculo'!I82+'Hoja 4 - Cálculo'!K82,'Hoja 4 - Cálculo'!I82+'Hoja 4 - Cálculo'!J82+'Hoja 4 - Cálculo'!K82)))</f>
        <v>11.5</v>
      </c>
      <c r="I1261" s="15">
        <f t="shared" si="278"/>
        <v>11.5</v>
      </c>
      <c r="J1261" s="15">
        <f t="shared" si="285"/>
        <v>5</v>
      </c>
      <c r="K1261" s="15">
        <f>MIN(J1261+G1261,(J1261+G1261)*'Hoja 4 - Cálculo'!$B$15)</f>
        <v>0.65577249999999998</v>
      </c>
      <c r="L1261" s="15">
        <f t="shared" si="279"/>
        <v>32.132852499999998</v>
      </c>
      <c r="M1261" s="15">
        <f t="shared" si="280"/>
        <v>11.5</v>
      </c>
      <c r="N1261" s="15">
        <f t="shared" si="281"/>
        <v>5</v>
      </c>
      <c r="O1261" s="15">
        <f t="shared" si="282"/>
        <v>15.632852499999998</v>
      </c>
      <c r="P1261" s="15">
        <f t="shared" si="283"/>
        <v>0</v>
      </c>
      <c r="Q1261" s="14" t="str">
        <f>IF(M1261&gt;=I1261*'Hoja 4 - Cálculo'!$B$16,"Satisfactorio","Falla")</f>
        <v>Satisfactorio</v>
      </c>
      <c r="R1261" s="14">
        <f t="shared" si="286"/>
        <v>0</v>
      </c>
      <c r="S1261" s="14">
        <f t="shared" si="287"/>
        <v>0</v>
      </c>
    </row>
    <row r="1262" spans="1:19">
      <c r="A1262" s="14" t="str">
        <f t="shared" si="284"/>
        <v>SRY-4-2</v>
      </c>
      <c r="B1262" s="15">
        <f>'Curvas SRY'!$B$11</f>
        <v>5</v>
      </c>
      <c r="C1262" s="15">
        <f>'Curvas SRY'!$E$9</f>
        <v>1</v>
      </c>
      <c r="D1262" s="14" t="str">
        <f>'Curvas SRY'!$B$14</f>
        <v>Uso variable</v>
      </c>
      <c r="E1262" s="14">
        <f>59</f>
        <v>59</v>
      </c>
      <c r="F1262" s="21">
        <f>'Hoja 4 - Cálculo'!A83</f>
        <v>31352</v>
      </c>
      <c r="G1262" s="15">
        <f>'Hoja 4 - Cálculo'!H83</f>
        <v>22.22325</v>
      </c>
      <c r="H1262" s="15">
        <f>IF(D1262="Uso único",'Hoja 4 - Cálculo'!I83,IF(D1262="Uso múltiple",AVERAGE('Hoja 4 - Cálculo'!$I$25:$I$384)+AVERAGE('Hoja 4 - Cálculo'!$J$25:$J$384)+AVERAGE('Hoja 4 - Cálculo'!$K$25:$K$384),IF(D1262="Uso prioritario",'Hoja 4 - Cálculo'!I83+'Hoja 4 - Cálculo'!K83,'Hoja 4 - Cálculo'!I83+'Hoja 4 - Cálculo'!J83+'Hoja 4 - Cálculo'!K83)))</f>
        <v>11.5</v>
      </c>
      <c r="I1262" s="15">
        <f t="shared" si="278"/>
        <v>11.5</v>
      </c>
      <c r="J1262" s="15">
        <f t="shared" si="285"/>
        <v>5</v>
      </c>
      <c r="K1262" s="15">
        <f>MIN(J1262+G1262,(J1262+G1262)*'Hoja 4 - Cálculo'!$B$15)</f>
        <v>0.54446499999999998</v>
      </c>
      <c r="L1262" s="15">
        <f t="shared" si="279"/>
        <v>26.678785000000001</v>
      </c>
      <c r="M1262" s="15">
        <f t="shared" si="280"/>
        <v>11.5</v>
      </c>
      <c r="N1262" s="15">
        <f t="shared" si="281"/>
        <v>5</v>
      </c>
      <c r="O1262" s="15">
        <f t="shared" si="282"/>
        <v>10.178785000000001</v>
      </c>
      <c r="P1262" s="15">
        <f t="shared" si="283"/>
        <v>0</v>
      </c>
      <c r="Q1262" s="14" t="str">
        <f>IF(M1262&gt;=I1262*'Hoja 4 - Cálculo'!$B$16,"Satisfactorio","Falla")</f>
        <v>Satisfactorio</v>
      </c>
      <c r="R1262" s="14">
        <f t="shared" si="286"/>
        <v>0</v>
      </c>
      <c r="S1262" s="14">
        <f t="shared" si="287"/>
        <v>0</v>
      </c>
    </row>
    <row r="1263" spans="1:19">
      <c r="A1263" s="14" t="str">
        <f t="shared" si="284"/>
        <v>SRY-4-2</v>
      </c>
      <c r="B1263" s="15">
        <f>'Curvas SRY'!$B$11</f>
        <v>5</v>
      </c>
      <c r="C1263" s="15">
        <f>'Curvas SRY'!$E$9</f>
        <v>1</v>
      </c>
      <c r="D1263" s="14" t="str">
        <f>'Curvas SRY'!$B$14</f>
        <v>Uso variable</v>
      </c>
      <c r="E1263" s="14">
        <f>60</f>
        <v>60</v>
      </c>
      <c r="F1263" s="21">
        <f>'Hoja 4 - Cálculo'!A84</f>
        <v>31382</v>
      </c>
      <c r="G1263" s="15">
        <f>'Hoja 4 - Cálculo'!H84</f>
        <v>14.171625000000001</v>
      </c>
      <c r="H1263" s="15">
        <f>IF(D1263="Uso único",'Hoja 4 - Cálculo'!I84,IF(D1263="Uso múltiple",AVERAGE('Hoja 4 - Cálculo'!$I$25:$I$384)+AVERAGE('Hoja 4 - Cálculo'!$J$25:$J$384)+AVERAGE('Hoja 4 - Cálculo'!$K$25:$K$384),IF(D1263="Uso prioritario",'Hoja 4 - Cálculo'!I84+'Hoja 4 - Cálculo'!K84,'Hoja 4 - Cálculo'!I84+'Hoja 4 - Cálculo'!J84+'Hoja 4 - Cálculo'!K84)))</f>
        <v>16</v>
      </c>
      <c r="I1263" s="15">
        <f t="shared" si="278"/>
        <v>16</v>
      </c>
      <c r="J1263" s="15">
        <f t="shared" si="285"/>
        <v>5</v>
      </c>
      <c r="K1263" s="15">
        <f>MIN(J1263+G1263,(J1263+G1263)*'Hoja 4 - Cálculo'!$B$15)</f>
        <v>0.38343250000000001</v>
      </c>
      <c r="L1263" s="15">
        <f t="shared" si="279"/>
        <v>18.788192499999997</v>
      </c>
      <c r="M1263" s="15">
        <f t="shared" si="280"/>
        <v>16</v>
      </c>
      <c r="N1263" s="15">
        <f t="shared" si="281"/>
        <v>2.7881924999999974</v>
      </c>
      <c r="O1263" s="15">
        <f t="shared" si="282"/>
        <v>0</v>
      </c>
      <c r="P1263" s="15">
        <f t="shared" si="283"/>
        <v>0</v>
      </c>
      <c r="Q1263" s="14" t="str">
        <f>IF(M1263&gt;=I1263*'Hoja 4 - Cálculo'!$B$16,"Satisfactorio","Falla")</f>
        <v>Satisfactorio</v>
      </c>
      <c r="R1263" s="14">
        <f t="shared" si="286"/>
        <v>0</v>
      </c>
      <c r="S1263" s="14">
        <f t="shared" si="287"/>
        <v>0</v>
      </c>
    </row>
    <row r="1264" spans="1:19">
      <c r="A1264" s="14" t="str">
        <f t="shared" si="284"/>
        <v>SRY-4-2</v>
      </c>
      <c r="B1264" s="15">
        <f>'Curvas SRY'!$B$11</f>
        <v>5</v>
      </c>
      <c r="C1264" s="15">
        <f>'Curvas SRY'!$E$9</f>
        <v>1</v>
      </c>
      <c r="D1264" s="14" t="str">
        <f>'Curvas SRY'!$B$14</f>
        <v>Uso variable</v>
      </c>
      <c r="E1264" s="14">
        <f>61</f>
        <v>61</v>
      </c>
      <c r="F1264" s="21">
        <f>'Hoja 4 - Cálculo'!A85</f>
        <v>31413</v>
      </c>
      <c r="G1264" s="15">
        <f>'Hoja 4 - Cálculo'!H85</f>
        <v>12.641624999999999</v>
      </c>
      <c r="H1264" s="15">
        <f>IF(D1264="Uso único",'Hoja 4 - Cálculo'!I85,IF(D1264="Uso múltiple",AVERAGE('Hoja 4 - Cálculo'!$I$25:$I$384)+AVERAGE('Hoja 4 - Cálculo'!$J$25:$J$384)+AVERAGE('Hoja 4 - Cálculo'!$K$25:$K$384),IF(D1264="Uso prioritario",'Hoja 4 - Cálculo'!I85+'Hoja 4 - Cálculo'!K85,'Hoja 4 - Cálculo'!I85+'Hoja 4 - Cálculo'!J85+'Hoja 4 - Cálculo'!K85)))</f>
        <v>16</v>
      </c>
      <c r="I1264" s="15">
        <f t="shared" si="278"/>
        <v>16</v>
      </c>
      <c r="J1264" s="15">
        <f t="shared" si="285"/>
        <v>2.7881924999999974</v>
      </c>
      <c r="K1264" s="15">
        <f>MIN(J1264+G1264,(J1264+G1264)*'Hoja 4 - Cálculo'!$B$15)</f>
        <v>0.30859634999999996</v>
      </c>
      <c r="L1264" s="15">
        <f t="shared" si="279"/>
        <v>15.121221149999997</v>
      </c>
      <c r="M1264" s="15">
        <f t="shared" si="280"/>
        <v>15.121221149999997</v>
      </c>
      <c r="N1264" s="15">
        <f t="shared" si="281"/>
        <v>0</v>
      </c>
      <c r="O1264" s="15">
        <f t="shared" si="282"/>
        <v>0</v>
      </c>
      <c r="P1264" s="15">
        <f t="shared" si="283"/>
        <v>0.87877885000000333</v>
      </c>
      <c r="Q1264" s="14" t="str">
        <f>IF(M1264&gt;=I1264*'Hoja 4 - Cálculo'!$B$16,"Satisfactorio","Falla")</f>
        <v>Falla</v>
      </c>
      <c r="R1264" s="14">
        <f t="shared" si="286"/>
        <v>0</v>
      </c>
      <c r="S1264" s="14">
        <f t="shared" si="287"/>
        <v>1</v>
      </c>
    </row>
    <row r="1265" spans="1:19">
      <c r="A1265" s="14" t="str">
        <f t="shared" si="284"/>
        <v>SRY-4-2</v>
      </c>
      <c r="B1265" s="15">
        <f>'Curvas SRY'!$B$11</f>
        <v>5</v>
      </c>
      <c r="C1265" s="15">
        <f>'Curvas SRY'!$E$9</f>
        <v>1</v>
      </c>
      <c r="D1265" s="14" t="str">
        <f>'Curvas SRY'!$B$14</f>
        <v>Uso variable</v>
      </c>
      <c r="E1265" s="14">
        <f>62</f>
        <v>62</v>
      </c>
      <c r="F1265" s="21">
        <f>'Hoja 4 - Cálculo'!A86</f>
        <v>31444</v>
      </c>
      <c r="G1265" s="15">
        <f>'Hoja 4 - Cálculo'!H86</f>
        <v>15.357374999999999</v>
      </c>
      <c r="H1265" s="15">
        <f>IF(D1265="Uso único",'Hoja 4 - Cálculo'!I86,IF(D1265="Uso múltiple",AVERAGE('Hoja 4 - Cálculo'!$I$25:$I$384)+AVERAGE('Hoja 4 - Cálculo'!$J$25:$J$384)+AVERAGE('Hoja 4 - Cálculo'!$K$25:$K$384),IF(D1265="Uso prioritario",'Hoja 4 - Cálculo'!I86+'Hoja 4 - Cálculo'!K86,'Hoja 4 - Cálculo'!I86+'Hoja 4 - Cálculo'!J86+'Hoja 4 - Cálculo'!K86)))</f>
        <v>16</v>
      </c>
      <c r="I1265" s="15">
        <f t="shared" si="278"/>
        <v>16</v>
      </c>
      <c r="J1265" s="15">
        <f t="shared" si="285"/>
        <v>0</v>
      </c>
      <c r="K1265" s="15">
        <f>MIN(J1265+G1265,(J1265+G1265)*'Hoja 4 - Cálculo'!$B$15)</f>
        <v>0.30714750000000002</v>
      </c>
      <c r="L1265" s="15">
        <f t="shared" si="279"/>
        <v>15.0502275</v>
      </c>
      <c r="M1265" s="15">
        <f t="shared" si="280"/>
        <v>15.0502275</v>
      </c>
      <c r="N1265" s="15">
        <f t="shared" si="281"/>
        <v>0</v>
      </c>
      <c r="O1265" s="15">
        <f t="shared" si="282"/>
        <v>0</v>
      </c>
      <c r="P1265" s="15">
        <f t="shared" si="283"/>
        <v>0.94977249999999991</v>
      </c>
      <c r="Q1265" s="14" t="str">
        <f>IF(M1265&gt;=I1265*'Hoja 4 - Cálculo'!$B$16,"Satisfactorio","Falla")</f>
        <v>Falla</v>
      </c>
      <c r="R1265" s="14">
        <f t="shared" si="286"/>
        <v>0</v>
      </c>
      <c r="S1265" s="14">
        <f t="shared" si="287"/>
        <v>0</v>
      </c>
    </row>
    <row r="1266" spans="1:19">
      <c r="A1266" s="14" t="str">
        <f t="shared" si="284"/>
        <v>SRY-4-2</v>
      </c>
      <c r="B1266" s="15">
        <f>'Curvas SRY'!$B$11</f>
        <v>5</v>
      </c>
      <c r="C1266" s="15">
        <f>'Curvas SRY'!$E$9</f>
        <v>1</v>
      </c>
      <c r="D1266" s="14" t="str">
        <f>'Curvas SRY'!$B$14</f>
        <v>Uso variable</v>
      </c>
      <c r="E1266" s="14">
        <f>63</f>
        <v>63</v>
      </c>
      <c r="F1266" s="21">
        <f>'Hoja 4 - Cálculo'!A87</f>
        <v>31472</v>
      </c>
      <c r="G1266" s="15">
        <f>'Hoja 4 - Cálculo'!H87</f>
        <v>20.846250000000001</v>
      </c>
      <c r="H1266" s="15">
        <f>IF(D1266="Uso único",'Hoja 4 - Cálculo'!I87,IF(D1266="Uso múltiple",AVERAGE('Hoja 4 - Cálculo'!$I$25:$I$384)+AVERAGE('Hoja 4 - Cálculo'!$J$25:$J$384)+AVERAGE('Hoja 4 - Cálculo'!$K$25:$K$384),IF(D1266="Uso prioritario",'Hoja 4 - Cálculo'!I87+'Hoja 4 - Cálculo'!K87,'Hoja 4 - Cálculo'!I87+'Hoja 4 - Cálculo'!J87+'Hoja 4 - Cálculo'!K87)))</f>
        <v>16</v>
      </c>
      <c r="I1266" s="15">
        <f t="shared" si="278"/>
        <v>16</v>
      </c>
      <c r="J1266" s="15">
        <f t="shared" si="285"/>
        <v>0</v>
      </c>
      <c r="K1266" s="15">
        <f>MIN(J1266+G1266,(J1266+G1266)*'Hoja 4 - Cálculo'!$B$15)</f>
        <v>0.41692500000000005</v>
      </c>
      <c r="L1266" s="15">
        <f t="shared" si="279"/>
        <v>20.429325000000002</v>
      </c>
      <c r="M1266" s="15">
        <f t="shared" si="280"/>
        <v>16</v>
      </c>
      <c r="N1266" s="15">
        <f t="shared" si="281"/>
        <v>4.4293250000000022</v>
      </c>
      <c r="O1266" s="15">
        <f t="shared" si="282"/>
        <v>0</v>
      </c>
      <c r="P1266" s="15">
        <f t="shared" si="283"/>
        <v>0</v>
      </c>
      <c r="Q1266" s="14" t="str">
        <f>IF(M1266&gt;=I1266*'Hoja 4 - Cálculo'!$B$16,"Satisfactorio","Falla")</f>
        <v>Satisfactorio</v>
      </c>
      <c r="R1266" s="14">
        <f t="shared" si="286"/>
        <v>1</v>
      </c>
      <c r="S1266" s="14">
        <f t="shared" si="287"/>
        <v>0</v>
      </c>
    </row>
    <row r="1267" spans="1:19">
      <c r="A1267" s="14" t="str">
        <f t="shared" si="284"/>
        <v>SRY-4-2</v>
      </c>
      <c r="B1267" s="15">
        <f>'Curvas SRY'!$B$11</f>
        <v>5</v>
      </c>
      <c r="C1267" s="15">
        <f>'Curvas SRY'!$E$9</f>
        <v>1</v>
      </c>
      <c r="D1267" s="14" t="str">
        <f>'Curvas SRY'!$B$14</f>
        <v>Uso variable</v>
      </c>
      <c r="E1267" s="14">
        <f>64</f>
        <v>64</v>
      </c>
      <c r="F1267" s="21">
        <f>'Hoja 4 - Cálculo'!A88</f>
        <v>31503</v>
      </c>
      <c r="G1267" s="15">
        <f>'Hoja 4 - Cálculo'!H88</f>
        <v>30.638249999999999</v>
      </c>
      <c r="H1267" s="15">
        <f>IF(D1267="Uso único",'Hoja 4 - Cálculo'!I88,IF(D1267="Uso múltiple",AVERAGE('Hoja 4 - Cálculo'!$I$25:$I$384)+AVERAGE('Hoja 4 - Cálculo'!$J$25:$J$384)+AVERAGE('Hoja 4 - Cálculo'!$K$25:$K$384),IF(D1267="Uso prioritario",'Hoja 4 - Cálculo'!I88+'Hoja 4 - Cálculo'!K88,'Hoja 4 - Cálculo'!I88+'Hoja 4 - Cálculo'!J88+'Hoja 4 - Cálculo'!K88)))</f>
        <v>11.5</v>
      </c>
      <c r="I1267" s="15">
        <f t="shared" si="278"/>
        <v>11.5</v>
      </c>
      <c r="J1267" s="15">
        <f t="shared" si="285"/>
        <v>4.4293250000000022</v>
      </c>
      <c r="K1267" s="15">
        <f>MIN(J1267+G1267,(J1267+G1267)*'Hoja 4 - Cálculo'!$B$15)</f>
        <v>0.70135150000000013</v>
      </c>
      <c r="L1267" s="15">
        <f t="shared" si="279"/>
        <v>34.366223500000004</v>
      </c>
      <c r="M1267" s="15">
        <f t="shared" si="280"/>
        <v>11.5</v>
      </c>
      <c r="N1267" s="15">
        <f t="shared" si="281"/>
        <v>5</v>
      </c>
      <c r="O1267" s="15">
        <f t="shared" si="282"/>
        <v>17.866223500000004</v>
      </c>
      <c r="P1267" s="15">
        <f t="shared" si="283"/>
        <v>0</v>
      </c>
      <c r="Q1267" s="14" t="str">
        <f>IF(M1267&gt;=I1267*'Hoja 4 - Cálculo'!$B$16,"Satisfactorio","Falla")</f>
        <v>Satisfactorio</v>
      </c>
      <c r="R1267" s="14">
        <f t="shared" si="286"/>
        <v>0</v>
      </c>
      <c r="S1267" s="14">
        <f t="shared" si="287"/>
        <v>0</v>
      </c>
    </row>
    <row r="1268" spans="1:19">
      <c r="A1268" s="14" t="str">
        <f t="shared" ref="A1268:A1299" si="288">"SRY-4-2"</f>
        <v>SRY-4-2</v>
      </c>
      <c r="B1268" s="15">
        <f>'Curvas SRY'!$B$11</f>
        <v>5</v>
      </c>
      <c r="C1268" s="15">
        <f>'Curvas SRY'!$E$9</f>
        <v>1</v>
      </c>
      <c r="D1268" s="14" t="str">
        <f>'Curvas SRY'!$B$14</f>
        <v>Uso variable</v>
      </c>
      <c r="E1268" s="14">
        <f>65</f>
        <v>65</v>
      </c>
      <c r="F1268" s="21">
        <f>'Hoja 4 - Cálculo'!A89</f>
        <v>31533</v>
      </c>
      <c r="G1268" s="15">
        <f>'Hoja 4 - Cálculo'!H89</f>
        <v>28.438874999999999</v>
      </c>
      <c r="H1268" s="15">
        <f>IF(D1268="Uso único",'Hoja 4 - Cálculo'!I89,IF(D1268="Uso múltiple",AVERAGE('Hoja 4 - Cálculo'!$I$25:$I$384)+AVERAGE('Hoja 4 - Cálculo'!$J$25:$J$384)+AVERAGE('Hoja 4 - Cálculo'!$K$25:$K$384),IF(D1268="Uso prioritario",'Hoja 4 - Cálculo'!I89+'Hoja 4 - Cálculo'!K89,'Hoja 4 - Cálculo'!I89+'Hoja 4 - Cálculo'!J89+'Hoja 4 - Cálculo'!K89)))</f>
        <v>11.5</v>
      </c>
      <c r="I1268" s="15">
        <f t="shared" si="278"/>
        <v>11.5</v>
      </c>
      <c r="J1268" s="15">
        <f t="shared" si="285"/>
        <v>5</v>
      </c>
      <c r="K1268" s="15">
        <f>MIN(J1268+G1268,(J1268+G1268)*'Hoja 4 - Cálculo'!$B$15)</f>
        <v>0.66877749999999991</v>
      </c>
      <c r="L1268" s="15">
        <f t="shared" si="279"/>
        <v>32.770097499999999</v>
      </c>
      <c r="M1268" s="15">
        <f t="shared" si="280"/>
        <v>11.5</v>
      </c>
      <c r="N1268" s="15">
        <f t="shared" si="281"/>
        <v>5</v>
      </c>
      <c r="O1268" s="15">
        <f t="shared" si="282"/>
        <v>16.270097499999999</v>
      </c>
      <c r="P1268" s="15">
        <f t="shared" si="283"/>
        <v>0</v>
      </c>
      <c r="Q1268" s="14" t="str">
        <f>IF(M1268&gt;=I1268*'Hoja 4 - Cálculo'!$B$16,"Satisfactorio","Falla")</f>
        <v>Satisfactorio</v>
      </c>
      <c r="R1268" s="14">
        <f t="shared" si="286"/>
        <v>0</v>
      </c>
      <c r="S1268" s="14">
        <f t="shared" si="287"/>
        <v>0</v>
      </c>
    </row>
    <row r="1269" spans="1:19">
      <c r="A1269" s="14" t="str">
        <f t="shared" si="288"/>
        <v>SRY-4-2</v>
      </c>
      <c r="B1269" s="15">
        <f>'Curvas SRY'!$B$11</f>
        <v>5</v>
      </c>
      <c r="C1269" s="15">
        <f>'Curvas SRY'!$E$9</f>
        <v>1</v>
      </c>
      <c r="D1269" s="14" t="str">
        <f>'Curvas SRY'!$B$14</f>
        <v>Uso variable</v>
      </c>
      <c r="E1269" s="14">
        <f>66</f>
        <v>66</v>
      </c>
      <c r="F1269" s="21">
        <f>'Hoja 4 - Cálculo'!A90</f>
        <v>31564</v>
      </c>
      <c r="G1269" s="15">
        <f>'Hoja 4 - Cálculo'!H90</f>
        <v>16.007625000000001</v>
      </c>
      <c r="H1269" s="15">
        <f>IF(D1269="Uso único",'Hoja 4 - Cálculo'!I90,IF(D1269="Uso múltiple",AVERAGE('Hoja 4 - Cálculo'!$I$25:$I$384)+AVERAGE('Hoja 4 - Cálculo'!$J$25:$J$384)+AVERAGE('Hoja 4 - Cálculo'!$K$25:$K$384),IF(D1269="Uso prioritario",'Hoja 4 - Cálculo'!I90+'Hoja 4 - Cálculo'!K90,'Hoja 4 - Cálculo'!I90+'Hoja 4 - Cálculo'!J90+'Hoja 4 - Cálculo'!K90)))</f>
        <v>11.5</v>
      </c>
      <c r="I1269" s="15">
        <f t="shared" si="278"/>
        <v>11.5</v>
      </c>
      <c r="J1269" s="15">
        <f t="shared" ref="J1269:J1300" si="289">N1268</f>
        <v>5</v>
      </c>
      <c r="K1269" s="15">
        <f>MIN(J1269+G1269,(J1269+G1269)*'Hoja 4 - Cálculo'!$B$15)</f>
        <v>0.42015250000000004</v>
      </c>
      <c r="L1269" s="15">
        <f t="shared" si="279"/>
        <v>20.587472500000001</v>
      </c>
      <c r="M1269" s="15">
        <f t="shared" si="280"/>
        <v>11.5</v>
      </c>
      <c r="N1269" s="15">
        <f t="shared" si="281"/>
        <v>5</v>
      </c>
      <c r="O1269" s="15">
        <f t="shared" si="282"/>
        <v>4.0874725000000005</v>
      </c>
      <c r="P1269" s="15">
        <f t="shared" si="283"/>
        <v>0</v>
      </c>
      <c r="Q1269" s="14" t="str">
        <f>IF(M1269&gt;=I1269*'Hoja 4 - Cálculo'!$B$16,"Satisfactorio","Falla")</f>
        <v>Satisfactorio</v>
      </c>
      <c r="R1269" s="14">
        <f t="shared" ref="R1269:R1300" si="290">IF(AND(Q1268="Falla",Q1269="Satisfactorio"),1,0)</f>
        <v>0</v>
      </c>
      <c r="S1269" s="14">
        <f t="shared" ref="S1269:S1300" si="291">IF(AND(Q1269="Falla",Q1268&lt;&gt;"Falla"),1,0)</f>
        <v>0</v>
      </c>
    </row>
    <row r="1270" spans="1:19">
      <c r="A1270" s="14" t="str">
        <f t="shared" si="288"/>
        <v>SRY-4-2</v>
      </c>
      <c r="B1270" s="15">
        <f>'Curvas SRY'!$B$11</f>
        <v>5</v>
      </c>
      <c r="C1270" s="15">
        <f>'Curvas SRY'!$E$9</f>
        <v>1</v>
      </c>
      <c r="D1270" s="14" t="str">
        <f>'Curvas SRY'!$B$14</f>
        <v>Uso variable</v>
      </c>
      <c r="E1270" s="14">
        <f>67</f>
        <v>67</v>
      </c>
      <c r="F1270" s="21">
        <f>'Hoja 4 - Cálculo'!A91</f>
        <v>31594</v>
      </c>
      <c r="G1270" s="15">
        <f>'Hoja 4 - Cálculo'!H91</f>
        <v>14.056875</v>
      </c>
      <c r="H1270" s="15">
        <f>IF(D1270="Uso único",'Hoja 4 - Cálculo'!I91,IF(D1270="Uso múltiple",AVERAGE('Hoja 4 - Cálculo'!$I$25:$I$384)+AVERAGE('Hoja 4 - Cálculo'!$J$25:$J$384)+AVERAGE('Hoja 4 - Cálculo'!$K$25:$K$384),IF(D1270="Uso prioritario",'Hoja 4 - Cálculo'!I91+'Hoja 4 - Cálculo'!K91,'Hoja 4 - Cálculo'!I91+'Hoja 4 - Cálculo'!J91+'Hoja 4 - Cálculo'!K91)))</f>
        <v>16</v>
      </c>
      <c r="I1270" s="15">
        <f t="shared" si="278"/>
        <v>16</v>
      </c>
      <c r="J1270" s="15">
        <f t="shared" si="289"/>
        <v>5</v>
      </c>
      <c r="K1270" s="15">
        <f>MIN(J1270+G1270,(J1270+G1270)*'Hoja 4 - Cálculo'!$B$15)</f>
        <v>0.38113749999999996</v>
      </c>
      <c r="L1270" s="15">
        <f t="shared" si="279"/>
        <v>18.675737499999997</v>
      </c>
      <c r="M1270" s="15">
        <f t="shared" si="280"/>
        <v>16</v>
      </c>
      <c r="N1270" s="15">
        <f t="shared" si="281"/>
        <v>2.6757374999999968</v>
      </c>
      <c r="O1270" s="15">
        <f t="shared" si="282"/>
        <v>0</v>
      </c>
      <c r="P1270" s="15">
        <f t="shared" si="283"/>
        <v>0</v>
      </c>
      <c r="Q1270" s="14" t="str">
        <f>IF(M1270&gt;=I1270*'Hoja 4 - Cálculo'!$B$16,"Satisfactorio","Falla")</f>
        <v>Satisfactorio</v>
      </c>
      <c r="R1270" s="14">
        <f t="shared" si="290"/>
        <v>0</v>
      </c>
      <c r="S1270" s="14">
        <f t="shared" si="291"/>
        <v>0</v>
      </c>
    </row>
    <row r="1271" spans="1:19">
      <c r="A1271" s="14" t="str">
        <f t="shared" si="288"/>
        <v>SRY-4-2</v>
      </c>
      <c r="B1271" s="15">
        <f>'Curvas SRY'!$B$11</f>
        <v>5</v>
      </c>
      <c r="C1271" s="15">
        <f>'Curvas SRY'!$E$9</f>
        <v>1</v>
      </c>
      <c r="D1271" s="14" t="str">
        <f>'Curvas SRY'!$B$14</f>
        <v>Uso variable</v>
      </c>
      <c r="E1271" s="14">
        <f>68</f>
        <v>68</v>
      </c>
      <c r="F1271" s="21">
        <f>'Hoja 4 - Cálculo'!A92</f>
        <v>31625</v>
      </c>
      <c r="G1271" s="15">
        <f>'Hoja 4 - Cálculo'!H92</f>
        <v>15.032249999999999</v>
      </c>
      <c r="H1271" s="15">
        <f>IF(D1271="Uso único",'Hoja 4 - Cálculo'!I92,IF(D1271="Uso múltiple",AVERAGE('Hoja 4 - Cálculo'!$I$25:$I$384)+AVERAGE('Hoja 4 - Cálculo'!$J$25:$J$384)+AVERAGE('Hoja 4 - Cálculo'!$K$25:$K$384),IF(D1271="Uso prioritario",'Hoja 4 - Cálculo'!I92+'Hoja 4 - Cálculo'!K92,'Hoja 4 - Cálculo'!I92+'Hoja 4 - Cálculo'!J92+'Hoja 4 - Cálculo'!K92)))</f>
        <v>16</v>
      </c>
      <c r="I1271" s="15">
        <f t="shared" si="278"/>
        <v>16</v>
      </c>
      <c r="J1271" s="15">
        <f t="shared" si="289"/>
        <v>2.6757374999999968</v>
      </c>
      <c r="K1271" s="15">
        <f>MIN(J1271+G1271,(J1271+G1271)*'Hoja 4 - Cálculo'!$B$15)</f>
        <v>0.35415974999999988</v>
      </c>
      <c r="L1271" s="15">
        <f t="shared" si="279"/>
        <v>17.353827749999994</v>
      </c>
      <c r="M1271" s="15">
        <f t="shared" si="280"/>
        <v>16</v>
      </c>
      <c r="N1271" s="15">
        <f t="shared" si="281"/>
        <v>1.3538277499999936</v>
      </c>
      <c r="O1271" s="15">
        <f t="shared" si="282"/>
        <v>0</v>
      </c>
      <c r="P1271" s="15">
        <f t="shared" si="283"/>
        <v>0</v>
      </c>
      <c r="Q1271" s="14" t="str">
        <f>IF(M1271&gt;=I1271*'Hoja 4 - Cálculo'!$B$16,"Satisfactorio","Falla")</f>
        <v>Satisfactorio</v>
      </c>
      <c r="R1271" s="14">
        <f t="shared" si="290"/>
        <v>0</v>
      </c>
      <c r="S1271" s="14">
        <f t="shared" si="291"/>
        <v>0</v>
      </c>
    </row>
    <row r="1272" spans="1:19">
      <c r="A1272" s="14" t="str">
        <f t="shared" si="288"/>
        <v>SRY-4-2</v>
      </c>
      <c r="B1272" s="15">
        <f>'Curvas SRY'!$B$11</f>
        <v>5</v>
      </c>
      <c r="C1272" s="15">
        <f>'Curvas SRY'!$E$9</f>
        <v>1</v>
      </c>
      <c r="D1272" s="14" t="str">
        <f>'Curvas SRY'!$B$14</f>
        <v>Uso variable</v>
      </c>
      <c r="E1272" s="14">
        <f>69</f>
        <v>69</v>
      </c>
      <c r="F1272" s="21">
        <f>'Hoja 4 - Cálculo'!A93</f>
        <v>31656</v>
      </c>
      <c r="G1272" s="15">
        <f>'Hoja 4 - Cálculo'!H93</f>
        <v>22.60575</v>
      </c>
      <c r="H1272" s="15">
        <f>IF(D1272="Uso único",'Hoja 4 - Cálculo'!I93,IF(D1272="Uso múltiple",AVERAGE('Hoja 4 - Cálculo'!$I$25:$I$384)+AVERAGE('Hoja 4 - Cálculo'!$J$25:$J$384)+AVERAGE('Hoja 4 - Cálculo'!$K$25:$K$384),IF(D1272="Uso prioritario",'Hoja 4 - Cálculo'!I93+'Hoja 4 - Cálculo'!K93,'Hoja 4 - Cálculo'!I93+'Hoja 4 - Cálculo'!J93+'Hoja 4 - Cálculo'!K93)))</f>
        <v>11.5</v>
      </c>
      <c r="I1272" s="15">
        <f t="shared" si="278"/>
        <v>11.5</v>
      </c>
      <c r="J1272" s="15">
        <f t="shared" si="289"/>
        <v>1.3538277499999936</v>
      </c>
      <c r="K1272" s="15">
        <f>MIN(J1272+G1272,(J1272+G1272)*'Hoja 4 - Cálculo'!$B$15)</f>
        <v>0.47919155499999988</v>
      </c>
      <c r="L1272" s="15">
        <f t="shared" si="279"/>
        <v>23.480386194999994</v>
      </c>
      <c r="M1272" s="15">
        <f t="shared" si="280"/>
        <v>11.5</v>
      </c>
      <c r="N1272" s="15">
        <f t="shared" si="281"/>
        <v>5</v>
      </c>
      <c r="O1272" s="15">
        <f t="shared" si="282"/>
        <v>6.9803861949999941</v>
      </c>
      <c r="P1272" s="15">
        <f t="shared" si="283"/>
        <v>0</v>
      </c>
      <c r="Q1272" s="14" t="str">
        <f>IF(M1272&gt;=I1272*'Hoja 4 - Cálculo'!$B$16,"Satisfactorio","Falla")</f>
        <v>Satisfactorio</v>
      </c>
      <c r="R1272" s="14">
        <f t="shared" si="290"/>
        <v>0</v>
      </c>
      <c r="S1272" s="14">
        <f t="shared" si="291"/>
        <v>0</v>
      </c>
    </row>
    <row r="1273" spans="1:19">
      <c r="A1273" s="14" t="str">
        <f t="shared" si="288"/>
        <v>SRY-4-2</v>
      </c>
      <c r="B1273" s="15">
        <f>'Curvas SRY'!$B$11</f>
        <v>5</v>
      </c>
      <c r="C1273" s="15">
        <f>'Curvas SRY'!$E$9</f>
        <v>1</v>
      </c>
      <c r="D1273" s="14" t="str">
        <f>'Curvas SRY'!$B$14</f>
        <v>Uso variable</v>
      </c>
      <c r="E1273" s="14">
        <f>70</f>
        <v>70</v>
      </c>
      <c r="F1273" s="21">
        <f>'Hoja 4 - Cálculo'!A94</f>
        <v>31686</v>
      </c>
      <c r="G1273" s="15">
        <f>'Hoja 4 - Cálculo'!H94</f>
        <v>32.531624999999998</v>
      </c>
      <c r="H1273" s="15">
        <f>IF(D1273="Uso único",'Hoja 4 - Cálculo'!I94,IF(D1273="Uso múltiple",AVERAGE('Hoja 4 - Cálculo'!$I$25:$I$384)+AVERAGE('Hoja 4 - Cálculo'!$J$25:$J$384)+AVERAGE('Hoja 4 - Cálculo'!$K$25:$K$384),IF(D1273="Uso prioritario",'Hoja 4 - Cálculo'!I94+'Hoja 4 - Cálculo'!K94,'Hoja 4 - Cálculo'!I94+'Hoja 4 - Cálculo'!J94+'Hoja 4 - Cálculo'!K94)))</f>
        <v>11.5</v>
      </c>
      <c r="I1273" s="15">
        <f t="shared" si="278"/>
        <v>11.5</v>
      </c>
      <c r="J1273" s="15">
        <f t="shared" si="289"/>
        <v>5</v>
      </c>
      <c r="K1273" s="15">
        <f>MIN(J1273+G1273,(J1273+G1273)*'Hoja 4 - Cálculo'!$B$15)</f>
        <v>0.75063250000000004</v>
      </c>
      <c r="L1273" s="15">
        <f t="shared" si="279"/>
        <v>36.780992499999996</v>
      </c>
      <c r="M1273" s="15">
        <f t="shared" si="280"/>
        <v>11.5</v>
      </c>
      <c r="N1273" s="15">
        <f t="shared" si="281"/>
        <v>5</v>
      </c>
      <c r="O1273" s="15">
        <f t="shared" si="282"/>
        <v>20.280992499999996</v>
      </c>
      <c r="P1273" s="15">
        <f t="shared" si="283"/>
        <v>0</v>
      </c>
      <c r="Q1273" s="14" t="str">
        <f>IF(M1273&gt;=I1273*'Hoja 4 - Cálculo'!$B$16,"Satisfactorio","Falla")</f>
        <v>Satisfactorio</v>
      </c>
      <c r="R1273" s="14">
        <f t="shared" si="290"/>
        <v>0</v>
      </c>
      <c r="S1273" s="14">
        <f t="shared" si="291"/>
        <v>0</v>
      </c>
    </row>
    <row r="1274" spans="1:19">
      <c r="A1274" s="14" t="str">
        <f t="shared" si="288"/>
        <v>SRY-4-2</v>
      </c>
      <c r="B1274" s="15">
        <f>'Curvas SRY'!$B$11</f>
        <v>5</v>
      </c>
      <c r="C1274" s="15">
        <f>'Curvas SRY'!$E$9</f>
        <v>1</v>
      </c>
      <c r="D1274" s="14" t="str">
        <f>'Curvas SRY'!$B$14</f>
        <v>Uso variable</v>
      </c>
      <c r="E1274" s="14">
        <f>71</f>
        <v>71</v>
      </c>
      <c r="F1274" s="21">
        <f>'Hoja 4 - Cálculo'!A95</f>
        <v>31717</v>
      </c>
      <c r="G1274" s="15">
        <f>'Hoja 4 - Cálculo'!H95</f>
        <v>26.641124999999999</v>
      </c>
      <c r="H1274" s="15">
        <f>IF(D1274="Uso único",'Hoja 4 - Cálculo'!I95,IF(D1274="Uso múltiple",AVERAGE('Hoja 4 - Cálculo'!$I$25:$I$384)+AVERAGE('Hoja 4 - Cálculo'!$J$25:$J$384)+AVERAGE('Hoja 4 - Cálculo'!$K$25:$K$384),IF(D1274="Uso prioritario",'Hoja 4 - Cálculo'!I95+'Hoja 4 - Cálculo'!K95,'Hoja 4 - Cálculo'!I95+'Hoja 4 - Cálculo'!J95+'Hoja 4 - Cálculo'!K95)))</f>
        <v>11.5</v>
      </c>
      <c r="I1274" s="15">
        <f t="shared" si="278"/>
        <v>11.5</v>
      </c>
      <c r="J1274" s="15">
        <f t="shared" si="289"/>
        <v>5</v>
      </c>
      <c r="K1274" s="15">
        <f>MIN(J1274+G1274,(J1274+G1274)*'Hoja 4 - Cálculo'!$B$15)</f>
        <v>0.63282249999999995</v>
      </c>
      <c r="L1274" s="15">
        <f t="shared" si="279"/>
        <v>31.008302499999999</v>
      </c>
      <c r="M1274" s="15">
        <f t="shared" si="280"/>
        <v>11.5</v>
      </c>
      <c r="N1274" s="15">
        <f t="shared" si="281"/>
        <v>5</v>
      </c>
      <c r="O1274" s="15">
        <f t="shared" si="282"/>
        <v>14.508302499999999</v>
      </c>
      <c r="P1274" s="15">
        <f t="shared" si="283"/>
        <v>0</v>
      </c>
      <c r="Q1274" s="14" t="str">
        <f>IF(M1274&gt;=I1274*'Hoja 4 - Cálculo'!$B$16,"Satisfactorio","Falla")</f>
        <v>Satisfactorio</v>
      </c>
      <c r="R1274" s="14">
        <f t="shared" si="290"/>
        <v>0</v>
      </c>
      <c r="S1274" s="14">
        <f t="shared" si="291"/>
        <v>0</v>
      </c>
    </row>
    <row r="1275" spans="1:19">
      <c r="A1275" s="14" t="str">
        <f t="shared" si="288"/>
        <v>SRY-4-2</v>
      </c>
      <c r="B1275" s="15">
        <f>'Curvas SRY'!$B$11</f>
        <v>5</v>
      </c>
      <c r="C1275" s="15">
        <f>'Curvas SRY'!$E$9</f>
        <v>1</v>
      </c>
      <c r="D1275" s="14" t="str">
        <f>'Curvas SRY'!$B$14</f>
        <v>Uso variable</v>
      </c>
      <c r="E1275" s="14">
        <f>72</f>
        <v>72</v>
      </c>
      <c r="F1275" s="21">
        <f>'Hoja 4 - Cálculo'!A96</f>
        <v>31747</v>
      </c>
      <c r="G1275" s="15">
        <f>'Hoja 4 - Cálculo'!H96</f>
        <v>15.166124999999999</v>
      </c>
      <c r="H1275" s="15">
        <f>IF(D1275="Uso único",'Hoja 4 - Cálculo'!I96,IF(D1275="Uso múltiple",AVERAGE('Hoja 4 - Cálculo'!$I$25:$I$384)+AVERAGE('Hoja 4 - Cálculo'!$J$25:$J$384)+AVERAGE('Hoja 4 - Cálculo'!$K$25:$K$384),IF(D1275="Uso prioritario",'Hoja 4 - Cálculo'!I96+'Hoja 4 - Cálculo'!K96,'Hoja 4 - Cálculo'!I96+'Hoja 4 - Cálculo'!J96+'Hoja 4 - Cálculo'!K96)))</f>
        <v>16</v>
      </c>
      <c r="I1275" s="15">
        <f t="shared" si="278"/>
        <v>16</v>
      </c>
      <c r="J1275" s="15">
        <f t="shared" si="289"/>
        <v>5</v>
      </c>
      <c r="K1275" s="15">
        <f>MIN(J1275+G1275,(J1275+G1275)*'Hoja 4 - Cálculo'!$B$15)</f>
        <v>0.40332250000000003</v>
      </c>
      <c r="L1275" s="15">
        <f t="shared" si="279"/>
        <v>19.762802499999999</v>
      </c>
      <c r="M1275" s="15">
        <f t="shared" si="280"/>
        <v>16</v>
      </c>
      <c r="N1275" s="15">
        <f t="shared" si="281"/>
        <v>3.7628024999999994</v>
      </c>
      <c r="O1275" s="15">
        <f t="shared" si="282"/>
        <v>0</v>
      </c>
      <c r="P1275" s="15">
        <f t="shared" si="283"/>
        <v>0</v>
      </c>
      <c r="Q1275" s="14" t="str">
        <f>IF(M1275&gt;=I1275*'Hoja 4 - Cálculo'!$B$16,"Satisfactorio","Falla")</f>
        <v>Satisfactorio</v>
      </c>
      <c r="R1275" s="14">
        <f t="shared" si="290"/>
        <v>0</v>
      </c>
      <c r="S1275" s="14">
        <f t="shared" si="291"/>
        <v>0</v>
      </c>
    </row>
    <row r="1276" spans="1:19">
      <c r="A1276" s="14" t="str">
        <f t="shared" si="288"/>
        <v>SRY-4-2</v>
      </c>
      <c r="B1276" s="15">
        <f>'Curvas SRY'!$B$11</f>
        <v>5</v>
      </c>
      <c r="C1276" s="15">
        <f>'Curvas SRY'!$E$9</f>
        <v>1</v>
      </c>
      <c r="D1276" s="14" t="str">
        <f>'Curvas SRY'!$B$14</f>
        <v>Uso variable</v>
      </c>
      <c r="E1276" s="14">
        <f>73</f>
        <v>73</v>
      </c>
      <c r="F1276" s="21">
        <f>'Hoja 4 - Cálculo'!A97</f>
        <v>31778</v>
      </c>
      <c r="G1276" s="15">
        <f>'Hoja 4 - Cálculo'!H97</f>
        <v>14.056875</v>
      </c>
      <c r="H1276" s="15">
        <f>IF(D1276="Uso único",'Hoja 4 - Cálculo'!I97,IF(D1276="Uso múltiple",AVERAGE('Hoja 4 - Cálculo'!$I$25:$I$384)+AVERAGE('Hoja 4 - Cálculo'!$J$25:$J$384)+AVERAGE('Hoja 4 - Cálculo'!$K$25:$K$384),IF(D1276="Uso prioritario",'Hoja 4 - Cálculo'!I97+'Hoja 4 - Cálculo'!K97,'Hoja 4 - Cálculo'!I97+'Hoja 4 - Cálculo'!J97+'Hoja 4 - Cálculo'!K97)))</f>
        <v>16</v>
      </c>
      <c r="I1276" s="15">
        <f t="shared" si="278"/>
        <v>16</v>
      </c>
      <c r="J1276" s="15">
        <f t="shared" si="289"/>
        <v>3.7628024999999994</v>
      </c>
      <c r="K1276" s="15">
        <f>MIN(J1276+G1276,(J1276+G1276)*'Hoja 4 - Cálculo'!$B$15)</f>
        <v>0.35639354999999995</v>
      </c>
      <c r="L1276" s="15">
        <f t="shared" si="279"/>
        <v>17.463283949999997</v>
      </c>
      <c r="M1276" s="15">
        <f t="shared" si="280"/>
        <v>16</v>
      </c>
      <c r="N1276" s="15">
        <f t="shared" si="281"/>
        <v>1.4632839499999974</v>
      </c>
      <c r="O1276" s="15">
        <f t="shared" si="282"/>
        <v>0</v>
      </c>
      <c r="P1276" s="15">
        <f t="shared" si="283"/>
        <v>0</v>
      </c>
      <c r="Q1276" s="14" t="str">
        <f>IF(M1276&gt;=I1276*'Hoja 4 - Cálculo'!$B$16,"Satisfactorio","Falla")</f>
        <v>Satisfactorio</v>
      </c>
      <c r="R1276" s="14">
        <f t="shared" si="290"/>
        <v>0</v>
      </c>
      <c r="S1276" s="14">
        <f t="shared" si="291"/>
        <v>0</v>
      </c>
    </row>
    <row r="1277" spans="1:19">
      <c r="A1277" s="14" t="str">
        <f t="shared" si="288"/>
        <v>SRY-4-2</v>
      </c>
      <c r="B1277" s="15">
        <f>'Curvas SRY'!$B$11</f>
        <v>5</v>
      </c>
      <c r="C1277" s="15">
        <f>'Curvas SRY'!$E$9</f>
        <v>1</v>
      </c>
      <c r="D1277" s="14" t="str">
        <f>'Curvas SRY'!$B$14</f>
        <v>Uso variable</v>
      </c>
      <c r="E1277" s="14">
        <f>74</f>
        <v>74</v>
      </c>
      <c r="F1277" s="21">
        <f>'Hoja 4 - Cálculo'!A98</f>
        <v>31809</v>
      </c>
      <c r="G1277" s="15">
        <f>'Hoja 4 - Cálculo'!H98</f>
        <v>15.969374999999999</v>
      </c>
      <c r="H1277" s="15">
        <f>IF(D1277="Uso único",'Hoja 4 - Cálculo'!I98,IF(D1277="Uso múltiple",AVERAGE('Hoja 4 - Cálculo'!$I$25:$I$384)+AVERAGE('Hoja 4 - Cálculo'!$J$25:$J$384)+AVERAGE('Hoja 4 - Cálculo'!$K$25:$K$384),IF(D1277="Uso prioritario",'Hoja 4 - Cálculo'!I98+'Hoja 4 - Cálculo'!K98,'Hoja 4 - Cálculo'!I98+'Hoja 4 - Cálculo'!J98+'Hoja 4 - Cálculo'!K98)))</f>
        <v>16</v>
      </c>
      <c r="I1277" s="15">
        <f t="shared" si="278"/>
        <v>16</v>
      </c>
      <c r="J1277" s="15">
        <f t="shared" si="289"/>
        <v>1.4632839499999974</v>
      </c>
      <c r="K1277" s="15">
        <f>MIN(J1277+G1277,(J1277+G1277)*'Hoja 4 - Cálculo'!$B$15)</f>
        <v>0.34865317899999992</v>
      </c>
      <c r="L1277" s="15">
        <f t="shared" si="279"/>
        <v>17.084005770999998</v>
      </c>
      <c r="M1277" s="15">
        <f t="shared" si="280"/>
        <v>16</v>
      </c>
      <c r="N1277" s="15">
        <f t="shared" si="281"/>
        <v>1.0840057709999975</v>
      </c>
      <c r="O1277" s="15">
        <f t="shared" si="282"/>
        <v>0</v>
      </c>
      <c r="P1277" s="15">
        <f t="shared" si="283"/>
        <v>0</v>
      </c>
      <c r="Q1277" s="14" t="str">
        <f>IF(M1277&gt;=I1277*'Hoja 4 - Cálculo'!$B$16,"Satisfactorio","Falla")</f>
        <v>Satisfactorio</v>
      </c>
      <c r="R1277" s="14">
        <f t="shared" si="290"/>
        <v>0</v>
      </c>
      <c r="S1277" s="14">
        <f t="shared" si="291"/>
        <v>0</v>
      </c>
    </row>
    <row r="1278" spans="1:19">
      <c r="A1278" s="14" t="str">
        <f t="shared" si="288"/>
        <v>SRY-4-2</v>
      </c>
      <c r="B1278" s="15">
        <f>'Curvas SRY'!$B$11</f>
        <v>5</v>
      </c>
      <c r="C1278" s="15">
        <f>'Curvas SRY'!$E$9</f>
        <v>1</v>
      </c>
      <c r="D1278" s="14" t="str">
        <f>'Curvas SRY'!$B$14</f>
        <v>Uso variable</v>
      </c>
      <c r="E1278" s="14">
        <f>75</f>
        <v>75</v>
      </c>
      <c r="F1278" s="21">
        <f>'Hoja 4 - Cálculo'!A99</f>
        <v>31837</v>
      </c>
      <c r="G1278" s="15">
        <f>'Hoja 4 - Cálculo'!H99</f>
        <v>22.797000000000001</v>
      </c>
      <c r="H1278" s="15">
        <f>IF(D1278="Uso único",'Hoja 4 - Cálculo'!I99,IF(D1278="Uso múltiple",AVERAGE('Hoja 4 - Cálculo'!$I$25:$I$384)+AVERAGE('Hoja 4 - Cálculo'!$J$25:$J$384)+AVERAGE('Hoja 4 - Cálculo'!$K$25:$K$384),IF(D1278="Uso prioritario",'Hoja 4 - Cálculo'!I99+'Hoja 4 - Cálculo'!K99,'Hoja 4 - Cálculo'!I99+'Hoja 4 - Cálculo'!J99+'Hoja 4 - Cálculo'!K99)))</f>
        <v>16</v>
      </c>
      <c r="I1278" s="15">
        <f t="shared" si="278"/>
        <v>16</v>
      </c>
      <c r="J1278" s="15">
        <f t="shared" si="289"/>
        <v>1.0840057709999975</v>
      </c>
      <c r="K1278" s="15">
        <f>MIN(J1278+G1278,(J1278+G1278)*'Hoja 4 - Cálculo'!$B$15)</f>
        <v>0.47762011541999999</v>
      </c>
      <c r="L1278" s="15">
        <f t="shared" si="279"/>
        <v>23.403385655579999</v>
      </c>
      <c r="M1278" s="15">
        <f t="shared" si="280"/>
        <v>16</v>
      </c>
      <c r="N1278" s="15">
        <f t="shared" si="281"/>
        <v>5</v>
      </c>
      <c r="O1278" s="15">
        <f t="shared" si="282"/>
        <v>2.4033856555799993</v>
      </c>
      <c r="P1278" s="15">
        <f t="shared" si="283"/>
        <v>0</v>
      </c>
      <c r="Q1278" s="14" t="str">
        <f>IF(M1278&gt;=I1278*'Hoja 4 - Cálculo'!$B$16,"Satisfactorio","Falla")</f>
        <v>Satisfactorio</v>
      </c>
      <c r="R1278" s="14">
        <f t="shared" si="290"/>
        <v>0</v>
      </c>
      <c r="S1278" s="14">
        <f t="shared" si="291"/>
        <v>0</v>
      </c>
    </row>
    <row r="1279" spans="1:19">
      <c r="A1279" s="14" t="str">
        <f t="shared" si="288"/>
        <v>SRY-4-2</v>
      </c>
      <c r="B1279" s="15">
        <f>'Curvas SRY'!$B$11</f>
        <v>5</v>
      </c>
      <c r="C1279" s="15">
        <f>'Curvas SRY'!$E$9</f>
        <v>1</v>
      </c>
      <c r="D1279" s="14" t="str">
        <f>'Curvas SRY'!$B$14</f>
        <v>Uso variable</v>
      </c>
      <c r="E1279" s="14">
        <f>76</f>
        <v>76</v>
      </c>
      <c r="F1279" s="21">
        <f>'Hoja 4 - Cálculo'!A100</f>
        <v>31868</v>
      </c>
      <c r="G1279" s="15">
        <f>'Hoja 4 - Cálculo'!H100</f>
        <v>34.138125000000002</v>
      </c>
      <c r="H1279" s="15">
        <f>IF(D1279="Uso único",'Hoja 4 - Cálculo'!I100,IF(D1279="Uso múltiple",AVERAGE('Hoja 4 - Cálculo'!$I$25:$I$384)+AVERAGE('Hoja 4 - Cálculo'!$J$25:$J$384)+AVERAGE('Hoja 4 - Cálculo'!$K$25:$K$384),IF(D1279="Uso prioritario",'Hoja 4 - Cálculo'!I100+'Hoja 4 - Cálculo'!K100,'Hoja 4 - Cálculo'!I100+'Hoja 4 - Cálculo'!J100+'Hoja 4 - Cálculo'!K100)))</f>
        <v>11.5</v>
      </c>
      <c r="I1279" s="15">
        <f t="shared" si="278"/>
        <v>11.5</v>
      </c>
      <c r="J1279" s="15">
        <f t="shared" si="289"/>
        <v>5</v>
      </c>
      <c r="K1279" s="15">
        <f>MIN(J1279+G1279,(J1279+G1279)*'Hoja 4 - Cálculo'!$B$15)</f>
        <v>0.78276250000000003</v>
      </c>
      <c r="L1279" s="15">
        <f t="shared" si="279"/>
        <v>38.355362500000005</v>
      </c>
      <c r="M1279" s="15">
        <f t="shared" si="280"/>
        <v>11.5</v>
      </c>
      <c r="N1279" s="15">
        <f t="shared" si="281"/>
        <v>5</v>
      </c>
      <c r="O1279" s="15">
        <f t="shared" si="282"/>
        <v>21.855362500000005</v>
      </c>
      <c r="P1279" s="15">
        <f t="shared" si="283"/>
        <v>0</v>
      </c>
      <c r="Q1279" s="14" t="str">
        <f>IF(M1279&gt;=I1279*'Hoja 4 - Cálculo'!$B$16,"Satisfactorio","Falla")</f>
        <v>Satisfactorio</v>
      </c>
      <c r="R1279" s="14">
        <f t="shared" si="290"/>
        <v>0</v>
      </c>
      <c r="S1279" s="14">
        <f t="shared" si="291"/>
        <v>0</v>
      </c>
    </row>
    <row r="1280" spans="1:19">
      <c r="A1280" s="14" t="str">
        <f t="shared" si="288"/>
        <v>SRY-4-2</v>
      </c>
      <c r="B1280" s="15">
        <f>'Curvas SRY'!$B$11</f>
        <v>5</v>
      </c>
      <c r="C1280" s="15">
        <f>'Curvas SRY'!$E$9</f>
        <v>1</v>
      </c>
      <c r="D1280" s="14" t="str">
        <f>'Curvas SRY'!$B$14</f>
        <v>Uso variable</v>
      </c>
      <c r="E1280" s="14">
        <f>77</f>
        <v>77</v>
      </c>
      <c r="F1280" s="21">
        <f>'Hoja 4 - Cálculo'!A101</f>
        <v>31898</v>
      </c>
      <c r="G1280" s="15">
        <f>'Hoja 4 - Cálculo'!H101</f>
        <v>28.534500000000001</v>
      </c>
      <c r="H1280" s="15">
        <f>IF(D1280="Uso único",'Hoja 4 - Cálculo'!I101,IF(D1280="Uso múltiple",AVERAGE('Hoja 4 - Cálculo'!$I$25:$I$384)+AVERAGE('Hoja 4 - Cálculo'!$J$25:$J$384)+AVERAGE('Hoja 4 - Cálculo'!$K$25:$K$384),IF(D1280="Uso prioritario",'Hoja 4 - Cálculo'!I101+'Hoja 4 - Cálculo'!K101,'Hoja 4 - Cálculo'!I101+'Hoja 4 - Cálculo'!J101+'Hoja 4 - Cálculo'!K101)))</f>
        <v>11.5</v>
      </c>
      <c r="I1280" s="15">
        <f t="shared" si="278"/>
        <v>11.5</v>
      </c>
      <c r="J1280" s="15">
        <f t="shared" si="289"/>
        <v>5</v>
      </c>
      <c r="K1280" s="15">
        <f>MIN(J1280+G1280,(J1280+G1280)*'Hoja 4 - Cálculo'!$B$15)</f>
        <v>0.67069000000000001</v>
      </c>
      <c r="L1280" s="15">
        <f t="shared" si="279"/>
        <v>32.863810000000001</v>
      </c>
      <c r="M1280" s="15">
        <f t="shared" si="280"/>
        <v>11.5</v>
      </c>
      <c r="N1280" s="15">
        <f t="shared" si="281"/>
        <v>5</v>
      </c>
      <c r="O1280" s="15">
        <f t="shared" si="282"/>
        <v>16.363810000000001</v>
      </c>
      <c r="P1280" s="15">
        <f t="shared" si="283"/>
        <v>0</v>
      </c>
      <c r="Q1280" s="14" t="str">
        <f>IF(M1280&gt;=I1280*'Hoja 4 - Cálculo'!$B$16,"Satisfactorio","Falla")</f>
        <v>Satisfactorio</v>
      </c>
      <c r="R1280" s="14">
        <f t="shared" si="290"/>
        <v>0</v>
      </c>
      <c r="S1280" s="14">
        <f t="shared" si="291"/>
        <v>0</v>
      </c>
    </row>
    <row r="1281" spans="1:19">
      <c r="A1281" s="14" t="str">
        <f t="shared" si="288"/>
        <v>SRY-4-2</v>
      </c>
      <c r="B1281" s="15">
        <f>'Curvas SRY'!$B$11</f>
        <v>5</v>
      </c>
      <c r="C1281" s="15">
        <f>'Curvas SRY'!$E$9</f>
        <v>1</v>
      </c>
      <c r="D1281" s="14" t="str">
        <f>'Curvas SRY'!$B$14</f>
        <v>Uso variable</v>
      </c>
      <c r="E1281" s="14">
        <f>78</f>
        <v>78</v>
      </c>
      <c r="F1281" s="21">
        <f>'Hoja 4 - Cálculo'!A102</f>
        <v>31929</v>
      </c>
      <c r="G1281" s="15">
        <f>'Hoja 4 - Cálculo'!H102</f>
        <v>18.589500000000001</v>
      </c>
      <c r="H1281" s="15">
        <f>IF(D1281="Uso único",'Hoja 4 - Cálculo'!I102,IF(D1281="Uso múltiple",AVERAGE('Hoja 4 - Cálculo'!$I$25:$I$384)+AVERAGE('Hoja 4 - Cálculo'!$J$25:$J$384)+AVERAGE('Hoja 4 - Cálculo'!$K$25:$K$384),IF(D1281="Uso prioritario",'Hoja 4 - Cálculo'!I102+'Hoja 4 - Cálculo'!K102,'Hoja 4 - Cálculo'!I102+'Hoja 4 - Cálculo'!J102+'Hoja 4 - Cálculo'!K102)))</f>
        <v>11.5</v>
      </c>
      <c r="I1281" s="15">
        <f t="shared" si="278"/>
        <v>11.5</v>
      </c>
      <c r="J1281" s="15">
        <f t="shared" si="289"/>
        <v>5</v>
      </c>
      <c r="K1281" s="15">
        <f>MIN(J1281+G1281,(J1281+G1281)*'Hoja 4 - Cálculo'!$B$15)</f>
        <v>0.47179000000000004</v>
      </c>
      <c r="L1281" s="15">
        <f t="shared" si="279"/>
        <v>23.117710000000002</v>
      </c>
      <c r="M1281" s="15">
        <f t="shared" si="280"/>
        <v>11.5</v>
      </c>
      <c r="N1281" s="15">
        <f t="shared" si="281"/>
        <v>5</v>
      </c>
      <c r="O1281" s="15">
        <f t="shared" si="282"/>
        <v>6.6177100000000024</v>
      </c>
      <c r="P1281" s="15">
        <f t="shared" si="283"/>
        <v>0</v>
      </c>
      <c r="Q1281" s="14" t="str">
        <f>IF(M1281&gt;=I1281*'Hoja 4 - Cálculo'!$B$16,"Satisfactorio","Falla")</f>
        <v>Satisfactorio</v>
      </c>
      <c r="R1281" s="14">
        <f t="shared" si="290"/>
        <v>0</v>
      </c>
      <c r="S1281" s="14">
        <f t="shared" si="291"/>
        <v>0</v>
      </c>
    </row>
    <row r="1282" spans="1:19">
      <c r="A1282" s="14" t="str">
        <f t="shared" si="288"/>
        <v>SRY-4-2</v>
      </c>
      <c r="B1282" s="15">
        <f>'Curvas SRY'!$B$11</f>
        <v>5</v>
      </c>
      <c r="C1282" s="15">
        <f>'Curvas SRY'!$E$9</f>
        <v>1</v>
      </c>
      <c r="D1282" s="14" t="str">
        <f>'Curvas SRY'!$B$14</f>
        <v>Uso variable</v>
      </c>
      <c r="E1282" s="14">
        <f>79</f>
        <v>79</v>
      </c>
      <c r="F1282" s="21">
        <f>'Hoja 4 - Cálculo'!A103</f>
        <v>31959</v>
      </c>
      <c r="G1282" s="15">
        <f>'Hoja 4 - Cálculo'!H103</f>
        <v>14.688000000000001</v>
      </c>
      <c r="H1282" s="15">
        <f>IF(D1282="Uso único",'Hoja 4 - Cálculo'!I103,IF(D1282="Uso múltiple",AVERAGE('Hoja 4 - Cálculo'!$I$25:$I$384)+AVERAGE('Hoja 4 - Cálculo'!$J$25:$J$384)+AVERAGE('Hoja 4 - Cálculo'!$K$25:$K$384),IF(D1282="Uso prioritario",'Hoja 4 - Cálculo'!I103+'Hoja 4 - Cálculo'!K103,'Hoja 4 - Cálculo'!I103+'Hoja 4 - Cálculo'!J103+'Hoja 4 - Cálculo'!K103)))</f>
        <v>16</v>
      </c>
      <c r="I1282" s="15">
        <f t="shared" si="278"/>
        <v>16</v>
      </c>
      <c r="J1282" s="15">
        <f t="shared" si="289"/>
        <v>5</v>
      </c>
      <c r="K1282" s="15">
        <f>MIN(J1282+G1282,(J1282+G1282)*'Hoja 4 - Cálculo'!$B$15)</f>
        <v>0.39376000000000005</v>
      </c>
      <c r="L1282" s="15">
        <f t="shared" si="279"/>
        <v>19.294240000000002</v>
      </c>
      <c r="M1282" s="15">
        <f t="shared" si="280"/>
        <v>16</v>
      </c>
      <c r="N1282" s="15">
        <f t="shared" si="281"/>
        <v>3.2942400000000021</v>
      </c>
      <c r="O1282" s="15">
        <f t="shared" si="282"/>
        <v>0</v>
      </c>
      <c r="P1282" s="15">
        <f t="shared" si="283"/>
        <v>0</v>
      </c>
      <c r="Q1282" s="14" t="str">
        <f>IF(M1282&gt;=I1282*'Hoja 4 - Cálculo'!$B$16,"Satisfactorio","Falla")</f>
        <v>Satisfactorio</v>
      </c>
      <c r="R1282" s="14">
        <f t="shared" si="290"/>
        <v>0</v>
      </c>
      <c r="S1282" s="14">
        <f t="shared" si="291"/>
        <v>0</v>
      </c>
    </row>
    <row r="1283" spans="1:19">
      <c r="A1283" s="14" t="str">
        <f t="shared" si="288"/>
        <v>SRY-4-2</v>
      </c>
      <c r="B1283" s="15">
        <f>'Curvas SRY'!$B$11</f>
        <v>5</v>
      </c>
      <c r="C1283" s="15">
        <f>'Curvas SRY'!$E$9</f>
        <v>1</v>
      </c>
      <c r="D1283" s="14" t="str">
        <f>'Curvas SRY'!$B$14</f>
        <v>Uso variable</v>
      </c>
      <c r="E1283" s="14">
        <f>80</f>
        <v>80</v>
      </c>
      <c r="F1283" s="21">
        <f>'Hoja 4 - Cálculo'!A104</f>
        <v>31990</v>
      </c>
      <c r="G1283" s="15">
        <f>'Hoja 4 - Cálculo'!H104</f>
        <v>15.759</v>
      </c>
      <c r="H1283" s="15">
        <f>IF(D1283="Uso único",'Hoja 4 - Cálculo'!I104,IF(D1283="Uso múltiple",AVERAGE('Hoja 4 - Cálculo'!$I$25:$I$384)+AVERAGE('Hoja 4 - Cálculo'!$J$25:$J$384)+AVERAGE('Hoja 4 - Cálculo'!$K$25:$K$384),IF(D1283="Uso prioritario",'Hoja 4 - Cálculo'!I104+'Hoja 4 - Cálculo'!K104,'Hoja 4 - Cálculo'!I104+'Hoja 4 - Cálculo'!J104+'Hoja 4 - Cálculo'!K104)))</f>
        <v>16</v>
      </c>
      <c r="I1283" s="15">
        <f t="shared" si="278"/>
        <v>16</v>
      </c>
      <c r="J1283" s="15">
        <f t="shared" si="289"/>
        <v>3.2942400000000021</v>
      </c>
      <c r="K1283" s="15">
        <f>MIN(J1283+G1283,(J1283+G1283)*'Hoja 4 - Cálculo'!$B$15)</f>
        <v>0.38106480000000004</v>
      </c>
      <c r="L1283" s="15">
        <f t="shared" si="279"/>
        <v>18.672175200000002</v>
      </c>
      <c r="M1283" s="15">
        <f t="shared" si="280"/>
        <v>16</v>
      </c>
      <c r="N1283" s="15">
        <f t="shared" si="281"/>
        <v>2.6721752000000016</v>
      </c>
      <c r="O1283" s="15">
        <f t="shared" si="282"/>
        <v>0</v>
      </c>
      <c r="P1283" s="15">
        <f t="shared" si="283"/>
        <v>0</v>
      </c>
      <c r="Q1283" s="14" t="str">
        <f>IF(M1283&gt;=I1283*'Hoja 4 - Cálculo'!$B$16,"Satisfactorio","Falla")</f>
        <v>Satisfactorio</v>
      </c>
      <c r="R1283" s="14">
        <f t="shared" si="290"/>
        <v>0</v>
      </c>
      <c r="S1283" s="14">
        <f t="shared" si="291"/>
        <v>0</v>
      </c>
    </row>
    <row r="1284" spans="1:19">
      <c r="A1284" s="14" t="str">
        <f t="shared" si="288"/>
        <v>SRY-4-2</v>
      </c>
      <c r="B1284" s="15">
        <f>'Curvas SRY'!$B$11</f>
        <v>5</v>
      </c>
      <c r="C1284" s="15">
        <f>'Curvas SRY'!$E$9</f>
        <v>1</v>
      </c>
      <c r="D1284" s="14" t="str">
        <f>'Curvas SRY'!$B$14</f>
        <v>Uso variable</v>
      </c>
      <c r="E1284" s="14">
        <f>81</f>
        <v>81</v>
      </c>
      <c r="F1284" s="21">
        <f>'Hoja 4 - Cálculo'!A105</f>
        <v>32021</v>
      </c>
      <c r="G1284" s="15">
        <f>'Hoja 4 - Cálculo'!H105</f>
        <v>26.220375000000001</v>
      </c>
      <c r="H1284" s="15">
        <f>IF(D1284="Uso único",'Hoja 4 - Cálculo'!I105,IF(D1284="Uso múltiple",AVERAGE('Hoja 4 - Cálculo'!$I$25:$I$384)+AVERAGE('Hoja 4 - Cálculo'!$J$25:$J$384)+AVERAGE('Hoja 4 - Cálculo'!$K$25:$K$384),IF(D1284="Uso prioritario",'Hoja 4 - Cálculo'!I105+'Hoja 4 - Cálculo'!K105,'Hoja 4 - Cálculo'!I105+'Hoja 4 - Cálculo'!J105+'Hoja 4 - Cálculo'!K105)))</f>
        <v>11.5</v>
      </c>
      <c r="I1284" s="15">
        <f t="shared" ref="I1284:I1347" si="292">H1284*C1284</f>
        <v>11.5</v>
      </c>
      <c r="J1284" s="15">
        <f t="shared" si="289"/>
        <v>2.6721752000000016</v>
      </c>
      <c r="K1284" s="15">
        <f>MIN(J1284+G1284,(J1284+G1284)*'Hoja 4 - Cálculo'!$B$15)</f>
        <v>0.57785100400000011</v>
      </c>
      <c r="L1284" s="15">
        <f t="shared" ref="L1284:L1347" si="293">MAX(0,J1284+G1284-K1284)</f>
        <v>28.314699196000003</v>
      </c>
      <c r="M1284" s="15">
        <f t="shared" ref="M1284:M1347" si="294">MIN(I1284,L1284)</f>
        <v>11.5</v>
      </c>
      <c r="N1284" s="15">
        <f t="shared" ref="N1284:N1347" si="295">MIN(B1284,MAX(0,L1284-M1284))</f>
        <v>5</v>
      </c>
      <c r="O1284" s="15">
        <f t="shared" ref="O1284:O1347" si="296">MAX(0,L1284-M1284-B1284)</f>
        <v>11.814699196000003</v>
      </c>
      <c r="P1284" s="15">
        <f t="shared" ref="P1284:P1347" si="297">MAX(0,I1284-M1284)</f>
        <v>0</v>
      </c>
      <c r="Q1284" s="14" t="str">
        <f>IF(M1284&gt;=I1284*'Hoja 4 - Cálculo'!$B$16,"Satisfactorio","Falla")</f>
        <v>Satisfactorio</v>
      </c>
      <c r="R1284" s="14">
        <f t="shared" si="290"/>
        <v>0</v>
      </c>
      <c r="S1284" s="14">
        <f t="shared" si="291"/>
        <v>0</v>
      </c>
    </row>
    <row r="1285" spans="1:19">
      <c r="A1285" s="14" t="str">
        <f t="shared" si="288"/>
        <v>SRY-4-2</v>
      </c>
      <c r="B1285" s="15">
        <f>'Curvas SRY'!$B$11</f>
        <v>5</v>
      </c>
      <c r="C1285" s="15">
        <f>'Curvas SRY'!$E$9</f>
        <v>1</v>
      </c>
      <c r="D1285" s="14" t="str">
        <f>'Curvas SRY'!$B$14</f>
        <v>Uso variable</v>
      </c>
      <c r="E1285" s="14">
        <f>82</f>
        <v>82</v>
      </c>
      <c r="F1285" s="21">
        <f>'Hoja 4 - Cálculo'!A106</f>
        <v>32051</v>
      </c>
      <c r="G1285" s="15">
        <f>'Hoja 4 - Cálculo'!H106</f>
        <v>32.627249999999997</v>
      </c>
      <c r="H1285" s="15">
        <f>IF(D1285="Uso único",'Hoja 4 - Cálculo'!I106,IF(D1285="Uso múltiple",AVERAGE('Hoja 4 - Cálculo'!$I$25:$I$384)+AVERAGE('Hoja 4 - Cálculo'!$J$25:$J$384)+AVERAGE('Hoja 4 - Cálculo'!$K$25:$K$384),IF(D1285="Uso prioritario",'Hoja 4 - Cálculo'!I106+'Hoja 4 - Cálculo'!K106,'Hoja 4 - Cálculo'!I106+'Hoja 4 - Cálculo'!J106+'Hoja 4 - Cálculo'!K106)))</f>
        <v>11.5</v>
      </c>
      <c r="I1285" s="15">
        <f t="shared" si="292"/>
        <v>11.5</v>
      </c>
      <c r="J1285" s="15">
        <f t="shared" si="289"/>
        <v>5</v>
      </c>
      <c r="K1285" s="15">
        <f>MIN(J1285+G1285,(J1285+G1285)*'Hoja 4 - Cálculo'!$B$15)</f>
        <v>0.75254499999999991</v>
      </c>
      <c r="L1285" s="15">
        <f t="shared" si="293"/>
        <v>36.874704999999999</v>
      </c>
      <c r="M1285" s="15">
        <f t="shared" si="294"/>
        <v>11.5</v>
      </c>
      <c r="N1285" s="15">
        <f t="shared" si="295"/>
        <v>5</v>
      </c>
      <c r="O1285" s="15">
        <f t="shared" si="296"/>
        <v>20.374704999999999</v>
      </c>
      <c r="P1285" s="15">
        <f t="shared" si="297"/>
        <v>0</v>
      </c>
      <c r="Q1285" s="14" t="str">
        <f>IF(M1285&gt;=I1285*'Hoja 4 - Cálculo'!$B$16,"Satisfactorio","Falla")</f>
        <v>Satisfactorio</v>
      </c>
      <c r="R1285" s="14">
        <f t="shared" si="290"/>
        <v>0</v>
      </c>
      <c r="S1285" s="14">
        <f t="shared" si="291"/>
        <v>0</v>
      </c>
    </row>
    <row r="1286" spans="1:19">
      <c r="A1286" s="14" t="str">
        <f t="shared" si="288"/>
        <v>SRY-4-2</v>
      </c>
      <c r="B1286" s="15">
        <f>'Curvas SRY'!$B$11</f>
        <v>5</v>
      </c>
      <c r="C1286" s="15">
        <f>'Curvas SRY'!$E$9</f>
        <v>1</v>
      </c>
      <c r="D1286" s="14" t="str">
        <f>'Curvas SRY'!$B$14</f>
        <v>Uso variable</v>
      </c>
      <c r="E1286" s="14">
        <f>83</f>
        <v>83</v>
      </c>
      <c r="F1286" s="21">
        <f>'Hoja 4 - Cálculo'!A107</f>
        <v>32082</v>
      </c>
      <c r="G1286" s="15">
        <f>'Hoja 4 - Cálculo'!H107</f>
        <v>29.758500000000002</v>
      </c>
      <c r="H1286" s="15">
        <f>IF(D1286="Uso único",'Hoja 4 - Cálculo'!I107,IF(D1286="Uso múltiple",AVERAGE('Hoja 4 - Cálculo'!$I$25:$I$384)+AVERAGE('Hoja 4 - Cálculo'!$J$25:$J$384)+AVERAGE('Hoja 4 - Cálculo'!$K$25:$K$384),IF(D1286="Uso prioritario",'Hoja 4 - Cálculo'!I107+'Hoja 4 - Cálculo'!K107,'Hoja 4 - Cálculo'!I107+'Hoja 4 - Cálculo'!J107+'Hoja 4 - Cálculo'!K107)))</f>
        <v>11.5</v>
      </c>
      <c r="I1286" s="15">
        <f t="shared" si="292"/>
        <v>11.5</v>
      </c>
      <c r="J1286" s="15">
        <f t="shared" si="289"/>
        <v>5</v>
      </c>
      <c r="K1286" s="15">
        <f>MIN(J1286+G1286,(J1286+G1286)*'Hoja 4 - Cálculo'!$B$15)</f>
        <v>0.69516999999999995</v>
      </c>
      <c r="L1286" s="15">
        <f t="shared" si="293"/>
        <v>34.063330000000001</v>
      </c>
      <c r="M1286" s="15">
        <f t="shared" si="294"/>
        <v>11.5</v>
      </c>
      <c r="N1286" s="15">
        <f t="shared" si="295"/>
        <v>5</v>
      </c>
      <c r="O1286" s="15">
        <f t="shared" si="296"/>
        <v>17.563330000000001</v>
      </c>
      <c r="P1286" s="15">
        <f t="shared" si="297"/>
        <v>0</v>
      </c>
      <c r="Q1286" s="14" t="str">
        <f>IF(M1286&gt;=I1286*'Hoja 4 - Cálculo'!$B$16,"Satisfactorio","Falla")</f>
        <v>Satisfactorio</v>
      </c>
      <c r="R1286" s="14">
        <f t="shared" si="290"/>
        <v>0</v>
      </c>
      <c r="S1286" s="14">
        <f t="shared" si="291"/>
        <v>0</v>
      </c>
    </row>
    <row r="1287" spans="1:19">
      <c r="A1287" s="14" t="str">
        <f t="shared" si="288"/>
        <v>SRY-4-2</v>
      </c>
      <c r="B1287" s="15">
        <f>'Curvas SRY'!$B$11</f>
        <v>5</v>
      </c>
      <c r="C1287" s="15">
        <f>'Curvas SRY'!$E$9</f>
        <v>1</v>
      </c>
      <c r="D1287" s="14" t="str">
        <f>'Curvas SRY'!$B$14</f>
        <v>Uso variable</v>
      </c>
      <c r="E1287" s="14">
        <f>84</f>
        <v>84</v>
      </c>
      <c r="F1287" s="21">
        <f>'Hoja 4 - Cálculo'!A108</f>
        <v>32112</v>
      </c>
      <c r="G1287" s="15">
        <f>'Hoja 4 - Cálculo'!H108</f>
        <v>16.543125</v>
      </c>
      <c r="H1287" s="15">
        <f>IF(D1287="Uso único",'Hoja 4 - Cálculo'!I108,IF(D1287="Uso múltiple",AVERAGE('Hoja 4 - Cálculo'!$I$25:$I$384)+AVERAGE('Hoja 4 - Cálculo'!$J$25:$J$384)+AVERAGE('Hoja 4 - Cálculo'!$K$25:$K$384),IF(D1287="Uso prioritario",'Hoja 4 - Cálculo'!I108+'Hoja 4 - Cálculo'!K108,'Hoja 4 - Cálculo'!I108+'Hoja 4 - Cálculo'!J108+'Hoja 4 - Cálculo'!K108)))</f>
        <v>16</v>
      </c>
      <c r="I1287" s="15">
        <f t="shared" si="292"/>
        <v>16</v>
      </c>
      <c r="J1287" s="15">
        <f t="shared" si="289"/>
        <v>5</v>
      </c>
      <c r="K1287" s="15">
        <f>MIN(J1287+G1287,(J1287+G1287)*'Hoja 4 - Cálculo'!$B$15)</f>
        <v>0.43086249999999998</v>
      </c>
      <c r="L1287" s="15">
        <f t="shared" si="293"/>
        <v>21.1122625</v>
      </c>
      <c r="M1287" s="15">
        <f t="shared" si="294"/>
        <v>16</v>
      </c>
      <c r="N1287" s="15">
        <f t="shared" si="295"/>
        <v>5</v>
      </c>
      <c r="O1287" s="15">
        <f t="shared" si="296"/>
        <v>0.11226249999999993</v>
      </c>
      <c r="P1287" s="15">
        <f t="shared" si="297"/>
        <v>0</v>
      </c>
      <c r="Q1287" s="14" t="str">
        <f>IF(M1287&gt;=I1287*'Hoja 4 - Cálculo'!$B$16,"Satisfactorio","Falla")</f>
        <v>Satisfactorio</v>
      </c>
      <c r="R1287" s="14">
        <f t="shared" si="290"/>
        <v>0</v>
      </c>
      <c r="S1287" s="14">
        <f t="shared" si="291"/>
        <v>0</v>
      </c>
    </row>
    <row r="1288" spans="1:19">
      <c r="A1288" s="14" t="str">
        <f t="shared" si="288"/>
        <v>SRY-4-2</v>
      </c>
      <c r="B1288" s="15">
        <f>'Curvas SRY'!$B$11</f>
        <v>5</v>
      </c>
      <c r="C1288" s="15">
        <f>'Curvas SRY'!$E$9</f>
        <v>1</v>
      </c>
      <c r="D1288" s="14" t="str">
        <f>'Curvas SRY'!$B$14</f>
        <v>Uso variable</v>
      </c>
      <c r="E1288" s="14">
        <f>85</f>
        <v>85</v>
      </c>
      <c r="F1288" s="21">
        <f>'Hoja 4 - Cálculo'!A109</f>
        <v>32143</v>
      </c>
      <c r="G1288" s="15">
        <f>'Hoja 4 - Cálculo'!H109</f>
        <v>13.291874999999999</v>
      </c>
      <c r="H1288" s="15">
        <f>IF(D1288="Uso único",'Hoja 4 - Cálculo'!I109,IF(D1288="Uso múltiple",AVERAGE('Hoja 4 - Cálculo'!$I$25:$I$384)+AVERAGE('Hoja 4 - Cálculo'!$J$25:$J$384)+AVERAGE('Hoja 4 - Cálculo'!$K$25:$K$384),IF(D1288="Uso prioritario",'Hoja 4 - Cálculo'!I109+'Hoja 4 - Cálculo'!K109,'Hoja 4 - Cálculo'!I109+'Hoja 4 - Cálculo'!J109+'Hoja 4 - Cálculo'!K109)))</f>
        <v>16</v>
      </c>
      <c r="I1288" s="15">
        <f t="shared" si="292"/>
        <v>16</v>
      </c>
      <c r="J1288" s="15">
        <f t="shared" si="289"/>
        <v>5</v>
      </c>
      <c r="K1288" s="15">
        <f>MIN(J1288+G1288,(J1288+G1288)*'Hoja 4 - Cálculo'!$B$15)</f>
        <v>0.36583749999999998</v>
      </c>
      <c r="L1288" s="15">
        <f t="shared" si="293"/>
        <v>17.926037499999996</v>
      </c>
      <c r="M1288" s="15">
        <f t="shared" si="294"/>
        <v>16</v>
      </c>
      <c r="N1288" s="15">
        <f t="shared" si="295"/>
        <v>1.9260374999999961</v>
      </c>
      <c r="O1288" s="15">
        <f t="shared" si="296"/>
        <v>0</v>
      </c>
      <c r="P1288" s="15">
        <f t="shared" si="297"/>
        <v>0</v>
      </c>
      <c r="Q1288" s="14" t="str">
        <f>IF(M1288&gt;=I1288*'Hoja 4 - Cálculo'!$B$16,"Satisfactorio","Falla")</f>
        <v>Satisfactorio</v>
      </c>
      <c r="R1288" s="14">
        <f t="shared" si="290"/>
        <v>0</v>
      </c>
      <c r="S1288" s="14">
        <f t="shared" si="291"/>
        <v>0</v>
      </c>
    </row>
    <row r="1289" spans="1:19">
      <c r="A1289" s="14" t="str">
        <f t="shared" si="288"/>
        <v>SRY-4-2</v>
      </c>
      <c r="B1289" s="15">
        <f>'Curvas SRY'!$B$11</f>
        <v>5</v>
      </c>
      <c r="C1289" s="15">
        <f>'Curvas SRY'!$E$9</f>
        <v>1</v>
      </c>
      <c r="D1289" s="14" t="str">
        <f>'Curvas SRY'!$B$14</f>
        <v>Uso variable</v>
      </c>
      <c r="E1289" s="14">
        <f>86</f>
        <v>86</v>
      </c>
      <c r="F1289" s="21">
        <f>'Hoja 4 - Cálculo'!A110</f>
        <v>32174</v>
      </c>
      <c r="G1289" s="15">
        <f>'Hoja 4 - Cálculo'!H110</f>
        <v>14.19075</v>
      </c>
      <c r="H1289" s="15">
        <f>IF(D1289="Uso único",'Hoja 4 - Cálculo'!I110,IF(D1289="Uso múltiple",AVERAGE('Hoja 4 - Cálculo'!$I$25:$I$384)+AVERAGE('Hoja 4 - Cálculo'!$J$25:$J$384)+AVERAGE('Hoja 4 - Cálculo'!$K$25:$K$384),IF(D1289="Uso prioritario",'Hoja 4 - Cálculo'!I110+'Hoja 4 - Cálculo'!K110,'Hoja 4 - Cálculo'!I110+'Hoja 4 - Cálculo'!J110+'Hoja 4 - Cálculo'!K110)))</f>
        <v>16</v>
      </c>
      <c r="I1289" s="15">
        <f t="shared" si="292"/>
        <v>16</v>
      </c>
      <c r="J1289" s="15">
        <f t="shared" si="289"/>
        <v>1.9260374999999961</v>
      </c>
      <c r="K1289" s="15">
        <f>MIN(J1289+G1289,(J1289+G1289)*'Hoja 4 - Cálculo'!$B$15)</f>
        <v>0.32233574999999987</v>
      </c>
      <c r="L1289" s="15">
        <f t="shared" si="293"/>
        <v>15.794451749999993</v>
      </c>
      <c r="M1289" s="15">
        <f t="shared" si="294"/>
        <v>15.794451749999993</v>
      </c>
      <c r="N1289" s="15">
        <f t="shared" si="295"/>
        <v>0</v>
      </c>
      <c r="O1289" s="15">
        <f t="shared" si="296"/>
        <v>0</v>
      </c>
      <c r="P1289" s="15">
        <f t="shared" si="297"/>
        <v>0.20554825000000676</v>
      </c>
      <c r="Q1289" s="14" t="str">
        <f>IF(M1289&gt;=I1289*'Hoja 4 - Cálculo'!$B$16,"Satisfactorio","Falla")</f>
        <v>Falla</v>
      </c>
      <c r="R1289" s="14">
        <f t="shared" si="290"/>
        <v>0</v>
      </c>
      <c r="S1289" s="14">
        <f t="shared" si="291"/>
        <v>1</v>
      </c>
    </row>
    <row r="1290" spans="1:19">
      <c r="A1290" s="14" t="str">
        <f t="shared" si="288"/>
        <v>SRY-4-2</v>
      </c>
      <c r="B1290" s="15">
        <f>'Curvas SRY'!$B$11</f>
        <v>5</v>
      </c>
      <c r="C1290" s="15">
        <f>'Curvas SRY'!$E$9</f>
        <v>1</v>
      </c>
      <c r="D1290" s="14" t="str">
        <f>'Curvas SRY'!$B$14</f>
        <v>Uso variable</v>
      </c>
      <c r="E1290" s="14">
        <f>87</f>
        <v>87</v>
      </c>
      <c r="F1290" s="21">
        <f>'Hoja 4 - Cálculo'!A111</f>
        <v>32203</v>
      </c>
      <c r="G1290" s="15">
        <f>'Hoja 4 - Cálculo'!H111</f>
        <v>22.338000000000001</v>
      </c>
      <c r="H1290" s="15">
        <f>IF(D1290="Uso único",'Hoja 4 - Cálculo'!I111,IF(D1290="Uso múltiple",AVERAGE('Hoja 4 - Cálculo'!$I$25:$I$384)+AVERAGE('Hoja 4 - Cálculo'!$J$25:$J$384)+AVERAGE('Hoja 4 - Cálculo'!$K$25:$K$384),IF(D1290="Uso prioritario",'Hoja 4 - Cálculo'!I111+'Hoja 4 - Cálculo'!K111,'Hoja 4 - Cálculo'!I111+'Hoja 4 - Cálculo'!J111+'Hoja 4 - Cálculo'!K111)))</f>
        <v>16</v>
      </c>
      <c r="I1290" s="15">
        <f t="shared" si="292"/>
        <v>16</v>
      </c>
      <c r="J1290" s="15">
        <f t="shared" si="289"/>
        <v>0</v>
      </c>
      <c r="K1290" s="15">
        <f>MIN(J1290+G1290,(J1290+G1290)*'Hoja 4 - Cálculo'!$B$15)</f>
        <v>0.44676000000000005</v>
      </c>
      <c r="L1290" s="15">
        <f t="shared" si="293"/>
        <v>21.89124</v>
      </c>
      <c r="M1290" s="15">
        <f t="shared" si="294"/>
        <v>16</v>
      </c>
      <c r="N1290" s="15">
        <f t="shared" si="295"/>
        <v>5</v>
      </c>
      <c r="O1290" s="15">
        <f t="shared" si="296"/>
        <v>0.89123999999999981</v>
      </c>
      <c r="P1290" s="15">
        <f t="shared" si="297"/>
        <v>0</v>
      </c>
      <c r="Q1290" s="14" t="str">
        <f>IF(M1290&gt;=I1290*'Hoja 4 - Cálculo'!$B$16,"Satisfactorio","Falla")</f>
        <v>Satisfactorio</v>
      </c>
      <c r="R1290" s="14">
        <f t="shared" si="290"/>
        <v>1</v>
      </c>
      <c r="S1290" s="14">
        <f t="shared" si="291"/>
        <v>0</v>
      </c>
    </row>
    <row r="1291" spans="1:19">
      <c r="A1291" s="14" t="str">
        <f t="shared" si="288"/>
        <v>SRY-4-2</v>
      </c>
      <c r="B1291" s="15">
        <f>'Curvas SRY'!$B$11</f>
        <v>5</v>
      </c>
      <c r="C1291" s="15">
        <f>'Curvas SRY'!$E$9</f>
        <v>1</v>
      </c>
      <c r="D1291" s="14" t="str">
        <f>'Curvas SRY'!$B$14</f>
        <v>Uso variable</v>
      </c>
      <c r="E1291" s="14">
        <f>88</f>
        <v>88</v>
      </c>
      <c r="F1291" s="21">
        <f>'Hoja 4 - Cálculo'!A112</f>
        <v>32234</v>
      </c>
      <c r="G1291" s="15">
        <f>'Hoja 4 - Cálculo'!H112</f>
        <v>29.643750000000001</v>
      </c>
      <c r="H1291" s="15">
        <f>IF(D1291="Uso único",'Hoja 4 - Cálculo'!I112,IF(D1291="Uso múltiple",AVERAGE('Hoja 4 - Cálculo'!$I$25:$I$384)+AVERAGE('Hoja 4 - Cálculo'!$J$25:$J$384)+AVERAGE('Hoja 4 - Cálculo'!$K$25:$K$384),IF(D1291="Uso prioritario",'Hoja 4 - Cálculo'!I112+'Hoja 4 - Cálculo'!K112,'Hoja 4 - Cálculo'!I112+'Hoja 4 - Cálculo'!J112+'Hoja 4 - Cálculo'!K112)))</f>
        <v>11.5</v>
      </c>
      <c r="I1291" s="15">
        <f t="shared" si="292"/>
        <v>11.5</v>
      </c>
      <c r="J1291" s="15">
        <f t="shared" si="289"/>
        <v>5</v>
      </c>
      <c r="K1291" s="15">
        <f>MIN(J1291+G1291,(J1291+G1291)*'Hoja 4 - Cálculo'!$B$15)</f>
        <v>0.69287499999999991</v>
      </c>
      <c r="L1291" s="15">
        <f t="shared" si="293"/>
        <v>33.950874999999996</v>
      </c>
      <c r="M1291" s="15">
        <f t="shared" si="294"/>
        <v>11.5</v>
      </c>
      <c r="N1291" s="15">
        <f t="shared" si="295"/>
        <v>5</v>
      </c>
      <c r="O1291" s="15">
        <f t="shared" si="296"/>
        <v>17.450874999999996</v>
      </c>
      <c r="P1291" s="15">
        <f t="shared" si="297"/>
        <v>0</v>
      </c>
      <c r="Q1291" s="14" t="str">
        <f>IF(M1291&gt;=I1291*'Hoja 4 - Cálculo'!$B$16,"Satisfactorio","Falla")</f>
        <v>Satisfactorio</v>
      </c>
      <c r="R1291" s="14">
        <f t="shared" si="290"/>
        <v>0</v>
      </c>
      <c r="S1291" s="14">
        <f t="shared" si="291"/>
        <v>0</v>
      </c>
    </row>
    <row r="1292" spans="1:19">
      <c r="A1292" s="14" t="str">
        <f t="shared" si="288"/>
        <v>SRY-4-2</v>
      </c>
      <c r="B1292" s="15">
        <f>'Curvas SRY'!$B$11</f>
        <v>5</v>
      </c>
      <c r="C1292" s="15">
        <f>'Curvas SRY'!$E$9</f>
        <v>1</v>
      </c>
      <c r="D1292" s="14" t="str">
        <f>'Curvas SRY'!$B$14</f>
        <v>Uso variable</v>
      </c>
      <c r="E1292" s="14">
        <f>89</f>
        <v>89</v>
      </c>
      <c r="F1292" s="21">
        <f>'Hoja 4 - Cálculo'!A113</f>
        <v>32264</v>
      </c>
      <c r="G1292" s="15">
        <f>'Hoja 4 - Cálculo'!H113</f>
        <v>28.075500000000002</v>
      </c>
      <c r="H1292" s="15">
        <f>IF(D1292="Uso único",'Hoja 4 - Cálculo'!I113,IF(D1292="Uso múltiple",AVERAGE('Hoja 4 - Cálculo'!$I$25:$I$384)+AVERAGE('Hoja 4 - Cálculo'!$J$25:$J$384)+AVERAGE('Hoja 4 - Cálculo'!$K$25:$K$384),IF(D1292="Uso prioritario",'Hoja 4 - Cálculo'!I113+'Hoja 4 - Cálculo'!K113,'Hoja 4 - Cálculo'!I113+'Hoja 4 - Cálculo'!J113+'Hoja 4 - Cálculo'!K113)))</f>
        <v>11.5</v>
      </c>
      <c r="I1292" s="15">
        <f t="shared" si="292"/>
        <v>11.5</v>
      </c>
      <c r="J1292" s="15">
        <f t="shared" si="289"/>
        <v>5</v>
      </c>
      <c r="K1292" s="15">
        <f>MIN(J1292+G1292,(J1292+G1292)*'Hoja 4 - Cálculo'!$B$15)</f>
        <v>0.66151000000000015</v>
      </c>
      <c r="L1292" s="15">
        <f t="shared" si="293"/>
        <v>32.413990000000005</v>
      </c>
      <c r="M1292" s="15">
        <f t="shared" si="294"/>
        <v>11.5</v>
      </c>
      <c r="N1292" s="15">
        <f t="shared" si="295"/>
        <v>5</v>
      </c>
      <c r="O1292" s="15">
        <f t="shared" si="296"/>
        <v>15.913990000000005</v>
      </c>
      <c r="P1292" s="15">
        <f t="shared" si="297"/>
        <v>0</v>
      </c>
      <c r="Q1292" s="14" t="str">
        <f>IF(M1292&gt;=I1292*'Hoja 4 - Cálculo'!$B$16,"Satisfactorio","Falla")</f>
        <v>Satisfactorio</v>
      </c>
      <c r="R1292" s="14">
        <f t="shared" si="290"/>
        <v>0</v>
      </c>
      <c r="S1292" s="14">
        <f t="shared" si="291"/>
        <v>0</v>
      </c>
    </row>
    <row r="1293" spans="1:19">
      <c r="A1293" s="14" t="str">
        <f t="shared" si="288"/>
        <v>SRY-4-2</v>
      </c>
      <c r="B1293" s="15">
        <f>'Curvas SRY'!$B$11</f>
        <v>5</v>
      </c>
      <c r="C1293" s="15">
        <f>'Curvas SRY'!$E$9</f>
        <v>1</v>
      </c>
      <c r="D1293" s="14" t="str">
        <f>'Curvas SRY'!$B$14</f>
        <v>Uso variable</v>
      </c>
      <c r="E1293" s="14">
        <f>90</f>
        <v>90</v>
      </c>
      <c r="F1293" s="21">
        <f>'Hoja 4 - Cálculo'!A114</f>
        <v>32295</v>
      </c>
      <c r="G1293" s="15">
        <f>'Hoja 4 - Cálculo'!H114</f>
        <v>16.485749999999999</v>
      </c>
      <c r="H1293" s="15">
        <f>IF(D1293="Uso único",'Hoja 4 - Cálculo'!I114,IF(D1293="Uso múltiple",AVERAGE('Hoja 4 - Cálculo'!$I$25:$I$384)+AVERAGE('Hoja 4 - Cálculo'!$J$25:$J$384)+AVERAGE('Hoja 4 - Cálculo'!$K$25:$K$384),IF(D1293="Uso prioritario",'Hoja 4 - Cálculo'!I114+'Hoja 4 - Cálculo'!K114,'Hoja 4 - Cálculo'!I114+'Hoja 4 - Cálculo'!J114+'Hoja 4 - Cálculo'!K114)))</f>
        <v>11.5</v>
      </c>
      <c r="I1293" s="15">
        <f t="shared" si="292"/>
        <v>11.5</v>
      </c>
      <c r="J1293" s="15">
        <f t="shared" si="289"/>
        <v>5</v>
      </c>
      <c r="K1293" s="15">
        <f>MIN(J1293+G1293,(J1293+G1293)*'Hoja 4 - Cálculo'!$B$15)</f>
        <v>0.42971500000000001</v>
      </c>
      <c r="L1293" s="15">
        <f t="shared" si="293"/>
        <v>21.056034999999998</v>
      </c>
      <c r="M1293" s="15">
        <f t="shared" si="294"/>
        <v>11.5</v>
      </c>
      <c r="N1293" s="15">
        <f t="shared" si="295"/>
        <v>5</v>
      </c>
      <c r="O1293" s="15">
        <f t="shared" si="296"/>
        <v>4.5560349999999978</v>
      </c>
      <c r="P1293" s="15">
        <f t="shared" si="297"/>
        <v>0</v>
      </c>
      <c r="Q1293" s="14" t="str">
        <f>IF(M1293&gt;=I1293*'Hoja 4 - Cálculo'!$B$16,"Satisfactorio","Falla")</f>
        <v>Satisfactorio</v>
      </c>
      <c r="R1293" s="14">
        <f t="shared" si="290"/>
        <v>0</v>
      </c>
      <c r="S1293" s="14">
        <f t="shared" si="291"/>
        <v>0</v>
      </c>
    </row>
    <row r="1294" spans="1:19">
      <c r="A1294" s="14" t="str">
        <f t="shared" si="288"/>
        <v>SRY-4-2</v>
      </c>
      <c r="B1294" s="15">
        <f>'Curvas SRY'!$B$11</f>
        <v>5</v>
      </c>
      <c r="C1294" s="15">
        <f>'Curvas SRY'!$E$9</f>
        <v>1</v>
      </c>
      <c r="D1294" s="14" t="str">
        <f>'Curvas SRY'!$B$14</f>
        <v>Uso variable</v>
      </c>
      <c r="E1294" s="14">
        <f>91</f>
        <v>91</v>
      </c>
      <c r="F1294" s="21">
        <f>'Hoja 4 - Cálculo'!A115</f>
        <v>32325</v>
      </c>
      <c r="G1294" s="15">
        <f>'Hoja 4 - Cálculo'!H115</f>
        <v>13.827375</v>
      </c>
      <c r="H1294" s="15">
        <f>IF(D1294="Uso único",'Hoja 4 - Cálculo'!I115,IF(D1294="Uso múltiple",AVERAGE('Hoja 4 - Cálculo'!$I$25:$I$384)+AVERAGE('Hoja 4 - Cálculo'!$J$25:$J$384)+AVERAGE('Hoja 4 - Cálculo'!$K$25:$K$384),IF(D1294="Uso prioritario",'Hoja 4 - Cálculo'!I115+'Hoja 4 - Cálculo'!K115,'Hoja 4 - Cálculo'!I115+'Hoja 4 - Cálculo'!J115+'Hoja 4 - Cálculo'!K115)))</f>
        <v>16</v>
      </c>
      <c r="I1294" s="15">
        <f t="shared" si="292"/>
        <v>16</v>
      </c>
      <c r="J1294" s="15">
        <f t="shared" si="289"/>
        <v>5</v>
      </c>
      <c r="K1294" s="15">
        <f>MIN(J1294+G1294,(J1294+G1294)*'Hoja 4 - Cálculo'!$B$15)</f>
        <v>0.37654750000000003</v>
      </c>
      <c r="L1294" s="15">
        <f t="shared" si="293"/>
        <v>18.450827499999999</v>
      </c>
      <c r="M1294" s="15">
        <f t="shared" si="294"/>
        <v>16</v>
      </c>
      <c r="N1294" s="15">
        <f t="shared" si="295"/>
        <v>2.450827499999999</v>
      </c>
      <c r="O1294" s="15">
        <f t="shared" si="296"/>
        <v>0</v>
      </c>
      <c r="P1294" s="15">
        <f t="shared" si="297"/>
        <v>0</v>
      </c>
      <c r="Q1294" s="14" t="str">
        <f>IF(M1294&gt;=I1294*'Hoja 4 - Cálculo'!$B$16,"Satisfactorio","Falla")</f>
        <v>Satisfactorio</v>
      </c>
      <c r="R1294" s="14">
        <f t="shared" si="290"/>
        <v>0</v>
      </c>
      <c r="S1294" s="14">
        <f t="shared" si="291"/>
        <v>0</v>
      </c>
    </row>
    <row r="1295" spans="1:19">
      <c r="A1295" s="14" t="str">
        <f t="shared" si="288"/>
        <v>SRY-4-2</v>
      </c>
      <c r="B1295" s="15">
        <f>'Curvas SRY'!$B$11</f>
        <v>5</v>
      </c>
      <c r="C1295" s="15">
        <f>'Curvas SRY'!$E$9</f>
        <v>1</v>
      </c>
      <c r="D1295" s="14" t="str">
        <f>'Curvas SRY'!$B$14</f>
        <v>Uso variable</v>
      </c>
      <c r="E1295" s="14">
        <f>92</f>
        <v>92</v>
      </c>
      <c r="F1295" s="21">
        <f>'Hoja 4 - Cálculo'!A116</f>
        <v>32356</v>
      </c>
      <c r="G1295" s="15">
        <f>'Hoja 4 - Cálculo'!H116</f>
        <v>14.783625000000001</v>
      </c>
      <c r="H1295" s="15">
        <f>IF(D1295="Uso único",'Hoja 4 - Cálculo'!I116,IF(D1295="Uso múltiple",AVERAGE('Hoja 4 - Cálculo'!$I$25:$I$384)+AVERAGE('Hoja 4 - Cálculo'!$J$25:$J$384)+AVERAGE('Hoja 4 - Cálculo'!$K$25:$K$384),IF(D1295="Uso prioritario",'Hoja 4 - Cálculo'!I116+'Hoja 4 - Cálculo'!K116,'Hoja 4 - Cálculo'!I116+'Hoja 4 - Cálculo'!J116+'Hoja 4 - Cálculo'!K116)))</f>
        <v>16</v>
      </c>
      <c r="I1295" s="15">
        <f t="shared" si="292"/>
        <v>16</v>
      </c>
      <c r="J1295" s="15">
        <f t="shared" si="289"/>
        <v>2.450827499999999</v>
      </c>
      <c r="K1295" s="15">
        <f>MIN(J1295+G1295,(J1295+G1295)*'Hoja 4 - Cálculo'!$B$15)</f>
        <v>0.34468905</v>
      </c>
      <c r="L1295" s="15">
        <f t="shared" si="293"/>
        <v>16.88976345</v>
      </c>
      <c r="M1295" s="15">
        <f t="shared" si="294"/>
        <v>16</v>
      </c>
      <c r="N1295" s="15">
        <f t="shared" si="295"/>
        <v>0.88976345000000023</v>
      </c>
      <c r="O1295" s="15">
        <f t="shared" si="296"/>
        <v>0</v>
      </c>
      <c r="P1295" s="15">
        <f t="shared" si="297"/>
        <v>0</v>
      </c>
      <c r="Q1295" s="14" t="str">
        <f>IF(M1295&gt;=I1295*'Hoja 4 - Cálculo'!$B$16,"Satisfactorio","Falla")</f>
        <v>Satisfactorio</v>
      </c>
      <c r="R1295" s="14">
        <f t="shared" si="290"/>
        <v>0</v>
      </c>
      <c r="S1295" s="14">
        <f t="shared" si="291"/>
        <v>0</v>
      </c>
    </row>
    <row r="1296" spans="1:19">
      <c r="A1296" s="14" t="str">
        <f t="shared" si="288"/>
        <v>SRY-4-2</v>
      </c>
      <c r="B1296" s="15">
        <f>'Curvas SRY'!$B$11</f>
        <v>5</v>
      </c>
      <c r="C1296" s="15">
        <f>'Curvas SRY'!$E$9</f>
        <v>1</v>
      </c>
      <c r="D1296" s="14" t="str">
        <f>'Curvas SRY'!$B$14</f>
        <v>Uso variable</v>
      </c>
      <c r="E1296" s="14">
        <f>93</f>
        <v>93</v>
      </c>
      <c r="F1296" s="21">
        <f>'Hoja 4 - Cálculo'!A117</f>
        <v>32387</v>
      </c>
      <c r="G1296" s="15">
        <f>'Hoja 4 - Cálculo'!H117</f>
        <v>23.3325</v>
      </c>
      <c r="H1296" s="15">
        <f>IF(D1296="Uso único",'Hoja 4 - Cálculo'!I117,IF(D1296="Uso múltiple",AVERAGE('Hoja 4 - Cálculo'!$I$25:$I$384)+AVERAGE('Hoja 4 - Cálculo'!$J$25:$J$384)+AVERAGE('Hoja 4 - Cálculo'!$K$25:$K$384),IF(D1296="Uso prioritario",'Hoja 4 - Cálculo'!I117+'Hoja 4 - Cálculo'!K117,'Hoja 4 - Cálculo'!I117+'Hoja 4 - Cálculo'!J117+'Hoja 4 - Cálculo'!K117)))</f>
        <v>11.5</v>
      </c>
      <c r="I1296" s="15">
        <f t="shared" si="292"/>
        <v>11.5</v>
      </c>
      <c r="J1296" s="15">
        <f t="shared" si="289"/>
        <v>0.88976345000000023</v>
      </c>
      <c r="K1296" s="15">
        <f>MIN(J1296+G1296,(J1296+G1296)*'Hoja 4 - Cálculo'!$B$15)</f>
        <v>0.48444526900000001</v>
      </c>
      <c r="L1296" s="15">
        <f t="shared" si="293"/>
        <v>23.737818181000002</v>
      </c>
      <c r="M1296" s="15">
        <f t="shared" si="294"/>
        <v>11.5</v>
      </c>
      <c r="N1296" s="15">
        <f t="shared" si="295"/>
        <v>5</v>
      </c>
      <c r="O1296" s="15">
        <f t="shared" si="296"/>
        <v>7.2378181810000015</v>
      </c>
      <c r="P1296" s="15">
        <f t="shared" si="297"/>
        <v>0</v>
      </c>
      <c r="Q1296" s="14" t="str">
        <f>IF(M1296&gt;=I1296*'Hoja 4 - Cálculo'!$B$16,"Satisfactorio","Falla")</f>
        <v>Satisfactorio</v>
      </c>
      <c r="R1296" s="14">
        <f t="shared" si="290"/>
        <v>0</v>
      </c>
      <c r="S1296" s="14">
        <f t="shared" si="291"/>
        <v>0</v>
      </c>
    </row>
    <row r="1297" spans="1:19">
      <c r="A1297" s="14" t="str">
        <f t="shared" si="288"/>
        <v>SRY-4-2</v>
      </c>
      <c r="B1297" s="15">
        <f>'Curvas SRY'!$B$11</f>
        <v>5</v>
      </c>
      <c r="C1297" s="15">
        <f>'Curvas SRY'!$E$9</f>
        <v>1</v>
      </c>
      <c r="D1297" s="14" t="str">
        <f>'Curvas SRY'!$B$14</f>
        <v>Uso variable</v>
      </c>
      <c r="E1297" s="14">
        <f>94</f>
        <v>94</v>
      </c>
      <c r="F1297" s="21">
        <f>'Hoja 4 - Cálculo'!A118</f>
        <v>32417</v>
      </c>
      <c r="G1297" s="15">
        <f>'Hoja 4 - Cálculo'!H118</f>
        <v>32.015250000000002</v>
      </c>
      <c r="H1297" s="15">
        <f>IF(D1297="Uso único",'Hoja 4 - Cálculo'!I118,IF(D1297="Uso múltiple",AVERAGE('Hoja 4 - Cálculo'!$I$25:$I$384)+AVERAGE('Hoja 4 - Cálculo'!$J$25:$J$384)+AVERAGE('Hoja 4 - Cálculo'!$K$25:$K$384),IF(D1297="Uso prioritario",'Hoja 4 - Cálculo'!I118+'Hoja 4 - Cálculo'!K118,'Hoja 4 - Cálculo'!I118+'Hoja 4 - Cálculo'!J118+'Hoja 4 - Cálculo'!K118)))</f>
        <v>11.5</v>
      </c>
      <c r="I1297" s="15">
        <f t="shared" si="292"/>
        <v>11.5</v>
      </c>
      <c r="J1297" s="15">
        <f t="shared" si="289"/>
        <v>5</v>
      </c>
      <c r="K1297" s="15">
        <f>MIN(J1297+G1297,(J1297+G1297)*'Hoja 4 - Cálculo'!$B$15)</f>
        <v>0.7403050000000001</v>
      </c>
      <c r="L1297" s="15">
        <f t="shared" si="293"/>
        <v>36.274945000000002</v>
      </c>
      <c r="M1297" s="15">
        <f t="shared" si="294"/>
        <v>11.5</v>
      </c>
      <c r="N1297" s="15">
        <f t="shared" si="295"/>
        <v>5</v>
      </c>
      <c r="O1297" s="15">
        <f t="shared" si="296"/>
        <v>19.774945000000002</v>
      </c>
      <c r="P1297" s="15">
        <f t="shared" si="297"/>
        <v>0</v>
      </c>
      <c r="Q1297" s="14" t="str">
        <f>IF(M1297&gt;=I1297*'Hoja 4 - Cálculo'!$B$16,"Satisfactorio","Falla")</f>
        <v>Satisfactorio</v>
      </c>
      <c r="R1297" s="14">
        <f t="shared" si="290"/>
        <v>0</v>
      </c>
      <c r="S1297" s="14">
        <f t="shared" si="291"/>
        <v>0</v>
      </c>
    </row>
    <row r="1298" spans="1:19">
      <c r="A1298" s="14" t="str">
        <f t="shared" si="288"/>
        <v>SRY-4-2</v>
      </c>
      <c r="B1298" s="15">
        <f>'Curvas SRY'!$B$11</f>
        <v>5</v>
      </c>
      <c r="C1298" s="15">
        <f>'Curvas SRY'!$E$9</f>
        <v>1</v>
      </c>
      <c r="D1298" s="14" t="str">
        <f>'Curvas SRY'!$B$14</f>
        <v>Uso variable</v>
      </c>
      <c r="E1298" s="14">
        <f>95</f>
        <v>95</v>
      </c>
      <c r="F1298" s="21">
        <f>'Hoja 4 - Cálculo'!A119</f>
        <v>32448</v>
      </c>
      <c r="G1298" s="15">
        <f>'Hoja 4 - Cálculo'!H119</f>
        <v>25.876124999999998</v>
      </c>
      <c r="H1298" s="15">
        <f>IF(D1298="Uso único",'Hoja 4 - Cálculo'!I119,IF(D1298="Uso múltiple",AVERAGE('Hoja 4 - Cálculo'!$I$25:$I$384)+AVERAGE('Hoja 4 - Cálculo'!$J$25:$J$384)+AVERAGE('Hoja 4 - Cálculo'!$K$25:$K$384),IF(D1298="Uso prioritario",'Hoja 4 - Cálculo'!I119+'Hoja 4 - Cálculo'!K119,'Hoja 4 - Cálculo'!I119+'Hoja 4 - Cálculo'!J119+'Hoja 4 - Cálculo'!K119)))</f>
        <v>11.5</v>
      </c>
      <c r="I1298" s="15">
        <f t="shared" si="292"/>
        <v>11.5</v>
      </c>
      <c r="J1298" s="15">
        <f t="shared" si="289"/>
        <v>5</v>
      </c>
      <c r="K1298" s="15">
        <f>MIN(J1298+G1298,(J1298+G1298)*'Hoja 4 - Cálculo'!$B$15)</f>
        <v>0.61752249999999997</v>
      </c>
      <c r="L1298" s="15">
        <f t="shared" si="293"/>
        <v>30.258602499999999</v>
      </c>
      <c r="M1298" s="15">
        <f t="shared" si="294"/>
        <v>11.5</v>
      </c>
      <c r="N1298" s="15">
        <f t="shared" si="295"/>
        <v>5</v>
      </c>
      <c r="O1298" s="15">
        <f t="shared" si="296"/>
        <v>13.758602499999999</v>
      </c>
      <c r="P1298" s="15">
        <f t="shared" si="297"/>
        <v>0</v>
      </c>
      <c r="Q1298" s="14" t="str">
        <f>IF(M1298&gt;=I1298*'Hoja 4 - Cálculo'!$B$16,"Satisfactorio","Falla")</f>
        <v>Satisfactorio</v>
      </c>
      <c r="R1298" s="14">
        <f t="shared" si="290"/>
        <v>0</v>
      </c>
      <c r="S1298" s="14">
        <f t="shared" si="291"/>
        <v>0</v>
      </c>
    </row>
    <row r="1299" spans="1:19">
      <c r="A1299" s="14" t="str">
        <f t="shared" si="288"/>
        <v>SRY-4-2</v>
      </c>
      <c r="B1299" s="15">
        <f>'Curvas SRY'!$B$11</f>
        <v>5</v>
      </c>
      <c r="C1299" s="15">
        <f>'Curvas SRY'!$E$9</f>
        <v>1</v>
      </c>
      <c r="D1299" s="14" t="str">
        <f>'Curvas SRY'!$B$14</f>
        <v>Uso variable</v>
      </c>
      <c r="E1299" s="14">
        <f>96</f>
        <v>96</v>
      </c>
      <c r="F1299" s="21">
        <f>'Hoja 4 - Cálculo'!A120</f>
        <v>32478</v>
      </c>
      <c r="G1299" s="15">
        <f>'Hoja 4 - Cálculo'!H120</f>
        <v>16.218</v>
      </c>
      <c r="H1299" s="15">
        <f>IF(D1299="Uso único",'Hoja 4 - Cálculo'!I120,IF(D1299="Uso múltiple",AVERAGE('Hoja 4 - Cálculo'!$I$25:$I$384)+AVERAGE('Hoja 4 - Cálculo'!$J$25:$J$384)+AVERAGE('Hoja 4 - Cálculo'!$K$25:$K$384),IF(D1299="Uso prioritario",'Hoja 4 - Cálculo'!I120+'Hoja 4 - Cálculo'!K120,'Hoja 4 - Cálculo'!I120+'Hoja 4 - Cálculo'!J120+'Hoja 4 - Cálculo'!K120)))</f>
        <v>16</v>
      </c>
      <c r="I1299" s="15">
        <f t="shared" si="292"/>
        <v>16</v>
      </c>
      <c r="J1299" s="15">
        <f t="shared" si="289"/>
        <v>5</v>
      </c>
      <c r="K1299" s="15">
        <f>MIN(J1299+G1299,(J1299+G1299)*'Hoja 4 - Cálculo'!$B$15)</f>
        <v>0.42436000000000001</v>
      </c>
      <c r="L1299" s="15">
        <f t="shared" si="293"/>
        <v>20.79364</v>
      </c>
      <c r="M1299" s="15">
        <f t="shared" si="294"/>
        <v>16</v>
      </c>
      <c r="N1299" s="15">
        <f t="shared" si="295"/>
        <v>4.7936399999999999</v>
      </c>
      <c r="O1299" s="15">
        <f t="shared" si="296"/>
        <v>0</v>
      </c>
      <c r="P1299" s="15">
        <f t="shared" si="297"/>
        <v>0</v>
      </c>
      <c r="Q1299" s="14" t="str">
        <f>IF(M1299&gt;=I1299*'Hoja 4 - Cálculo'!$B$16,"Satisfactorio","Falla")</f>
        <v>Satisfactorio</v>
      </c>
      <c r="R1299" s="14">
        <f t="shared" si="290"/>
        <v>0</v>
      </c>
      <c r="S1299" s="14">
        <f t="shared" si="291"/>
        <v>0</v>
      </c>
    </row>
    <row r="1300" spans="1:19">
      <c r="A1300" s="14" t="str">
        <f t="shared" ref="A1300:A1323" si="298">"SRY-4-2"</f>
        <v>SRY-4-2</v>
      </c>
      <c r="B1300" s="15">
        <f>'Curvas SRY'!$B$11</f>
        <v>5</v>
      </c>
      <c r="C1300" s="15">
        <f>'Curvas SRY'!$E$9</f>
        <v>1</v>
      </c>
      <c r="D1300" s="14" t="str">
        <f>'Curvas SRY'!$B$14</f>
        <v>Uso variable</v>
      </c>
      <c r="E1300" s="14">
        <f>97</f>
        <v>97</v>
      </c>
      <c r="F1300" s="21">
        <f>'Hoja 4 - Cálculo'!A121</f>
        <v>32509</v>
      </c>
      <c r="G1300" s="15">
        <f>'Hoja 4 - Cálculo'!H121</f>
        <v>11.761875</v>
      </c>
      <c r="H1300" s="15">
        <f>IF(D1300="Uso único",'Hoja 4 - Cálculo'!I121,IF(D1300="Uso múltiple",AVERAGE('Hoja 4 - Cálculo'!$I$25:$I$384)+AVERAGE('Hoja 4 - Cálculo'!$J$25:$J$384)+AVERAGE('Hoja 4 - Cálculo'!$K$25:$K$384),IF(D1300="Uso prioritario",'Hoja 4 - Cálculo'!I121+'Hoja 4 - Cálculo'!K121,'Hoja 4 - Cálculo'!I121+'Hoja 4 - Cálculo'!J121+'Hoja 4 - Cálculo'!K121)))</f>
        <v>16</v>
      </c>
      <c r="I1300" s="15">
        <f t="shared" si="292"/>
        <v>16</v>
      </c>
      <c r="J1300" s="15">
        <f t="shared" si="289"/>
        <v>4.7936399999999999</v>
      </c>
      <c r="K1300" s="15">
        <f>MIN(J1300+G1300,(J1300+G1300)*'Hoja 4 - Cálculo'!$B$15)</f>
        <v>0.33111030000000002</v>
      </c>
      <c r="L1300" s="15">
        <f t="shared" si="293"/>
        <v>16.224404700000001</v>
      </c>
      <c r="M1300" s="15">
        <f t="shared" si="294"/>
        <v>16</v>
      </c>
      <c r="N1300" s="15">
        <f t="shared" si="295"/>
        <v>0.2244047000000009</v>
      </c>
      <c r="O1300" s="15">
        <f t="shared" si="296"/>
        <v>0</v>
      </c>
      <c r="P1300" s="15">
        <f t="shared" si="297"/>
        <v>0</v>
      </c>
      <c r="Q1300" s="14" t="str">
        <f>IF(M1300&gt;=I1300*'Hoja 4 - Cálculo'!$B$16,"Satisfactorio","Falla")</f>
        <v>Satisfactorio</v>
      </c>
      <c r="R1300" s="14">
        <f t="shared" si="290"/>
        <v>0</v>
      </c>
      <c r="S1300" s="14">
        <f t="shared" si="291"/>
        <v>0</v>
      </c>
    </row>
    <row r="1301" spans="1:19">
      <c r="A1301" s="14" t="str">
        <f t="shared" si="298"/>
        <v>SRY-4-2</v>
      </c>
      <c r="B1301" s="15">
        <f>'Curvas SRY'!$B$11</f>
        <v>5</v>
      </c>
      <c r="C1301" s="15">
        <f>'Curvas SRY'!$E$9</f>
        <v>1</v>
      </c>
      <c r="D1301" s="14" t="str">
        <f>'Curvas SRY'!$B$14</f>
        <v>Uso variable</v>
      </c>
      <c r="E1301" s="14">
        <f>98</f>
        <v>98</v>
      </c>
      <c r="F1301" s="21">
        <f>'Hoja 4 - Cálculo'!A122</f>
        <v>32540</v>
      </c>
      <c r="G1301" s="15">
        <f>'Hoja 4 - Cálculo'!H122</f>
        <v>12.43125</v>
      </c>
      <c r="H1301" s="15">
        <f>IF(D1301="Uso único",'Hoja 4 - Cálculo'!I122,IF(D1301="Uso múltiple",AVERAGE('Hoja 4 - Cálculo'!$I$25:$I$384)+AVERAGE('Hoja 4 - Cálculo'!$J$25:$J$384)+AVERAGE('Hoja 4 - Cálculo'!$K$25:$K$384),IF(D1301="Uso prioritario",'Hoja 4 - Cálculo'!I122+'Hoja 4 - Cálculo'!K122,'Hoja 4 - Cálculo'!I122+'Hoja 4 - Cálculo'!J122+'Hoja 4 - Cálculo'!K122)))</f>
        <v>16</v>
      </c>
      <c r="I1301" s="15">
        <f t="shared" si="292"/>
        <v>16</v>
      </c>
      <c r="J1301" s="15">
        <f t="shared" ref="J1301:J1323" si="299">N1300</f>
        <v>0.2244047000000009</v>
      </c>
      <c r="K1301" s="15">
        <f>MIN(J1301+G1301,(J1301+G1301)*'Hoja 4 - Cálculo'!$B$15)</f>
        <v>0.25311309400000004</v>
      </c>
      <c r="L1301" s="15">
        <f t="shared" si="293"/>
        <v>12.402541606000002</v>
      </c>
      <c r="M1301" s="15">
        <f t="shared" si="294"/>
        <v>12.402541606000002</v>
      </c>
      <c r="N1301" s="15">
        <f t="shared" si="295"/>
        <v>0</v>
      </c>
      <c r="O1301" s="15">
        <f t="shared" si="296"/>
        <v>0</v>
      </c>
      <c r="P1301" s="15">
        <f t="shared" si="297"/>
        <v>3.5974583939999984</v>
      </c>
      <c r="Q1301" s="14" t="str">
        <f>IF(M1301&gt;=I1301*'Hoja 4 - Cálculo'!$B$16,"Satisfactorio","Falla")</f>
        <v>Falla</v>
      </c>
      <c r="R1301" s="14">
        <f t="shared" ref="R1301:R1332" si="300">IF(AND(Q1300="Falla",Q1301="Satisfactorio"),1,0)</f>
        <v>0</v>
      </c>
      <c r="S1301" s="14">
        <f t="shared" ref="S1301:S1323" si="301">IF(AND(Q1301="Falla",Q1300&lt;&gt;"Falla"),1,0)</f>
        <v>1</v>
      </c>
    </row>
    <row r="1302" spans="1:19">
      <c r="A1302" s="14" t="str">
        <f t="shared" si="298"/>
        <v>SRY-4-2</v>
      </c>
      <c r="B1302" s="15">
        <f>'Curvas SRY'!$B$11</f>
        <v>5</v>
      </c>
      <c r="C1302" s="15">
        <f>'Curvas SRY'!$E$9</f>
        <v>1</v>
      </c>
      <c r="D1302" s="14" t="str">
        <f>'Curvas SRY'!$B$14</f>
        <v>Uso variable</v>
      </c>
      <c r="E1302" s="14">
        <f>99</f>
        <v>99</v>
      </c>
      <c r="F1302" s="21">
        <f>'Hoja 4 - Cálculo'!A123</f>
        <v>32568</v>
      </c>
      <c r="G1302" s="15">
        <f>'Hoja 4 - Cálculo'!H123</f>
        <v>19.717874999999999</v>
      </c>
      <c r="H1302" s="15">
        <f>IF(D1302="Uso único",'Hoja 4 - Cálculo'!I123,IF(D1302="Uso múltiple",AVERAGE('Hoja 4 - Cálculo'!$I$25:$I$384)+AVERAGE('Hoja 4 - Cálculo'!$J$25:$J$384)+AVERAGE('Hoja 4 - Cálculo'!$K$25:$K$384),IF(D1302="Uso prioritario",'Hoja 4 - Cálculo'!I123+'Hoja 4 - Cálculo'!K123,'Hoja 4 - Cálculo'!I123+'Hoja 4 - Cálculo'!J123+'Hoja 4 - Cálculo'!K123)))</f>
        <v>16</v>
      </c>
      <c r="I1302" s="15">
        <f t="shared" si="292"/>
        <v>16</v>
      </c>
      <c r="J1302" s="15">
        <f t="shared" si="299"/>
        <v>0</v>
      </c>
      <c r="K1302" s="15">
        <f>MIN(J1302+G1302,(J1302+G1302)*'Hoja 4 - Cálculo'!$B$15)</f>
        <v>0.39435749999999997</v>
      </c>
      <c r="L1302" s="15">
        <f t="shared" si="293"/>
        <v>19.323517499999998</v>
      </c>
      <c r="M1302" s="15">
        <f t="shared" si="294"/>
        <v>16</v>
      </c>
      <c r="N1302" s="15">
        <f t="shared" si="295"/>
        <v>3.3235174999999977</v>
      </c>
      <c r="O1302" s="15">
        <f t="shared" si="296"/>
        <v>0</v>
      </c>
      <c r="P1302" s="15">
        <f t="shared" si="297"/>
        <v>0</v>
      </c>
      <c r="Q1302" s="14" t="str">
        <f>IF(M1302&gt;=I1302*'Hoja 4 - Cálculo'!$B$16,"Satisfactorio","Falla")</f>
        <v>Satisfactorio</v>
      </c>
      <c r="R1302" s="14">
        <f t="shared" si="300"/>
        <v>1</v>
      </c>
      <c r="S1302" s="14">
        <f t="shared" si="301"/>
        <v>0</v>
      </c>
    </row>
    <row r="1303" spans="1:19">
      <c r="A1303" s="14" t="str">
        <f t="shared" si="298"/>
        <v>SRY-4-2</v>
      </c>
      <c r="B1303" s="15">
        <f>'Curvas SRY'!$B$11</f>
        <v>5</v>
      </c>
      <c r="C1303" s="15">
        <f>'Curvas SRY'!$E$9</f>
        <v>1</v>
      </c>
      <c r="D1303" s="14" t="str">
        <f>'Curvas SRY'!$B$14</f>
        <v>Uso variable</v>
      </c>
      <c r="E1303" s="14">
        <f>100</f>
        <v>100</v>
      </c>
      <c r="F1303" s="21">
        <f>'Hoja 4 - Cálculo'!A124</f>
        <v>32599</v>
      </c>
      <c r="G1303" s="15">
        <f>'Hoja 4 - Cálculo'!H124</f>
        <v>26.029125000000001</v>
      </c>
      <c r="H1303" s="15">
        <f>IF(D1303="Uso único",'Hoja 4 - Cálculo'!I124,IF(D1303="Uso múltiple",AVERAGE('Hoja 4 - Cálculo'!$I$25:$I$384)+AVERAGE('Hoja 4 - Cálculo'!$J$25:$J$384)+AVERAGE('Hoja 4 - Cálculo'!$K$25:$K$384),IF(D1303="Uso prioritario",'Hoja 4 - Cálculo'!I124+'Hoja 4 - Cálculo'!K124,'Hoja 4 - Cálculo'!I124+'Hoja 4 - Cálculo'!J124+'Hoja 4 - Cálculo'!K124)))</f>
        <v>11.5</v>
      </c>
      <c r="I1303" s="15">
        <f t="shared" si="292"/>
        <v>11.5</v>
      </c>
      <c r="J1303" s="15">
        <f t="shared" si="299"/>
        <v>3.3235174999999977</v>
      </c>
      <c r="K1303" s="15">
        <f>MIN(J1303+G1303,(J1303+G1303)*'Hoja 4 - Cálculo'!$B$15)</f>
        <v>0.58705284999999996</v>
      </c>
      <c r="L1303" s="15">
        <f t="shared" si="293"/>
        <v>28.765589649999999</v>
      </c>
      <c r="M1303" s="15">
        <f t="shared" si="294"/>
        <v>11.5</v>
      </c>
      <c r="N1303" s="15">
        <f t="shared" si="295"/>
        <v>5</v>
      </c>
      <c r="O1303" s="15">
        <f t="shared" si="296"/>
        <v>12.265589649999999</v>
      </c>
      <c r="P1303" s="15">
        <f t="shared" si="297"/>
        <v>0</v>
      </c>
      <c r="Q1303" s="14" t="str">
        <f>IF(M1303&gt;=I1303*'Hoja 4 - Cálculo'!$B$16,"Satisfactorio","Falla")</f>
        <v>Satisfactorio</v>
      </c>
      <c r="R1303" s="14">
        <f t="shared" si="300"/>
        <v>0</v>
      </c>
      <c r="S1303" s="14">
        <f t="shared" si="301"/>
        <v>0</v>
      </c>
    </row>
    <row r="1304" spans="1:19">
      <c r="A1304" s="14" t="str">
        <f t="shared" si="298"/>
        <v>SRY-4-2</v>
      </c>
      <c r="B1304" s="15">
        <f>'Curvas SRY'!$B$11</f>
        <v>5</v>
      </c>
      <c r="C1304" s="15">
        <f>'Curvas SRY'!$E$9</f>
        <v>1</v>
      </c>
      <c r="D1304" s="14" t="str">
        <f>'Curvas SRY'!$B$14</f>
        <v>Uso variable</v>
      </c>
      <c r="E1304" s="14">
        <f>101</f>
        <v>101</v>
      </c>
      <c r="F1304" s="21">
        <f>'Hoja 4 - Cálculo'!A125</f>
        <v>32629</v>
      </c>
      <c r="G1304" s="15">
        <f>'Hoja 4 - Cálculo'!H125</f>
        <v>24.728625000000005</v>
      </c>
      <c r="H1304" s="15">
        <f>IF(D1304="Uso único",'Hoja 4 - Cálculo'!I125,IF(D1304="Uso múltiple",AVERAGE('Hoja 4 - Cálculo'!$I$25:$I$384)+AVERAGE('Hoja 4 - Cálculo'!$J$25:$J$384)+AVERAGE('Hoja 4 - Cálculo'!$K$25:$K$384),IF(D1304="Uso prioritario",'Hoja 4 - Cálculo'!I125+'Hoja 4 - Cálculo'!K125,'Hoja 4 - Cálculo'!I125+'Hoja 4 - Cálculo'!J125+'Hoja 4 - Cálculo'!K125)))</f>
        <v>11.5</v>
      </c>
      <c r="I1304" s="15">
        <f t="shared" si="292"/>
        <v>11.5</v>
      </c>
      <c r="J1304" s="15">
        <f t="shared" si="299"/>
        <v>5</v>
      </c>
      <c r="K1304" s="15">
        <f>MIN(J1304+G1304,(J1304+G1304)*'Hoja 4 - Cálculo'!$B$15)</f>
        <v>0.59457250000000006</v>
      </c>
      <c r="L1304" s="15">
        <f t="shared" si="293"/>
        <v>29.134052500000003</v>
      </c>
      <c r="M1304" s="15">
        <f t="shared" si="294"/>
        <v>11.5</v>
      </c>
      <c r="N1304" s="15">
        <f t="shared" si="295"/>
        <v>5</v>
      </c>
      <c r="O1304" s="15">
        <f t="shared" si="296"/>
        <v>12.634052500000003</v>
      </c>
      <c r="P1304" s="15">
        <f t="shared" si="297"/>
        <v>0</v>
      </c>
      <c r="Q1304" s="14" t="str">
        <f>IF(M1304&gt;=I1304*'Hoja 4 - Cálculo'!$B$16,"Satisfactorio","Falla")</f>
        <v>Satisfactorio</v>
      </c>
      <c r="R1304" s="14">
        <f t="shared" si="300"/>
        <v>0</v>
      </c>
      <c r="S1304" s="14">
        <f t="shared" si="301"/>
        <v>0</v>
      </c>
    </row>
    <row r="1305" spans="1:19">
      <c r="A1305" s="14" t="str">
        <f t="shared" si="298"/>
        <v>SRY-4-2</v>
      </c>
      <c r="B1305" s="15">
        <f>'Curvas SRY'!$B$11</f>
        <v>5</v>
      </c>
      <c r="C1305" s="15">
        <f>'Curvas SRY'!$E$9</f>
        <v>1</v>
      </c>
      <c r="D1305" s="14" t="str">
        <f>'Curvas SRY'!$B$14</f>
        <v>Uso variable</v>
      </c>
      <c r="E1305" s="14">
        <f>102</f>
        <v>102</v>
      </c>
      <c r="F1305" s="21">
        <f>'Hoja 4 - Cálculo'!A126</f>
        <v>32660</v>
      </c>
      <c r="G1305" s="15">
        <f>'Hoja 4 - Cálculo'!H126</f>
        <v>14.515874999999999</v>
      </c>
      <c r="H1305" s="15">
        <f>IF(D1305="Uso único",'Hoja 4 - Cálculo'!I126,IF(D1305="Uso múltiple",AVERAGE('Hoja 4 - Cálculo'!$I$25:$I$384)+AVERAGE('Hoja 4 - Cálculo'!$J$25:$J$384)+AVERAGE('Hoja 4 - Cálculo'!$K$25:$K$384),IF(D1305="Uso prioritario",'Hoja 4 - Cálculo'!I126+'Hoja 4 - Cálculo'!K126,'Hoja 4 - Cálculo'!I126+'Hoja 4 - Cálculo'!J126+'Hoja 4 - Cálculo'!K126)))</f>
        <v>11.5</v>
      </c>
      <c r="I1305" s="15">
        <f t="shared" si="292"/>
        <v>11.5</v>
      </c>
      <c r="J1305" s="15">
        <f t="shared" si="299"/>
        <v>5</v>
      </c>
      <c r="K1305" s="15">
        <f>MIN(J1305+G1305,(J1305+G1305)*'Hoja 4 - Cálculo'!$B$15)</f>
        <v>0.39031750000000004</v>
      </c>
      <c r="L1305" s="15">
        <f t="shared" si="293"/>
        <v>19.125557500000003</v>
      </c>
      <c r="M1305" s="15">
        <f t="shared" si="294"/>
        <v>11.5</v>
      </c>
      <c r="N1305" s="15">
        <f t="shared" si="295"/>
        <v>5</v>
      </c>
      <c r="O1305" s="15">
        <f t="shared" si="296"/>
        <v>2.6255575000000029</v>
      </c>
      <c r="P1305" s="15">
        <f t="shared" si="297"/>
        <v>0</v>
      </c>
      <c r="Q1305" s="14" t="str">
        <f>IF(M1305&gt;=I1305*'Hoja 4 - Cálculo'!$B$16,"Satisfactorio","Falla")</f>
        <v>Satisfactorio</v>
      </c>
      <c r="R1305" s="14">
        <f t="shared" si="300"/>
        <v>0</v>
      </c>
      <c r="S1305" s="14">
        <f t="shared" si="301"/>
        <v>0</v>
      </c>
    </row>
    <row r="1306" spans="1:19">
      <c r="A1306" s="14" t="str">
        <f t="shared" si="298"/>
        <v>SRY-4-2</v>
      </c>
      <c r="B1306" s="15">
        <f>'Curvas SRY'!$B$11</f>
        <v>5</v>
      </c>
      <c r="C1306" s="15">
        <f>'Curvas SRY'!$E$9</f>
        <v>1</v>
      </c>
      <c r="D1306" s="14" t="str">
        <f>'Curvas SRY'!$B$14</f>
        <v>Uso variable</v>
      </c>
      <c r="E1306" s="14">
        <f>103</f>
        <v>103</v>
      </c>
      <c r="F1306" s="21">
        <f>'Hoja 4 - Cálculo'!A127</f>
        <v>32690</v>
      </c>
      <c r="G1306" s="15">
        <f>'Hoja 4 - Cálculo'!H127</f>
        <v>12.144375</v>
      </c>
      <c r="H1306" s="15">
        <f>IF(D1306="Uso único",'Hoja 4 - Cálculo'!I127,IF(D1306="Uso múltiple",AVERAGE('Hoja 4 - Cálculo'!$I$25:$I$384)+AVERAGE('Hoja 4 - Cálculo'!$J$25:$J$384)+AVERAGE('Hoja 4 - Cálculo'!$K$25:$K$384),IF(D1306="Uso prioritario",'Hoja 4 - Cálculo'!I127+'Hoja 4 - Cálculo'!K127,'Hoja 4 - Cálculo'!I127+'Hoja 4 - Cálculo'!J127+'Hoja 4 - Cálculo'!K127)))</f>
        <v>16</v>
      </c>
      <c r="I1306" s="15">
        <f t="shared" si="292"/>
        <v>16</v>
      </c>
      <c r="J1306" s="15">
        <f t="shared" si="299"/>
        <v>5</v>
      </c>
      <c r="K1306" s="15">
        <f>MIN(J1306+G1306,(J1306+G1306)*'Hoja 4 - Cálculo'!$B$15)</f>
        <v>0.34288750000000001</v>
      </c>
      <c r="L1306" s="15">
        <f t="shared" si="293"/>
        <v>16.8014875</v>
      </c>
      <c r="M1306" s="15">
        <f t="shared" si="294"/>
        <v>16</v>
      </c>
      <c r="N1306" s="15">
        <f t="shared" si="295"/>
        <v>0.80148750000000035</v>
      </c>
      <c r="O1306" s="15">
        <f t="shared" si="296"/>
        <v>0</v>
      </c>
      <c r="P1306" s="15">
        <f t="shared" si="297"/>
        <v>0</v>
      </c>
      <c r="Q1306" s="14" t="str">
        <f>IF(M1306&gt;=I1306*'Hoja 4 - Cálculo'!$B$16,"Satisfactorio","Falla")</f>
        <v>Satisfactorio</v>
      </c>
      <c r="R1306" s="14">
        <f t="shared" si="300"/>
        <v>0</v>
      </c>
      <c r="S1306" s="14">
        <f t="shared" si="301"/>
        <v>0</v>
      </c>
    </row>
    <row r="1307" spans="1:19">
      <c r="A1307" s="14" t="str">
        <f t="shared" si="298"/>
        <v>SRY-4-2</v>
      </c>
      <c r="B1307" s="15">
        <f>'Curvas SRY'!$B$11</f>
        <v>5</v>
      </c>
      <c r="C1307" s="15">
        <f>'Curvas SRY'!$E$9</f>
        <v>1</v>
      </c>
      <c r="D1307" s="14" t="str">
        <f>'Curvas SRY'!$B$14</f>
        <v>Uso variable</v>
      </c>
      <c r="E1307" s="14">
        <f>104</f>
        <v>104</v>
      </c>
      <c r="F1307" s="21">
        <f>'Hoja 4 - Cálculo'!A128</f>
        <v>32721</v>
      </c>
      <c r="G1307" s="15">
        <f>'Hoja 4 - Cálculo'!H128</f>
        <v>13.04325</v>
      </c>
      <c r="H1307" s="15">
        <f>IF(D1307="Uso único",'Hoja 4 - Cálculo'!I128,IF(D1307="Uso múltiple",AVERAGE('Hoja 4 - Cálculo'!$I$25:$I$384)+AVERAGE('Hoja 4 - Cálculo'!$J$25:$J$384)+AVERAGE('Hoja 4 - Cálculo'!$K$25:$K$384),IF(D1307="Uso prioritario",'Hoja 4 - Cálculo'!I128+'Hoja 4 - Cálculo'!K128,'Hoja 4 - Cálculo'!I128+'Hoja 4 - Cálculo'!J128+'Hoja 4 - Cálculo'!K128)))</f>
        <v>16</v>
      </c>
      <c r="I1307" s="15">
        <f t="shared" si="292"/>
        <v>16</v>
      </c>
      <c r="J1307" s="15">
        <f t="shared" si="299"/>
        <v>0.80148750000000035</v>
      </c>
      <c r="K1307" s="15">
        <f>MIN(J1307+G1307,(J1307+G1307)*'Hoja 4 - Cálculo'!$B$15)</f>
        <v>0.27689475000000002</v>
      </c>
      <c r="L1307" s="15">
        <f t="shared" si="293"/>
        <v>13.567842750000001</v>
      </c>
      <c r="M1307" s="15">
        <f t="shared" si="294"/>
        <v>13.567842750000001</v>
      </c>
      <c r="N1307" s="15">
        <f t="shared" si="295"/>
        <v>0</v>
      </c>
      <c r="O1307" s="15">
        <f t="shared" si="296"/>
        <v>0</v>
      </c>
      <c r="P1307" s="15">
        <f t="shared" si="297"/>
        <v>2.4321572499999995</v>
      </c>
      <c r="Q1307" s="14" t="str">
        <f>IF(M1307&gt;=I1307*'Hoja 4 - Cálculo'!$B$16,"Satisfactorio","Falla")</f>
        <v>Falla</v>
      </c>
      <c r="R1307" s="14">
        <f t="shared" si="300"/>
        <v>0</v>
      </c>
      <c r="S1307" s="14">
        <f t="shared" si="301"/>
        <v>1</v>
      </c>
    </row>
    <row r="1308" spans="1:19">
      <c r="A1308" s="14" t="str">
        <f t="shared" si="298"/>
        <v>SRY-4-2</v>
      </c>
      <c r="B1308" s="15">
        <f>'Curvas SRY'!$B$11</f>
        <v>5</v>
      </c>
      <c r="C1308" s="15">
        <f>'Curvas SRY'!$E$9</f>
        <v>1</v>
      </c>
      <c r="D1308" s="14" t="str">
        <f>'Curvas SRY'!$B$14</f>
        <v>Uso variable</v>
      </c>
      <c r="E1308" s="14">
        <f>105</f>
        <v>105</v>
      </c>
      <c r="F1308" s="21">
        <f>'Hoja 4 - Cálculo'!A129</f>
        <v>32752</v>
      </c>
      <c r="G1308" s="15">
        <f>'Hoja 4 - Cálculo'!H129</f>
        <v>20.444624999999998</v>
      </c>
      <c r="H1308" s="15">
        <f>IF(D1308="Uso único",'Hoja 4 - Cálculo'!I129,IF(D1308="Uso múltiple",AVERAGE('Hoja 4 - Cálculo'!$I$25:$I$384)+AVERAGE('Hoja 4 - Cálculo'!$J$25:$J$384)+AVERAGE('Hoja 4 - Cálculo'!$K$25:$K$384),IF(D1308="Uso prioritario",'Hoja 4 - Cálculo'!I129+'Hoja 4 - Cálculo'!K129,'Hoja 4 - Cálculo'!I129+'Hoja 4 - Cálculo'!J129+'Hoja 4 - Cálculo'!K129)))</f>
        <v>11.5</v>
      </c>
      <c r="I1308" s="15">
        <f t="shared" si="292"/>
        <v>11.5</v>
      </c>
      <c r="J1308" s="15">
        <f t="shared" si="299"/>
        <v>0</v>
      </c>
      <c r="K1308" s="15">
        <f>MIN(J1308+G1308,(J1308+G1308)*'Hoja 4 - Cálculo'!$B$15)</f>
        <v>0.40889249999999999</v>
      </c>
      <c r="L1308" s="15">
        <f t="shared" si="293"/>
        <v>20.035732499999998</v>
      </c>
      <c r="M1308" s="15">
        <f t="shared" si="294"/>
        <v>11.5</v>
      </c>
      <c r="N1308" s="15">
        <f t="shared" si="295"/>
        <v>5</v>
      </c>
      <c r="O1308" s="15">
        <f t="shared" si="296"/>
        <v>3.5357324999999982</v>
      </c>
      <c r="P1308" s="15">
        <f t="shared" si="297"/>
        <v>0</v>
      </c>
      <c r="Q1308" s="14" t="str">
        <f>IF(M1308&gt;=I1308*'Hoja 4 - Cálculo'!$B$16,"Satisfactorio","Falla")</f>
        <v>Satisfactorio</v>
      </c>
      <c r="R1308" s="14">
        <f t="shared" si="300"/>
        <v>1</v>
      </c>
      <c r="S1308" s="14">
        <f t="shared" si="301"/>
        <v>0</v>
      </c>
    </row>
    <row r="1309" spans="1:19">
      <c r="A1309" s="14" t="str">
        <f t="shared" si="298"/>
        <v>SRY-4-2</v>
      </c>
      <c r="B1309" s="15">
        <f>'Curvas SRY'!$B$11</f>
        <v>5</v>
      </c>
      <c r="C1309" s="15">
        <f>'Curvas SRY'!$E$9</f>
        <v>1</v>
      </c>
      <c r="D1309" s="14" t="str">
        <f>'Curvas SRY'!$B$14</f>
        <v>Uso variable</v>
      </c>
      <c r="E1309" s="14">
        <f>106</f>
        <v>106</v>
      </c>
      <c r="F1309" s="21">
        <f>'Hoja 4 - Cálculo'!A130</f>
        <v>32782</v>
      </c>
      <c r="G1309" s="15">
        <f>'Hoja 4 - Cálculo'!H130</f>
        <v>28.343250000000001</v>
      </c>
      <c r="H1309" s="15">
        <f>IF(D1309="Uso único",'Hoja 4 - Cálculo'!I130,IF(D1309="Uso múltiple",AVERAGE('Hoja 4 - Cálculo'!$I$25:$I$384)+AVERAGE('Hoja 4 - Cálculo'!$J$25:$J$384)+AVERAGE('Hoja 4 - Cálculo'!$K$25:$K$384),IF(D1309="Uso prioritario",'Hoja 4 - Cálculo'!I130+'Hoja 4 - Cálculo'!K130,'Hoja 4 - Cálculo'!I130+'Hoja 4 - Cálculo'!J130+'Hoja 4 - Cálculo'!K130)))</f>
        <v>11.5</v>
      </c>
      <c r="I1309" s="15">
        <f t="shared" si="292"/>
        <v>11.5</v>
      </c>
      <c r="J1309" s="15">
        <f t="shared" si="299"/>
        <v>5</v>
      </c>
      <c r="K1309" s="15">
        <f>MIN(J1309+G1309,(J1309+G1309)*'Hoja 4 - Cálculo'!$B$15)</f>
        <v>0.66686499999999993</v>
      </c>
      <c r="L1309" s="15">
        <f t="shared" si="293"/>
        <v>32.676384999999996</v>
      </c>
      <c r="M1309" s="15">
        <f t="shared" si="294"/>
        <v>11.5</v>
      </c>
      <c r="N1309" s="15">
        <f t="shared" si="295"/>
        <v>5</v>
      </c>
      <c r="O1309" s="15">
        <f t="shared" si="296"/>
        <v>16.176384999999996</v>
      </c>
      <c r="P1309" s="15">
        <f t="shared" si="297"/>
        <v>0</v>
      </c>
      <c r="Q1309" s="14" t="str">
        <f>IF(M1309&gt;=I1309*'Hoja 4 - Cálculo'!$B$16,"Satisfactorio","Falla")</f>
        <v>Satisfactorio</v>
      </c>
      <c r="R1309" s="14">
        <f t="shared" si="300"/>
        <v>0</v>
      </c>
      <c r="S1309" s="14">
        <f t="shared" si="301"/>
        <v>0</v>
      </c>
    </row>
    <row r="1310" spans="1:19">
      <c r="A1310" s="14" t="str">
        <f t="shared" si="298"/>
        <v>SRY-4-2</v>
      </c>
      <c r="B1310" s="15">
        <f>'Curvas SRY'!$B$11</f>
        <v>5</v>
      </c>
      <c r="C1310" s="15">
        <f>'Curvas SRY'!$E$9</f>
        <v>1</v>
      </c>
      <c r="D1310" s="14" t="str">
        <f>'Curvas SRY'!$B$14</f>
        <v>Uso variable</v>
      </c>
      <c r="E1310" s="14">
        <f>107</f>
        <v>107</v>
      </c>
      <c r="F1310" s="21">
        <f>'Hoja 4 - Cálculo'!A131</f>
        <v>32813</v>
      </c>
      <c r="G1310" s="15">
        <f>'Hoja 4 - Cálculo'!H131</f>
        <v>22.60575</v>
      </c>
      <c r="H1310" s="15">
        <f>IF(D1310="Uso único",'Hoja 4 - Cálculo'!I131,IF(D1310="Uso múltiple",AVERAGE('Hoja 4 - Cálculo'!$I$25:$I$384)+AVERAGE('Hoja 4 - Cálculo'!$J$25:$J$384)+AVERAGE('Hoja 4 - Cálculo'!$K$25:$K$384),IF(D1310="Uso prioritario",'Hoja 4 - Cálculo'!I131+'Hoja 4 - Cálculo'!K131,'Hoja 4 - Cálculo'!I131+'Hoja 4 - Cálculo'!J131+'Hoja 4 - Cálculo'!K131)))</f>
        <v>11.5</v>
      </c>
      <c r="I1310" s="15">
        <f t="shared" si="292"/>
        <v>11.5</v>
      </c>
      <c r="J1310" s="15">
        <f t="shared" si="299"/>
        <v>5</v>
      </c>
      <c r="K1310" s="15">
        <f>MIN(J1310+G1310,(J1310+G1310)*'Hoja 4 - Cálculo'!$B$15)</f>
        <v>0.55211500000000002</v>
      </c>
      <c r="L1310" s="15">
        <f t="shared" si="293"/>
        <v>27.053635</v>
      </c>
      <c r="M1310" s="15">
        <f t="shared" si="294"/>
        <v>11.5</v>
      </c>
      <c r="N1310" s="15">
        <f t="shared" si="295"/>
        <v>5</v>
      </c>
      <c r="O1310" s="15">
        <f t="shared" si="296"/>
        <v>10.553635</v>
      </c>
      <c r="P1310" s="15">
        <f t="shared" si="297"/>
        <v>0</v>
      </c>
      <c r="Q1310" s="14" t="str">
        <f>IF(M1310&gt;=I1310*'Hoja 4 - Cálculo'!$B$16,"Satisfactorio","Falla")</f>
        <v>Satisfactorio</v>
      </c>
      <c r="R1310" s="14">
        <f t="shared" si="300"/>
        <v>0</v>
      </c>
      <c r="S1310" s="14">
        <f t="shared" si="301"/>
        <v>0</v>
      </c>
    </row>
    <row r="1311" spans="1:19">
      <c r="A1311" s="14" t="str">
        <f t="shared" si="298"/>
        <v>SRY-4-2</v>
      </c>
      <c r="B1311" s="15">
        <f>'Curvas SRY'!$B$11</f>
        <v>5</v>
      </c>
      <c r="C1311" s="15">
        <f>'Curvas SRY'!$E$9</f>
        <v>1</v>
      </c>
      <c r="D1311" s="14" t="str">
        <f>'Curvas SRY'!$B$14</f>
        <v>Uso variable</v>
      </c>
      <c r="E1311" s="14">
        <f>108</f>
        <v>108</v>
      </c>
      <c r="F1311" s="21">
        <f>'Hoja 4 - Cálculo'!A132</f>
        <v>32843</v>
      </c>
      <c r="G1311" s="15">
        <f>'Hoja 4 - Cálculo'!H132</f>
        <v>14.362875000000001</v>
      </c>
      <c r="H1311" s="15">
        <f>IF(D1311="Uso único",'Hoja 4 - Cálculo'!I132,IF(D1311="Uso múltiple",AVERAGE('Hoja 4 - Cálculo'!$I$25:$I$384)+AVERAGE('Hoja 4 - Cálculo'!$J$25:$J$384)+AVERAGE('Hoja 4 - Cálculo'!$K$25:$K$384),IF(D1311="Uso prioritario",'Hoja 4 - Cálculo'!I132+'Hoja 4 - Cálculo'!K132,'Hoja 4 - Cálculo'!I132+'Hoja 4 - Cálculo'!J132+'Hoja 4 - Cálculo'!K132)))</f>
        <v>16</v>
      </c>
      <c r="I1311" s="15">
        <f t="shared" si="292"/>
        <v>16</v>
      </c>
      <c r="J1311" s="15">
        <f t="shared" si="299"/>
        <v>5</v>
      </c>
      <c r="K1311" s="15">
        <f>MIN(J1311+G1311,(J1311+G1311)*'Hoja 4 - Cálculo'!$B$15)</f>
        <v>0.38725750000000003</v>
      </c>
      <c r="L1311" s="15">
        <f t="shared" si="293"/>
        <v>18.975617500000002</v>
      </c>
      <c r="M1311" s="15">
        <f t="shared" si="294"/>
        <v>16</v>
      </c>
      <c r="N1311" s="15">
        <f t="shared" si="295"/>
        <v>2.975617500000002</v>
      </c>
      <c r="O1311" s="15">
        <f t="shared" si="296"/>
        <v>0</v>
      </c>
      <c r="P1311" s="15">
        <f t="shared" si="297"/>
        <v>0</v>
      </c>
      <c r="Q1311" s="14" t="str">
        <f>IF(M1311&gt;=I1311*'Hoja 4 - Cálculo'!$B$16,"Satisfactorio","Falla")</f>
        <v>Satisfactorio</v>
      </c>
      <c r="R1311" s="14">
        <f t="shared" si="300"/>
        <v>0</v>
      </c>
      <c r="S1311" s="14">
        <f t="shared" si="301"/>
        <v>0</v>
      </c>
    </row>
    <row r="1312" spans="1:19">
      <c r="A1312" s="14" t="str">
        <f t="shared" si="298"/>
        <v>SRY-4-2</v>
      </c>
      <c r="B1312" s="15">
        <f>'Curvas SRY'!$B$11</f>
        <v>5</v>
      </c>
      <c r="C1312" s="15">
        <f>'Curvas SRY'!$E$9</f>
        <v>1</v>
      </c>
      <c r="D1312" s="14" t="str">
        <f>'Curvas SRY'!$B$14</f>
        <v>Uso variable</v>
      </c>
      <c r="E1312" s="14">
        <f>109</f>
        <v>109</v>
      </c>
      <c r="F1312" s="21">
        <f>'Hoja 4 - Cálculo'!A133</f>
        <v>32874</v>
      </c>
      <c r="G1312" s="15">
        <f>'Hoja 4 - Cálculo'!H133</f>
        <v>11.723625</v>
      </c>
      <c r="H1312" s="15">
        <f>IF(D1312="Uso único",'Hoja 4 - Cálculo'!I133,IF(D1312="Uso múltiple",AVERAGE('Hoja 4 - Cálculo'!$I$25:$I$384)+AVERAGE('Hoja 4 - Cálculo'!$J$25:$J$384)+AVERAGE('Hoja 4 - Cálculo'!$K$25:$K$384),IF(D1312="Uso prioritario",'Hoja 4 - Cálculo'!I133+'Hoja 4 - Cálculo'!K133,'Hoja 4 - Cálculo'!I133+'Hoja 4 - Cálculo'!J133+'Hoja 4 - Cálculo'!K133)))</f>
        <v>16</v>
      </c>
      <c r="I1312" s="15">
        <f t="shared" si="292"/>
        <v>16</v>
      </c>
      <c r="J1312" s="15">
        <f t="shared" si="299"/>
        <v>2.975617500000002</v>
      </c>
      <c r="K1312" s="15">
        <f>MIN(J1312+G1312,(J1312+G1312)*'Hoja 4 - Cálculo'!$B$15)</f>
        <v>0.29398485000000008</v>
      </c>
      <c r="L1312" s="15">
        <f t="shared" si="293"/>
        <v>14.405257650000003</v>
      </c>
      <c r="M1312" s="15">
        <f t="shared" si="294"/>
        <v>14.405257650000003</v>
      </c>
      <c r="N1312" s="15">
        <f t="shared" si="295"/>
        <v>0</v>
      </c>
      <c r="O1312" s="15">
        <f t="shared" si="296"/>
        <v>0</v>
      </c>
      <c r="P1312" s="15">
        <f t="shared" si="297"/>
        <v>1.5947423499999971</v>
      </c>
      <c r="Q1312" s="14" t="str">
        <f>IF(M1312&gt;=I1312*'Hoja 4 - Cálculo'!$B$16,"Satisfactorio","Falla")</f>
        <v>Falla</v>
      </c>
      <c r="R1312" s="14">
        <f t="shared" si="300"/>
        <v>0</v>
      </c>
      <c r="S1312" s="14">
        <f t="shared" si="301"/>
        <v>1</v>
      </c>
    </row>
    <row r="1313" spans="1:19">
      <c r="A1313" s="14" t="str">
        <f t="shared" si="298"/>
        <v>SRY-4-2</v>
      </c>
      <c r="B1313" s="15">
        <f>'Curvas SRY'!$B$11</f>
        <v>5</v>
      </c>
      <c r="C1313" s="15">
        <f>'Curvas SRY'!$E$9</f>
        <v>1</v>
      </c>
      <c r="D1313" s="14" t="str">
        <f>'Curvas SRY'!$B$14</f>
        <v>Uso variable</v>
      </c>
      <c r="E1313" s="14">
        <f>110</f>
        <v>110</v>
      </c>
      <c r="F1313" s="21">
        <f>'Hoja 4 - Cálculo'!A134</f>
        <v>32905</v>
      </c>
      <c r="G1313" s="15">
        <f>'Hoja 4 - Cálculo'!H134</f>
        <v>13.311</v>
      </c>
      <c r="H1313" s="15">
        <f>IF(D1313="Uso único",'Hoja 4 - Cálculo'!I134,IF(D1313="Uso múltiple",AVERAGE('Hoja 4 - Cálculo'!$I$25:$I$384)+AVERAGE('Hoja 4 - Cálculo'!$J$25:$J$384)+AVERAGE('Hoja 4 - Cálculo'!$K$25:$K$384),IF(D1313="Uso prioritario",'Hoja 4 - Cálculo'!I134+'Hoja 4 - Cálculo'!K134,'Hoja 4 - Cálculo'!I134+'Hoja 4 - Cálculo'!J134+'Hoja 4 - Cálculo'!K134)))</f>
        <v>16</v>
      </c>
      <c r="I1313" s="15">
        <f t="shared" si="292"/>
        <v>16</v>
      </c>
      <c r="J1313" s="15">
        <f t="shared" si="299"/>
        <v>0</v>
      </c>
      <c r="K1313" s="15">
        <f>MIN(J1313+G1313,(J1313+G1313)*'Hoja 4 - Cálculo'!$B$15)</f>
        <v>0.26622000000000001</v>
      </c>
      <c r="L1313" s="15">
        <f t="shared" si="293"/>
        <v>13.044779999999999</v>
      </c>
      <c r="M1313" s="15">
        <f t="shared" si="294"/>
        <v>13.044779999999999</v>
      </c>
      <c r="N1313" s="15">
        <f t="shared" si="295"/>
        <v>0</v>
      </c>
      <c r="O1313" s="15">
        <f t="shared" si="296"/>
        <v>0</v>
      </c>
      <c r="P1313" s="15">
        <f t="shared" si="297"/>
        <v>2.9552200000000006</v>
      </c>
      <c r="Q1313" s="14" t="str">
        <f>IF(M1313&gt;=I1313*'Hoja 4 - Cálculo'!$B$16,"Satisfactorio","Falla")</f>
        <v>Falla</v>
      </c>
      <c r="R1313" s="14">
        <f t="shared" si="300"/>
        <v>0</v>
      </c>
      <c r="S1313" s="14">
        <f t="shared" si="301"/>
        <v>0</v>
      </c>
    </row>
    <row r="1314" spans="1:19">
      <c r="A1314" s="14" t="str">
        <f t="shared" si="298"/>
        <v>SRY-4-2</v>
      </c>
      <c r="B1314" s="15">
        <f>'Curvas SRY'!$B$11</f>
        <v>5</v>
      </c>
      <c r="C1314" s="15">
        <f>'Curvas SRY'!$E$9</f>
        <v>1</v>
      </c>
      <c r="D1314" s="14" t="str">
        <f>'Curvas SRY'!$B$14</f>
        <v>Uso variable</v>
      </c>
      <c r="E1314" s="14">
        <f>111</f>
        <v>111</v>
      </c>
      <c r="F1314" s="21">
        <f>'Hoja 4 - Cálculo'!A135</f>
        <v>32933</v>
      </c>
      <c r="G1314" s="15">
        <f>'Hoja 4 - Cálculo'!H135</f>
        <v>18.838125000000002</v>
      </c>
      <c r="H1314" s="15">
        <f>IF(D1314="Uso único",'Hoja 4 - Cálculo'!I135,IF(D1314="Uso múltiple",AVERAGE('Hoja 4 - Cálculo'!$I$25:$I$384)+AVERAGE('Hoja 4 - Cálculo'!$J$25:$J$384)+AVERAGE('Hoja 4 - Cálculo'!$K$25:$K$384),IF(D1314="Uso prioritario",'Hoja 4 - Cálculo'!I135+'Hoja 4 - Cálculo'!K135,'Hoja 4 - Cálculo'!I135+'Hoja 4 - Cálculo'!J135+'Hoja 4 - Cálculo'!K135)))</f>
        <v>16</v>
      </c>
      <c r="I1314" s="15">
        <f t="shared" si="292"/>
        <v>16</v>
      </c>
      <c r="J1314" s="15">
        <f t="shared" si="299"/>
        <v>0</v>
      </c>
      <c r="K1314" s="15">
        <f>MIN(J1314+G1314,(J1314+G1314)*'Hoja 4 - Cálculo'!$B$15)</f>
        <v>0.37676250000000006</v>
      </c>
      <c r="L1314" s="15">
        <f t="shared" si="293"/>
        <v>18.4613625</v>
      </c>
      <c r="M1314" s="15">
        <f t="shared" si="294"/>
        <v>16</v>
      </c>
      <c r="N1314" s="15">
        <f t="shared" si="295"/>
        <v>2.4613624999999999</v>
      </c>
      <c r="O1314" s="15">
        <f t="shared" si="296"/>
        <v>0</v>
      </c>
      <c r="P1314" s="15">
        <f t="shared" si="297"/>
        <v>0</v>
      </c>
      <c r="Q1314" s="14" t="str">
        <f>IF(M1314&gt;=I1314*'Hoja 4 - Cálculo'!$B$16,"Satisfactorio","Falla")</f>
        <v>Satisfactorio</v>
      </c>
      <c r="R1314" s="14">
        <f t="shared" si="300"/>
        <v>1</v>
      </c>
      <c r="S1314" s="14">
        <f t="shared" si="301"/>
        <v>0</v>
      </c>
    </row>
    <row r="1315" spans="1:19">
      <c r="A1315" s="14" t="str">
        <f t="shared" si="298"/>
        <v>SRY-4-2</v>
      </c>
      <c r="B1315" s="15">
        <f>'Curvas SRY'!$B$11</f>
        <v>5</v>
      </c>
      <c r="C1315" s="15">
        <f>'Curvas SRY'!$E$9</f>
        <v>1</v>
      </c>
      <c r="D1315" s="14" t="str">
        <f>'Curvas SRY'!$B$14</f>
        <v>Uso variable</v>
      </c>
      <c r="E1315" s="14">
        <f>112</f>
        <v>112</v>
      </c>
      <c r="F1315" s="21">
        <f>'Hoja 4 - Cálculo'!A136</f>
        <v>32964</v>
      </c>
      <c r="G1315" s="15">
        <f>'Hoja 4 - Cálculo'!H136</f>
        <v>28.611000000000001</v>
      </c>
      <c r="H1315" s="15">
        <f>IF(D1315="Uso único",'Hoja 4 - Cálculo'!I136,IF(D1315="Uso múltiple",AVERAGE('Hoja 4 - Cálculo'!$I$25:$I$384)+AVERAGE('Hoja 4 - Cálculo'!$J$25:$J$384)+AVERAGE('Hoja 4 - Cálculo'!$K$25:$K$384),IF(D1315="Uso prioritario",'Hoja 4 - Cálculo'!I136+'Hoja 4 - Cálculo'!K136,'Hoja 4 - Cálculo'!I136+'Hoja 4 - Cálculo'!J136+'Hoja 4 - Cálculo'!K136)))</f>
        <v>11.5</v>
      </c>
      <c r="I1315" s="15">
        <f t="shared" si="292"/>
        <v>11.5</v>
      </c>
      <c r="J1315" s="15">
        <f t="shared" si="299"/>
        <v>2.4613624999999999</v>
      </c>
      <c r="K1315" s="15">
        <f>MIN(J1315+G1315,(J1315+G1315)*'Hoja 4 - Cálculo'!$B$15)</f>
        <v>0.62144725000000001</v>
      </c>
      <c r="L1315" s="15">
        <f t="shared" si="293"/>
        <v>30.450915250000001</v>
      </c>
      <c r="M1315" s="15">
        <f t="shared" si="294"/>
        <v>11.5</v>
      </c>
      <c r="N1315" s="15">
        <f t="shared" si="295"/>
        <v>5</v>
      </c>
      <c r="O1315" s="15">
        <f t="shared" si="296"/>
        <v>13.950915250000001</v>
      </c>
      <c r="P1315" s="15">
        <f t="shared" si="297"/>
        <v>0</v>
      </c>
      <c r="Q1315" s="14" t="str">
        <f>IF(M1315&gt;=I1315*'Hoja 4 - Cálculo'!$B$16,"Satisfactorio","Falla")</f>
        <v>Satisfactorio</v>
      </c>
      <c r="R1315" s="14">
        <f t="shared" si="300"/>
        <v>0</v>
      </c>
      <c r="S1315" s="14">
        <f t="shared" si="301"/>
        <v>0</v>
      </c>
    </row>
    <row r="1316" spans="1:19">
      <c r="A1316" s="14" t="str">
        <f t="shared" si="298"/>
        <v>SRY-4-2</v>
      </c>
      <c r="B1316" s="15">
        <f>'Curvas SRY'!$B$11</f>
        <v>5</v>
      </c>
      <c r="C1316" s="15">
        <f>'Curvas SRY'!$E$9</f>
        <v>1</v>
      </c>
      <c r="D1316" s="14" t="str">
        <f>'Curvas SRY'!$B$14</f>
        <v>Uso variable</v>
      </c>
      <c r="E1316" s="14">
        <f>113</f>
        <v>113</v>
      </c>
      <c r="F1316" s="21">
        <f>'Hoja 4 - Cálculo'!A137</f>
        <v>32994</v>
      </c>
      <c r="G1316" s="15">
        <f>'Hoja 4 - Cálculo'!H137</f>
        <v>23.52375</v>
      </c>
      <c r="H1316" s="15">
        <f>IF(D1316="Uso único",'Hoja 4 - Cálculo'!I137,IF(D1316="Uso múltiple",AVERAGE('Hoja 4 - Cálculo'!$I$25:$I$384)+AVERAGE('Hoja 4 - Cálculo'!$J$25:$J$384)+AVERAGE('Hoja 4 - Cálculo'!$K$25:$K$384),IF(D1316="Uso prioritario",'Hoja 4 - Cálculo'!I137+'Hoja 4 - Cálculo'!K137,'Hoja 4 - Cálculo'!I137+'Hoja 4 - Cálculo'!J137+'Hoja 4 - Cálculo'!K137)))</f>
        <v>11.5</v>
      </c>
      <c r="I1316" s="15">
        <f t="shared" si="292"/>
        <v>11.5</v>
      </c>
      <c r="J1316" s="15">
        <f t="shared" si="299"/>
        <v>5</v>
      </c>
      <c r="K1316" s="15">
        <f>MIN(J1316+G1316,(J1316+G1316)*'Hoja 4 - Cálculo'!$B$15)</f>
        <v>0.57047499999999995</v>
      </c>
      <c r="L1316" s="15">
        <f t="shared" si="293"/>
        <v>27.953275000000001</v>
      </c>
      <c r="M1316" s="15">
        <f t="shared" si="294"/>
        <v>11.5</v>
      </c>
      <c r="N1316" s="15">
        <f t="shared" si="295"/>
        <v>5</v>
      </c>
      <c r="O1316" s="15">
        <f t="shared" si="296"/>
        <v>11.453275000000001</v>
      </c>
      <c r="P1316" s="15">
        <f t="shared" si="297"/>
        <v>0</v>
      </c>
      <c r="Q1316" s="14" t="str">
        <f>IF(M1316&gt;=I1316*'Hoja 4 - Cálculo'!$B$16,"Satisfactorio","Falla")</f>
        <v>Satisfactorio</v>
      </c>
      <c r="R1316" s="14">
        <f t="shared" si="300"/>
        <v>0</v>
      </c>
      <c r="S1316" s="14">
        <f t="shared" si="301"/>
        <v>0</v>
      </c>
    </row>
    <row r="1317" spans="1:19">
      <c r="A1317" s="14" t="str">
        <f t="shared" si="298"/>
        <v>SRY-4-2</v>
      </c>
      <c r="B1317" s="15">
        <f>'Curvas SRY'!$B$11</f>
        <v>5</v>
      </c>
      <c r="C1317" s="15">
        <f>'Curvas SRY'!$E$9</f>
        <v>1</v>
      </c>
      <c r="D1317" s="14" t="str">
        <f>'Curvas SRY'!$B$14</f>
        <v>Uso variable</v>
      </c>
      <c r="E1317" s="14">
        <f>114</f>
        <v>114</v>
      </c>
      <c r="F1317" s="21">
        <f>'Hoja 4 - Cálculo'!A138</f>
        <v>33025</v>
      </c>
      <c r="G1317" s="15">
        <f>'Hoja 4 - Cálculo'!H138</f>
        <v>15.529500000000001</v>
      </c>
      <c r="H1317" s="15">
        <f>IF(D1317="Uso único",'Hoja 4 - Cálculo'!I138,IF(D1317="Uso múltiple",AVERAGE('Hoja 4 - Cálculo'!$I$25:$I$384)+AVERAGE('Hoja 4 - Cálculo'!$J$25:$J$384)+AVERAGE('Hoja 4 - Cálculo'!$K$25:$K$384),IF(D1317="Uso prioritario",'Hoja 4 - Cálculo'!I138+'Hoja 4 - Cálculo'!K138,'Hoja 4 - Cálculo'!I138+'Hoja 4 - Cálculo'!J138+'Hoja 4 - Cálculo'!K138)))</f>
        <v>11.5</v>
      </c>
      <c r="I1317" s="15">
        <f t="shared" si="292"/>
        <v>11.5</v>
      </c>
      <c r="J1317" s="15">
        <f t="shared" si="299"/>
        <v>5</v>
      </c>
      <c r="K1317" s="15">
        <f>MIN(J1317+G1317,(J1317+G1317)*'Hoja 4 - Cálculo'!$B$15)</f>
        <v>0.41059000000000001</v>
      </c>
      <c r="L1317" s="15">
        <f t="shared" si="293"/>
        <v>20.11891</v>
      </c>
      <c r="M1317" s="15">
        <f t="shared" si="294"/>
        <v>11.5</v>
      </c>
      <c r="N1317" s="15">
        <f t="shared" si="295"/>
        <v>5</v>
      </c>
      <c r="O1317" s="15">
        <f t="shared" si="296"/>
        <v>3.6189099999999996</v>
      </c>
      <c r="P1317" s="15">
        <f t="shared" si="297"/>
        <v>0</v>
      </c>
      <c r="Q1317" s="14" t="str">
        <f>IF(M1317&gt;=I1317*'Hoja 4 - Cálculo'!$B$16,"Satisfactorio","Falla")</f>
        <v>Satisfactorio</v>
      </c>
      <c r="R1317" s="14">
        <f t="shared" si="300"/>
        <v>0</v>
      </c>
      <c r="S1317" s="14">
        <f t="shared" si="301"/>
        <v>0</v>
      </c>
    </row>
    <row r="1318" spans="1:19">
      <c r="A1318" s="14" t="str">
        <f t="shared" si="298"/>
        <v>SRY-4-2</v>
      </c>
      <c r="B1318" s="15">
        <f>'Curvas SRY'!$B$11</f>
        <v>5</v>
      </c>
      <c r="C1318" s="15">
        <f>'Curvas SRY'!$E$9</f>
        <v>1</v>
      </c>
      <c r="D1318" s="14" t="str">
        <f>'Curvas SRY'!$B$14</f>
        <v>Uso variable</v>
      </c>
      <c r="E1318" s="14">
        <f>115</f>
        <v>115</v>
      </c>
      <c r="F1318" s="21">
        <f>'Hoja 4 - Cálculo'!A139</f>
        <v>33055</v>
      </c>
      <c r="G1318" s="15">
        <f>'Hoja 4 - Cálculo'!H139</f>
        <v>12.201750000000001</v>
      </c>
      <c r="H1318" s="15">
        <f>IF(D1318="Uso único",'Hoja 4 - Cálculo'!I139,IF(D1318="Uso múltiple",AVERAGE('Hoja 4 - Cálculo'!$I$25:$I$384)+AVERAGE('Hoja 4 - Cálculo'!$J$25:$J$384)+AVERAGE('Hoja 4 - Cálculo'!$K$25:$K$384),IF(D1318="Uso prioritario",'Hoja 4 - Cálculo'!I139+'Hoja 4 - Cálculo'!K139,'Hoja 4 - Cálculo'!I139+'Hoja 4 - Cálculo'!J139+'Hoja 4 - Cálculo'!K139)))</f>
        <v>16</v>
      </c>
      <c r="I1318" s="15">
        <f t="shared" si="292"/>
        <v>16</v>
      </c>
      <c r="J1318" s="15">
        <f t="shared" si="299"/>
        <v>5</v>
      </c>
      <c r="K1318" s="15">
        <f>MIN(J1318+G1318,(J1318+G1318)*'Hoja 4 - Cálculo'!$B$15)</f>
        <v>0.34403500000000004</v>
      </c>
      <c r="L1318" s="15">
        <f t="shared" si="293"/>
        <v>16.857714999999999</v>
      </c>
      <c r="M1318" s="15">
        <f t="shared" si="294"/>
        <v>16</v>
      </c>
      <c r="N1318" s="15">
        <f t="shared" si="295"/>
        <v>0.85771499999999889</v>
      </c>
      <c r="O1318" s="15">
        <f t="shared" si="296"/>
        <v>0</v>
      </c>
      <c r="P1318" s="15">
        <f t="shared" si="297"/>
        <v>0</v>
      </c>
      <c r="Q1318" s="14" t="str">
        <f>IF(M1318&gt;=I1318*'Hoja 4 - Cálculo'!$B$16,"Satisfactorio","Falla")</f>
        <v>Satisfactorio</v>
      </c>
      <c r="R1318" s="14">
        <f t="shared" si="300"/>
        <v>0</v>
      </c>
      <c r="S1318" s="14">
        <f t="shared" si="301"/>
        <v>0</v>
      </c>
    </row>
    <row r="1319" spans="1:19">
      <c r="A1319" s="14" t="str">
        <f t="shared" si="298"/>
        <v>SRY-4-2</v>
      </c>
      <c r="B1319" s="15">
        <f>'Curvas SRY'!$B$11</f>
        <v>5</v>
      </c>
      <c r="C1319" s="15">
        <f>'Curvas SRY'!$E$9</f>
        <v>1</v>
      </c>
      <c r="D1319" s="14" t="str">
        <f>'Curvas SRY'!$B$14</f>
        <v>Uso variable</v>
      </c>
      <c r="E1319" s="14">
        <f>116</f>
        <v>116</v>
      </c>
      <c r="F1319" s="21">
        <f>'Hoja 4 - Cálculo'!A140</f>
        <v>33086</v>
      </c>
      <c r="G1319" s="15">
        <f>'Hoja 4 - Cálculo'!H140</f>
        <v>13.04325</v>
      </c>
      <c r="H1319" s="15">
        <f>IF(D1319="Uso único",'Hoja 4 - Cálculo'!I140,IF(D1319="Uso múltiple",AVERAGE('Hoja 4 - Cálculo'!$I$25:$I$384)+AVERAGE('Hoja 4 - Cálculo'!$J$25:$J$384)+AVERAGE('Hoja 4 - Cálculo'!$K$25:$K$384),IF(D1319="Uso prioritario",'Hoja 4 - Cálculo'!I140+'Hoja 4 - Cálculo'!K140,'Hoja 4 - Cálculo'!I140+'Hoja 4 - Cálculo'!J140+'Hoja 4 - Cálculo'!K140)))</f>
        <v>16</v>
      </c>
      <c r="I1319" s="15">
        <f t="shared" si="292"/>
        <v>16</v>
      </c>
      <c r="J1319" s="15">
        <f t="shared" si="299"/>
        <v>0.85771499999999889</v>
      </c>
      <c r="K1319" s="15">
        <f>MIN(J1319+G1319,(J1319+G1319)*'Hoja 4 - Cálculo'!$B$15)</f>
        <v>0.27801929999999997</v>
      </c>
      <c r="L1319" s="15">
        <f t="shared" si="293"/>
        <v>13.622945699999999</v>
      </c>
      <c r="M1319" s="15">
        <f t="shared" si="294"/>
        <v>13.622945699999999</v>
      </c>
      <c r="N1319" s="15">
        <f t="shared" si="295"/>
        <v>0</v>
      </c>
      <c r="O1319" s="15">
        <f t="shared" si="296"/>
        <v>0</v>
      </c>
      <c r="P1319" s="15">
        <f t="shared" si="297"/>
        <v>2.3770543000000011</v>
      </c>
      <c r="Q1319" s="14" t="str">
        <f>IF(M1319&gt;=I1319*'Hoja 4 - Cálculo'!$B$16,"Satisfactorio","Falla")</f>
        <v>Falla</v>
      </c>
      <c r="R1319" s="14">
        <f t="shared" si="300"/>
        <v>0</v>
      </c>
      <c r="S1319" s="14">
        <f t="shared" si="301"/>
        <v>1</v>
      </c>
    </row>
    <row r="1320" spans="1:19">
      <c r="A1320" s="14" t="str">
        <f t="shared" si="298"/>
        <v>SRY-4-2</v>
      </c>
      <c r="B1320" s="15">
        <f>'Curvas SRY'!$B$11</f>
        <v>5</v>
      </c>
      <c r="C1320" s="15">
        <f>'Curvas SRY'!$E$9</f>
        <v>1</v>
      </c>
      <c r="D1320" s="14" t="str">
        <f>'Curvas SRY'!$B$14</f>
        <v>Uso variable</v>
      </c>
      <c r="E1320" s="14">
        <f>117</f>
        <v>117</v>
      </c>
      <c r="F1320" s="21">
        <f>'Hoja 4 - Cálculo'!A141</f>
        <v>33117</v>
      </c>
      <c r="G1320" s="15">
        <f>'Hoja 4 - Cálculo'!H141</f>
        <v>21.974625</v>
      </c>
      <c r="H1320" s="15">
        <f>IF(D1320="Uso único",'Hoja 4 - Cálculo'!I141,IF(D1320="Uso múltiple",AVERAGE('Hoja 4 - Cálculo'!$I$25:$I$384)+AVERAGE('Hoja 4 - Cálculo'!$J$25:$J$384)+AVERAGE('Hoja 4 - Cálculo'!$K$25:$K$384),IF(D1320="Uso prioritario",'Hoja 4 - Cálculo'!I141+'Hoja 4 - Cálculo'!K141,'Hoja 4 - Cálculo'!I141+'Hoja 4 - Cálculo'!J141+'Hoja 4 - Cálculo'!K141)))</f>
        <v>11.5</v>
      </c>
      <c r="I1320" s="15">
        <f t="shared" si="292"/>
        <v>11.5</v>
      </c>
      <c r="J1320" s="15">
        <f t="shared" si="299"/>
        <v>0</v>
      </c>
      <c r="K1320" s="15">
        <f>MIN(J1320+G1320,(J1320+G1320)*'Hoja 4 - Cálculo'!$B$15)</f>
        <v>0.43949250000000001</v>
      </c>
      <c r="L1320" s="15">
        <f t="shared" si="293"/>
        <v>21.5351325</v>
      </c>
      <c r="M1320" s="15">
        <f t="shared" si="294"/>
        <v>11.5</v>
      </c>
      <c r="N1320" s="15">
        <f t="shared" si="295"/>
        <v>5</v>
      </c>
      <c r="O1320" s="15">
        <f t="shared" si="296"/>
        <v>5.0351324999999996</v>
      </c>
      <c r="P1320" s="15">
        <f t="shared" si="297"/>
        <v>0</v>
      </c>
      <c r="Q1320" s="14" t="str">
        <f>IF(M1320&gt;=I1320*'Hoja 4 - Cálculo'!$B$16,"Satisfactorio","Falla")</f>
        <v>Satisfactorio</v>
      </c>
      <c r="R1320" s="14">
        <f t="shared" si="300"/>
        <v>1</v>
      </c>
      <c r="S1320" s="14">
        <f t="shared" si="301"/>
        <v>0</v>
      </c>
    </row>
    <row r="1321" spans="1:19">
      <c r="A1321" s="14" t="str">
        <f t="shared" si="298"/>
        <v>SRY-4-2</v>
      </c>
      <c r="B1321" s="15">
        <f>'Curvas SRY'!$B$11</f>
        <v>5</v>
      </c>
      <c r="C1321" s="15">
        <f>'Curvas SRY'!$E$9</f>
        <v>1</v>
      </c>
      <c r="D1321" s="14" t="str">
        <f>'Curvas SRY'!$B$14</f>
        <v>Uso variable</v>
      </c>
      <c r="E1321" s="14">
        <f>118</f>
        <v>118</v>
      </c>
      <c r="F1321" s="21">
        <f>'Hoja 4 - Cálculo'!A142</f>
        <v>33147</v>
      </c>
      <c r="G1321" s="15">
        <f>'Hoja 4 - Cálculo'!H142</f>
        <v>26.870625</v>
      </c>
      <c r="H1321" s="15">
        <f>IF(D1321="Uso único",'Hoja 4 - Cálculo'!I142,IF(D1321="Uso múltiple",AVERAGE('Hoja 4 - Cálculo'!$I$25:$I$384)+AVERAGE('Hoja 4 - Cálculo'!$J$25:$J$384)+AVERAGE('Hoja 4 - Cálculo'!$K$25:$K$384),IF(D1321="Uso prioritario",'Hoja 4 - Cálculo'!I142+'Hoja 4 - Cálculo'!K142,'Hoja 4 - Cálculo'!I142+'Hoja 4 - Cálculo'!J142+'Hoja 4 - Cálculo'!K142)))</f>
        <v>11.5</v>
      </c>
      <c r="I1321" s="15">
        <f t="shared" si="292"/>
        <v>11.5</v>
      </c>
      <c r="J1321" s="15">
        <f t="shared" si="299"/>
        <v>5</v>
      </c>
      <c r="K1321" s="15">
        <f>MIN(J1321+G1321,(J1321+G1321)*'Hoja 4 - Cálculo'!$B$15)</f>
        <v>0.63741250000000005</v>
      </c>
      <c r="L1321" s="15">
        <f t="shared" si="293"/>
        <v>31.2332125</v>
      </c>
      <c r="M1321" s="15">
        <f t="shared" si="294"/>
        <v>11.5</v>
      </c>
      <c r="N1321" s="15">
        <f t="shared" si="295"/>
        <v>5</v>
      </c>
      <c r="O1321" s="15">
        <f t="shared" si="296"/>
        <v>14.7332125</v>
      </c>
      <c r="P1321" s="15">
        <f t="shared" si="297"/>
        <v>0</v>
      </c>
      <c r="Q1321" s="14" t="str">
        <f>IF(M1321&gt;=I1321*'Hoja 4 - Cálculo'!$B$16,"Satisfactorio","Falla")</f>
        <v>Satisfactorio</v>
      </c>
      <c r="R1321" s="14">
        <f t="shared" si="300"/>
        <v>0</v>
      </c>
      <c r="S1321" s="14">
        <f t="shared" si="301"/>
        <v>0</v>
      </c>
    </row>
    <row r="1322" spans="1:19">
      <c r="A1322" s="14" t="str">
        <f t="shared" si="298"/>
        <v>SRY-4-2</v>
      </c>
      <c r="B1322" s="15">
        <f>'Curvas SRY'!$B$11</f>
        <v>5</v>
      </c>
      <c r="C1322" s="15">
        <f>'Curvas SRY'!$E$9</f>
        <v>1</v>
      </c>
      <c r="D1322" s="14" t="str">
        <f>'Curvas SRY'!$B$14</f>
        <v>Uso variable</v>
      </c>
      <c r="E1322" s="14">
        <f>119</f>
        <v>119</v>
      </c>
      <c r="F1322" s="21">
        <f>'Hoja 4 - Cálculo'!A143</f>
        <v>33178</v>
      </c>
      <c r="G1322" s="15">
        <f>'Hoja 4 - Cálculo'!H143</f>
        <v>24.881625</v>
      </c>
      <c r="H1322" s="15">
        <f>IF(D1322="Uso único",'Hoja 4 - Cálculo'!I143,IF(D1322="Uso múltiple",AVERAGE('Hoja 4 - Cálculo'!$I$25:$I$384)+AVERAGE('Hoja 4 - Cálculo'!$J$25:$J$384)+AVERAGE('Hoja 4 - Cálculo'!$K$25:$K$384),IF(D1322="Uso prioritario",'Hoja 4 - Cálculo'!I143+'Hoja 4 - Cálculo'!K143,'Hoja 4 - Cálculo'!I143+'Hoja 4 - Cálculo'!J143+'Hoja 4 - Cálculo'!K143)))</f>
        <v>11.5</v>
      </c>
      <c r="I1322" s="15">
        <f t="shared" si="292"/>
        <v>11.5</v>
      </c>
      <c r="J1322" s="15">
        <f t="shared" si="299"/>
        <v>5</v>
      </c>
      <c r="K1322" s="15">
        <f>MIN(J1322+G1322,(J1322+G1322)*'Hoja 4 - Cálculo'!$B$15)</f>
        <v>0.59763250000000001</v>
      </c>
      <c r="L1322" s="15">
        <f t="shared" si="293"/>
        <v>29.2839925</v>
      </c>
      <c r="M1322" s="15">
        <f t="shared" si="294"/>
        <v>11.5</v>
      </c>
      <c r="N1322" s="15">
        <f t="shared" si="295"/>
        <v>5</v>
      </c>
      <c r="O1322" s="15">
        <f t="shared" si="296"/>
        <v>12.7839925</v>
      </c>
      <c r="P1322" s="15">
        <f t="shared" si="297"/>
        <v>0</v>
      </c>
      <c r="Q1322" s="14" t="str">
        <f>IF(M1322&gt;=I1322*'Hoja 4 - Cálculo'!$B$16,"Satisfactorio","Falla")</f>
        <v>Satisfactorio</v>
      </c>
      <c r="R1322" s="14">
        <f t="shared" si="300"/>
        <v>0</v>
      </c>
      <c r="S1322" s="14">
        <f t="shared" si="301"/>
        <v>0</v>
      </c>
    </row>
    <row r="1323" spans="1:19">
      <c r="A1323" s="14" t="str">
        <f t="shared" si="298"/>
        <v>SRY-4-2</v>
      </c>
      <c r="B1323" s="15">
        <f>'Curvas SRY'!$B$11</f>
        <v>5</v>
      </c>
      <c r="C1323" s="15">
        <f>'Curvas SRY'!$E$9</f>
        <v>1</v>
      </c>
      <c r="D1323" s="14" t="str">
        <f>'Curvas SRY'!$B$14</f>
        <v>Uso variable</v>
      </c>
      <c r="E1323" s="14">
        <f>120</f>
        <v>120</v>
      </c>
      <c r="F1323" s="21">
        <f>'Hoja 4 - Cálculo'!A144</f>
        <v>33208</v>
      </c>
      <c r="G1323" s="15">
        <f>'Hoja 4 - Cálculo'!H144</f>
        <v>13.73175</v>
      </c>
      <c r="H1323" s="15">
        <f>IF(D1323="Uso único",'Hoja 4 - Cálculo'!I144,IF(D1323="Uso múltiple",AVERAGE('Hoja 4 - Cálculo'!$I$25:$I$384)+AVERAGE('Hoja 4 - Cálculo'!$J$25:$J$384)+AVERAGE('Hoja 4 - Cálculo'!$K$25:$K$384),IF(D1323="Uso prioritario",'Hoja 4 - Cálculo'!I144+'Hoja 4 - Cálculo'!K144,'Hoja 4 - Cálculo'!I144+'Hoja 4 - Cálculo'!J144+'Hoja 4 - Cálculo'!K144)))</f>
        <v>16</v>
      </c>
      <c r="I1323" s="15">
        <f t="shared" si="292"/>
        <v>16</v>
      </c>
      <c r="J1323" s="15">
        <f t="shared" si="299"/>
        <v>5</v>
      </c>
      <c r="K1323" s="15">
        <f>MIN(J1323+G1323,(J1323+G1323)*'Hoja 4 - Cálculo'!$B$15)</f>
        <v>0.374635</v>
      </c>
      <c r="L1323" s="15">
        <f t="shared" si="293"/>
        <v>18.357114999999997</v>
      </c>
      <c r="M1323" s="15">
        <f t="shared" si="294"/>
        <v>16</v>
      </c>
      <c r="N1323" s="15">
        <f t="shared" si="295"/>
        <v>2.3571149999999967</v>
      </c>
      <c r="O1323" s="15">
        <f t="shared" si="296"/>
        <v>0</v>
      </c>
      <c r="P1323" s="15">
        <f t="shared" si="297"/>
        <v>0</v>
      </c>
      <c r="Q1323" s="14" t="str">
        <f>IF(M1323&gt;=I1323*'Hoja 4 - Cálculo'!$B$16,"Satisfactorio","Falla")</f>
        <v>Satisfactorio</v>
      </c>
      <c r="R1323" s="14">
        <f t="shared" si="300"/>
        <v>0</v>
      </c>
      <c r="S1323" s="14">
        <f t="shared" si="301"/>
        <v>0</v>
      </c>
    </row>
    <row r="1324" spans="1:19">
      <c r="A1324" s="14" t="str">
        <f t="shared" ref="A1324:A1355" si="302">"SRY-4-3"</f>
        <v>SRY-4-3</v>
      </c>
      <c r="B1324" s="15">
        <f>'Curvas SRY'!$B$11</f>
        <v>5</v>
      </c>
      <c r="C1324" s="15">
        <f>'Curvas SRY'!$E$10</f>
        <v>1.25</v>
      </c>
      <c r="D1324" s="14" t="str">
        <f>'Curvas SRY'!$B$14</f>
        <v>Uso variable</v>
      </c>
      <c r="E1324" s="14">
        <f>1</f>
        <v>1</v>
      </c>
      <c r="F1324" s="21">
        <f>'Hoja 4 - Cálculo'!A25</f>
        <v>29587</v>
      </c>
      <c r="G1324" s="15">
        <f>'Hoja 4 - Cálculo'!H25</f>
        <v>12.852</v>
      </c>
      <c r="H1324" s="15">
        <f>IF(D1324="Uso único",'Hoja 4 - Cálculo'!I25,IF(D1324="Uso múltiple",AVERAGE('Hoja 4 - Cálculo'!$I$25:$I$384)+AVERAGE('Hoja 4 - Cálculo'!$J$25:$J$384)+AVERAGE('Hoja 4 - Cálculo'!$K$25:$K$384),IF(D1324="Uso prioritario",'Hoja 4 - Cálculo'!I25+'Hoja 4 - Cálculo'!K25,'Hoja 4 - Cálculo'!I25+'Hoja 4 - Cálculo'!J25+'Hoja 4 - Cálculo'!K25)))</f>
        <v>16</v>
      </c>
      <c r="I1324" s="15">
        <f t="shared" si="292"/>
        <v>20</v>
      </c>
      <c r="J1324" s="15">
        <f>0</f>
        <v>0</v>
      </c>
      <c r="K1324" s="15">
        <f>MIN(J1324+G1324,(J1324+G1324)*'Hoja 4 - Cálculo'!$B$15)</f>
        <v>0.25703999999999999</v>
      </c>
      <c r="L1324" s="15">
        <f t="shared" si="293"/>
        <v>12.59496</v>
      </c>
      <c r="M1324" s="15">
        <f t="shared" si="294"/>
        <v>12.59496</v>
      </c>
      <c r="N1324" s="15">
        <f t="shared" si="295"/>
        <v>0</v>
      </c>
      <c r="O1324" s="15">
        <f t="shared" si="296"/>
        <v>0</v>
      </c>
      <c r="P1324" s="15">
        <f t="shared" si="297"/>
        <v>7.4050399999999996</v>
      </c>
      <c r="Q1324" s="14" t="str">
        <f>IF(M1324&gt;=I1324*'Hoja 4 - Cálculo'!$B$16,"Satisfactorio","Falla")</f>
        <v>Falla</v>
      </c>
      <c r="R1324" s="14">
        <f>0</f>
        <v>0</v>
      </c>
      <c r="S1324" s="14">
        <f>IF(Q1324="Falla",1,0)</f>
        <v>1</v>
      </c>
    </row>
    <row r="1325" spans="1:19">
      <c r="A1325" s="14" t="str">
        <f t="shared" si="302"/>
        <v>SRY-4-3</v>
      </c>
      <c r="B1325" s="15">
        <f>'Curvas SRY'!$B$11</f>
        <v>5</v>
      </c>
      <c r="C1325" s="15">
        <f>'Curvas SRY'!$E$10</f>
        <v>1.25</v>
      </c>
      <c r="D1325" s="14" t="str">
        <f>'Curvas SRY'!$B$14</f>
        <v>Uso variable</v>
      </c>
      <c r="E1325" s="14">
        <f>2</f>
        <v>2</v>
      </c>
      <c r="F1325" s="21">
        <f>'Hoja 4 - Cálculo'!A26</f>
        <v>29618</v>
      </c>
      <c r="G1325" s="15">
        <f>'Hoja 4 - Cálculo'!H26</f>
        <v>14.630625</v>
      </c>
      <c r="H1325" s="15">
        <f>IF(D1325="Uso único",'Hoja 4 - Cálculo'!I26,IF(D1325="Uso múltiple",AVERAGE('Hoja 4 - Cálculo'!$I$25:$I$384)+AVERAGE('Hoja 4 - Cálculo'!$J$25:$J$384)+AVERAGE('Hoja 4 - Cálculo'!$K$25:$K$384),IF(D1325="Uso prioritario",'Hoja 4 - Cálculo'!I26+'Hoja 4 - Cálculo'!K26,'Hoja 4 - Cálculo'!I26+'Hoja 4 - Cálculo'!J26+'Hoja 4 - Cálculo'!K26)))</f>
        <v>16</v>
      </c>
      <c r="I1325" s="15">
        <f t="shared" si="292"/>
        <v>20</v>
      </c>
      <c r="J1325" s="15">
        <f t="shared" ref="J1325:J1356" si="303">N1324</f>
        <v>0</v>
      </c>
      <c r="K1325" s="15">
        <f>MIN(J1325+G1325,(J1325+G1325)*'Hoja 4 - Cálculo'!$B$15)</f>
        <v>0.2926125</v>
      </c>
      <c r="L1325" s="15">
        <f t="shared" si="293"/>
        <v>14.3380125</v>
      </c>
      <c r="M1325" s="15">
        <f t="shared" si="294"/>
        <v>14.3380125</v>
      </c>
      <c r="N1325" s="15">
        <f t="shared" si="295"/>
        <v>0</v>
      </c>
      <c r="O1325" s="15">
        <f t="shared" si="296"/>
        <v>0</v>
      </c>
      <c r="P1325" s="15">
        <f t="shared" si="297"/>
        <v>5.6619875000000004</v>
      </c>
      <c r="Q1325" s="14" t="str">
        <f>IF(M1325&gt;=I1325*'Hoja 4 - Cálculo'!$B$16,"Satisfactorio","Falla")</f>
        <v>Falla</v>
      </c>
      <c r="R1325" s="14">
        <f t="shared" ref="R1325:R1356" si="304">IF(AND(Q1324="Falla",Q1325="Satisfactorio"),1,0)</f>
        <v>0</v>
      </c>
      <c r="S1325" s="14">
        <f t="shared" ref="S1325:S1356" si="305">IF(AND(Q1325="Falla",Q1324&lt;&gt;"Falla"),1,0)</f>
        <v>0</v>
      </c>
    </row>
    <row r="1326" spans="1:19">
      <c r="A1326" s="14" t="str">
        <f t="shared" si="302"/>
        <v>SRY-4-3</v>
      </c>
      <c r="B1326" s="15">
        <f>'Curvas SRY'!$B$11</f>
        <v>5</v>
      </c>
      <c r="C1326" s="15">
        <f>'Curvas SRY'!$E$10</f>
        <v>1.25</v>
      </c>
      <c r="D1326" s="14" t="str">
        <f>'Curvas SRY'!$B$14</f>
        <v>Uso variable</v>
      </c>
      <c r="E1326" s="14">
        <f>3</f>
        <v>3</v>
      </c>
      <c r="F1326" s="21">
        <f>'Hoja 4 - Cálculo'!A27</f>
        <v>29646</v>
      </c>
      <c r="G1326" s="15">
        <f>'Hoja 4 - Cálculo'!H27</f>
        <v>21.114000000000001</v>
      </c>
      <c r="H1326" s="15">
        <f>IF(D1326="Uso único",'Hoja 4 - Cálculo'!I27,IF(D1326="Uso múltiple",AVERAGE('Hoja 4 - Cálculo'!$I$25:$I$384)+AVERAGE('Hoja 4 - Cálculo'!$J$25:$J$384)+AVERAGE('Hoja 4 - Cálculo'!$K$25:$K$384),IF(D1326="Uso prioritario",'Hoja 4 - Cálculo'!I27+'Hoja 4 - Cálculo'!K27,'Hoja 4 - Cálculo'!I27+'Hoja 4 - Cálculo'!J27+'Hoja 4 - Cálculo'!K27)))</f>
        <v>16</v>
      </c>
      <c r="I1326" s="15">
        <f t="shared" si="292"/>
        <v>20</v>
      </c>
      <c r="J1326" s="15">
        <f t="shared" si="303"/>
        <v>0</v>
      </c>
      <c r="K1326" s="15">
        <f>MIN(J1326+G1326,(J1326+G1326)*'Hoja 4 - Cálculo'!$B$15)</f>
        <v>0.42228000000000004</v>
      </c>
      <c r="L1326" s="15">
        <f t="shared" si="293"/>
        <v>20.69172</v>
      </c>
      <c r="M1326" s="15">
        <f t="shared" si="294"/>
        <v>20</v>
      </c>
      <c r="N1326" s="15">
        <f t="shared" si="295"/>
        <v>0.69172000000000011</v>
      </c>
      <c r="O1326" s="15">
        <f t="shared" si="296"/>
        <v>0</v>
      </c>
      <c r="P1326" s="15">
        <f t="shared" si="297"/>
        <v>0</v>
      </c>
      <c r="Q1326" s="14" t="str">
        <f>IF(M1326&gt;=I1326*'Hoja 4 - Cálculo'!$B$16,"Satisfactorio","Falla")</f>
        <v>Satisfactorio</v>
      </c>
      <c r="R1326" s="14">
        <f t="shared" si="304"/>
        <v>1</v>
      </c>
      <c r="S1326" s="14">
        <f t="shared" si="305"/>
        <v>0</v>
      </c>
    </row>
    <row r="1327" spans="1:19">
      <c r="A1327" s="14" t="str">
        <f t="shared" si="302"/>
        <v>SRY-4-3</v>
      </c>
      <c r="B1327" s="15">
        <f>'Curvas SRY'!$B$11</f>
        <v>5</v>
      </c>
      <c r="C1327" s="15">
        <f>'Curvas SRY'!$E$10</f>
        <v>1.25</v>
      </c>
      <c r="D1327" s="14" t="str">
        <f>'Curvas SRY'!$B$14</f>
        <v>Uso variable</v>
      </c>
      <c r="E1327" s="14">
        <f>4</f>
        <v>4</v>
      </c>
      <c r="F1327" s="21">
        <f>'Hoja 4 - Cálculo'!A28</f>
        <v>29677</v>
      </c>
      <c r="G1327" s="15">
        <f>'Hoja 4 - Cálculo'!H28</f>
        <v>29.280374999999999</v>
      </c>
      <c r="H1327" s="15">
        <f>IF(D1327="Uso único",'Hoja 4 - Cálculo'!I28,IF(D1327="Uso múltiple",AVERAGE('Hoja 4 - Cálculo'!$I$25:$I$384)+AVERAGE('Hoja 4 - Cálculo'!$J$25:$J$384)+AVERAGE('Hoja 4 - Cálculo'!$K$25:$K$384),IF(D1327="Uso prioritario",'Hoja 4 - Cálculo'!I28+'Hoja 4 - Cálculo'!K28,'Hoja 4 - Cálculo'!I28+'Hoja 4 - Cálculo'!J28+'Hoja 4 - Cálculo'!K28)))</f>
        <v>11.5</v>
      </c>
      <c r="I1327" s="15">
        <f t="shared" si="292"/>
        <v>14.375</v>
      </c>
      <c r="J1327" s="15">
        <f t="shared" si="303"/>
        <v>0.69172000000000011</v>
      </c>
      <c r="K1327" s="15">
        <f>MIN(J1327+G1327,(J1327+G1327)*'Hoja 4 - Cálculo'!$B$15)</f>
        <v>0.59944189999999997</v>
      </c>
      <c r="L1327" s="15">
        <f t="shared" si="293"/>
        <v>29.372653100000001</v>
      </c>
      <c r="M1327" s="15">
        <f t="shared" si="294"/>
        <v>14.375</v>
      </c>
      <c r="N1327" s="15">
        <f t="shared" si="295"/>
        <v>5</v>
      </c>
      <c r="O1327" s="15">
        <f t="shared" si="296"/>
        <v>9.9976531000000008</v>
      </c>
      <c r="P1327" s="15">
        <f t="shared" si="297"/>
        <v>0</v>
      </c>
      <c r="Q1327" s="14" t="str">
        <f>IF(M1327&gt;=I1327*'Hoja 4 - Cálculo'!$B$16,"Satisfactorio","Falla")</f>
        <v>Satisfactorio</v>
      </c>
      <c r="R1327" s="14">
        <f t="shared" si="304"/>
        <v>0</v>
      </c>
      <c r="S1327" s="14">
        <f t="shared" si="305"/>
        <v>0</v>
      </c>
    </row>
    <row r="1328" spans="1:19">
      <c r="A1328" s="14" t="str">
        <f t="shared" si="302"/>
        <v>SRY-4-3</v>
      </c>
      <c r="B1328" s="15">
        <f>'Curvas SRY'!$B$11</f>
        <v>5</v>
      </c>
      <c r="C1328" s="15">
        <f>'Curvas SRY'!$E$10</f>
        <v>1.25</v>
      </c>
      <c r="D1328" s="14" t="str">
        <f>'Curvas SRY'!$B$14</f>
        <v>Uso variable</v>
      </c>
      <c r="E1328" s="14">
        <f>5</f>
        <v>5</v>
      </c>
      <c r="F1328" s="21">
        <f>'Hoja 4 - Cálculo'!A29</f>
        <v>29707</v>
      </c>
      <c r="G1328" s="15">
        <f>'Hoja 4 - Cálculo'!H29</f>
        <v>26.048249999999999</v>
      </c>
      <c r="H1328" s="15">
        <f>IF(D1328="Uso único",'Hoja 4 - Cálculo'!I29,IF(D1328="Uso múltiple",AVERAGE('Hoja 4 - Cálculo'!$I$25:$I$384)+AVERAGE('Hoja 4 - Cálculo'!$J$25:$J$384)+AVERAGE('Hoja 4 - Cálculo'!$K$25:$K$384),IF(D1328="Uso prioritario",'Hoja 4 - Cálculo'!I29+'Hoja 4 - Cálculo'!K29,'Hoja 4 - Cálculo'!I29+'Hoja 4 - Cálculo'!J29+'Hoja 4 - Cálculo'!K29)))</f>
        <v>11.5</v>
      </c>
      <c r="I1328" s="15">
        <f t="shared" si="292"/>
        <v>14.375</v>
      </c>
      <c r="J1328" s="15">
        <f t="shared" si="303"/>
        <v>5</v>
      </c>
      <c r="K1328" s="15">
        <f>MIN(J1328+G1328,(J1328+G1328)*'Hoja 4 - Cálculo'!$B$15)</f>
        <v>0.62096499999999999</v>
      </c>
      <c r="L1328" s="15">
        <f t="shared" si="293"/>
        <v>30.427284999999998</v>
      </c>
      <c r="M1328" s="15">
        <f t="shared" si="294"/>
        <v>14.375</v>
      </c>
      <c r="N1328" s="15">
        <f t="shared" si="295"/>
        <v>5</v>
      </c>
      <c r="O1328" s="15">
        <f t="shared" si="296"/>
        <v>11.052284999999998</v>
      </c>
      <c r="P1328" s="15">
        <f t="shared" si="297"/>
        <v>0</v>
      </c>
      <c r="Q1328" s="14" t="str">
        <f>IF(M1328&gt;=I1328*'Hoja 4 - Cálculo'!$B$16,"Satisfactorio","Falla")</f>
        <v>Satisfactorio</v>
      </c>
      <c r="R1328" s="14">
        <f t="shared" si="304"/>
        <v>0</v>
      </c>
      <c r="S1328" s="14">
        <f t="shared" si="305"/>
        <v>0</v>
      </c>
    </row>
    <row r="1329" spans="1:19">
      <c r="A1329" s="14" t="str">
        <f t="shared" si="302"/>
        <v>SRY-4-3</v>
      </c>
      <c r="B1329" s="15">
        <f>'Curvas SRY'!$B$11</f>
        <v>5</v>
      </c>
      <c r="C1329" s="15">
        <f>'Curvas SRY'!$E$10</f>
        <v>1.25</v>
      </c>
      <c r="D1329" s="14" t="str">
        <f>'Curvas SRY'!$B$14</f>
        <v>Uso variable</v>
      </c>
      <c r="E1329" s="14">
        <f>6</f>
        <v>6</v>
      </c>
      <c r="F1329" s="21">
        <f>'Hoja 4 - Cálculo'!A30</f>
        <v>29738</v>
      </c>
      <c r="G1329" s="15">
        <f>'Hoja 4 - Cálculo'!H30</f>
        <v>15.625125000000001</v>
      </c>
      <c r="H1329" s="15">
        <f>IF(D1329="Uso único",'Hoja 4 - Cálculo'!I30,IF(D1329="Uso múltiple",AVERAGE('Hoja 4 - Cálculo'!$I$25:$I$384)+AVERAGE('Hoja 4 - Cálculo'!$J$25:$J$384)+AVERAGE('Hoja 4 - Cálculo'!$K$25:$K$384),IF(D1329="Uso prioritario",'Hoja 4 - Cálculo'!I30+'Hoja 4 - Cálculo'!K30,'Hoja 4 - Cálculo'!I30+'Hoja 4 - Cálculo'!J30+'Hoja 4 - Cálculo'!K30)))</f>
        <v>11.5</v>
      </c>
      <c r="I1329" s="15">
        <f t="shared" si="292"/>
        <v>14.375</v>
      </c>
      <c r="J1329" s="15">
        <f t="shared" si="303"/>
        <v>5</v>
      </c>
      <c r="K1329" s="15">
        <f>MIN(J1329+G1329,(J1329+G1329)*'Hoja 4 - Cálculo'!$B$15)</f>
        <v>0.41250249999999999</v>
      </c>
      <c r="L1329" s="15">
        <f t="shared" si="293"/>
        <v>20.212622500000002</v>
      </c>
      <c r="M1329" s="15">
        <f t="shared" si="294"/>
        <v>14.375</v>
      </c>
      <c r="N1329" s="15">
        <f t="shared" si="295"/>
        <v>5</v>
      </c>
      <c r="O1329" s="15">
        <f t="shared" si="296"/>
        <v>0.83762250000000193</v>
      </c>
      <c r="P1329" s="15">
        <f t="shared" si="297"/>
        <v>0</v>
      </c>
      <c r="Q1329" s="14" t="str">
        <f>IF(M1329&gt;=I1329*'Hoja 4 - Cálculo'!$B$16,"Satisfactorio","Falla")</f>
        <v>Satisfactorio</v>
      </c>
      <c r="R1329" s="14">
        <f t="shared" si="304"/>
        <v>0</v>
      </c>
      <c r="S1329" s="14">
        <f t="shared" si="305"/>
        <v>0</v>
      </c>
    </row>
    <row r="1330" spans="1:19">
      <c r="A1330" s="14" t="str">
        <f t="shared" si="302"/>
        <v>SRY-4-3</v>
      </c>
      <c r="B1330" s="15">
        <f>'Curvas SRY'!$B$11</f>
        <v>5</v>
      </c>
      <c r="C1330" s="15">
        <f>'Curvas SRY'!$E$10</f>
        <v>1.25</v>
      </c>
      <c r="D1330" s="14" t="str">
        <f>'Curvas SRY'!$B$14</f>
        <v>Uso variable</v>
      </c>
      <c r="E1330" s="14">
        <f>7</f>
        <v>7</v>
      </c>
      <c r="F1330" s="21">
        <f>'Hoja 4 - Cálculo'!A31</f>
        <v>29768</v>
      </c>
      <c r="G1330" s="15">
        <f>'Hoja 4 - Cálculo'!H31</f>
        <v>12.794625</v>
      </c>
      <c r="H1330" s="15">
        <f>IF(D1330="Uso único",'Hoja 4 - Cálculo'!I31,IF(D1330="Uso múltiple",AVERAGE('Hoja 4 - Cálculo'!$I$25:$I$384)+AVERAGE('Hoja 4 - Cálculo'!$J$25:$J$384)+AVERAGE('Hoja 4 - Cálculo'!$K$25:$K$384),IF(D1330="Uso prioritario",'Hoja 4 - Cálculo'!I31+'Hoja 4 - Cálculo'!K31,'Hoja 4 - Cálculo'!I31+'Hoja 4 - Cálculo'!J31+'Hoja 4 - Cálculo'!K31)))</f>
        <v>16</v>
      </c>
      <c r="I1330" s="15">
        <f t="shared" si="292"/>
        <v>20</v>
      </c>
      <c r="J1330" s="15">
        <f t="shared" si="303"/>
        <v>5</v>
      </c>
      <c r="K1330" s="15">
        <f>MIN(J1330+G1330,(J1330+G1330)*'Hoja 4 - Cálculo'!$B$15)</f>
        <v>0.3558925</v>
      </c>
      <c r="L1330" s="15">
        <f t="shared" si="293"/>
        <v>17.4387325</v>
      </c>
      <c r="M1330" s="15">
        <f t="shared" si="294"/>
        <v>17.4387325</v>
      </c>
      <c r="N1330" s="15">
        <f t="shared" si="295"/>
        <v>0</v>
      </c>
      <c r="O1330" s="15">
        <f t="shared" si="296"/>
        <v>0</v>
      </c>
      <c r="P1330" s="15">
        <f t="shared" si="297"/>
        <v>2.5612674999999996</v>
      </c>
      <c r="Q1330" s="14" t="str">
        <f>IF(M1330&gt;=I1330*'Hoja 4 - Cálculo'!$B$16,"Satisfactorio","Falla")</f>
        <v>Falla</v>
      </c>
      <c r="R1330" s="14">
        <f t="shared" si="304"/>
        <v>0</v>
      </c>
      <c r="S1330" s="14">
        <f t="shared" si="305"/>
        <v>1</v>
      </c>
    </row>
    <row r="1331" spans="1:19">
      <c r="A1331" s="14" t="str">
        <f t="shared" si="302"/>
        <v>SRY-4-3</v>
      </c>
      <c r="B1331" s="15">
        <f>'Curvas SRY'!$B$11</f>
        <v>5</v>
      </c>
      <c r="C1331" s="15">
        <f>'Curvas SRY'!$E$10</f>
        <v>1.25</v>
      </c>
      <c r="D1331" s="14" t="str">
        <f>'Curvas SRY'!$B$14</f>
        <v>Uso variable</v>
      </c>
      <c r="E1331" s="14">
        <f>8</f>
        <v>8</v>
      </c>
      <c r="F1331" s="21">
        <f>'Hoja 4 - Cálculo'!A32</f>
        <v>29799</v>
      </c>
      <c r="G1331" s="15">
        <f>'Hoja 4 - Cálculo'!H32</f>
        <v>13.712624999999999</v>
      </c>
      <c r="H1331" s="15">
        <f>IF(D1331="Uso único",'Hoja 4 - Cálculo'!I32,IF(D1331="Uso múltiple",AVERAGE('Hoja 4 - Cálculo'!$I$25:$I$384)+AVERAGE('Hoja 4 - Cálculo'!$J$25:$J$384)+AVERAGE('Hoja 4 - Cálculo'!$K$25:$K$384),IF(D1331="Uso prioritario",'Hoja 4 - Cálculo'!I32+'Hoja 4 - Cálculo'!K32,'Hoja 4 - Cálculo'!I32+'Hoja 4 - Cálculo'!J32+'Hoja 4 - Cálculo'!K32)))</f>
        <v>16</v>
      </c>
      <c r="I1331" s="15">
        <f t="shared" si="292"/>
        <v>20</v>
      </c>
      <c r="J1331" s="15">
        <f t="shared" si="303"/>
        <v>0</v>
      </c>
      <c r="K1331" s="15">
        <f>MIN(J1331+G1331,(J1331+G1331)*'Hoja 4 - Cálculo'!$B$15)</f>
        <v>0.27425250000000001</v>
      </c>
      <c r="L1331" s="15">
        <f t="shared" si="293"/>
        <v>13.4383725</v>
      </c>
      <c r="M1331" s="15">
        <f t="shared" si="294"/>
        <v>13.4383725</v>
      </c>
      <c r="N1331" s="15">
        <f t="shared" si="295"/>
        <v>0</v>
      </c>
      <c r="O1331" s="15">
        <f t="shared" si="296"/>
        <v>0</v>
      </c>
      <c r="P1331" s="15">
        <f t="shared" si="297"/>
        <v>6.5616275000000002</v>
      </c>
      <c r="Q1331" s="14" t="str">
        <f>IF(M1331&gt;=I1331*'Hoja 4 - Cálculo'!$B$16,"Satisfactorio","Falla")</f>
        <v>Falla</v>
      </c>
      <c r="R1331" s="14">
        <f t="shared" si="304"/>
        <v>0</v>
      </c>
      <c r="S1331" s="14">
        <f t="shared" si="305"/>
        <v>0</v>
      </c>
    </row>
    <row r="1332" spans="1:19">
      <c r="A1332" s="14" t="str">
        <f t="shared" si="302"/>
        <v>SRY-4-3</v>
      </c>
      <c r="B1332" s="15">
        <f>'Curvas SRY'!$B$11</f>
        <v>5</v>
      </c>
      <c r="C1332" s="15">
        <f>'Curvas SRY'!$E$10</f>
        <v>1.25</v>
      </c>
      <c r="D1332" s="14" t="str">
        <f>'Curvas SRY'!$B$14</f>
        <v>Uso variable</v>
      </c>
      <c r="E1332" s="14">
        <f>9</f>
        <v>9</v>
      </c>
      <c r="F1332" s="21">
        <f>'Hoja 4 - Cálculo'!A33</f>
        <v>29830</v>
      </c>
      <c r="G1332" s="15">
        <f>'Hoja 4 - Cálculo'!H33</f>
        <v>22.070250000000001</v>
      </c>
      <c r="H1332" s="15">
        <f>IF(D1332="Uso único",'Hoja 4 - Cálculo'!I33,IF(D1332="Uso múltiple",AVERAGE('Hoja 4 - Cálculo'!$I$25:$I$384)+AVERAGE('Hoja 4 - Cálculo'!$J$25:$J$384)+AVERAGE('Hoja 4 - Cálculo'!$K$25:$K$384),IF(D1332="Uso prioritario",'Hoja 4 - Cálculo'!I33+'Hoja 4 - Cálculo'!K33,'Hoja 4 - Cálculo'!I33+'Hoja 4 - Cálculo'!J33+'Hoja 4 - Cálculo'!K33)))</f>
        <v>11.5</v>
      </c>
      <c r="I1332" s="15">
        <f t="shared" si="292"/>
        <v>14.375</v>
      </c>
      <c r="J1332" s="15">
        <f t="shared" si="303"/>
        <v>0</v>
      </c>
      <c r="K1332" s="15">
        <f>MIN(J1332+G1332,(J1332+G1332)*'Hoja 4 - Cálculo'!$B$15)</f>
        <v>0.44140500000000005</v>
      </c>
      <c r="L1332" s="15">
        <f t="shared" si="293"/>
        <v>21.628845000000002</v>
      </c>
      <c r="M1332" s="15">
        <f t="shared" si="294"/>
        <v>14.375</v>
      </c>
      <c r="N1332" s="15">
        <f t="shared" si="295"/>
        <v>5</v>
      </c>
      <c r="O1332" s="15">
        <f t="shared" si="296"/>
        <v>2.2538450000000019</v>
      </c>
      <c r="P1332" s="15">
        <f t="shared" si="297"/>
        <v>0</v>
      </c>
      <c r="Q1332" s="14" t="str">
        <f>IF(M1332&gt;=I1332*'Hoja 4 - Cálculo'!$B$16,"Satisfactorio","Falla")</f>
        <v>Satisfactorio</v>
      </c>
      <c r="R1332" s="14">
        <f t="shared" si="304"/>
        <v>1</v>
      </c>
      <c r="S1332" s="14">
        <f t="shared" si="305"/>
        <v>0</v>
      </c>
    </row>
    <row r="1333" spans="1:19">
      <c r="A1333" s="14" t="str">
        <f t="shared" si="302"/>
        <v>SRY-4-3</v>
      </c>
      <c r="B1333" s="15">
        <f>'Curvas SRY'!$B$11</f>
        <v>5</v>
      </c>
      <c r="C1333" s="15">
        <f>'Curvas SRY'!$E$10</f>
        <v>1.25</v>
      </c>
      <c r="D1333" s="14" t="str">
        <f>'Curvas SRY'!$B$14</f>
        <v>Uso variable</v>
      </c>
      <c r="E1333" s="14">
        <f>10</f>
        <v>10</v>
      </c>
      <c r="F1333" s="21">
        <f>'Hoja 4 - Cálculo'!A34</f>
        <v>29860</v>
      </c>
      <c r="G1333" s="15">
        <f>'Hoja 4 - Cálculo'!H34</f>
        <v>29.777625</v>
      </c>
      <c r="H1333" s="15">
        <f>IF(D1333="Uso único",'Hoja 4 - Cálculo'!I34,IF(D1333="Uso múltiple",AVERAGE('Hoja 4 - Cálculo'!$I$25:$I$384)+AVERAGE('Hoja 4 - Cálculo'!$J$25:$J$384)+AVERAGE('Hoja 4 - Cálculo'!$K$25:$K$384),IF(D1333="Uso prioritario",'Hoja 4 - Cálculo'!I34+'Hoja 4 - Cálculo'!K34,'Hoja 4 - Cálculo'!I34+'Hoja 4 - Cálculo'!J34+'Hoja 4 - Cálculo'!K34)))</f>
        <v>11.5</v>
      </c>
      <c r="I1333" s="15">
        <f t="shared" si="292"/>
        <v>14.375</v>
      </c>
      <c r="J1333" s="15">
        <f t="shared" si="303"/>
        <v>5</v>
      </c>
      <c r="K1333" s="15">
        <f>MIN(J1333+G1333,(J1333+G1333)*'Hoja 4 - Cálculo'!$B$15)</f>
        <v>0.69555250000000002</v>
      </c>
      <c r="L1333" s="15">
        <f t="shared" si="293"/>
        <v>34.082072500000002</v>
      </c>
      <c r="M1333" s="15">
        <f t="shared" si="294"/>
        <v>14.375</v>
      </c>
      <c r="N1333" s="15">
        <f t="shared" si="295"/>
        <v>5</v>
      </c>
      <c r="O1333" s="15">
        <f t="shared" si="296"/>
        <v>14.707072500000002</v>
      </c>
      <c r="P1333" s="15">
        <f t="shared" si="297"/>
        <v>0</v>
      </c>
      <c r="Q1333" s="14" t="str">
        <f>IF(M1333&gt;=I1333*'Hoja 4 - Cálculo'!$B$16,"Satisfactorio","Falla")</f>
        <v>Satisfactorio</v>
      </c>
      <c r="R1333" s="14">
        <f t="shared" si="304"/>
        <v>0</v>
      </c>
      <c r="S1333" s="14">
        <f t="shared" si="305"/>
        <v>0</v>
      </c>
    </row>
    <row r="1334" spans="1:19">
      <c r="A1334" s="14" t="str">
        <f t="shared" si="302"/>
        <v>SRY-4-3</v>
      </c>
      <c r="B1334" s="15">
        <f>'Curvas SRY'!$B$11</f>
        <v>5</v>
      </c>
      <c r="C1334" s="15">
        <f>'Curvas SRY'!$E$10</f>
        <v>1.25</v>
      </c>
      <c r="D1334" s="14" t="str">
        <f>'Curvas SRY'!$B$14</f>
        <v>Uso variable</v>
      </c>
      <c r="E1334" s="14">
        <f>11</f>
        <v>11</v>
      </c>
      <c r="F1334" s="21">
        <f>'Hoja 4 - Cálculo'!A35</f>
        <v>29891</v>
      </c>
      <c r="G1334" s="15">
        <f>'Hoja 4 - Cálculo'!H35</f>
        <v>25.51275</v>
      </c>
      <c r="H1334" s="15">
        <f>IF(D1334="Uso único",'Hoja 4 - Cálculo'!I35,IF(D1334="Uso múltiple",AVERAGE('Hoja 4 - Cálculo'!$I$25:$I$384)+AVERAGE('Hoja 4 - Cálculo'!$J$25:$J$384)+AVERAGE('Hoja 4 - Cálculo'!$K$25:$K$384),IF(D1334="Uso prioritario",'Hoja 4 - Cálculo'!I35+'Hoja 4 - Cálculo'!K35,'Hoja 4 - Cálculo'!I35+'Hoja 4 - Cálculo'!J35+'Hoja 4 - Cálculo'!K35)))</f>
        <v>11.5</v>
      </c>
      <c r="I1334" s="15">
        <f t="shared" si="292"/>
        <v>14.375</v>
      </c>
      <c r="J1334" s="15">
        <f t="shared" si="303"/>
        <v>5</v>
      </c>
      <c r="K1334" s="15">
        <f>MIN(J1334+G1334,(J1334+G1334)*'Hoja 4 - Cálculo'!$B$15)</f>
        <v>0.61025499999999999</v>
      </c>
      <c r="L1334" s="15">
        <f t="shared" si="293"/>
        <v>29.902495000000002</v>
      </c>
      <c r="M1334" s="15">
        <f t="shared" si="294"/>
        <v>14.375</v>
      </c>
      <c r="N1334" s="15">
        <f t="shared" si="295"/>
        <v>5</v>
      </c>
      <c r="O1334" s="15">
        <f t="shared" si="296"/>
        <v>10.527495000000002</v>
      </c>
      <c r="P1334" s="15">
        <f t="shared" si="297"/>
        <v>0</v>
      </c>
      <c r="Q1334" s="14" t="str">
        <f>IF(M1334&gt;=I1334*'Hoja 4 - Cálculo'!$B$16,"Satisfactorio","Falla")</f>
        <v>Satisfactorio</v>
      </c>
      <c r="R1334" s="14">
        <f t="shared" si="304"/>
        <v>0</v>
      </c>
      <c r="S1334" s="14">
        <f t="shared" si="305"/>
        <v>0</v>
      </c>
    </row>
    <row r="1335" spans="1:19">
      <c r="A1335" s="14" t="str">
        <f t="shared" si="302"/>
        <v>SRY-4-3</v>
      </c>
      <c r="B1335" s="15">
        <f>'Curvas SRY'!$B$11</f>
        <v>5</v>
      </c>
      <c r="C1335" s="15">
        <f>'Curvas SRY'!$E$10</f>
        <v>1.25</v>
      </c>
      <c r="D1335" s="14" t="str">
        <f>'Curvas SRY'!$B$14</f>
        <v>Uso variable</v>
      </c>
      <c r="E1335" s="14">
        <f>12</f>
        <v>12</v>
      </c>
      <c r="F1335" s="21">
        <f>'Hoja 4 - Cálculo'!A36</f>
        <v>29921</v>
      </c>
      <c r="G1335" s="15">
        <f>'Hoja 4 - Cálculo'!H36</f>
        <v>15.3765</v>
      </c>
      <c r="H1335" s="15">
        <f>IF(D1335="Uso único",'Hoja 4 - Cálculo'!I36,IF(D1335="Uso múltiple",AVERAGE('Hoja 4 - Cálculo'!$I$25:$I$384)+AVERAGE('Hoja 4 - Cálculo'!$J$25:$J$384)+AVERAGE('Hoja 4 - Cálculo'!$K$25:$K$384),IF(D1335="Uso prioritario",'Hoja 4 - Cálculo'!I36+'Hoja 4 - Cálculo'!K36,'Hoja 4 - Cálculo'!I36+'Hoja 4 - Cálculo'!J36+'Hoja 4 - Cálculo'!K36)))</f>
        <v>16</v>
      </c>
      <c r="I1335" s="15">
        <f t="shared" si="292"/>
        <v>20</v>
      </c>
      <c r="J1335" s="15">
        <f t="shared" si="303"/>
        <v>5</v>
      </c>
      <c r="K1335" s="15">
        <f>MIN(J1335+G1335,(J1335+G1335)*'Hoja 4 - Cálculo'!$B$15)</f>
        <v>0.40753</v>
      </c>
      <c r="L1335" s="15">
        <f t="shared" si="293"/>
        <v>19.968969999999999</v>
      </c>
      <c r="M1335" s="15">
        <f t="shared" si="294"/>
        <v>19.968969999999999</v>
      </c>
      <c r="N1335" s="15">
        <f t="shared" si="295"/>
        <v>0</v>
      </c>
      <c r="O1335" s="15">
        <f t="shared" si="296"/>
        <v>0</v>
      </c>
      <c r="P1335" s="15">
        <f t="shared" si="297"/>
        <v>3.1030000000001223E-2</v>
      </c>
      <c r="Q1335" s="14" t="str">
        <f>IF(M1335&gt;=I1335*'Hoja 4 - Cálculo'!$B$16,"Satisfactorio","Falla")</f>
        <v>Falla</v>
      </c>
      <c r="R1335" s="14">
        <f t="shared" si="304"/>
        <v>0</v>
      </c>
      <c r="S1335" s="14">
        <f t="shared" si="305"/>
        <v>1</v>
      </c>
    </row>
    <row r="1336" spans="1:19">
      <c r="A1336" s="14" t="str">
        <f t="shared" si="302"/>
        <v>SRY-4-3</v>
      </c>
      <c r="B1336" s="15">
        <f>'Curvas SRY'!$B$11</f>
        <v>5</v>
      </c>
      <c r="C1336" s="15">
        <f>'Curvas SRY'!$E$10</f>
        <v>1.25</v>
      </c>
      <c r="D1336" s="14" t="str">
        <f>'Curvas SRY'!$B$14</f>
        <v>Uso variable</v>
      </c>
      <c r="E1336" s="14">
        <f>13</f>
        <v>13</v>
      </c>
      <c r="F1336" s="21">
        <f>'Hoja 4 - Cálculo'!A37</f>
        <v>29952</v>
      </c>
      <c r="G1336" s="15">
        <f>'Hoja 4 - Cálculo'!H37</f>
        <v>13.808249999999999</v>
      </c>
      <c r="H1336" s="15">
        <f>IF(D1336="Uso único",'Hoja 4 - Cálculo'!I37,IF(D1336="Uso múltiple",AVERAGE('Hoja 4 - Cálculo'!$I$25:$I$384)+AVERAGE('Hoja 4 - Cálculo'!$J$25:$J$384)+AVERAGE('Hoja 4 - Cálculo'!$K$25:$K$384),IF(D1336="Uso prioritario",'Hoja 4 - Cálculo'!I37+'Hoja 4 - Cálculo'!K37,'Hoja 4 - Cálculo'!I37+'Hoja 4 - Cálculo'!J37+'Hoja 4 - Cálculo'!K37)))</f>
        <v>16</v>
      </c>
      <c r="I1336" s="15">
        <f t="shared" si="292"/>
        <v>20</v>
      </c>
      <c r="J1336" s="15">
        <f t="shared" si="303"/>
        <v>0</v>
      </c>
      <c r="K1336" s="15">
        <f>MIN(J1336+G1336,(J1336+G1336)*'Hoja 4 - Cálculo'!$B$15)</f>
        <v>0.27616499999999999</v>
      </c>
      <c r="L1336" s="15">
        <f t="shared" si="293"/>
        <v>13.532084999999999</v>
      </c>
      <c r="M1336" s="15">
        <f t="shared" si="294"/>
        <v>13.532084999999999</v>
      </c>
      <c r="N1336" s="15">
        <f t="shared" si="295"/>
        <v>0</v>
      </c>
      <c r="O1336" s="15">
        <f t="shared" si="296"/>
        <v>0</v>
      </c>
      <c r="P1336" s="15">
        <f t="shared" si="297"/>
        <v>6.4679150000000014</v>
      </c>
      <c r="Q1336" s="14" t="str">
        <f>IF(M1336&gt;=I1336*'Hoja 4 - Cálculo'!$B$16,"Satisfactorio","Falla")</f>
        <v>Falla</v>
      </c>
      <c r="R1336" s="14">
        <f t="shared" si="304"/>
        <v>0</v>
      </c>
      <c r="S1336" s="14">
        <f t="shared" si="305"/>
        <v>0</v>
      </c>
    </row>
    <row r="1337" spans="1:19">
      <c r="A1337" s="14" t="str">
        <f t="shared" si="302"/>
        <v>SRY-4-3</v>
      </c>
      <c r="B1337" s="15">
        <f>'Curvas SRY'!$B$11</f>
        <v>5</v>
      </c>
      <c r="C1337" s="15">
        <f>'Curvas SRY'!$E$10</f>
        <v>1.25</v>
      </c>
      <c r="D1337" s="14" t="str">
        <f>'Curvas SRY'!$B$14</f>
        <v>Uso variable</v>
      </c>
      <c r="E1337" s="14">
        <f>14</f>
        <v>14</v>
      </c>
      <c r="F1337" s="21">
        <f>'Hoja 4 - Cálculo'!A38</f>
        <v>29983</v>
      </c>
      <c r="G1337" s="15">
        <f>'Hoja 4 - Cálculo'!H38</f>
        <v>15.472125</v>
      </c>
      <c r="H1337" s="15">
        <f>IF(D1337="Uso único",'Hoja 4 - Cálculo'!I38,IF(D1337="Uso múltiple",AVERAGE('Hoja 4 - Cálculo'!$I$25:$I$384)+AVERAGE('Hoja 4 - Cálculo'!$J$25:$J$384)+AVERAGE('Hoja 4 - Cálculo'!$K$25:$K$384),IF(D1337="Uso prioritario",'Hoja 4 - Cálculo'!I38+'Hoja 4 - Cálculo'!K38,'Hoja 4 - Cálculo'!I38+'Hoja 4 - Cálculo'!J38+'Hoja 4 - Cálculo'!K38)))</f>
        <v>16</v>
      </c>
      <c r="I1337" s="15">
        <f t="shared" si="292"/>
        <v>20</v>
      </c>
      <c r="J1337" s="15">
        <f t="shared" si="303"/>
        <v>0</v>
      </c>
      <c r="K1337" s="15">
        <f>MIN(J1337+G1337,(J1337+G1337)*'Hoja 4 - Cálculo'!$B$15)</f>
        <v>0.30944250000000001</v>
      </c>
      <c r="L1337" s="15">
        <f t="shared" si="293"/>
        <v>15.162682500000001</v>
      </c>
      <c r="M1337" s="15">
        <f t="shared" si="294"/>
        <v>15.162682500000001</v>
      </c>
      <c r="N1337" s="15">
        <f t="shared" si="295"/>
        <v>0</v>
      </c>
      <c r="O1337" s="15">
        <f t="shared" si="296"/>
        <v>0</v>
      </c>
      <c r="P1337" s="15">
        <f t="shared" si="297"/>
        <v>4.8373174999999993</v>
      </c>
      <c r="Q1337" s="14" t="str">
        <f>IF(M1337&gt;=I1337*'Hoja 4 - Cálculo'!$B$16,"Satisfactorio","Falla")</f>
        <v>Falla</v>
      </c>
      <c r="R1337" s="14">
        <f t="shared" si="304"/>
        <v>0</v>
      </c>
      <c r="S1337" s="14">
        <f t="shared" si="305"/>
        <v>0</v>
      </c>
    </row>
    <row r="1338" spans="1:19">
      <c r="A1338" s="14" t="str">
        <f t="shared" si="302"/>
        <v>SRY-4-3</v>
      </c>
      <c r="B1338" s="15">
        <f>'Curvas SRY'!$B$11</f>
        <v>5</v>
      </c>
      <c r="C1338" s="15">
        <f>'Curvas SRY'!$E$10</f>
        <v>1.25</v>
      </c>
      <c r="D1338" s="14" t="str">
        <f>'Curvas SRY'!$B$14</f>
        <v>Uso variable</v>
      </c>
      <c r="E1338" s="14">
        <f>15</f>
        <v>15</v>
      </c>
      <c r="F1338" s="21">
        <f>'Hoja 4 - Cálculo'!A39</f>
        <v>30011</v>
      </c>
      <c r="G1338" s="15">
        <f>'Hoja 4 - Cálculo'!H39</f>
        <v>22.338000000000001</v>
      </c>
      <c r="H1338" s="15">
        <f>IF(D1338="Uso único",'Hoja 4 - Cálculo'!I39,IF(D1338="Uso múltiple",AVERAGE('Hoja 4 - Cálculo'!$I$25:$I$384)+AVERAGE('Hoja 4 - Cálculo'!$J$25:$J$384)+AVERAGE('Hoja 4 - Cálculo'!$K$25:$K$384),IF(D1338="Uso prioritario",'Hoja 4 - Cálculo'!I39+'Hoja 4 - Cálculo'!K39,'Hoja 4 - Cálculo'!I39+'Hoja 4 - Cálculo'!J39+'Hoja 4 - Cálculo'!K39)))</f>
        <v>16</v>
      </c>
      <c r="I1338" s="15">
        <f t="shared" si="292"/>
        <v>20</v>
      </c>
      <c r="J1338" s="15">
        <f t="shared" si="303"/>
        <v>0</v>
      </c>
      <c r="K1338" s="15">
        <f>MIN(J1338+G1338,(J1338+G1338)*'Hoja 4 - Cálculo'!$B$15)</f>
        <v>0.44676000000000005</v>
      </c>
      <c r="L1338" s="15">
        <f t="shared" si="293"/>
        <v>21.89124</v>
      </c>
      <c r="M1338" s="15">
        <f t="shared" si="294"/>
        <v>20</v>
      </c>
      <c r="N1338" s="15">
        <f t="shared" si="295"/>
        <v>1.8912399999999998</v>
      </c>
      <c r="O1338" s="15">
        <f t="shared" si="296"/>
        <v>0</v>
      </c>
      <c r="P1338" s="15">
        <f t="shared" si="297"/>
        <v>0</v>
      </c>
      <c r="Q1338" s="14" t="str">
        <f>IF(M1338&gt;=I1338*'Hoja 4 - Cálculo'!$B$16,"Satisfactorio","Falla")</f>
        <v>Satisfactorio</v>
      </c>
      <c r="R1338" s="14">
        <f t="shared" si="304"/>
        <v>1</v>
      </c>
      <c r="S1338" s="14">
        <f t="shared" si="305"/>
        <v>0</v>
      </c>
    </row>
    <row r="1339" spans="1:19">
      <c r="A1339" s="14" t="str">
        <f t="shared" si="302"/>
        <v>SRY-4-3</v>
      </c>
      <c r="B1339" s="15">
        <f>'Curvas SRY'!$B$11</f>
        <v>5</v>
      </c>
      <c r="C1339" s="15">
        <f>'Curvas SRY'!$E$10</f>
        <v>1.25</v>
      </c>
      <c r="D1339" s="14" t="str">
        <f>'Curvas SRY'!$B$14</f>
        <v>Uso variable</v>
      </c>
      <c r="E1339" s="14">
        <f>16</f>
        <v>16</v>
      </c>
      <c r="F1339" s="21">
        <f>'Hoja 4 - Cálculo'!A40</f>
        <v>30042</v>
      </c>
      <c r="G1339" s="15">
        <f>'Hoja 4 - Cálculo'!H40</f>
        <v>31.670999999999999</v>
      </c>
      <c r="H1339" s="15">
        <f>IF(D1339="Uso único",'Hoja 4 - Cálculo'!I40,IF(D1339="Uso múltiple",AVERAGE('Hoja 4 - Cálculo'!$I$25:$I$384)+AVERAGE('Hoja 4 - Cálculo'!$J$25:$J$384)+AVERAGE('Hoja 4 - Cálculo'!$K$25:$K$384),IF(D1339="Uso prioritario",'Hoja 4 - Cálculo'!I40+'Hoja 4 - Cálculo'!K40,'Hoja 4 - Cálculo'!I40+'Hoja 4 - Cálculo'!J40+'Hoja 4 - Cálculo'!K40)))</f>
        <v>11.5</v>
      </c>
      <c r="I1339" s="15">
        <f t="shared" si="292"/>
        <v>14.375</v>
      </c>
      <c r="J1339" s="15">
        <f t="shared" si="303"/>
        <v>1.8912399999999998</v>
      </c>
      <c r="K1339" s="15">
        <f>MIN(J1339+G1339,(J1339+G1339)*'Hoja 4 - Cálculo'!$B$15)</f>
        <v>0.67124480000000009</v>
      </c>
      <c r="L1339" s="15">
        <f t="shared" si="293"/>
        <v>32.890995200000006</v>
      </c>
      <c r="M1339" s="15">
        <f t="shared" si="294"/>
        <v>14.375</v>
      </c>
      <c r="N1339" s="15">
        <f t="shared" si="295"/>
        <v>5</v>
      </c>
      <c r="O1339" s="15">
        <f t="shared" si="296"/>
        <v>13.515995200000006</v>
      </c>
      <c r="P1339" s="15">
        <f t="shared" si="297"/>
        <v>0</v>
      </c>
      <c r="Q1339" s="14" t="str">
        <f>IF(M1339&gt;=I1339*'Hoja 4 - Cálculo'!$B$16,"Satisfactorio","Falla")</f>
        <v>Satisfactorio</v>
      </c>
      <c r="R1339" s="14">
        <f t="shared" si="304"/>
        <v>0</v>
      </c>
      <c r="S1339" s="14">
        <f t="shared" si="305"/>
        <v>0</v>
      </c>
    </row>
    <row r="1340" spans="1:19">
      <c r="A1340" s="14" t="str">
        <f t="shared" si="302"/>
        <v>SRY-4-3</v>
      </c>
      <c r="B1340" s="15">
        <f>'Curvas SRY'!$B$11</f>
        <v>5</v>
      </c>
      <c r="C1340" s="15">
        <f>'Curvas SRY'!$E$10</f>
        <v>1.25</v>
      </c>
      <c r="D1340" s="14" t="str">
        <f>'Curvas SRY'!$B$14</f>
        <v>Uso variable</v>
      </c>
      <c r="E1340" s="14">
        <f>17</f>
        <v>17</v>
      </c>
      <c r="F1340" s="21">
        <f>'Hoja 4 - Cálculo'!A41</f>
        <v>30072</v>
      </c>
      <c r="G1340" s="15">
        <f>'Hoja 4 - Cálculo'!H41</f>
        <v>29.299499999999998</v>
      </c>
      <c r="H1340" s="15">
        <f>IF(D1340="Uso único",'Hoja 4 - Cálculo'!I41,IF(D1340="Uso múltiple",AVERAGE('Hoja 4 - Cálculo'!$I$25:$I$384)+AVERAGE('Hoja 4 - Cálculo'!$J$25:$J$384)+AVERAGE('Hoja 4 - Cálculo'!$K$25:$K$384),IF(D1340="Uso prioritario",'Hoja 4 - Cálculo'!I41+'Hoja 4 - Cálculo'!K41,'Hoja 4 - Cálculo'!I41+'Hoja 4 - Cálculo'!J41+'Hoja 4 - Cálculo'!K41)))</f>
        <v>11.5</v>
      </c>
      <c r="I1340" s="15">
        <f t="shared" si="292"/>
        <v>14.375</v>
      </c>
      <c r="J1340" s="15">
        <f t="shared" si="303"/>
        <v>5</v>
      </c>
      <c r="K1340" s="15">
        <f>MIN(J1340+G1340,(J1340+G1340)*'Hoja 4 - Cálculo'!$B$15)</f>
        <v>0.68598999999999988</v>
      </c>
      <c r="L1340" s="15">
        <f t="shared" si="293"/>
        <v>33.613509999999998</v>
      </c>
      <c r="M1340" s="15">
        <f t="shared" si="294"/>
        <v>14.375</v>
      </c>
      <c r="N1340" s="15">
        <f t="shared" si="295"/>
        <v>5</v>
      </c>
      <c r="O1340" s="15">
        <f t="shared" si="296"/>
        <v>14.238509999999998</v>
      </c>
      <c r="P1340" s="15">
        <f t="shared" si="297"/>
        <v>0</v>
      </c>
      <c r="Q1340" s="14" t="str">
        <f>IF(M1340&gt;=I1340*'Hoja 4 - Cálculo'!$B$16,"Satisfactorio","Falla")</f>
        <v>Satisfactorio</v>
      </c>
      <c r="R1340" s="14">
        <f t="shared" si="304"/>
        <v>0</v>
      </c>
      <c r="S1340" s="14">
        <f t="shared" si="305"/>
        <v>0</v>
      </c>
    </row>
    <row r="1341" spans="1:19">
      <c r="A1341" s="14" t="str">
        <f t="shared" si="302"/>
        <v>SRY-4-3</v>
      </c>
      <c r="B1341" s="15">
        <f>'Curvas SRY'!$B$11</f>
        <v>5</v>
      </c>
      <c r="C1341" s="15">
        <f>'Curvas SRY'!$E$10</f>
        <v>1.25</v>
      </c>
      <c r="D1341" s="14" t="str">
        <f>'Curvas SRY'!$B$14</f>
        <v>Uso variable</v>
      </c>
      <c r="E1341" s="14">
        <f>18</f>
        <v>18</v>
      </c>
      <c r="F1341" s="21">
        <f>'Hoja 4 - Cálculo'!A42</f>
        <v>30103</v>
      </c>
      <c r="G1341" s="15">
        <f>'Hoja 4 - Cálculo'!H42</f>
        <v>18.321750000000002</v>
      </c>
      <c r="H1341" s="15">
        <f>IF(D1341="Uso único",'Hoja 4 - Cálculo'!I42,IF(D1341="Uso múltiple",AVERAGE('Hoja 4 - Cálculo'!$I$25:$I$384)+AVERAGE('Hoja 4 - Cálculo'!$J$25:$J$384)+AVERAGE('Hoja 4 - Cálculo'!$K$25:$K$384),IF(D1341="Uso prioritario",'Hoja 4 - Cálculo'!I42+'Hoja 4 - Cálculo'!K42,'Hoja 4 - Cálculo'!I42+'Hoja 4 - Cálculo'!J42+'Hoja 4 - Cálculo'!K42)))</f>
        <v>11.5</v>
      </c>
      <c r="I1341" s="15">
        <f t="shared" si="292"/>
        <v>14.375</v>
      </c>
      <c r="J1341" s="15">
        <f t="shared" si="303"/>
        <v>5</v>
      </c>
      <c r="K1341" s="15">
        <f>MIN(J1341+G1341,(J1341+G1341)*'Hoja 4 - Cálculo'!$B$15)</f>
        <v>0.46643500000000004</v>
      </c>
      <c r="L1341" s="15">
        <f t="shared" si="293"/>
        <v>22.855315000000001</v>
      </c>
      <c r="M1341" s="15">
        <f t="shared" si="294"/>
        <v>14.375</v>
      </c>
      <c r="N1341" s="15">
        <f t="shared" si="295"/>
        <v>5</v>
      </c>
      <c r="O1341" s="15">
        <f t="shared" si="296"/>
        <v>3.4803150000000009</v>
      </c>
      <c r="P1341" s="15">
        <f t="shared" si="297"/>
        <v>0</v>
      </c>
      <c r="Q1341" s="14" t="str">
        <f>IF(M1341&gt;=I1341*'Hoja 4 - Cálculo'!$B$16,"Satisfactorio","Falla")</f>
        <v>Satisfactorio</v>
      </c>
      <c r="R1341" s="14">
        <f t="shared" si="304"/>
        <v>0</v>
      </c>
      <c r="S1341" s="14">
        <f t="shared" si="305"/>
        <v>0</v>
      </c>
    </row>
    <row r="1342" spans="1:19">
      <c r="A1342" s="14" t="str">
        <f t="shared" si="302"/>
        <v>SRY-4-3</v>
      </c>
      <c r="B1342" s="15">
        <f>'Curvas SRY'!$B$11</f>
        <v>5</v>
      </c>
      <c r="C1342" s="15">
        <f>'Curvas SRY'!$E$10</f>
        <v>1.25</v>
      </c>
      <c r="D1342" s="14" t="str">
        <f>'Curvas SRY'!$B$14</f>
        <v>Uso variable</v>
      </c>
      <c r="E1342" s="14">
        <f>19</f>
        <v>19</v>
      </c>
      <c r="F1342" s="21">
        <f>'Hoja 4 - Cálculo'!A43</f>
        <v>30133</v>
      </c>
      <c r="G1342" s="15">
        <f>'Hoja 4 - Cálculo'!H43</f>
        <v>15.3765</v>
      </c>
      <c r="H1342" s="15">
        <f>IF(D1342="Uso único",'Hoja 4 - Cálculo'!I43,IF(D1342="Uso múltiple",AVERAGE('Hoja 4 - Cálculo'!$I$25:$I$384)+AVERAGE('Hoja 4 - Cálculo'!$J$25:$J$384)+AVERAGE('Hoja 4 - Cálculo'!$K$25:$K$384),IF(D1342="Uso prioritario",'Hoja 4 - Cálculo'!I43+'Hoja 4 - Cálculo'!K43,'Hoja 4 - Cálculo'!I43+'Hoja 4 - Cálculo'!J43+'Hoja 4 - Cálculo'!K43)))</f>
        <v>16</v>
      </c>
      <c r="I1342" s="15">
        <f t="shared" si="292"/>
        <v>20</v>
      </c>
      <c r="J1342" s="15">
        <f t="shared" si="303"/>
        <v>5</v>
      </c>
      <c r="K1342" s="15">
        <f>MIN(J1342+G1342,(J1342+G1342)*'Hoja 4 - Cálculo'!$B$15)</f>
        <v>0.40753</v>
      </c>
      <c r="L1342" s="15">
        <f t="shared" si="293"/>
        <v>19.968969999999999</v>
      </c>
      <c r="M1342" s="15">
        <f t="shared" si="294"/>
        <v>19.968969999999999</v>
      </c>
      <c r="N1342" s="15">
        <f t="shared" si="295"/>
        <v>0</v>
      </c>
      <c r="O1342" s="15">
        <f t="shared" si="296"/>
        <v>0</v>
      </c>
      <c r="P1342" s="15">
        <f t="shared" si="297"/>
        <v>3.1030000000001223E-2</v>
      </c>
      <c r="Q1342" s="14" t="str">
        <f>IF(M1342&gt;=I1342*'Hoja 4 - Cálculo'!$B$16,"Satisfactorio","Falla")</f>
        <v>Falla</v>
      </c>
      <c r="R1342" s="14">
        <f t="shared" si="304"/>
        <v>0</v>
      </c>
      <c r="S1342" s="14">
        <f t="shared" si="305"/>
        <v>1</v>
      </c>
    </row>
    <row r="1343" spans="1:19">
      <c r="A1343" s="14" t="str">
        <f t="shared" si="302"/>
        <v>SRY-4-3</v>
      </c>
      <c r="B1343" s="15">
        <f>'Curvas SRY'!$B$11</f>
        <v>5</v>
      </c>
      <c r="C1343" s="15">
        <f>'Curvas SRY'!$E$10</f>
        <v>1.25</v>
      </c>
      <c r="D1343" s="14" t="str">
        <f>'Curvas SRY'!$B$14</f>
        <v>Uso variable</v>
      </c>
      <c r="E1343" s="14">
        <f>20</f>
        <v>20</v>
      </c>
      <c r="F1343" s="21">
        <f>'Hoja 4 - Cálculo'!A44</f>
        <v>30164</v>
      </c>
      <c r="G1343" s="15">
        <f>'Hoja 4 - Cálculo'!H44</f>
        <v>16.466625000000001</v>
      </c>
      <c r="H1343" s="15">
        <f>IF(D1343="Uso único",'Hoja 4 - Cálculo'!I44,IF(D1343="Uso múltiple",AVERAGE('Hoja 4 - Cálculo'!$I$25:$I$384)+AVERAGE('Hoja 4 - Cálculo'!$J$25:$J$384)+AVERAGE('Hoja 4 - Cálculo'!$K$25:$K$384),IF(D1343="Uso prioritario",'Hoja 4 - Cálculo'!I44+'Hoja 4 - Cálculo'!K44,'Hoja 4 - Cálculo'!I44+'Hoja 4 - Cálculo'!J44+'Hoja 4 - Cálculo'!K44)))</f>
        <v>16</v>
      </c>
      <c r="I1343" s="15">
        <f t="shared" si="292"/>
        <v>20</v>
      </c>
      <c r="J1343" s="15">
        <f t="shared" si="303"/>
        <v>0</v>
      </c>
      <c r="K1343" s="15">
        <f>MIN(J1343+G1343,(J1343+G1343)*'Hoja 4 - Cálculo'!$B$15)</f>
        <v>0.32933250000000003</v>
      </c>
      <c r="L1343" s="15">
        <f t="shared" si="293"/>
        <v>16.137292500000001</v>
      </c>
      <c r="M1343" s="15">
        <f t="shared" si="294"/>
        <v>16.137292500000001</v>
      </c>
      <c r="N1343" s="15">
        <f t="shared" si="295"/>
        <v>0</v>
      </c>
      <c r="O1343" s="15">
        <f t="shared" si="296"/>
        <v>0</v>
      </c>
      <c r="P1343" s="15">
        <f t="shared" si="297"/>
        <v>3.8627074999999991</v>
      </c>
      <c r="Q1343" s="14" t="str">
        <f>IF(M1343&gt;=I1343*'Hoja 4 - Cálculo'!$B$16,"Satisfactorio","Falla")</f>
        <v>Falla</v>
      </c>
      <c r="R1343" s="14">
        <f t="shared" si="304"/>
        <v>0</v>
      </c>
      <c r="S1343" s="14">
        <f t="shared" si="305"/>
        <v>0</v>
      </c>
    </row>
    <row r="1344" spans="1:19">
      <c r="A1344" s="14" t="str">
        <f t="shared" si="302"/>
        <v>SRY-4-3</v>
      </c>
      <c r="B1344" s="15">
        <f>'Curvas SRY'!$B$11</f>
        <v>5</v>
      </c>
      <c r="C1344" s="15">
        <f>'Curvas SRY'!$E$10</f>
        <v>1.25</v>
      </c>
      <c r="D1344" s="14" t="str">
        <f>'Curvas SRY'!$B$14</f>
        <v>Uso variable</v>
      </c>
      <c r="E1344" s="14">
        <f>21</f>
        <v>21</v>
      </c>
      <c r="F1344" s="21">
        <f>'Hoja 4 - Cálculo'!A45</f>
        <v>30195</v>
      </c>
      <c r="G1344" s="15">
        <f>'Hoja 4 - Cálculo'!H45</f>
        <v>25.837875</v>
      </c>
      <c r="H1344" s="15">
        <f>IF(D1344="Uso único",'Hoja 4 - Cálculo'!I45,IF(D1344="Uso múltiple",AVERAGE('Hoja 4 - Cálculo'!$I$25:$I$384)+AVERAGE('Hoja 4 - Cálculo'!$J$25:$J$384)+AVERAGE('Hoja 4 - Cálculo'!$K$25:$K$384),IF(D1344="Uso prioritario",'Hoja 4 - Cálculo'!I45+'Hoja 4 - Cálculo'!K45,'Hoja 4 - Cálculo'!I45+'Hoja 4 - Cálculo'!J45+'Hoja 4 - Cálculo'!K45)))</f>
        <v>11.5</v>
      </c>
      <c r="I1344" s="15">
        <f t="shared" si="292"/>
        <v>14.375</v>
      </c>
      <c r="J1344" s="15">
        <f t="shared" si="303"/>
        <v>0</v>
      </c>
      <c r="K1344" s="15">
        <f>MIN(J1344+G1344,(J1344+G1344)*'Hoja 4 - Cálculo'!$B$15)</f>
        <v>0.51675749999999998</v>
      </c>
      <c r="L1344" s="15">
        <f t="shared" si="293"/>
        <v>25.3211175</v>
      </c>
      <c r="M1344" s="15">
        <f t="shared" si="294"/>
        <v>14.375</v>
      </c>
      <c r="N1344" s="15">
        <f t="shared" si="295"/>
        <v>5</v>
      </c>
      <c r="O1344" s="15">
        <f t="shared" si="296"/>
        <v>5.9461174999999997</v>
      </c>
      <c r="P1344" s="15">
        <f t="shared" si="297"/>
        <v>0</v>
      </c>
      <c r="Q1344" s="14" t="str">
        <f>IF(M1344&gt;=I1344*'Hoja 4 - Cálculo'!$B$16,"Satisfactorio","Falla")</f>
        <v>Satisfactorio</v>
      </c>
      <c r="R1344" s="14">
        <f t="shared" si="304"/>
        <v>1</v>
      </c>
      <c r="S1344" s="14">
        <f t="shared" si="305"/>
        <v>0</v>
      </c>
    </row>
    <row r="1345" spans="1:19">
      <c r="A1345" s="14" t="str">
        <f t="shared" si="302"/>
        <v>SRY-4-3</v>
      </c>
      <c r="B1345" s="15">
        <f>'Curvas SRY'!$B$11</f>
        <v>5</v>
      </c>
      <c r="C1345" s="15">
        <f>'Curvas SRY'!$E$10</f>
        <v>1.25</v>
      </c>
      <c r="D1345" s="14" t="str">
        <f>'Curvas SRY'!$B$14</f>
        <v>Uso variable</v>
      </c>
      <c r="E1345" s="14">
        <f>22</f>
        <v>22</v>
      </c>
      <c r="F1345" s="21">
        <f>'Hoja 4 - Cálculo'!A46</f>
        <v>30225</v>
      </c>
      <c r="G1345" s="15">
        <f>'Hoja 4 - Cálculo'!H46</f>
        <v>33.46875</v>
      </c>
      <c r="H1345" s="15">
        <f>IF(D1345="Uso único",'Hoja 4 - Cálculo'!I46,IF(D1345="Uso múltiple",AVERAGE('Hoja 4 - Cálculo'!$I$25:$I$384)+AVERAGE('Hoja 4 - Cálculo'!$J$25:$J$384)+AVERAGE('Hoja 4 - Cálculo'!$K$25:$K$384),IF(D1345="Uso prioritario",'Hoja 4 - Cálculo'!I46+'Hoja 4 - Cálculo'!K46,'Hoja 4 - Cálculo'!I46+'Hoja 4 - Cálculo'!J46+'Hoja 4 - Cálculo'!K46)))</f>
        <v>11.5</v>
      </c>
      <c r="I1345" s="15">
        <f t="shared" si="292"/>
        <v>14.375</v>
      </c>
      <c r="J1345" s="15">
        <f t="shared" si="303"/>
        <v>5</v>
      </c>
      <c r="K1345" s="15">
        <f>MIN(J1345+G1345,(J1345+G1345)*'Hoja 4 - Cálculo'!$B$15)</f>
        <v>0.76937500000000003</v>
      </c>
      <c r="L1345" s="15">
        <f t="shared" si="293"/>
        <v>37.699375000000003</v>
      </c>
      <c r="M1345" s="15">
        <f t="shared" si="294"/>
        <v>14.375</v>
      </c>
      <c r="N1345" s="15">
        <f t="shared" si="295"/>
        <v>5</v>
      </c>
      <c r="O1345" s="15">
        <f t="shared" si="296"/>
        <v>18.324375000000003</v>
      </c>
      <c r="P1345" s="15">
        <f t="shared" si="297"/>
        <v>0</v>
      </c>
      <c r="Q1345" s="14" t="str">
        <f>IF(M1345&gt;=I1345*'Hoja 4 - Cálculo'!$B$16,"Satisfactorio","Falla")</f>
        <v>Satisfactorio</v>
      </c>
      <c r="R1345" s="14">
        <f t="shared" si="304"/>
        <v>0</v>
      </c>
      <c r="S1345" s="14">
        <f t="shared" si="305"/>
        <v>0</v>
      </c>
    </row>
    <row r="1346" spans="1:19">
      <c r="A1346" s="14" t="str">
        <f t="shared" si="302"/>
        <v>SRY-4-3</v>
      </c>
      <c r="B1346" s="15">
        <f>'Curvas SRY'!$B$11</f>
        <v>5</v>
      </c>
      <c r="C1346" s="15">
        <f>'Curvas SRY'!$E$10</f>
        <v>1.25</v>
      </c>
      <c r="D1346" s="14" t="str">
        <f>'Curvas SRY'!$B$14</f>
        <v>Uso variable</v>
      </c>
      <c r="E1346" s="14">
        <f>23</f>
        <v>23</v>
      </c>
      <c r="F1346" s="21">
        <f>'Hoja 4 - Cálculo'!A47</f>
        <v>30256</v>
      </c>
      <c r="G1346" s="15">
        <f>'Hoja 4 - Cálculo'!H47</f>
        <v>27.578250000000001</v>
      </c>
      <c r="H1346" s="15">
        <f>IF(D1346="Uso único",'Hoja 4 - Cálculo'!I47,IF(D1346="Uso múltiple",AVERAGE('Hoja 4 - Cálculo'!$I$25:$I$384)+AVERAGE('Hoja 4 - Cálculo'!$J$25:$J$384)+AVERAGE('Hoja 4 - Cálculo'!$K$25:$K$384),IF(D1346="Uso prioritario",'Hoja 4 - Cálculo'!I47+'Hoja 4 - Cálculo'!K47,'Hoja 4 - Cálculo'!I47+'Hoja 4 - Cálculo'!J47+'Hoja 4 - Cálculo'!K47)))</f>
        <v>11.5</v>
      </c>
      <c r="I1346" s="15">
        <f t="shared" si="292"/>
        <v>14.375</v>
      </c>
      <c r="J1346" s="15">
        <f t="shared" si="303"/>
        <v>5</v>
      </c>
      <c r="K1346" s="15">
        <f>MIN(J1346+G1346,(J1346+G1346)*'Hoja 4 - Cálculo'!$B$15)</f>
        <v>0.65156499999999995</v>
      </c>
      <c r="L1346" s="15">
        <f t="shared" si="293"/>
        <v>31.926684999999996</v>
      </c>
      <c r="M1346" s="15">
        <f t="shared" si="294"/>
        <v>14.375</v>
      </c>
      <c r="N1346" s="15">
        <f t="shared" si="295"/>
        <v>5</v>
      </c>
      <c r="O1346" s="15">
        <f t="shared" si="296"/>
        <v>12.551684999999996</v>
      </c>
      <c r="P1346" s="15">
        <f t="shared" si="297"/>
        <v>0</v>
      </c>
      <c r="Q1346" s="14" t="str">
        <f>IF(M1346&gt;=I1346*'Hoja 4 - Cálculo'!$B$16,"Satisfactorio","Falla")</f>
        <v>Satisfactorio</v>
      </c>
      <c r="R1346" s="14">
        <f t="shared" si="304"/>
        <v>0</v>
      </c>
      <c r="S1346" s="14">
        <f t="shared" si="305"/>
        <v>0</v>
      </c>
    </row>
    <row r="1347" spans="1:19">
      <c r="A1347" s="14" t="str">
        <f t="shared" si="302"/>
        <v>SRY-4-3</v>
      </c>
      <c r="B1347" s="15">
        <f>'Curvas SRY'!$B$11</f>
        <v>5</v>
      </c>
      <c r="C1347" s="15">
        <f>'Curvas SRY'!$E$10</f>
        <v>1.25</v>
      </c>
      <c r="D1347" s="14" t="str">
        <f>'Curvas SRY'!$B$14</f>
        <v>Uso variable</v>
      </c>
      <c r="E1347" s="14">
        <f>24</f>
        <v>24</v>
      </c>
      <c r="F1347" s="21">
        <f>'Hoja 4 - Cálculo'!A48</f>
        <v>30286</v>
      </c>
      <c r="G1347" s="15">
        <f>'Hoja 4 - Cálculo'!H48</f>
        <v>16.256250000000001</v>
      </c>
      <c r="H1347" s="15">
        <f>IF(D1347="Uso único",'Hoja 4 - Cálculo'!I48,IF(D1347="Uso múltiple",AVERAGE('Hoja 4 - Cálculo'!$I$25:$I$384)+AVERAGE('Hoja 4 - Cálculo'!$J$25:$J$384)+AVERAGE('Hoja 4 - Cálculo'!$K$25:$K$384),IF(D1347="Uso prioritario",'Hoja 4 - Cálculo'!I48+'Hoja 4 - Cálculo'!K48,'Hoja 4 - Cálculo'!I48+'Hoja 4 - Cálculo'!J48+'Hoja 4 - Cálculo'!K48)))</f>
        <v>16</v>
      </c>
      <c r="I1347" s="15">
        <f t="shared" si="292"/>
        <v>20</v>
      </c>
      <c r="J1347" s="15">
        <f t="shared" si="303"/>
        <v>5</v>
      </c>
      <c r="K1347" s="15">
        <f>MIN(J1347+G1347,(J1347+G1347)*'Hoja 4 - Cálculo'!$B$15)</f>
        <v>0.42512500000000003</v>
      </c>
      <c r="L1347" s="15">
        <f t="shared" si="293"/>
        <v>20.831125</v>
      </c>
      <c r="M1347" s="15">
        <f t="shared" si="294"/>
        <v>20</v>
      </c>
      <c r="N1347" s="15">
        <f t="shared" si="295"/>
        <v>0.83112500000000011</v>
      </c>
      <c r="O1347" s="15">
        <f t="shared" si="296"/>
        <v>0</v>
      </c>
      <c r="P1347" s="15">
        <f t="shared" si="297"/>
        <v>0</v>
      </c>
      <c r="Q1347" s="14" t="str">
        <f>IF(M1347&gt;=I1347*'Hoja 4 - Cálculo'!$B$16,"Satisfactorio","Falla")</f>
        <v>Satisfactorio</v>
      </c>
      <c r="R1347" s="14">
        <f t="shared" si="304"/>
        <v>0</v>
      </c>
      <c r="S1347" s="14">
        <f t="shared" si="305"/>
        <v>0</v>
      </c>
    </row>
    <row r="1348" spans="1:19">
      <c r="A1348" s="14" t="str">
        <f t="shared" si="302"/>
        <v>SRY-4-3</v>
      </c>
      <c r="B1348" s="15">
        <f>'Curvas SRY'!$B$11</f>
        <v>5</v>
      </c>
      <c r="C1348" s="15">
        <f>'Curvas SRY'!$E$10</f>
        <v>1.25</v>
      </c>
      <c r="D1348" s="14" t="str">
        <f>'Curvas SRY'!$B$14</f>
        <v>Uso variable</v>
      </c>
      <c r="E1348" s="14">
        <f>25</f>
        <v>25</v>
      </c>
      <c r="F1348" s="21">
        <f>'Hoja 4 - Cálculo'!A49</f>
        <v>30317</v>
      </c>
      <c r="G1348" s="15">
        <f>'Hoja 4 - Cálculo'!H49</f>
        <v>12.775499999999999</v>
      </c>
      <c r="H1348" s="15">
        <f>IF(D1348="Uso único",'Hoja 4 - Cálculo'!I49,IF(D1348="Uso múltiple",AVERAGE('Hoja 4 - Cálculo'!$I$25:$I$384)+AVERAGE('Hoja 4 - Cálculo'!$J$25:$J$384)+AVERAGE('Hoja 4 - Cálculo'!$K$25:$K$384),IF(D1348="Uso prioritario",'Hoja 4 - Cálculo'!I49+'Hoja 4 - Cálculo'!K49,'Hoja 4 - Cálculo'!I49+'Hoja 4 - Cálculo'!J49+'Hoja 4 - Cálculo'!K49)))</f>
        <v>16</v>
      </c>
      <c r="I1348" s="15">
        <f t="shared" ref="I1348:I1411" si="306">H1348*C1348</f>
        <v>20</v>
      </c>
      <c r="J1348" s="15">
        <f t="shared" si="303"/>
        <v>0.83112500000000011</v>
      </c>
      <c r="K1348" s="15">
        <f>MIN(J1348+G1348,(J1348+G1348)*'Hoja 4 - Cálculo'!$B$15)</f>
        <v>0.2721325</v>
      </c>
      <c r="L1348" s="15">
        <f t="shared" ref="L1348:L1411" si="307">MAX(0,J1348+G1348-K1348)</f>
        <v>13.3344925</v>
      </c>
      <c r="M1348" s="15">
        <f t="shared" ref="M1348:M1411" si="308">MIN(I1348,L1348)</f>
        <v>13.3344925</v>
      </c>
      <c r="N1348" s="15">
        <f t="shared" ref="N1348:N1411" si="309">MIN(B1348,MAX(0,L1348-M1348))</f>
        <v>0</v>
      </c>
      <c r="O1348" s="15">
        <f t="shared" ref="O1348:O1411" si="310">MAX(0,L1348-M1348-B1348)</f>
        <v>0</v>
      </c>
      <c r="P1348" s="15">
        <f t="shared" ref="P1348:P1411" si="311">MAX(0,I1348-M1348)</f>
        <v>6.6655075000000004</v>
      </c>
      <c r="Q1348" s="14" t="str">
        <f>IF(M1348&gt;=I1348*'Hoja 4 - Cálculo'!$B$16,"Satisfactorio","Falla")</f>
        <v>Falla</v>
      </c>
      <c r="R1348" s="14">
        <f t="shared" si="304"/>
        <v>0</v>
      </c>
      <c r="S1348" s="14">
        <f t="shared" si="305"/>
        <v>1</v>
      </c>
    </row>
    <row r="1349" spans="1:19">
      <c r="A1349" s="14" t="str">
        <f t="shared" si="302"/>
        <v>SRY-4-3</v>
      </c>
      <c r="B1349" s="15">
        <f>'Curvas SRY'!$B$11</f>
        <v>5</v>
      </c>
      <c r="C1349" s="15">
        <f>'Curvas SRY'!$E$10</f>
        <v>1.25</v>
      </c>
      <c r="D1349" s="14" t="str">
        <f>'Curvas SRY'!$B$14</f>
        <v>Uso variable</v>
      </c>
      <c r="E1349" s="14">
        <f>26</f>
        <v>26</v>
      </c>
      <c r="F1349" s="21">
        <f>'Hoja 4 - Cálculo'!A50</f>
        <v>30348</v>
      </c>
      <c r="G1349" s="15">
        <f>'Hoja 4 - Cálculo'!H50</f>
        <v>14.49675</v>
      </c>
      <c r="H1349" s="15">
        <f>IF(D1349="Uso único",'Hoja 4 - Cálculo'!I50,IF(D1349="Uso múltiple",AVERAGE('Hoja 4 - Cálculo'!$I$25:$I$384)+AVERAGE('Hoja 4 - Cálculo'!$J$25:$J$384)+AVERAGE('Hoja 4 - Cálculo'!$K$25:$K$384),IF(D1349="Uso prioritario",'Hoja 4 - Cálculo'!I50+'Hoja 4 - Cálculo'!K50,'Hoja 4 - Cálculo'!I50+'Hoja 4 - Cálculo'!J50+'Hoja 4 - Cálculo'!K50)))</f>
        <v>16</v>
      </c>
      <c r="I1349" s="15">
        <f t="shared" si="306"/>
        <v>20</v>
      </c>
      <c r="J1349" s="15">
        <f t="shared" si="303"/>
        <v>0</v>
      </c>
      <c r="K1349" s="15">
        <f>MIN(J1349+G1349,(J1349+G1349)*'Hoja 4 - Cálculo'!$B$15)</f>
        <v>0.289935</v>
      </c>
      <c r="L1349" s="15">
        <f t="shared" si="307"/>
        <v>14.206815000000001</v>
      </c>
      <c r="M1349" s="15">
        <f t="shared" si="308"/>
        <v>14.206815000000001</v>
      </c>
      <c r="N1349" s="15">
        <f t="shared" si="309"/>
        <v>0</v>
      </c>
      <c r="O1349" s="15">
        <f t="shared" si="310"/>
        <v>0</v>
      </c>
      <c r="P1349" s="15">
        <f t="shared" si="311"/>
        <v>5.7931849999999994</v>
      </c>
      <c r="Q1349" s="14" t="str">
        <f>IF(M1349&gt;=I1349*'Hoja 4 - Cálculo'!$B$16,"Satisfactorio","Falla")</f>
        <v>Falla</v>
      </c>
      <c r="R1349" s="14">
        <f t="shared" si="304"/>
        <v>0</v>
      </c>
      <c r="S1349" s="14">
        <f t="shared" si="305"/>
        <v>0</v>
      </c>
    </row>
    <row r="1350" spans="1:19">
      <c r="A1350" s="14" t="str">
        <f t="shared" si="302"/>
        <v>SRY-4-3</v>
      </c>
      <c r="B1350" s="15">
        <f>'Curvas SRY'!$B$11</f>
        <v>5</v>
      </c>
      <c r="C1350" s="15">
        <f>'Curvas SRY'!$E$10</f>
        <v>1.25</v>
      </c>
      <c r="D1350" s="14" t="str">
        <f>'Curvas SRY'!$B$14</f>
        <v>Uso variable</v>
      </c>
      <c r="E1350" s="14">
        <f>27</f>
        <v>27</v>
      </c>
      <c r="F1350" s="21">
        <f>'Hoja 4 - Cálculo'!A51</f>
        <v>30376</v>
      </c>
      <c r="G1350" s="15">
        <f>'Hoja 4 - Cálculo'!H51</f>
        <v>21.936375000000002</v>
      </c>
      <c r="H1350" s="15">
        <f>IF(D1350="Uso único",'Hoja 4 - Cálculo'!I51,IF(D1350="Uso múltiple",AVERAGE('Hoja 4 - Cálculo'!$I$25:$I$384)+AVERAGE('Hoja 4 - Cálculo'!$J$25:$J$384)+AVERAGE('Hoja 4 - Cálculo'!$K$25:$K$384),IF(D1350="Uso prioritario",'Hoja 4 - Cálculo'!I51+'Hoja 4 - Cálculo'!K51,'Hoja 4 - Cálculo'!I51+'Hoja 4 - Cálculo'!J51+'Hoja 4 - Cálculo'!K51)))</f>
        <v>16</v>
      </c>
      <c r="I1350" s="15">
        <f t="shared" si="306"/>
        <v>20</v>
      </c>
      <c r="J1350" s="15">
        <f t="shared" si="303"/>
        <v>0</v>
      </c>
      <c r="K1350" s="15">
        <f>MIN(J1350+G1350,(J1350+G1350)*'Hoja 4 - Cálculo'!$B$15)</f>
        <v>0.43872750000000005</v>
      </c>
      <c r="L1350" s="15">
        <f t="shared" si="307"/>
        <v>21.497647500000003</v>
      </c>
      <c r="M1350" s="15">
        <f t="shared" si="308"/>
        <v>20</v>
      </c>
      <c r="N1350" s="15">
        <f t="shared" si="309"/>
        <v>1.4976475000000029</v>
      </c>
      <c r="O1350" s="15">
        <f t="shared" si="310"/>
        <v>0</v>
      </c>
      <c r="P1350" s="15">
        <f t="shared" si="311"/>
        <v>0</v>
      </c>
      <c r="Q1350" s="14" t="str">
        <f>IF(M1350&gt;=I1350*'Hoja 4 - Cálculo'!$B$16,"Satisfactorio","Falla")</f>
        <v>Satisfactorio</v>
      </c>
      <c r="R1350" s="14">
        <f t="shared" si="304"/>
        <v>1</v>
      </c>
      <c r="S1350" s="14">
        <f t="shared" si="305"/>
        <v>0</v>
      </c>
    </row>
    <row r="1351" spans="1:19">
      <c r="A1351" s="14" t="str">
        <f t="shared" si="302"/>
        <v>SRY-4-3</v>
      </c>
      <c r="B1351" s="15">
        <f>'Curvas SRY'!$B$11</f>
        <v>5</v>
      </c>
      <c r="C1351" s="15">
        <f>'Curvas SRY'!$E$10</f>
        <v>1.25</v>
      </c>
      <c r="D1351" s="14" t="str">
        <f>'Curvas SRY'!$B$14</f>
        <v>Uso variable</v>
      </c>
      <c r="E1351" s="14">
        <f>28</f>
        <v>28</v>
      </c>
      <c r="F1351" s="21">
        <f>'Hoja 4 - Cálculo'!A52</f>
        <v>30407</v>
      </c>
      <c r="G1351" s="15">
        <f>'Hoja 4 - Cálculo'!H52</f>
        <v>32.263874999999999</v>
      </c>
      <c r="H1351" s="15">
        <f>IF(D1351="Uso único",'Hoja 4 - Cálculo'!I52,IF(D1351="Uso múltiple",AVERAGE('Hoja 4 - Cálculo'!$I$25:$I$384)+AVERAGE('Hoja 4 - Cálculo'!$J$25:$J$384)+AVERAGE('Hoja 4 - Cálculo'!$K$25:$K$384),IF(D1351="Uso prioritario",'Hoja 4 - Cálculo'!I52+'Hoja 4 - Cálculo'!K52,'Hoja 4 - Cálculo'!I52+'Hoja 4 - Cálculo'!J52+'Hoja 4 - Cálculo'!K52)))</f>
        <v>11.5</v>
      </c>
      <c r="I1351" s="15">
        <f t="shared" si="306"/>
        <v>14.375</v>
      </c>
      <c r="J1351" s="15">
        <f t="shared" si="303"/>
        <v>1.4976475000000029</v>
      </c>
      <c r="K1351" s="15">
        <f>MIN(J1351+G1351,(J1351+G1351)*'Hoja 4 - Cálculo'!$B$15)</f>
        <v>0.67523044999999993</v>
      </c>
      <c r="L1351" s="15">
        <f t="shared" si="307"/>
        <v>33.086292049999997</v>
      </c>
      <c r="M1351" s="15">
        <f t="shared" si="308"/>
        <v>14.375</v>
      </c>
      <c r="N1351" s="15">
        <f t="shared" si="309"/>
        <v>5</v>
      </c>
      <c r="O1351" s="15">
        <f t="shared" si="310"/>
        <v>13.711292049999997</v>
      </c>
      <c r="P1351" s="15">
        <f t="shared" si="311"/>
        <v>0</v>
      </c>
      <c r="Q1351" s="14" t="str">
        <f>IF(M1351&gt;=I1351*'Hoja 4 - Cálculo'!$B$16,"Satisfactorio","Falla")</f>
        <v>Satisfactorio</v>
      </c>
      <c r="R1351" s="14">
        <f t="shared" si="304"/>
        <v>0</v>
      </c>
      <c r="S1351" s="14">
        <f t="shared" si="305"/>
        <v>0</v>
      </c>
    </row>
    <row r="1352" spans="1:19">
      <c r="A1352" s="14" t="str">
        <f t="shared" si="302"/>
        <v>SRY-4-3</v>
      </c>
      <c r="B1352" s="15">
        <f>'Curvas SRY'!$B$11</f>
        <v>5</v>
      </c>
      <c r="C1352" s="15">
        <f>'Curvas SRY'!$E$10</f>
        <v>1.25</v>
      </c>
      <c r="D1352" s="14" t="str">
        <f>'Curvas SRY'!$B$14</f>
        <v>Uso variable</v>
      </c>
      <c r="E1352" s="14">
        <f>29</f>
        <v>29</v>
      </c>
      <c r="F1352" s="21">
        <f>'Hoja 4 - Cálculo'!A53</f>
        <v>30437</v>
      </c>
      <c r="G1352" s="15">
        <f>'Hoja 4 - Cálculo'!H53</f>
        <v>29.356874999999999</v>
      </c>
      <c r="H1352" s="15">
        <f>IF(D1352="Uso único",'Hoja 4 - Cálculo'!I53,IF(D1352="Uso múltiple",AVERAGE('Hoja 4 - Cálculo'!$I$25:$I$384)+AVERAGE('Hoja 4 - Cálculo'!$J$25:$J$384)+AVERAGE('Hoja 4 - Cálculo'!$K$25:$K$384),IF(D1352="Uso prioritario",'Hoja 4 - Cálculo'!I53+'Hoja 4 - Cálculo'!K53,'Hoja 4 - Cálculo'!I53+'Hoja 4 - Cálculo'!J53+'Hoja 4 - Cálculo'!K53)))</f>
        <v>11.5</v>
      </c>
      <c r="I1352" s="15">
        <f t="shared" si="306"/>
        <v>14.375</v>
      </c>
      <c r="J1352" s="15">
        <f t="shared" si="303"/>
        <v>5</v>
      </c>
      <c r="K1352" s="15">
        <f>MIN(J1352+G1352,(J1352+G1352)*'Hoja 4 - Cálculo'!$B$15)</f>
        <v>0.68713750000000007</v>
      </c>
      <c r="L1352" s="15">
        <f t="shared" si="307"/>
        <v>33.669737500000004</v>
      </c>
      <c r="M1352" s="15">
        <f t="shared" si="308"/>
        <v>14.375</v>
      </c>
      <c r="N1352" s="15">
        <f t="shared" si="309"/>
        <v>5</v>
      </c>
      <c r="O1352" s="15">
        <f t="shared" si="310"/>
        <v>14.294737500000004</v>
      </c>
      <c r="P1352" s="15">
        <f t="shared" si="311"/>
        <v>0</v>
      </c>
      <c r="Q1352" s="14" t="str">
        <f>IF(M1352&gt;=I1352*'Hoja 4 - Cálculo'!$B$16,"Satisfactorio","Falla")</f>
        <v>Satisfactorio</v>
      </c>
      <c r="R1352" s="14">
        <f t="shared" si="304"/>
        <v>0</v>
      </c>
      <c r="S1352" s="14">
        <f t="shared" si="305"/>
        <v>0</v>
      </c>
    </row>
    <row r="1353" spans="1:19">
      <c r="A1353" s="14" t="str">
        <f t="shared" si="302"/>
        <v>SRY-4-3</v>
      </c>
      <c r="B1353" s="15">
        <f>'Curvas SRY'!$B$11</f>
        <v>5</v>
      </c>
      <c r="C1353" s="15">
        <f>'Curvas SRY'!$E$10</f>
        <v>1.25</v>
      </c>
      <c r="D1353" s="14" t="str">
        <f>'Curvas SRY'!$B$14</f>
        <v>Uso variable</v>
      </c>
      <c r="E1353" s="14">
        <f>30</f>
        <v>30</v>
      </c>
      <c r="F1353" s="21">
        <f>'Hoja 4 - Cálculo'!A54</f>
        <v>30468</v>
      </c>
      <c r="G1353" s="15">
        <f>'Hoja 4 - Cálculo'!H54</f>
        <v>17.212499999999999</v>
      </c>
      <c r="H1353" s="15">
        <f>IF(D1353="Uso único",'Hoja 4 - Cálculo'!I54,IF(D1353="Uso múltiple",AVERAGE('Hoja 4 - Cálculo'!$I$25:$I$384)+AVERAGE('Hoja 4 - Cálculo'!$J$25:$J$384)+AVERAGE('Hoja 4 - Cálculo'!$K$25:$K$384),IF(D1353="Uso prioritario",'Hoja 4 - Cálculo'!I54+'Hoja 4 - Cálculo'!K54,'Hoja 4 - Cálculo'!I54+'Hoja 4 - Cálculo'!J54+'Hoja 4 - Cálculo'!K54)))</f>
        <v>11.5</v>
      </c>
      <c r="I1353" s="15">
        <f t="shared" si="306"/>
        <v>14.375</v>
      </c>
      <c r="J1353" s="15">
        <f t="shared" si="303"/>
        <v>5</v>
      </c>
      <c r="K1353" s="15">
        <f>MIN(J1353+G1353,(J1353+G1353)*'Hoja 4 - Cálculo'!$B$15)</f>
        <v>0.44424999999999998</v>
      </c>
      <c r="L1353" s="15">
        <f t="shared" si="307"/>
        <v>21.768249999999998</v>
      </c>
      <c r="M1353" s="15">
        <f t="shared" si="308"/>
        <v>14.375</v>
      </c>
      <c r="N1353" s="15">
        <f t="shared" si="309"/>
        <v>5</v>
      </c>
      <c r="O1353" s="15">
        <f t="shared" si="310"/>
        <v>2.3932499999999983</v>
      </c>
      <c r="P1353" s="15">
        <f t="shared" si="311"/>
        <v>0</v>
      </c>
      <c r="Q1353" s="14" t="str">
        <f>IF(M1353&gt;=I1353*'Hoja 4 - Cálculo'!$B$16,"Satisfactorio","Falla")</f>
        <v>Satisfactorio</v>
      </c>
      <c r="R1353" s="14">
        <f t="shared" si="304"/>
        <v>0</v>
      </c>
      <c r="S1353" s="14">
        <f t="shared" si="305"/>
        <v>0</v>
      </c>
    </row>
    <row r="1354" spans="1:19">
      <c r="A1354" s="14" t="str">
        <f t="shared" si="302"/>
        <v>SRY-4-3</v>
      </c>
      <c r="B1354" s="15">
        <f>'Curvas SRY'!$B$11</f>
        <v>5</v>
      </c>
      <c r="C1354" s="15">
        <f>'Curvas SRY'!$E$10</f>
        <v>1.25</v>
      </c>
      <c r="D1354" s="14" t="str">
        <f>'Curvas SRY'!$B$14</f>
        <v>Uso variable</v>
      </c>
      <c r="E1354" s="14">
        <f>31</f>
        <v>31</v>
      </c>
      <c r="F1354" s="21">
        <f>'Hoja 4 - Cálculo'!A55</f>
        <v>30498</v>
      </c>
      <c r="G1354" s="15">
        <f>'Hoja 4 - Cálculo'!H55</f>
        <v>13.597875</v>
      </c>
      <c r="H1354" s="15">
        <f>IF(D1354="Uso único",'Hoja 4 - Cálculo'!I55,IF(D1354="Uso múltiple",AVERAGE('Hoja 4 - Cálculo'!$I$25:$I$384)+AVERAGE('Hoja 4 - Cálculo'!$J$25:$J$384)+AVERAGE('Hoja 4 - Cálculo'!$K$25:$K$384),IF(D1354="Uso prioritario",'Hoja 4 - Cálculo'!I55+'Hoja 4 - Cálculo'!K55,'Hoja 4 - Cálculo'!I55+'Hoja 4 - Cálculo'!J55+'Hoja 4 - Cálculo'!K55)))</f>
        <v>16</v>
      </c>
      <c r="I1354" s="15">
        <f t="shared" si="306"/>
        <v>20</v>
      </c>
      <c r="J1354" s="15">
        <f t="shared" si="303"/>
        <v>5</v>
      </c>
      <c r="K1354" s="15">
        <f>MIN(J1354+G1354,(J1354+G1354)*'Hoja 4 - Cálculo'!$B$15)</f>
        <v>0.37195750000000005</v>
      </c>
      <c r="L1354" s="15">
        <f t="shared" si="307"/>
        <v>18.225917500000001</v>
      </c>
      <c r="M1354" s="15">
        <f t="shared" si="308"/>
        <v>18.225917500000001</v>
      </c>
      <c r="N1354" s="15">
        <f t="shared" si="309"/>
        <v>0</v>
      </c>
      <c r="O1354" s="15">
        <f t="shared" si="310"/>
        <v>0</v>
      </c>
      <c r="P1354" s="15">
        <f t="shared" si="311"/>
        <v>1.7740824999999987</v>
      </c>
      <c r="Q1354" s="14" t="str">
        <f>IF(M1354&gt;=I1354*'Hoja 4 - Cálculo'!$B$16,"Satisfactorio","Falla")</f>
        <v>Falla</v>
      </c>
      <c r="R1354" s="14">
        <f t="shared" si="304"/>
        <v>0</v>
      </c>
      <c r="S1354" s="14">
        <f t="shared" si="305"/>
        <v>1</v>
      </c>
    </row>
    <row r="1355" spans="1:19">
      <c r="A1355" s="14" t="str">
        <f t="shared" si="302"/>
        <v>SRY-4-3</v>
      </c>
      <c r="B1355" s="15">
        <f>'Curvas SRY'!$B$11</f>
        <v>5</v>
      </c>
      <c r="C1355" s="15">
        <f>'Curvas SRY'!$E$10</f>
        <v>1.25</v>
      </c>
      <c r="D1355" s="14" t="str">
        <f>'Curvas SRY'!$B$14</f>
        <v>Uso variable</v>
      </c>
      <c r="E1355" s="14">
        <f>32</f>
        <v>32</v>
      </c>
      <c r="F1355" s="21">
        <f>'Hoja 4 - Cálculo'!A56</f>
        <v>30529</v>
      </c>
      <c r="G1355" s="15">
        <f>'Hoja 4 - Cálculo'!H56</f>
        <v>14.592375000000001</v>
      </c>
      <c r="H1355" s="15">
        <f>IF(D1355="Uso único",'Hoja 4 - Cálculo'!I56,IF(D1355="Uso múltiple",AVERAGE('Hoja 4 - Cálculo'!$I$25:$I$384)+AVERAGE('Hoja 4 - Cálculo'!$J$25:$J$384)+AVERAGE('Hoja 4 - Cálculo'!$K$25:$K$384),IF(D1355="Uso prioritario",'Hoja 4 - Cálculo'!I56+'Hoja 4 - Cálculo'!K56,'Hoja 4 - Cálculo'!I56+'Hoja 4 - Cálculo'!J56+'Hoja 4 - Cálculo'!K56)))</f>
        <v>16</v>
      </c>
      <c r="I1355" s="15">
        <f t="shared" si="306"/>
        <v>20</v>
      </c>
      <c r="J1355" s="15">
        <f t="shared" si="303"/>
        <v>0</v>
      </c>
      <c r="K1355" s="15">
        <f>MIN(J1355+G1355,(J1355+G1355)*'Hoja 4 - Cálculo'!$B$15)</f>
        <v>0.29184750000000004</v>
      </c>
      <c r="L1355" s="15">
        <f t="shared" si="307"/>
        <v>14.300527500000001</v>
      </c>
      <c r="M1355" s="15">
        <f t="shared" si="308"/>
        <v>14.300527500000001</v>
      </c>
      <c r="N1355" s="15">
        <f t="shared" si="309"/>
        <v>0</v>
      </c>
      <c r="O1355" s="15">
        <f t="shared" si="310"/>
        <v>0</v>
      </c>
      <c r="P1355" s="15">
        <f t="shared" si="311"/>
        <v>5.6994724999999988</v>
      </c>
      <c r="Q1355" s="14" t="str">
        <f>IF(M1355&gt;=I1355*'Hoja 4 - Cálculo'!$B$16,"Satisfactorio","Falla")</f>
        <v>Falla</v>
      </c>
      <c r="R1355" s="14">
        <f t="shared" si="304"/>
        <v>0</v>
      </c>
      <c r="S1355" s="14">
        <f t="shared" si="305"/>
        <v>0</v>
      </c>
    </row>
    <row r="1356" spans="1:19">
      <c r="A1356" s="14" t="str">
        <f t="shared" ref="A1356:A1387" si="312">"SRY-4-3"</f>
        <v>SRY-4-3</v>
      </c>
      <c r="B1356" s="15">
        <f>'Curvas SRY'!$B$11</f>
        <v>5</v>
      </c>
      <c r="C1356" s="15">
        <f>'Curvas SRY'!$E$10</f>
        <v>1.25</v>
      </c>
      <c r="D1356" s="14" t="str">
        <f>'Curvas SRY'!$B$14</f>
        <v>Uso variable</v>
      </c>
      <c r="E1356" s="14">
        <f>33</f>
        <v>33</v>
      </c>
      <c r="F1356" s="21">
        <f>'Hoja 4 - Cálculo'!A57</f>
        <v>30560</v>
      </c>
      <c r="G1356" s="15">
        <f>'Hoja 4 - Cálculo'!H57</f>
        <v>24.307874999999999</v>
      </c>
      <c r="H1356" s="15">
        <f>IF(D1356="Uso único",'Hoja 4 - Cálculo'!I57,IF(D1356="Uso múltiple",AVERAGE('Hoja 4 - Cálculo'!$I$25:$I$384)+AVERAGE('Hoja 4 - Cálculo'!$J$25:$J$384)+AVERAGE('Hoja 4 - Cálculo'!$K$25:$K$384),IF(D1356="Uso prioritario",'Hoja 4 - Cálculo'!I57+'Hoja 4 - Cálculo'!K57,'Hoja 4 - Cálculo'!I57+'Hoja 4 - Cálculo'!J57+'Hoja 4 - Cálculo'!K57)))</f>
        <v>11.5</v>
      </c>
      <c r="I1356" s="15">
        <f t="shared" si="306"/>
        <v>14.375</v>
      </c>
      <c r="J1356" s="15">
        <f t="shared" si="303"/>
        <v>0</v>
      </c>
      <c r="K1356" s="15">
        <f>MIN(J1356+G1356,(J1356+G1356)*'Hoja 4 - Cálculo'!$B$15)</f>
        <v>0.48615750000000002</v>
      </c>
      <c r="L1356" s="15">
        <f t="shared" si="307"/>
        <v>23.821717499999998</v>
      </c>
      <c r="M1356" s="15">
        <f t="shared" si="308"/>
        <v>14.375</v>
      </c>
      <c r="N1356" s="15">
        <f t="shared" si="309"/>
        <v>5</v>
      </c>
      <c r="O1356" s="15">
        <f t="shared" si="310"/>
        <v>4.4467174999999983</v>
      </c>
      <c r="P1356" s="15">
        <f t="shared" si="311"/>
        <v>0</v>
      </c>
      <c r="Q1356" s="14" t="str">
        <f>IF(M1356&gt;=I1356*'Hoja 4 - Cálculo'!$B$16,"Satisfactorio","Falla")</f>
        <v>Satisfactorio</v>
      </c>
      <c r="R1356" s="14">
        <f t="shared" si="304"/>
        <v>1</v>
      </c>
      <c r="S1356" s="14">
        <f t="shared" si="305"/>
        <v>0</v>
      </c>
    </row>
    <row r="1357" spans="1:19">
      <c r="A1357" s="14" t="str">
        <f t="shared" si="312"/>
        <v>SRY-4-3</v>
      </c>
      <c r="B1357" s="15">
        <f>'Curvas SRY'!$B$11</f>
        <v>5</v>
      </c>
      <c r="C1357" s="15">
        <f>'Curvas SRY'!$E$10</f>
        <v>1.25</v>
      </c>
      <c r="D1357" s="14" t="str">
        <f>'Curvas SRY'!$B$14</f>
        <v>Uso variable</v>
      </c>
      <c r="E1357" s="14">
        <f>34</f>
        <v>34</v>
      </c>
      <c r="F1357" s="21">
        <f>'Hoja 4 - Cálculo'!A58</f>
        <v>30590</v>
      </c>
      <c r="G1357" s="15">
        <f>'Hoja 4 - Cálculo'!H58</f>
        <v>33.564374999999998</v>
      </c>
      <c r="H1357" s="15">
        <f>IF(D1357="Uso único",'Hoja 4 - Cálculo'!I58,IF(D1357="Uso múltiple",AVERAGE('Hoja 4 - Cálculo'!$I$25:$I$384)+AVERAGE('Hoja 4 - Cálculo'!$J$25:$J$384)+AVERAGE('Hoja 4 - Cálculo'!$K$25:$K$384),IF(D1357="Uso prioritario",'Hoja 4 - Cálculo'!I58+'Hoja 4 - Cálculo'!K58,'Hoja 4 - Cálculo'!I58+'Hoja 4 - Cálculo'!J58+'Hoja 4 - Cálculo'!K58)))</f>
        <v>11.5</v>
      </c>
      <c r="I1357" s="15">
        <f t="shared" si="306"/>
        <v>14.375</v>
      </c>
      <c r="J1357" s="15">
        <f t="shared" ref="J1357:J1388" si="313">N1356</f>
        <v>5</v>
      </c>
      <c r="K1357" s="15">
        <f>MIN(J1357+G1357,(J1357+G1357)*'Hoja 4 - Cálculo'!$B$15)</f>
        <v>0.77128750000000001</v>
      </c>
      <c r="L1357" s="15">
        <f t="shared" si="307"/>
        <v>37.793087499999999</v>
      </c>
      <c r="M1357" s="15">
        <f t="shared" si="308"/>
        <v>14.375</v>
      </c>
      <c r="N1357" s="15">
        <f t="shared" si="309"/>
        <v>5</v>
      </c>
      <c r="O1357" s="15">
        <f t="shared" si="310"/>
        <v>18.418087499999999</v>
      </c>
      <c r="P1357" s="15">
        <f t="shared" si="311"/>
        <v>0</v>
      </c>
      <c r="Q1357" s="14" t="str">
        <f>IF(M1357&gt;=I1357*'Hoja 4 - Cálculo'!$B$16,"Satisfactorio","Falla")</f>
        <v>Satisfactorio</v>
      </c>
      <c r="R1357" s="14">
        <f t="shared" ref="R1357:R1388" si="314">IF(AND(Q1356="Falla",Q1357="Satisfactorio"),1,0)</f>
        <v>0</v>
      </c>
      <c r="S1357" s="14">
        <f t="shared" ref="S1357:S1388" si="315">IF(AND(Q1357="Falla",Q1356&lt;&gt;"Falla"),1,0)</f>
        <v>0</v>
      </c>
    </row>
    <row r="1358" spans="1:19">
      <c r="A1358" s="14" t="str">
        <f t="shared" si="312"/>
        <v>SRY-4-3</v>
      </c>
      <c r="B1358" s="15">
        <f>'Curvas SRY'!$B$11</f>
        <v>5</v>
      </c>
      <c r="C1358" s="15">
        <f>'Curvas SRY'!$E$10</f>
        <v>1.25</v>
      </c>
      <c r="D1358" s="14" t="str">
        <f>'Curvas SRY'!$B$14</f>
        <v>Uso variable</v>
      </c>
      <c r="E1358" s="14">
        <f>35</f>
        <v>35</v>
      </c>
      <c r="F1358" s="21">
        <f>'Hoja 4 - Cálculo'!A59</f>
        <v>30621</v>
      </c>
      <c r="G1358" s="15">
        <f>'Hoja 4 - Cálculo'!H59</f>
        <v>28.075500000000002</v>
      </c>
      <c r="H1358" s="15">
        <f>IF(D1358="Uso único",'Hoja 4 - Cálculo'!I59,IF(D1358="Uso múltiple",AVERAGE('Hoja 4 - Cálculo'!$I$25:$I$384)+AVERAGE('Hoja 4 - Cálculo'!$J$25:$J$384)+AVERAGE('Hoja 4 - Cálculo'!$K$25:$K$384),IF(D1358="Uso prioritario",'Hoja 4 - Cálculo'!I59+'Hoja 4 - Cálculo'!K59,'Hoja 4 - Cálculo'!I59+'Hoja 4 - Cálculo'!J59+'Hoja 4 - Cálculo'!K59)))</f>
        <v>11.5</v>
      </c>
      <c r="I1358" s="15">
        <f t="shared" si="306"/>
        <v>14.375</v>
      </c>
      <c r="J1358" s="15">
        <f t="shared" si="313"/>
        <v>5</v>
      </c>
      <c r="K1358" s="15">
        <f>MIN(J1358+G1358,(J1358+G1358)*'Hoja 4 - Cálculo'!$B$15)</f>
        <v>0.66151000000000015</v>
      </c>
      <c r="L1358" s="15">
        <f t="shared" si="307"/>
        <v>32.413990000000005</v>
      </c>
      <c r="M1358" s="15">
        <f t="shared" si="308"/>
        <v>14.375</v>
      </c>
      <c r="N1358" s="15">
        <f t="shared" si="309"/>
        <v>5</v>
      </c>
      <c r="O1358" s="15">
        <f t="shared" si="310"/>
        <v>13.038990000000005</v>
      </c>
      <c r="P1358" s="15">
        <f t="shared" si="311"/>
        <v>0</v>
      </c>
      <c r="Q1358" s="14" t="str">
        <f>IF(M1358&gt;=I1358*'Hoja 4 - Cálculo'!$B$16,"Satisfactorio","Falla")</f>
        <v>Satisfactorio</v>
      </c>
      <c r="R1358" s="14">
        <f t="shared" si="314"/>
        <v>0</v>
      </c>
      <c r="S1358" s="14">
        <f t="shared" si="315"/>
        <v>0</v>
      </c>
    </row>
    <row r="1359" spans="1:19">
      <c r="A1359" s="14" t="str">
        <f t="shared" si="312"/>
        <v>SRY-4-3</v>
      </c>
      <c r="B1359" s="15">
        <f>'Curvas SRY'!$B$11</f>
        <v>5</v>
      </c>
      <c r="C1359" s="15">
        <f>'Curvas SRY'!$E$10</f>
        <v>1.25</v>
      </c>
      <c r="D1359" s="14" t="str">
        <f>'Curvas SRY'!$B$14</f>
        <v>Uso variable</v>
      </c>
      <c r="E1359" s="14">
        <f>36</f>
        <v>36</v>
      </c>
      <c r="F1359" s="21">
        <f>'Hoja 4 - Cálculo'!A60</f>
        <v>30651</v>
      </c>
      <c r="G1359" s="15">
        <f>'Hoja 4 - Cálculo'!H60</f>
        <v>15.931125</v>
      </c>
      <c r="H1359" s="15">
        <f>IF(D1359="Uso único",'Hoja 4 - Cálculo'!I60,IF(D1359="Uso múltiple",AVERAGE('Hoja 4 - Cálculo'!$I$25:$I$384)+AVERAGE('Hoja 4 - Cálculo'!$J$25:$J$384)+AVERAGE('Hoja 4 - Cálculo'!$K$25:$K$384),IF(D1359="Uso prioritario",'Hoja 4 - Cálculo'!I60+'Hoja 4 - Cálculo'!K60,'Hoja 4 - Cálculo'!I60+'Hoja 4 - Cálculo'!J60+'Hoja 4 - Cálculo'!K60)))</f>
        <v>16</v>
      </c>
      <c r="I1359" s="15">
        <f t="shared" si="306"/>
        <v>20</v>
      </c>
      <c r="J1359" s="15">
        <f t="shared" si="313"/>
        <v>5</v>
      </c>
      <c r="K1359" s="15">
        <f>MIN(J1359+G1359,(J1359+G1359)*'Hoja 4 - Cálculo'!$B$15)</f>
        <v>0.41862250000000006</v>
      </c>
      <c r="L1359" s="15">
        <f t="shared" si="307"/>
        <v>20.5125025</v>
      </c>
      <c r="M1359" s="15">
        <f t="shared" si="308"/>
        <v>20</v>
      </c>
      <c r="N1359" s="15">
        <f t="shared" si="309"/>
        <v>0.51250250000000008</v>
      </c>
      <c r="O1359" s="15">
        <f t="shared" si="310"/>
        <v>0</v>
      </c>
      <c r="P1359" s="15">
        <f t="shared" si="311"/>
        <v>0</v>
      </c>
      <c r="Q1359" s="14" t="str">
        <f>IF(M1359&gt;=I1359*'Hoja 4 - Cálculo'!$B$16,"Satisfactorio","Falla")</f>
        <v>Satisfactorio</v>
      </c>
      <c r="R1359" s="14">
        <f t="shared" si="314"/>
        <v>0</v>
      </c>
      <c r="S1359" s="14">
        <f t="shared" si="315"/>
        <v>0</v>
      </c>
    </row>
    <row r="1360" spans="1:19">
      <c r="A1360" s="14" t="str">
        <f t="shared" si="312"/>
        <v>SRY-4-3</v>
      </c>
      <c r="B1360" s="15">
        <f>'Curvas SRY'!$B$11</f>
        <v>5</v>
      </c>
      <c r="C1360" s="15">
        <f>'Curvas SRY'!$E$10</f>
        <v>1.25</v>
      </c>
      <c r="D1360" s="14" t="str">
        <f>'Curvas SRY'!$B$14</f>
        <v>Uso variable</v>
      </c>
      <c r="E1360" s="14">
        <f>37</f>
        <v>37</v>
      </c>
      <c r="F1360" s="21">
        <f>'Hoja 4 - Cálculo'!A61</f>
        <v>30682</v>
      </c>
      <c r="G1360" s="15">
        <f>'Hoja 4 - Cálculo'!H61</f>
        <v>10.920375</v>
      </c>
      <c r="H1360" s="15">
        <f>IF(D1360="Uso único",'Hoja 4 - Cálculo'!I61,IF(D1360="Uso múltiple",AVERAGE('Hoja 4 - Cálculo'!$I$25:$I$384)+AVERAGE('Hoja 4 - Cálculo'!$J$25:$J$384)+AVERAGE('Hoja 4 - Cálculo'!$K$25:$K$384),IF(D1360="Uso prioritario",'Hoja 4 - Cálculo'!I61+'Hoja 4 - Cálculo'!K61,'Hoja 4 - Cálculo'!I61+'Hoja 4 - Cálculo'!J61+'Hoja 4 - Cálculo'!K61)))</f>
        <v>16</v>
      </c>
      <c r="I1360" s="15">
        <f t="shared" si="306"/>
        <v>20</v>
      </c>
      <c r="J1360" s="15">
        <f t="shared" si="313"/>
        <v>0.51250250000000008</v>
      </c>
      <c r="K1360" s="15">
        <f>MIN(J1360+G1360,(J1360+G1360)*'Hoja 4 - Cálculo'!$B$15)</f>
        <v>0.22865755000000001</v>
      </c>
      <c r="L1360" s="15">
        <f t="shared" si="307"/>
        <v>11.204219950000001</v>
      </c>
      <c r="M1360" s="15">
        <f t="shared" si="308"/>
        <v>11.204219950000001</v>
      </c>
      <c r="N1360" s="15">
        <f t="shared" si="309"/>
        <v>0</v>
      </c>
      <c r="O1360" s="15">
        <f t="shared" si="310"/>
        <v>0</v>
      </c>
      <c r="P1360" s="15">
        <f t="shared" si="311"/>
        <v>8.7957800499999994</v>
      </c>
      <c r="Q1360" s="14" t="str">
        <f>IF(M1360&gt;=I1360*'Hoja 4 - Cálculo'!$B$16,"Satisfactorio","Falla")</f>
        <v>Falla</v>
      </c>
      <c r="R1360" s="14">
        <f t="shared" si="314"/>
        <v>0</v>
      </c>
      <c r="S1360" s="14">
        <f t="shared" si="315"/>
        <v>1</v>
      </c>
    </row>
    <row r="1361" spans="1:19">
      <c r="A1361" s="14" t="str">
        <f t="shared" si="312"/>
        <v>SRY-4-3</v>
      </c>
      <c r="B1361" s="15">
        <f>'Curvas SRY'!$B$11</f>
        <v>5</v>
      </c>
      <c r="C1361" s="15">
        <f>'Curvas SRY'!$E$10</f>
        <v>1.25</v>
      </c>
      <c r="D1361" s="14" t="str">
        <f>'Curvas SRY'!$B$14</f>
        <v>Uso variable</v>
      </c>
      <c r="E1361" s="14">
        <f>38</f>
        <v>38</v>
      </c>
      <c r="F1361" s="21">
        <f>'Hoja 4 - Cálculo'!A62</f>
        <v>30713</v>
      </c>
      <c r="G1361" s="15">
        <f>'Hoja 4 - Cálculo'!H62</f>
        <v>13.04325</v>
      </c>
      <c r="H1361" s="15">
        <f>IF(D1361="Uso único",'Hoja 4 - Cálculo'!I62,IF(D1361="Uso múltiple",AVERAGE('Hoja 4 - Cálculo'!$I$25:$I$384)+AVERAGE('Hoja 4 - Cálculo'!$J$25:$J$384)+AVERAGE('Hoja 4 - Cálculo'!$K$25:$K$384),IF(D1361="Uso prioritario",'Hoja 4 - Cálculo'!I62+'Hoja 4 - Cálculo'!K62,'Hoja 4 - Cálculo'!I62+'Hoja 4 - Cálculo'!J62+'Hoja 4 - Cálculo'!K62)))</f>
        <v>16</v>
      </c>
      <c r="I1361" s="15">
        <f t="shared" si="306"/>
        <v>20</v>
      </c>
      <c r="J1361" s="15">
        <f t="shared" si="313"/>
        <v>0</v>
      </c>
      <c r="K1361" s="15">
        <f>MIN(J1361+G1361,(J1361+G1361)*'Hoja 4 - Cálculo'!$B$15)</f>
        <v>0.26086500000000001</v>
      </c>
      <c r="L1361" s="15">
        <f t="shared" si="307"/>
        <v>12.782385</v>
      </c>
      <c r="M1361" s="15">
        <f t="shared" si="308"/>
        <v>12.782385</v>
      </c>
      <c r="N1361" s="15">
        <f t="shared" si="309"/>
        <v>0</v>
      </c>
      <c r="O1361" s="15">
        <f t="shared" si="310"/>
        <v>0</v>
      </c>
      <c r="P1361" s="15">
        <f t="shared" si="311"/>
        <v>7.2176150000000003</v>
      </c>
      <c r="Q1361" s="14" t="str">
        <f>IF(M1361&gt;=I1361*'Hoja 4 - Cálculo'!$B$16,"Satisfactorio","Falla")</f>
        <v>Falla</v>
      </c>
      <c r="R1361" s="14">
        <f t="shared" si="314"/>
        <v>0</v>
      </c>
      <c r="S1361" s="14">
        <f t="shared" si="315"/>
        <v>0</v>
      </c>
    </row>
    <row r="1362" spans="1:19">
      <c r="A1362" s="14" t="str">
        <f t="shared" si="312"/>
        <v>SRY-4-3</v>
      </c>
      <c r="B1362" s="15">
        <f>'Curvas SRY'!$B$11</f>
        <v>5</v>
      </c>
      <c r="C1362" s="15">
        <f>'Curvas SRY'!$E$10</f>
        <v>1.25</v>
      </c>
      <c r="D1362" s="14" t="str">
        <f>'Curvas SRY'!$B$14</f>
        <v>Uso variable</v>
      </c>
      <c r="E1362" s="14">
        <f>39</f>
        <v>39</v>
      </c>
      <c r="F1362" s="21">
        <f>'Hoja 4 - Cálculo'!A63</f>
        <v>30742</v>
      </c>
      <c r="G1362" s="15">
        <f>'Hoja 4 - Cálculo'!H63</f>
        <v>20.272500000000001</v>
      </c>
      <c r="H1362" s="15">
        <f>IF(D1362="Uso único",'Hoja 4 - Cálculo'!I63,IF(D1362="Uso múltiple",AVERAGE('Hoja 4 - Cálculo'!$I$25:$I$384)+AVERAGE('Hoja 4 - Cálculo'!$J$25:$J$384)+AVERAGE('Hoja 4 - Cálculo'!$K$25:$K$384),IF(D1362="Uso prioritario",'Hoja 4 - Cálculo'!I63+'Hoja 4 - Cálculo'!K63,'Hoja 4 - Cálculo'!I63+'Hoja 4 - Cálculo'!J63+'Hoja 4 - Cálculo'!K63)))</f>
        <v>16</v>
      </c>
      <c r="I1362" s="15">
        <f t="shared" si="306"/>
        <v>20</v>
      </c>
      <c r="J1362" s="15">
        <f t="shared" si="313"/>
        <v>0</v>
      </c>
      <c r="K1362" s="15">
        <f>MIN(J1362+G1362,(J1362+G1362)*'Hoja 4 - Cálculo'!$B$15)</f>
        <v>0.40545000000000003</v>
      </c>
      <c r="L1362" s="15">
        <f t="shared" si="307"/>
        <v>19.867050000000003</v>
      </c>
      <c r="M1362" s="15">
        <f t="shared" si="308"/>
        <v>19.867050000000003</v>
      </c>
      <c r="N1362" s="15">
        <f t="shared" si="309"/>
        <v>0</v>
      </c>
      <c r="O1362" s="15">
        <f t="shared" si="310"/>
        <v>0</v>
      </c>
      <c r="P1362" s="15">
        <f t="shared" si="311"/>
        <v>0.13294999999999746</v>
      </c>
      <c r="Q1362" s="14" t="str">
        <f>IF(M1362&gt;=I1362*'Hoja 4 - Cálculo'!$B$16,"Satisfactorio","Falla")</f>
        <v>Falla</v>
      </c>
      <c r="R1362" s="14">
        <f t="shared" si="314"/>
        <v>0</v>
      </c>
      <c r="S1362" s="14">
        <f t="shared" si="315"/>
        <v>0</v>
      </c>
    </row>
    <row r="1363" spans="1:19">
      <c r="A1363" s="14" t="str">
        <f t="shared" si="312"/>
        <v>SRY-4-3</v>
      </c>
      <c r="B1363" s="15">
        <f>'Curvas SRY'!$B$11</f>
        <v>5</v>
      </c>
      <c r="C1363" s="15">
        <f>'Curvas SRY'!$E$10</f>
        <v>1.25</v>
      </c>
      <c r="D1363" s="14" t="str">
        <f>'Curvas SRY'!$B$14</f>
        <v>Uso variable</v>
      </c>
      <c r="E1363" s="14">
        <f>40</f>
        <v>40</v>
      </c>
      <c r="F1363" s="21">
        <f>'Hoja 4 - Cálculo'!A64</f>
        <v>30773</v>
      </c>
      <c r="G1363" s="15">
        <f>'Hoja 4 - Cálculo'!H64</f>
        <v>27.922499999999999</v>
      </c>
      <c r="H1363" s="15">
        <f>IF(D1363="Uso único",'Hoja 4 - Cálculo'!I64,IF(D1363="Uso múltiple",AVERAGE('Hoja 4 - Cálculo'!$I$25:$I$384)+AVERAGE('Hoja 4 - Cálculo'!$J$25:$J$384)+AVERAGE('Hoja 4 - Cálculo'!$K$25:$K$384),IF(D1363="Uso prioritario",'Hoja 4 - Cálculo'!I64+'Hoja 4 - Cálculo'!K64,'Hoja 4 - Cálculo'!I64+'Hoja 4 - Cálculo'!J64+'Hoja 4 - Cálculo'!K64)))</f>
        <v>11.5</v>
      </c>
      <c r="I1363" s="15">
        <f t="shared" si="306"/>
        <v>14.375</v>
      </c>
      <c r="J1363" s="15">
        <f t="shared" si="313"/>
        <v>0</v>
      </c>
      <c r="K1363" s="15">
        <f>MIN(J1363+G1363,(J1363+G1363)*'Hoja 4 - Cálculo'!$B$15)</f>
        <v>0.55845</v>
      </c>
      <c r="L1363" s="15">
        <f t="shared" si="307"/>
        <v>27.364049999999999</v>
      </c>
      <c r="M1363" s="15">
        <f t="shared" si="308"/>
        <v>14.375</v>
      </c>
      <c r="N1363" s="15">
        <f t="shared" si="309"/>
        <v>5</v>
      </c>
      <c r="O1363" s="15">
        <f t="shared" si="310"/>
        <v>7.9890499999999989</v>
      </c>
      <c r="P1363" s="15">
        <f t="shared" si="311"/>
        <v>0</v>
      </c>
      <c r="Q1363" s="14" t="str">
        <f>IF(M1363&gt;=I1363*'Hoja 4 - Cálculo'!$B$16,"Satisfactorio","Falla")</f>
        <v>Satisfactorio</v>
      </c>
      <c r="R1363" s="14">
        <f t="shared" si="314"/>
        <v>1</v>
      </c>
      <c r="S1363" s="14">
        <f t="shared" si="315"/>
        <v>0</v>
      </c>
    </row>
    <row r="1364" spans="1:19">
      <c r="A1364" s="14" t="str">
        <f t="shared" si="312"/>
        <v>SRY-4-3</v>
      </c>
      <c r="B1364" s="15">
        <f>'Curvas SRY'!$B$11</f>
        <v>5</v>
      </c>
      <c r="C1364" s="15">
        <f>'Curvas SRY'!$E$10</f>
        <v>1.25</v>
      </c>
      <c r="D1364" s="14" t="str">
        <f>'Curvas SRY'!$B$14</f>
        <v>Uso variable</v>
      </c>
      <c r="E1364" s="14">
        <f>41</f>
        <v>41</v>
      </c>
      <c r="F1364" s="21">
        <f>'Hoja 4 - Cálculo'!A65</f>
        <v>30803</v>
      </c>
      <c r="G1364" s="15">
        <f>'Hoja 4 - Cálculo'!H65</f>
        <v>23.657624999999999</v>
      </c>
      <c r="H1364" s="15">
        <f>IF(D1364="Uso único",'Hoja 4 - Cálculo'!I65,IF(D1364="Uso múltiple",AVERAGE('Hoja 4 - Cálculo'!$I$25:$I$384)+AVERAGE('Hoja 4 - Cálculo'!$J$25:$J$384)+AVERAGE('Hoja 4 - Cálculo'!$K$25:$K$384),IF(D1364="Uso prioritario",'Hoja 4 - Cálculo'!I65+'Hoja 4 - Cálculo'!K65,'Hoja 4 - Cálculo'!I65+'Hoja 4 - Cálculo'!J65+'Hoja 4 - Cálculo'!K65)))</f>
        <v>11.5</v>
      </c>
      <c r="I1364" s="15">
        <f t="shared" si="306"/>
        <v>14.375</v>
      </c>
      <c r="J1364" s="15">
        <f t="shared" si="313"/>
        <v>5</v>
      </c>
      <c r="K1364" s="15">
        <f>MIN(J1364+G1364,(J1364+G1364)*'Hoja 4 - Cálculo'!$B$15)</f>
        <v>0.57315249999999995</v>
      </c>
      <c r="L1364" s="15">
        <f t="shared" si="307"/>
        <v>28.0844725</v>
      </c>
      <c r="M1364" s="15">
        <f t="shared" si="308"/>
        <v>14.375</v>
      </c>
      <c r="N1364" s="15">
        <f t="shared" si="309"/>
        <v>5</v>
      </c>
      <c r="O1364" s="15">
        <f t="shared" si="310"/>
        <v>8.7094725000000004</v>
      </c>
      <c r="P1364" s="15">
        <f t="shared" si="311"/>
        <v>0</v>
      </c>
      <c r="Q1364" s="14" t="str">
        <f>IF(M1364&gt;=I1364*'Hoja 4 - Cálculo'!$B$16,"Satisfactorio","Falla")</f>
        <v>Satisfactorio</v>
      </c>
      <c r="R1364" s="14">
        <f t="shared" si="314"/>
        <v>0</v>
      </c>
      <c r="S1364" s="14">
        <f t="shared" si="315"/>
        <v>0</v>
      </c>
    </row>
    <row r="1365" spans="1:19">
      <c r="A1365" s="14" t="str">
        <f t="shared" si="312"/>
        <v>SRY-4-3</v>
      </c>
      <c r="B1365" s="15">
        <f>'Curvas SRY'!$B$11</f>
        <v>5</v>
      </c>
      <c r="C1365" s="15">
        <f>'Curvas SRY'!$E$10</f>
        <v>1.25</v>
      </c>
      <c r="D1365" s="14" t="str">
        <f>'Curvas SRY'!$B$14</f>
        <v>Uso variable</v>
      </c>
      <c r="E1365" s="14">
        <f>42</f>
        <v>42</v>
      </c>
      <c r="F1365" s="21">
        <f>'Hoja 4 - Cálculo'!A66</f>
        <v>30834</v>
      </c>
      <c r="G1365" s="15">
        <f>'Hoja 4 - Cálculo'!H66</f>
        <v>14.554125000000001</v>
      </c>
      <c r="H1365" s="15">
        <f>IF(D1365="Uso único",'Hoja 4 - Cálculo'!I66,IF(D1365="Uso múltiple",AVERAGE('Hoja 4 - Cálculo'!$I$25:$I$384)+AVERAGE('Hoja 4 - Cálculo'!$J$25:$J$384)+AVERAGE('Hoja 4 - Cálculo'!$K$25:$K$384),IF(D1365="Uso prioritario",'Hoja 4 - Cálculo'!I66+'Hoja 4 - Cálculo'!K66,'Hoja 4 - Cálculo'!I66+'Hoja 4 - Cálculo'!J66+'Hoja 4 - Cálculo'!K66)))</f>
        <v>11.5</v>
      </c>
      <c r="I1365" s="15">
        <f t="shared" si="306"/>
        <v>14.375</v>
      </c>
      <c r="J1365" s="15">
        <f t="shared" si="313"/>
        <v>5</v>
      </c>
      <c r="K1365" s="15">
        <f>MIN(J1365+G1365,(J1365+G1365)*'Hoja 4 - Cálculo'!$B$15)</f>
        <v>0.3910825</v>
      </c>
      <c r="L1365" s="15">
        <f t="shared" si="307"/>
        <v>19.1630425</v>
      </c>
      <c r="M1365" s="15">
        <f t="shared" si="308"/>
        <v>14.375</v>
      </c>
      <c r="N1365" s="15">
        <f t="shared" si="309"/>
        <v>4.7880424999999995</v>
      </c>
      <c r="O1365" s="15">
        <f t="shared" si="310"/>
        <v>0</v>
      </c>
      <c r="P1365" s="15">
        <f t="shared" si="311"/>
        <v>0</v>
      </c>
      <c r="Q1365" s="14" t="str">
        <f>IF(M1365&gt;=I1365*'Hoja 4 - Cálculo'!$B$16,"Satisfactorio","Falla")</f>
        <v>Satisfactorio</v>
      </c>
      <c r="R1365" s="14">
        <f t="shared" si="314"/>
        <v>0</v>
      </c>
      <c r="S1365" s="14">
        <f t="shared" si="315"/>
        <v>0</v>
      </c>
    </row>
    <row r="1366" spans="1:19">
      <c r="A1366" s="14" t="str">
        <f t="shared" si="312"/>
        <v>SRY-4-3</v>
      </c>
      <c r="B1366" s="15">
        <f>'Curvas SRY'!$B$11</f>
        <v>5</v>
      </c>
      <c r="C1366" s="15">
        <f>'Curvas SRY'!$E$10</f>
        <v>1.25</v>
      </c>
      <c r="D1366" s="14" t="str">
        <f>'Curvas SRY'!$B$14</f>
        <v>Uso variable</v>
      </c>
      <c r="E1366" s="14">
        <f>43</f>
        <v>43</v>
      </c>
      <c r="F1366" s="21">
        <f>'Hoja 4 - Cálculo'!A67</f>
        <v>30864</v>
      </c>
      <c r="G1366" s="15">
        <f>'Hoja 4 - Cálculo'!H67</f>
        <v>12.794625</v>
      </c>
      <c r="H1366" s="15">
        <f>IF(D1366="Uso único",'Hoja 4 - Cálculo'!I67,IF(D1366="Uso múltiple",AVERAGE('Hoja 4 - Cálculo'!$I$25:$I$384)+AVERAGE('Hoja 4 - Cálculo'!$J$25:$J$384)+AVERAGE('Hoja 4 - Cálculo'!$K$25:$K$384),IF(D1366="Uso prioritario",'Hoja 4 - Cálculo'!I67+'Hoja 4 - Cálculo'!K67,'Hoja 4 - Cálculo'!I67+'Hoja 4 - Cálculo'!J67+'Hoja 4 - Cálculo'!K67)))</f>
        <v>16</v>
      </c>
      <c r="I1366" s="15">
        <f t="shared" si="306"/>
        <v>20</v>
      </c>
      <c r="J1366" s="15">
        <f t="shared" si="313"/>
        <v>4.7880424999999995</v>
      </c>
      <c r="K1366" s="15">
        <f>MIN(J1366+G1366,(J1366+G1366)*'Hoja 4 - Cálculo'!$B$15)</f>
        <v>0.35165334999999998</v>
      </c>
      <c r="L1366" s="15">
        <f t="shared" si="307"/>
        <v>17.23101415</v>
      </c>
      <c r="M1366" s="15">
        <f t="shared" si="308"/>
        <v>17.23101415</v>
      </c>
      <c r="N1366" s="15">
        <f t="shared" si="309"/>
        <v>0</v>
      </c>
      <c r="O1366" s="15">
        <f t="shared" si="310"/>
        <v>0</v>
      </c>
      <c r="P1366" s="15">
        <f t="shared" si="311"/>
        <v>2.76898585</v>
      </c>
      <c r="Q1366" s="14" t="str">
        <f>IF(M1366&gt;=I1366*'Hoja 4 - Cálculo'!$B$16,"Satisfactorio","Falla")</f>
        <v>Falla</v>
      </c>
      <c r="R1366" s="14">
        <f t="shared" si="314"/>
        <v>0</v>
      </c>
      <c r="S1366" s="14">
        <f t="shared" si="315"/>
        <v>1</v>
      </c>
    </row>
    <row r="1367" spans="1:19">
      <c r="A1367" s="14" t="str">
        <f t="shared" si="312"/>
        <v>SRY-4-3</v>
      </c>
      <c r="B1367" s="15">
        <f>'Curvas SRY'!$B$11</f>
        <v>5</v>
      </c>
      <c r="C1367" s="15">
        <f>'Curvas SRY'!$E$10</f>
        <v>1.25</v>
      </c>
      <c r="D1367" s="14" t="str">
        <f>'Curvas SRY'!$B$14</f>
        <v>Uso variable</v>
      </c>
      <c r="E1367" s="14">
        <f>44</f>
        <v>44</v>
      </c>
      <c r="F1367" s="21">
        <f>'Hoja 4 - Cálculo'!A68</f>
        <v>30895</v>
      </c>
      <c r="G1367" s="15">
        <f>'Hoja 4 - Cálculo'!H68</f>
        <v>13.6935</v>
      </c>
      <c r="H1367" s="15">
        <f>IF(D1367="Uso único",'Hoja 4 - Cálculo'!I68,IF(D1367="Uso múltiple",AVERAGE('Hoja 4 - Cálculo'!$I$25:$I$384)+AVERAGE('Hoja 4 - Cálculo'!$J$25:$J$384)+AVERAGE('Hoja 4 - Cálculo'!$K$25:$K$384),IF(D1367="Uso prioritario",'Hoja 4 - Cálculo'!I68+'Hoja 4 - Cálculo'!K68,'Hoja 4 - Cálculo'!I68+'Hoja 4 - Cálculo'!J68+'Hoja 4 - Cálculo'!K68)))</f>
        <v>16</v>
      </c>
      <c r="I1367" s="15">
        <f t="shared" si="306"/>
        <v>20</v>
      </c>
      <c r="J1367" s="15">
        <f t="shared" si="313"/>
        <v>0</v>
      </c>
      <c r="K1367" s="15">
        <f>MIN(J1367+G1367,(J1367+G1367)*'Hoja 4 - Cálculo'!$B$15)</f>
        <v>0.27387</v>
      </c>
      <c r="L1367" s="15">
        <f t="shared" si="307"/>
        <v>13.41963</v>
      </c>
      <c r="M1367" s="15">
        <f t="shared" si="308"/>
        <v>13.41963</v>
      </c>
      <c r="N1367" s="15">
        <f t="shared" si="309"/>
        <v>0</v>
      </c>
      <c r="O1367" s="15">
        <f t="shared" si="310"/>
        <v>0</v>
      </c>
      <c r="P1367" s="15">
        <f t="shared" si="311"/>
        <v>6.5803700000000003</v>
      </c>
      <c r="Q1367" s="14" t="str">
        <f>IF(M1367&gt;=I1367*'Hoja 4 - Cálculo'!$B$16,"Satisfactorio","Falla")</f>
        <v>Falla</v>
      </c>
      <c r="R1367" s="14">
        <f t="shared" si="314"/>
        <v>0</v>
      </c>
      <c r="S1367" s="14">
        <f t="shared" si="315"/>
        <v>0</v>
      </c>
    </row>
    <row r="1368" spans="1:19">
      <c r="A1368" s="14" t="str">
        <f t="shared" si="312"/>
        <v>SRY-4-3</v>
      </c>
      <c r="B1368" s="15">
        <f>'Curvas SRY'!$B$11</f>
        <v>5</v>
      </c>
      <c r="C1368" s="15">
        <f>'Curvas SRY'!$E$10</f>
        <v>1.25</v>
      </c>
      <c r="D1368" s="14" t="str">
        <f>'Curvas SRY'!$B$14</f>
        <v>Uso variable</v>
      </c>
      <c r="E1368" s="14">
        <f>45</f>
        <v>45</v>
      </c>
      <c r="F1368" s="21">
        <f>'Hoja 4 - Cálculo'!A69</f>
        <v>30926</v>
      </c>
      <c r="G1368" s="15">
        <f>'Hoja 4 - Cálculo'!H69</f>
        <v>20.521125000000001</v>
      </c>
      <c r="H1368" s="15">
        <f>IF(D1368="Uso único",'Hoja 4 - Cálculo'!I69,IF(D1368="Uso múltiple",AVERAGE('Hoja 4 - Cálculo'!$I$25:$I$384)+AVERAGE('Hoja 4 - Cálculo'!$J$25:$J$384)+AVERAGE('Hoja 4 - Cálculo'!$K$25:$K$384),IF(D1368="Uso prioritario",'Hoja 4 - Cálculo'!I69+'Hoja 4 - Cálculo'!K69,'Hoja 4 - Cálculo'!I69+'Hoja 4 - Cálculo'!J69+'Hoja 4 - Cálculo'!K69)))</f>
        <v>11.5</v>
      </c>
      <c r="I1368" s="15">
        <f t="shared" si="306"/>
        <v>14.375</v>
      </c>
      <c r="J1368" s="15">
        <f t="shared" si="313"/>
        <v>0</v>
      </c>
      <c r="K1368" s="15">
        <f>MIN(J1368+G1368,(J1368+G1368)*'Hoja 4 - Cálculo'!$B$15)</f>
        <v>0.41042250000000002</v>
      </c>
      <c r="L1368" s="15">
        <f t="shared" si="307"/>
        <v>20.110702500000002</v>
      </c>
      <c r="M1368" s="15">
        <f t="shared" si="308"/>
        <v>14.375</v>
      </c>
      <c r="N1368" s="15">
        <f t="shared" si="309"/>
        <v>5</v>
      </c>
      <c r="O1368" s="15">
        <f t="shared" si="310"/>
        <v>0.73570250000000215</v>
      </c>
      <c r="P1368" s="15">
        <f t="shared" si="311"/>
        <v>0</v>
      </c>
      <c r="Q1368" s="14" t="str">
        <f>IF(M1368&gt;=I1368*'Hoja 4 - Cálculo'!$B$16,"Satisfactorio","Falla")</f>
        <v>Satisfactorio</v>
      </c>
      <c r="R1368" s="14">
        <f t="shared" si="314"/>
        <v>1</v>
      </c>
      <c r="S1368" s="14">
        <f t="shared" si="315"/>
        <v>0</v>
      </c>
    </row>
    <row r="1369" spans="1:19">
      <c r="A1369" s="14" t="str">
        <f t="shared" si="312"/>
        <v>SRY-4-3</v>
      </c>
      <c r="B1369" s="15">
        <f>'Curvas SRY'!$B$11</f>
        <v>5</v>
      </c>
      <c r="C1369" s="15">
        <f>'Curvas SRY'!$E$10</f>
        <v>1.25</v>
      </c>
      <c r="D1369" s="14" t="str">
        <f>'Curvas SRY'!$B$14</f>
        <v>Uso variable</v>
      </c>
      <c r="E1369" s="14">
        <f>46</f>
        <v>46</v>
      </c>
      <c r="F1369" s="21">
        <f>'Hoja 4 - Cálculo'!A70</f>
        <v>30956</v>
      </c>
      <c r="G1369" s="15">
        <f>'Hoja 4 - Cálculo'!H70</f>
        <v>27.061875000000001</v>
      </c>
      <c r="H1369" s="15">
        <f>IF(D1369="Uso único",'Hoja 4 - Cálculo'!I70,IF(D1369="Uso múltiple",AVERAGE('Hoja 4 - Cálculo'!$I$25:$I$384)+AVERAGE('Hoja 4 - Cálculo'!$J$25:$J$384)+AVERAGE('Hoja 4 - Cálculo'!$K$25:$K$384),IF(D1369="Uso prioritario",'Hoja 4 - Cálculo'!I70+'Hoja 4 - Cálculo'!K70,'Hoja 4 - Cálculo'!I70+'Hoja 4 - Cálculo'!J70+'Hoja 4 - Cálculo'!K70)))</f>
        <v>11.5</v>
      </c>
      <c r="I1369" s="15">
        <f t="shared" si="306"/>
        <v>14.375</v>
      </c>
      <c r="J1369" s="15">
        <f t="shared" si="313"/>
        <v>5</v>
      </c>
      <c r="K1369" s="15">
        <f>MIN(J1369+G1369,(J1369+G1369)*'Hoja 4 - Cálculo'!$B$15)</f>
        <v>0.64123750000000002</v>
      </c>
      <c r="L1369" s="15">
        <f t="shared" si="307"/>
        <v>31.420637500000002</v>
      </c>
      <c r="M1369" s="15">
        <f t="shared" si="308"/>
        <v>14.375</v>
      </c>
      <c r="N1369" s="15">
        <f t="shared" si="309"/>
        <v>5</v>
      </c>
      <c r="O1369" s="15">
        <f t="shared" si="310"/>
        <v>12.045637500000002</v>
      </c>
      <c r="P1369" s="15">
        <f t="shared" si="311"/>
        <v>0</v>
      </c>
      <c r="Q1369" s="14" t="str">
        <f>IF(M1369&gt;=I1369*'Hoja 4 - Cálculo'!$B$16,"Satisfactorio","Falla")</f>
        <v>Satisfactorio</v>
      </c>
      <c r="R1369" s="14">
        <f t="shared" si="314"/>
        <v>0</v>
      </c>
      <c r="S1369" s="14">
        <f t="shared" si="315"/>
        <v>0</v>
      </c>
    </row>
    <row r="1370" spans="1:19">
      <c r="A1370" s="14" t="str">
        <f t="shared" si="312"/>
        <v>SRY-4-3</v>
      </c>
      <c r="B1370" s="15">
        <f>'Curvas SRY'!$B$11</f>
        <v>5</v>
      </c>
      <c r="C1370" s="15">
        <f>'Curvas SRY'!$E$10</f>
        <v>1.25</v>
      </c>
      <c r="D1370" s="14" t="str">
        <f>'Curvas SRY'!$B$14</f>
        <v>Uso variable</v>
      </c>
      <c r="E1370" s="14">
        <f>47</f>
        <v>47</v>
      </c>
      <c r="F1370" s="21">
        <f>'Hoja 4 - Cálculo'!A71</f>
        <v>30987</v>
      </c>
      <c r="G1370" s="15">
        <f>'Hoja 4 - Cálculo'!H71</f>
        <v>24.346125000000001</v>
      </c>
      <c r="H1370" s="15">
        <f>IF(D1370="Uso único",'Hoja 4 - Cálculo'!I71,IF(D1370="Uso múltiple",AVERAGE('Hoja 4 - Cálculo'!$I$25:$I$384)+AVERAGE('Hoja 4 - Cálculo'!$J$25:$J$384)+AVERAGE('Hoja 4 - Cálculo'!$K$25:$K$384),IF(D1370="Uso prioritario",'Hoja 4 - Cálculo'!I71+'Hoja 4 - Cálculo'!K71,'Hoja 4 - Cálculo'!I71+'Hoja 4 - Cálculo'!J71+'Hoja 4 - Cálculo'!K71)))</f>
        <v>11.5</v>
      </c>
      <c r="I1370" s="15">
        <f t="shared" si="306"/>
        <v>14.375</v>
      </c>
      <c r="J1370" s="15">
        <f t="shared" si="313"/>
        <v>5</v>
      </c>
      <c r="K1370" s="15">
        <f>MIN(J1370+G1370,(J1370+G1370)*'Hoja 4 - Cálculo'!$B$15)</f>
        <v>0.58692250000000001</v>
      </c>
      <c r="L1370" s="15">
        <f t="shared" si="307"/>
        <v>28.759202500000001</v>
      </c>
      <c r="M1370" s="15">
        <f t="shared" si="308"/>
        <v>14.375</v>
      </c>
      <c r="N1370" s="15">
        <f t="shared" si="309"/>
        <v>5</v>
      </c>
      <c r="O1370" s="15">
        <f t="shared" si="310"/>
        <v>9.3842025000000007</v>
      </c>
      <c r="P1370" s="15">
        <f t="shared" si="311"/>
        <v>0</v>
      </c>
      <c r="Q1370" s="14" t="str">
        <f>IF(M1370&gt;=I1370*'Hoja 4 - Cálculo'!$B$16,"Satisfactorio","Falla")</f>
        <v>Satisfactorio</v>
      </c>
      <c r="R1370" s="14">
        <f t="shared" si="314"/>
        <v>0</v>
      </c>
      <c r="S1370" s="14">
        <f t="shared" si="315"/>
        <v>0</v>
      </c>
    </row>
    <row r="1371" spans="1:19">
      <c r="A1371" s="14" t="str">
        <f t="shared" si="312"/>
        <v>SRY-4-3</v>
      </c>
      <c r="B1371" s="15">
        <f>'Curvas SRY'!$B$11</f>
        <v>5</v>
      </c>
      <c r="C1371" s="15">
        <f>'Curvas SRY'!$E$10</f>
        <v>1.25</v>
      </c>
      <c r="D1371" s="14" t="str">
        <f>'Curvas SRY'!$B$14</f>
        <v>Uso variable</v>
      </c>
      <c r="E1371" s="14">
        <f>48</f>
        <v>48</v>
      </c>
      <c r="F1371" s="21">
        <f>'Hoja 4 - Cálculo'!A72</f>
        <v>31017</v>
      </c>
      <c r="G1371" s="15">
        <f>'Hoja 4 - Cálculo'!H72</f>
        <v>14.745374999999999</v>
      </c>
      <c r="H1371" s="15">
        <f>IF(D1371="Uso único",'Hoja 4 - Cálculo'!I72,IF(D1371="Uso múltiple",AVERAGE('Hoja 4 - Cálculo'!$I$25:$I$384)+AVERAGE('Hoja 4 - Cálculo'!$J$25:$J$384)+AVERAGE('Hoja 4 - Cálculo'!$K$25:$K$384),IF(D1371="Uso prioritario",'Hoja 4 - Cálculo'!I72+'Hoja 4 - Cálculo'!K72,'Hoja 4 - Cálculo'!I72+'Hoja 4 - Cálculo'!J72+'Hoja 4 - Cálculo'!K72)))</f>
        <v>16</v>
      </c>
      <c r="I1371" s="15">
        <f t="shared" si="306"/>
        <v>20</v>
      </c>
      <c r="J1371" s="15">
        <f t="shared" si="313"/>
        <v>5</v>
      </c>
      <c r="K1371" s="15">
        <f>MIN(J1371+G1371,(J1371+G1371)*'Hoja 4 - Cálculo'!$B$15)</f>
        <v>0.39490749999999997</v>
      </c>
      <c r="L1371" s="15">
        <f t="shared" si="307"/>
        <v>19.350467500000001</v>
      </c>
      <c r="M1371" s="15">
        <f t="shared" si="308"/>
        <v>19.350467500000001</v>
      </c>
      <c r="N1371" s="15">
        <f t="shared" si="309"/>
        <v>0</v>
      </c>
      <c r="O1371" s="15">
        <f t="shared" si="310"/>
        <v>0</v>
      </c>
      <c r="P1371" s="15">
        <f t="shared" si="311"/>
        <v>0.6495324999999994</v>
      </c>
      <c r="Q1371" s="14" t="str">
        <f>IF(M1371&gt;=I1371*'Hoja 4 - Cálculo'!$B$16,"Satisfactorio","Falla")</f>
        <v>Falla</v>
      </c>
      <c r="R1371" s="14">
        <f t="shared" si="314"/>
        <v>0</v>
      </c>
      <c r="S1371" s="14">
        <f t="shared" si="315"/>
        <v>1</v>
      </c>
    </row>
    <row r="1372" spans="1:19">
      <c r="A1372" s="14" t="str">
        <f t="shared" si="312"/>
        <v>SRY-4-3</v>
      </c>
      <c r="B1372" s="15">
        <f>'Curvas SRY'!$B$11</f>
        <v>5</v>
      </c>
      <c r="C1372" s="15">
        <f>'Curvas SRY'!$E$10</f>
        <v>1.25</v>
      </c>
      <c r="D1372" s="14" t="str">
        <f>'Curvas SRY'!$B$14</f>
        <v>Uso variable</v>
      </c>
      <c r="E1372" s="14">
        <f>49</f>
        <v>49</v>
      </c>
      <c r="F1372" s="21">
        <f>'Hoja 4 - Cálculo'!A73</f>
        <v>31048</v>
      </c>
      <c r="G1372" s="15">
        <f>'Hoja 4 - Cálculo'!H73</f>
        <v>10.767374999999999</v>
      </c>
      <c r="H1372" s="15">
        <f>IF(D1372="Uso único",'Hoja 4 - Cálculo'!I73,IF(D1372="Uso múltiple",AVERAGE('Hoja 4 - Cálculo'!$I$25:$I$384)+AVERAGE('Hoja 4 - Cálculo'!$J$25:$J$384)+AVERAGE('Hoja 4 - Cálculo'!$K$25:$K$384),IF(D1372="Uso prioritario",'Hoja 4 - Cálculo'!I73+'Hoja 4 - Cálculo'!K73,'Hoja 4 - Cálculo'!I73+'Hoja 4 - Cálculo'!J73+'Hoja 4 - Cálculo'!K73)))</f>
        <v>16</v>
      </c>
      <c r="I1372" s="15">
        <f t="shared" si="306"/>
        <v>20</v>
      </c>
      <c r="J1372" s="15">
        <f t="shared" si="313"/>
        <v>0</v>
      </c>
      <c r="K1372" s="15">
        <f>MIN(J1372+G1372,(J1372+G1372)*'Hoja 4 - Cálculo'!$B$15)</f>
        <v>0.2153475</v>
      </c>
      <c r="L1372" s="15">
        <f t="shared" si="307"/>
        <v>10.552027499999999</v>
      </c>
      <c r="M1372" s="15">
        <f t="shared" si="308"/>
        <v>10.552027499999999</v>
      </c>
      <c r="N1372" s="15">
        <f t="shared" si="309"/>
        <v>0</v>
      </c>
      <c r="O1372" s="15">
        <f t="shared" si="310"/>
        <v>0</v>
      </c>
      <c r="P1372" s="15">
        <f t="shared" si="311"/>
        <v>9.4479725000000006</v>
      </c>
      <c r="Q1372" s="14" t="str">
        <f>IF(M1372&gt;=I1372*'Hoja 4 - Cálculo'!$B$16,"Satisfactorio","Falla")</f>
        <v>Falla</v>
      </c>
      <c r="R1372" s="14">
        <f t="shared" si="314"/>
        <v>0</v>
      </c>
      <c r="S1372" s="14">
        <f t="shared" si="315"/>
        <v>0</v>
      </c>
    </row>
    <row r="1373" spans="1:19">
      <c r="A1373" s="14" t="str">
        <f t="shared" si="312"/>
        <v>SRY-4-3</v>
      </c>
      <c r="B1373" s="15">
        <f>'Curvas SRY'!$B$11</f>
        <v>5</v>
      </c>
      <c r="C1373" s="15">
        <f>'Curvas SRY'!$E$10</f>
        <v>1.25</v>
      </c>
      <c r="D1373" s="14" t="str">
        <f>'Curvas SRY'!$B$14</f>
        <v>Uso variable</v>
      </c>
      <c r="E1373" s="14">
        <f>50</f>
        <v>50</v>
      </c>
      <c r="F1373" s="21">
        <f>'Hoja 4 - Cálculo'!A74</f>
        <v>31079</v>
      </c>
      <c r="G1373" s="15">
        <f>'Hoja 4 - Cálculo'!H74</f>
        <v>13.464</v>
      </c>
      <c r="H1373" s="15">
        <f>IF(D1373="Uso único",'Hoja 4 - Cálculo'!I74,IF(D1373="Uso múltiple",AVERAGE('Hoja 4 - Cálculo'!$I$25:$I$384)+AVERAGE('Hoja 4 - Cálculo'!$J$25:$J$384)+AVERAGE('Hoja 4 - Cálculo'!$K$25:$K$384),IF(D1373="Uso prioritario",'Hoja 4 - Cálculo'!I74+'Hoja 4 - Cálculo'!K74,'Hoja 4 - Cálculo'!I74+'Hoja 4 - Cálculo'!J74+'Hoja 4 - Cálculo'!K74)))</f>
        <v>16</v>
      </c>
      <c r="I1373" s="15">
        <f t="shared" si="306"/>
        <v>20</v>
      </c>
      <c r="J1373" s="15">
        <f t="shared" si="313"/>
        <v>0</v>
      </c>
      <c r="K1373" s="15">
        <f>MIN(J1373+G1373,(J1373+G1373)*'Hoja 4 - Cálculo'!$B$15)</f>
        <v>0.26928000000000002</v>
      </c>
      <c r="L1373" s="15">
        <f t="shared" si="307"/>
        <v>13.19472</v>
      </c>
      <c r="M1373" s="15">
        <f t="shared" si="308"/>
        <v>13.19472</v>
      </c>
      <c r="N1373" s="15">
        <f t="shared" si="309"/>
        <v>0</v>
      </c>
      <c r="O1373" s="15">
        <f t="shared" si="310"/>
        <v>0</v>
      </c>
      <c r="P1373" s="15">
        <f t="shared" si="311"/>
        <v>6.8052799999999998</v>
      </c>
      <c r="Q1373" s="14" t="str">
        <f>IF(M1373&gt;=I1373*'Hoja 4 - Cálculo'!$B$16,"Satisfactorio","Falla")</f>
        <v>Falla</v>
      </c>
      <c r="R1373" s="14">
        <f t="shared" si="314"/>
        <v>0</v>
      </c>
      <c r="S1373" s="14">
        <f t="shared" si="315"/>
        <v>0</v>
      </c>
    </row>
    <row r="1374" spans="1:19">
      <c r="A1374" s="14" t="str">
        <f t="shared" si="312"/>
        <v>SRY-4-3</v>
      </c>
      <c r="B1374" s="15">
        <f>'Curvas SRY'!$B$11</f>
        <v>5</v>
      </c>
      <c r="C1374" s="15">
        <f>'Curvas SRY'!$E$10</f>
        <v>1.25</v>
      </c>
      <c r="D1374" s="14" t="str">
        <f>'Curvas SRY'!$B$14</f>
        <v>Uso variable</v>
      </c>
      <c r="E1374" s="14">
        <f>51</f>
        <v>51</v>
      </c>
      <c r="F1374" s="21">
        <f>'Hoja 4 - Cálculo'!A75</f>
        <v>31107</v>
      </c>
      <c r="G1374" s="15">
        <f>'Hoja 4 - Cálculo'!H75</f>
        <v>19.450125</v>
      </c>
      <c r="H1374" s="15">
        <f>IF(D1374="Uso único",'Hoja 4 - Cálculo'!I75,IF(D1374="Uso múltiple",AVERAGE('Hoja 4 - Cálculo'!$I$25:$I$384)+AVERAGE('Hoja 4 - Cálculo'!$J$25:$J$384)+AVERAGE('Hoja 4 - Cálculo'!$K$25:$K$384),IF(D1374="Uso prioritario",'Hoja 4 - Cálculo'!I75+'Hoja 4 - Cálculo'!K75,'Hoja 4 - Cálculo'!I75+'Hoja 4 - Cálculo'!J75+'Hoja 4 - Cálculo'!K75)))</f>
        <v>16</v>
      </c>
      <c r="I1374" s="15">
        <f t="shared" si="306"/>
        <v>20</v>
      </c>
      <c r="J1374" s="15">
        <f t="shared" si="313"/>
        <v>0</v>
      </c>
      <c r="K1374" s="15">
        <f>MIN(J1374+G1374,(J1374+G1374)*'Hoja 4 - Cálculo'!$B$15)</f>
        <v>0.38900250000000003</v>
      </c>
      <c r="L1374" s="15">
        <f t="shared" si="307"/>
        <v>19.0611225</v>
      </c>
      <c r="M1374" s="15">
        <f t="shared" si="308"/>
        <v>19.0611225</v>
      </c>
      <c r="N1374" s="15">
        <f t="shared" si="309"/>
        <v>0</v>
      </c>
      <c r="O1374" s="15">
        <f t="shared" si="310"/>
        <v>0</v>
      </c>
      <c r="P1374" s="15">
        <f t="shared" si="311"/>
        <v>0.93887750000000025</v>
      </c>
      <c r="Q1374" s="14" t="str">
        <f>IF(M1374&gt;=I1374*'Hoja 4 - Cálculo'!$B$16,"Satisfactorio","Falla")</f>
        <v>Falla</v>
      </c>
      <c r="R1374" s="14">
        <f t="shared" si="314"/>
        <v>0</v>
      </c>
      <c r="S1374" s="14">
        <f t="shared" si="315"/>
        <v>0</v>
      </c>
    </row>
    <row r="1375" spans="1:19">
      <c r="A1375" s="14" t="str">
        <f t="shared" si="312"/>
        <v>SRY-4-3</v>
      </c>
      <c r="B1375" s="15">
        <f>'Curvas SRY'!$B$11</f>
        <v>5</v>
      </c>
      <c r="C1375" s="15">
        <f>'Curvas SRY'!$E$10</f>
        <v>1.25</v>
      </c>
      <c r="D1375" s="14" t="str">
        <f>'Curvas SRY'!$B$14</f>
        <v>Uso variable</v>
      </c>
      <c r="E1375" s="14">
        <f>52</f>
        <v>52</v>
      </c>
      <c r="F1375" s="21">
        <f>'Hoja 4 - Cálculo'!A76</f>
        <v>31138</v>
      </c>
      <c r="G1375" s="15">
        <f>'Hoja 4 - Cálculo'!H76</f>
        <v>25.51275</v>
      </c>
      <c r="H1375" s="15">
        <f>IF(D1375="Uso único",'Hoja 4 - Cálculo'!I76,IF(D1375="Uso múltiple",AVERAGE('Hoja 4 - Cálculo'!$I$25:$I$384)+AVERAGE('Hoja 4 - Cálculo'!$J$25:$J$384)+AVERAGE('Hoja 4 - Cálculo'!$K$25:$K$384),IF(D1375="Uso prioritario",'Hoja 4 - Cálculo'!I76+'Hoja 4 - Cálculo'!K76,'Hoja 4 - Cálculo'!I76+'Hoja 4 - Cálculo'!J76+'Hoja 4 - Cálculo'!K76)))</f>
        <v>11.5</v>
      </c>
      <c r="I1375" s="15">
        <f t="shared" si="306"/>
        <v>14.375</v>
      </c>
      <c r="J1375" s="15">
        <f t="shared" si="313"/>
        <v>0</v>
      </c>
      <c r="K1375" s="15">
        <f>MIN(J1375+G1375,(J1375+G1375)*'Hoja 4 - Cálculo'!$B$15)</f>
        <v>0.51025500000000001</v>
      </c>
      <c r="L1375" s="15">
        <f t="shared" si="307"/>
        <v>25.002495</v>
      </c>
      <c r="M1375" s="15">
        <f t="shared" si="308"/>
        <v>14.375</v>
      </c>
      <c r="N1375" s="15">
        <f t="shared" si="309"/>
        <v>5</v>
      </c>
      <c r="O1375" s="15">
        <f t="shared" si="310"/>
        <v>5.6274949999999997</v>
      </c>
      <c r="P1375" s="15">
        <f t="shared" si="311"/>
        <v>0</v>
      </c>
      <c r="Q1375" s="14" t="str">
        <f>IF(M1375&gt;=I1375*'Hoja 4 - Cálculo'!$B$16,"Satisfactorio","Falla")</f>
        <v>Satisfactorio</v>
      </c>
      <c r="R1375" s="14">
        <f t="shared" si="314"/>
        <v>1</v>
      </c>
      <c r="S1375" s="14">
        <f t="shared" si="315"/>
        <v>0</v>
      </c>
    </row>
    <row r="1376" spans="1:19">
      <c r="A1376" s="14" t="str">
        <f t="shared" si="312"/>
        <v>SRY-4-3</v>
      </c>
      <c r="B1376" s="15">
        <f>'Curvas SRY'!$B$11</f>
        <v>5</v>
      </c>
      <c r="C1376" s="15">
        <f>'Curvas SRY'!$E$10</f>
        <v>1.25</v>
      </c>
      <c r="D1376" s="14" t="str">
        <f>'Curvas SRY'!$B$14</f>
        <v>Uso variable</v>
      </c>
      <c r="E1376" s="14">
        <f>53</f>
        <v>53</v>
      </c>
      <c r="F1376" s="21">
        <f>'Hoja 4 - Cálculo'!A77</f>
        <v>31168</v>
      </c>
      <c r="G1376" s="15">
        <f>'Hoja 4 - Cálculo'!H77</f>
        <v>24.36525</v>
      </c>
      <c r="H1376" s="15">
        <f>IF(D1376="Uso único",'Hoja 4 - Cálculo'!I77,IF(D1376="Uso múltiple",AVERAGE('Hoja 4 - Cálculo'!$I$25:$I$384)+AVERAGE('Hoja 4 - Cálculo'!$J$25:$J$384)+AVERAGE('Hoja 4 - Cálculo'!$K$25:$K$384),IF(D1376="Uso prioritario",'Hoja 4 - Cálculo'!I77+'Hoja 4 - Cálculo'!K77,'Hoja 4 - Cálculo'!I77+'Hoja 4 - Cálculo'!J77+'Hoja 4 - Cálculo'!K77)))</f>
        <v>11.5</v>
      </c>
      <c r="I1376" s="15">
        <f t="shared" si="306"/>
        <v>14.375</v>
      </c>
      <c r="J1376" s="15">
        <f t="shared" si="313"/>
        <v>5</v>
      </c>
      <c r="K1376" s="15">
        <f>MIN(J1376+G1376,(J1376+G1376)*'Hoja 4 - Cálculo'!$B$15)</f>
        <v>0.58730499999999997</v>
      </c>
      <c r="L1376" s="15">
        <f t="shared" si="307"/>
        <v>28.777944999999999</v>
      </c>
      <c r="M1376" s="15">
        <f t="shared" si="308"/>
        <v>14.375</v>
      </c>
      <c r="N1376" s="15">
        <f t="shared" si="309"/>
        <v>5</v>
      </c>
      <c r="O1376" s="15">
        <f t="shared" si="310"/>
        <v>9.402944999999999</v>
      </c>
      <c r="P1376" s="15">
        <f t="shared" si="311"/>
        <v>0</v>
      </c>
      <c r="Q1376" s="14" t="str">
        <f>IF(M1376&gt;=I1376*'Hoja 4 - Cálculo'!$B$16,"Satisfactorio","Falla")</f>
        <v>Satisfactorio</v>
      </c>
      <c r="R1376" s="14">
        <f t="shared" si="314"/>
        <v>0</v>
      </c>
      <c r="S1376" s="14">
        <f t="shared" si="315"/>
        <v>0</v>
      </c>
    </row>
    <row r="1377" spans="1:19">
      <c r="A1377" s="14" t="str">
        <f t="shared" si="312"/>
        <v>SRY-4-3</v>
      </c>
      <c r="B1377" s="15">
        <f>'Curvas SRY'!$B$11</f>
        <v>5</v>
      </c>
      <c r="C1377" s="15">
        <f>'Curvas SRY'!$E$10</f>
        <v>1.25</v>
      </c>
      <c r="D1377" s="14" t="str">
        <f>'Curvas SRY'!$B$14</f>
        <v>Uso variable</v>
      </c>
      <c r="E1377" s="14">
        <f>54</f>
        <v>54</v>
      </c>
      <c r="F1377" s="21">
        <f>'Hoja 4 - Cálculo'!A78</f>
        <v>31199</v>
      </c>
      <c r="G1377" s="15">
        <f>'Hoja 4 - Cálculo'!H78</f>
        <v>15.395625000000001</v>
      </c>
      <c r="H1377" s="15">
        <f>IF(D1377="Uso único",'Hoja 4 - Cálculo'!I78,IF(D1377="Uso múltiple",AVERAGE('Hoja 4 - Cálculo'!$I$25:$I$384)+AVERAGE('Hoja 4 - Cálculo'!$J$25:$J$384)+AVERAGE('Hoja 4 - Cálculo'!$K$25:$K$384),IF(D1377="Uso prioritario",'Hoja 4 - Cálculo'!I78+'Hoja 4 - Cálculo'!K78,'Hoja 4 - Cálculo'!I78+'Hoja 4 - Cálculo'!J78+'Hoja 4 - Cálculo'!K78)))</f>
        <v>11.5</v>
      </c>
      <c r="I1377" s="15">
        <f t="shared" si="306"/>
        <v>14.375</v>
      </c>
      <c r="J1377" s="15">
        <f t="shared" si="313"/>
        <v>5</v>
      </c>
      <c r="K1377" s="15">
        <f>MIN(J1377+G1377,(J1377+G1377)*'Hoja 4 - Cálculo'!$B$15)</f>
        <v>0.40791250000000007</v>
      </c>
      <c r="L1377" s="15">
        <f t="shared" si="307"/>
        <v>19.987712500000004</v>
      </c>
      <c r="M1377" s="15">
        <f t="shared" si="308"/>
        <v>14.375</v>
      </c>
      <c r="N1377" s="15">
        <f t="shared" si="309"/>
        <v>5</v>
      </c>
      <c r="O1377" s="15">
        <f t="shared" si="310"/>
        <v>0.61271250000000421</v>
      </c>
      <c r="P1377" s="15">
        <f t="shared" si="311"/>
        <v>0</v>
      </c>
      <c r="Q1377" s="14" t="str">
        <f>IF(M1377&gt;=I1377*'Hoja 4 - Cálculo'!$B$16,"Satisfactorio","Falla")</f>
        <v>Satisfactorio</v>
      </c>
      <c r="R1377" s="14">
        <f t="shared" si="314"/>
        <v>0</v>
      </c>
      <c r="S1377" s="14">
        <f t="shared" si="315"/>
        <v>0</v>
      </c>
    </row>
    <row r="1378" spans="1:19">
      <c r="A1378" s="14" t="str">
        <f t="shared" si="312"/>
        <v>SRY-4-3</v>
      </c>
      <c r="B1378" s="15">
        <f>'Curvas SRY'!$B$11</f>
        <v>5</v>
      </c>
      <c r="C1378" s="15">
        <f>'Curvas SRY'!$E$10</f>
        <v>1.25</v>
      </c>
      <c r="D1378" s="14" t="str">
        <f>'Curvas SRY'!$B$14</f>
        <v>Uso variable</v>
      </c>
      <c r="E1378" s="14">
        <f>55</f>
        <v>55</v>
      </c>
      <c r="F1378" s="21">
        <f>'Hoja 4 - Cálculo'!A79</f>
        <v>31229</v>
      </c>
      <c r="G1378" s="15">
        <f>'Hoja 4 - Cálculo'!H79</f>
        <v>11.742749999999999</v>
      </c>
      <c r="H1378" s="15">
        <f>IF(D1378="Uso único",'Hoja 4 - Cálculo'!I79,IF(D1378="Uso múltiple",AVERAGE('Hoja 4 - Cálculo'!$I$25:$I$384)+AVERAGE('Hoja 4 - Cálculo'!$J$25:$J$384)+AVERAGE('Hoja 4 - Cálculo'!$K$25:$K$384),IF(D1378="Uso prioritario",'Hoja 4 - Cálculo'!I79+'Hoja 4 - Cálculo'!K79,'Hoja 4 - Cálculo'!I79+'Hoja 4 - Cálculo'!J79+'Hoja 4 - Cálculo'!K79)))</f>
        <v>16</v>
      </c>
      <c r="I1378" s="15">
        <f t="shared" si="306"/>
        <v>20</v>
      </c>
      <c r="J1378" s="15">
        <f t="shared" si="313"/>
        <v>5</v>
      </c>
      <c r="K1378" s="15">
        <f>MIN(J1378+G1378,(J1378+G1378)*'Hoja 4 - Cálculo'!$B$15)</f>
        <v>0.33485500000000001</v>
      </c>
      <c r="L1378" s="15">
        <f t="shared" si="307"/>
        <v>16.407895</v>
      </c>
      <c r="M1378" s="15">
        <f t="shared" si="308"/>
        <v>16.407895</v>
      </c>
      <c r="N1378" s="15">
        <f t="shared" si="309"/>
        <v>0</v>
      </c>
      <c r="O1378" s="15">
        <f t="shared" si="310"/>
        <v>0</v>
      </c>
      <c r="P1378" s="15">
        <f t="shared" si="311"/>
        <v>3.5921050000000001</v>
      </c>
      <c r="Q1378" s="14" t="str">
        <f>IF(M1378&gt;=I1378*'Hoja 4 - Cálculo'!$B$16,"Satisfactorio","Falla")</f>
        <v>Falla</v>
      </c>
      <c r="R1378" s="14">
        <f t="shared" si="314"/>
        <v>0</v>
      </c>
      <c r="S1378" s="14">
        <f t="shared" si="315"/>
        <v>1</v>
      </c>
    </row>
    <row r="1379" spans="1:19">
      <c r="A1379" s="14" t="str">
        <f t="shared" si="312"/>
        <v>SRY-4-3</v>
      </c>
      <c r="B1379" s="15">
        <f>'Curvas SRY'!$B$11</f>
        <v>5</v>
      </c>
      <c r="C1379" s="15">
        <f>'Curvas SRY'!$E$10</f>
        <v>1.25</v>
      </c>
      <c r="D1379" s="14" t="str">
        <f>'Curvas SRY'!$B$14</f>
        <v>Uso variable</v>
      </c>
      <c r="E1379" s="14">
        <f>56</f>
        <v>56</v>
      </c>
      <c r="F1379" s="21">
        <f>'Hoja 4 - Cálculo'!A80</f>
        <v>31260</v>
      </c>
      <c r="G1379" s="15">
        <f>'Hoja 4 - Cálculo'!H80</f>
        <v>12.603375</v>
      </c>
      <c r="H1379" s="15">
        <f>IF(D1379="Uso único",'Hoja 4 - Cálculo'!I80,IF(D1379="Uso múltiple",AVERAGE('Hoja 4 - Cálculo'!$I$25:$I$384)+AVERAGE('Hoja 4 - Cálculo'!$J$25:$J$384)+AVERAGE('Hoja 4 - Cálculo'!$K$25:$K$384),IF(D1379="Uso prioritario",'Hoja 4 - Cálculo'!I80+'Hoja 4 - Cálculo'!K80,'Hoja 4 - Cálculo'!I80+'Hoja 4 - Cálculo'!J80+'Hoja 4 - Cálculo'!K80)))</f>
        <v>16</v>
      </c>
      <c r="I1379" s="15">
        <f t="shared" si="306"/>
        <v>20</v>
      </c>
      <c r="J1379" s="15">
        <f t="shared" si="313"/>
        <v>0</v>
      </c>
      <c r="K1379" s="15">
        <f>MIN(J1379+G1379,(J1379+G1379)*'Hoja 4 - Cálculo'!$B$15)</f>
        <v>0.2520675</v>
      </c>
      <c r="L1379" s="15">
        <f t="shared" si="307"/>
        <v>12.351307499999999</v>
      </c>
      <c r="M1379" s="15">
        <f t="shared" si="308"/>
        <v>12.351307499999999</v>
      </c>
      <c r="N1379" s="15">
        <f t="shared" si="309"/>
        <v>0</v>
      </c>
      <c r="O1379" s="15">
        <f t="shared" si="310"/>
        <v>0</v>
      </c>
      <c r="P1379" s="15">
        <f t="shared" si="311"/>
        <v>7.648692500000001</v>
      </c>
      <c r="Q1379" s="14" t="str">
        <f>IF(M1379&gt;=I1379*'Hoja 4 - Cálculo'!$B$16,"Satisfactorio","Falla")</f>
        <v>Falla</v>
      </c>
      <c r="R1379" s="14">
        <f t="shared" si="314"/>
        <v>0</v>
      </c>
      <c r="S1379" s="14">
        <f t="shared" si="315"/>
        <v>0</v>
      </c>
    </row>
    <row r="1380" spans="1:19">
      <c r="A1380" s="14" t="str">
        <f t="shared" si="312"/>
        <v>SRY-4-3</v>
      </c>
      <c r="B1380" s="15">
        <f>'Curvas SRY'!$B$11</f>
        <v>5</v>
      </c>
      <c r="C1380" s="15">
        <f>'Curvas SRY'!$E$10</f>
        <v>1.25</v>
      </c>
      <c r="D1380" s="14" t="str">
        <f>'Curvas SRY'!$B$14</f>
        <v>Uso variable</v>
      </c>
      <c r="E1380" s="14">
        <f>57</f>
        <v>57</v>
      </c>
      <c r="F1380" s="21">
        <f>'Hoja 4 - Cálculo'!A81</f>
        <v>31291</v>
      </c>
      <c r="G1380" s="15">
        <f>'Hoja 4 - Cálculo'!H81</f>
        <v>21.745125000000002</v>
      </c>
      <c r="H1380" s="15">
        <f>IF(D1380="Uso único",'Hoja 4 - Cálculo'!I81,IF(D1380="Uso múltiple",AVERAGE('Hoja 4 - Cálculo'!$I$25:$I$384)+AVERAGE('Hoja 4 - Cálculo'!$J$25:$J$384)+AVERAGE('Hoja 4 - Cálculo'!$K$25:$K$384),IF(D1380="Uso prioritario",'Hoja 4 - Cálculo'!I81+'Hoja 4 - Cálculo'!K81,'Hoja 4 - Cálculo'!I81+'Hoja 4 - Cálculo'!J81+'Hoja 4 - Cálculo'!K81)))</f>
        <v>11.5</v>
      </c>
      <c r="I1380" s="15">
        <f t="shared" si="306"/>
        <v>14.375</v>
      </c>
      <c r="J1380" s="15">
        <f t="shared" si="313"/>
        <v>0</v>
      </c>
      <c r="K1380" s="15">
        <f>MIN(J1380+G1380,(J1380+G1380)*'Hoja 4 - Cálculo'!$B$15)</f>
        <v>0.43490250000000003</v>
      </c>
      <c r="L1380" s="15">
        <f t="shared" si="307"/>
        <v>21.310222500000002</v>
      </c>
      <c r="M1380" s="15">
        <f t="shared" si="308"/>
        <v>14.375</v>
      </c>
      <c r="N1380" s="15">
        <f t="shared" si="309"/>
        <v>5</v>
      </c>
      <c r="O1380" s="15">
        <f t="shared" si="310"/>
        <v>1.9352225000000018</v>
      </c>
      <c r="P1380" s="15">
        <f t="shared" si="311"/>
        <v>0</v>
      </c>
      <c r="Q1380" s="14" t="str">
        <f>IF(M1380&gt;=I1380*'Hoja 4 - Cálculo'!$B$16,"Satisfactorio","Falla")</f>
        <v>Satisfactorio</v>
      </c>
      <c r="R1380" s="14">
        <f t="shared" si="314"/>
        <v>1</v>
      </c>
      <c r="S1380" s="14">
        <f t="shared" si="315"/>
        <v>0</v>
      </c>
    </row>
    <row r="1381" spans="1:19">
      <c r="A1381" s="14" t="str">
        <f t="shared" si="312"/>
        <v>SRY-4-3</v>
      </c>
      <c r="B1381" s="15">
        <f>'Curvas SRY'!$B$11</f>
        <v>5</v>
      </c>
      <c r="C1381" s="15">
        <f>'Curvas SRY'!$E$10</f>
        <v>1.25</v>
      </c>
      <c r="D1381" s="14" t="str">
        <f>'Curvas SRY'!$B$14</f>
        <v>Uso variable</v>
      </c>
      <c r="E1381" s="14">
        <f>58</f>
        <v>58</v>
      </c>
      <c r="F1381" s="21">
        <f>'Hoja 4 - Cálculo'!A82</f>
        <v>31321</v>
      </c>
      <c r="G1381" s="15">
        <f>'Hoja 4 - Cálculo'!H82</f>
        <v>27.788625</v>
      </c>
      <c r="H1381" s="15">
        <f>IF(D1381="Uso único",'Hoja 4 - Cálculo'!I82,IF(D1381="Uso múltiple",AVERAGE('Hoja 4 - Cálculo'!$I$25:$I$384)+AVERAGE('Hoja 4 - Cálculo'!$J$25:$J$384)+AVERAGE('Hoja 4 - Cálculo'!$K$25:$K$384),IF(D1381="Uso prioritario",'Hoja 4 - Cálculo'!I82+'Hoja 4 - Cálculo'!K82,'Hoja 4 - Cálculo'!I82+'Hoja 4 - Cálculo'!J82+'Hoja 4 - Cálculo'!K82)))</f>
        <v>11.5</v>
      </c>
      <c r="I1381" s="15">
        <f t="shared" si="306"/>
        <v>14.375</v>
      </c>
      <c r="J1381" s="15">
        <f t="shared" si="313"/>
        <v>5</v>
      </c>
      <c r="K1381" s="15">
        <f>MIN(J1381+G1381,(J1381+G1381)*'Hoja 4 - Cálculo'!$B$15)</f>
        <v>0.65577249999999998</v>
      </c>
      <c r="L1381" s="15">
        <f t="shared" si="307"/>
        <v>32.132852499999998</v>
      </c>
      <c r="M1381" s="15">
        <f t="shared" si="308"/>
        <v>14.375</v>
      </c>
      <c r="N1381" s="15">
        <f t="shared" si="309"/>
        <v>5</v>
      </c>
      <c r="O1381" s="15">
        <f t="shared" si="310"/>
        <v>12.757852499999998</v>
      </c>
      <c r="P1381" s="15">
        <f t="shared" si="311"/>
        <v>0</v>
      </c>
      <c r="Q1381" s="14" t="str">
        <f>IF(M1381&gt;=I1381*'Hoja 4 - Cálculo'!$B$16,"Satisfactorio","Falla")</f>
        <v>Satisfactorio</v>
      </c>
      <c r="R1381" s="14">
        <f t="shared" si="314"/>
        <v>0</v>
      </c>
      <c r="S1381" s="14">
        <f t="shared" si="315"/>
        <v>0</v>
      </c>
    </row>
    <row r="1382" spans="1:19">
      <c r="A1382" s="14" t="str">
        <f t="shared" si="312"/>
        <v>SRY-4-3</v>
      </c>
      <c r="B1382" s="15">
        <f>'Curvas SRY'!$B$11</f>
        <v>5</v>
      </c>
      <c r="C1382" s="15">
        <f>'Curvas SRY'!$E$10</f>
        <v>1.25</v>
      </c>
      <c r="D1382" s="14" t="str">
        <f>'Curvas SRY'!$B$14</f>
        <v>Uso variable</v>
      </c>
      <c r="E1382" s="14">
        <f>59</f>
        <v>59</v>
      </c>
      <c r="F1382" s="21">
        <f>'Hoja 4 - Cálculo'!A83</f>
        <v>31352</v>
      </c>
      <c r="G1382" s="15">
        <f>'Hoja 4 - Cálculo'!H83</f>
        <v>22.22325</v>
      </c>
      <c r="H1382" s="15">
        <f>IF(D1382="Uso único",'Hoja 4 - Cálculo'!I83,IF(D1382="Uso múltiple",AVERAGE('Hoja 4 - Cálculo'!$I$25:$I$384)+AVERAGE('Hoja 4 - Cálculo'!$J$25:$J$384)+AVERAGE('Hoja 4 - Cálculo'!$K$25:$K$384),IF(D1382="Uso prioritario",'Hoja 4 - Cálculo'!I83+'Hoja 4 - Cálculo'!K83,'Hoja 4 - Cálculo'!I83+'Hoja 4 - Cálculo'!J83+'Hoja 4 - Cálculo'!K83)))</f>
        <v>11.5</v>
      </c>
      <c r="I1382" s="15">
        <f t="shared" si="306"/>
        <v>14.375</v>
      </c>
      <c r="J1382" s="15">
        <f t="shared" si="313"/>
        <v>5</v>
      </c>
      <c r="K1382" s="15">
        <f>MIN(J1382+G1382,(J1382+G1382)*'Hoja 4 - Cálculo'!$B$15)</f>
        <v>0.54446499999999998</v>
      </c>
      <c r="L1382" s="15">
        <f t="shared" si="307"/>
        <v>26.678785000000001</v>
      </c>
      <c r="M1382" s="15">
        <f t="shared" si="308"/>
        <v>14.375</v>
      </c>
      <c r="N1382" s="15">
        <f t="shared" si="309"/>
        <v>5</v>
      </c>
      <c r="O1382" s="15">
        <f t="shared" si="310"/>
        <v>7.3037850000000013</v>
      </c>
      <c r="P1382" s="15">
        <f t="shared" si="311"/>
        <v>0</v>
      </c>
      <c r="Q1382" s="14" t="str">
        <f>IF(M1382&gt;=I1382*'Hoja 4 - Cálculo'!$B$16,"Satisfactorio","Falla")</f>
        <v>Satisfactorio</v>
      </c>
      <c r="R1382" s="14">
        <f t="shared" si="314"/>
        <v>0</v>
      </c>
      <c r="S1382" s="14">
        <f t="shared" si="315"/>
        <v>0</v>
      </c>
    </row>
    <row r="1383" spans="1:19">
      <c r="A1383" s="14" t="str">
        <f t="shared" si="312"/>
        <v>SRY-4-3</v>
      </c>
      <c r="B1383" s="15">
        <f>'Curvas SRY'!$B$11</f>
        <v>5</v>
      </c>
      <c r="C1383" s="15">
        <f>'Curvas SRY'!$E$10</f>
        <v>1.25</v>
      </c>
      <c r="D1383" s="14" t="str">
        <f>'Curvas SRY'!$B$14</f>
        <v>Uso variable</v>
      </c>
      <c r="E1383" s="14">
        <f>60</f>
        <v>60</v>
      </c>
      <c r="F1383" s="21">
        <f>'Hoja 4 - Cálculo'!A84</f>
        <v>31382</v>
      </c>
      <c r="G1383" s="15">
        <f>'Hoja 4 - Cálculo'!H84</f>
        <v>14.171625000000001</v>
      </c>
      <c r="H1383" s="15">
        <f>IF(D1383="Uso único",'Hoja 4 - Cálculo'!I84,IF(D1383="Uso múltiple",AVERAGE('Hoja 4 - Cálculo'!$I$25:$I$384)+AVERAGE('Hoja 4 - Cálculo'!$J$25:$J$384)+AVERAGE('Hoja 4 - Cálculo'!$K$25:$K$384),IF(D1383="Uso prioritario",'Hoja 4 - Cálculo'!I84+'Hoja 4 - Cálculo'!K84,'Hoja 4 - Cálculo'!I84+'Hoja 4 - Cálculo'!J84+'Hoja 4 - Cálculo'!K84)))</f>
        <v>16</v>
      </c>
      <c r="I1383" s="15">
        <f t="shared" si="306"/>
        <v>20</v>
      </c>
      <c r="J1383" s="15">
        <f t="shared" si="313"/>
        <v>5</v>
      </c>
      <c r="K1383" s="15">
        <f>MIN(J1383+G1383,(J1383+G1383)*'Hoja 4 - Cálculo'!$B$15)</f>
        <v>0.38343250000000001</v>
      </c>
      <c r="L1383" s="15">
        <f t="shared" si="307"/>
        <v>18.788192499999997</v>
      </c>
      <c r="M1383" s="15">
        <f t="shared" si="308"/>
        <v>18.788192499999997</v>
      </c>
      <c r="N1383" s="15">
        <f t="shared" si="309"/>
        <v>0</v>
      </c>
      <c r="O1383" s="15">
        <f t="shared" si="310"/>
        <v>0</v>
      </c>
      <c r="P1383" s="15">
        <f t="shared" si="311"/>
        <v>1.2118075000000026</v>
      </c>
      <c r="Q1383" s="14" t="str">
        <f>IF(M1383&gt;=I1383*'Hoja 4 - Cálculo'!$B$16,"Satisfactorio","Falla")</f>
        <v>Falla</v>
      </c>
      <c r="R1383" s="14">
        <f t="shared" si="314"/>
        <v>0</v>
      </c>
      <c r="S1383" s="14">
        <f t="shared" si="315"/>
        <v>1</v>
      </c>
    </row>
    <row r="1384" spans="1:19">
      <c r="A1384" s="14" t="str">
        <f t="shared" si="312"/>
        <v>SRY-4-3</v>
      </c>
      <c r="B1384" s="15">
        <f>'Curvas SRY'!$B$11</f>
        <v>5</v>
      </c>
      <c r="C1384" s="15">
        <f>'Curvas SRY'!$E$10</f>
        <v>1.25</v>
      </c>
      <c r="D1384" s="14" t="str">
        <f>'Curvas SRY'!$B$14</f>
        <v>Uso variable</v>
      </c>
      <c r="E1384" s="14">
        <f>61</f>
        <v>61</v>
      </c>
      <c r="F1384" s="21">
        <f>'Hoja 4 - Cálculo'!A85</f>
        <v>31413</v>
      </c>
      <c r="G1384" s="15">
        <f>'Hoja 4 - Cálculo'!H85</f>
        <v>12.641624999999999</v>
      </c>
      <c r="H1384" s="15">
        <f>IF(D1384="Uso único",'Hoja 4 - Cálculo'!I85,IF(D1384="Uso múltiple",AVERAGE('Hoja 4 - Cálculo'!$I$25:$I$384)+AVERAGE('Hoja 4 - Cálculo'!$J$25:$J$384)+AVERAGE('Hoja 4 - Cálculo'!$K$25:$K$384),IF(D1384="Uso prioritario",'Hoja 4 - Cálculo'!I85+'Hoja 4 - Cálculo'!K85,'Hoja 4 - Cálculo'!I85+'Hoja 4 - Cálculo'!J85+'Hoja 4 - Cálculo'!K85)))</f>
        <v>16</v>
      </c>
      <c r="I1384" s="15">
        <f t="shared" si="306"/>
        <v>20</v>
      </c>
      <c r="J1384" s="15">
        <f t="shared" si="313"/>
        <v>0</v>
      </c>
      <c r="K1384" s="15">
        <f>MIN(J1384+G1384,(J1384+G1384)*'Hoja 4 - Cálculo'!$B$15)</f>
        <v>0.25283250000000002</v>
      </c>
      <c r="L1384" s="15">
        <f t="shared" si="307"/>
        <v>12.388792499999999</v>
      </c>
      <c r="M1384" s="15">
        <f t="shared" si="308"/>
        <v>12.388792499999999</v>
      </c>
      <c r="N1384" s="15">
        <f t="shared" si="309"/>
        <v>0</v>
      </c>
      <c r="O1384" s="15">
        <f t="shared" si="310"/>
        <v>0</v>
      </c>
      <c r="P1384" s="15">
        <f t="shared" si="311"/>
        <v>7.6112075000000008</v>
      </c>
      <c r="Q1384" s="14" t="str">
        <f>IF(M1384&gt;=I1384*'Hoja 4 - Cálculo'!$B$16,"Satisfactorio","Falla")</f>
        <v>Falla</v>
      </c>
      <c r="R1384" s="14">
        <f t="shared" si="314"/>
        <v>0</v>
      </c>
      <c r="S1384" s="14">
        <f t="shared" si="315"/>
        <v>0</v>
      </c>
    </row>
    <row r="1385" spans="1:19">
      <c r="A1385" s="14" t="str">
        <f t="shared" si="312"/>
        <v>SRY-4-3</v>
      </c>
      <c r="B1385" s="15">
        <f>'Curvas SRY'!$B$11</f>
        <v>5</v>
      </c>
      <c r="C1385" s="15">
        <f>'Curvas SRY'!$E$10</f>
        <v>1.25</v>
      </c>
      <c r="D1385" s="14" t="str">
        <f>'Curvas SRY'!$B$14</f>
        <v>Uso variable</v>
      </c>
      <c r="E1385" s="14">
        <f>62</f>
        <v>62</v>
      </c>
      <c r="F1385" s="21">
        <f>'Hoja 4 - Cálculo'!A86</f>
        <v>31444</v>
      </c>
      <c r="G1385" s="15">
        <f>'Hoja 4 - Cálculo'!H86</f>
        <v>15.357374999999999</v>
      </c>
      <c r="H1385" s="15">
        <f>IF(D1385="Uso único",'Hoja 4 - Cálculo'!I86,IF(D1385="Uso múltiple",AVERAGE('Hoja 4 - Cálculo'!$I$25:$I$384)+AVERAGE('Hoja 4 - Cálculo'!$J$25:$J$384)+AVERAGE('Hoja 4 - Cálculo'!$K$25:$K$384),IF(D1385="Uso prioritario",'Hoja 4 - Cálculo'!I86+'Hoja 4 - Cálculo'!K86,'Hoja 4 - Cálculo'!I86+'Hoja 4 - Cálculo'!J86+'Hoja 4 - Cálculo'!K86)))</f>
        <v>16</v>
      </c>
      <c r="I1385" s="15">
        <f t="shared" si="306"/>
        <v>20</v>
      </c>
      <c r="J1385" s="15">
        <f t="shared" si="313"/>
        <v>0</v>
      </c>
      <c r="K1385" s="15">
        <f>MIN(J1385+G1385,(J1385+G1385)*'Hoja 4 - Cálculo'!$B$15)</f>
        <v>0.30714750000000002</v>
      </c>
      <c r="L1385" s="15">
        <f t="shared" si="307"/>
        <v>15.0502275</v>
      </c>
      <c r="M1385" s="15">
        <f t="shared" si="308"/>
        <v>15.0502275</v>
      </c>
      <c r="N1385" s="15">
        <f t="shared" si="309"/>
        <v>0</v>
      </c>
      <c r="O1385" s="15">
        <f t="shared" si="310"/>
        <v>0</v>
      </c>
      <c r="P1385" s="15">
        <f t="shared" si="311"/>
        <v>4.9497724999999999</v>
      </c>
      <c r="Q1385" s="14" t="str">
        <f>IF(M1385&gt;=I1385*'Hoja 4 - Cálculo'!$B$16,"Satisfactorio","Falla")</f>
        <v>Falla</v>
      </c>
      <c r="R1385" s="14">
        <f t="shared" si="314"/>
        <v>0</v>
      </c>
      <c r="S1385" s="14">
        <f t="shared" si="315"/>
        <v>0</v>
      </c>
    </row>
    <row r="1386" spans="1:19">
      <c r="A1386" s="14" t="str">
        <f t="shared" si="312"/>
        <v>SRY-4-3</v>
      </c>
      <c r="B1386" s="15">
        <f>'Curvas SRY'!$B$11</f>
        <v>5</v>
      </c>
      <c r="C1386" s="15">
        <f>'Curvas SRY'!$E$10</f>
        <v>1.25</v>
      </c>
      <c r="D1386" s="14" t="str">
        <f>'Curvas SRY'!$B$14</f>
        <v>Uso variable</v>
      </c>
      <c r="E1386" s="14">
        <f>63</f>
        <v>63</v>
      </c>
      <c r="F1386" s="21">
        <f>'Hoja 4 - Cálculo'!A87</f>
        <v>31472</v>
      </c>
      <c r="G1386" s="15">
        <f>'Hoja 4 - Cálculo'!H87</f>
        <v>20.846250000000001</v>
      </c>
      <c r="H1386" s="15">
        <f>IF(D1386="Uso único",'Hoja 4 - Cálculo'!I87,IF(D1386="Uso múltiple",AVERAGE('Hoja 4 - Cálculo'!$I$25:$I$384)+AVERAGE('Hoja 4 - Cálculo'!$J$25:$J$384)+AVERAGE('Hoja 4 - Cálculo'!$K$25:$K$384),IF(D1386="Uso prioritario",'Hoja 4 - Cálculo'!I87+'Hoja 4 - Cálculo'!K87,'Hoja 4 - Cálculo'!I87+'Hoja 4 - Cálculo'!J87+'Hoja 4 - Cálculo'!K87)))</f>
        <v>16</v>
      </c>
      <c r="I1386" s="15">
        <f t="shared" si="306"/>
        <v>20</v>
      </c>
      <c r="J1386" s="15">
        <f t="shared" si="313"/>
        <v>0</v>
      </c>
      <c r="K1386" s="15">
        <f>MIN(J1386+G1386,(J1386+G1386)*'Hoja 4 - Cálculo'!$B$15)</f>
        <v>0.41692500000000005</v>
      </c>
      <c r="L1386" s="15">
        <f t="shared" si="307"/>
        <v>20.429325000000002</v>
      </c>
      <c r="M1386" s="15">
        <f t="shared" si="308"/>
        <v>20</v>
      </c>
      <c r="N1386" s="15">
        <f t="shared" si="309"/>
        <v>0.42932500000000218</v>
      </c>
      <c r="O1386" s="15">
        <f t="shared" si="310"/>
        <v>0</v>
      </c>
      <c r="P1386" s="15">
        <f t="shared" si="311"/>
        <v>0</v>
      </c>
      <c r="Q1386" s="14" t="str">
        <f>IF(M1386&gt;=I1386*'Hoja 4 - Cálculo'!$B$16,"Satisfactorio","Falla")</f>
        <v>Satisfactorio</v>
      </c>
      <c r="R1386" s="14">
        <f t="shared" si="314"/>
        <v>1</v>
      </c>
      <c r="S1386" s="14">
        <f t="shared" si="315"/>
        <v>0</v>
      </c>
    </row>
    <row r="1387" spans="1:19">
      <c r="A1387" s="14" t="str">
        <f t="shared" si="312"/>
        <v>SRY-4-3</v>
      </c>
      <c r="B1387" s="15">
        <f>'Curvas SRY'!$B$11</f>
        <v>5</v>
      </c>
      <c r="C1387" s="15">
        <f>'Curvas SRY'!$E$10</f>
        <v>1.25</v>
      </c>
      <c r="D1387" s="14" t="str">
        <f>'Curvas SRY'!$B$14</f>
        <v>Uso variable</v>
      </c>
      <c r="E1387" s="14">
        <f>64</f>
        <v>64</v>
      </c>
      <c r="F1387" s="21">
        <f>'Hoja 4 - Cálculo'!A88</f>
        <v>31503</v>
      </c>
      <c r="G1387" s="15">
        <f>'Hoja 4 - Cálculo'!H88</f>
        <v>30.638249999999999</v>
      </c>
      <c r="H1387" s="15">
        <f>IF(D1387="Uso único",'Hoja 4 - Cálculo'!I88,IF(D1387="Uso múltiple",AVERAGE('Hoja 4 - Cálculo'!$I$25:$I$384)+AVERAGE('Hoja 4 - Cálculo'!$J$25:$J$384)+AVERAGE('Hoja 4 - Cálculo'!$K$25:$K$384),IF(D1387="Uso prioritario",'Hoja 4 - Cálculo'!I88+'Hoja 4 - Cálculo'!K88,'Hoja 4 - Cálculo'!I88+'Hoja 4 - Cálculo'!J88+'Hoja 4 - Cálculo'!K88)))</f>
        <v>11.5</v>
      </c>
      <c r="I1387" s="15">
        <f t="shared" si="306"/>
        <v>14.375</v>
      </c>
      <c r="J1387" s="15">
        <f t="shared" si="313"/>
        <v>0.42932500000000218</v>
      </c>
      <c r="K1387" s="15">
        <f>MIN(J1387+G1387,(J1387+G1387)*'Hoja 4 - Cálculo'!$B$15)</f>
        <v>0.62135150000000006</v>
      </c>
      <c r="L1387" s="15">
        <f t="shared" si="307"/>
        <v>30.446223500000002</v>
      </c>
      <c r="M1387" s="15">
        <f t="shared" si="308"/>
        <v>14.375</v>
      </c>
      <c r="N1387" s="15">
        <f t="shared" si="309"/>
        <v>5</v>
      </c>
      <c r="O1387" s="15">
        <f t="shared" si="310"/>
        <v>11.071223500000002</v>
      </c>
      <c r="P1387" s="15">
        <f t="shared" si="311"/>
        <v>0</v>
      </c>
      <c r="Q1387" s="14" t="str">
        <f>IF(M1387&gt;=I1387*'Hoja 4 - Cálculo'!$B$16,"Satisfactorio","Falla")</f>
        <v>Satisfactorio</v>
      </c>
      <c r="R1387" s="14">
        <f t="shared" si="314"/>
        <v>0</v>
      </c>
      <c r="S1387" s="14">
        <f t="shared" si="315"/>
        <v>0</v>
      </c>
    </row>
    <row r="1388" spans="1:19">
      <c r="A1388" s="14" t="str">
        <f t="shared" ref="A1388:A1419" si="316">"SRY-4-3"</f>
        <v>SRY-4-3</v>
      </c>
      <c r="B1388" s="15">
        <f>'Curvas SRY'!$B$11</f>
        <v>5</v>
      </c>
      <c r="C1388" s="15">
        <f>'Curvas SRY'!$E$10</f>
        <v>1.25</v>
      </c>
      <c r="D1388" s="14" t="str">
        <f>'Curvas SRY'!$B$14</f>
        <v>Uso variable</v>
      </c>
      <c r="E1388" s="14">
        <f>65</f>
        <v>65</v>
      </c>
      <c r="F1388" s="21">
        <f>'Hoja 4 - Cálculo'!A89</f>
        <v>31533</v>
      </c>
      <c r="G1388" s="15">
        <f>'Hoja 4 - Cálculo'!H89</f>
        <v>28.438874999999999</v>
      </c>
      <c r="H1388" s="15">
        <f>IF(D1388="Uso único",'Hoja 4 - Cálculo'!I89,IF(D1388="Uso múltiple",AVERAGE('Hoja 4 - Cálculo'!$I$25:$I$384)+AVERAGE('Hoja 4 - Cálculo'!$J$25:$J$384)+AVERAGE('Hoja 4 - Cálculo'!$K$25:$K$384),IF(D1388="Uso prioritario",'Hoja 4 - Cálculo'!I89+'Hoja 4 - Cálculo'!K89,'Hoja 4 - Cálculo'!I89+'Hoja 4 - Cálculo'!J89+'Hoja 4 - Cálculo'!K89)))</f>
        <v>11.5</v>
      </c>
      <c r="I1388" s="15">
        <f t="shared" si="306"/>
        <v>14.375</v>
      </c>
      <c r="J1388" s="15">
        <f t="shared" si="313"/>
        <v>5</v>
      </c>
      <c r="K1388" s="15">
        <f>MIN(J1388+G1388,(J1388+G1388)*'Hoja 4 - Cálculo'!$B$15)</f>
        <v>0.66877749999999991</v>
      </c>
      <c r="L1388" s="15">
        <f t="shared" si="307"/>
        <v>32.770097499999999</v>
      </c>
      <c r="M1388" s="15">
        <f t="shared" si="308"/>
        <v>14.375</v>
      </c>
      <c r="N1388" s="15">
        <f t="shared" si="309"/>
        <v>5</v>
      </c>
      <c r="O1388" s="15">
        <f t="shared" si="310"/>
        <v>13.395097499999999</v>
      </c>
      <c r="P1388" s="15">
        <f t="shared" si="311"/>
        <v>0</v>
      </c>
      <c r="Q1388" s="14" t="str">
        <f>IF(M1388&gt;=I1388*'Hoja 4 - Cálculo'!$B$16,"Satisfactorio","Falla")</f>
        <v>Satisfactorio</v>
      </c>
      <c r="R1388" s="14">
        <f t="shared" si="314"/>
        <v>0</v>
      </c>
      <c r="S1388" s="14">
        <f t="shared" si="315"/>
        <v>0</v>
      </c>
    </row>
    <row r="1389" spans="1:19">
      <c r="A1389" s="14" t="str">
        <f t="shared" si="316"/>
        <v>SRY-4-3</v>
      </c>
      <c r="B1389" s="15">
        <f>'Curvas SRY'!$B$11</f>
        <v>5</v>
      </c>
      <c r="C1389" s="15">
        <f>'Curvas SRY'!$E$10</f>
        <v>1.25</v>
      </c>
      <c r="D1389" s="14" t="str">
        <f>'Curvas SRY'!$B$14</f>
        <v>Uso variable</v>
      </c>
      <c r="E1389" s="14">
        <f>66</f>
        <v>66</v>
      </c>
      <c r="F1389" s="21">
        <f>'Hoja 4 - Cálculo'!A90</f>
        <v>31564</v>
      </c>
      <c r="G1389" s="15">
        <f>'Hoja 4 - Cálculo'!H90</f>
        <v>16.007625000000001</v>
      </c>
      <c r="H1389" s="15">
        <f>IF(D1389="Uso único",'Hoja 4 - Cálculo'!I90,IF(D1389="Uso múltiple",AVERAGE('Hoja 4 - Cálculo'!$I$25:$I$384)+AVERAGE('Hoja 4 - Cálculo'!$J$25:$J$384)+AVERAGE('Hoja 4 - Cálculo'!$K$25:$K$384),IF(D1389="Uso prioritario",'Hoja 4 - Cálculo'!I90+'Hoja 4 - Cálculo'!K90,'Hoja 4 - Cálculo'!I90+'Hoja 4 - Cálculo'!J90+'Hoja 4 - Cálculo'!K90)))</f>
        <v>11.5</v>
      </c>
      <c r="I1389" s="15">
        <f t="shared" si="306"/>
        <v>14.375</v>
      </c>
      <c r="J1389" s="15">
        <f t="shared" ref="J1389:J1420" si="317">N1388</f>
        <v>5</v>
      </c>
      <c r="K1389" s="15">
        <f>MIN(J1389+G1389,(J1389+G1389)*'Hoja 4 - Cálculo'!$B$15)</f>
        <v>0.42015250000000004</v>
      </c>
      <c r="L1389" s="15">
        <f t="shared" si="307"/>
        <v>20.587472500000001</v>
      </c>
      <c r="M1389" s="15">
        <f t="shared" si="308"/>
        <v>14.375</v>
      </c>
      <c r="N1389" s="15">
        <f t="shared" si="309"/>
        <v>5</v>
      </c>
      <c r="O1389" s="15">
        <f t="shared" si="310"/>
        <v>1.2124725000000005</v>
      </c>
      <c r="P1389" s="15">
        <f t="shared" si="311"/>
        <v>0</v>
      </c>
      <c r="Q1389" s="14" t="str">
        <f>IF(M1389&gt;=I1389*'Hoja 4 - Cálculo'!$B$16,"Satisfactorio","Falla")</f>
        <v>Satisfactorio</v>
      </c>
      <c r="R1389" s="14">
        <f t="shared" ref="R1389:R1420" si="318">IF(AND(Q1388="Falla",Q1389="Satisfactorio"),1,0)</f>
        <v>0</v>
      </c>
      <c r="S1389" s="14">
        <f t="shared" ref="S1389:S1420" si="319">IF(AND(Q1389="Falla",Q1388&lt;&gt;"Falla"),1,0)</f>
        <v>0</v>
      </c>
    </row>
    <row r="1390" spans="1:19">
      <c r="A1390" s="14" t="str">
        <f t="shared" si="316"/>
        <v>SRY-4-3</v>
      </c>
      <c r="B1390" s="15">
        <f>'Curvas SRY'!$B$11</f>
        <v>5</v>
      </c>
      <c r="C1390" s="15">
        <f>'Curvas SRY'!$E$10</f>
        <v>1.25</v>
      </c>
      <c r="D1390" s="14" t="str">
        <f>'Curvas SRY'!$B$14</f>
        <v>Uso variable</v>
      </c>
      <c r="E1390" s="14">
        <f>67</f>
        <v>67</v>
      </c>
      <c r="F1390" s="21">
        <f>'Hoja 4 - Cálculo'!A91</f>
        <v>31594</v>
      </c>
      <c r="G1390" s="15">
        <f>'Hoja 4 - Cálculo'!H91</f>
        <v>14.056875</v>
      </c>
      <c r="H1390" s="15">
        <f>IF(D1390="Uso único",'Hoja 4 - Cálculo'!I91,IF(D1390="Uso múltiple",AVERAGE('Hoja 4 - Cálculo'!$I$25:$I$384)+AVERAGE('Hoja 4 - Cálculo'!$J$25:$J$384)+AVERAGE('Hoja 4 - Cálculo'!$K$25:$K$384),IF(D1390="Uso prioritario",'Hoja 4 - Cálculo'!I91+'Hoja 4 - Cálculo'!K91,'Hoja 4 - Cálculo'!I91+'Hoja 4 - Cálculo'!J91+'Hoja 4 - Cálculo'!K91)))</f>
        <v>16</v>
      </c>
      <c r="I1390" s="15">
        <f t="shared" si="306"/>
        <v>20</v>
      </c>
      <c r="J1390" s="15">
        <f t="shared" si="317"/>
        <v>5</v>
      </c>
      <c r="K1390" s="15">
        <f>MIN(J1390+G1390,(J1390+G1390)*'Hoja 4 - Cálculo'!$B$15)</f>
        <v>0.38113749999999996</v>
      </c>
      <c r="L1390" s="15">
        <f t="shared" si="307"/>
        <v>18.675737499999997</v>
      </c>
      <c r="M1390" s="15">
        <f t="shared" si="308"/>
        <v>18.675737499999997</v>
      </c>
      <c r="N1390" s="15">
        <f t="shared" si="309"/>
        <v>0</v>
      </c>
      <c r="O1390" s="15">
        <f t="shared" si="310"/>
        <v>0</v>
      </c>
      <c r="P1390" s="15">
        <f t="shared" si="311"/>
        <v>1.3242625000000032</v>
      </c>
      <c r="Q1390" s="14" t="str">
        <f>IF(M1390&gt;=I1390*'Hoja 4 - Cálculo'!$B$16,"Satisfactorio","Falla")</f>
        <v>Falla</v>
      </c>
      <c r="R1390" s="14">
        <f t="shared" si="318"/>
        <v>0</v>
      </c>
      <c r="S1390" s="14">
        <f t="shared" si="319"/>
        <v>1</v>
      </c>
    </row>
    <row r="1391" spans="1:19">
      <c r="A1391" s="14" t="str">
        <f t="shared" si="316"/>
        <v>SRY-4-3</v>
      </c>
      <c r="B1391" s="15">
        <f>'Curvas SRY'!$B$11</f>
        <v>5</v>
      </c>
      <c r="C1391" s="15">
        <f>'Curvas SRY'!$E$10</f>
        <v>1.25</v>
      </c>
      <c r="D1391" s="14" t="str">
        <f>'Curvas SRY'!$B$14</f>
        <v>Uso variable</v>
      </c>
      <c r="E1391" s="14">
        <f>68</f>
        <v>68</v>
      </c>
      <c r="F1391" s="21">
        <f>'Hoja 4 - Cálculo'!A92</f>
        <v>31625</v>
      </c>
      <c r="G1391" s="15">
        <f>'Hoja 4 - Cálculo'!H92</f>
        <v>15.032249999999999</v>
      </c>
      <c r="H1391" s="15">
        <f>IF(D1391="Uso único",'Hoja 4 - Cálculo'!I92,IF(D1391="Uso múltiple",AVERAGE('Hoja 4 - Cálculo'!$I$25:$I$384)+AVERAGE('Hoja 4 - Cálculo'!$J$25:$J$384)+AVERAGE('Hoja 4 - Cálculo'!$K$25:$K$384),IF(D1391="Uso prioritario",'Hoja 4 - Cálculo'!I92+'Hoja 4 - Cálculo'!K92,'Hoja 4 - Cálculo'!I92+'Hoja 4 - Cálculo'!J92+'Hoja 4 - Cálculo'!K92)))</f>
        <v>16</v>
      </c>
      <c r="I1391" s="15">
        <f t="shared" si="306"/>
        <v>20</v>
      </c>
      <c r="J1391" s="15">
        <f t="shared" si="317"/>
        <v>0</v>
      </c>
      <c r="K1391" s="15">
        <f>MIN(J1391+G1391,(J1391+G1391)*'Hoja 4 - Cálculo'!$B$15)</f>
        <v>0.300645</v>
      </c>
      <c r="L1391" s="15">
        <f t="shared" si="307"/>
        <v>14.731605</v>
      </c>
      <c r="M1391" s="15">
        <f t="shared" si="308"/>
        <v>14.731605</v>
      </c>
      <c r="N1391" s="15">
        <f t="shared" si="309"/>
        <v>0</v>
      </c>
      <c r="O1391" s="15">
        <f t="shared" si="310"/>
        <v>0</v>
      </c>
      <c r="P1391" s="15">
        <f t="shared" si="311"/>
        <v>5.2683949999999999</v>
      </c>
      <c r="Q1391" s="14" t="str">
        <f>IF(M1391&gt;=I1391*'Hoja 4 - Cálculo'!$B$16,"Satisfactorio","Falla")</f>
        <v>Falla</v>
      </c>
      <c r="R1391" s="14">
        <f t="shared" si="318"/>
        <v>0</v>
      </c>
      <c r="S1391" s="14">
        <f t="shared" si="319"/>
        <v>0</v>
      </c>
    </row>
    <row r="1392" spans="1:19">
      <c r="A1392" s="14" t="str">
        <f t="shared" si="316"/>
        <v>SRY-4-3</v>
      </c>
      <c r="B1392" s="15">
        <f>'Curvas SRY'!$B$11</f>
        <v>5</v>
      </c>
      <c r="C1392" s="15">
        <f>'Curvas SRY'!$E$10</f>
        <v>1.25</v>
      </c>
      <c r="D1392" s="14" t="str">
        <f>'Curvas SRY'!$B$14</f>
        <v>Uso variable</v>
      </c>
      <c r="E1392" s="14">
        <f>69</f>
        <v>69</v>
      </c>
      <c r="F1392" s="21">
        <f>'Hoja 4 - Cálculo'!A93</f>
        <v>31656</v>
      </c>
      <c r="G1392" s="15">
        <f>'Hoja 4 - Cálculo'!H93</f>
        <v>22.60575</v>
      </c>
      <c r="H1392" s="15">
        <f>IF(D1392="Uso único",'Hoja 4 - Cálculo'!I93,IF(D1392="Uso múltiple",AVERAGE('Hoja 4 - Cálculo'!$I$25:$I$384)+AVERAGE('Hoja 4 - Cálculo'!$J$25:$J$384)+AVERAGE('Hoja 4 - Cálculo'!$K$25:$K$384),IF(D1392="Uso prioritario",'Hoja 4 - Cálculo'!I93+'Hoja 4 - Cálculo'!K93,'Hoja 4 - Cálculo'!I93+'Hoja 4 - Cálculo'!J93+'Hoja 4 - Cálculo'!K93)))</f>
        <v>11.5</v>
      </c>
      <c r="I1392" s="15">
        <f t="shared" si="306"/>
        <v>14.375</v>
      </c>
      <c r="J1392" s="15">
        <f t="shared" si="317"/>
        <v>0</v>
      </c>
      <c r="K1392" s="15">
        <f>MIN(J1392+G1392,(J1392+G1392)*'Hoja 4 - Cálculo'!$B$15)</f>
        <v>0.45211500000000004</v>
      </c>
      <c r="L1392" s="15">
        <f t="shared" si="307"/>
        <v>22.153635000000001</v>
      </c>
      <c r="M1392" s="15">
        <f t="shared" si="308"/>
        <v>14.375</v>
      </c>
      <c r="N1392" s="15">
        <f t="shared" si="309"/>
        <v>5</v>
      </c>
      <c r="O1392" s="15">
        <f t="shared" si="310"/>
        <v>2.7786350000000013</v>
      </c>
      <c r="P1392" s="15">
        <f t="shared" si="311"/>
        <v>0</v>
      </c>
      <c r="Q1392" s="14" t="str">
        <f>IF(M1392&gt;=I1392*'Hoja 4 - Cálculo'!$B$16,"Satisfactorio","Falla")</f>
        <v>Satisfactorio</v>
      </c>
      <c r="R1392" s="14">
        <f t="shared" si="318"/>
        <v>1</v>
      </c>
      <c r="S1392" s="14">
        <f t="shared" si="319"/>
        <v>0</v>
      </c>
    </row>
    <row r="1393" spans="1:19">
      <c r="A1393" s="14" t="str">
        <f t="shared" si="316"/>
        <v>SRY-4-3</v>
      </c>
      <c r="B1393" s="15">
        <f>'Curvas SRY'!$B$11</f>
        <v>5</v>
      </c>
      <c r="C1393" s="15">
        <f>'Curvas SRY'!$E$10</f>
        <v>1.25</v>
      </c>
      <c r="D1393" s="14" t="str">
        <f>'Curvas SRY'!$B$14</f>
        <v>Uso variable</v>
      </c>
      <c r="E1393" s="14">
        <f>70</f>
        <v>70</v>
      </c>
      <c r="F1393" s="21">
        <f>'Hoja 4 - Cálculo'!A94</f>
        <v>31686</v>
      </c>
      <c r="G1393" s="15">
        <f>'Hoja 4 - Cálculo'!H94</f>
        <v>32.531624999999998</v>
      </c>
      <c r="H1393" s="15">
        <f>IF(D1393="Uso único",'Hoja 4 - Cálculo'!I94,IF(D1393="Uso múltiple",AVERAGE('Hoja 4 - Cálculo'!$I$25:$I$384)+AVERAGE('Hoja 4 - Cálculo'!$J$25:$J$384)+AVERAGE('Hoja 4 - Cálculo'!$K$25:$K$384),IF(D1393="Uso prioritario",'Hoja 4 - Cálculo'!I94+'Hoja 4 - Cálculo'!K94,'Hoja 4 - Cálculo'!I94+'Hoja 4 - Cálculo'!J94+'Hoja 4 - Cálculo'!K94)))</f>
        <v>11.5</v>
      </c>
      <c r="I1393" s="15">
        <f t="shared" si="306"/>
        <v>14.375</v>
      </c>
      <c r="J1393" s="15">
        <f t="shared" si="317"/>
        <v>5</v>
      </c>
      <c r="K1393" s="15">
        <f>MIN(J1393+G1393,(J1393+G1393)*'Hoja 4 - Cálculo'!$B$15)</f>
        <v>0.75063250000000004</v>
      </c>
      <c r="L1393" s="15">
        <f t="shared" si="307"/>
        <v>36.780992499999996</v>
      </c>
      <c r="M1393" s="15">
        <f t="shared" si="308"/>
        <v>14.375</v>
      </c>
      <c r="N1393" s="15">
        <f t="shared" si="309"/>
        <v>5</v>
      </c>
      <c r="O1393" s="15">
        <f t="shared" si="310"/>
        <v>17.405992499999996</v>
      </c>
      <c r="P1393" s="15">
        <f t="shared" si="311"/>
        <v>0</v>
      </c>
      <c r="Q1393" s="14" t="str">
        <f>IF(M1393&gt;=I1393*'Hoja 4 - Cálculo'!$B$16,"Satisfactorio","Falla")</f>
        <v>Satisfactorio</v>
      </c>
      <c r="R1393" s="14">
        <f t="shared" si="318"/>
        <v>0</v>
      </c>
      <c r="S1393" s="14">
        <f t="shared" si="319"/>
        <v>0</v>
      </c>
    </row>
    <row r="1394" spans="1:19">
      <c r="A1394" s="14" t="str">
        <f t="shared" si="316"/>
        <v>SRY-4-3</v>
      </c>
      <c r="B1394" s="15">
        <f>'Curvas SRY'!$B$11</f>
        <v>5</v>
      </c>
      <c r="C1394" s="15">
        <f>'Curvas SRY'!$E$10</f>
        <v>1.25</v>
      </c>
      <c r="D1394" s="14" t="str">
        <f>'Curvas SRY'!$B$14</f>
        <v>Uso variable</v>
      </c>
      <c r="E1394" s="14">
        <f>71</f>
        <v>71</v>
      </c>
      <c r="F1394" s="21">
        <f>'Hoja 4 - Cálculo'!A95</f>
        <v>31717</v>
      </c>
      <c r="G1394" s="15">
        <f>'Hoja 4 - Cálculo'!H95</f>
        <v>26.641124999999999</v>
      </c>
      <c r="H1394" s="15">
        <f>IF(D1394="Uso único",'Hoja 4 - Cálculo'!I95,IF(D1394="Uso múltiple",AVERAGE('Hoja 4 - Cálculo'!$I$25:$I$384)+AVERAGE('Hoja 4 - Cálculo'!$J$25:$J$384)+AVERAGE('Hoja 4 - Cálculo'!$K$25:$K$384),IF(D1394="Uso prioritario",'Hoja 4 - Cálculo'!I95+'Hoja 4 - Cálculo'!K95,'Hoja 4 - Cálculo'!I95+'Hoja 4 - Cálculo'!J95+'Hoja 4 - Cálculo'!K95)))</f>
        <v>11.5</v>
      </c>
      <c r="I1394" s="15">
        <f t="shared" si="306"/>
        <v>14.375</v>
      </c>
      <c r="J1394" s="15">
        <f t="shared" si="317"/>
        <v>5</v>
      </c>
      <c r="K1394" s="15">
        <f>MIN(J1394+G1394,(J1394+G1394)*'Hoja 4 - Cálculo'!$B$15)</f>
        <v>0.63282249999999995</v>
      </c>
      <c r="L1394" s="15">
        <f t="shared" si="307"/>
        <v>31.008302499999999</v>
      </c>
      <c r="M1394" s="15">
        <f t="shared" si="308"/>
        <v>14.375</v>
      </c>
      <c r="N1394" s="15">
        <f t="shared" si="309"/>
        <v>5</v>
      </c>
      <c r="O1394" s="15">
        <f t="shared" si="310"/>
        <v>11.633302499999999</v>
      </c>
      <c r="P1394" s="15">
        <f t="shared" si="311"/>
        <v>0</v>
      </c>
      <c r="Q1394" s="14" t="str">
        <f>IF(M1394&gt;=I1394*'Hoja 4 - Cálculo'!$B$16,"Satisfactorio","Falla")</f>
        <v>Satisfactorio</v>
      </c>
      <c r="R1394" s="14">
        <f t="shared" si="318"/>
        <v>0</v>
      </c>
      <c r="S1394" s="14">
        <f t="shared" si="319"/>
        <v>0</v>
      </c>
    </row>
    <row r="1395" spans="1:19">
      <c r="A1395" s="14" t="str">
        <f t="shared" si="316"/>
        <v>SRY-4-3</v>
      </c>
      <c r="B1395" s="15">
        <f>'Curvas SRY'!$B$11</f>
        <v>5</v>
      </c>
      <c r="C1395" s="15">
        <f>'Curvas SRY'!$E$10</f>
        <v>1.25</v>
      </c>
      <c r="D1395" s="14" t="str">
        <f>'Curvas SRY'!$B$14</f>
        <v>Uso variable</v>
      </c>
      <c r="E1395" s="14">
        <f>72</f>
        <v>72</v>
      </c>
      <c r="F1395" s="21">
        <f>'Hoja 4 - Cálculo'!A96</f>
        <v>31747</v>
      </c>
      <c r="G1395" s="15">
        <f>'Hoja 4 - Cálculo'!H96</f>
        <v>15.166124999999999</v>
      </c>
      <c r="H1395" s="15">
        <f>IF(D1395="Uso único",'Hoja 4 - Cálculo'!I96,IF(D1395="Uso múltiple",AVERAGE('Hoja 4 - Cálculo'!$I$25:$I$384)+AVERAGE('Hoja 4 - Cálculo'!$J$25:$J$384)+AVERAGE('Hoja 4 - Cálculo'!$K$25:$K$384),IF(D1395="Uso prioritario",'Hoja 4 - Cálculo'!I96+'Hoja 4 - Cálculo'!K96,'Hoja 4 - Cálculo'!I96+'Hoja 4 - Cálculo'!J96+'Hoja 4 - Cálculo'!K96)))</f>
        <v>16</v>
      </c>
      <c r="I1395" s="15">
        <f t="shared" si="306"/>
        <v>20</v>
      </c>
      <c r="J1395" s="15">
        <f t="shared" si="317"/>
        <v>5</v>
      </c>
      <c r="K1395" s="15">
        <f>MIN(J1395+G1395,(J1395+G1395)*'Hoja 4 - Cálculo'!$B$15)</f>
        <v>0.40332250000000003</v>
      </c>
      <c r="L1395" s="15">
        <f t="shared" si="307"/>
        <v>19.762802499999999</v>
      </c>
      <c r="M1395" s="15">
        <f t="shared" si="308"/>
        <v>19.762802499999999</v>
      </c>
      <c r="N1395" s="15">
        <f t="shared" si="309"/>
        <v>0</v>
      </c>
      <c r="O1395" s="15">
        <f t="shared" si="310"/>
        <v>0</v>
      </c>
      <c r="P1395" s="15">
        <f t="shared" si="311"/>
        <v>0.23719750000000062</v>
      </c>
      <c r="Q1395" s="14" t="str">
        <f>IF(M1395&gt;=I1395*'Hoja 4 - Cálculo'!$B$16,"Satisfactorio","Falla")</f>
        <v>Falla</v>
      </c>
      <c r="R1395" s="14">
        <f t="shared" si="318"/>
        <v>0</v>
      </c>
      <c r="S1395" s="14">
        <f t="shared" si="319"/>
        <v>1</v>
      </c>
    </row>
    <row r="1396" spans="1:19">
      <c r="A1396" s="14" t="str">
        <f t="shared" si="316"/>
        <v>SRY-4-3</v>
      </c>
      <c r="B1396" s="15">
        <f>'Curvas SRY'!$B$11</f>
        <v>5</v>
      </c>
      <c r="C1396" s="15">
        <f>'Curvas SRY'!$E$10</f>
        <v>1.25</v>
      </c>
      <c r="D1396" s="14" t="str">
        <f>'Curvas SRY'!$B$14</f>
        <v>Uso variable</v>
      </c>
      <c r="E1396" s="14">
        <f>73</f>
        <v>73</v>
      </c>
      <c r="F1396" s="21">
        <f>'Hoja 4 - Cálculo'!A97</f>
        <v>31778</v>
      </c>
      <c r="G1396" s="15">
        <f>'Hoja 4 - Cálculo'!H97</f>
        <v>14.056875</v>
      </c>
      <c r="H1396" s="15">
        <f>IF(D1396="Uso único",'Hoja 4 - Cálculo'!I97,IF(D1396="Uso múltiple",AVERAGE('Hoja 4 - Cálculo'!$I$25:$I$384)+AVERAGE('Hoja 4 - Cálculo'!$J$25:$J$384)+AVERAGE('Hoja 4 - Cálculo'!$K$25:$K$384),IF(D1396="Uso prioritario",'Hoja 4 - Cálculo'!I97+'Hoja 4 - Cálculo'!K97,'Hoja 4 - Cálculo'!I97+'Hoja 4 - Cálculo'!J97+'Hoja 4 - Cálculo'!K97)))</f>
        <v>16</v>
      </c>
      <c r="I1396" s="15">
        <f t="shared" si="306"/>
        <v>20</v>
      </c>
      <c r="J1396" s="15">
        <f t="shared" si="317"/>
        <v>0</v>
      </c>
      <c r="K1396" s="15">
        <f>MIN(J1396+G1396,(J1396+G1396)*'Hoja 4 - Cálculo'!$B$15)</f>
        <v>0.28113749999999998</v>
      </c>
      <c r="L1396" s="15">
        <f t="shared" si="307"/>
        <v>13.7757375</v>
      </c>
      <c r="M1396" s="15">
        <f t="shared" si="308"/>
        <v>13.7757375</v>
      </c>
      <c r="N1396" s="15">
        <f t="shared" si="309"/>
        <v>0</v>
      </c>
      <c r="O1396" s="15">
        <f t="shared" si="310"/>
        <v>0</v>
      </c>
      <c r="P1396" s="15">
        <f t="shared" si="311"/>
        <v>6.2242625</v>
      </c>
      <c r="Q1396" s="14" t="str">
        <f>IF(M1396&gt;=I1396*'Hoja 4 - Cálculo'!$B$16,"Satisfactorio","Falla")</f>
        <v>Falla</v>
      </c>
      <c r="R1396" s="14">
        <f t="shared" si="318"/>
        <v>0</v>
      </c>
      <c r="S1396" s="14">
        <f t="shared" si="319"/>
        <v>0</v>
      </c>
    </row>
    <row r="1397" spans="1:19">
      <c r="A1397" s="14" t="str">
        <f t="shared" si="316"/>
        <v>SRY-4-3</v>
      </c>
      <c r="B1397" s="15">
        <f>'Curvas SRY'!$B$11</f>
        <v>5</v>
      </c>
      <c r="C1397" s="15">
        <f>'Curvas SRY'!$E$10</f>
        <v>1.25</v>
      </c>
      <c r="D1397" s="14" t="str">
        <f>'Curvas SRY'!$B$14</f>
        <v>Uso variable</v>
      </c>
      <c r="E1397" s="14">
        <f>74</f>
        <v>74</v>
      </c>
      <c r="F1397" s="21">
        <f>'Hoja 4 - Cálculo'!A98</f>
        <v>31809</v>
      </c>
      <c r="G1397" s="15">
        <f>'Hoja 4 - Cálculo'!H98</f>
        <v>15.969374999999999</v>
      </c>
      <c r="H1397" s="15">
        <f>IF(D1397="Uso único",'Hoja 4 - Cálculo'!I98,IF(D1397="Uso múltiple",AVERAGE('Hoja 4 - Cálculo'!$I$25:$I$384)+AVERAGE('Hoja 4 - Cálculo'!$J$25:$J$384)+AVERAGE('Hoja 4 - Cálculo'!$K$25:$K$384),IF(D1397="Uso prioritario",'Hoja 4 - Cálculo'!I98+'Hoja 4 - Cálculo'!K98,'Hoja 4 - Cálculo'!I98+'Hoja 4 - Cálculo'!J98+'Hoja 4 - Cálculo'!K98)))</f>
        <v>16</v>
      </c>
      <c r="I1397" s="15">
        <f t="shared" si="306"/>
        <v>20</v>
      </c>
      <c r="J1397" s="15">
        <f t="shared" si="317"/>
        <v>0</v>
      </c>
      <c r="K1397" s="15">
        <f>MIN(J1397+G1397,(J1397+G1397)*'Hoja 4 - Cálculo'!$B$15)</f>
        <v>0.31938749999999999</v>
      </c>
      <c r="L1397" s="15">
        <f t="shared" si="307"/>
        <v>15.6499875</v>
      </c>
      <c r="M1397" s="15">
        <f t="shared" si="308"/>
        <v>15.6499875</v>
      </c>
      <c r="N1397" s="15">
        <f t="shared" si="309"/>
        <v>0</v>
      </c>
      <c r="O1397" s="15">
        <f t="shared" si="310"/>
        <v>0</v>
      </c>
      <c r="P1397" s="15">
        <f t="shared" si="311"/>
        <v>4.3500125000000001</v>
      </c>
      <c r="Q1397" s="14" t="str">
        <f>IF(M1397&gt;=I1397*'Hoja 4 - Cálculo'!$B$16,"Satisfactorio","Falla")</f>
        <v>Falla</v>
      </c>
      <c r="R1397" s="14">
        <f t="shared" si="318"/>
        <v>0</v>
      </c>
      <c r="S1397" s="14">
        <f t="shared" si="319"/>
        <v>0</v>
      </c>
    </row>
    <row r="1398" spans="1:19">
      <c r="A1398" s="14" t="str">
        <f t="shared" si="316"/>
        <v>SRY-4-3</v>
      </c>
      <c r="B1398" s="15">
        <f>'Curvas SRY'!$B$11</f>
        <v>5</v>
      </c>
      <c r="C1398" s="15">
        <f>'Curvas SRY'!$E$10</f>
        <v>1.25</v>
      </c>
      <c r="D1398" s="14" t="str">
        <f>'Curvas SRY'!$B$14</f>
        <v>Uso variable</v>
      </c>
      <c r="E1398" s="14">
        <f>75</f>
        <v>75</v>
      </c>
      <c r="F1398" s="21">
        <f>'Hoja 4 - Cálculo'!A99</f>
        <v>31837</v>
      </c>
      <c r="G1398" s="15">
        <f>'Hoja 4 - Cálculo'!H99</f>
        <v>22.797000000000001</v>
      </c>
      <c r="H1398" s="15">
        <f>IF(D1398="Uso único",'Hoja 4 - Cálculo'!I99,IF(D1398="Uso múltiple",AVERAGE('Hoja 4 - Cálculo'!$I$25:$I$384)+AVERAGE('Hoja 4 - Cálculo'!$J$25:$J$384)+AVERAGE('Hoja 4 - Cálculo'!$K$25:$K$384),IF(D1398="Uso prioritario",'Hoja 4 - Cálculo'!I99+'Hoja 4 - Cálculo'!K99,'Hoja 4 - Cálculo'!I99+'Hoja 4 - Cálculo'!J99+'Hoja 4 - Cálculo'!K99)))</f>
        <v>16</v>
      </c>
      <c r="I1398" s="15">
        <f t="shared" si="306"/>
        <v>20</v>
      </c>
      <c r="J1398" s="15">
        <f t="shared" si="317"/>
        <v>0</v>
      </c>
      <c r="K1398" s="15">
        <f>MIN(J1398+G1398,(J1398+G1398)*'Hoja 4 - Cálculo'!$B$15)</f>
        <v>0.45594000000000001</v>
      </c>
      <c r="L1398" s="15">
        <f t="shared" si="307"/>
        <v>22.341059999999999</v>
      </c>
      <c r="M1398" s="15">
        <f t="shared" si="308"/>
        <v>20</v>
      </c>
      <c r="N1398" s="15">
        <f t="shared" si="309"/>
        <v>2.3410599999999988</v>
      </c>
      <c r="O1398" s="15">
        <f t="shared" si="310"/>
        <v>0</v>
      </c>
      <c r="P1398" s="15">
        <f t="shared" si="311"/>
        <v>0</v>
      </c>
      <c r="Q1398" s="14" t="str">
        <f>IF(M1398&gt;=I1398*'Hoja 4 - Cálculo'!$B$16,"Satisfactorio","Falla")</f>
        <v>Satisfactorio</v>
      </c>
      <c r="R1398" s="14">
        <f t="shared" si="318"/>
        <v>1</v>
      </c>
      <c r="S1398" s="14">
        <f t="shared" si="319"/>
        <v>0</v>
      </c>
    </row>
    <row r="1399" spans="1:19">
      <c r="A1399" s="14" t="str">
        <f t="shared" si="316"/>
        <v>SRY-4-3</v>
      </c>
      <c r="B1399" s="15">
        <f>'Curvas SRY'!$B$11</f>
        <v>5</v>
      </c>
      <c r="C1399" s="15">
        <f>'Curvas SRY'!$E$10</f>
        <v>1.25</v>
      </c>
      <c r="D1399" s="14" t="str">
        <f>'Curvas SRY'!$B$14</f>
        <v>Uso variable</v>
      </c>
      <c r="E1399" s="14">
        <f>76</f>
        <v>76</v>
      </c>
      <c r="F1399" s="21">
        <f>'Hoja 4 - Cálculo'!A100</f>
        <v>31868</v>
      </c>
      <c r="G1399" s="15">
        <f>'Hoja 4 - Cálculo'!H100</f>
        <v>34.138125000000002</v>
      </c>
      <c r="H1399" s="15">
        <f>IF(D1399="Uso único",'Hoja 4 - Cálculo'!I100,IF(D1399="Uso múltiple",AVERAGE('Hoja 4 - Cálculo'!$I$25:$I$384)+AVERAGE('Hoja 4 - Cálculo'!$J$25:$J$384)+AVERAGE('Hoja 4 - Cálculo'!$K$25:$K$384),IF(D1399="Uso prioritario",'Hoja 4 - Cálculo'!I100+'Hoja 4 - Cálculo'!K100,'Hoja 4 - Cálculo'!I100+'Hoja 4 - Cálculo'!J100+'Hoja 4 - Cálculo'!K100)))</f>
        <v>11.5</v>
      </c>
      <c r="I1399" s="15">
        <f t="shared" si="306"/>
        <v>14.375</v>
      </c>
      <c r="J1399" s="15">
        <f t="shared" si="317"/>
        <v>2.3410599999999988</v>
      </c>
      <c r="K1399" s="15">
        <f>MIN(J1399+G1399,(J1399+G1399)*'Hoja 4 - Cálculo'!$B$15)</f>
        <v>0.72958370000000006</v>
      </c>
      <c r="L1399" s="15">
        <f t="shared" si="307"/>
        <v>35.749601300000002</v>
      </c>
      <c r="M1399" s="15">
        <f t="shared" si="308"/>
        <v>14.375</v>
      </c>
      <c r="N1399" s="15">
        <f t="shared" si="309"/>
        <v>5</v>
      </c>
      <c r="O1399" s="15">
        <f t="shared" si="310"/>
        <v>16.374601300000002</v>
      </c>
      <c r="P1399" s="15">
        <f t="shared" si="311"/>
        <v>0</v>
      </c>
      <c r="Q1399" s="14" t="str">
        <f>IF(M1399&gt;=I1399*'Hoja 4 - Cálculo'!$B$16,"Satisfactorio","Falla")</f>
        <v>Satisfactorio</v>
      </c>
      <c r="R1399" s="14">
        <f t="shared" si="318"/>
        <v>0</v>
      </c>
      <c r="S1399" s="14">
        <f t="shared" si="319"/>
        <v>0</v>
      </c>
    </row>
    <row r="1400" spans="1:19">
      <c r="A1400" s="14" t="str">
        <f t="shared" si="316"/>
        <v>SRY-4-3</v>
      </c>
      <c r="B1400" s="15">
        <f>'Curvas SRY'!$B$11</f>
        <v>5</v>
      </c>
      <c r="C1400" s="15">
        <f>'Curvas SRY'!$E$10</f>
        <v>1.25</v>
      </c>
      <c r="D1400" s="14" t="str">
        <f>'Curvas SRY'!$B$14</f>
        <v>Uso variable</v>
      </c>
      <c r="E1400" s="14">
        <f>77</f>
        <v>77</v>
      </c>
      <c r="F1400" s="21">
        <f>'Hoja 4 - Cálculo'!A101</f>
        <v>31898</v>
      </c>
      <c r="G1400" s="15">
        <f>'Hoja 4 - Cálculo'!H101</f>
        <v>28.534500000000001</v>
      </c>
      <c r="H1400" s="15">
        <f>IF(D1400="Uso único",'Hoja 4 - Cálculo'!I101,IF(D1400="Uso múltiple",AVERAGE('Hoja 4 - Cálculo'!$I$25:$I$384)+AVERAGE('Hoja 4 - Cálculo'!$J$25:$J$384)+AVERAGE('Hoja 4 - Cálculo'!$K$25:$K$384),IF(D1400="Uso prioritario",'Hoja 4 - Cálculo'!I101+'Hoja 4 - Cálculo'!K101,'Hoja 4 - Cálculo'!I101+'Hoja 4 - Cálculo'!J101+'Hoja 4 - Cálculo'!K101)))</f>
        <v>11.5</v>
      </c>
      <c r="I1400" s="15">
        <f t="shared" si="306"/>
        <v>14.375</v>
      </c>
      <c r="J1400" s="15">
        <f t="shared" si="317"/>
        <v>5</v>
      </c>
      <c r="K1400" s="15">
        <f>MIN(J1400+G1400,(J1400+G1400)*'Hoja 4 - Cálculo'!$B$15)</f>
        <v>0.67069000000000001</v>
      </c>
      <c r="L1400" s="15">
        <f t="shared" si="307"/>
        <v>32.863810000000001</v>
      </c>
      <c r="M1400" s="15">
        <f t="shared" si="308"/>
        <v>14.375</v>
      </c>
      <c r="N1400" s="15">
        <f t="shared" si="309"/>
        <v>5</v>
      </c>
      <c r="O1400" s="15">
        <f t="shared" si="310"/>
        <v>13.488810000000001</v>
      </c>
      <c r="P1400" s="15">
        <f t="shared" si="311"/>
        <v>0</v>
      </c>
      <c r="Q1400" s="14" t="str">
        <f>IF(M1400&gt;=I1400*'Hoja 4 - Cálculo'!$B$16,"Satisfactorio","Falla")</f>
        <v>Satisfactorio</v>
      </c>
      <c r="R1400" s="14">
        <f t="shared" si="318"/>
        <v>0</v>
      </c>
      <c r="S1400" s="14">
        <f t="shared" si="319"/>
        <v>0</v>
      </c>
    </row>
    <row r="1401" spans="1:19">
      <c r="A1401" s="14" t="str">
        <f t="shared" si="316"/>
        <v>SRY-4-3</v>
      </c>
      <c r="B1401" s="15">
        <f>'Curvas SRY'!$B$11</f>
        <v>5</v>
      </c>
      <c r="C1401" s="15">
        <f>'Curvas SRY'!$E$10</f>
        <v>1.25</v>
      </c>
      <c r="D1401" s="14" t="str">
        <f>'Curvas SRY'!$B$14</f>
        <v>Uso variable</v>
      </c>
      <c r="E1401" s="14">
        <f>78</f>
        <v>78</v>
      </c>
      <c r="F1401" s="21">
        <f>'Hoja 4 - Cálculo'!A102</f>
        <v>31929</v>
      </c>
      <c r="G1401" s="15">
        <f>'Hoja 4 - Cálculo'!H102</f>
        <v>18.589500000000001</v>
      </c>
      <c r="H1401" s="15">
        <f>IF(D1401="Uso único",'Hoja 4 - Cálculo'!I102,IF(D1401="Uso múltiple",AVERAGE('Hoja 4 - Cálculo'!$I$25:$I$384)+AVERAGE('Hoja 4 - Cálculo'!$J$25:$J$384)+AVERAGE('Hoja 4 - Cálculo'!$K$25:$K$384),IF(D1401="Uso prioritario",'Hoja 4 - Cálculo'!I102+'Hoja 4 - Cálculo'!K102,'Hoja 4 - Cálculo'!I102+'Hoja 4 - Cálculo'!J102+'Hoja 4 - Cálculo'!K102)))</f>
        <v>11.5</v>
      </c>
      <c r="I1401" s="15">
        <f t="shared" si="306"/>
        <v>14.375</v>
      </c>
      <c r="J1401" s="15">
        <f t="shared" si="317"/>
        <v>5</v>
      </c>
      <c r="K1401" s="15">
        <f>MIN(J1401+G1401,(J1401+G1401)*'Hoja 4 - Cálculo'!$B$15)</f>
        <v>0.47179000000000004</v>
      </c>
      <c r="L1401" s="15">
        <f t="shared" si="307"/>
        <v>23.117710000000002</v>
      </c>
      <c r="M1401" s="15">
        <f t="shared" si="308"/>
        <v>14.375</v>
      </c>
      <c r="N1401" s="15">
        <f t="shared" si="309"/>
        <v>5</v>
      </c>
      <c r="O1401" s="15">
        <f t="shared" si="310"/>
        <v>3.7427100000000024</v>
      </c>
      <c r="P1401" s="15">
        <f t="shared" si="311"/>
        <v>0</v>
      </c>
      <c r="Q1401" s="14" t="str">
        <f>IF(M1401&gt;=I1401*'Hoja 4 - Cálculo'!$B$16,"Satisfactorio","Falla")</f>
        <v>Satisfactorio</v>
      </c>
      <c r="R1401" s="14">
        <f t="shared" si="318"/>
        <v>0</v>
      </c>
      <c r="S1401" s="14">
        <f t="shared" si="319"/>
        <v>0</v>
      </c>
    </row>
    <row r="1402" spans="1:19">
      <c r="A1402" s="14" t="str">
        <f t="shared" si="316"/>
        <v>SRY-4-3</v>
      </c>
      <c r="B1402" s="15">
        <f>'Curvas SRY'!$B$11</f>
        <v>5</v>
      </c>
      <c r="C1402" s="15">
        <f>'Curvas SRY'!$E$10</f>
        <v>1.25</v>
      </c>
      <c r="D1402" s="14" t="str">
        <f>'Curvas SRY'!$B$14</f>
        <v>Uso variable</v>
      </c>
      <c r="E1402" s="14">
        <f>79</f>
        <v>79</v>
      </c>
      <c r="F1402" s="21">
        <f>'Hoja 4 - Cálculo'!A103</f>
        <v>31959</v>
      </c>
      <c r="G1402" s="15">
        <f>'Hoja 4 - Cálculo'!H103</f>
        <v>14.688000000000001</v>
      </c>
      <c r="H1402" s="15">
        <f>IF(D1402="Uso único",'Hoja 4 - Cálculo'!I103,IF(D1402="Uso múltiple",AVERAGE('Hoja 4 - Cálculo'!$I$25:$I$384)+AVERAGE('Hoja 4 - Cálculo'!$J$25:$J$384)+AVERAGE('Hoja 4 - Cálculo'!$K$25:$K$384),IF(D1402="Uso prioritario",'Hoja 4 - Cálculo'!I103+'Hoja 4 - Cálculo'!K103,'Hoja 4 - Cálculo'!I103+'Hoja 4 - Cálculo'!J103+'Hoja 4 - Cálculo'!K103)))</f>
        <v>16</v>
      </c>
      <c r="I1402" s="15">
        <f t="shared" si="306"/>
        <v>20</v>
      </c>
      <c r="J1402" s="15">
        <f t="shared" si="317"/>
        <v>5</v>
      </c>
      <c r="K1402" s="15">
        <f>MIN(J1402+G1402,(J1402+G1402)*'Hoja 4 - Cálculo'!$B$15)</f>
        <v>0.39376000000000005</v>
      </c>
      <c r="L1402" s="15">
        <f t="shared" si="307"/>
        <v>19.294240000000002</v>
      </c>
      <c r="M1402" s="15">
        <f t="shared" si="308"/>
        <v>19.294240000000002</v>
      </c>
      <c r="N1402" s="15">
        <f t="shared" si="309"/>
        <v>0</v>
      </c>
      <c r="O1402" s="15">
        <f t="shared" si="310"/>
        <v>0</v>
      </c>
      <c r="P1402" s="15">
        <f t="shared" si="311"/>
        <v>0.70575999999999794</v>
      </c>
      <c r="Q1402" s="14" t="str">
        <f>IF(M1402&gt;=I1402*'Hoja 4 - Cálculo'!$B$16,"Satisfactorio","Falla")</f>
        <v>Falla</v>
      </c>
      <c r="R1402" s="14">
        <f t="shared" si="318"/>
        <v>0</v>
      </c>
      <c r="S1402" s="14">
        <f t="shared" si="319"/>
        <v>1</v>
      </c>
    </row>
    <row r="1403" spans="1:19">
      <c r="A1403" s="14" t="str">
        <f t="shared" si="316"/>
        <v>SRY-4-3</v>
      </c>
      <c r="B1403" s="15">
        <f>'Curvas SRY'!$B$11</f>
        <v>5</v>
      </c>
      <c r="C1403" s="15">
        <f>'Curvas SRY'!$E$10</f>
        <v>1.25</v>
      </c>
      <c r="D1403" s="14" t="str">
        <f>'Curvas SRY'!$B$14</f>
        <v>Uso variable</v>
      </c>
      <c r="E1403" s="14">
        <f>80</f>
        <v>80</v>
      </c>
      <c r="F1403" s="21">
        <f>'Hoja 4 - Cálculo'!A104</f>
        <v>31990</v>
      </c>
      <c r="G1403" s="15">
        <f>'Hoja 4 - Cálculo'!H104</f>
        <v>15.759</v>
      </c>
      <c r="H1403" s="15">
        <f>IF(D1403="Uso único",'Hoja 4 - Cálculo'!I104,IF(D1403="Uso múltiple",AVERAGE('Hoja 4 - Cálculo'!$I$25:$I$384)+AVERAGE('Hoja 4 - Cálculo'!$J$25:$J$384)+AVERAGE('Hoja 4 - Cálculo'!$K$25:$K$384),IF(D1403="Uso prioritario",'Hoja 4 - Cálculo'!I104+'Hoja 4 - Cálculo'!K104,'Hoja 4 - Cálculo'!I104+'Hoja 4 - Cálculo'!J104+'Hoja 4 - Cálculo'!K104)))</f>
        <v>16</v>
      </c>
      <c r="I1403" s="15">
        <f t="shared" si="306"/>
        <v>20</v>
      </c>
      <c r="J1403" s="15">
        <f t="shared" si="317"/>
        <v>0</v>
      </c>
      <c r="K1403" s="15">
        <f>MIN(J1403+G1403,(J1403+G1403)*'Hoja 4 - Cálculo'!$B$15)</f>
        <v>0.31518000000000002</v>
      </c>
      <c r="L1403" s="15">
        <f t="shared" si="307"/>
        <v>15.443820000000001</v>
      </c>
      <c r="M1403" s="15">
        <f t="shared" si="308"/>
        <v>15.443820000000001</v>
      </c>
      <c r="N1403" s="15">
        <f t="shared" si="309"/>
        <v>0</v>
      </c>
      <c r="O1403" s="15">
        <f t="shared" si="310"/>
        <v>0</v>
      </c>
      <c r="P1403" s="15">
        <f t="shared" si="311"/>
        <v>4.5561799999999995</v>
      </c>
      <c r="Q1403" s="14" t="str">
        <f>IF(M1403&gt;=I1403*'Hoja 4 - Cálculo'!$B$16,"Satisfactorio","Falla")</f>
        <v>Falla</v>
      </c>
      <c r="R1403" s="14">
        <f t="shared" si="318"/>
        <v>0</v>
      </c>
      <c r="S1403" s="14">
        <f t="shared" si="319"/>
        <v>0</v>
      </c>
    </row>
    <row r="1404" spans="1:19">
      <c r="A1404" s="14" t="str">
        <f t="shared" si="316"/>
        <v>SRY-4-3</v>
      </c>
      <c r="B1404" s="15">
        <f>'Curvas SRY'!$B$11</f>
        <v>5</v>
      </c>
      <c r="C1404" s="15">
        <f>'Curvas SRY'!$E$10</f>
        <v>1.25</v>
      </c>
      <c r="D1404" s="14" t="str">
        <f>'Curvas SRY'!$B$14</f>
        <v>Uso variable</v>
      </c>
      <c r="E1404" s="14">
        <f>81</f>
        <v>81</v>
      </c>
      <c r="F1404" s="21">
        <f>'Hoja 4 - Cálculo'!A105</f>
        <v>32021</v>
      </c>
      <c r="G1404" s="15">
        <f>'Hoja 4 - Cálculo'!H105</f>
        <v>26.220375000000001</v>
      </c>
      <c r="H1404" s="15">
        <f>IF(D1404="Uso único",'Hoja 4 - Cálculo'!I105,IF(D1404="Uso múltiple",AVERAGE('Hoja 4 - Cálculo'!$I$25:$I$384)+AVERAGE('Hoja 4 - Cálculo'!$J$25:$J$384)+AVERAGE('Hoja 4 - Cálculo'!$K$25:$K$384),IF(D1404="Uso prioritario",'Hoja 4 - Cálculo'!I105+'Hoja 4 - Cálculo'!K105,'Hoja 4 - Cálculo'!I105+'Hoja 4 - Cálculo'!J105+'Hoja 4 - Cálculo'!K105)))</f>
        <v>11.5</v>
      </c>
      <c r="I1404" s="15">
        <f t="shared" si="306"/>
        <v>14.375</v>
      </c>
      <c r="J1404" s="15">
        <f t="shared" si="317"/>
        <v>0</v>
      </c>
      <c r="K1404" s="15">
        <f>MIN(J1404+G1404,(J1404+G1404)*'Hoja 4 - Cálculo'!$B$15)</f>
        <v>0.52440750000000003</v>
      </c>
      <c r="L1404" s="15">
        <f t="shared" si="307"/>
        <v>25.695967500000002</v>
      </c>
      <c r="M1404" s="15">
        <f t="shared" si="308"/>
        <v>14.375</v>
      </c>
      <c r="N1404" s="15">
        <f t="shared" si="309"/>
        <v>5</v>
      </c>
      <c r="O1404" s="15">
        <f t="shared" si="310"/>
        <v>6.3209675000000018</v>
      </c>
      <c r="P1404" s="15">
        <f t="shared" si="311"/>
        <v>0</v>
      </c>
      <c r="Q1404" s="14" t="str">
        <f>IF(M1404&gt;=I1404*'Hoja 4 - Cálculo'!$B$16,"Satisfactorio","Falla")</f>
        <v>Satisfactorio</v>
      </c>
      <c r="R1404" s="14">
        <f t="shared" si="318"/>
        <v>1</v>
      </c>
      <c r="S1404" s="14">
        <f t="shared" si="319"/>
        <v>0</v>
      </c>
    </row>
    <row r="1405" spans="1:19">
      <c r="A1405" s="14" t="str">
        <f t="shared" si="316"/>
        <v>SRY-4-3</v>
      </c>
      <c r="B1405" s="15">
        <f>'Curvas SRY'!$B$11</f>
        <v>5</v>
      </c>
      <c r="C1405" s="15">
        <f>'Curvas SRY'!$E$10</f>
        <v>1.25</v>
      </c>
      <c r="D1405" s="14" t="str">
        <f>'Curvas SRY'!$B$14</f>
        <v>Uso variable</v>
      </c>
      <c r="E1405" s="14">
        <f>82</f>
        <v>82</v>
      </c>
      <c r="F1405" s="21">
        <f>'Hoja 4 - Cálculo'!A106</f>
        <v>32051</v>
      </c>
      <c r="G1405" s="15">
        <f>'Hoja 4 - Cálculo'!H106</f>
        <v>32.627249999999997</v>
      </c>
      <c r="H1405" s="15">
        <f>IF(D1405="Uso único",'Hoja 4 - Cálculo'!I106,IF(D1405="Uso múltiple",AVERAGE('Hoja 4 - Cálculo'!$I$25:$I$384)+AVERAGE('Hoja 4 - Cálculo'!$J$25:$J$384)+AVERAGE('Hoja 4 - Cálculo'!$K$25:$K$384),IF(D1405="Uso prioritario",'Hoja 4 - Cálculo'!I106+'Hoja 4 - Cálculo'!K106,'Hoja 4 - Cálculo'!I106+'Hoja 4 - Cálculo'!J106+'Hoja 4 - Cálculo'!K106)))</f>
        <v>11.5</v>
      </c>
      <c r="I1405" s="15">
        <f t="shared" si="306"/>
        <v>14.375</v>
      </c>
      <c r="J1405" s="15">
        <f t="shared" si="317"/>
        <v>5</v>
      </c>
      <c r="K1405" s="15">
        <f>MIN(J1405+G1405,(J1405+G1405)*'Hoja 4 - Cálculo'!$B$15)</f>
        <v>0.75254499999999991</v>
      </c>
      <c r="L1405" s="15">
        <f t="shared" si="307"/>
        <v>36.874704999999999</v>
      </c>
      <c r="M1405" s="15">
        <f t="shared" si="308"/>
        <v>14.375</v>
      </c>
      <c r="N1405" s="15">
        <f t="shared" si="309"/>
        <v>5</v>
      </c>
      <c r="O1405" s="15">
        <f t="shared" si="310"/>
        <v>17.499704999999999</v>
      </c>
      <c r="P1405" s="15">
        <f t="shared" si="311"/>
        <v>0</v>
      </c>
      <c r="Q1405" s="14" t="str">
        <f>IF(M1405&gt;=I1405*'Hoja 4 - Cálculo'!$B$16,"Satisfactorio","Falla")</f>
        <v>Satisfactorio</v>
      </c>
      <c r="R1405" s="14">
        <f t="shared" si="318"/>
        <v>0</v>
      </c>
      <c r="S1405" s="14">
        <f t="shared" si="319"/>
        <v>0</v>
      </c>
    </row>
    <row r="1406" spans="1:19">
      <c r="A1406" s="14" t="str">
        <f t="shared" si="316"/>
        <v>SRY-4-3</v>
      </c>
      <c r="B1406" s="15">
        <f>'Curvas SRY'!$B$11</f>
        <v>5</v>
      </c>
      <c r="C1406" s="15">
        <f>'Curvas SRY'!$E$10</f>
        <v>1.25</v>
      </c>
      <c r="D1406" s="14" t="str">
        <f>'Curvas SRY'!$B$14</f>
        <v>Uso variable</v>
      </c>
      <c r="E1406" s="14">
        <f>83</f>
        <v>83</v>
      </c>
      <c r="F1406" s="21">
        <f>'Hoja 4 - Cálculo'!A107</f>
        <v>32082</v>
      </c>
      <c r="G1406" s="15">
        <f>'Hoja 4 - Cálculo'!H107</f>
        <v>29.758500000000002</v>
      </c>
      <c r="H1406" s="15">
        <f>IF(D1406="Uso único",'Hoja 4 - Cálculo'!I107,IF(D1406="Uso múltiple",AVERAGE('Hoja 4 - Cálculo'!$I$25:$I$384)+AVERAGE('Hoja 4 - Cálculo'!$J$25:$J$384)+AVERAGE('Hoja 4 - Cálculo'!$K$25:$K$384),IF(D1406="Uso prioritario",'Hoja 4 - Cálculo'!I107+'Hoja 4 - Cálculo'!K107,'Hoja 4 - Cálculo'!I107+'Hoja 4 - Cálculo'!J107+'Hoja 4 - Cálculo'!K107)))</f>
        <v>11.5</v>
      </c>
      <c r="I1406" s="15">
        <f t="shared" si="306"/>
        <v>14.375</v>
      </c>
      <c r="J1406" s="15">
        <f t="shared" si="317"/>
        <v>5</v>
      </c>
      <c r="K1406" s="15">
        <f>MIN(J1406+G1406,(J1406+G1406)*'Hoja 4 - Cálculo'!$B$15)</f>
        <v>0.69516999999999995</v>
      </c>
      <c r="L1406" s="15">
        <f t="shared" si="307"/>
        <v>34.063330000000001</v>
      </c>
      <c r="M1406" s="15">
        <f t="shared" si="308"/>
        <v>14.375</v>
      </c>
      <c r="N1406" s="15">
        <f t="shared" si="309"/>
        <v>5</v>
      </c>
      <c r="O1406" s="15">
        <f t="shared" si="310"/>
        <v>14.688330000000001</v>
      </c>
      <c r="P1406" s="15">
        <f t="shared" si="311"/>
        <v>0</v>
      </c>
      <c r="Q1406" s="14" t="str">
        <f>IF(M1406&gt;=I1406*'Hoja 4 - Cálculo'!$B$16,"Satisfactorio","Falla")</f>
        <v>Satisfactorio</v>
      </c>
      <c r="R1406" s="14">
        <f t="shared" si="318"/>
        <v>0</v>
      </c>
      <c r="S1406" s="14">
        <f t="shared" si="319"/>
        <v>0</v>
      </c>
    </row>
    <row r="1407" spans="1:19">
      <c r="A1407" s="14" t="str">
        <f t="shared" si="316"/>
        <v>SRY-4-3</v>
      </c>
      <c r="B1407" s="15">
        <f>'Curvas SRY'!$B$11</f>
        <v>5</v>
      </c>
      <c r="C1407" s="15">
        <f>'Curvas SRY'!$E$10</f>
        <v>1.25</v>
      </c>
      <c r="D1407" s="14" t="str">
        <f>'Curvas SRY'!$B$14</f>
        <v>Uso variable</v>
      </c>
      <c r="E1407" s="14">
        <f>84</f>
        <v>84</v>
      </c>
      <c r="F1407" s="21">
        <f>'Hoja 4 - Cálculo'!A108</f>
        <v>32112</v>
      </c>
      <c r="G1407" s="15">
        <f>'Hoja 4 - Cálculo'!H108</f>
        <v>16.543125</v>
      </c>
      <c r="H1407" s="15">
        <f>IF(D1407="Uso único",'Hoja 4 - Cálculo'!I108,IF(D1407="Uso múltiple",AVERAGE('Hoja 4 - Cálculo'!$I$25:$I$384)+AVERAGE('Hoja 4 - Cálculo'!$J$25:$J$384)+AVERAGE('Hoja 4 - Cálculo'!$K$25:$K$384),IF(D1407="Uso prioritario",'Hoja 4 - Cálculo'!I108+'Hoja 4 - Cálculo'!K108,'Hoja 4 - Cálculo'!I108+'Hoja 4 - Cálculo'!J108+'Hoja 4 - Cálculo'!K108)))</f>
        <v>16</v>
      </c>
      <c r="I1407" s="15">
        <f t="shared" si="306"/>
        <v>20</v>
      </c>
      <c r="J1407" s="15">
        <f t="shared" si="317"/>
        <v>5</v>
      </c>
      <c r="K1407" s="15">
        <f>MIN(J1407+G1407,(J1407+G1407)*'Hoja 4 - Cálculo'!$B$15)</f>
        <v>0.43086249999999998</v>
      </c>
      <c r="L1407" s="15">
        <f t="shared" si="307"/>
        <v>21.1122625</v>
      </c>
      <c r="M1407" s="15">
        <f t="shared" si="308"/>
        <v>20</v>
      </c>
      <c r="N1407" s="15">
        <f t="shared" si="309"/>
        <v>1.1122624999999999</v>
      </c>
      <c r="O1407" s="15">
        <f t="shared" si="310"/>
        <v>0</v>
      </c>
      <c r="P1407" s="15">
        <f t="shared" si="311"/>
        <v>0</v>
      </c>
      <c r="Q1407" s="14" t="str">
        <f>IF(M1407&gt;=I1407*'Hoja 4 - Cálculo'!$B$16,"Satisfactorio","Falla")</f>
        <v>Satisfactorio</v>
      </c>
      <c r="R1407" s="14">
        <f t="shared" si="318"/>
        <v>0</v>
      </c>
      <c r="S1407" s="14">
        <f t="shared" si="319"/>
        <v>0</v>
      </c>
    </row>
    <row r="1408" spans="1:19">
      <c r="A1408" s="14" t="str">
        <f t="shared" si="316"/>
        <v>SRY-4-3</v>
      </c>
      <c r="B1408" s="15">
        <f>'Curvas SRY'!$B$11</f>
        <v>5</v>
      </c>
      <c r="C1408" s="15">
        <f>'Curvas SRY'!$E$10</f>
        <v>1.25</v>
      </c>
      <c r="D1408" s="14" t="str">
        <f>'Curvas SRY'!$B$14</f>
        <v>Uso variable</v>
      </c>
      <c r="E1408" s="14">
        <f>85</f>
        <v>85</v>
      </c>
      <c r="F1408" s="21">
        <f>'Hoja 4 - Cálculo'!A109</f>
        <v>32143</v>
      </c>
      <c r="G1408" s="15">
        <f>'Hoja 4 - Cálculo'!H109</f>
        <v>13.291874999999999</v>
      </c>
      <c r="H1408" s="15">
        <f>IF(D1408="Uso único",'Hoja 4 - Cálculo'!I109,IF(D1408="Uso múltiple",AVERAGE('Hoja 4 - Cálculo'!$I$25:$I$384)+AVERAGE('Hoja 4 - Cálculo'!$J$25:$J$384)+AVERAGE('Hoja 4 - Cálculo'!$K$25:$K$384),IF(D1408="Uso prioritario",'Hoja 4 - Cálculo'!I109+'Hoja 4 - Cálculo'!K109,'Hoja 4 - Cálculo'!I109+'Hoja 4 - Cálculo'!J109+'Hoja 4 - Cálculo'!K109)))</f>
        <v>16</v>
      </c>
      <c r="I1408" s="15">
        <f t="shared" si="306"/>
        <v>20</v>
      </c>
      <c r="J1408" s="15">
        <f t="shared" si="317"/>
        <v>1.1122624999999999</v>
      </c>
      <c r="K1408" s="15">
        <f>MIN(J1408+G1408,(J1408+G1408)*'Hoja 4 - Cálculo'!$B$15)</f>
        <v>0.28808275</v>
      </c>
      <c r="L1408" s="15">
        <f t="shared" si="307"/>
        <v>14.11605475</v>
      </c>
      <c r="M1408" s="15">
        <f t="shared" si="308"/>
        <v>14.11605475</v>
      </c>
      <c r="N1408" s="15">
        <f t="shared" si="309"/>
        <v>0</v>
      </c>
      <c r="O1408" s="15">
        <f t="shared" si="310"/>
        <v>0</v>
      </c>
      <c r="P1408" s="15">
        <f t="shared" si="311"/>
        <v>5.88394525</v>
      </c>
      <c r="Q1408" s="14" t="str">
        <f>IF(M1408&gt;=I1408*'Hoja 4 - Cálculo'!$B$16,"Satisfactorio","Falla")</f>
        <v>Falla</v>
      </c>
      <c r="R1408" s="14">
        <f t="shared" si="318"/>
        <v>0</v>
      </c>
      <c r="S1408" s="14">
        <f t="shared" si="319"/>
        <v>1</v>
      </c>
    </row>
    <row r="1409" spans="1:19">
      <c r="A1409" s="14" t="str">
        <f t="shared" si="316"/>
        <v>SRY-4-3</v>
      </c>
      <c r="B1409" s="15">
        <f>'Curvas SRY'!$B$11</f>
        <v>5</v>
      </c>
      <c r="C1409" s="15">
        <f>'Curvas SRY'!$E$10</f>
        <v>1.25</v>
      </c>
      <c r="D1409" s="14" t="str">
        <f>'Curvas SRY'!$B$14</f>
        <v>Uso variable</v>
      </c>
      <c r="E1409" s="14">
        <f>86</f>
        <v>86</v>
      </c>
      <c r="F1409" s="21">
        <f>'Hoja 4 - Cálculo'!A110</f>
        <v>32174</v>
      </c>
      <c r="G1409" s="15">
        <f>'Hoja 4 - Cálculo'!H110</f>
        <v>14.19075</v>
      </c>
      <c r="H1409" s="15">
        <f>IF(D1409="Uso único",'Hoja 4 - Cálculo'!I110,IF(D1409="Uso múltiple",AVERAGE('Hoja 4 - Cálculo'!$I$25:$I$384)+AVERAGE('Hoja 4 - Cálculo'!$J$25:$J$384)+AVERAGE('Hoja 4 - Cálculo'!$K$25:$K$384),IF(D1409="Uso prioritario",'Hoja 4 - Cálculo'!I110+'Hoja 4 - Cálculo'!K110,'Hoja 4 - Cálculo'!I110+'Hoja 4 - Cálculo'!J110+'Hoja 4 - Cálculo'!K110)))</f>
        <v>16</v>
      </c>
      <c r="I1409" s="15">
        <f t="shared" si="306"/>
        <v>20</v>
      </c>
      <c r="J1409" s="15">
        <f t="shared" si="317"/>
        <v>0</v>
      </c>
      <c r="K1409" s="15">
        <f>MIN(J1409+G1409,(J1409+G1409)*'Hoja 4 - Cálculo'!$B$15)</f>
        <v>0.28381499999999998</v>
      </c>
      <c r="L1409" s="15">
        <f t="shared" si="307"/>
        <v>13.906934999999999</v>
      </c>
      <c r="M1409" s="15">
        <f t="shared" si="308"/>
        <v>13.906934999999999</v>
      </c>
      <c r="N1409" s="15">
        <f t="shared" si="309"/>
        <v>0</v>
      </c>
      <c r="O1409" s="15">
        <f t="shared" si="310"/>
        <v>0</v>
      </c>
      <c r="P1409" s="15">
        <f t="shared" si="311"/>
        <v>6.0930650000000011</v>
      </c>
      <c r="Q1409" s="14" t="str">
        <f>IF(M1409&gt;=I1409*'Hoja 4 - Cálculo'!$B$16,"Satisfactorio","Falla")</f>
        <v>Falla</v>
      </c>
      <c r="R1409" s="14">
        <f t="shared" si="318"/>
        <v>0</v>
      </c>
      <c r="S1409" s="14">
        <f t="shared" si="319"/>
        <v>0</v>
      </c>
    </row>
    <row r="1410" spans="1:19">
      <c r="A1410" s="14" t="str">
        <f t="shared" si="316"/>
        <v>SRY-4-3</v>
      </c>
      <c r="B1410" s="15">
        <f>'Curvas SRY'!$B$11</f>
        <v>5</v>
      </c>
      <c r="C1410" s="15">
        <f>'Curvas SRY'!$E$10</f>
        <v>1.25</v>
      </c>
      <c r="D1410" s="14" t="str">
        <f>'Curvas SRY'!$B$14</f>
        <v>Uso variable</v>
      </c>
      <c r="E1410" s="14">
        <f>87</f>
        <v>87</v>
      </c>
      <c r="F1410" s="21">
        <f>'Hoja 4 - Cálculo'!A111</f>
        <v>32203</v>
      </c>
      <c r="G1410" s="15">
        <f>'Hoja 4 - Cálculo'!H111</f>
        <v>22.338000000000001</v>
      </c>
      <c r="H1410" s="15">
        <f>IF(D1410="Uso único",'Hoja 4 - Cálculo'!I111,IF(D1410="Uso múltiple",AVERAGE('Hoja 4 - Cálculo'!$I$25:$I$384)+AVERAGE('Hoja 4 - Cálculo'!$J$25:$J$384)+AVERAGE('Hoja 4 - Cálculo'!$K$25:$K$384),IF(D1410="Uso prioritario",'Hoja 4 - Cálculo'!I111+'Hoja 4 - Cálculo'!K111,'Hoja 4 - Cálculo'!I111+'Hoja 4 - Cálculo'!J111+'Hoja 4 - Cálculo'!K111)))</f>
        <v>16</v>
      </c>
      <c r="I1410" s="15">
        <f t="shared" si="306"/>
        <v>20</v>
      </c>
      <c r="J1410" s="15">
        <f t="shared" si="317"/>
        <v>0</v>
      </c>
      <c r="K1410" s="15">
        <f>MIN(J1410+G1410,(J1410+G1410)*'Hoja 4 - Cálculo'!$B$15)</f>
        <v>0.44676000000000005</v>
      </c>
      <c r="L1410" s="15">
        <f t="shared" si="307"/>
        <v>21.89124</v>
      </c>
      <c r="M1410" s="15">
        <f t="shared" si="308"/>
        <v>20</v>
      </c>
      <c r="N1410" s="15">
        <f t="shared" si="309"/>
        <v>1.8912399999999998</v>
      </c>
      <c r="O1410" s="15">
        <f t="shared" si="310"/>
        <v>0</v>
      </c>
      <c r="P1410" s="15">
        <f t="shared" si="311"/>
        <v>0</v>
      </c>
      <c r="Q1410" s="14" t="str">
        <f>IF(M1410&gt;=I1410*'Hoja 4 - Cálculo'!$B$16,"Satisfactorio","Falla")</f>
        <v>Satisfactorio</v>
      </c>
      <c r="R1410" s="14">
        <f t="shared" si="318"/>
        <v>1</v>
      </c>
      <c r="S1410" s="14">
        <f t="shared" si="319"/>
        <v>0</v>
      </c>
    </row>
    <row r="1411" spans="1:19">
      <c r="A1411" s="14" t="str">
        <f t="shared" si="316"/>
        <v>SRY-4-3</v>
      </c>
      <c r="B1411" s="15">
        <f>'Curvas SRY'!$B$11</f>
        <v>5</v>
      </c>
      <c r="C1411" s="15">
        <f>'Curvas SRY'!$E$10</f>
        <v>1.25</v>
      </c>
      <c r="D1411" s="14" t="str">
        <f>'Curvas SRY'!$B$14</f>
        <v>Uso variable</v>
      </c>
      <c r="E1411" s="14">
        <f>88</f>
        <v>88</v>
      </c>
      <c r="F1411" s="21">
        <f>'Hoja 4 - Cálculo'!A112</f>
        <v>32234</v>
      </c>
      <c r="G1411" s="15">
        <f>'Hoja 4 - Cálculo'!H112</f>
        <v>29.643750000000001</v>
      </c>
      <c r="H1411" s="15">
        <f>IF(D1411="Uso único",'Hoja 4 - Cálculo'!I112,IF(D1411="Uso múltiple",AVERAGE('Hoja 4 - Cálculo'!$I$25:$I$384)+AVERAGE('Hoja 4 - Cálculo'!$J$25:$J$384)+AVERAGE('Hoja 4 - Cálculo'!$K$25:$K$384),IF(D1411="Uso prioritario",'Hoja 4 - Cálculo'!I112+'Hoja 4 - Cálculo'!K112,'Hoja 4 - Cálculo'!I112+'Hoja 4 - Cálculo'!J112+'Hoja 4 - Cálculo'!K112)))</f>
        <v>11.5</v>
      </c>
      <c r="I1411" s="15">
        <f t="shared" si="306"/>
        <v>14.375</v>
      </c>
      <c r="J1411" s="15">
        <f t="shared" si="317"/>
        <v>1.8912399999999998</v>
      </c>
      <c r="K1411" s="15">
        <f>MIN(J1411+G1411,(J1411+G1411)*'Hoja 4 - Cálculo'!$B$15)</f>
        <v>0.63069980000000003</v>
      </c>
      <c r="L1411" s="15">
        <f t="shared" si="307"/>
        <v>30.904290200000002</v>
      </c>
      <c r="M1411" s="15">
        <f t="shared" si="308"/>
        <v>14.375</v>
      </c>
      <c r="N1411" s="15">
        <f t="shared" si="309"/>
        <v>5</v>
      </c>
      <c r="O1411" s="15">
        <f t="shared" si="310"/>
        <v>11.529290200000002</v>
      </c>
      <c r="P1411" s="15">
        <f t="shared" si="311"/>
        <v>0</v>
      </c>
      <c r="Q1411" s="14" t="str">
        <f>IF(M1411&gt;=I1411*'Hoja 4 - Cálculo'!$B$16,"Satisfactorio","Falla")</f>
        <v>Satisfactorio</v>
      </c>
      <c r="R1411" s="14">
        <f t="shared" si="318"/>
        <v>0</v>
      </c>
      <c r="S1411" s="14">
        <f t="shared" si="319"/>
        <v>0</v>
      </c>
    </row>
    <row r="1412" spans="1:19">
      <c r="A1412" s="14" t="str">
        <f t="shared" si="316"/>
        <v>SRY-4-3</v>
      </c>
      <c r="B1412" s="15">
        <f>'Curvas SRY'!$B$11</f>
        <v>5</v>
      </c>
      <c r="C1412" s="15">
        <f>'Curvas SRY'!$E$10</f>
        <v>1.25</v>
      </c>
      <c r="D1412" s="14" t="str">
        <f>'Curvas SRY'!$B$14</f>
        <v>Uso variable</v>
      </c>
      <c r="E1412" s="14">
        <f>89</f>
        <v>89</v>
      </c>
      <c r="F1412" s="21">
        <f>'Hoja 4 - Cálculo'!A113</f>
        <v>32264</v>
      </c>
      <c r="G1412" s="15">
        <f>'Hoja 4 - Cálculo'!H113</f>
        <v>28.075500000000002</v>
      </c>
      <c r="H1412" s="15">
        <f>IF(D1412="Uso único",'Hoja 4 - Cálculo'!I113,IF(D1412="Uso múltiple",AVERAGE('Hoja 4 - Cálculo'!$I$25:$I$384)+AVERAGE('Hoja 4 - Cálculo'!$J$25:$J$384)+AVERAGE('Hoja 4 - Cálculo'!$K$25:$K$384),IF(D1412="Uso prioritario",'Hoja 4 - Cálculo'!I113+'Hoja 4 - Cálculo'!K113,'Hoja 4 - Cálculo'!I113+'Hoja 4 - Cálculo'!J113+'Hoja 4 - Cálculo'!K113)))</f>
        <v>11.5</v>
      </c>
      <c r="I1412" s="15">
        <f t="shared" ref="I1412:I1475" si="320">H1412*C1412</f>
        <v>14.375</v>
      </c>
      <c r="J1412" s="15">
        <f t="shared" si="317"/>
        <v>5</v>
      </c>
      <c r="K1412" s="15">
        <f>MIN(J1412+G1412,(J1412+G1412)*'Hoja 4 - Cálculo'!$B$15)</f>
        <v>0.66151000000000015</v>
      </c>
      <c r="L1412" s="15">
        <f t="shared" ref="L1412:L1475" si="321">MAX(0,J1412+G1412-K1412)</f>
        <v>32.413990000000005</v>
      </c>
      <c r="M1412" s="15">
        <f t="shared" ref="M1412:M1475" si="322">MIN(I1412,L1412)</f>
        <v>14.375</v>
      </c>
      <c r="N1412" s="15">
        <f t="shared" ref="N1412:N1475" si="323">MIN(B1412,MAX(0,L1412-M1412))</f>
        <v>5</v>
      </c>
      <c r="O1412" s="15">
        <f t="shared" ref="O1412:O1475" si="324">MAX(0,L1412-M1412-B1412)</f>
        <v>13.038990000000005</v>
      </c>
      <c r="P1412" s="15">
        <f t="shared" ref="P1412:P1475" si="325">MAX(0,I1412-M1412)</f>
        <v>0</v>
      </c>
      <c r="Q1412" s="14" t="str">
        <f>IF(M1412&gt;=I1412*'Hoja 4 - Cálculo'!$B$16,"Satisfactorio","Falla")</f>
        <v>Satisfactorio</v>
      </c>
      <c r="R1412" s="14">
        <f t="shared" si="318"/>
        <v>0</v>
      </c>
      <c r="S1412" s="14">
        <f t="shared" si="319"/>
        <v>0</v>
      </c>
    </row>
    <row r="1413" spans="1:19">
      <c r="A1413" s="14" t="str">
        <f t="shared" si="316"/>
        <v>SRY-4-3</v>
      </c>
      <c r="B1413" s="15">
        <f>'Curvas SRY'!$B$11</f>
        <v>5</v>
      </c>
      <c r="C1413" s="15">
        <f>'Curvas SRY'!$E$10</f>
        <v>1.25</v>
      </c>
      <c r="D1413" s="14" t="str">
        <f>'Curvas SRY'!$B$14</f>
        <v>Uso variable</v>
      </c>
      <c r="E1413" s="14">
        <f>90</f>
        <v>90</v>
      </c>
      <c r="F1413" s="21">
        <f>'Hoja 4 - Cálculo'!A114</f>
        <v>32295</v>
      </c>
      <c r="G1413" s="15">
        <f>'Hoja 4 - Cálculo'!H114</f>
        <v>16.485749999999999</v>
      </c>
      <c r="H1413" s="15">
        <f>IF(D1413="Uso único",'Hoja 4 - Cálculo'!I114,IF(D1413="Uso múltiple",AVERAGE('Hoja 4 - Cálculo'!$I$25:$I$384)+AVERAGE('Hoja 4 - Cálculo'!$J$25:$J$384)+AVERAGE('Hoja 4 - Cálculo'!$K$25:$K$384),IF(D1413="Uso prioritario",'Hoja 4 - Cálculo'!I114+'Hoja 4 - Cálculo'!K114,'Hoja 4 - Cálculo'!I114+'Hoja 4 - Cálculo'!J114+'Hoja 4 - Cálculo'!K114)))</f>
        <v>11.5</v>
      </c>
      <c r="I1413" s="15">
        <f t="shared" si="320"/>
        <v>14.375</v>
      </c>
      <c r="J1413" s="15">
        <f t="shared" si="317"/>
        <v>5</v>
      </c>
      <c r="K1413" s="15">
        <f>MIN(J1413+G1413,(J1413+G1413)*'Hoja 4 - Cálculo'!$B$15)</f>
        <v>0.42971500000000001</v>
      </c>
      <c r="L1413" s="15">
        <f t="shared" si="321"/>
        <v>21.056034999999998</v>
      </c>
      <c r="M1413" s="15">
        <f t="shared" si="322"/>
        <v>14.375</v>
      </c>
      <c r="N1413" s="15">
        <f t="shared" si="323"/>
        <v>5</v>
      </c>
      <c r="O1413" s="15">
        <f t="shared" si="324"/>
        <v>1.6810349999999978</v>
      </c>
      <c r="P1413" s="15">
        <f t="shared" si="325"/>
        <v>0</v>
      </c>
      <c r="Q1413" s="14" t="str">
        <f>IF(M1413&gt;=I1413*'Hoja 4 - Cálculo'!$B$16,"Satisfactorio","Falla")</f>
        <v>Satisfactorio</v>
      </c>
      <c r="R1413" s="14">
        <f t="shared" si="318"/>
        <v>0</v>
      </c>
      <c r="S1413" s="14">
        <f t="shared" si="319"/>
        <v>0</v>
      </c>
    </row>
    <row r="1414" spans="1:19">
      <c r="A1414" s="14" t="str">
        <f t="shared" si="316"/>
        <v>SRY-4-3</v>
      </c>
      <c r="B1414" s="15">
        <f>'Curvas SRY'!$B$11</f>
        <v>5</v>
      </c>
      <c r="C1414" s="15">
        <f>'Curvas SRY'!$E$10</f>
        <v>1.25</v>
      </c>
      <c r="D1414" s="14" t="str">
        <f>'Curvas SRY'!$B$14</f>
        <v>Uso variable</v>
      </c>
      <c r="E1414" s="14">
        <f>91</f>
        <v>91</v>
      </c>
      <c r="F1414" s="21">
        <f>'Hoja 4 - Cálculo'!A115</f>
        <v>32325</v>
      </c>
      <c r="G1414" s="15">
        <f>'Hoja 4 - Cálculo'!H115</f>
        <v>13.827375</v>
      </c>
      <c r="H1414" s="15">
        <f>IF(D1414="Uso único",'Hoja 4 - Cálculo'!I115,IF(D1414="Uso múltiple",AVERAGE('Hoja 4 - Cálculo'!$I$25:$I$384)+AVERAGE('Hoja 4 - Cálculo'!$J$25:$J$384)+AVERAGE('Hoja 4 - Cálculo'!$K$25:$K$384),IF(D1414="Uso prioritario",'Hoja 4 - Cálculo'!I115+'Hoja 4 - Cálculo'!K115,'Hoja 4 - Cálculo'!I115+'Hoja 4 - Cálculo'!J115+'Hoja 4 - Cálculo'!K115)))</f>
        <v>16</v>
      </c>
      <c r="I1414" s="15">
        <f t="shared" si="320"/>
        <v>20</v>
      </c>
      <c r="J1414" s="15">
        <f t="shared" si="317"/>
        <v>5</v>
      </c>
      <c r="K1414" s="15">
        <f>MIN(J1414+G1414,(J1414+G1414)*'Hoja 4 - Cálculo'!$B$15)</f>
        <v>0.37654750000000003</v>
      </c>
      <c r="L1414" s="15">
        <f t="shared" si="321"/>
        <v>18.450827499999999</v>
      </c>
      <c r="M1414" s="15">
        <f t="shared" si="322"/>
        <v>18.450827499999999</v>
      </c>
      <c r="N1414" s="15">
        <f t="shared" si="323"/>
        <v>0</v>
      </c>
      <c r="O1414" s="15">
        <f t="shared" si="324"/>
        <v>0</v>
      </c>
      <c r="P1414" s="15">
        <f t="shared" si="325"/>
        <v>1.549172500000001</v>
      </c>
      <c r="Q1414" s="14" t="str">
        <f>IF(M1414&gt;=I1414*'Hoja 4 - Cálculo'!$B$16,"Satisfactorio","Falla")</f>
        <v>Falla</v>
      </c>
      <c r="R1414" s="14">
        <f t="shared" si="318"/>
        <v>0</v>
      </c>
      <c r="S1414" s="14">
        <f t="shared" si="319"/>
        <v>1</v>
      </c>
    </row>
    <row r="1415" spans="1:19">
      <c r="A1415" s="14" t="str">
        <f t="shared" si="316"/>
        <v>SRY-4-3</v>
      </c>
      <c r="B1415" s="15">
        <f>'Curvas SRY'!$B$11</f>
        <v>5</v>
      </c>
      <c r="C1415" s="15">
        <f>'Curvas SRY'!$E$10</f>
        <v>1.25</v>
      </c>
      <c r="D1415" s="14" t="str">
        <f>'Curvas SRY'!$B$14</f>
        <v>Uso variable</v>
      </c>
      <c r="E1415" s="14">
        <f>92</f>
        <v>92</v>
      </c>
      <c r="F1415" s="21">
        <f>'Hoja 4 - Cálculo'!A116</f>
        <v>32356</v>
      </c>
      <c r="G1415" s="15">
        <f>'Hoja 4 - Cálculo'!H116</f>
        <v>14.783625000000001</v>
      </c>
      <c r="H1415" s="15">
        <f>IF(D1415="Uso único",'Hoja 4 - Cálculo'!I116,IF(D1415="Uso múltiple",AVERAGE('Hoja 4 - Cálculo'!$I$25:$I$384)+AVERAGE('Hoja 4 - Cálculo'!$J$25:$J$384)+AVERAGE('Hoja 4 - Cálculo'!$K$25:$K$384),IF(D1415="Uso prioritario",'Hoja 4 - Cálculo'!I116+'Hoja 4 - Cálculo'!K116,'Hoja 4 - Cálculo'!I116+'Hoja 4 - Cálculo'!J116+'Hoja 4 - Cálculo'!K116)))</f>
        <v>16</v>
      </c>
      <c r="I1415" s="15">
        <f t="shared" si="320"/>
        <v>20</v>
      </c>
      <c r="J1415" s="15">
        <f t="shared" si="317"/>
        <v>0</v>
      </c>
      <c r="K1415" s="15">
        <f>MIN(J1415+G1415,(J1415+G1415)*'Hoja 4 - Cálculo'!$B$15)</f>
        <v>0.2956725</v>
      </c>
      <c r="L1415" s="15">
        <f t="shared" si="321"/>
        <v>14.4879525</v>
      </c>
      <c r="M1415" s="15">
        <f t="shared" si="322"/>
        <v>14.4879525</v>
      </c>
      <c r="N1415" s="15">
        <f t="shared" si="323"/>
        <v>0</v>
      </c>
      <c r="O1415" s="15">
        <f t="shared" si="324"/>
        <v>0</v>
      </c>
      <c r="P1415" s="15">
        <f t="shared" si="325"/>
        <v>5.5120474999999995</v>
      </c>
      <c r="Q1415" s="14" t="str">
        <f>IF(M1415&gt;=I1415*'Hoja 4 - Cálculo'!$B$16,"Satisfactorio","Falla")</f>
        <v>Falla</v>
      </c>
      <c r="R1415" s="14">
        <f t="shared" si="318"/>
        <v>0</v>
      </c>
      <c r="S1415" s="14">
        <f t="shared" si="319"/>
        <v>0</v>
      </c>
    </row>
    <row r="1416" spans="1:19">
      <c r="A1416" s="14" t="str">
        <f t="shared" si="316"/>
        <v>SRY-4-3</v>
      </c>
      <c r="B1416" s="15">
        <f>'Curvas SRY'!$B$11</f>
        <v>5</v>
      </c>
      <c r="C1416" s="15">
        <f>'Curvas SRY'!$E$10</f>
        <v>1.25</v>
      </c>
      <c r="D1416" s="14" t="str">
        <f>'Curvas SRY'!$B$14</f>
        <v>Uso variable</v>
      </c>
      <c r="E1416" s="14">
        <f>93</f>
        <v>93</v>
      </c>
      <c r="F1416" s="21">
        <f>'Hoja 4 - Cálculo'!A117</f>
        <v>32387</v>
      </c>
      <c r="G1416" s="15">
        <f>'Hoja 4 - Cálculo'!H117</f>
        <v>23.3325</v>
      </c>
      <c r="H1416" s="15">
        <f>IF(D1416="Uso único",'Hoja 4 - Cálculo'!I117,IF(D1416="Uso múltiple",AVERAGE('Hoja 4 - Cálculo'!$I$25:$I$384)+AVERAGE('Hoja 4 - Cálculo'!$J$25:$J$384)+AVERAGE('Hoja 4 - Cálculo'!$K$25:$K$384),IF(D1416="Uso prioritario",'Hoja 4 - Cálculo'!I117+'Hoja 4 - Cálculo'!K117,'Hoja 4 - Cálculo'!I117+'Hoja 4 - Cálculo'!J117+'Hoja 4 - Cálculo'!K117)))</f>
        <v>11.5</v>
      </c>
      <c r="I1416" s="15">
        <f t="shared" si="320"/>
        <v>14.375</v>
      </c>
      <c r="J1416" s="15">
        <f t="shared" si="317"/>
        <v>0</v>
      </c>
      <c r="K1416" s="15">
        <f>MIN(J1416+G1416,(J1416+G1416)*'Hoja 4 - Cálculo'!$B$15)</f>
        <v>0.46665000000000001</v>
      </c>
      <c r="L1416" s="15">
        <f t="shared" si="321"/>
        <v>22.865849999999998</v>
      </c>
      <c r="M1416" s="15">
        <f t="shared" si="322"/>
        <v>14.375</v>
      </c>
      <c r="N1416" s="15">
        <f t="shared" si="323"/>
        <v>5</v>
      </c>
      <c r="O1416" s="15">
        <f t="shared" si="324"/>
        <v>3.4908499999999982</v>
      </c>
      <c r="P1416" s="15">
        <f t="shared" si="325"/>
        <v>0</v>
      </c>
      <c r="Q1416" s="14" t="str">
        <f>IF(M1416&gt;=I1416*'Hoja 4 - Cálculo'!$B$16,"Satisfactorio","Falla")</f>
        <v>Satisfactorio</v>
      </c>
      <c r="R1416" s="14">
        <f t="shared" si="318"/>
        <v>1</v>
      </c>
      <c r="S1416" s="14">
        <f t="shared" si="319"/>
        <v>0</v>
      </c>
    </row>
    <row r="1417" spans="1:19">
      <c r="A1417" s="14" t="str">
        <f t="shared" si="316"/>
        <v>SRY-4-3</v>
      </c>
      <c r="B1417" s="15">
        <f>'Curvas SRY'!$B$11</f>
        <v>5</v>
      </c>
      <c r="C1417" s="15">
        <f>'Curvas SRY'!$E$10</f>
        <v>1.25</v>
      </c>
      <c r="D1417" s="14" t="str">
        <f>'Curvas SRY'!$B$14</f>
        <v>Uso variable</v>
      </c>
      <c r="E1417" s="14">
        <f>94</f>
        <v>94</v>
      </c>
      <c r="F1417" s="21">
        <f>'Hoja 4 - Cálculo'!A118</f>
        <v>32417</v>
      </c>
      <c r="G1417" s="15">
        <f>'Hoja 4 - Cálculo'!H118</f>
        <v>32.015250000000002</v>
      </c>
      <c r="H1417" s="15">
        <f>IF(D1417="Uso único",'Hoja 4 - Cálculo'!I118,IF(D1417="Uso múltiple",AVERAGE('Hoja 4 - Cálculo'!$I$25:$I$384)+AVERAGE('Hoja 4 - Cálculo'!$J$25:$J$384)+AVERAGE('Hoja 4 - Cálculo'!$K$25:$K$384),IF(D1417="Uso prioritario",'Hoja 4 - Cálculo'!I118+'Hoja 4 - Cálculo'!K118,'Hoja 4 - Cálculo'!I118+'Hoja 4 - Cálculo'!J118+'Hoja 4 - Cálculo'!K118)))</f>
        <v>11.5</v>
      </c>
      <c r="I1417" s="15">
        <f t="shared" si="320"/>
        <v>14.375</v>
      </c>
      <c r="J1417" s="15">
        <f t="shared" si="317"/>
        <v>5</v>
      </c>
      <c r="K1417" s="15">
        <f>MIN(J1417+G1417,(J1417+G1417)*'Hoja 4 - Cálculo'!$B$15)</f>
        <v>0.7403050000000001</v>
      </c>
      <c r="L1417" s="15">
        <f t="shared" si="321"/>
        <v>36.274945000000002</v>
      </c>
      <c r="M1417" s="15">
        <f t="shared" si="322"/>
        <v>14.375</v>
      </c>
      <c r="N1417" s="15">
        <f t="shared" si="323"/>
        <v>5</v>
      </c>
      <c r="O1417" s="15">
        <f t="shared" si="324"/>
        <v>16.899945000000002</v>
      </c>
      <c r="P1417" s="15">
        <f t="shared" si="325"/>
        <v>0</v>
      </c>
      <c r="Q1417" s="14" t="str">
        <f>IF(M1417&gt;=I1417*'Hoja 4 - Cálculo'!$B$16,"Satisfactorio","Falla")</f>
        <v>Satisfactorio</v>
      </c>
      <c r="R1417" s="14">
        <f t="shared" si="318"/>
        <v>0</v>
      </c>
      <c r="S1417" s="14">
        <f t="shared" si="319"/>
        <v>0</v>
      </c>
    </row>
    <row r="1418" spans="1:19">
      <c r="A1418" s="14" t="str">
        <f t="shared" si="316"/>
        <v>SRY-4-3</v>
      </c>
      <c r="B1418" s="15">
        <f>'Curvas SRY'!$B$11</f>
        <v>5</v>
      </c>
      <c r="C1418" s="15">
        <f>'Curvas SRY'!$E$10</f>
        <v>1.25</v>
      </c>
      <c r="D1418" s="14" t="str">
        <f>'Curvas SRY'!$B$14</f>
        <v>Uso variable</v>
      </c>
      <c r="E1418" s="14">
        <f>95</f>
        <v>95</v>
      </c>
      <c r="F1418" s="21">
        <f>'Hoja 4 - Cálculo'!A119</f>
        <v>32448</v>
      </c>
      <c r="G1418" s="15">
        <f>'Hoja 4 - Cálculo'!H119</f>
        <v>25.876124999999998</v>
      </c>
      <c r="H1418" s="15">
        <f>IF(D1418="Uso único",'Hoja 4 - Cálculo'!I119,IF(D1418="Uso múltiple",AVERAGE('Hoja 4 - Cálculo'!$I$25:$I$384)+AVERAGE('Hoja 4 - Cálculo'!$J$25:$J$384)+AVERAGE('Hoja 4 - Cálculo'!$K$25:$K$384),IF(D1418="Uso prioritario",'Hoja 4 - Cálculo'!I119+'Hoja 4 - Cálculo'!K119,'Hoja 4 - Cálculo'!I119+'Hoja 4 - Cálculo'!J119+'Hoja 4 - Cálculo'!K119)))</f>
        <v>11.5</v>
      </c>
      <c r="I1418" s="15">
        <f t="shared" si="320"/>
        <v>14.375</v>
      </c>
      <c r="J1418" s="15">
        <f t="shared" si="317"/>
        <v>5</v>
      </c>
      <c r="K1418" s="15">
        <f>MIN(J1418+G1418,(J1418+G1418)*'Hoja 4 - Cálculo'!$B$15)</f>
        <v>0.61752249999999997</v>
      </c>
      <c r="L1418" s="15">
        <f t="shared" si="321"/>
        <v>30.258602499999999</v>
      </c>
      <c r="M1418" s="15">
        <f t="shared" si="322"/>
        <v>14.375</v>
      </c>
      <c r="N1418" s="15">
        <f t="shared" si="323"/>
        <v>5</v>
      </c>
      <c r="O1418" s="15">
        <f t="shared" si="324"/>
        <v>10.883602499999999</v>
      </c>
      <c r="P1418" s="15">
        <f t="shared" si="325"/>
        <v>0</v>
      </c>
      <c r="Q1418" s="14" t="str">
        <f>IF(M1418&gt;=I1418*'Hoja 4 - Cálculo'!$B$16,"Satisfactorio","Falla")</f>
        <v>Satisfactorio</v>
      </c>
      <c r="R1418" s="14">
        <f t="shared" si="318"/>
        <v>0</v>
      </c>
      <c r="S1418" s="14">
        <f t="shared" si="319"/>
        <v>0</v>
      </c>
    </row>
    <row r="1419" spans="1:19">
      <c r="A1419" s="14" t="str">
        <f t="shared" si="316"/>
        <v>SRY-4-3</v>
      </c>
      <c r="B1419" s="15">
        <f>'Curvas SRY'!$B$11</f>
        <v>5</v>
      </c>
      <c r="C1419" s="15">
        <f>'Curvas SRY'!$E$10</f>
        <v>1.25</v>
      </c>
      <c r="D1419" s="14" t="str">
        <f>'Curvas SRY'!$B$14</f>
        <v>Uso variable</v>
      </c>
      <c r="E1419" s="14">
        <f>96</f>
        <v>96</v>
      </c>
      <c r="F1419" s="21">
        <f>'Hoja 4 - Cálculo'!A120</f>
        <v>32478</v>
      </c>
      <c r="G1419" s="15">
        <f>'Hoja 4 - Cálculo'!H120</f>
        <v>16.218</v>
      </c>
      <c r="H1419" s="15">
        <f>IF(D1419="Uso único",'Hoja 4 - Cálculo'!I120,IF(D1419="Uso múltiple",AVERAGE('Hoja 4 - Cálculo'!$I$25:$I$384)+AVERAGE('Hoja 4 - Cálculo'!$J$25:$J$384)+AVERAGE('Hoja 4 - Cálculo'!$K$25:$K$384),IF(D1419="Uso prioritario",'Hoja 4 - Cálculo'!I120+'Hoja 4 - Cálculo'!K120,'Hoja 4 - Cálculo'!I120+'Hoja 4 - Cálculo'!J120+'Hoja 4 - Cálculo'!K120)))</f>
        <v>16</v>
      </c>
      <c r="I1419" s="15">
        <f t="shared" si="320"/>
        <v>20</v>
      </c>
      <c r="J1419" s="15">
        <f t="shared" si="317"/>
        <v>5</v>
      </c>
      <c r="K1419" s="15">
        <f>MIN(J1419+G1419,(J1419+G1419)*'Hoja 4 - Cálculo'!$B$15)</f>
        <v>0.42436000000000001</v>
      </c>
      <c r="L1419" s="15">
        <f t="shared" si="321"/>
        <v>20.79364</v>
      </c>
      <c r="M1419" s="15">
        <f t="shared" si="322"/>
        <v>20</v>
      </c>
      <c r="N1419" s="15">
        <f t="shared" si="323"/>
        <v>0.7936399999999999</v>
      </c>
      <c r="O1419" s="15">
        <f t="shared" si="324"/>
        <v>0</v>
      </c>
      <c r="P1419" s="15">
        <f t="shared" si="325"/>
        <v>0</v>
      </c>
      <c r="Q1419" s="14" t="str">
        <f>IF(M1419&gt;=I1419*'Hoja 4 - Cálculo'!$B$16,"Satisfactorio","Falla")</f>
        <v>Satisfactorio</v>
      </c>
      <c r="R1419" s="14">
        <f t="shared" si="318"/>
        <v>0</v>
      </c>
      <c r="S1419" s="14">
        <f t="shared" si="319"/>
        <v>0</v>
      </c>
    </row>
    <row r="1420" spans="1:19">
      <c r="A1420" s="14" t="str">
        <f t="shared" ref="A1420:A1443" si="326">"SRY-4-3"</f>
        <v>SRY-4-3</v>
      </c>
      <c r="B1420" s="15">
        <f>'Curvas SRY'!$B$11</f>
        <v>5</v>
      </c>
      <c r="C1420" s="15">
        <f>'Curvas SRY'!$E$10</f>
        <v>1.25</v>
      </c>
      <c r="D1420" s="14" t="str">
        <f>'Curvas SRY'!$B$14</f>
        <v>Uso variable</v>
      </c>
      <c r="E1420" s="14">
        <f>97</f>
        <v>97</v>
      </c>
      <c r="F1420" s="21">
        <f>'Hoja 4 - Cálculo'!A121</f>
        <v>32509</v>
      </c>
      <c r="G1420" s="15">
        <f>'Hoja 4 - Cálculo'!H121</f>
        <v>11.761875</v>
      </c>
      <c r="H1420" s="15">
        <f>IF(D1420="Uso único",'Hoja 4 - Cálculo'!I121,IF(D1420="Uso múltiple",AVERAGE('Hoja 4 - Cálculo'!$I$25:$I$384)+AVERAGE('Hoja 4 - Cálculo'!$J$25:$J$384)+AVERAGE('Hoja 4 - Cálculo'!$K$25:$K$384),IF(D1420="Uso prioritario",'Hoja 4 - Cálculo'!I121+'Hoja 4 - Cálculo'!K121,'Hoja 4 - Cálculo'!I121+'Hoja 4 - Cálculo'!J121+'Hoja 4 - Cálculo'!K121)))</f>
        <v>16</v>
      </c>
      <c r="I1420" s="15">
        <f t="shared" si="320"/>
        <v>20</v>
      </c>
      <c r="J1420" s="15">
        <f t="shared" si="317"/>
        <v>0.7936399999999999</v>
      </c>
      <c r="K1420" s="15">
        <f>MIN(J1420+G1420,(J1420+G1420)*'Hoja 4 - Cálculo'!$B$15)</f>
        <v>0.25111030000000001</v>
      </c>
      <c r="L1420" s="15">
        <f t="shared" si="321"/>
        <v>12.304404699999999</v>
      </c>
      <c r="M1420" s="15">
        <f t="shared" si="322"/>
        <v>12.304404699999999</v>
      </c>
      <c r="N1420" s="15">
        <f t="shared" si="323"/>
        <v>0</v>
      </c>
      <c r="O1420" s="15">
        <f t="shared" si="324"/>
        <v>0</v>
      </c>
      <c r="P1420" s="15">
        <f t="shared" si="325"/>
        <v>7.6955953000000008</v>
      </c>
      <c r="Q1420" s="14" t="str">
        <f>IF(M1420&gt;=I1420*'Hoja 4 - Cálculo'!$B$16,"Satisfactorio","Falla")</f>
        <v>Falla</v>
      </c>
      <c r="R1420" s="14">
        <f t="shared" si="318"/>
        <v>0</v>
      </c>
      <c r="S1420" s="14">
        <f t="shared" si="319"/>
        <v>1</v>
      </c>
    </row>
    <row r="1421" spans="1:19">
      <c r="A1421" s="14" t="str">
        <f t="shared" si="326"/>
        <v>SRY-4-3</v>
      </c>
      <c r="B1421" s="15">
        <f>'Curvas SRY'!$B$11</f>
        <v>5</v>
      </c>
      <c r="C1421" s="15">
        <f>'Curvas SRY'!$E$10</f>
        <v>1.25</v>
      </c>
      <c r="D1421" s="14" t="str">
        <f>'Curvas SRY'!$B$14</f>
        <v>Uso variable</v>
      </c>
      <c r="E1421" s="14">
        <f>98</f>
        <v>98</v>
      </c>
      <c r="F1421" s="21">
        <f>'Hoja 4 - Cálculo'!A122</f>
        <v>32540</v>
      </c>
      <c r="G1421" s="15">
        <f>'Hoja 4 - Cálculo'!H122</f>
        <v>12.43125</v>
      </c>
      <c r="H1421" s="15">
        <f>IF(D1421="Uso único",'Hoja 4 - Cálculo'!I122,IF(D1421="Uso múltiple",AVERAGE('Hoja 4 - Cálculo'!$I$25:$I$384)+AVERAGE('Hoja 4 - Cálculo'!$J$25:$J$384)+AVERAGE('Hoja 4 - Cálculo'!$K$25:$K$384),IF(D1421="Uso prioritario",'Hoja 4 - Cálculo'!I122+'Hoja 4 - Cálculo'!K122,'Hoja 4 - Cálculo'!I122+'Hoja 4 - Cálculo'!J122+'Hoja 4 - Cálculo'!K122)))</f>
        <v>16</v>
      </c>
      <c r="I1421" s="15">
        <f t="shared" si="320"/>
        <v>20</v>
      </c>
      <c r="J1421" s="15">
        <f t="shared" ref="J1421:J1443" si="327">N1420</f>
        <v>0</v>
      </c>
      <c r="K1421" s="15">
        <f>MIN(J1421+G1421,(J1421+G1421)*'Hoja 4 - Cálculo'!$B$15)</f>
        <v>0.24862500000000001</v>
      </c>
      <c r="L1421" s="15">
        <f t="shared" si="321"/>
        <v>12.182625</v>
      </c>
      <c r="M1421" s="15">
        <f t="shared" si="322"/>
        <v>12.182625</v>
      </c>
      <c r="N1421" s="15">
        <f t="shared" si="323"/>
        <v>0</v>
      </c>
      <c r="O1421" s="15">
        <f t="shared" si="324"/>
        <v>0</v>
      </c>
      <c r="P1421" s="15">
        <f t="shared" si="325"/>
        <v>7.8173750000000002</v>
      </c>
      <c r="Q1421" s="14" t="str">
        <f>IF(M1421&gt;=I1421*'Hoja 4 - Cálculo'!$B$16,"Satisfactorio","Falla")</f>
        <v>Falla</v>
      </c>
      <c r="R1421" s="14">
        <f t="shared" ref="R1421:R1452" si="328">IF(AND(Q1420="Falla",Q1421="Satisfactorio"),1,0)</f>
        <v>0</v>
      </c>
      <c r="S1421" s="14">
        <f t="shared" ref="S1421:S1443" si="329">IF(AND(Q1421="Falla",Q1420&lt;&gt;"Falla"),1,0)</f>
        <v>0</v>
      </c>
    </row>
    <row r="1422" spans="1:19">
      <c r="A1422" s="14" t="str">
        <f t="shared" si="326"/>
        <v>SRY-4-3</v>
      </c>
      <c r="B1422" s="15">
        <f>'Curvas SRY'!$B$11</f>
        <v>5</v>
      </c>
      <c r="C1422" s="15">
        <f>'Curvas SRY'!$E$10</f>
        <v>1.25</v>
      </c>
      <c r="D1422" s="14" t="str">
        <f>'Curvas SRY'!$B$14</f>
        <v>Uso variable</v>
      </c>
      <c r="E1422" s="14">
        <f>99</f>
        <v>99</v>
      </c>
      <c r="F1422" s="21">
        <f>'Hoja 4 - Cálculo'!A123</f>
        <v>32568</v>
      </c>
      <c r="G1422" s="15">
        <f>'Hoja 4 - Cálculo'!H123</f>
        <v>19.717874999999999</v>
      </c>
      <c r="H1422" s="15">
        <f>IF(D1422="Uso único",'Hoja 4 - Cálculo'!I123,IF(D1422="Uso múltiple",AVERAGE('Hoja 4 - Cálculo'!$I$25:$I$384)+AVERAGE('Hoja 4 - Cálculo'!$J$25:$J$384)+AVERAGE('Hoja 4 - Cálculo'!$K$25:$K$384),IF(D1422="Uso prioritario",'Hoja 4 - Cálculo'!I123+'Hoja 4 - Cálculo'!K123,'Hoja 4 - Cálculo'!I123+'Hoja 4 - Cálculo'!J123+'Hoja 4 - Cálculo'!K123)))</f>
        <v>16</v>
      </c>
      <c r="I1422" s="15">
        <f t="shared" si="320"/>
        <v>20</v>
      </c>
      <c r="J1422" s="15">
        <f t="shared" si="327"/>
        <v>0</v>
      </c>
      <c r="K1422" s="15">
        <f>MIN(J1422+G1422,(J1422+G1422)*'Hoja 4 - Cálculo'!$B$15)</f>
        <v>0.39435749999999997</v>
      </c>
      <c r="L1422" s="15">
        <f t="shared" si="321"/>
        <v>19.323517499999998</v>
      </c>
      <c r="M1422" s="15">
        <f t="shared" si="322"/>
        <v>19.323517499999998</v>
      </c>
      <c r="N1422" s="15">
        <f t="shared" si="323"/>
        <v>0</v>
      </c>
      <c r="O1422" s="15">
        <f t="shared" si="324"/>
        <v>0</v>
      </c>
      <c r="P1422" s="15">
        <f t="shared" si="325"/>
        <v>0.67648250000000232</v>
      </c>
      <c r="Q1422" s="14" t="str">
        <f>IF(M1422&gt;=I1422*'Hoja 4 - Cálculo'!$B$16,"Satisfactorio","Falla")</f>
        <v>Falla</v>
      </c>
      <c r="R1422" s="14">
        <f t="shared" si="328"/>
        <v>0</v>
      </c>
      <c r="S1422" s="14">
        <f t="shared" si="329"/>
        <v>0</v>
      </c>
    </row>
    <row r="1423" spans="1:19">
      <c r="A1423" s="14" t="str">
        <f t="shared" si="326"/>
        <v>SRY-4-3</v>
      </c>
      <c r="B1423" s="15">
        <f>'Curvas SRY'!$B$11</f>
        <v>5</v>
      </c>
      <c r="C1423" s="15">
        <f>'Curvas SRY'!$E$10</f>
        <v>1.25</v>
      </c>
      <c r="D1423" s="14" t="str">
        <f>'Curvas SRY'!$B$14</f>
        <v>Uso variable</v>
      </c>
      <c r="E1423" s="14">
        <f>100</f>
        <v>100</v>
      </c>
      <c r="F1423" s="21">
        <f>'Hoja 4 - Cálculo'!A124</f>
        <v>32599</v>
      </c>
      <c r="G1423" s="15">
        <f>'Hoja 4 - Cálculo'!H124</f>
        <v>26.029125000000001</v>
      </c>
      <c r="H1423" s="15">
        <f>IF(D1423="Uso único",'Hoja 4 - Cálculo'!I124,IF(D1423="Uso múltiple",AVERAGE('Hoja 4 - Cálculo'!$I$25:$I$384)+AVERAGE('Hoja 4 - Cálculo'!$J$25:$J$384)+AVERAGE('Hoja 4 - Cálculo'!$K$25:$K$384),IF(D1423="Uso prioritario",'Hoja 4 - Cálculo'!I124+'Hoja 4 - Cálculo'!K124,'Hoja 4 - Cálculo'!I124+'Hoja 4 - Cálculo'!J124+'Hoja 4 - Cálculo'!K124)))</f>
        <v>11.5</v>
      </c>
      <c r="I1423" s="15">
        <f t="shared" si="320"/>
        <v>14.375</v>
      </c>
      <c r="J1423" s="15">
        <f t="shared" si="327"/>
        <v>0</v>
      </c>
      <c r="K1423" s="15">
        <f>MIN(J1423+G1423,(J1423+G1423)*'Hoja 4 - Cálculo'!$B$15)</f>
        <v>0.52058250000000006</v>
      </c>
      <c r="L1423" s="15">
        <f t="shared" si="321"/>
        <v>25.508542500000001</v>
      </c>
      <c r="M1423" s="15">
        <f t="shared" si="322"/>
        <v>14.375</v>
      </c>
      <c r="N1423" s="15">
        <f t="shared" si="323"/>
        <v>5</v>
      </c>
      <c r="O1423" s="15">
        <f t="shared" si="324"/>
        <v>6.1335425000000008</v>
      </c>
      <c r="P1423" s="15">
        <f t="shared" si="325"/>
        <v>0</v>
      </c>
      <c r="Q1423" s="14" t="str">
        <f>IF(M1423&gt;=I1423*'Hoja 4 - Cálculo'!$B$16,"Satisfactorio","Falla")</f>
        <v>Satisfactorio</v>
      </c>
      <c r="R1423" s="14">
        <f t="shared" si="328"/>
        <v>1</v>
      </c>
      <c r="S1423" s="14">
        <f t="shared" si="329"/>
        <v>0</v>
      </c>
    </row>
    <row r="1424" spans="1:19">
      <c r="A1424" s="14" t="str">
        <f t="shared" si="326"/>
        <v>SRY-4-3</v>
      </c>
      <c r="B1424" s="15">
        <f>'Curvas SRY'!$B$11</f>
        <v>5</v>
      </c>
      <c r="C1424" s="15">
        <f>'Curvas SRY'!$E$10</f>
        <v>1.25</v>
      </c>
      <c r="D1424" s="14" t="str">
        <f>'Curvas SRY'!$B$14</f>
        <v>Uso variable</v>
      </c>
      <c r="E1424" s="14">
        <f>101</f>
        <v>101</v>
      </c>
      <c r="F1424" s="21">
        <f>'Hoja 4 - Cálculo'!A125</f>
        <v>32629</v>
      </c>
      <c r="G1424" s="15">
        <f>'Hoja 4 - Cálculo'!H125</f>
        <v>24.728625000000005</v>
      </c>
      <c r="H1424" s="15">
        <f>IF(D1424="Uso único",'Hoja 4 - Cálculo'!I125,IF(D1424="Uso múltiple",AVERAGE('Hoja 4 - Cálculo'!$I$25:$I$384)+AVERAGE('Hoja 4 - Cálculo'!$J$25:$J$384)+AVERAGE('Hoja 4 - Cálculo'!$K$25:$K$384),IF(D1424="Uso prioritario",'Hoja 4 - Cálculo'!I125+'Hoja 4 - Cálculo'!K125,'Hoja 4 - Cálculo'!I125+'Hoja 4 - Cálculo'!J125+'Hoja 4 - Cálculo'!K125)))</f>
        <v>11.5</v>
      </c>
      <c r="I1424" s="15">
        <f t="shared" si="320"/>
        <v>14.375</v>
      </c>
      <c r="J1424" s="15">
        <f t="shared" si="327"/>
        <v>5</v>
      </c>
      <c r="K1424" s="15">
        <f>MIN(J1424+G1424,(J1424+G1424)*'Hoja 4 - Cálculo'!$B$15)</f>
        <v>0.59457250000000006</v>
      </c>
      <c r="L1424" s="15">
        <f t="shared" si="321"/>
        <v>29.134052500000003</v>
      </c>
      <c r="M1424" s="15">
        <f t="shared" si="322"/>
        <v>14.375</v>
      </c>
      <c r="N1424" s="15">
        <f t="shared" si="323"/>
        <v>5</v>
      </c>
      <c r="O1424" s="15">
        <f t="shared" si="324"/>
        <v>9.7590525000000028</v>
      </c>
      <c r="P1424" s="15">
        <f t="shared" si="325"/>
        <v>0</v>
      </c>
      <c r="Q1424" s="14" t="str">
        <f>IF(M1424&gt;=I1424*'Hoja 4 - Cálculo'!$B$16,"Satisfactorio","Falla")</f>
        <v>Satisfactorio</v>
      </c>
      <c r="R1424" s="14">
        <f t="shared" si="328"/>
        <v>0</v>
      </c>
      <c r="S1424" s="14">
        <f t="shared" si="329"/>
        <v>0</v>
      </c>
    </row>
    <row r="1425" spans="1:19">
      <c r="A1425" s="14" t="str">
        <f t="shared" si="326"/>
        <v>SRY-4-3</v>
      </c>
      <c r="B1425" s="15">
        <f>'Curvas SRY'!$B$11</f>
        <v>5</v>
      </c>
      <c r="C1425" s="15">
        <f>'Curvas SRY'!$E$10</f>
        <v>1.25</v>
      </c>
      <c r="D1425" s="14" t="str">
        <f>'Curvas SRY'!$B$14</f>
        <v>Uso variable</v>
      </c>
      <c r="E1425" s="14">
        <f>102</f>
        <v>102</v>
      </c>
      <c r="F1425" s="21">
        <f>'Hoja 4 - Cálculo'!A126</f>
        <v>32660</v>
      </c>
      <c r="G1425" s="15">
        <f>'Hoja 4 - Cálculo'!H126</f>
        <v>14.515874999999999</v>
      </c>
      <c r="H1425" s="15">
        <f>IF(D1425="Uso único",'Hoja 4 - Cálculo'!I126,IF(D1425="Uso múltiple",AVERAGE('Hoja 4 - Cálculo'!$I$25:$I$384)+AVERAGE('Hoja 4 - Cálculo'!$J$25:$J$384)+AVERAGE('Hoja 4 - Cálculo'!$K$25:$K$384),IF(D1425="Uso prioritario",'Hoja 4 - Cálculo'!I126+'Hoja 4 - Cálculo'!K126,'Hoja 4 - Cálculo'!I126+'Hoja 4 - Cálculo'!J126+'Hoja 4 - Cálculo'!K126)))</f>
        <v>11.5</v>
      </c>
      <c r="I1425" s="15">
        <f t="shared" si="320"/>
        <v>14.375</v>
      </c>
      <c r="J1425" s="15">
        <f t="shared" si="327"/>
        <v>5</v>
      </c>
      <c r="K1425" s="15">
        <f>MIN(J1425+G1425,(J1425+G1425)*'Hoja 4 - Cálculo'!$B$15)</f>
        <v>0.39031750000000004</v>
      </c>
      <c r="L1425" s="15">
        <f t="shared" si="321"/>
        <v>19.125557500000003</v>
      </c>
      <c r="M1425" s="15">
        <f t="shared" si="322"/>
        <v>14.375</v>
      </c>
      <c r="N1425" s="15">
        <f t="shared" si="323"/>
        <v>4.7505575000000029</v>
      </c>
      <c r="O1425" s="15">
        <f t="shared" si="324"/>
        <v>0</v>
      </c>
      <c r="P1425" s="15">
        <f t="shared" si="325"/>
        <v>0</v>
      </c>
      <c r="Q1425" s="14" t="str">
        <f>IF(M1425&gt;=I1425*'Hoja 4 - Cálculo'!$B$16,"Satisfactorio","Falla")</f>
        <v>Satisfactorio</v>
      </c>
      <c r="R1425" s="14">
        <f t="shared" si="328"/>
        <v>0</v>
      </c>
      <c r="S1425" s="14">
        <f t="shared" si="329"/>
        <v>0</v>
      </c>
    </row>
    <row r="1426" spans="1:19">
      <c r="A1426" s="14" t="str">
        <f t="shared" si="326"/>
        <v>SRY-4-3</v>
      </c>
      <c r="B1426" s="15">
        <f>'Curvas SRY'!$B$11</f>
        <v>5</v>
      </c>
      <c r="C1426" s="15">
        <f>'Curvas SRY'!$E$10</f>
        <v>1.25</v>
      </c>
      <c r="D1426" s="14" t="str">
        <f>'Curvas SRY'!$B$14</f>
        <v>Uso variable</v>
      </c>
      <c r="E1426" s="14">
        <f>103</f>
        <v>103</v>
      </c>
      <c r="F1426" s="21">
        <f>'Hoja 4 - Cálculo'!A127</f>
        <v>32690</v>
      </c>
      <c r="G1426" s="15">
        <f>'Hoja 4 - Cálculo'!H127</f>
        <v>12.144375</v>
      </c>
      <c r="H1426" s="15">
        <f>IF(D1426="Uso único",'Hoja 4 - Cálculo'!I127,IF(D1426="Uso múltiple",AVERAGE('Hoja 4 - Cálculo'!$I$25:$I$384)+AVERAGE('Hoja 4 - Cálculo'!$J$25:$J$384)+AVERAGE('Hoja 4 - Cálculo'!$K$25:$K$384),IF(D1426="Uso prioritario",'Hoja 4 - Cálculo'!I127+'Hoja 4 - Cálculo'!K127,'Hoja 4 - Cálculo'!I127+'Hoja 4 - Cálculo'!J127+'Hoja 4 - Cálculo'!K127)))</f>
        <v>16</v>
      </c>
      <c r="I1426" s="15">
        <f t="shared" si="320"/>
        <v>20</v>
      </c>
      <c r="J1426" s="15">
        <f t="shared" si="327"/>
        <v>4.7505575000000029</v>
      </c>
      <c r="K1426" s="15">
        <f>MIN(J1426+G1426,(J1426+G1426)*'Hoja 4 - Cálculo'!$B$15)</f>
        <v>0.33789865000000008</v>
      </c>
      <c r="L1426" s="15">
        <f t="shared" si="321"/>
        <v>16.557033850000003</v>
      </c>
      <c r="M1426" s="15">
        <f t="shared" si="322"/>
        <v>16.557033850000003</v>
      </c>
      <c r="N1426" s="15">
        <f t="shared" si="323"/>
        <v>0</v>
      </c>
      <c r="O1426" s="15">
        <f t="shared" si="324"/>
        <v>0</v>
      </c>
      <c r="P1426" s="15">
        <f t="shared" si="325"/>
        <v>3.4429661499999966</v>
      </c>
      <c r="Q1426" s="14" t="str">
        <f>IF(M1426&gt;=I1426*'Hoja 4 - Cálculo'!$B$16,"Satisfactorio","Falla")</f>
        <v>Falla</v>
      </c>
      <c r="R1426" s="14">
        <f t="shared" si="328"/>
        <v>0</v>
      </c>
      <c r="S1426" s="14">
        <f t="shared" si="329"/>
        <v>1</v>
      </c>
    </row>
    <row r="1427" spans="1:19">
      <c r="A1427" s="14" t="str">
        <f t="shared" si="326"/>
        <v>SRY-4-3</v>
      </c>
      <c r="B1427" s="15">
        <f>'Curvas SRY'!$B$11</f>
        <v>5</v>
      </c>
      <c r="C1427" s="15">
        <f>'Curvas SRY'!$E$10</f>
        <v>1.25</v>
      </c>
      <c r="D1427" s="14" t="str">
        <f>'Curvas SRY'!$B$14</f>
        <v>Uso variable</v>
      </c>
      <c r="E1427" s="14">
        <f>104</f>
        <v>104</v>
      </c>
      <c r="F1427" s="21">
        <f>'Hoja 4 - Cálculo'!A128</f>
        <v>32721</v>
      </c>
      <c r="G1427" s="15">
        <f>'Hoja 4 - Cálculo'!H128</f>
        <v>13.04325</v>
      </c>
      <c r="H1427" s="15">
        <f>IF(D1427="Uso único",'Hoja 4 - Cálculo'!I128,IF(D1427="Uso múltiple",AVERAGE('Hoja 4 - Cálculo'!$I$25:$I$384)+AVERAGE('Hoja 4 - Cálculo'!$J$25:$J$384)+AVERAGE('Hoja 4 - Cálculo'!$K$25:$K$384),IF(D1427="Uso prioritario",'Hoja 4 - Cálculo'!I128+'Hoja 4 - Cálculo'!K128,'Hoja 4 - Cálculo'!I128+'Hoja 4 - Cálculo'!J128+'Hoja 4 - Cálculo'!K128)))</f>
        <v>16</v>
      </c>
      <c r="I1427" s="15">
        <f t="shared" si="320"/>
        <v>20</v>
      </c>
      <c r="J1427" s="15">
        <f t="shared" si="327"/>
        <v>0</v>
      </c>
      <c r="K1427" s="15">
        <f>MIN(J1427+G1427,(J1427+G1427)*'Hoja 4 - Cálculo'!$B$15)</f>
        <v>0.26086500000000001</v>
      </c>
      <c r="L1427" s="15">
        <f t="shared" si="321"/>
        <v>12.782385</v>
      </c>
      <c r="M1427" s="15">
        <f t="shared" si="322"/>
        <v>12.782385</v>
      </c>
      <c r="N1427" s="15">
        <f t="shared" si="323"/>
        <v>0</v>
      </c>
      <c r="O1427" s="15">
        <f t="shared" si="324"/>
        <v>0</v>
      </c>
      <c r="P1427" s="15">
        <f t="shared" si="325"/>
        <v>7.2176150000000003</v>
      </c>
      <c r="Q1427" s="14" t="str">
        <f>IF(M1427&gt;=I1427*'Hoja 4 - Cálculo'!$B$16,"Satisfactorio","Falla")</f>
        <v>Falla</v>
      </c>
      <c r="R1427" s="14">
        <f t="shared" si="328"/>
        <v>0</v>
      </c>
      <c r="S1427" s="14">
        <f t="shared" si="329"/>
        <v>0</v>
      </c>
    </row>
    <row r="1428" spans="1:19">
      <c r="A1428" s="14" t="str">
        <f t="shared" si="326"/>
        <v>SRY-4-3</v>
      </c>
      <c r="B1428" s="15">
        <f>'Curvas SRY'!$B$11</f>
        <v>5</v>
      </c>
      <c r="C1428" s="15">
        <f>'Curvas SRY'!$E$10</f>
        <v>1.25</v>
      </c>
      <c r="D1428" s="14" t="str">
        <f>'Curvas SRY'!$B$14</f>
        <v>Uso variable</v>
      </c>
      <c r="E1428" s="14">
        <f>105</f>
        <v>105</v>
      </c>
      <c r="F1428" s="21">
        <f>'Hoja 4 - Cálculo'!A129</f>
        <v>32752</v>
      </c>
      <c r="G1428" s="15">
        <f>'Hoja 4 - Cálculo'!H129</f>
        <v>20.444624999999998</v>
      </c>
      <c r="H1428" s="15">
        <f>IF(D1428="Uso único",'Hoja 4 - Cálculo'!I129,IF(D1428="Uso múltiple",AVERAGE('Hoja 4 - Cálculo'!$I$25:$I$384)+AVERAGE('Hoja 4 - Cálculo'!$J$25:$J$384)+AVERAGE('Hoja 4 - Cálculo'!$K$25:$K$384),IF(D1428="Uso prioritario",'Hoja 4 - Cálculo'!I129+'Hoja 4 - Cálculo'!K129,'Hoja 4 - Cálculo'!I129+'Hoja 4 - Cálculo'!J129+'Hoja 4 - Cálculo'!K129)))</f>
        <v>11.5</v>
      </c>
      <c r="I1428" s="15">
        <f t="shared" si="320"/>
        <v>14.375</v>
      </c>
      <c r="J1428" s="15">
        <f t="shared" si="327"/>
        <v>0</v>
      </c>
      <c r="K1428" s="15">
        <f>MIN(J1428+G1428,(J1428+G1428)*'Hoja 4 - Cálculo'!$B$15)</f>
        <v>0.40889249999999999</v>
      </c>
      <c r="L1428" s="15">
        <f t="shared" si="321"/>
        <v>20.035732499999998</v>
      </c>
      <c r="M1428" s="15">
        <f t="shared" si="322"/>
        <v>14.375</v>
      </c>
      <c r="N1428" s="15">
        <f t="shared" si="323"/>
        <v>5</v>
      </c>
      <c r="O1428" s="15">
        <f t="shared" si="324"/>
        <v>0.66073249999999817</v>
      </c>
      <c r="P1428" s="15">
        <f t="shared" si="325"/>
        <v>0</v>
      </c>
      <c r="Q1428" s="14" t="str">
        <f>IF(M1428&gt;=I1428*'Hoja 4 - Cálculo'!$B$16,"Satisfactorio","Falla")</f>
        <v>Satisfactorio</v>
      </c>
      <c r="R1428" s="14">
        <f t="shared" si="328"/>
        <v>1</v>
      </c>
      <c r="S1428" s="14">
        <f t="shared" si="329"/>
        <v>0</v>
      </c>
    </row>
    <row r="1429" spans="1:19">
      <c r="A1429" s="14" t="str">
        <f t="shared" si="326"/>
        <v>SRY-4-3</v>
      </c>
      <c r="B1429" s="15">
        <f>'Curvas SRY'!$B$11</f>
        <v>5</v>
      </c>
      <c r="C1429" s="15">
        <f>'Curvas SRY'!$E$10</f>
        <v>1.25</v>
      </c>
      <c r="D1429" s="14" t="str">
        <f>'Curvas SRY'!$B$14</f>
        <v>Uso variable</v>
      </c>
      <c r="E1429" s="14">
        <f>106</f>
        <v>106</v>
      </c>
      <c r="F1429" s="21">
        <f>'Hoja 4 - Cálculo'!A130</f>
        <v>32782</v>
      </c>
      <c r="G1429" s="15">
        <f>'Hoja 4 - Cálculo'!H130</f>
        <v>28.343250000000001</v>
      </c>
      <c r="H1429" s="15">
        <f>IF(D1429="Uso único",'Hoja 4 - Cálculo'!I130,IF(D1429="Uso múltiple",AVERAGE('Hoja 4 - Cálculo'!$I$25:$I$384)+AVERAGE('Hoja 4 - Cálculo'!$J$25:$J$384)+AVERAGE('Hoja 4 - Cálculo'!$K$25:$K$384),IF(D1429="Uso prioritario",'Hoja 4 - Cálculo'!I130+'Hoja 4 - Cálculo'!K130,'Hoja 4 - Cálculo'!I130+'Hoja 4 - Cálculo'!J130+'Hoja 4 - Cálculo'!K130)))</f>
        <v>11.5</v>
      </c>
      <c r="I1429" s="15">
        <f t="shared" si="320"/>
        <v>14.375</v>
      </c>
      <c r="J1429" s="15">
        <f t="shared" si="327"/>
        <v>5</v>
      </c>
      <c r="K1429" s="15">
        <f>MIN(J1429+G1429,(J1429+G1429)*'Hoja 4 - Cálculo'!$B$15)</f>
        <v>0.66686499999999993</v>
      </c>
      <c r="L1429" s="15">
        <f t="shared" si="321"/>
        <v>32.676384999999996</v>
      </c>
      <c r="M1429" s="15">
        <f t="shared" si="322"/>
        <v>14.375</v>
      </c>
      <c r="N1429" s="15">
        <f t="shared" si="323"/>
        <v>5</v>
      </c>
      <c r="O1429" s="15">
        <f t="shared" si="324"/>
        <v>13.301384999999996</v>
      </c>
      <c r="P1429" s="15">
        <f t="shared" si="325"/>
        <v>0</v>
      </c>
      <c r="Q1429" s="14" t="str">
        <f>IF(M1429&gt;=I1429*'Hoja 4 - Cálculo'!$B$16,"Satisfactorio","Falla")</f>
        <v>Satisfactorio</v>
      </c>
      <c r="R1429" s="14">
        <f t="shared" si="328"/>
        <v>0</v>
      </c>
      <c r="S1429" s="14">
        <f t="shared" si="329"/>
        <v>0</v>
      </c>
    </row>
    <row r="1430" spans="1:19">
      <c r="A1430" s="14" t="str">
        <f t="shared" si="326"/>
        <v>SRY-4-3</v>
      </c>
      <c r="B1430" s="15">
        <f>'Curvas SRY'!$B$11</f>
        <v>5</v>
      </c>
      <c r="C1430" s="15">
        <f>'Curvas SRY'!$E$10</f>
        <v>1.25</v>
      </c>
      <c r="D1430" s="14" t="str">
        <f>'Curvas SRY'!$B$14</f>
        <v>Uso variable</v>
      </c>
      <c r="E1430" s="14">
        <f>107</f>
        <v>107</v>
      </c>
      <c r="F1430" s="21">
        <f>'Hoja 4 - Cálculo'!A131</f>
        <v>32813</v>
      </c>
      <c r="G1430" s="15">
        <f>'Hoja 4 - Cálculo'!H131</f>
        <v>22.60575</v>
      </c>
      <c r="H1430" s="15">
        <f>IF(D1430="Uso único",'Hoja 4 - Cálculo'!I131,IF(D1430="Uso múltiple",AVERAGE('Hoja 4 - Cálculo'!$I$25:$I$384)+AVERAGE('Hoja 4 - Cálculo'!$J$25:$J$384)+AVERAGE('Hoja 4 - Cálculo'!$K$25:$K$384),IF(D1430="Uso prioritario",'Hoja 4 - Cálculo'!I131+'Hoja 4 - Cálculo'!K131,'Hoja 4 - Cálculo'!I131+'Hoja 4 - Cálculo'!J131+'Hoja 4 - Cálculo'!K131)))</f>
        <v>11.5</v>
      </c>
      <c r="I1430" s="15">
        <f t="shared" si="320"/>
        <v>14.375</v>
      </c>
      <c r="J1430" s="15">
        <f t="shared" si="327"/>
        <v>5</v>
      </c>
      <c r="K1430" s="15">
        <f>MIN(J1430+G1430,(J1430+G1430)*'Hoja 4 - Cálculo'!$B$15)</f>
        <v>0.55211500000000002</v>
      </c>
      <c r="L1430" s="15">
        <f t="shared" si="321"/>
        <v>27.053635</v>
      </c>
      <c r="M1430" s="15">
        <f t="shared" si="322"/>
        <v>14.375</v>
      </c>
      <c r="N1430" s="15">
        <f t="shared" si="323"/>
        <v>5</v>
      </c>
      <c r="O1430" s="15">
        <f t="shared" si="324"/>
        <v>7.6786349999999999</v>
      </c>
      <c r="P1430" s="15">
        <f t="shared" si="325"/>
        <v>0</v>
      </c>
      <c r="Q1430" s="14" t="str">
        <f>IF(M1430&gt;=I1430*'Hoja 4 - Cálculo'!$B$16,"Satisfactorio","Falla")</f>
        <v>Satisfactorio</v>
      </c>
      <c r="R1430" s="14">
        <f t="shared" si="328"/>
        <v>0</v>
      </c>
      <c r="S1430" s="14">
        <f t="shared" si="329"/>
        <v>0</v>
      </c>
    </row>
    <row r="1431" spans="1:19">
      <c r="A1431" s="14" t="str">
        <f t="shared" si="326"/>
        <v>SRY-4-3</v>
      </c>
      <c r="B1431" s="15">
        <f>'Curvas SRY'!$B$11</f>
        <v>5</v>
      </c>
      <c r="C1431" s="15">
        <f>'Curvas SRY'!$E$10</f>
        <v>1.25</v>
      </c>
      <c r="D1431" s="14" t="str">
        <f>'Curvas SRY'!$B$14</f>
        <v>Uso variable</v>
      </c>
      <c r="E1431" s="14">
        <f>108</f>
        <v>108</v>
      </c>
      <c r="F1431" s="21">
        <f>'Hoja 4 - Cálculo'!A132</f>
        <v>32843</v>
      </c>
      <c r="G1431" s="15">
        <f>'Hoja 4 - Cálculo'!H132</f>
        <v>14.362875000000001</v>
      </c>
      <c r="H1431" s="15">
        <f>IF(D1431="Uso único",'Hoja 4 - Cálculo'!I132,IF(D1431="Uso múltiple",AVERAGE('Hoja 4 - Cálculo'!$I$25:$I$384)+AVERAGE('Hoja 4 - Cálculo'!$J$25:$J$384)+AVERAGE('Hoja 4 - Cálculo'!$K$25:$K$384),IF(D1431="Uso prioritario",'Hoja 4 - Cálculo'!I132+'Hoja 4 - Cálculo'!K132,'Hoja 4 - Cálculo'!I132+'Hoja 4 - Cálculo'!J132+'Hoja 4 - Cálculo'!K132)))</f>
        <v>16</v>
      </c>
      <c r="I1431" s="15">
        <f t="shared" si="320"/>
        <v>20</v>
      </c>
      <c r="J1431" s="15">
        <f t="shared" si="327"/>
        <v>5</v>
      </c>
      <c r="K1431" s="15">
        <f>MIN(J1431+G1431,(J1431+G1431)*'Hoja 4 - Cálculo'!$B$15)</f>
        <v>0.38725750000000003</v>
      </c>
      <c r="L1431" s="15">
        <f t="shared" si="321"/>
        <v>18.975617500000002</v>
      </c>
      <c r="M1431" s="15">
        <f t="shared" si="322"/>
        <v>18.975617500000002</v>
      </c>
      <c r="N1431" s="15">
        <f t="shared" si="323"/>
        <v>0</v>
      </c>
      <c r="O1431" s="15">
        <f t="shared" si="324"/>
        <v>0</v>
      </c>
      <c r="P1431" s="15">
        <f t="shared" si="325"/>
        <v>1.024382499999998</v>
      </c>
      <c r="Q1431" s="14" t="str">
        <f>IF(M1431&gt;=I1431*'Hoja 4 - Cálculo'!$B$16,"Satisfactorio","Falla")</f>
        <v>Falla</v>
      </c>
      <c r="R1431" s="14">
        <f t="shared" si="328"/>
        <v>0</v>
      </c>
      <c r="S1431" s="14">
        <f t="shared" si="329"/>
        <v>1</v>
      </c>
    </row>
    <row r="1432" spans="1:19">
      <c r="A1432" s="14" t="str">
        <f t="shared" si="326"/>
        <v>SRY-4-3</v>
      </c>
      <c r="B1432" s="15">
        <f>'Curvas SRY'!$B$11</f>
        <v>5</v>
      </c>
      <c r="C1432" s="15">
        <f>'Curvas SRY'!$E$10</f>
        <v>1.25</v>
      </c>
      <c r="D1432" s="14" t="str">
        <f>'Curvas SRY'!$B$14</f>
        <v>Uso variable</v>
      </c>
      <c r="E1432" s="14">
        <f>109</f>
        <v>109</v>
      </c>
      <c r="F1432" s="21">
        <f>'Hoja 4 - Cálculo'!A133</f>
        <v>32874</v>
      </c>
      <c r="G1432" s="15">
        <f>'Hoja 4 - Cálculo'!H133</f>
        <v>11.723625</v>
      </c>
      <c r="H1432" s="15">
        <f>IF(D1432="Uso único",'Hoja 4 - Cálculo'!I133,IF(D1432="Uso múltiple",AVERAGE('Hoja 4 - Cálculo'!$I$25:$I$384)+AVERAGE('Hoja 4 - Cálculo'!$J$25:$J$384)+AVERAGE('Hoja 4 - Cálculo'!$K$25:$K$384),IF(D1432="Uso prioritario",'Hoja 4 - Cálculo'!I133+'Hoja 4 - Cálculo'!K133,'Hoja 4 - Cálculo'!I133+'Hoja 4 - Cálculo'!J133+'Hoja 4 - Cálculo'!K133)))</f>
        <v>16</v>
      </c>
      <c r="I1432" s="15">
        <f t="shared" si="320"/>
        <v>20</v>
      </c>
      <c r="J1432" s="15">
        <f t="shared" si="327"/>
        <v>0</v>
      </c>
      <c r="K1432" s="15">
        <f>MIN(J1432+G1432,(J1432+G1432)*'Hoja 4 - Cálculo'!$B$15)</f>
        <v>0.2344725</v>
      </c>
      <c r="L1432" s="15">
        <f t="shared" si="321"/>
        <v>11.489152499999999</v>
      </c>
      <c r="M1432" s="15">
        <f t="shared" si="322"/>
        <v>11.489152499999999</v>
      </c>
      <c r="N1432" s="15">
        <f t="shared" si="323"/>
        <v>0</v>
      </c>
      <c r="O1432" s="15">
        <f t="shared" si="324"/>
        <v>0</v>
      </c>
      <c r="P1432" s="15">
        <f t="shared" si="325"/>
        <v>8.5108475000000006</v>
      </c>
      <c r="Q1432" s="14" t="str">
        <f>IF(M1432&gt;=I1432*'Hoja 4 - Cálculo'!$B$16,"Satisfactorio","Falla")</f>
        <v>Falla</v>
      </c>
      <c r="R1432" s="14">
        <f t="shared" si="328"/>
        <v>0</v>
      </c>
      <c r="S1432" s="14">
        <f t="shared" si="329"/>
        <v>0</v>
      </c>
    </row>
    <row r="1433" spans="1:19">
      <c r="A1433" s="14" t="str">
        <f t="shared" si="326"/>
        <v>SRY-4-3</v>
      </c>
      <c r="B1433" s="15">
        <f>'Curvas SRY'!$B$11</f>
        <v>5</v>
      </c>
      <c r="C1433" s="15">
        <f>'Curvas SRY'!$E$10</f>
        <v>1.25</v>
      </c>
      <c r="D1433" s="14" t="str">
        <f>'Curvas SRY'!$B$14</f>
        <v>Uso variable</v>
      </c>
      <c r="E1433" s="14">
        <f>110</f>
        <v>110</v>
      </c>
      <c r="F1433" s="21">
        <f>'Hoja 4 - Cálculo'!A134</f>
        <v>32905</v>
      </c>
      <c r="G1433" s="15">
        <f>'Hoja 4 - Cálculo'!H134</f>
        <v>13.311</v>
      </c>
      <c r="H1433" s="15">
        <f>IF(D1433="Uso único",'Hoja 4 - Cálculo'!I134,IF(D1433="Uso múltiple",AVERAGE('Hoja 4 - Cálculo'!$I$25:$I$384)+AVERAGE('Hoja 4 - Cálculo'!$J$25:$J$384)+AVERAGE('Hoja 4 - Cálculo'!$K$25:$K$384),IF(D1433="Uso prioritario",'Hoja 4 - Cálculo'!I134+'Hoja 4 - Cálculo'!K134,'Hoja 4 - Cálculo'!I134+'Hoja 4 - Cálculo'!J134+'Hoja 4 - Cálculo'!K134)))</f>
        <v>16</v>
      </c>
      <c r="I1433" s="15">
        <f t="shared" si="320"/>
        <v>20</v>
      </c>
      <c r="J1433" s="15">
        <f t="shared" si="327"/>
        <v>0</v>
      </c>
      <c r="K1433" s="15">
        <f>MIN(J1433+G1433,(J1433+G1433)*'Hoja 4 - Cálculo'!$B$15)</f>
        <v>0.26622000000000001</v>
      </c>
      <c r="L1433" s="15">
        <f t="shared" si="321"/>
        <v>13.044779999999999</v>
      </c>
      <c r="M1433" s="15">
        <f t="shared" si="322"/>
        <v>13.044779999999999</v>
      </c>
      <c r="N1433" s="15">
        <f t="shared" si="323"/>
        <v>0</v>
      </c>
      <c r="O1433" s="15">
        <f t="shared" si="324"/>
        <v>0</v>
      </c>
      <c r="P1433" s="15">
        <f t="shared" si="325"/>
        <v>6.9552200000000006</v>
      </c>
      <c r="Q1433" s="14" t="str">
        <f>IF(M1433&gt;=I1433*'Hoja 4 - Cálculo'!$B$16,"Satisfactorio","Falla")</f>
        <v>Falla</v>
      </c>
      <c r="R1433" s="14">
        <f t="shared" si="328"/>
        <v>0</v>
      </c>
      <c r="S1433" s="14">
        <f t="shared" si="329"/>
        <v>0</v>
      </c>
    </row>
    <row r="1434" spans="1:19">
      <c r="A1434" s="14" t="str">
        <f t="shared" si="326"/>
        <v>SRY-4-3</v>
      </c>
      <c r="B1434" s="15">
        <f>'Curvas SRY'!$B$11</f>
        <v>5</v>
      </c>
      <c r="C1434" s="15">
        <f>'Curvas SRY'!$E$10</f>
        <v>1.25</v>
      </c>
      <c r="D1434" s="14" t="str">
        <f>'Curvas SRY'!$B$14</f>
        <v>Uso variable</v>
      </c>
      <c r="E1434" s="14">
        <f>111</f>
        <v>111</v>
      </c>
      <c r="F1434" s="21">
        <f>'Hoja 4 - Cálculo'!A135</f>
        <v>32933</v>
      </c>
      <c r="G1434" s="15">
        <f>'Hoja 4 - Cálculo'!H135</f>
        <v>18.838125000000002</v>
      </c>
      <c r="H1434" s="15">
        <f>IF(D1434="Uso único",'Hoja 4 - Cálculo'!I135,IF(D1434="Uso múltiple",AVERAGE('Hoja 4 - Cálculo'!$I$25:$I$384)+AVERAGE('Hoja 4 - Cálculo'!$J$25:$J$384)+AVERAGE('Hoja 4 - Cálculo'!$K$25:$K$384),IF(D1434="Uso prioritario",'Hoja 4 - Cálculo'!I135+'Hoja 4 - Cálculo'!K135,'Hoja 4 - Cálculo'!I135+'Hoja 4 - Cálculo'!J135+'Hoja 4 - Cálculo'!K135)))</f>
        <v>16</v>
      </c>
      <c r="I1434" s="15">
        <f t="shared" si="320"/>
        <v>20</v>
      </c>
      <c r="J1434" s="15">
        <f t="shared" si="327"/>
        <v>0</v>
      </c>
      <c r="K1434" s="15">
        <f>MIN(J1434+G1434,(J1434+G1434)*'Hoja 4 - Cálculo'!$B$15)</f>
        <v>0.37676250000000006</v>
      </c>
      <c r="L1434" s="15">
        <f t="shared" si="321"/>
        <v>18.4613625</v>
      </c>
      <c r="M1434" s="15">
        <f t="shared" si="322"/>
        <v>18.4613625</v>
      </c>
      <c r="N1434" s="15">
        <f t="shared" si="323"/>
        <v>0</v>
      </c>
      <c r="O1434" s="15">
        <f t="shared" si="324"/>
        <v>0</v>
      </c>
      <c r="P1434" s="15">
        <f t="shared" si="325"/>
        <v>1.5386375000000001</v>
      </c>
      <c r="Q1434" s="14" t="str">
        <f>IF(M1434&gt;=I1434*'Hoja 4 - Cálculo'!$B$16,"Satisfactorio","Falla")</f>
        <v>Falla</v>
      </c>
      <c r="R1434" s="14">
        <f t="shared" si="328"/>
        <v>0</v>
      </c>
      <c r="S1434" s="14">
        <f t="shared" si="329"/>
        <v>0</v>
      </c>
    </row>
    <row r="1435" spans="1:19">
      <c r="A1435" s="14" t="str">
        <f t="shared" si="326"/>
        <v>SRY-4-3</v>
      </c>
      <c r="B1435" s="15">
        <f>'Curvas SRY'!$B$11</f>
        <v>5</v>
      </c>
      <c r="C1435" s="15">
        <f>'Curvas SRY'!$E$10</f>
        <v>1.25</v>
      </c>
      <c r="D1435" s="14" t="str">
        <f>'Curvas SRY'!$B$14</f>
        <v>Uso variable</v>
      </c>
      <c r="E1435" s="14">
        <f>112</f>
        <v>112</v>
      </c>
      <c r="F1435" s="21">
        <f>'Hoja 4 - Cálculo'!A136</f>
        <v>32964</v>
      </c>
      <c r="G1435" s="15">
        <f>'Hoja 4 - Cálculo'!H136</f>
        <v>28.611000000000001</v>
      </c>
      <c r="H1435" s="15">
        <f>IF(D1435="Uso único",'Hoja 4 - Cálculo'!I136,IF(D1435="Uso múltiple",AVERAGE('Hoja 4 - Cálculo'!$I$25:$I$384)+AVERAGE('Hoja 4 - Cálculo'!$J$25:$J$384)+AVERAGE('Hoja 4 - Cálculo'!$K$25:$K$384),IF(D1435="Uso prioritario",'Hoja 4 - Cálculo'!I136+'Hoja 4 - Cálculo'!K136,'Hoja 4 - Cálculo'!I136+'Hoja 4 - Cálculo'!J136+'Hoja 4 - Cálculo'!K136)))</f>
        <v>11.5</v>
      </c>
      <c r="I1435" s="15">
        <f t="shared" si="320"/>
        <v>14.375</v>
      </c>
      <c r="J1435" s="15">
        <f t="shared" si="327"/>
        <v>0</v>
      </c>
      <c r="K1435" s="15">
        <f>MIN(J1435+G1435,(J1435+G1435)*'Hoja 4 - Cálculo'!$B$15)</f>
        <v>0.57222000000000006</v>
      </c>
      <c r="L1435" s="15">
        <f t="shared" si="321"/>
        <v>28.038779999999999</v>
      </c>
      <c r="M1435" s="15">
        <f t="shared" si="322"/>
        <v>14.375</v>
      </c>
      <c r="N1435" s="15">
        <f t="shared" si="323"/>
        <v>5</v>
      </c>
      <c r="O1435" s="15">
        <f t="shared" si="324"/>
        <v>8.6637799999999991</v>
      </c>
      <c r="P1435" s="15">
        <f t="shared" si="325"/>
        <v>0</v>
      </c>
      <c r="Q1435" s="14" t="str">
        <f>IF(M1435&gt;=I1435*'Hoja 4 - Cálculo'!$B$16,"Satisfactorio","Falla")</f>
        <v>Satisfactorio</v>
      </c>
      <c r="R1435" s="14">
        <f t="shared" si="328"/>
        <v>1</v>
      </c>
      <c r="S1435" s="14">
        <f t="shared" si="329"/>
        <v>0</v>
      </c>
    </row>
    <row r="1436" spans="1:19">
      <c r="A1436" s="14" t="str">
        <f t="shared" si="326"/>
        <v>SRY-4-3</v>
      </c>
      <c r="B1436" s="15">
        <f>'Curvas SRY'!$B$11</f>
        <v>5</v>
      </c>
      <c r="C1436" s="15">
        <f>'Curvas SRY'!$E$10</f>
        <v>1.25</v>
      </c>
      <c r="D1436" s="14" t="str">
        <f>'Curvas SRY'!$B$14</f>
        <v>Uso variable</v>
      </c>
      <c r="E1436" s="14">
        <f>113</f>
        <v>113</v>
      </c>
      <c r="F1436" s="21">
        <f>'Hoja 4 - Cálculo'!A137</f>
        <v>32994</v>
      </c>
      <c r="G1436" s="15">
        <f>'Hoja 4 - Cálculo'!H137</f>
        <v>23.52375</v>
      </c>
      <c r="H1436" s="15">
        <f>IF(D1436="Uso único",'Hoja 4 - Cálculo'!I137,IF(D1436="Uso múltiple",AVERAGE('Hoja 4 - Cálculo'!$I$25:$I$384)+AVERAGE('Hoja 4 - Cálculo'!$J$25:$J$384)+AVERAGE('Hoja 4 - Cálculo'!$K$25:$K$384),IF(D1436="Uso prioritario",'Hoja 4 - Cálculo'!I137+'Hoja 4 - Cálculo'!K137,'Hoja 4 - Cálculo'!I137+'Hoja 4 - Cálculo'!J137+'Hoja 4 - Cálculo'!K137)))</f>
        <v>11.5</v>
      </c>
      <c r="I1436" s="15">
        <f t="shared" si="320"/>
        <v>14.375</v>
      </c>
      <c r="J1436" s="15">
        <f t="shared" si="327"/>
        <v>5</v>
      </c>
      <c r="K1436" s="15">
        <f>MIN(J1436+G1436,(J1436+G1436)*'Hoja 4 - Cálculo'!$B$15)</f>
        <v>0.57047499999999995</v>
      </c>
      <c r="L1436" s="15">
        <f t="shared" si="321"/>
        <v>27.953275000000001</v>
      </c>
      <c r="M1436" s="15">
        <f t="shared" si="322"/>
        <v>14.375</v>
      </c>
      <c r="N1436" s="15">
        <f t="shared" si="323"/>
        <v>5</v>
      </c>
      <c r="O1436" s="15">
        <f t="shared" si="324"/>
        <v>8.5782750000000014</v>
      </c>
      <c r="P1436" s="15">
        <f t="shared" si="325"/>
        <v>0</v>
      </c>
      <c r="Q1436" s="14" t="str">
        <f>IF(M1436&gt;=I1436*'Hoja 4 - Cálculo'!$B$16,"Satisfactorio","Falla")</f>
        <v>Satisfactorio</v>
      </c>
      <c r="R1436" s="14">
        <f t="shared" si="328"/>
        <v>0</v>
      </c>
      <c r="S1436" s="14">
        <f t="shared" si="329"/>
        <v>0</v>
      </c>
    </row>
    <row r="1437" spans="1:19">
      <c r="A1437" s="14" t="str">
        <f t="shared" si="326"/>
        <v>SRY-4-3</v>
      </c>
      <c r="B1437" s="15">
        <f>'Curvas SRY'!$B$11</f>
        <v>5</v>
      </c>
      <c r="C1437" s="15">
        <f>'Curvas SRY'!$E$10</f>
        <v>1.25</v>
      </c>
      <c r="D1437" s="14" t="str">
        <f>'Curvas SRY'!$B$14</f>
        <v>Uso variable</v>
      </c>
      <c r="E1437" s="14">
        <f>114</f>
        <v>114</v>
      </c>
      <c r="F1437" s="21">
        <f>'Hoja 4 - Cálculo'!A138</f>
        <v>33025</v>
      </c>
      <c r="G1437" s="15">
        <f>'Hoja 4 - Cálculo'!H138</f>
        <v>15.529500000000001</v>
      </c>
      <c r="H1437" s="15">
        <f>IF(D1437="Uso único",'Hoja 4 - Cálculo'!I138,IF(D1437="Uso múltiple",AVERAGE('Hoja 4 - Cálculo'!$I$25:$I$384)+AVERAGE('Hoja 4 - Cálculo'!$J$25:$J$384)+AVERAGE('Hoja 4 - Cálculo'!$K$25:$K$384),IF(D1437="Uso prioritario",'Hoja 4 - Cálculo'!I138+'Hoja 4 - Cálculo'!K138,'Hoja 4 - Cálculo'!I138+'Hoja 4 - Cálculo'!J138+'Hoja 4 - Cálculo'!K138)))</f>
        <v>11.5</v>
      </c>
      <c r="I1437" s="15">
        <f t="shared" si="320"/>
        <v>14.375</v>
      </c>
      <c r="J1437" s="15">
        <f t="shared" si="327"/>
        <v>5</v>
      </c>
      <c r="K1437" s="15">
        <f>MIN(J1437+G1437,(J1437+G1437)*'Hoja 4 - Cálculo'!$B$15)</f>
        <v>0.41059000000000001</v>
      </c>
      <c r="L1437" s="15">
        <f t="shared" si="321"/>
        <v>20.11891</v>
      </c>
      <c r="M1437" s="15">
        <f t="shared" si="322"/>
        <v>14.375</v>
      </c>
      <c r="N1437" s="15">
        <f t="shared" si="323"/>
        <v>5</v>
      </c>
      <c r="O1437" s="15">
        <f t="shared" si="324"/>
        <v>0.74390999999999963</v>
      </c>
      <c r="P1437" s="15">
        <f t="shared" si="325"/>
        <v>0</v>
      </c>
      <c r="Q1437" s="14" t="str">
        <f>IF(M1437&gt;=I1437*'Hoja 4 - Cálculo'!$B$16,"Satisfactorio","Falla")</f>
        <v>Satisfactorio</v>
      </c>
      <c r="R1437" s="14">
        <f t="shared" si="328"/>
        <v>0</v>
      </c>
      <c r="S1437" s="14">
        <f t="shared" si="329"/>
        <v>0</v>
      </c>
    </row>
    <row r="1438" spans="1:19">
      <c r="A1438" s="14" t="str">
        <f t="shared" si="326"/>
        <v>SRY-4-3</v>
      </c>
      <c r="B1438" s="15">
        <f>'Curvas SRY'!$B$11</f>
        <v>5</v>
      </c>
      <c r="C1438" s="15">
        <f>'Curvas SRY'!$E$10</f>
        <v>1.25</v>
      </c>
      <c r="D1438" s="14" t="str">
        <f>'Curvas SRY'!$B$14</f>
        <v>Uso variable</v>
      </c>
      <c r="E1438" s="14">
        <f>115</f>
        <v>115</v>
      </c>
      <c r="F1438" s="21">
        <f>'Hoja 4 - Cálculo'!A139</f>
        <v>33055</v>
      </c>
      <c r="G1438" s="15">
        <f>'Hoja 4 - Cálculo'!H139</f>
        <v>12.201750000000001</v>
      </c>
      <c r="H1438" s="15">
        <f>IF(D1438="Uso único",'Hoja 4 - Cálculo'!I139,IF(D1438="Uso múltiple",AVERAGE('Hoja 4 - Cálculo'!$I$25:$I$384)+AVERAGE('Hoja 4 - Cálculo'!$J$25:$J$384)+AVERAGE('Hoja 4 - Cálculo'!$K$25:$K$384),IF(D1438="Uso prioritario",'Hoja 4 - Cálculo'!I139+'Hoja 4 - Cálculo'!K139,'Hoja 4 - Cálculo'!I139+'Hoja 4 - Cálculo'!J139+'Hoja 4 - Cálculo'!K139)))</f>
        <v>16</v>
      </c>
      <c r="I1438" s="15">
        <f t="shared" si="320"/>
        <v>20</v>
      </c>
      <c r="J1438" s="15">
        <f t="shared" si="327"/>
        <v>5</v>
      </c>
      <c r="K1438" s="15">
        <f>MIN(J1438+G1438,(J1438+G1438)*'Hoja 4 - Cálculo'!$B$15)</f>
        <v>0.34403500000000004</v>
      </c>
      <c r="L1438" s="15">
        <f t="shared" si="321"/>
        <v>16.857714999999999</v>
      </c>
      <c r="M1438" s="15">
        <f t="shared" si="322"/>
        <v>16.857714999999999</v>
      </c>
      <c r="N1438" s="15">
        <f t="shared" si="323"/>
        <v>0</v>
      </c>
      <c r="O1438" s="15">
        <f t="shared" si="324"/>
        <v>0</v>
      </c>
      <c r="P1438" s="15">
        <f t="shared" si="325"/>
        <v>3.1422850000000011</v>
      </c>
      <c r="Q1438" s="14" t="str">
        <f>IF(M1438&gt;=I1438*'Hoja 4 - Cálculo'!$B$16,"Satisfactorio","Falla")</f>
        <v>Falla</v>
      </c>
      <c r="R1438" s="14">
        <f t="shared" si="328"/>
        <v>0</v>
      </c>
      <c r="S1438" s="14">
        <f t="shared" si="329"/>
        <v>1</v>
      </c>
    </row>
    <row r="1439" spans="1:19">
      <c r="A1439" s="14" t="str">
        <f t="shared" si="326"/>
        <v>SRY-4-3</v>
      </c>
      <c r="B1439" s="15">
        <f>'Curvas SRY'!$B$11</f>
        <v>5</v>
      </c>
      <c r="C1439" s="15">
        <f>'Curvas SRY'!$E$10</f>
        <v>1.25</v>
      </c>
      <c r="D1439" s="14" t="str">
        <f>'Curvas SRY'!$B$14</f>
        <v>Uso variable</v>
      </c>
      <c r="E1439" s="14">
        <f>116</f>
        <v>116</v>
      </c>
      <c r="F1439" s="21">
        <f>'Hoja 4 - Cálculo'!A140</f>
        <v>33086</v>
      </c>
      <c r="G1439" s="15">
        <f>'Hoja 4 - Cálculo'!H140</f>
        <v>13.04325</v>
      </c>
      <c r="H1439" s="15">
        <f>IF(D1439="Uso único",'Hoja 4 - Cálculo'!I140,IF(D1439="Uso múltiple",AVERAGE('Hoja 4 - Cálculo'!$I$25:$I$384)+AVERAGE('Hoja 4 - Cálculo'!$J$25:$J$384)+AVERAGE('Hoja 4 - Cálculo'!$K$25:$K$384),IF(D1439="Uso prioritario",'Hoja 4 - Cálculo'!I140+'Hoja 4 - Cálculo'!K140,'Hoja 4 - Cálculo'!I140+'Hoja 4 - Cálculo'!J140+'Hoja 4 - Cálculo'!K140)))</f>
        <v>16</v>
      </c>
      <c r="I1439" s="15">
        <f t="shared" si="320"/>
        <v>20</v>
      </c>
      <c r="J1439" s="15">
        <f t="shared" si="327"/>
        <v>0</v>
      </c>
      <c r="K1439" s="15">
        <f>MIN(J1439+G1439,(J1439+G1439)*'Hoja 4 - Cálculo'!$B$15)</f>
        <v>0.26086500000000001</v>
      </c>
      <c r="L1439" s="15">
        <f t="shared" si="321"/>
        <v>12.782385</v>
      </c>
      <c r="M1439" s="15">
        <f t="shared" si="322"/>
        <v>12.782385</v>
      </c>
      <c r="N1439" s="15">
        <f t="shared" si="323"/>
        <v>0</v>
      </c>
      <c r="O1439" s="15">
        <f t="shared" si="324"/>
        <v>0</v>
      </c>
      <c r="P1439" s="15">
        <f t="shared" si="325"/>
        <v>7.2176150000000003</v>
      </c>
      <c r="Q1439" s="14" t="str">
        <f>IF(M1439&gt;=I1439*'Hoja 4 - Cálculo'!$B$16,"Satisfactorio","Falla")</f>
        <v>Falla</v>
      </c>
      <c r="R1439" s="14">
        <f t="shared" si="328"/>
        <v>0</v>
      </c>
      <c r="S1439" s="14">
        <f t="shared" si="329"/>
        <v>0</v>
      </c>
    </row>
    <row r="1440" spans="1:19">
      <c r="A1440" s="14" t="str">
        <f t="shared" si="326"/>
        <v>SRY-4-3</v>
      </c>
      <c r="B1440" s="15">
        <f>'Curvas SRY'!$B$11</f>
        <v>5</v>
      </c>
      <c r="C1440" s="15">
        <f>'Curvas SRY'!$E$10</f>
        <v>1.25</v>
      </c>
      <c r="D1440" s="14" t="str">
        <f>'Curvas SRY'!$B$14</f>
        <v>Uso variable</v>
      </c>
      <c r="E1440" s="14">
        <f>117</f>
        <v>117</v>
      </c>
      <c r="F1440" s="21">
        <f>'Hoja 4 - Cálculo'!A141</f>
        <v>33117</v>
      </c>
      <c r="G1440" s="15">
        <f>'Hoja 4 - Cálculo'!H141</f>
        <v>21.974625</v>
      </c>
      <c r="H1440" s="15">
        <f>IF(D1440="Uso único",'Hoja 4 - Cálculo'!I141,IF(D1440="Uso múltiple",AVERAGE('Hoja 4 - Cálculo'!$I$25:$I$384)+AVERAGE('Hoja 4 - Cálculo'!$J$25:$J$384)+AVERAGE('Hoja 4 - Cálculo'!$K$25:$K$384),IF(D1440="Uso prioritario",'Hoja 4 - Cálculo'!I141+'Hoja 4 - Cálculo'!K141,'Hoja 4 - Cálculo'!I141+'Hoja 4 - Cálculo'!J141+'Hoja 4 - Cálculo'!K141)))</f>
        <v>11.5</v>
      </c>
      <c r="I1440" s="15">
        <f t="shared" si="320"/>
        <v>14.375</v>
      </c>
      <c r="J1440" s="15">
        <f t="shared" si="327"/>
        <v>0</v>
      </c>
      <c r="K1440" s="15">
        <f>MIN(J1440+G1440,(J1440+G1440)*'Hoja 4 - Cálculo'!$B$15)</f>
        <v>0.43949250000000001</v>
      </c>
      <c r="L1440" s="15">
        <f t="shared" si="321"/>
        <v>21.5351325</v>
      </c>
      <c r="M1440" s="15">
        <f t="shared" si="322"/>
        <v>14.375</v>
      </c>
      <c r="N1440" s="15">
        <f t="shared" si="323"/>
        <v>5</v>
      </c>
      <c r="O1440" s="15">
        <f t="shared" si="324"/>
        <v>2.1601324999999996</v>
      </c>
      <c r="P1440" s="15">
        <f t="shared" si="325"/>
        <v>0</v>
      </c>
      <c r="Q1440" s="14" t="str">
        <f>IF(M1440&gt;=I1440*'Hoja 4 - Cálculo'!$B$16,"Satisfactorio","Falla")</f>
        <v>Satisfactorio</v>
      </c>
      <c r="R1440" s="14">
        <f t="shared" si="328"/>
        <v>1</v>
      </c>
      <c r="S1440" s="14">
        <f t="shared" si="329"/>
        <v>0</v>
      </c>
    </row>
    <row r="1441" spans="1:19">
      <c r="A1441" s="14" t="str">
        <f t="shared" si="326"/>
        <v>SRY-4-3</v>
      </c>
      <c r="B1441" s="15">
        <f>'Curvas SRY'!$B$11</f>
        <v>5</v>
      </c>
      <c r="C1441" s="15">
        <f>'Curvas SRY'!$E$10</f>
        <v>1.25</v>
      </c>
      <c r="D1441" s="14" t="str">
        <f>'Curvas SRY'!$B$14</f>
        <v>Uso variable</v>
      </c>
      <c r="E1441" s="14">
        <f>118</f>
        <v>118</v>
      </c>
      <c r="F1441" s="21">
        <f>'Hoja 4 - Cálculo'!A142</f>
        <v>33147</v>
      </c>
      <c r="G1441" s="15">
        <f>'Hoja 4 - Cálculo'!H142</f>
        <v>26.870625</v>
      </c>
      <c r="H1441" s="15">
        <f>IF(D1441="Uso único",'Hoja 4 - Cálculo'!I142,IF(D1441="Uso múltiple",AVERAGE('Hoja 4 - Cálculo'!$I$25:$I$384)+AVERAGE('Hoja 4 - Cálculo'!$J$25:$J$384)+AVERAGE('Hoja 4 - Cálculo'!$K$25:$K$384),IF(D1441="Uso prioritario",'Hoja 4 - Cálculo'!I142+'Hoja 4 - Cálculo'!K142,'Hoja 4 - Cálculo'!I142+'Hoja 4 - Cálculo'!J142+'Hoja 4 - Cálculo'!K142)))</f>
        <v>11.5</v>
      </c>
      <c r="I1441" s="15">
        <f t="shared" si="320"/>
        <v>14.375</v>
      </c>
      <c r="J1441" s="15">
        <f t="shared" si="327"/>
        <v>5</v>
      </c>
      <c r="K1441" s="15">
        <f>MIN(J1441+G1441,(J1441+G1441)*'Hoja 4 - Cálculo'!$B$15)</f>
        <v>0.63741250000000005</v>
      </c>
      <c r="L1441" s="15">
        <f t="shared" si="321"/>
        <v>31.2332125</v>
      </c>
      <c r="M1441" s="15">
        <f t="shared" si="322"/>
        <v>14.375</v>
      </c>
      <c r="N1441" s="15">
        <f t="shared" si="323"/>
        <v>5</v>
      </c>
      <c r="O1441" s="15">
        <f t="shared" si="324"/>
        <v>11.8582125</v>
      </c>
      <c r="P1441" s="15">
        <f t="shared" si="325"/>
        <v>0</v>
      </c>
      <c r="Q1441" s="14" t="str">
        <f>IF(M1441&gt;=I1441*'Hoja 4 - Cálculo'!$B$16,"Satisfactorio","Falla")</f>
        <v>Satisfactorio</v>
      </c>
      <c r="R1441" s="14">
        <f t="shared" si="328"/>
        <v>0</v>
      </c>
      <c r="S1441" s="14">
        <f t="shared" si="329"/>
        <v>0</v>
      </c>
    </row>
    <row r="1442" spans="1:19">
      <c r="A1442" s="14" t="str">
        <f t="shared" si="326"/>
        <v>SRY-4-3</v>
      </c>
      <c r="B1442" s="15">
        <f>'Curvas SRY'!$B$11</f>
        <v>5</v>
      </c>
      <c r="C1442" s="15">
        <f>'Curvas SRY'!$E$10</f>
        <v>1.25</v>
      </c>
      <c r="D1442" s="14" t="str">
        <f>'Curvas SRY'!$B$14</f>
        <v>Uso variable</v>
      </c>
      <c r="E1442" s="14">
        <f>119</f>
        <v>119</v>
      </c>
      <c r="F1442" s="21">
        <f>'Hoja 4 - Cálculo'!A143</f>
        <v>33178</v>
      </c>
      <c r="G1442" s="15">
        <f>'Hoja 4 - Cálculo'!H143</f>
        <v>24.881625</v>
      </c>
      <c r="H1442" s="15">
        <f>IF(D1442="Uso único",'Hoja 4 - Cálculo'!I143,IF(D1442="Uso múltiple",AVERAGE('Hoja 4 - Cálculo'!$I$25:$I$384)+AVERAGE('Hoja 4 - Cálculo'!$J$25:$J$384)+AVERAGE('Hoja 4 - Cálculo'!$K$25:$K$384),IF(D1442="Uso prioritario",'Hoja 4 - Cálculo'!I143+'Hoja 4 - Cálculo'!K143,'Hoja 4 - Cálculo'!I143+'Hoja 4 - Cálculo'!J143+'Hoja 4 - Cálculo'!K143)))</f>
        <v>11.5</v>
      </c>
      <c r="I1442" s="15">
        <f t="shared" si="320"/>
        <v>14.375</v>
      </c>
      <c r="J1442" s="15">
        <f t="shared" si="327"/>
        <v>5</v>
      </c>
      <c r="K1442" s="15">
        <f>MIN(J1442+G1442,(J1442+G1442)*'Hoja 4 - Cálculo'!$B$15)</f>
        <v>0.59763250000000001</v>
      </c>
      <c r="L1442" s="15">
        <f t="shared" si="321"/>
        <v>29.2839925</v>
      </c>
      <c r="M1442" s="15">
        <f t="shared" si="322"/>
        <v>14.375</v>
      </c>
      <c r="N1442" s="15">
        <f t="shared" si="323"/>
        <v>5</v>
      </c>
      <c r="O1442" s="15">
        <f t="shared" si="324"/>
        <v>9.9089925000000001</v>
      </c>
      <c r="P1442" s="15">
        <f t="shared" si="325"/>
        <v>0</v>
      </c>
      <c r="Q1442" s="14" t="str">
        <f>IF(M1442&gt;=I1442*'Hoja 4 - Cálculo'!$B$16,"Satisfactorio","Falla")</f>
        <v>Satisfactorio</v>
      </c>
      <c r="R1442" s="14">
        <f t="shared" si="328"/>
        <v>0</v>
      </c>
      <c r="S1442" s="14">
        <f t="shared" si="329"/>
        <v>0</v>
      </c>
    </row>
    <row r="1443" spans="1:19">
      <c r="A1443" s="14" t="str">
        <f t="shared" si="326"/>
        <v>SRY-4-3</v>
      </c>
      <c r="B1443" s="15">
        <f>'Curvas SRY'!$B$11</f>
        <v>5</v>
      </c>
      <c r="C1443" s="15">
        <f>'Curvas SRY'!$E$10</f>
        <v>1.25</v>
      </c>
      <c r="D1443" s="14" t="str">
        <f>'Curvas SRY'!$B$14</f>
        <v>Uso variable</v>
      </c>
      <c r="E1443" s="14">
        <f>120</f>
        <v>120</v>
      </c>
      <c r="F1443" s="21">
        <f>'Hoja 4 - Cálculo'!A144</f>
        <v>33208</v>
      </c>
      <c r="G1443" s="15">
        <f>'Hoja 4 - Cálculo'!H144</f>
        <v>13.73175</v>
      </c>
      <c r="H1443" s="15">
        <f>IF(D1443="Uso único",'Hoja 4 - Cálculo'!I144,IF(D1443="Uso múltiple",AVERAGE('Hoja 4 - Cálculo'!$I$25:$I$384)+AVERAGE('Hoja 4 - Cálculo'!$J$25:$J$384)+AVERAGE('Hoja 4 - Cálculo'!$K$25:$K$384),IF(D1443="Uso prioritario",'Hoja 4 - Cálculo'!I144+'Hoja 4 - Cálculo'!K144,'Hoja 4 - Cálculo'!I144+'Hoja 4 - Cálculo'!J144+'Hoja 4 - Cálculo'!K144)))</f>
        <v>16</v>
      </c>
      <c r="I1443" s="15">
        <f t="shared" si="320"/>
        <v>20</v>
      </c>
      <c r="J1443" s="15">
        <f t="shared" si="327"/>
        <v>5</v>
      </c>
      <c r="K1443" s="15">
        <f>MIN(J1443+G1443,(J1443+G1443)*'Hoja 4 - Cálculo'!$B$15)</f>
        <v>0.374635</v>
      </c>
      <c r="L1443" s="15">
        <f t="shared" si="321"/>
        <v>18.357114999999997</v>
      </c>
      <c r="M1443" s="15">
        <f t="shared" si="322"/>
        <v>18.357114999999997</v>
      </c>
      <c r="N1443" s="15">
        <f t="shared" si="323"/>
        <v>0</v>
      </c>
      <c r="O1443" s="15">
        <f t="shared" si="324"/>
        <v>0</v>
      </c>
      <c r="P1443" s="15">
        <f t="shared" si="325"/>
        <v>1.6428850000000033</v>
      </c>
      <c r="Q1443" s="14" t="str">
        <f>IF(M1443&gt;=I1443*'Hoja 4 - Cálculo'!$B$16,"Satisfactorio","Falla")</f>
        <v>Falla</v>
      </c>
      <c r="R1443" s="14">
        <f t="shared" si="328"/>
        <v>0</v>
      </c>
      <c r="S1443" s="14">
        <f t="shared" si="329"/>
        <v>1</v>
      </c>
    </row>
    <row r="1444" spans="1:19">
      <c r="A1444" s="14" t="str">
        <f t="shared" ref="A1444:A1475" si="330">"SRY-5-1"</f>
        <v>SRY-5-1</v>
      </c>
      <c r="B1444" s="15">
        <f>'Curvas SRY'!$B$12</f>
        <v>10</v>
      </c>
      <c r="C1444" s="15">
        <f>'Curvas SRY'!$E$8</f>
        <v>0.75</v>
      </c>
      <c r="D1444" s="14" t="str">
        <f>'Curvas SRY'!$B$14</f>
        <v>Uso variable</v>
      </c>
      <c r="E1444" s="14">
        <f>1</f>
        <v>1</v>
      </c>
      <c r="F1444" s="21">
        <f>'Hoja 4 - Cálculo'!A25</f>
        <v>29587</v>
      </c>
      <c r="G1444" s="15">
        <f>'Hoja 4 - Cálculo'!H25</f>
        <v>12.852</v>
      </c>
      <c r="H1444" s="15">
        <f>IF(D1444="Uso único",'Hoja 4 - Cálculo'!I25,IF(D1444="Uso múltiple",AVERAGE('Hoja 4 - Cálculo'!$I$25:$I$384)+AVERAGE('Hoja 4 - Cálculo'!$J$25:$J$384)+AVERAGE('Hoja 4 - Cálculo'!$K$25:$K$384),IF(D1444="Uso prioritario",'Hoja 4 - Cálculo'!I25+'Hoja 4 - Cálculo'!K25,'Hoja 4 - Cálculo'!I25+'Hoja 4 - Cálculo'!J25+'Hoja 4 - Cálculo'!K25)))</f>
        <v>16</v>
      </c>
      <c r="I1444" s="15">
        <f t="shared" si="320"/>
        <v>12</v>
      </c>
      <c r="J1444" s="15">
        <f>0</f>
        <v>0</v>
      </c>
      <c r="K1444" s="15">
        <f>MIN(J1444+G1444,(J1444+G1444)*'Hoja 4 - Cálculo'!$B$15)</f>
        <v>0.25703999999999999</v>
      </c>
      <c r="L1444" s="15">
        <f t="shared" si="321"/>
        <v>12.59496</v>
      </c>
      <c r="M1444" s="15">
        <f t="shared" si="322"/>
        <v>12</v>
      </c>
      <c r="N1444" s="15">
        <f t="shared" si="323"/>
        <v>0.59496000000000038</v>
      </c>
      <c r="O1444" s="15">
        <f t="shared" si="324"/>
        <v>0</v>
      </c>
      <c r="P1444" s="15">
        <f t="shared" si="325"/>
        <v>0</v>
      </c>
      <c r="Q1444" s="14" t="str">
        <f>IF(M1444&gt;=I1444*'Hoja 4 - Cálculo'!$B$16,"Satisfactorio","Falla")</f>
        <v>Satisfactorio</v>
      </c>
      <c r="R1444" s="14">
        <f>0</f>
        <v>0</v>
      </c>
      <c r="S1444" s="14">
        <f>IF(Q1444="Falla",1,0)</f>
        <v>0</v>
      </c>
    </row>
    <row r="1445" spans="1:19">
      <c r="A1445" s="14" t="str">
        <f t="shared" si="330"/>
        <v>SRY-5-1</v>
      </c>
      <c r="B1445" s="15">
        <f>'Curvas SRY'!$B$12</f>
        <v>10</v>
      </c>
      <c r="C1445" s="15">
        <f>'Curvas SRY'!$E$8</f>
        <v>0.75</v>
      </c>
      <c r="D1445" s="14" t="str">
        <f>'Curvas SRY'!$B$14</f>
        <v>Uso variable</v>
      </c>
      <c r="E1445" s="14">
        <f>2</f>
        <v>2</v>
      </c>
      <c r="F1445" s="21">
        <f>'Hoja 4 - Cálculo'!A26</f>
        <v>29618</v>
      </c>
      <c r="G1445" s="15">
        <f>'Hoja 4 - Cálculo'!H26</f>
        <v>14.630625</v>
      </c>
      <c r="H1445" s="15">
        <f>IF(D1445="Uso único",'Hoja 4 - Cálculo'!I26,IF(D1445="Uso múltiple",AVERAGE('Hoja 4 - Cálculo'!$I$25:$I$384)+AVERAGE('Hoja 4 - Cálculo'!$J$25:$J$384)+AVERAGE('Hoja 4 - Cálculo'!$K$25:$K$384),IF(D1445="Uso prioritario",'Hoja 4 - Cálculo'!I26+'Hoja 4 - Cálculo'!K26,'Hoja 4 - Cálculo'!I26+'Hoja 4 - Cálculo'!J26+'Hoja 4 - Cálculo'!K26)))</f>
        <v>16</v>
      </c>
      <c r="I1445" s="15">
        <f t="shared" si="320"/>
        <v>12</v>
      </c>
      <c r="J1445" s="15">
        <f t="shared" ref="J1445:J1476" si="331">N1444</f>
        <v>0.59496000000000038</v>
      </c>
      <c r="K1445" s="15">
        <f>MIN(J1445+G1445,(J1445+G1445)*'Hoja 4 - Cálculo'!$B$15)</f>
        <v>0.3045117</v>
      </c>
      <c r="L1445" s="15">
        <f t="shared" si="321"/>
        <v>14.9210733</v>
      </c>
      <c r="M1445" s="15">
        <f t="shared" si="322"/>
        <v>12</v>
      </c>
      <c r="N1445" s="15">
        <f t="shared" si="323"/>
        <v>2.9210732999999998</v>
      </c>
      <c r="O1445" s="15">
        <f t="shared" si="324"/>
        <v>0</v>
      </c>
      <c r="P1445" s="15">
        <f t="shared" si="325"/>
        <v>0</v>
      </c>
      <c r="Q1445" s="14" t="str">
        <f>IF(M1445&gt;=I1445*'Hoja 4 - Cálculo'!$B$16,"Satisfactorio","Falla")</f>
        <v>Satisfactorio</v>
      </c>
      <c r="R1445" s="14">
        <f t="shared" ref="R1445:R1476" si="332">IF(AND(Q1444="Falla",Q1445="Satisfactorio"),1,0)</f>
        <v>0</v>
      </c>
      <c r="S1445" s="14">
        <f t="shared" ref="S1445:S1476" si="333">IF(AND(Q1445="Falla",Q1444&lt;&gt;"Falla"),1,0)</f>
        <v>0</v>
      </c>
    </row>
    <row r="1446" spans="1:19">
      <c r="A1446" s="14" t="str">
        <f t="shared" si="330"/>
        <v>SRY-5-1</v>
      </c>
      <c r="B1446" s="15">
        <f>'Curvas SRY'!$B$12</f>
        <v>10</v>
      </c>
      <c r="C1446" s="15">
        <f>'Curvas SRY'!$E$8</f>
        <v>0.75</v>
      </c>
      <c r="D1446" s="14" t="str">
        <f>'Curvas SRY'!$B$14</f>
        <v>Uso variable</v>
      </c>
      <c r="E1446" s="14">
        <f>3</f>
        <v>3</v>
      </c>
      <c r="F1446" s="21">
        <f>'Hoja 4 - Cálculo'!A27</f>
        <v>29646</v>
      </c>
      <c r="G1446" s="15">
        <f>'Hoja 4 - Cálculo'!H27</f>
        <v>21.114000000000001</v>
      </c>
      <c r="H1446" s="15">
        <f>IF(D1446="Uso único",'Hoja 4 - Cálculo'!I27,IF(D1446="Uso múltiple",AVERAGE('Hoja 4 - Cálculo'!$I$25:$I$384)+AVERAGE('Hoja 4 - Cálculo'!$J$25:$J$384)+AVERAGE('Hoja 4 - Cálculo'!$K$25:$K$384),IF(D1446="Uso prioritario",'Hoja 4 - Cálculo'!I27+'Hoja 4 - Cálculo'!K27,'Hoja 4 - Cálculo'!I27+'Hoja 4 - Cálculo'!J27+'Hoja 4 - Cálculo'!K27)))</f>
        <v>16</v>
      </c>
      <c r="I1446" s="15">
        <f t="shared" si="320"/>
        <v>12</v>
      </c>
      <c r="J1446" s="15">
        <f t="shared" si="331"/>
        <v>2.9210732999999998</v>
      </c>
      <c r="K1446" s="15">
        <f>MIN(J1446+G1446,(J1446+G1446)*'Hoja 4 - Cálculo'!$B$15)</f>
        <v>0.48070146600000002</v>
      </c>
      <c r="L1446" s="15">
        <f t="shared" si="321"/>
        <v>23.554371834000001</v>
      </c>
      <c r="M1446" s="15">
        <f t="shared" si="322"/>
        <v>12</v>
      </c>
      <c r="N1446" s="15">
        <f t="shared" si="323"/>
        <v>10</v>
      </c>
      <c r="O1446" s="15">
        <f t="shared" si="324"/>
        <v>1.5543718340000012</v>
      </c>
      <c r="P1446" s="15">
        <f t="shared" si="325"/>
        <v>0</v>
      </c>
      <c r="Q1446" s="14" t="str">
        <f>IF(M1446&gt;=I1446*'Hoja 4 - Cálculo'!$B$16,"Satisfactorio","Falla")</f>
        <v>Satisfactorio</v>
      </c>
      <c r="R1446" s="14">
        <f t="shared" si="332"/>
        <v>0</v>
      </c>
      <c r="S1446" s="14">
        <f t="shared" si="333"/>
        <v>0</v>
      </c>
    </row>
    <row r="1447" spans="1:19">
      <c r="A1447" s="14" t="str">
        <f t="shared" si="330"/>
        <v>SRY-5-1</v>
      </c>
      <c r="B1447" s="15">
        <f>'Curvas SRY'!$B$12</f>
        <v>10</v>
      </c>
      <c r="C1447" s="15">
        <f>'Curvas SRY'!$E$8</f>
        <v>0.75</v>
      </c>
      <c r="D1447" s="14" t="str">
        <f>'Curvas SRY'!$B$14</f>
        <v>Uso variable</v>
      </c>
      <c r="E1447" s="14">
        <f>4</f>
        <v>4</v>
      </c>
      <c r="F1447" s="21">
        <f>'Hoja 4 - Cálculo'!A28</f>
        <v>29677</v>
      </c>
      <c r="G1447" s="15">
        <f>'Hoja 4 - Cálculo'!H28</f>
        <v>29.280374999999999</v>
      </c>
      <c r="H1447" s="15">
        <f>IF(D1447="Uso único",'Hoja 4 - Cálculo'!I28,IF(D1447="Uso múltiple",AVERAGE('Hoja 4 - Cálculo'!$I$25:$I$384)+AVERAGE('Hoja 4 - Cálculo'!$J$25:$J$384)+AVERAGE('Hoja 4 - Cálculo'!$K$25:$K$384),IF(D1447="Uso prioritario",'Hoja 4 - Cálculo'!I28+'Hoja 4 - Cálculo'!K28,'Hoja 4 - Cálculo'!I28+'Hoja 4 - Cálculo'!J28+'Hoja 4 - Cálculo'!K28)))</f>
        <v>11.5</v>
      </c>
      <c r="I1447" s="15">
        <f t="shared" si="320"/>
        <v>8.625</v>
      </c>
      <c r="J1447" s="15">
        <f t="shared" si="331"/>
        <v>10</v>
      </c>
      <c r="K1447" s="15">
        <f>MIN(J1447+G1447,(J1447+G1447)*'Hoja 4 - Cálculo'!$B$15)</f>
        <v>0.78560750000000001</v>
      </c>
      <c r="L1447" s="15">
        <f t="shared" si="321"/>
        <v>38.494767500000002</v>
      </c>
      <c r="M1447" s="15">
        <f t="shared" si="322"/>
        <v>8.625</v>
      </c>
      <c r="N1447" s="15">
        <f t="shared" si="323"/>
        <v>10</v>
      </c>
      <c r="O1447" s="15">
        <f t="shared" si="324"/>
        <v>19.869767500000002</v>
      </c>
      <c r="P1447" s="15">
        <f t="shared" si="325"/>
        <v>0</v>
      </c>
      <c r="Q1447" s="14" t="str">
        <f>IF(M1447&gt;=I1447*'Hoja 4 - Cálculo'!$B$16,"Satisfactorio","Falla")</f>
        <v>Satisfactorio</v>
      </c>
      <c r="R1447" s="14">
        <f t="shared" si="332"/>
        <v>0</v>
      </c>
      <c r="S1447" s="14">
        <f t="shared" si="333"/>
        <v>0</v>
      </c>
    </row>
    <row r="1448" spans="1:19">
      <c r="A1448" s="14" t="str">
        <f t="shared" si="330"/>
        <v>SRY-5-1</v>
      </c>
      <c r="B1448" s="15">
        <f>'Curvas SRY'!$B$12</f>
        <v>10</v>
      </c>
      <c r="C1448" s="15">
        <f>'Curvas SRY'!$E$8</f>
        <v>0.75</v>
      </c>
      <c r="D1448" s="14" t="str">
        <f>'Curvas SRY'!$B$14</f>
        <v>Uso variable</v>
      </c>
      <c r="E1448" s="14">
        <f>5</f>
        <v>5</v>
      </c>
      <c r="F1448" s="21">
        <f>'Hoja 4 - Cálculo'!A29</f>
        <v>29707</v>
      </c>
      <c r="G1448" s="15">
        <f>'Hoja 4 - Cálculo'!H29</f>
        <v>26.048249999999999</v>
      </c>
      <c r="H1448" s="15">
        <f>IF(D1448="Uso único",'Hoja 4 - Cálculo'!I29,IF(D1448="Uso múltiple",AVERAGE('Hoja 4 - Cálculo'!$I$25:$I$384)+AVERAGE('Hoja 4 - Cálculo'!$J$25:$J$384)+AVERAGE('Hoja 4 - Cálculo'!$K$25:$K$384),IF(D1448="Uso prioritario",'Hoja 4 - Cálculo'!I29+'Hoja 4 - Cálculo'!K29,'Hoja 4 - Cálculo'!I29+'Hoja 4 - Cálculo'!J29+'Hoja 4 - Cálculo'!K29)))</f>
        <v>11.5</v>
      </c>
      <c r="I1448" s="15">
        <f t="shared" si="320"/>
        <v>8.625</v>
      </c>
      <c r="J1448" s="15">
        <f t="shared" si="331"/>
        <v>10</v>
      </c>
      <c r="K1448" s="15">
        <f>MIN(J1448+G1448,(J1448+G1448)*'Hoja 4 - Cálculo'!$B$15)</f>
        <v>0.72096499999999997</v>
      </c>
      <c r="L1448" s="15">
        <f t="shared" si="321"/>
        <v>35.327284999999996</v>
      </c>
      <c r="M1448" s="15">
        <f t="shared" si="322"/>
        <v>8.625</v>
      </c>
      <c r="N1448" s="15">
        <f t="shared" si="323"/>
        <v>10</v>
      </c>
      <c r="O1448" s="15">
        <f t="shared" si="324"/>
        <v>16.702284999999996</v>
      </c>
      <c r="P1448" s="15">
        <f t="shared" si="325"/>
        <v>0</v>
      </c>
      <c r="Q1448" s="14" t="str">
        <f>IF(M1448&gt;=I1448*'Hoja 4 - Cálculo'!$B$16,"Satisfactorio","Falla")</f>
        <v>Satisfactorio</v>
      </c>
      <c r="R1448" s="14">
        <f t="shared" si="332"/>
        <v>0</v>
      </c>
      <c r="S1448" s="14">
        <f t="shared" si="333"/>
        <v>0</v>
      </c>
    </row>
    <row r="1449" spans="1:19">
      <c r="A1449" s="14" t="str">
        <f t="shared" si="330"/>
        <v>SRY-5-1</v>
      </c>
      <c r="B1449" s="15">
        <f>'Curvas SRY'!$B$12</f>
        <v>10</v>
      </c>
      <c r="C1449" s="15">
        <f>'Curvas SRY'!$E$8</f>
        <v>0.75</v>
      </c>
      <c r="D1449" s="14" t="str">
        <f>'Curvas SRY'!$B$14</f>
        <v>Uso variable</v>
      </c>
      <c r="E1449" s="14">
        <f>6</f>
        <v>6</v>
      </c>
      <c r="F1449" s="21">
        <f>'Hoja 4 - Cálculo'!A30</f>
        <v>29738</v>
      </c>
      <c r="G1449" s="15">
        <f>'Hoja 4 - Cálculo'!H30</f>
        <v>15.625125000000001</v>
      </c>
      <c r="H1449" s="15">
        <f>IF(D1449="Uso único",'Hoja 4 - Cálculo'!I30,IF(D1449="Uso múltiple",AVERAGE('Hoja 4 - Cálculo'!$I$25:$I$384)+AVERAGE('Hoja 4 - Cálculo'!$J$25:$J$384)+AVERAGE('Hoja 4 - Cálculo'!$K$25:$K$384),IF(D1449="Uso prioritario",'Hoja 4 - Cálculo'!I30+'Hoja 4 - Cálculo'!K30,'Hoja 4 - Cálculo'!I30+'Hoja 4 - Cálculo'!J30+'Hoja 4 - Cálculo'!K30)))</f>
        <v>11.5</v>
      </c>
      <c r="I1449" s="15">
        <f t="shared" si="320"/>
        <v>8.625</v>
      </c>
      <c r="J1449" s="15">
        <f t="shared" si="331"/>
        <v>10</v>
      </c>
      <c r="K1449" s="15">
        <f>MIN(J1449+G1449,(J1449+G1449)*'Hoja 4 - Cálculo'!$B$15)</f>
        <v>0.51250249999999997</v>
      </c>
      <c r="L1449" s="15">
        <f t="shared" si="321"/>
        <v>25.112622500000001</v>
      </c>
      <c r="M1449" s="15">
        <f t="shared" si="322"/>
        <v>8.625</v>
      </c>
      <c r="N1449" s="15">
        <f t="shared" si="323"/>
        <v>10</v>
      </c>
      <c r="O1449" s="15">
        <f t="shared" si="324"/>
        <v>6.4876225000000005</v>
      </c>
      <c r="P1449" s="15">
        <f t="shared" si="325"/>
        <v>0</v>
      </c>
      <c r="Q1449" s="14" t="str">
        <f>IF(M1449&gt;=I1449*'Hoja 4 - Cálculo'!$B$16,"Satisfactorio","Falla")</f>
        <v>Satisfactorio</v>
      </c>
      <c r="R1449" s="14">
        <f t="shared" si="332"/>
        <v>0</v>
      </c>
      <c r="S1449" s="14">
        <f t="shared" si="333"/>
        <v>0</v>
      </c>
    </row>
    <row r="1450" spans="1:19">
      <c r="A1450" s="14" t="str">
        <f t="shared" si="330"/>
        <v>SRY-5-1</v>
      </c>
      <c r="B1450" s="15">
        <f>'Curvas SRY'!$B$12</f>
        <v>10</v>
      </c>
      <c r="C1450" s="15">
        <f>'Curvas SRY'!$E$8</f>
        <v>0.75</v>
      </c>
      <c r="D1450" s="14" t="str">
        <f>'Curvas SRY'!$B$14</f>
        <v>Uso variable</v>
      </c>
      <c r="E1450" s="14">
        <f>7</f>
        <v>7</v>
      </c>
      <c r="F1450" s="21">
        <f>'Hoja 4 - Cálculo'!A31</f>
        <v>29768</v>
      </c>
      <c r="G1450" s="15">
        <f>'Hoja 4 - Cálculo'!H31</f>
        <v>12.794625</v>
      </c>
      <c r="H1450" s="15">
        <f>IF(D1450="Uso único",'Hoja 4 - Cálculo'!I31,IF(D1450="Uso múltiple",AVERAGE('Hoja 4 - Cálculo'!$I$25:$I$384)+AVERAGE('Hoja 4 - Cálculo'!$J$25:$J$384)+AVERAGE('Hoja 4 - Cálculo'!$K$25:$K$384),IF(D1450="Uso prioritario",'Hoja 4 - Cálculo'!I31+'Hoja 4 - Cálculo'!K31,'Hoja 4 - Cálculo'!I31+'Hoja 4 - Cálculo'!J31+'Hoja 4 - Cálculo'!K31)))</f>
        <v>16</v>
      </c>
      <c r="I1450" s="15">
        <f t="shared" si="320"/>
        <v>12</v>
      </c>
      <c r="J1450" s="15">
        <f t="shared" si="331"/>
        <v>10</v>
      </c>
      <c r="K1450" s="15">
        <f>MIN(J1450+G1450,(J1450+G1450)*'Hoja 4 - Cálculo'!$B$15)</f>
        <v>0.45589250000000003</v>
      </c>
      <c r="L1450" s="15">
        <f t="shared" si="321"/>
        <v>22.338732499999999</v>
      </c>
      <c r="M1450" s="15">
        <f t="shared" si="322"/>
        <v>12</v>
      </c>
      <c r="N1450" s="15">
        <f t="shared" si="323"/>
        <v>10</v>
      </c>
      <c r="O1450" s="15">
        <f t="shared" si="324"/>
        <v>0.33873249999999899</v>
      </c>
      <c r="P1450" s="15">
        <f t="shared" si="325"/>
        <v>0</v>
      </c>
      <c r="Q1450" s="14" t="str">
        <f>IF(M1450&gt;=I1450*'Hoja 4 - Cálculo'!$B$16,"Satisfactorio","Falla")</f>
        <v>Satisfactorio</v>
      </c>
      <c r="R1450" s="14">
        <f t="shared" si="332"/>
        <v>0</v>
      </c>
      <c r="S1450" s="14">
        <f t="shared" si="333"/>
        <v>0</v>
      </c>
    </row>
    <row r="1451" spans="1:19">
      <c r="A1451" s="14" t="str">
        <f t="shared" si="330"/>
        <v>SRY-5-1</v>
      </c>
      <c r="B1451" s="15">
        <f>'Curvas SRY'!$B$12</f>
        <v>10</v>
      </c>
      <c r="C1451" s="15">
        <f>'Curvas SRY'!$E$8</f>
        <v>0.75</v>
      </c>
      <c r="D1451" s="14" t="str">
        <f>'Curvas SRY'!$B$14</f>
        <v>Uso variable</v>
      </c>
      <c r="E1451" s="14">
        <f>8</f>
        <v>8</v>
      </c>
      <c r="F1451" s="21">
        <f>'Hoja 4 - Cálculo'!A32</f>
        <v>29799</v>
      </c>
      <c r="G1451" s="15">
        <f>'Hoja 4 - Cálculo'!H32</f>
        <v>13.712624999999999</v>
      </c>
      <c r="H1451" s="15">
        <f>IF(D1451="Uso único",'Hoja 4 - Cálculo'!I32,IF(D1451="Uso múltiple",AVERAGE('Hoja 4 - Cálculo'!$I$25:$I$384)+AVERAGE('Hoja 4 - Cálculo'!$J$25:$J$384)+AVERAGE('Hoja 4 - Cálculo'!$K$25:$K$384),IF(D1451="Uso prioritario",'Hoja 4 - Cálculo'!I32+'Hoja 4 - Cálculo'!K32,'Hoja 4 - Cálculo'!I32+'Hoja 4 - Cálculo'!J32+'Hoja 4 - Cálculo'!K32)))</f>
        <v>16</v>
      </c>
      <c r="I1451" s="15">
        <f t="shared" si="320"/>
        <v>12</v>
      </c>
      <c r="J1451" s="15">
        <f t="shared" si="331"/>
        <v>10</v>
      </c>
      <c r="K1451" s="15">
        <f>MIN(J1451+G1451,(J1451+G1451)*'Hoja 4 - Cálculo'!$B$15)</f>
        <v>0.47425249999999997</v>
      </c>
      <c r="L1451" s="15">
        <f t="shared" si="321"/>
        <v>23.238372500000001</v>
      </c>
      <c r="M1451" s="15">
        <f t="shared" si="322"/>
        <v>12</v>
      </c>
      <c r="N1451" s="15">
        <f t="shared" si="323"/>
        <v>10</v>
      </c>
      <c r="O1451" s="15">
        <f t="shared" si="324"/>
        <v>1.2383725000000005</v>
      </c>
      <c r="P1451" s="15">
        <f t="shared" si="325"/>
        <v>0</v>
      </c>
      <c r="Q1451" s="14" t="str">
        <f>IF(M1451&gt;=I1451*'Hoja 4 - Cálculo'!$B$16,"Satisfactorio","Falla")</f>
        <v>Satisfactorio</v>
      </c>
      <c r="R1451" s="14">
        <f t="shared" si="332"/>
        <v>0</v>
      </c>
      <c r="S1451" s="14">
        <f t="shared" si="333"/>
        <v>0</v>
      </c>
    </row>
    <row r="1452" spans="1:19">
      <c r="A1452" s="14" t="str">
        <f t="shared" si="330"/>
        <v>SRY-5-1</v>
      </c>
      <c r="B1452" s="15">
        <f>'Curvas SRY'!$B$12</f>
        <v>10</v>
      </c>
      <c r="C1452" s="15">
        <f>'Curvas SRY'!$E$8</f>
        <v>0.75</v>
      </c>
      <c r="D1452" s="14" t="str">
        <f>'Curvas SRY'!$B$14</f>
        <v>Uso variable</v>
      </c>
      <c r="E1452" s="14">
        <f>9</f>
        <v>9</v>
      </c>
      <c r="F1452" s="21">
        <f>'Hoja 4 - Cálculo'!A33</f>
        <v>29830</v>
      </c>
      <c r="G1452" s="15">
        <f>'Hoja 4 - Cálculo'!H33</f>
        <v>22.070250000000001</v>
      </c>
      <c r="H1452" s="15">
        <f>IF(D1452="Uso único",'Hoja 4 - Cálculo'!I33,IF(D1452="Uso múltiple",AVERAGE('Hoja 4 - Cálculo'!$I$25:$I$384)+AVERAGE('Hoja 4 - Cálculo'!$J$25:$J$384)+AVERAGE('Hoja 4 - Cálculo'!$K$25:$K$384),IF(D1452="Uso prioritario",'Hoja 4 - Cálculo'!I33+'Hoja 4 - Cálculo'!K33,'Hoja 4 - Cálculo'!I33+'Hoja 4 - Cálculo'!J33+'Hoja 4 - Cálculo'!K33)))</f>
        <v>11.5</v>
      </c>
      <c r="I1452" s="15">
        <f t="shared" si="320"/>
        <v>8.625</v>
      </c>
      <c r="J1452" s="15">
        <f t="shared" si="331"/>
        <v>10</v>
      </c>
      <c r="K1452" s="15">
        <f>MIN(J1452+G1452,(J1452+G1452)*'Hoja 4 - Cálculo'!$B$15)</f>
        <v>0.641405</v>
      </c>
      <c r="L1452" s="15">
        <f t="shared" si="321"/>
        <v>31.428845000000003</v>
      </c>
      <c r="M1452" s="15">
        <f t="shared" si="322"/>
        <v>8.625</v>
      </c>
      <c r="N1452" s="15">
        <f t="shared" si="323"/>
        <v>10</v>
      </c>
      <c r="O1452" s="15">
        <f t="shared" si="324"/>
        <v>12.803845000000003</v>
      </c>
      <c r="P1452" s="15">
        <f t="shared" si="325"/>
        <v>0</v>
      </c>
      <c r="Q1452" s="14" t="str">
        <f>IF(M1452&gt;=I1452*'Hoja 4 - Cálculo'!$B$16,"Satisfactorio","Falla")</f>
        <v>Satisfactorio</v>
      </c>
      <c r="R1452" s="14">
        <f t="shared" si="332"/>
        <v>0</v>
      </c>
      <c r="S1452" s="14">
        <f t="shared" si="333"/>
        <v>0</v>
      </c>
    </row>
    <row r="1453" spans="1:19">
      <c r="A1453" s="14" t="str">
        <f t="shared" si="330"/>
        <v>SRY-5-1</v>
      </c>
      <c r="B1453" s="15">
        <f>'Curvas SRY'!$B$12</f>
        <v>10</v>
      </c>
      <c r="C1453" s="15">
        <f>'Curvas SRY'!$E$8</f>
        <v>0.75</v>
      </c>
      <c r="D1453" s="14" t="str">
        <f>'Curvas SRY'!$B$14</f>
        <v>Uso variable</v>
      </c>
      <c r="E1453" s="14">
        <f>10</f>
        <v>10</v>
      </c>
      <c r="F1453" s="21">
        <f>'Hoja 4 - Cálculo'!A34</f>
        <v>29860</v>
      </c>
      <c r="G1453" s="15">
        <f>'Hoja 4 - Cálculo'!H34</f>
        <v>29.777625</v>
      </c>
      <c r="H1453" s="15">
        <f>IF(D1453="Uso único",'Hoja 4 - Cálculo'!I34,IF(D1453="Uso múltiple",AVERAGE('Hoja 4 - Cálculo'!$I$25:$I$384)+AVERAGE('Hoja 4 - Cálculo'!$J$25:$J$384)+AVERAGE('Hoja 4 - Cálculo'!$K$25:$K$384),IF(D1453="Uso prioritario",'Hoja 4 - Cálculo'!I34+'Hoja 4 - Cálculo'!K34,'Hoja 4 - Cálculo'!I34+'Hoja 4 - Cálculo'!J34+'Hoja 4 - Cálculo'!K34)))</f>
        <v>11.5</v>
      </c>
      <c r="I1453" s="15">
        <f t="shared" si="320"/>
        <v>8.625</v>
      </c>
      <c r="J1453" s="15">
        <f t="shared" si="331"/>
        <v>10</v>
      </c>
      <c r="K1453" s="15">
        <f>MIN(J1453+G1453,(J1453+G1453)*'Hoja 4 - Cálculo'!$B$15)</f>
        <v>0.7955525</v>
      </c>
      <c r="L1453" s="15">
        <f t="shared" si="321"/>
        <v>38.982072500000001</v>
      </c>
      <c r="M1453" s="15">
        <f t="shared" si="322"/>
        <v>8.625</v>
      </c>
      <c r="N1453" s="15">
        <f t="shared" si="323"/>
        <v>10</v>
      </c>
      <c r="O1453" s="15">
        <f t="shared" si="324"/>
        <v>20.357072500000001</v>
      </c>
      <c r="P1453" s="15">
        <f t="shared" si="325"/>
        <v>0</v>
      </c>
      <c r="Q1453" s="14" t="str">
        <f>IF(M1453&gt;=I1453*'Hoja 4 - Cálculo'!$B$16,"Satisfactorio","Falla")</f>
        <v>Satisfactorio</v>
      </c>
      <c r="R1453" s="14">
        <f t="shared" si="332"/>
        <v>0</v>
      </c>
      <c r="S1453" s="14">
        <f t="shared" si="333"/>
        <v>0</v>
      </c>
    </row>
    <row r="1454" spans="1:19">
      <c r="A1454" s="14" t="str">
        <f t="shared" si="330"/>
        <v>SRY-5-1</v>
      </c>
      <c r="B1454" s="15">
        <f>'Curvas SRY'!$B$12</f>
        <v>10</v>
      </c>
      <c r="C1454" s="15">
        <f>'Curvas SRY'!$E$8</f>
        <v>0.75</v>
      </c>
      <c r="D1454" s="14" t="str">
        <f>'Curvas SRY'!$B$14</f>
        <v>Uso variable</v>
      </c>
      <c r="E1454" s="14">
        <f>11</f>
        <v>11</v>
      </c>
      <c r="F1454" s="21">
        <f>'Hoja 4 - Cálculo'!A35</f>
        <v>29891</v>
      </c>
      <c r="G1454" s="15">
        <f>'Hoja 4 - Cálculo'!H35</f>
        <v>25.51275</v>
      </c>
      <c r="H1454" s="15">
        <f>IF(D1454="Uso único",'Hoja 4 - Cálculo'!I35,IF(D1454="Uso múltiple",AVERAGE('Hoja 4 - Cálculo'!$I$25:$I$384)+AVERAGE('Hoja 4 - Cálculo'!$J$25:$J$384)+AVERAGE('Hoja 4 - Cálculo'!$K$25:$K$384),IF(D1454="Uso prioritario",'Hoja 4 - Cálculo'!I35+'Hoja 4 - Cálculo'!K35,'Hoja 4 - Cálculo'!I35+'Hoja 4 - Cálculo'!J35+'Hoja 4 - Cálculo'!K35)))</f>
        <v>11.5</v>
      </c>
      <c r="I1454" s="15">
        <f t="shared" si="320"/>
        <v>8.625</v>
      </c>
      <c r="J1454" s="15">
        <f t="shared" si="331"/>
        <v>10</v>
      </c>
      <c r="K1454" s="15">
        <f>MIN(J1454+G1454,(J1454+G1454)*'Hoja 4 - Cálculo'!$B$15)</f>
        <v>0.71025499999999997</v>
      </c>
      <c r="L1454" s="15">
        <f t="shared" si="321"/>
        <v>34.802495</v>
      </c>
      <c r="M1454" s="15">
        <f t="shared" si="322"/>
        <v>8.625</v>
      </c>
      <c r="N1454" s="15">
        <f t="shared" si="323"/>
        <v>10</v>
      </c>
      <c r="O1454" s="15">
        <f t="shared" si="324"/>
        <v>16.177495</v>
      </c>
      <c r="P1454" s="15">
        <f t="shared" si="325"/>
        <v>0</v>
      </c>
      <c r="Q1454" s="14" t="str">
        <f>IF(M1454&gt;=I1454*'Hoja 4 - Cálculo'!$B$16,"Satisfactorio","Falla")</f>
        <v>Satisfactorio</v>
      </c>
      <c r="R1454" s="14">
        <f t="shared" si="332"/>
        <v>0</v>
      </c>
      <c r="S1454" s="14">
        <f t="shared" si="333"/>
        <v>0</v>
      </c>
    </row>
    <row r="1455" spans="1:19">
      <c r="A1455" s="14" t="str">
        <f t="shared" si="330"/>
        <v>SRY-5-1</v>
      </c>
      <c r="B1455" s="15">
        <f>'Curvas SRY'!$B$12</f>
        <v>10</v>
      </c>
      <c r="C1455" s="15">
        <f>'Curvas SRY'!$E$8</f>
        <v>0.75</v>
      </c>
      <c r="D1455" s="14" t="str">
        <f>'Curvas SRY'!$B$14</f>
        <v>Uso variable</v>
      </c>
      <c r="E1455" s="14">
        <f>12</f>
        <v>12</v>
      </c>
      <c r="F1455" s="21">
        <f>'Hoja 4 - Cálculo'!A36</f>
        <v>29921</v>
      </c>
      <c r="G1455" s="15">
        <f>'Hoja 4 - Cálculo'!H36</f>
        <v>15.3765</v>
      </c>
      <c r="H1455" s="15">
        <f>IF(D1455="Uso único",'Hoja 4 - Cálculo'!I36,IF(D1455="Uso múltiple",AVERAGE('Hoja 4 - Cálculo'!$I$25:$I$384)+AVERAGE('Hoja 4 - Cálculo'!$J$25:$J$384)+AVERAGE('Hoja 4 - Cálculo'!$K$25:$K$384),IF(D1455="Uso prioritario",'Hoja 4 - Cálculo'!I36+'Hoja 4 - Cálculo'!K36,'Hoja 4 - Cálculo'!I36+'Hoja 4 - Cálculo'!J36+'Hoja 4 - Cálculo'!K36)))</f>
        <v>16</v>
      </c>
      <c r="I1455" s="15">
        <f t="shared" si="320"/>
        <v>12</v>
      </c>
      <c r="J1455" s="15">
        <f t="shared" si="331"/>
        <v>10</v>
      </c>
      <c r="K1455" s="15">
        <f>MIN(J1455+G1455,(J1455+G1455)*'Hoja 4 - Cálculo'!$B$15)</f>
        <v>0.50753000000000004</v>
      </c>
      <c r="L1455" s="15">
        <f t="shared" si="321"/>
        <v>24.868970000000001</v>
      </c>
      <c r="M1455" s="15">
        <f t="shared" si="322"/>
        <v>12</v>
      </c>
      <c r="N1455" s="15">
        <f t="shared" si="323"/>
        <v>10</v>
      </c>
      <c r="O1455" s="15">
        <f t="shared" si="324"/>
        <v>2.8689700000000009</v>
      </c>
      <c r="P1455" s="15">
        <f t="shared" si="325"/>
        <v>0</v>
      </c>
      <c r="Q1455" s="14" t="str">
        <f>IF(M1455&gt;=I1455*'Hoja 4 - Cálculo'!$B$16,"Satisfactorio","Falla")</f>
        <v>Satisfactorio</v>
      </c>
      <c r="R1455" s="14">
        <f t="shared" si="332"/>
        <v>0</v>
      </c>
      <c r="S1455" s="14">
        <f t="shared" si="333"/>
        <v>0</v>
      </c>
    </row>
    <row r="1456" spans="1:19">
      <c r="A1456" s="14" t="str">
        <f t="shared" si="330"/>
        <v>SRY-5-1</v>
      </c>
      <c r="B1456" s="15">
        <f>'Curvas SRY'!$B$12</f>
        <v>10</v>
      </c>
      <c r="C1456" s="15">
        <f>'Curvas SRY'!$E$8</f>
        <v>0.75</v>
      </c>
      <c r="D1456" s="14" t="str">
        <f>'Curvas SRY'!$B$14</f>
        <v>Uso variable</v>
      </c>
      <c r="E1456" s="14">
        <f>13</f>
        <v>13</v>
      </c>
      <c r="F1456" s="21">
        <f>'Hoja 4 - Cálculo'!A37</f>
        <v>29952</v>
      </c>
      <c r="G1456" s="15">
        <f>'Hoja 4 - Cálculo'!H37</f>
        <v>13.808249999999999</v>
      </c>
      <c r="H1456" s="15">
        <f>IF(D1456="Uso único",'Hoja 4 - Cálculo'!I37,IF(D1456="Uso múltiple",AVERAGE('Hoja 4 - Cálculo'!$I$25:$I$384)+AVERAGE('Hoja 4 - Cálculo'!$J$25:$J$384)+AVERAGE('Hoja 4 - Cálculo'!$K$25:$K$384),IF(D1456="Uso prioritario",'Hoja 4 - Cálculo'!I37+'Hoja 4 - Cálculo'!K37,'Hoja 4 - Cálculo'!I37+'Hoja 4 - Cálculo'!J37+'Hoja 4 - Cálculo'!K37)))</f>
        <v>16</v>
      </c>
      <c r="I1456" s="15">
        <f t="shared" si="320"/>
        <v>12</v>
      </c>
      <c r="J1456" s="15">
        <f t="shared" si="331"/>
        <v>10</v>
      </c>
      <c r="K1456" s="15">
        <f>MIN(J1456+G1456,(J1456+G1456)*'Hoja 4 - Cálculo'!$B$15)</f>
        <v>0.476165</v>
      </c>
      <c r="L1456" s="15">
        <f t="shared" si="321"/>
        <v>23.332084999999999</v>
      </c>
      <c r="M1456" s="15">
        <f t="shared" si="322"/>
        <v>12</v>
      </c>
      <c r="N1456" s="15">
        <f t="shared" si="323"/>
        <v>10</v>
      </c>
      <c r="O1456" s="15">
        <f t="shared" si="324"/>
        <v>1.3320849999999993</v>
      </c>
      <c r="P1456" s="15">
        <f t="shared" si="325"/>
        <v>0</v>
      </c>
      <c r="Q1456" s="14" t="str">
        <f>IF(M1456&gt;=I1456*'Hoja 4 - Cálculo'!$B$16,"Satisfactorio","Falla")</f>
        <v>Satisfactorio</v>
      </c>
      <c r="R1456" s="14">
        <f t="shared" si="332"/>
        <v>0</v>
      </c>
      <c r="S1456" s="14">
        <f t="shared" si="333"/>
        <v>0</v>
      </c>
    </row>
    <row r="1457" spans="1:19">
      <c r="A1457" s="14" t="str">
        <f t="shared" si="330"/>
        <v>SRY-5-1</v>
      </c>
      <c r="B1457" s="15">
        <f>'Curvas SRY'!$B$12</f>
        <v>10</v>
      </c>
      <c r="C1457" s="15">
        <f>'Curvas SRY'!$E$8</f>
        <v>0.75</v>
      </c>
      <c r="D1457" s="14" t="str">
        <f>'Curvas SRY'!$B$14</f>
        <v>Uso variable</v>
      </c>
      <c r="E1457" s="14">
        <f>14</f>
        <v>14</v>
      </c>
      <c r="F1457" s="21">
        <f>'Hoja 4 - Cálculo'!A38</f>
        <v>29983</v>
      </c>
      <c r="G1457" s="15">
        <f>'Hoja 4 - Cálculo'!H38</f>
        <v>15.472125</v>
      </c>
      <c r="H1457" s="15">
        <f>IF(D1457="Uso único",'Hoja 4 - Cálculo'!I38,IF(D1457="Uso múltiple",AVERAGE('Hoja 4 - Cálculo'!$I$25:$I$384)+AVERAGE('Hoja 4 - Cálculo'!$J$25:$J$384)+AVERAGE('Hoja 4 - Cálculo'!$K$25:$K$384),IF(D1457="Uso prioritario",'Hoja 4 - Cálculo'!I38+'Hoja 4 - Cálculo'!K38,'Hoja 4 - Cálculo'!I38+'Hoja 4 - Cálculo'!J38+'Hoja 4 - Cálculo'!K38)))</f>
        <v>16</v>
      </c>
      <c r="I1457" s="15">
        <f t="shared" si="320"/>
        <v>12</v>
      </c>
      <c r="J1457" s="15">
        <f t="shared" si="331"/>
        <v>10</v>
      </c>
      <c r="K1457" s="15">
        <f>MIN(J1457+G1457,(J1457+G1457)*'Hoja 4 - Cálculo'!$B$15)</f>
        <v>0.50944250000000002</v>
      </c>
      <c r="L1457" s="15">
        <f t="shared" si="321"/>
        <v>24.9626825</v>
      </c>
      <c r="M1457" s="15">
        <f t="shared" si="322"/>
        <v>12</v>
      </c>
      <c r="N1457" s="15">
        <f t="shared" si="323"/>
        <v>10</v>
      </c>
      <c r="O1457" s="15">
        <f t="shared" si="324"/>
        <v>2.9626824999999997</v>
      </c>
      <c r="P1457" s="15">
        <f t="shared" si="325"/>
        <v>0</v>
      </c>
      <c r="Q1457" s="14" t="str">
        <f>IF(M1457&gt;=I1457*'Hoja 4 - Cálculo'!$B$16,"Satisfactorio","Falla")</f>
        <v>Satisfactorio</v>
      </c>
      <c r="R1457" s="14">
        <f t="shared" si="332"/>
        <v>0</v>
      </c>
      <c r="S1457" s="14">
        <f t="shared" si="333"/>
        <v>0</v>
      </c>
    </row>
    <row r="1458" spans="1:19">
      <c r="A1458" s="14" t="str">
        <f t="shared" si="330"/>
        <v>SRY-5-1</v>
      </c>
      <c r="B1458" s="15">
        <f>'Curvas SRY'!$B$12</f>
        <v>10</v>
      </c>
      <c r="C1458" s="15">
        <f>'Curvas SRY'!$E$8</f>
        <v>0.75</v>
      </c>
      <c r="D1458" s="14" t="str">
        <f>'Curvas SRY'!$B$14</f>
        <v>Uso variable</v>
      </c>
      <c r="E1458" s="14">
        <f>15</f>
        <v>15</v>
      </c>
      <c r="F1458" s="21">
        <f>'Hoja 4 - Cálculo'!A39</f>
        <v>30011</v>
      </c>
      <c r="G1458" s="15">
        <f>'Hoja 4 - Cálculo'!H39</f>
        <v>22.338000000000001</v>
      </c>
      <c r="H1458" s="15">
        <f>IF(D1458="Uso único",'Hoja 4 - Cálculo'!I39,IF(D1458="Uso múltiple",AVERAGE('Hoja 4 - Cálculo'!$I$25:$I$384)+AVERAGE('Hoja 4 - Cálculo'!$J$25:$J$384)+AVERAGE('Hoja 4 - Cálculo'!$K$25:$K$384),IF(D1458="Uso prioritario",'Hoja 4 - Cálculo'!I39+'Hoja 4 - Cálculo'!K39,'Hoja 4 - Cálculo'!I39+'Hoja 4 - Cálculo'!J39+'Hoja 4 - Cálculo'!K39)))</f>
        <v>16</v>
      </c>
      <c r="I1458" s="15">
        <f t="shared" si="320"/>
        <v>12</v>
      </c>
      <c r="J1458" s="15">
        <f t="shared" si="331"/>
        <v>10</v>
      </c>
      <c r="K1458" s="15">
        <f>MIN(J1458+G1458,(J1458+G1458)*'Hoja 4 - Cálculo'!$B$15)</f>
        <v>0.64676</v>
      </c>
      <c r="L1458" s="15">
        <f t="shared" si="321"/>
        <v>31.691240000000001</v>
      </c>
      <c r="M1458" s="15">
        <f t="shared" si="322"/>
        <v>12</v>
      </c>
      <c r="N1458" s="15">
        <f t="shared" si="323"/>
        <v>10</v>
      </c>
      <c r="O1458" s="15">
        <f t="shared" si="324"/>
        <v>9.6912400000000005</v>
      </c>
      <c r="P1458" s="15">
        <f t="shared" si="325"/>
        <v>0</v>
      </c>
      <c r="Q1458" s="14" t="str">
        <f>IF(M1458&gt;=I1458*'Hoja 4 - Cálculo'!$B$16,"Satisfactorio","Falla")</f>
        <v>Satisfactorio</v>
      </c>
      <c r="R1458" s="14">
        <f t="shared" si="332"/>
        <v>0</v>
      </c>
      <c r="S1458" s="14">
        <f t="shared" si="333"/>
        <v>0</v>
      </c>
    </row>
    <row r="1459" spans="1:19">
      <c r="A1459" s="14" t="str">
        <f t="shared" si="330"/>
        <v>SRY-5-1</v>
      </c>
      <c r="B1459" s="15">
        <f>'Curvas SRY'!$B$12</f>
        <v>10</v>
      </c>
      <c r="C1459" s="15">
        <f>'Curvas SRY'!$E$8</f>
        <v>0.75</v>
      </c>
      <c r="D1459" s="14" t="str">
        <f>'Curvas SRY'!$B$14</f>
        <v>Uso variable</v>
      </c>
      <c r="E1459" s="14">
        <f>16</f>
        <v>16</v>
      </c>
      <c r="F1459" s="21">
        <f>'Hoja 4 - Cálculo'!A40</f>
        <v>30042</v>
      </c>
      <c r="G1459" s="15">
        <f>'Hoja 4 - Cálculo'!H40</f>
        <v>31.670999999999999</v>
      </c>
      <c r="H1459" s="15">
        <f>IF(D1459="Uso único",'Hoja 4 - Cálculo'!I40,IF(D1459="Uso múltiple",AVERAGE('Hoja 4 - Cálculo'!$I$25:$I$384)+AVERAGE('Hoja 4 - Cálculo'!$J$25:$J$384)+AVERAGE('Hoja 4 - Cálculo'!$K$25:$K$384),IF(D1459="Uso prioritario",'Hoja 4 - Cálculo'!I40+'Hoja 4 - Cálculo'!K40,'Hoja 4 - Cálculo'!I40+'Hoja 4 - Cálculo'!J40+'Hoja 4 - Cálculo'!K40)))</f>
        <v>11.5</v>
      </c>
      <c r="I1459" s="15">
        <f t="shared" si="320"/>
        <v>8.625</v>
      </c>
      <c r="J1459" s="15">
        <f t="shared" si="331"/>
        <v>10</v>
      </c>
      <c r="K1459" s="15">
        <f>MIN(J1459+G1459,(J1459+G1459)*'Hoja 4 - Cálculo'!$B$15)</f>
        <v>0.83342000000000005</v>
      </c>
      <c r="L1459" s="15">
        <f t="shared" si="321"/>
        <v>40.837580000000003</v>
      </c>
      <c r="M1459" s="15">
        <f t="shared" si="322"/>
        <v>8.625</v>
      </c>
      <c r="N1459" s="15">
        <f t="shared" si="323"/>
        <v>10</v>
      </c>
      <c r="O1459" s="15">
        <f t="shared" si="324"/>
        <v>22.212580000000003</v>
      </c>
      <c r="P1459" s="15">
        <f t="shared" si="325"/>
        <v>0</v>
      </c>
      <c r="Q1459" s="14" t="str">
        <f>IF(M1459&gt;=I1459*'Hoja 4 - Cálculo'!$B$16,"Satisfactorio","Falla")</f>
        <v>Satisfactorio</v>
      </c>
      <c r="R1459" s="14">
        <f t="shared" si="332"/>
        <v>0</v>
      </c>
      <c r="S1459" s="14">
        <f t="shared" si="333"/>
        <v>0</v>
      </c>
    </row>
    <row r="1460" spans="1:19">
      <c r="A1460" s="14" t="str">
        <f t="shared" si="330"/>
        <v>SRY-5-1</v>
      </c>
      <c r="B1460" s="15">
        <f>'Curvas SRY'!$B$12</f>
        <v>10</v>
      </c>
      <c r="C1460" s="15">
        <f>'Curvas SRY'!$E$8</f>
        <v>0.75</v>
      </c>
      <c r="D1460" s="14" t="str">
        <f>'Curvas SRY'!$B$14</f>
        <v>Uso variable</v>
      </c>
      <c r="E1460" s="14">
        <f>17</f>
        <v>17</v>
      </c>
      <c r="F1460" s="21">
        <f>'Hoja 4 - Cálculo'!A41</f>
        <v>30072</v>
      </c>
      <c r="G1460" s="15">
        <f>'Hoja 4 - Cálculo'!H41</f>
        <v>29.299499999999998</v>
      </c>
      <c r="H1460" s="15">
        <f>IF(D1460="Uso único",'Hoja 4 - Cálculo'!I41,IF(D1460="Uso múltiple",AVERAGE('Hoja 4 - Cálculo'!$I$25:$I$384)+AVERAGE('Hoja 4 - Cálculo'!$J$25:$J$384)+AVERAGE('Hoja 4 - Cálculo'!$K$25:$K$384),IF(D1460="Uso prioritario",'Hoja 4 - Cálculo'!I41+'Hoja 4 - Cálculo'!K41,'Hoja 4 - Cálculo'!I41+'Hoja 4 - Cálculo'!J41+'Hoja 4 - Cálculo'!K41)))</f>
        <v>11.5</v>
      </c>
      <c r="I1460" s="15">
        <f t="shared" si="320"/>
        <v>8.625</v>
      </c>
      <c r="J1460" s="15">
        <f t="shared" si="331"/>
        <v>10</v>
      </c>
      <c r="K1460" s="15">
        <f>MIN(J1460+G1460,(J1460+G1460)*'Hoja 4 - Cálculo'!$B$15)</f>
        <v>0.78598999999999997</v>
      </c>
      <c r="L1460" s="15">
        <f t="shared" si="321"/>
        <v>38.513509999999997</v>
      </c>
      <c r="M1460" s="15">
        <f t="shared" si="322"/>
        <v>8.625</v>
      </c>
      <c r="N1460" s="15">
        <f t="shared" si="323"/>
        <v>10</v>
      </c>
      <c r="O1460" s="15">
        <f t="shared" si="324"/>
        <v>19.888509999999997</v>
      </c>
      <c r="P1460" s="15">
        <f t="shared" si="325"/>
        <v>0</v>
      </c>
      <c r="Q1460" s="14" t="str">
        <f>IF(M1460&gt;=I1460*'Hoja 4 - Cálculo'!$B$16,"Satisfactorio","Falla")</f>
        <v>Satisfactorio</v>
      </c>
      <c r="R1460" s="14">
        <f t="shared" si="332"/>
        <v>0</v>
      </c>
      <c r="S1460" s="14">
        <f t="shared" si="333"/>
        <v>0</v>
      </c>
    </row>
    <row r="1461" spans="1:19">
      <c r="A1461" s="14" t="str">
        <f t="shared" si="330"/>
        <v>SRY-5-1</v>
      </c>
      <c r="B1461" s="15">
        <f>'Curvas SRY'!$B$12</f>
        <v>10</v>
      </c>
      <c r="C1461" s="15">
        <f>'Curvas SRY'!$E$8</f>
        <v>0.75</v>
      </c>
      <c r="D1461" s="14" t="str">
        <f>'Curvas SRY'!$B$14</f>
        <v>Uso variable</v>
      </c>
      <c r="E1461" s="14">
        <f>18</f>
        <v>18</v>
      </c>
      <c r="F1461" s="21">
        <f>'Hoja 4 - Cálculo'!A42</f>
        <v>30103</v>
      </c>
      <c r="G1461" s="15">
        <f>'Hoja 4 - Cálculo'!H42</f>
        <v>18.321750000000002</v>
      </c>
      <c r="H1461" s="15">
        <f>IF(D1461="Uso único",'Hoja 4 - Cálculo'!I42,IF(D1461="Uso múltiple",AVERAGE('Hoja 4 - Cálculo'!$I$25:$I$384)+AVERAGE('Hoja 4 - Cálculo'!$J$25:$J$384)+AVERAGE('Hoja 4 - Cálculo'!$K$25:$K$384),IF(D1461="Uso prioritario",'Hoja 4 - Cálculo'!I42+'Hoja 4 - Cálculo'!K42,'Hoja 4 - Cálculo'!I42+'Hoja 4 - Cálculo'!J42+'Hoja 4 - Cálculo'!K42)))</f>
        <v>11.5</v>
      </c>
      <c r="I1461" s="15">
        <f t="shared" si="320"/>
        <v>8.625</v>
      </c>
      <c r="J1461" s="15">
        <f t="shared" si="331"/>
        <v>10</v>
      </c>
      <c r="K1461" s="15">
        <f>MIN(J1461+G1461,(J1461+G1461)*'Hoja 4 - Cálculo'!$B$15)</f>
        <v>0.56643500000000002</v>
      </c>
      <c r="L1461" s="15">
        <f t="shared" si="321"/>
        <v>27.755315000000003</v>
      </c>
      <c r="M1461" s="15">
        <f t="shared" si="322"/>
        <v>8.625</v>
      </c>
      <c r="N1461" s="15">
        <f t="shared" si="323"/>
        <v>10</v>
      </c>
      <c r="O1461" s="15">
        <f t="shared" si="324"/>
        <v>9.1303150000000031</v>
      </c>
      <c r="P1461" s="15">
        <f t="shared" si="325"/>
        <v>0</v>
      </c>
      <c r="Q1461" s="14" t="str">
        <f>IF(M1461&gt;=I1461*'Hoja 4 - Cálculo'!$B$16,"Satisfactorio","Falla")</f>
        <v>Satisfactorio</v>
      </c>
      <c r="R1461" s="14">
        <f t="shared" si="332"/>
        <v>0</v>
      </c>
      <c r="S1461" s="14">
        <f t="shared" si="333"/>
        <v>0</v>
      </c>
    </row>
    <row r="1462" spans="1:19">
      <c r="A1462" s="14" t="str">
        <f t="shared" si="330"/>
        <v>SRY-5-1</v>
      </c>
      <c r="B1462" s="15">
        <f>'Curvas SRY'!$B$12</f>
        <v>10</v>
      </c>
      <c r="C1462" s="15">
        <f>'Curvas SRY'!$E$8</f>
        <v>0.75</v>
      </c>
      <c r="D1462" s="14" t="str">
        <f>'Curvas SRY'!$B$14</f>
        <v>Uso variable</v>
      </c>
      <c r="E1462" s="14">
        <f>19</f>
        <v>19</v>
      </c>
      <c r="F1462" s="21">
        <f>'Hoja 4 - Cálculo'!A43</f>
        <v>30133</v>
      </c>
      <c r="G1462" s="15">
        <f>'Hoja 4 - Cálculo'!H43</f>
        <v>15.3765</v>
      </c>
      <c r="H1462" s="15">
        <f>IF(D1462="Uso único",'Hoja 4 - Cálculo'!I43,IF(D1462="Uso múltiple",AVERAGE('Hoja 4 - Cálculo'!$I$25:$I$384)+AVERAGE('Hoja 4 - Cálculo'!$J$25:$J$384)+AVERAGE('Hoja 4 - Cálculo'!$K$25:$K$384),IF(D1462="Uso prioritario",'Hoja 4 - Cálculo'!I43+'Hoja 4 - Cálculo'!K43,'Hoja 4 - Cálculo'!I43+'Hoja 4 - Cálculo'!J43+'Hoja 4 - Cálculo'!K43)))</f>
        <v>16</v>
      </c>
      <c r="I1462" s="15">
        <f t="shared" si="320"/>
        <v>12</v>
      </c>
      <c r="J1462" s="15">
        <f t="shared" si="331"/>
        <v>10</v>
      </c>
      <c r="K1462" s="15">
        <f>MIN(J1462+G1462,(J1462+G1462)*'Hoja 4 - Cálculo'!$B$15)</f>
        <v>0.50753000000000004</v>
      </c>
      <c r="L1462" s="15">
        <f t="shared" si="321"/>
        <v>24.868970000000001</v>
      </c>
      <c r="M1462" s="15">
        <f t="shared" si="322"/>
        <v>12</v>
      </c>
      <c r="N1462" s="15">
        <f t="shared" si="323"/>
        <v>10</v>
      </c>
      <c r="O1462" s="15">
        <f t="shared" si="324"/>
        <v>2.8689700000000009</v>
      </c>
      <c r="P1462" s="15">
        <f t="shared" si="325"/>
        <v>0</v>
      </c>
      <c r="Q1462" s="14" t="str">
        <f>IF(M1462&gt;=I1462*'Hoja 4 - Cálculo'!$B$16,"Satisfactorio","Falla")</f>
        <v>Satisfactorio</v>
      </c>
      <c r="R1462" s="14">
        <f t="shared" si="332"/>
        <v>0</v>
      </c>
      <c r="S1462" s="14">
        <f t="shared" si="333"/>
        <v>0</v>
      </c>
    </row>
    <row r="1463" spans="1:19">
      <c r="A1463" s="14" t="str">
        <f t="shared" si="330"/>
        <v>SRY-5-1</v>
      </c>
      <c r="B1463" s="15">
        <f>'Curvas SRY'!$B$12</f>
        <v>10</v>
      </c>
      <c r="C1463" s="15">
        <f>'Curvas SRY'!$E$8</f>
        <v>0.75</v>
      </c>
      <c r="D1463" s="14" t="str">
        <f>'Curvas SRY'!$B$14</f>
        <v>Uso variable</v>
      </c>
      <c r="E1463" s="14">
        <f>20</f>
        <v>20</v>
      </c>
      <c r="F1463" s="21">
        <f>'Hoja 4 - Cálculo'!A44</f>
        <v>30164</v>
      </c>
      <c r="G1463" s="15">
        <f>'Hoja 4 - Cálculo'!H44</f>
        <v>16.466625000000001</v>
      </c>
      <c r="H1463" s="15">
        <f>IF(D1463="Uso único",'Hoja 4 - Cálculo'!I44,IF(D1463="Uso múltiple",AVERAGE('Hoja 4 - Cálculo'!$I$25:$I$384)+AVERAGE('Hoja 4 - Cálculo'!$J$25:$J$384)+AVERAGE('Hoja 4 - Cálculo'!$K$25:$K$384),IF(D1463="Uso prioritario",'Hoja 4 - Cálculo'!I44+'Hoja 4 - Cálculo'!K44,'Hoja 4 - Cálculo'!I44+'Hoja 4 - Cálculo'!J44+'Hoja 4 - Cálculo'!K44)))</f>
        <v>16</v>
      </c>
      <c r="I1463" s="15">
        <f t="shared" si="320"/>
        <v>12</v>
      </c>
      <c r="J1463" s="15">
        <f t="shared" si="331"/>
        <v>10</v>
      </c>
      <c r="K1463" s="15">
        <f>MIN(J1463+G1463,(J1463+G1463)*'Hoja 4 - Cálculo'!$B$15)</f>
        <v>0.52933249999999998</v>
      </c>
      <c r="L1463" s="15">
        <f t="shared" si="321"/>
        <v>25.937292500000002</v>
      </c>
      <c r="M1463" s="15">
        <f t="shared" si="322"/>
        <v>12</v>
      </c>
      <c r="N1463" s="15">
        <f t="shared" si="323"/>
        <v>10</v>
      </c>
      <c r="O1463" s="15">
        <f t="shared" si="324"/>
        <v>3.9372925000000016</v>
      </c>
      <c r="P1463" s="15">
        <f t="shared" si="325"/>
        <v>0</v>
      </c>
      <c r="Q1463" s="14" t="str">
        <f>IF(M1463&gt;=I1463*'Hoja 4 - Cálculo'!$B$16,"Satisfactorio","Falla")</f>
        <v>Satisfactorio</v>
      </c>
      <c r="R1463" s="14">
        <f t="shared" si="332"/>
        <v>0</v>
      </c>
      <c r="S1463" s="14">
        <f t="shared" si="333"/>
        <v>0</v>
      </c>
    </row>
    <row r="1464" spans="1:19">
      <c r="A1464" s="14" t="str">
        <f t="shared" si="330"/>
        <v>SRY-5-1</v>
      </c>
      <c r="B1464" s="15">
        <f>'Curvas SRY'!$B$12</f>
        <v>10</v>
      </c>
      <c r="C1464" s="15">
        <f>'Curvas SRY'!$E$8</f>
        <v>0.75</v>
      </c>
      <c r="D1464" s="14" t="str">
        <f>'Curvas SRY'!$B$14</f>
        <v>Uso variable</v>
      </c>
      <c r="E1464" s="14">
        <f>21</f>
        <v>21</v>
      </c>
      <c r="F1464" s="21">
        <f>'Hoja 4 - Cálculo'!A45</f>
        <v>30195</v>
      </c>
      <c r="G1464" s="15">
        <f>'Hoja 4 - Cálculo'!H45</f>
        <v>25.837875</v>
      </c>
      <c r="H1464" s="15">
        <f>IF(D1464="Uso único",'Hoja 4 - Cálculo'!I45,IF(D1464="Uso múltiple",AVERAGE('Hoja 4 - Cálculo'!$I$25:$I$384)+AVERAGE('Hoja 4 - Cálculo'!$J$25:$J$384)+AVERAGE('Hoja 4 - Cálculo'!$K$25:$K$384),IF(D1464="Uso prioritario",'Hoja 4 - Cálculo'!I45+'Hoja 4 - Cálculo'!K45,'Hoja 4 - Cálculo'!I45+'Hoja 4 - Cálculo'!J45+'Hoja 4 - Cálculo'!K45)))</f>
        <v>11.5</v>
      </c>
      <c r="I1464" s="15">
        <f t="shared" si="320"/>
        <v>8.625</v>
      </c>
      <c r="J1464" s="15">
        <f t="shared" si="331"/>
        <v>10</v>
      </c>
      <c r="K1464" s="15">
        <f>MIN(J1464+G1464,(J1464+G1464)*'Hoja 4 - Cálculo'!$B$15)</f>
        <v>0.71675749999999994</v>
      </c>
      <c r="L1464" s="15">
        <f t="shared" si="321"/>
        <v>35.121117499999997</v>
      </c>
      <c r="M1464" s="15">
        <f t="shared" si="322"/>
        <v>8.625</v>
      </c>
      <c r="N1464" s="15">
        <f t="shared" si="323"/>
        <v>10</v>
      </c>
      <c r="O1464" s="15">
        <f t="shared" si="324"/>
        <v>16.496117499999997</v>
      </c>
      <c r="P1464" s="15">
        <f t="shared" si="325"/>
        <v>0</v>
      </c>
      <c r="Q1464" s="14" t="str">
        <f>IF(M1464&gt;=I1464*'Hoja 4 - Cálculo'!$B$16,"Satisfactorio","Falla")</f>
        <v>Satisfactorio</v>
      </c>
      <c r="R1464" s="14">
        <f t="shared" si="332"/>
        <v>0</v>
      </c>
      <c r="S1464" s="14">
        <f t="shared" si="333"/>
        <v>0</v>
      </c>
    </row>
    <row r="1465" spans="1:19">
      <c r="A1465" s="14" t="str">
        <f t="shared" si="330"/>
        <v>SRY-5-1</v>
      </c>
      <c r="B1465" s="15">
        <f>'Curvas SRY'!$B$12</f>
        <v>10</v>
      </c>
      <c r="C1465" s="15">
        <f>'Curvas SRY'!$E$8</f>
        <v>0.75</v>
      </c>
      <c r="D1465" s="14" t="str">
        <f>'Curvas SRY'!$B$14</f>
        <v>Uso variable</v>
      </c>
      <c r="E1465" s="14">
        <f>22</f>
        <v>22</v>
      </c>
      <c r="F1465" s="21">
        <f>'Hoja 4 - Cálculo'!A46</f>
        <v>30225</v>
      </c>
      <c r="G1465" s="15">
        <f>'Hoja 4 - Cálculo'!H46</f>
        <v>33.46875</v>
      </c>
      <c r="H1465" s="15">
        <f>IF(D1465="Uso único",'Hoja 4 - Cálculo'!I46,IF(D1465="Uso múltiple",AVERAGE('Hoja 4 - Cálculo'!$I$25:$I$384)+AVERAGE('Hoja 4 - Cálculo'!$J$25:$J$384)+AVERAGE('Hoja 4 - Cálculo'!$K$25:$K$384),IF(D1465="Uso prioritario",'Hoja 4 - Cálculo'!I46+'Hoja 4 - Cálculo'!K46,'Hoja 4 - Cálculo'!I46+'Hoja 4 - Cálculo'!J46+'Hoja 4 - Cálculo'!K46)))</f>
        <v>11.5</v>
      </c>
      <c r="I1465" s="15">
        <f t="shared" si="320"/>
        <v>8.625</v>
      </c>
      <c r="J1465" s="15">
        <f t="shared" si="331"/>
        <v>10</v>
      </c>
      <c r="K1465" s="15">
        <f>MIN(J1465+G1465,(J1465+G1465)*'Hoja 4 - Cálculo'!$B$15)</f>
        <v>0.86937500000000001</v>
      </c>
      <c r="L1465" s="15">
        <f t="shared" si="321"/>
        <v>42.599375000000002</v>
      </c>
      <c r="M1465" s="15">
        <f t="shared" si="322"/>
        <v>8.625</v>
      </c>
      <c r="N1465" s="15">
        <f t="shared" si="323"/>
        <v>10</v>
      </c>
      <c r="O1465" s="15">
        <f t="shared" si="324"/>
        <v>23.974375000000002</v>
      </c>
      <c r="P1465" s="15">
        <f t="shared" si="325"/>
        <v>0</v>
      </c>
      <c r="Q1465" s="14" t="str">
        <f>IF(M1465&gt;=I1465*'Hoja 4 - Cálculo'!$B$16,"Satisfactorio","Falla")</f>
        <v>Satisfactorio</v>
      </c>
      <c r="R1465" s="14">
        <f t="shared" si="332"/>
        <v>0</v>
      </c>
      <c r="S1465" s="14">
        <f t="shared" si="333"/>
        <v>0</v>
      </c>
    </row>
    <row r="1466" spans="1:19">
      <c r="A1466" s="14" t="str">
        <f t="shared" si="330"/>
        <v>SRY-5-1</v>
      </c>
      <c r="B1466" s="15">
        <f>'Curvas SRY'!$B$12</f>
        <v>10</v>
      </c>
      <c r="C1466" s="15">
        <f>'Curvas SRY'!$E$8</f>
        <v>0.75</v>
      </c>
      <c r="D1466" s="14" t="str">
        <f>'Curvas SRY'!$B$14</f>
        <v>Uso variable</v>
      </c>
      <c r="E1466" s="14">
        <f>23</f>
        <v>23</v>
      </c>
      <c r="F1466" s="21">
        <f>'Hoja 4 - Cálculo'!A47</f>
        <v>30256</v>
      </c>
      <c r="G1466" s="15">
        <f>'Hoja 4 - Cálculo'!H47</f>
        <v>27.578250000000001</v>
      </c>
      <c r="H1466" s="15">
        <f>IF(D1466="Uso único",'Hoja 4 - Cálculo'!I47,IF(D1466="Uso múltiple",AVERAGE('Hoja 4 - Cálculo'!$I$25:$I$384)+AVERAGE('Hoja 4 - Cálculo'!$J$25:$J$384)+AVERAGE('Hoja 4 - Cálculo'!$K$25:$K$384),IF(D1466="Uso prioritario",'Hoja 4 - Cálculo'!I47+'Hoja 4 - Cálculo'!K47,'Hoja 4 - Cálculo'!I47+'Hoja 4 - Cálculo'!J47+'Hoja 4 - Cálculo'!K47)))</f>
        <v>11.5</v>
      </c>
      <c r="I1466" s="15">
        <f t="shared" si="320"/>
        <v>8.625</v>
      </c>
      <c r="J1466" s="15">
        <f t="shared" si="331"/>
        <v>10</v>
      </c>
      <c r="K1466" s="15">
        <f>MIN(J1466+G1466,(J1466+G1466)*'Hoja 4 - Cálculo'!$B$15)</f>
        <v>0.75156499999999993</v>
      </c>
      <c r="L1466" s="15">
        <f t="shared" si="321"/>
        <v>36.826684999999998</v>
      </c>
      <c r="M1466" s="15">
        <f t="shared" si="322"/>
        <v>8.625</v>
      </c>
      <c r="N1466" s="15">
        <f t="shared" si="323"/>
        <v>10</v>
      </c>
      <c r="O1466" s="15">
        <f t="shared" si="324"/>
        <v>18.201684999999998</v>
      </c>
      <c r="P1466" s="15">
        <f t="shared" si="325"/>
        <v>0</v>
      </c>
      <c r="Q1466" s="14" t="str">
        <f>IF(M1466&gt;=I1466*'Hoja 4 - Cálculo'!$B$16,"Satisfactorio","Falla")</f>
        <v>Satisfactorio</v>
      </c>
      <c r="R1466" s="14">
        <f t="shared" si="332"/>
        <v>0</v>
      </c>
      <c r="S1466" s="14">
        <f t="shared" si="333"/>
        <v>0</v>
      </c>
    </row>
    <row r="1467" spans="1:19">
      <c r="A1467" s="14" t="str">
        <f t="shared" si="330"/>
        <v>SRY-5-1</v>
      </c>
      <c r="B1467" s="15">
        <f>'Curvas SRY'!$B$12</f>
        <v>10</v>
      </c>
      <c r="C1467" s="15">
        <f>'Curvas SRY'!$E$8</f>
        <v>0.75</v>
      </c>
      <c r="D1467" s="14" t="str">
        <f>'Curvas SRY'!$B$14</f>
        <v>Uso variable</v>
      </c>
      <c r="E1467" s="14">
        <f>24</f>
        <v>24</v>
      </c>
      <c r="F1467" s="21">
        <f>'Hoja 4 - Cálculo'!A48</f>
        <v>30286</v>
      </c>
      <c r="G1467" s="15">
        <f>'Hoja 4 - Cálculo'!H48</f>
        <v>16.256250000000001</v>
      </c>
      <c r="H1467" s="15">
        <f>IF(D1467="Uso único",'Hoja 4 - Cálculo'!I48,IF(D1467="Uso múltiple",AVERAGE('Hoja 4 - Cálculo'!$I$25:$I$384)+AVERAGE('Hoja 4 - Cálculo'!$J$25:$J$384)+AVERAGE('Hoja 4 - Cálculo'!$K$25:$K$384),IF(D1467="Uso prioritario",'Hoja 4 - Cálculo'!I48+'Hoja 4 - Cálculo'!K48,'Hoja 4 - Cálculo'!I48+'Hoja 4 - Cálculo'!J48+'Hoja 4 - Cálculo'!K48)))</f>
        <v>16</v>
      </c>
      <c r="I1467" s="15">
        <f t="shared" si="320"/>
        <v>12</v>
      </c>
      <c r="J1467" s="15">
        <f t="shared" si="331"/>
        <v>10</v>
      </c>
      <c r="K1467" s="15">
        <f>MIN(J1467+G1467,(J1467+G1467)*'Hoja 4 - Cálculo'!$B$15)</f>
        <v>0.52512500000000006</v>
      </c>
      <c r="L1467" s="15">
        <f t="shared" si="321"/>
        <v>25.731125000000002</v>
      </c>
      <c r="M1467" s="15">
        <f t="shared" si="322"/>
        <v>12</v>
      </c>
      <c r="N1467" s="15">
        <f t="shared" si="323"/>
        <v>10</v>
      </c>
      <c r="O1467" s="15">
        <f t="shared" si="324"/>
        <v>3.7311250000000022</v>
      </c>
      <c r="P1467" s="15">
        <f t="shared" si="325"/>
        <v>0</v>
      </c>
      <c r="Q1467" s="14" t="str">
        <f>IF(M1467&gt;=I1467*'Hoja 4 - Cálculo'!$B$16,"Satisfactorio","Falla")</f>
        <v>Satisfactorio</v>
      </c>
      <c r="R1467" s="14">
        <f t="shared" si="332"/>
        <v>0</v>
      </c>
      <c r="S1467" s="14">
        <f t="shared" si="333"/>
        <v>0</v>
      </c>
    </row>
    <row r="1468" spans="1:19">
      <c r="A1468" s="14" t="str">
        <f t="shared" si="330"/>
        <v>SRY-5-1</v>
      </c>
      <c r="B1468" s="15">
        <f>'Curvas SRY'!$B$12</f>
        <v>10</v>
      </c>
      <c r="C1468" s="15">
        <f>'Curvas SRY'!$E$8</f>
        <v>0.75</v>
      </c>
      <c r="D1468" s="14" t="str">
        <f>'Curvas SRY'!$B$14</f>
        <v>Uso variable</v>
      </c>
      <c r="E1468" s="14">
        <f>25</f>
        <v>25</v>
      </c>
      <c r="F1468" s="21">
        <f>'Hoja 4 - Cálculo'!A49</f>
        <v>30317</v>
      </c>
      <c r="G1468" s="15">
        <f>'Hoja 4 - Cálculo'!H49</f>
        <v>12.775499999999999</v>
      </c>
      <c r="H1468" s="15">
        <f>IF(D1468="Uso único",'Hoja 4 - Cálculo'!I49,IF(D1468="Uso múltiple",AVERAGE('Hoja 4 - Cálculo'!$I$25:$I$384)+AVERAGE('Hoja 4 - Cálculo'!$J$25:$J$384)+AVERAGE('Hoja 4 - Cálculo'!$K$25:$K$384),IF(D1468="Uso prioritario",'Hoja 4 - Cálculo'!I49+'Hoja 4 - Cálculo'!K49,'Hoja 4 - Cálculo'!I49+'Hoja 4 - Cálculo'!J49+'Hoja 4 - Cálculo'!K49)))</f>
        <v>16</v>
      </c>
      <c r="I1468" s="15">
        <f t="shared" si="320"/>
        <v>12</v>
      </c>
      <c r="J1468" s="15">
        <f t="shared" si="331"/>
        <v>10</v>
      </c>
      <c r="K1468" s="15">
        <f>MIN(J1468+G1468,(J1468+G1468)*'Hoja 4 - Cálculo'!$B$15)</f>
        <v>0.45551000000000003</v>
      </c>
      <c r="L1468" s="15">
        <f t="shared" si="321"/>
        <v>22.319990000000001</v>
      </c>
      <c r="M1468" s="15">
        <f t="shared" si="322"/>
        <v>12</v>
      </c>
      <c r="N1468" s="15">
        <f t="shared" si="323"/>
        <v>10</v>
      </c>
      <c r="O1468" s="15">
        <f t="shared" si="324"/>
        <v>0.31999000000000066</v>
      </c>
      <c r="P1468" s="15">
        <f t="shared" si="325"/>
        <v>0</v>
      </c>
      <c r="Q1468" s="14" t="str">
        <f>IF(M1468&gt;=I1468*'Hoja 4 - Cálculo'!$B$16,"Satisfactorio","Falla")</f>
        <v>Satisfactorio</v>
      </c>
      <c r="R1468" s="14">
        <f t="shared" si="332"/>
        <v>0</v>
      </c>
      <c r="S1468" s="14">
        <f t="shared" si="333"/>
        <v>0</v>
      </c>
    </row>
    <row r="1469" spans="1:19">
      <c r="A1469" s="14" t="str">
        <f t="shared" si="330"/>
        <v>SRY-5-1</v>
      </c>
      <c r="B1469" s="15">
        <f>'Curvas SRY'!$B$12</f>
        <v>10</v>
      </c>
      <c r="C1469" s="15">
        <f>'Curvas SRY'!$E$8</f>
        <v>0.75</v>
      </c>
      <c r="D1469" s="14" t="str">
        <f>'Curvas SRY'!$B$14</f>
        <v>Uso variable</v>
      </c>
      <c r="E1469" s="14">
        <f>26</f>
        <v>26</v>
      </c>
      <c r="F1469" s="21">
        <f>'Hoja 4 - Cálculo'!A50</f>
        <v>30348</v>
      </c>
      <c r="G1469" s="15">
        <f>'Hoja 4 - Cálculo'!H50</f>
        <v>14.49675</v>
      </c>
      <c r="H1469" s="15">
        <f>IF(D1469="Uso único",'Hoja 4 - Cálculo'!I50,IF(D1469="Uso múltiple",AVERAGE('Hoja 4 - Cálculo'!$I$25:$I$384)+AVERAGE('Hoja 4 - Cálculo'!$J$25:$J$384)+AVERAGE('Hoja 4 - Cálculo'!$K$25:$K$384),IF(D1469="Uso prioritario",'Hoja 4 - Cálculo'!I50+'Hoja 4 - Cálculo'!K50,'Hoja 4 - Cálculo'!I50+'Hoja 4 - Cálculo'!J50+'Hoja 4 - Cálculo'!K50)))</f>
        <v>16</v>
      </c>
      <c r="I1469" s="15">
        <f t="shared" si="320"/>
        <v>12</v>
      </c>
      <c r="J1469" s="15">
        <f t="shared" si="331"/>
        <v>10</v>
      </c>
      <c r="K1469" s="15">
        <f>MIN(J1469+G1469,(J1469+G1469)*'Hoja 4 - Cálculo'!$B$15)</f>
        <v>0.48993500000000001</v>
      </c>
      <c r="L1469" s="15">
        <f t="shared" si="321"/>
        <v>24.006815</v>
      </c>
      <c r="M1469" s="15">
        <f t="shared" si="322"/>
        <v>12</v>
      </c>
      <c r="N1469" s="15">
        <f t="shared" si="323"/>
        <v>10</v>
      </c>
      <c r="O1469" s="15">
        <f t="shared" si="324"/>
        <v>2.0068149999999996</v>
      </c>
      <c r="P1469" s="15">
        <f t="shared" si="325"/>
        <v>0</v>
      </c>
      <c r="Q1469" s="14" t="str">
        <f>IF(M1469&gt;=I1469*'Hoja 4 - Cálculo'!$B$16,"Satisfactorio","Falla")</f>
        <v>Satisfactorio</v>
      </c>
      <c r="R1469" s="14">
        <f t="shared" si="332"/>
        <v>0</v>
      </c>
      <c r="S1469" s="14">
        <f t="shared" si="333"/>
        <v>0</v>
      </c>
    </row>
    <row r="1470" spans="1:19">
      <c r="A1470" s="14" t="str">
        <f t="shared" si="330"/>
        <v>SRY-5-1</v>
      </c>
      <c r="B1470" s="15">
        <f>'Curvas SRY'!$B$12</f>
        <v>10</v>
      </c>
      <c r="C1470" s="15">
        <f>'Curvas SRY'!$E$8</f>
        <v>0.75</v>
      </c>
      <c r="D1470" s="14" t="str">
        <f>'Curvas SRY'!$B$14</f>
        <v>Uso variable</v>
      </c>
      <c r="E1470" s="14">
        <f>27</f>
        <v>27</v>
      </c>
      <c r="F1470" s="21">
        <f>'Hoja 4 - Cálculo'!A51</f>
        <v>30376</v>
      </c>
      <c r="G1470" s="15">
        <f>'Hoja 4 - Cálculo'!H51</f>
        <v>21.936375000000002</v>
      </c>
      <c r="H1470" s="15">
        <f>IF(D1470="Uso único",'Hoja 4 - Cálculo'!I51,IF(D1470="Uso múltiple",AVERAGE('Hoja 4 - Cálculo'!$I$25:$I$384)+AVERAGE('Hoja 4 - Cálculo'!$J$25:$J$384)+AVERAGE('Hoja 4 - Cálculo'!$K$25:$K$384),IF(D1470="Uso prioritario",'Hoja 4 - Cálculo'!I51+'Hoja 4 - Cálculo'!K51,'Hoja 4 - Cálculo'!I51+'Hoja 4 - Cálculo'!J51+'Hoja 4 - Cálculo'!K51)))</f>
        <v>16</v>
      </c>
      <c r="I1470" s="15">
        <f t="shared" si="320"/>
        <v>12</v>
      </c>
      <c r="J1470" s="15">
        <f t="shared" si="331"/>
        <v>10</v>
      </c>
      <c r="K1470" s="15">
        <f>MIN(J1470+G1470,(J1470+G1470)*'Hoja 4 - Cálculo'!$B$15)</f>
        <v>0.6387275</v>
      </c>
      <c r="L1470" s="15">
        <f t="shared" si="321"/>
        <v>31.2976475</v>
      </c>
      <c r="M1470" s="15">
        <f t="shared" si="322"/>
        <v>12</v>
      </c>
      <c r="N1470" s="15">
        <f t="shared" si="323"/>
        <v>10</v>
      </c>
      <c r="O1470" s="15">
        <f t="shared" si="324"/>
        <v>9.2976475000000001</v>
      </c>
      <c r="P1470" s="15">
        <f t="shared" si="325"/>
        <v>0</v>
      </c>
      <c r="Q1470" s="14" t="str">
        <f>IF(M1470&gt;=I1470*'Hoja 4 - Cálculo'!$B$16,"Satisfactorio","Falla")</f>
        <v>Satisfactorio</v>
      </c>
      <c r="R1470" s="14">
        <f t="shared" si="332"/>
        <v>0</v>
      </c>
      <c r="S1470" s="14">
        <f t="shared" si="333"/>
        <v>0</v>
      </c>
    </row>
    <row r="1471" spans="1:19">
      <c r="A1471" s="14" t="str">
        <f t="shared" si="330"/>
        <v>SRY-5-1</v>
      </c>
      <c r="B1471" s="15">
        <f>'Curvas SRY'!$B$12</f>
        <v>10</v>
      </c>
      <c r="C1471" s="15">
        <f>'Curvas SRY'!$E$8</f>
        <v>0.75</v>
      </c>
      <c r="D1471" s="14" t="str">
        <f>'Curvas SRY'!$B$14</f>
        <v>Uso variable</v>
      </c>
      <c r="E1471" s="14">
        <f>28</f>
        <v>28</v>
      </c>
      <c r="F1471" s="21">
        <f>'Hoja 4 - Cálculo'!A52</f>
        <v>30407</v>
      </c>
      <c r="G1471" s="15">
        <f>'Hoja 4 - Cálculo'!H52</f>
        <v>32.263874999999999</v>
      </c>
      <c r="H1471" s="15">
        <f>IF(D1471="Uso único",'Hoja 4 - Cálculo'!I52,IF(D1471="Uso múltiple",AVERAGE('Hoja 4 - Cálculo'!$I$25:$I$384)+AVERAGE('Hoja 4 - Cálculo'!$J$25:$J$384)+AVERAGE('Hoja 4 - Cálculo'!$K$25:$K$384),IF(D1471="Uso prioritario",'Hoja 4 - Cálculo'!I52+'Hoja 4 - Cálculo'!K52,'Hoja 4 - Cálculo'!I52+'Hoja 4 - Cálculo'!J52+'Hoja 4 - Cálculo'!K52)))</f>
        <v>11.5</v>
      </c>
      <c r="I1471" s="15">
        <f t="shared" si="320"/>
        <v>8.625</v>
      </c>
      <c r="J1471" s="15">
        <f t="shared" si="331"/>
        <v>10</v>
      </c>
      <c r="K1471" s="15">
        <f>MIN(J1471+G1471,(J1471+G1471)*'Hoja 4 - Cálculo'!$B$15)</f>
        <v>0.84527750000000001</v>
      </c>
      <c r="L1471" s="15">
        <f t="shared" si="321"/>
        <v>41.418597499999997</v>
      </c>
      <c r="M1471" s="15">
        <f t="shared" si="322"/>
        <v>8.625</v>
      </c>
      <c r="N1471" s="15">
        <f t="shared" si="323"/>
        <v>10</v>
      </c>
      <c r="O1471" s="15">
        <f t="shared" si="324"/>
        <v>22.793597499999997</v>
      </c>
      <c r="P1471" s="15">
        <f t="shared" si="325"/>
        <v>0</v>
      </c>
      <c r="Q1471" s="14" t="str">
        <f>IF(M1471&gt;=I1471*'Hoja 4 - Cálculo'!$B$16,"Satisfactorio","Falla")</f>
        <v>Satisfactorio</v>
      </c>
      <c r="R1471" s="14">
        <f t="shared" si="332"/>
        <v>0</v>
      </c>
      <c r="S1471" s="14">
        <f t="shared" si="333"/>
        <v>0</v>
      </c>
    </row>
    <row r="1472" spans="1:19">
      <c r="A1472" s="14" t="str">
        <f t="shared" si="330"/>
        <v>SRY-5-1</v>
      </c>
      <c r="B1472" s="15">
        <f>'Curvas SRY'!$B$12</f>
        <v>10</v>
      </c>
      <c r="C1472" s="15">
        <f>'Curvas SRY'!$E$8</f>
        <v>0.75</v>
      </c>
      <c r="D1472" s="14" t="str">
        <f>'Curvas SRY'!$B$14</f>
        <v>Uso variable</v>
      </c>
      <c r="E1472" s="14">
        <f>29</f>
        <v>29</v>
      </c>
      <c r="F1472" s="21">
        <f>'Hoja 4 - Cálculo'!A53</f>
        <v>30437</v>
      </c>
      <c r="G1472" s="15">
        <f>'Hoja 4 - Cálculo'!H53</f>
        <v>29.356874999999999</v>
      </c>
      <c r="H1472" s="15">
        <f>IF(D1472="Uso único",'Hoja 4 - Cálculo'!I53,IF(D1472="Uso múltiple",AVERAGE('Hoja 4 - Cálculo'!$I$25:$I$384)+AVERAGE('Hoja 4 - Cálculo'!$J$25:$J$384)+AVERAGE('Hoja 4 - Cálculo'!$K$25:$K$384),IF(D1472="Uso prioritario",'Hoja 4 - Cálculo'!I53+'Hoja 4 - Cálculo'!K53,'Hoja 4 - Cálculo'!I53+'Hoja 4 - Cálculo'!J53+'Hoja 4 - Cálculo'!K53)))</f>
        <v>11.5</v>
      </c>
      <c r="I1472" s="15">
        <f t="shared" si="320"/>
        <v>8.625</v>
      </c>
      <c r="J1472" s="15">
        <f t="shared" si="331"/>
        <v>10</v>
      </c>
      <c r="K1472" s="15">
        <f>MIN(J1472+G1472,(J1472+G1472)*'Hoja 4 - Cálculo'!$B$15)</f>
        <v>0.78713750000000005</v>
      </c>
      <c r="L1472" s="15">
        <f t="shared" si="321"/>
        <v>38.569737500000002</v>
      </c>
      <c r="M1472" s="15">
        <f t="shared" si="322"/>
        <v>8.625</v>
      </c>
      <c r="N1472" s="15">
        <f t="shared" si="323"/>
        <v>10</v>
      </c>
      <c r="O1472" s="15">
        <f t="shared" si="324"/>
        <v>19.944737500000002</v>
      </c>
      <c r="P1472" s="15">
        <f t="shared" si="325"/>
        <v>0</v>
      </c>
      <c r="Q1472" s="14" t="str">
        <f>IF(M1472&gt;=I1472*'Hoja 4 - Cálculo'!$B$16,"Satisfactorio","Falla")</f>
        <v>Satisfactorio</v>
      </c>
      <c r="R1472" s="14">
        <f t="shared" si="332"/>
        <v>0</v>
      </c>
      <c r="S1472" s="14">
        <f t="shared" si="333"/>
        <v>0</v>
      </c>
    </row>
    <row r="1473" spans="1:19">
      <c r="A1473" s="14" t="str">
        <f t="shared" si="330"/>
        <v>SRY-5-1</v>
      </c>
      <c r="B1473" s="15">
        <f>'Curvas SRY'!$B$12</f>
        <v>10</v>
      </c>
      <c r="C1473" s="15">
        <f>'Curvas SRY'!$E$8</f>
        <v>0.75</v>
      </c>
      <c r="D1473" s="14" t="str">
        <f>'Curvas SRY'!$B$14</f>
        <v>Uso variable</v>
      </c>
      <c r="E1473" s="14">
        <f>30</f>
        <v>30</v>
      </c>
      <c r="F1473" s="21">
        <f>'Hoja 4 - Cálculo'!A54</f>
        <v>30468</v>
      </c>
      <c r="G1473" s="15">
        <f>'Hoja 4 - Cálculo'!H54</f>
        <v>17.212499999999999</v>
      </c>
      <c r="H1473" s="15">
        <f>IF(D1473="Uso único",'Hoja 4 - Cálculo'!I54,IF(D1473="Uso múltiple",AVERAGE('Hoja 4 - Cálculo'!$I$25:$I$384)+AVERAGE('Hoja 4 - Cálculo'!$J$25:$J$384)+AVERAGE('Hoja 4 - Cálculo'!$K$25:$K$384),IF(D1473="Uso prioritario",'Hoja 4 - Cálculo'!I54+'Hoja 4 - Cálculo'!K54,'Hoja 4 - Cálculo'!I54+'Hoja 4 - Cálculo'!J54+'Hoja 4 - Cálculo'!K54)))</f>
        <v>11.5</v>
      </c>
      <c r="I1473" s="15">
        <f t="shared" si="320"/>
        <v>8.625</v>
      </c>
      <c r="J1473" s="15">
        <f t="shared" si="331"/>
        <v>10</v>
      </c>
      <c r="K1473" s="15">
        <f>MIN(J1473+G1473,(J1473+G1473)*'Hoja 4 - Cálculo'!$B$15)</f>
        <v>0.54425000000000001</v>
      </c>
      <c r="L1473" s="15">
        <f t="shared" si="321"/>
        <v>26.668249999999997</v>
      </c>
      <c r="M1473" s="15">
        <f t="shared" si="322"/>
        <v>8.625</v>
      </c>
      <c r="N1473" s="15">
        <f t="shared" si="323"/>
        <v>10</v>
      </c>
      <c r="O1473" s="15">
        <f t="shared" si="324"/>
        <v>8.0432499999999969</v>
      </c>
      <c r="P1473" s="15">
        <f t="shared" si="325"/>
        <v>0</v>
      </c>
      <c r="Q1473" s="14" t="str">
        <f>IF(M1473&gt;=I1473*'Hoja 4 - Cálculo'!$B$16,"Satisfactorio","Falla")</f>
        <v>Satisfactorio</v>
      </c>
      <c r="R1473" s="14">
        <f t="shared" si="332"/>
        <v>0</v>
      </c>
      <c r="S1473" s="14">
        <f t="shared" si="333"/>
        <v>0</v>
      </c>
    </row>
    <row r="1474" spans="1:19">
      <c r="A1474" s="14" t="str">
        <f t="shared" si="330"/>
        <v>SRY-5-1</v>
      </c>
      <c r="B1474" s="15">
        <f>'Curvas SRY'!$B$12</f>
        <v>10</v>
      </c>
      <c r="C1474" s="15">
        <f>'Curvas SRY'!$E$8</f>
        <v>0.75</v>
      </c>
      <c r="D1474" s="14" t="str">
        <f>'Curvas SRY'!$B$14</f>
        <v>Uso variable</v>
      </c>
      <c r="E1474" s="14">
        <f>31</f>
        <v>31</v>
      </c>
      <c r="F1474" s="21">
        <f>'Hoja 4 - Cálculo'!A55</f>
        <v>30498</v>
      </c>
      <c r="G1474" s="15">
        <f>'Hoja 4 - Cálculo'!H55</f>
        <v>13.597875</v>
      </c>
      <c r="H1474" s="15">
        <f>IF(D1474="Uso único",'Hoja 4 - Cálculo'!I55,IF(D1474="Uso múltiple",AVERAGE('Hoja 4 - Cálculo'!$I$25:$I$384)+AVERAGE('Hoja 4 - Cálculo'!$J$25:$J$384)+AVERAGE('Hoja 4 - Cálculo'!$K$25:$K$384),IF(D1474="Uso prioritario",'Hoja 4 - Cálculo'!I55+'Hoja 4 - Cálculo'!K55,'Hoja 4 - Cálculo'!I55+'Hoja 4 - Cálculo'!J55+'Hoja 4 - Cálculo'!K55)))</f>
        <v>16</v>
      </c>
      <c r="I1474" s="15">
        <f t="shared" si="320"/>
        <v>12</v>
      </c>
      <c r="J1474" s="15">
        <f t="shared" si="331"/>
        <v>10</v>
      </c>
      <c r="K1474" s="15">
        <f>MIN(J1474+G1474,(J1474+G1474)*'Hoja 4 - Cálculo'!$B$15)</f>
        <v>0.47195750000000003</v>
      </c>
      <c r="L1474" s="15">
        <f t="shared" si="321"/>
        <v>23.125917500000003</v>
      </c>
      <c r="M1474" s="15">
        <f t="shared" si="322"/>
        <v>12</v>
      </c>
      <c r="N1474" s="15">
        <f t="shared" si="323"/>
        <v>10</v>
      </c>
      <c r="O1474" s="15">
        <f t="shared" si="324"/>
        <v>1.1259175000000035</v>
      </c>
      <c r="P1474" s="15">
        <f t="shared" si="325"/>
        <v>0</v>
      </c>
      <c r="Q1474" s="14" t="str">
        <f>IF(M1474&gt;=I1474*'Hoja 4 - Cálculo'!$B$16,"Satisfactorio","Falla")</f>
        <v>Satisfactorio</v>
      </c>
      <c r="R1474" s="14">
        <f t="shared" si="332"/>
        <v>0</v>
      </c>
      <c r="S1474" s="14">
        <f t="shared" si="333"/>
        <v>0</v>
      </c>
    </row>
    <row r="1475" spans="1:19">
      <c r="A1475" s="14" t="str">
        <f t="shared" si="330"/>
        <v>SRY-5-1</v>
      </c>
      <c r="B1475" s="15">
        <f>'Curvas SRY'!$B$12</f>
        <v>10</v>
      </c>
      <c r="C1475" s="15">
        <f>'Curvas SRY'!$E$8</f>
        <v>0.75</v>
      </c>
      <c r="D1475" s="14" t="str">
        <f>'Curvas SRY'!$B$14</f>
        <v>Uso variable</v>
      </c>
      <c r="E1475" s="14">
        <f>32</f>
        <v>32</v>
      </c>
      <c r="F1475" s="21">
        <f>'Hoja 4 - Cálculo'!A56</f>
        <v>30529</v>
      </c>
      <c r="G1475" s="15">
        <f>'Hoja 4 - Cálculo'!H56</f>
        <v>14.592375000000001</v>
      </c>
      <c r="H1475" s="15">
        <f>IF(D1475="Uso único",'Hoja 4 - Cálculo'!I56,IF(D1475="Uso múltiple",AVERAGE('Hoja 4 - Cálculo'!$I$25:$I$384)+AVERAGE('Hoja 4 - Cálculo'!$J$25:$J$384)+AVERAGE('Hoja 4 - Cálculo'!$K$25:$K$384),IF(D1475="Uso prioritario",'Hoja 4 - Cálculo'!I56+'Hoja 4 - Cálculo'!K56,'Hoja 4 - Cálculo'!I56+'Hoja 4 - Cálculo'!J56+'Hoja 4 - Cálculo'!K56)))</f>
        <v>16</v>
      </c>
      <c r="I1475" s="15">
        <f t="shared" si="320"/>
        <v>12</v>
      </c>
      <c r="J1475" s="15">
        <f t="shared" si="331"/>
        <v>10</v>
      </c>
      <c r="K1475" s="15">
        <f>MIN(J1475+G1475,(J1475+G1475)*'Hoja 4 - Cálculo'!$B$15)</f>
        <v>0.49184750000000005</v>
      </c>
      <c r="L1475" s="15">
        <f t="shared" si="321"/>
        <v>24.100527500000002</v>
      </c>
      <c r="M1475" s="15">
        <f t="shared" si="322"/>
        <v>12</v>
      </c>
      <c r="N1475" s="15">
        <f t="shared" si="323"/>
        <v>10</v>
      </c>
      <c r="O1475" s="15">
        <f t="shared" si="324"/>
        <v>2.1005275000000019</v>
      </c>
      <c r="P1475" s="15">
        <f t="shared" si="325"/>
        <v>0</v>
      </c>
      <c r="Q1475" s="14" t="str">
        <f>IF(M1475&gt;=I1475*'Hoja 4 - Cálculo'!$B$16,"Satisfactorio","Falla")</f>
        <v>Satisfactorio</v>
      </c>
      <c r="R1475" s="14">
        <f t="shared" si="332"/>
        <v>0</v>
      </c>
      <c r="S1475" s="14">
        <f t="shared" si="333"/>
        <v>0</v>
      </c>
    </row>
    <row r="1476" spans="1:19">
      <c r="A1476" s="14" t="str">
        <f t="shared" ref="A1476:A1507" si="334">"SRY-5-1"</f>
        <v>SRY-5-1</v>
      </c>
      <c r="B1476" s="15">
        <f>'Curvas SRY'!$B$12</f>
        <v>10</v>
      </c>
      <c r="C1476" s="15">
        <f>'Curvas SRY'!$E$8</f>
        <v>0.75</v>
      </c>
      <c r="D1476" s="14" t="str">
        <f>'Curvas SRY'!$B$14</f>
        <v>Uso variable</v>
      </c>
      <c r="E1476" s="14">
        <f>33</f>
        <v>33</v>
      </c>
      <c r="F1476" s="21">
        <f>'Hoja 4 - Cálculo'!A57</f>
        <v>30560</v>
      </c>
      <c r="G1476" s="15">
        <f>'Hoja 4 - Cálculo'!H57</f>
        <v>24.307874999999999</v>
      </c>
      <c r="H1476" s="15">
        <f>IF(D1476="Uso único",'Hoja 4 - Cálculo'!I57,IF(D1476="Uso múltiple",AVERAGE('Hoja 4 - Cálculo'!$I$25:$I$384)+AVERAGE('Hoja 4 - Cálculo'!$J$25:$J$384)+AVERAGE('Hoja 4 - Cálculo'!$K$25:$K$384),IF(D1476="Uso prioritario",'Hoja 4 - Cálculo'!I57+'Hoja 4 - Cálculo'!K57,'Hoja 4 - Cálculo'!I57+'Hoja 4 - Cálculo'!J57+'Hoja 4 - Cálculo'!K57)))</f>
        <v>11.5</v>
      </c>
      <c r="I1476" s="15">
        <f t="shared" ref="I1476:I1539" si="335">H1476*C1476</f>
        <v>8.625</v>
      </c>
      <c r="J1476" s="15">
        <f t="shared" si="331"/>
        <v>10</v>
      </c>
      <c r="K1476" s="15">
        <f>MIN(J1476+G1476,(J1476+G1476)*'Hoja 4 - Cálculo'!$B$15)</f>
        <v>0.68615749999999998</v>
      </c>
      <c r="L1476" s="15">
        <f t="shared" ref="L1476:L1539" si="336">MAX(0,J1476+G1476-K1476)</f>
        <v>33.621717499999995</v>
      </c>
      <c r="M1476" s="15">
        <f t="shared" ref="M1476:M1539" si="337">MIN(I1476,L1476)</f>
        <v>8.625</v>
      </c>
      <c r="N1476" s="15">
        <f t="shared" ref="N1476:N1539" si="338">MIN(B1476,MAX(0,L1476-M1476))</f>
        <v>10</v>
      </c>
      <c r="O1476" s="15">
        <f t="shared" ref="O1476:O1539" si="339">MAX(0,L1476-M1476-B1476)</f>
        <v>14.996717499999995</v>
      </c>
      <c r="P1476" s="15">
        <f t="shared" ref="P1476:P1539" si="340">MAX(0,I1476-M1476)</f>
        <v>0</v>
      </c>
      <c r="Q1476" s="14" t="str">
        <f>IF(M1476&gt;=I1476*'Hoja 4 - Cálculo'!$B$16,"Satisfactorio","Falla")</f>
        <v>Satisfactorio</v>
      </c>
      <c r="R1476" s="14">
        <f t="shared" si="332"/>
        <v>0</v>
      </c>
      <c r="S1476" s="14">
        <f t="shared" si="333"/>
        <v>0</v>
      </c>
    </row>
    <row r="1477" spans="1:19">
      <c r="A1477" s="14" t="str">
        <f t="shared" si="334"/>
        <v>SRY-5-1</v>
      </c>
      <c r="B1477" s="15">
        <f>'Curvas SRY'!$B$12</f>
        <v>10</v>
      </c>
      <c r="C1477" s="15">
        <f>'Curvas SRY'!$E$8</f>
        <v>0.75</v>
      </c>
      <c r="D1477" s="14" t="str">
        <f>'Curvas SRY'!$B$14</f>
        <v>Uso variable</v>
      </c>
      <c r="E1477" s="14">
        <f>34</f>
        <v>34</v>
      </c>
      <c r="F1477" s="21">
        <f>'Hoja 4 - Cálculo'!A58</f>
        <v>30590</v>
      </c>
      <c r="G1477" s="15">
        <f>'Hoja 4 - Cálculo'!H58</f>
        <v>33.564374999999998</v>
      </c>
      <c r="H1477" s="15">
        <f>IF(D1477="Uso único",'Hoja 4 - Cálculo'!I58,IF(D1477="Uso múltiple",AVERAGE('Hoja 4 - Cálculo'!$I$25:$I$384)+AVERAGE('Hoja 4 - Cálculo'!$J$25:$J$384)+AVERAGE('Hoja 4 - Cálculo'!$K$25:$K$384),IF(D1477="Uso prioritario",'Hoja 4 - Cálculo'!I58+'Hoja 4 - Cálculo'!K58,'Hoja 4 - Cálculo'!I58+'Hoja 4 - Cálculo'!J58+'Hoja 4 - Cálculo'!K58)))</f>
        <v>11.5</v>
      </c>
      <c r="I1477" s="15">
        <f t="shared" si="335"/>
        <v>8.625</v>
      </c>
      <c r="J1477" s="15">
        <f t="shared" ref="J1477:J1508" si="341">N1476</f>
        <v>10</v>
      </c>
      <c r="K1477" s="15">
        <f>MIN(J1477+G1477,(J1477+G1477)*'Hoja 4 - Cálculo'!$B$15)</f>
        <v>0.87128749999999999</v>
      </c>
      <c r="L1477" s="15">
        <f t="shared" si="336"/>
        <v>42.693087499999997</v>
      </c>
      <c r="M1477" s="15">
        <f t="shared" si="337"/>
        <v>8.625</v>
      </c>
      <c r="N1477" s="15">
        <f t="shared" si="338"/>
        <v>10</v>
      </c>
      <c r="O1477" s="15">
        <f t="shared" si="339"/>
        <v>24.068087499999997</v>
      </c>
      <c r="P1477" s="15">
        <f t="shared" si="340"/>
        <v>0</v>
      </c>
      <c r="Q1477" s="14" t="str">
        <f>IF(M1477&gt;=I1477*'Hoja 4 - Cálculo'!$B$16,"Satisfactorio","Falla")</f>
        <v>Satisfactorio</v>
      </c>
      <c r="R1477" s="14">
        <f t="shared" ref="R1477:R1508" si="342">IF(AND(Q1476="Falla",Q1477="Satisfactorio"),1,0)</f>
        <v>0</v>
      </c>
      <c r="S1477" s="14">
        <f t="shared" ref="S1477:S1508" si="343">IF(AND(Q1477="Falla",Q1476&lt;&gt;"Falla"),1,0)</f>
        <v>0</v>
      </c>
    </row>
    <row r="1478" spans="1:19">
      <c r="A1478" s="14" t="str">
        <f t="shared" si="334"/>
        <v>SRY-5-1</v>
      </c>
      <c r="B1478" s="15">
        <f>'Curvas SRY'!$B$12</f>
        <v>10</v>
      </c>
      <c r="C1478" s="15">
        <f>'Curvas SRY'!$E$8</f>
        <v>0.75</v>
      </c>
      <c r="D1478" s="14" t="str">
        <f>'Curvas SRY'!$B$14</f>
        <v>Uso variable</v>
      </c>
      <c r="E1478" s="14">
        <f>35</f>
        <v>35</v>
      </c>
      <c r="F1478" s="21">
        <f>'Hoja 4 - Cálculo'!A59</f>
        <v>30621</v>
      </c>
      <c r="G1478" s="15">
        <f>'Hoja 4 - Cálculo'!H59</f>
        <v>28.075500000000002</v>
      </c>
      <c r="H1478" s="15">
        <f>IF(D1478="Uso único",'Hoja 4 - Cálculo'!I59,IF(D1478="Uso múltiple",AVERAGE('Hoja 4 - Cálculo'!$I$25:$I$384)+AVERAGE('Hoja 4 - Cálculo'!$J$25:$J$384)+AVERAGE('Hoja 4 - Cálculo'!$K$25:$K$384),IF(D1478="Uso prioritario",'Hoja 4 - Cálculo'!I59+'Hoja 4 - Cálculo'!K59,'Hoja 4 - Cálculo'!I59+'Hoja 4 - Cálculo'!J59+'Hoja 4 - Cálculo'!K59)))</f>
        <v>11.5</v>
      </c>
      <c r="I1478" s="15">
        <f t="shared" si="335"/>
        <v>8.625</v>
      </c>
      <c r="J1478" s="15">
        <f t="shared" si="341"/>
        <v>10</v>
      </c>
      <c r="K1478" s="15">
        <f>MIN(J1478+G1478,(J1478+G1478)*'Hoja 4 - Cálculo'!$B$15)</f>
        <v>0.76151000000000013</v>
      </c>
      <c r="L1478" s="15">
        <f t="shared" si="336"/>
        <v>37.313990000000004</v>
      </c>
      <c r="M1478" s="15">
        <f t="shared" si="337"/>
        <v>8.625</v>
      </c>
      <c r="N1478" s="15">
        <f t="shared" si="338"/>
        <v>10</v>
      </c>
      <c r="O1478" s="15">
        <f t="shared" si="339"/>
        <v>18.688990000000004</v>
      </c>
      <c r="P1478" s="15">
        <f t="shared" si="340"/>
        <v>0</v>
      </c>
      <c r="Q1478" s="14" t="str">
        <f>IF(M1478&gt;=I1478*'Hoja 4 - Cálculo'!$B$16,"Satisfactorio","Falla")</f>
        <v>Satisfactorio</v>
      </c>
      <c r="R1478" s="14">
        <f t="shared" si="342"/>
        <v>0</v>
      </c>
      <c r="S1478" s="14">
        <f t="shared" si="343"/>
        <v>0</v>
      </c>
    </row>
    <row r="1479" spans="1:19">
      <c r="A1479" s="14" t="str">
        <f t="shared" si="334"/>
        <v>SRY-5-1</v>
      </c>
      <c r="B1479" s="15">
        <f>'Curvas SRY'!$B$12</f>
        <v>10</v>
      </c>
      <c r="C1479" s="15">
        <f>'Curvas SRY'!$E$8</f>
        <v>0.75</v>
      </c>
      <c r="D1479" s="14" t="str">
        <f>'Curvas SRY'!$B$14</f>
        <v>Uso variable</v>
      </c>
      <c r="E1479" s="14">
        <f>36</f>
        <v>36</v>
      </c>
      <c r="F1479" s="21">
        <f>'Hoja 4 - Cálculo'!A60</f>
        <v>30651</v>
      </c>
      <c r="G1479" s="15">
        <f>'Hoja 4 - Cálculo'!H60</f>
        <v>15.931125</v>
      </c>
      <c r="H1479" s="15">
        <f>IF(D1479="Uso único",'Hoja 4 - Cálculo'!I60,IF(D1479="Uso múltiple",AVERAGE('Hoja 4 - Cálculo'!$I$25:$I$384)+AVERAGE('Hoja 4 - Cálculo'!$J$25:$J$384)+AVERAGE('Hoja 4 - Cálculo'!$K$25:$K$384),IF(D1479="Uso prioritario",'Hoja 4 - Cálculo'!I60+'Hoja 4 - Cálculo'!K60,'Hoja 4 - Cálculo'!I60+'Hoja 4 - Cálculo'!J60+'Hoja 4 - Cálculo'!K60)))</f>
        <v>16</v>
      </c>
      <c r="I1479" s="15">
        <f t="shared" si="335"/>
        <v>12</v>
      </c>
      <c r="J1479" s="15">
        <f t="shared" si="341"/>
        <v>10</v>
      </c>
      <c r="K1479" s="15">
        <f>MIN(J1479+G1479,(J1479+G1479)*'Hoja 4 - Cálculo'!$B$15)</f>
        <v>0.51862249999999999</v>
      </c>
      <c r="L1479" s="15">
        <f t="shared" si="336"/>
        <v>25.412502500000002</v>
      </c>
      <c r="M1479" s="15">
        <f t="shared" si="337"/>
        <v>12</v>
      </c>
      <c r="N1479" s="15">
        <f t="shared" si="338"/>
        <v>10</v>
      </c>
      <c r="O1479" s="15">
        <f t="shared" si="339"/>
        <v>3.4125025000000022</v>
      </c>
      <c r="P1479" s="15">
        <f t="shared" si="340"/>
        <v>0</v>
      </c>
      <c r="Q1479" s="14" t="str">
        <f>IF(M1479&gt;=I1479*'Hoja 4 - Cálculo'!$B$16,"Satisfactorio","Falla")</f>
        <v>Satisfactorio</v>
      </c>
      <c r="R1479" s="14">
        <f t="shared" si="342"/>
        <v>0</v>
      </c>
      <c r="S1479" s="14">
        <f t="shared" si="343"/>
        <v>0</v>
      </c>
    </row>
    <row r="1480" spans="1:19">
      <c r="A1480" s="14" t="str">
        <f t="shared" si="334"/>
        <v>SRY-5-1</v>
      </c>
      <c r="B1480" s="15">
        <f>'Curvas SRY'!$B$12</f>
        <v>10</v>
      </c>
      <c r="C1480" s="15">
        <f>'Curvas SRY'!$E$8</f>
        <v>0.75</v>
      </c>
      <c r="D1480" s="14" t="str">
        <f>'Curvas SRY'!$B$14</f>
        <v>Uso variable</v>
      </c>
      <c r="E1480" s="14">
        <f>37</f>
        <v>37</v>
      </c>
      <c r="F1480" s="21">
        <f>'Hoja 4 - Cálculo'!A61</f>
        <v>30682</v>
      </c>
      <c r="G1480" s="15">
        <f>'Hoja 4 - Cálculo'!H61</f>
        <v>10.920375</v>
      </c>
      <c r="H1480" s="15">
        <f>IF(D1480="Uso único",'Hoja 4 - Cálculo'!I61,IF(D1480="Uso múltiple",AVERAGE('Hoja 4 - Cálculo'!$I$25:$I$384)+AVERAGE('Hoja 4 - Cálculo'!$J$25:$J$384)+AVERAGE('Hoja 4 - Cálculo'!$K$25:$K$384),IF(D1480="Uso prioritario",'Hoja 4 - Cálculo'!I61+'Hoja 4 - Cálculo'!K61,'Hoja 4 - Cálculo'!I61+'Hoja 4 - Cálculo'!J61+'Hoja 4 - Cálculo'!K61)))</f>
        <v>16</v>
      </c>
      <c r="I1480" s="15">
        <f t="shared" si="335"/>
        <v>12</v>
      </c>
      <c r="J1480" s="15">
        <f t="shared" si="341"/>
        <v>10</v>
      </c>
      <c r="K1480" s="15">
        <f>MIN(J1480+G1480,(J1480+G1480)*'Hoja 4 - Cálculo'!$B$15)</f>
        <v>0.41840749999999999</v>
      </c>
      <c r="L1480" s="15">
        <f t="shared" si="336"/>
        <v>20.501967499999999</v>
      </c>
      <c r="M1480" s="15">
        <f t="shared" si="337"/>
        <v>12</v>
      </c>
      <c r="N1480" s="15">
        <f t="shared" si="338"/>
        <v>8.5019674999999992</v>
      </c>
      <c r="O1480" s="15">
        <f t="shared" si="339"/>
        <v>0</v>
      </c>
      <c r="P1480" s="15">
        <f t="shared" si="340"/>
        <v>0</v>
      </c>
      <c r="Q1480" s="14" t="str">
        <f>IF(M1480&gt;=I1480*'Hoja 4 - Cálculo'!$B$16,"Satisfactorio","Falla")</f>
        <v>Satisfactorio</v>
      </c>
      <c r="R1480" s="14">
        <f t="shared" si="342"/>
        <v>0</v>
      </c>
      <c r="S1480" s="14">
        <f t="shared" si="343"/>
        <v>0</v>
      </c>
    </row>
    <row r="1481" spans="1:19">
      <c r="A1481" s="14" t="str">
        <f t="shared" si="334"/>
        <v>SRY-5-1</v>
      </c>
      <c r="B1481" s="15">
        <f>'Curvas SRY'!$B$12</f>
        <v>10</v>
      </c>
      <c r="C1481" s="15">
        <f>'Curvas SRY'!$E$8</f>
        <v>0.75</v>
      </c>
      <c r="D1481" s="14" t="str">
        <f>'Curvas SRY'!$B$14</f>
        <v>Uso variable</v>
      </c>
      <c r="E1481" s="14">
        <f>38</f>
        <v>38</v>
      </c>
      <c r="F1481" s="21">
        <f>'Hoja 4 - Cálculo'!A62</f>
        <v>30713</v>
      </c>
      <c r="G1481" s="15">
        <f>'Hoja 4 - Cálculo'!H62</f>
        <v>13.04325</v>
      </c>
      <c r="H1481" s="15">
        <f>IF(D1481="Uso único",'Hoja 4 - Cálculo'!I62,IF(D1481="Uso múltiple",AVERAGE('Hoja 4 - Cálculo'!$I$25:$I$384)+AVERAGE('Hoja 4 - Cálculo'!$J$25:$J$384)+AVERAGE('Hoja 4 - Cálculo'!$K$25:$K$384),IF(D1481="Uso prioritario",'Hoja 4 - Cálculo'!I62+'Hoja 4 - Cálculo'!K62,'Hoja 4 - Cálculo'!I62+'Hoja 4 - Cálculo'!J62+'Hoja 4 - Cálculo'!K62)))</f>
        <v>16</v>
      </c>
      <c r="I1481" s="15">
        <f t="shared" si="335"/>
        <v>12</v>
      </c>
      <c r="J1481" s="15">
        <f t="shared" si="341"/>
        <v>8.5019674999999992</v>
      </c>
      <c r="K1481" s="15">
        <f>MIN(J1481+G1481,(J1481+G1481)*'Hoja 4 - Cálculo'!$B$15)</f>
        <v>0.43090434999999999</v>
      </c>
      <c r="L1481" s="15">
        <f t="shared" si="336"/>
        <v>21.114313150000001</v>
      </c>
      <c r="M1481" s="15">
        <f t="shared" si="337"/>
        <v>12</v>
      </c>
      <c r="N1481" s="15">
        <f t="shared" si="338"/>
        <v>9.114313150000001</v>
      </c>
      <c r="O1481" s="15">
        <f t="shared" si="339"/>
        <v>0</v>
      </c>
      <c r="P1481" s="15">
        <f t="shared" si="340"/>
        <v>0</v>
      </c>
      <c r="Q1481" s="14" t="str">
        <f>IF(M1481&gt;=I1481*'Hoja 4 - Cálculo'!$B$16,"Satisfactorio","Falla")</f>
        <v>Satisfactorio</v>
      </c>
      <c r="R1481" s="14">
        <f t="shared" si="342"/>
        <v>0</v>
      </c>
      <c r="S1481" s="14">
        <f t="shared" si="343"/>
        <v>0</v>
      </c>
    </row>
    <row r="1482" spans="1:19">
      <c r="A1482" s="14" t="str">
        <f t="shared" si="334"/>
        <v>SRY-5-1</v>
      </c>
      <c r="B1482" s="15">
        <f>'Curvas SRY'!$B$12</f>
        <v>10</v>
      </c>
      <c r="C1482" s="15">
        <f>'Curvas SRY'!$E$8</f>
        <v>0.75</v>
      </c>
      <c r="D1482" s="14" t="str">
        <f>'Curvas SRY'!$B$14</f>
        <v>Uso variable</v>
      </c>
      <c r="E1482" s="14">
        <f>39</f>
        <v>39</v>
      </c>
      <c r="F1482" s="21">
        <f>'Hoja 4 - Cálculo'!A63</f>
        <v>30742</v>
      </c>
      <c r="G1482" s="15">
        <f>'Hoja 4 - Cálculo'!H63</f>
        <v>20.272500000000001</v>
      </c>
      <c r="H1482" s="15">
        <f>IF(D1482="Uso único",'Hoja 4 - Cálculo'!I63,IF(D1482="Uso múltiple",AVERAGE('Hoja 4 - Cálculo'!$I$25:$I$384)+AVERAGE('Hoja 4 - Cálculo'!$J$25:$J$384)+AVERAGE('Hoja 4 - Cálculo'!$K$25:$K$384),IF(D1482="Uso prioritario",'Hoja 4 - Cálculo'!I63+'Hoja 4 - Cálculo'!K63,'Hoja 4 - Cálculo'!I63+'Hoja 4 - Cálculo'!J63+'Hoja 4 - Cálculo'!K63)))</f>
        <v>16</v>
      </c>
      <c r="I1482" s="15">
        <f t="shared" si="335"/>
        <v>12</v>
      </c>
      <c r="J1482" s="15">
        <f t="shared" si="341"/>
        <v>9.114313150000001</v>
      </c>
      <c r="K1482" s="15">
        <f>MIN(J1482+G1482,(J1482+G1482)*'Hoja 4 - Cálculo'!$B$15)</f>
        <v>0.58773626300000004</v>
      </c>
      <c r="L1482" s="15">
        <f t="shared" si="336"/>
        <v>28.799076887000002</v>
      </c>
      <c r="M1482" s="15">
        <f t="shared" si="337"/>
        <v>12</v>
      </c>
      <c r="N1482" s="15">
        <f t="shared" si="338"/>
        <v>10</v>
      </c>
      <c r="O1482" s="15">
        <f t="shared" si="339"/>
        <v>6.7990768870000018</v>
      </c>
      <c r="P1482" s="15">
        <f t="shared" si="340"/>
        <v>0</v>
      </c>
      <c r="Q1482" s="14" t="str">
        <f>IF(M1482&gt;=I1482*'Hoja 4 - Cálculo'!$B$16,"Satisfactorio","Falla")</f>
        <v>Satisfactorio</v>
      </c>
      <c r="R1482" s="14">
        <f t="shared" si="342"/>
        <v>0</v>
      </c>
      <c r="S1482" s="14">
        <f t="shared" si="343"/>
        <v>0</v>
      </c>
    </row>
    <row r="1483" spans="1:19">
      <c r="A1483" s="14" t="str">
        <f t="shared" si="334"/>
        <v>SRY-5-1</v>
      </c>
      <c r="B1483" s="15">
        <f>'Curvas SRY'!$B$12</f>
        <v>10</v>
      </c>
      <c r="C1483" s="15">
        <f>'Curvas SRY'!$E$8</f>
        <v>0.75</v>
      </c>
      <c r="D1483" s="14" t="str">
        <f>'Curvas SRY'!$B$14</f>
        <v>Uso variable</v>
      </c>
      <c r="E1483" s="14">
        <f>40</f>
        <v>40</v>
      </c>
      <c r="F1483" s="21">
        <f>'Hoja 4 - Cálculo'!A64</f>
        <v>30773</v>
      </c>
      <c r="G1483" s="15">
        <f>'Hoja 4 - Cálculo'!H64</f>
        <v>27.922499999999999</v>
      </c>
      <c r="H1483" s="15">
        <f>IF(D1483="Uso único",'Hoja 4 - Cálculo'!I64,IF(D1483="Uso múltiple",AVERAGE('Hoja 4 - Cálculo'!$I$25:$I$384)+AVERAGE('Hoja 4 - Cálculo'!$J$25:$J$384)+AVERAGE('Hoja 4 - Cálculo'!$K$25:$K$384),IF(D1483="Uso prioritario",'Hoja 4 - Cálculo'!I64+'Hoja 4 - Cálculo'!K64,'Hoja 4 - Cálculo'!I64+'Hoja 4 - Cálculo'!J64+'Hoja 4 - Cálculo'!K64)))</f>
        <v>11.5</v>
      </c>
      <c r="I1483" s="15">
        <f t="shared" si="335"/>
        <v>8.625</v>
      </c>
      <c r="J1483" s="15">
        <f t="shared" si="341"/>
        <v>10</v>
      </c>
      <c r="K1483" s="15">
        <f>MIN(J1483+G1483,(J1483+G1483)*'Hoja 4 - Cálculo'!$B$15)</f>
        <v>0.75844999999999996</v>
      </c>
      <c r="L1483" s="15">
        <f t="shared" si="336"/>
        <v>37.164049999999996</v>
      </c>
      <c r="M1483" s="15">
        <f t="shared" si="337"/>
        <v>8.625</v>
      </c>
      <c r="N1483" s="15">
        <f t="shared" si="338"/>
        <v>10</v>
      </c>
      <c r="O1483" s="15">
        <f t="shared" si="339"/>
        <v>18.539049999999996</v>
      </c>
      <c r="P1483" s="15">
        <f t="shared" si="340"/>
        <v>0</v>
      </c>
      <c r="Q1483" s="14" t="str">
        <f>IF(M1483&gt;=I1483*'Hoja 4 - Cálculo'!$B$16,"Satisfactorio","Falla")</f>
        <v>Satisfactorio</v>
      </c>
      <c r="R1483" s="14">
        <f t="shared" si="342"/>
        <v>0</v>
      </c>
      <c r="S1483" s="14">
        <f t="shared" si="343"/>
        <v>0</v>
      </c>
    </row>
    <row r="1484" spans="1:19">
      <c r="A1484" s="14" t="str">
        <f t="shared" si="334"/>
        <v>SRY-5-1</v>
      </c>
      <c r="B1484" s="15">
        <f>'Curvas SRY'!$B$12</f>
        <v>10</v>
      </c>
      <c r="C1484" s="15">
        <f>'Curvas SRY'!$E$8</f>
        <v>0.75</v>
      </c>
      <c r="D1484" s="14" t="str">
        <f>'Curvas SRY'!$B$14</f>
        <v>Uso variable</v>
      </c>
      <c r="E1484" s="14">
        <f>41</f>
        <v>41</v>
      </c>
      <c r="F1484" s="21">
        <f>'Hoja 4 - Cálculo'!A65</f>
        <v>30803</v>
      </c>
      <c r="G1484" s="15">
        <f>'Hoja 4 - Cálculo'!H65</f>
        <v>23.657624999999999</v>
      </c>
      <c r="H1484" s="15">
        <f>IF(D1484="Uso único",'Hoja 4 - Cálculo'!I65,IF(D1484="Uso múltiple",AVERAGE('Hoja 4 - Cálculo'!$I$25:$I$384)+AVERAGE('Hoja 4 - Cálculo'!$J$25:$J$384)+AVERAGE('Hoja 4 - Cálculo'!$K$25:$K$384),IF(D1484="Uso prioritario",'Hoja 4 - Cálculo'!I65+'Hoja 4 - Cálculo'!K65,'Hoja 4 - Cálculo'!I65+'Hoja 4 - Cálculo'!J65+'Hoja 4 - Cálculo'!K65)))</f>
        <v>11.5</v>
      </c>
      <c r="I1484" s="15">
        <f t="shared" si="335"/>
        <v>8.625</v>
      </c>
      <c r="J1484" s="15">
        <f t="shared" si="341"/>
        <v>10</v>
      </c>
      <c r="K1484" s="15">
        <f>MIN(J1484+G1484,(J1484+G1484)*'Hoja 4 - Cálculo'!$B$15)</f>
        <v>0.67315249999999993</v>
      </c>
      <c r="L1484" s="15">
        <f t="shared" si="336"/>
        <v>32.984472499999995</v>
      </c>
      <c r="M1484" s="15">
        <f t="shared" si="337"/>
        <v>8.625</v>
      </c>
      <c r="N1484" s="15">
        <f t="shared" si="338"/>
        <v>10</v>
      </c>
      <c r="O1484" s="15">
        <f t="shared" si="339"/>
        <v>14.359472499999995</v>
      </c>
      <c r="P1484" s="15">
        <f t="shared" si="340"/>
        <v>0</v>
      </c>
      <c r="Q1484" s="14" t="str">
        <f>IF(M1484&gt;=I1484*'Hoja 4 - Cálculo'!$B$16,"Satisfactorio","Falla")</f>
        <v>Satisfactorio</v>
      </c>
      <c r="R1484" s="14">
        <f t="shared" si="342"/>
        <v>0</v>
      </c>
      <c r="S1484" s="14">
        <f t="shared" si="343"/>
        <v>0</v>
      </c>
    </row>
    <row r="1485" spans="1:19">
      <c r="A1485" s="14" t="str">
        <f t="shared" si="334"/>
        <v>SRY-5-1</v>
      </c>
      <c r="B1485" s="15">
        <f>'Curvas SRY'!$B$12</f>
        <v>10</v>
      </c>
      <c r="C1485" s="15">
        <f>'Curvas SRY'!$E$8</f>
        <v>0.75</v>
      </c>
      <c r="D1485" s="14" t="str">
        <f>'Curvas SRY'!$B$14</f>
        <v>Uso variable</v>
      </c>
      <c r="E1485" s="14">
        <f>42</f>
        <v>42</v>
      </c>
      <c r="F1485" s="21">
        <f>'Hoja 4 - Cálculo'!A66</f>
        <v>30834</v>
      </c>
      <c r="G1485" s="15">
        <f>'Hoja 4 - Cálculo'!H66</f>
        <v>14.554125000000001</v>
      </c>
      <c r="H1485" s="15">
        <f>IF(D1485="Uso único",'Hoja 4 - Cálculo'!I66,IF(D1485="Uso múltiple",AVERAGE('Hoja 4 - Cálculo'!$I$25:$I$384)+AVERAGE('Hoja 4 - Cálculo'!$J$25:$J$384)+AVERAGE('Hoja 4 - Cálculo'!$K$25:$K$384),IF(D1485="Uso prioritario",'Hoja 4 - Cálculo'!I66+'Hoja 4 - Cálculo'!K66,'Hoja 4 - Cálculo'!I66+'Hoja 4 - Cálculo'!J66+'Hoja 4 - Cálculo'!K66)))</f>
        <v>11.5</v>
      </c>
      <c r="I1485" s="15">
        <f t="shared" si="335"/>
        <v>8.625</v>
      </c>
      <c r="J1485" s="15">
        <f t="shared" si="341"/>
        <v>10</v>
      </c>
      <c r="K1485" s="15">
        <f>MIN(J1485+G1485,(J1485+G1485)*'Hoja 4 - Cálculo'!$B$15)</f>
        <v>0.49108249999999998</v>
      </c>
      <c r="L1485" s="15">
        <f t="shared" si="336"/>
        <v>24.063042499999998</v>
      </c>
      <c r="M1485" s="15">
        <f t="shared" si="337"/>
        <v>8.625</v>
      </c>
      <c r="N1485" s="15">
        <f t="shared" si="338"/>
        <v>10</v>
      </c>
      <c r="O1485" s="15">
        <f t="shared" si="339"/>
        <v>5.4380424999999981</v>
      </c>
      <c r="P1485" s="15">
        <f t="shared" si="340"/>
        <v>0</v>
      </c>
      <c r="Q1485" s="14" t="str">
        <f>IF(M1485&gt;=I1485*'Hoja 4 - Cálculo'!$B$16,"Satisfactorio","Falla")</f>
        <v>Satisfactorio</v>
      </c>
      <c r="R1485" s="14">
        <f t="shared" si="342"/>
        <v>0</v>
      </c>
      <c r="S1485" s="14">
        <f t="shared" si="343"/>
        <v>0</v>
      </c>
    </row>
    <row r="1486" spans="1:19">
      <c r="A1486" s="14" t="str">
        <f t="shared" si="334"/>
        <v>SRY-5-1</v>
      </c>
      <c r="B1486" s="15">
        <f>'Curvas SRY'!$B$12</f>
        <v>10</v>
      </c>
      <c r="C1486" s="15">
        <f>'Curvas SRY'!$E$8</f>
        <v>0.75</v>
      </c>
      <c r="D1486" s="14" t="str">
        <f>'Curvas SRY'!$B$14</f>
        <v>Uso variable</v>
      </c>
      <c r="E1486" s="14">
        <f>43</f>
        <v>43</v>
      </c>
      <c r="F1486" s="21">
        <f>'Hoja 4 - Cálculo'!A67</f>
        <v>30864</v>
      </c>
      <c r="G1486" s="15">
        <f>'Hoja 4 - Cálculo'!H67</f>
        <v>12.794625</v>
      </c>
      <c r="H1486" s="15">
        <f>IF(D1486="Uso único",'Hoja 4 - Cálculo'!I67,IF(D1486="Uso múltiple",AVERAGE('Hoja 4 - Cálculo'!$I$25:$I$384)+AVERAGE('Hoja 4 - Cálculo'!$J$25:$J$384)+AVERAGE('Hoja 4 - Cálculo'!$K$25:$K$384),IF(D1486="Uso prioritario",'Hoja 4 - Cálculo'!I67+'Hoja 4 - Cálculo'!K67,'Hoja 4 - Cálculo'!I67+'Hoja 4 - Cálculo'!J67+'Hoja 4 - Cálculo'!K67)))</f>
        <v>16</v>
      </c>
      <c r="I1486" s="15">
        <f t="shared" si="335"/>
        <v>12</v>
      </c>
      <c r="J1486" s="15">
        <f t="shared" si="341"/>
        <v>10</v>
      </c>
      <c r="K1486" s="15">
        <f>MIN(J1486+G1486,(J1486+G1486)*'Hoja 4 - Cálculo'!$B$15)</f>
        <v>0.45589250000000003</v>
      </c>
      <c r="L1486" s="15">
        <f t="shared" si="336"/>
        <v>22.338732499999999</v>
      </c>
      <c r="M1486" s="15">
        <f t="shared" si="337"/>
        <v>12</v>
      </c>
      <c r="N1486" s="15">
        <f t="shared" si="338"/>
        <v>10</v>
      </c>
      <c r="O1486" s="15">
        <f t="shared" si="339"/>
        <v>0.33873249999999899</v>
      </c>
      <c r="P1486" s="15">
        <f t="shared" si="340"/>
        <v>0</v>
      </c>
      <c r="Q1486" s="14" t="str">
        <f>IF(M1486&gt;=I1486*'Hoja 4 - Cálculo'!$B$16,"Satisfactorio","Falla")</f>
        <v>Satisfactorio</v>
      </c>
      <c r="R1486" s="14">
        <f t="shared" si="342"/>
        <v>0</v>
      </c>
      <c r="S1486" s="14">
        <f t="shared" si="343"/>
        <v>0</v>
      </c>
    </row>
    <row r="1487" spans="1:19">
      <c r="A1487" s="14" t="str">
        <f t="shared" si="334"/>
        <v>SRY-5-1</v>
      </c>
      <c r="B1487" s="15">
        <f>'Curvas SRY'!$B$12</f>
        <v>10</v>
      </c>
      <c r="C1487" s="15">
        <f>'Curvas SRY'!$E$8</f>
        <v>0.75</v>
      </c>
      <c r="D1487" s="14" t="str">
        <f>'Curvas SRY'!$B$14</f>
        <v>Uso variable</v>
      </c>
      <c r="E1487" s="14">
        <f>44</f>
        <v>44</v>
      </c>
      <c r="F1487" s="21">
        <f>'Hoja 4 - Cálculo'!A68</f>
        <v>30895</v>
      </c>
      <c r="G1487" s="15">
        <f>'Hoja 4 - Cálculo'!H68</f>
        <v>13.6935</v>
      </c>
      <c r="H1487" s="15">
        <f>IF(D1487="Uso único",'Hoja 4 - Cálculo'!I68,IF(D1487="Uso múltiple",AVERAGE('Hoja 4 - Cálculo'!$I$25:$I$384)+AVERAGE('Hoja 4 - Cálculo'!$J$25:$J$384)+AVERAGE('Hoja 4 - Cálculo'!$K$25:$K$384),IF(D1487="Uso prioritario",'Hoja 4 - Cálculo'!I68+'Hoja 4 - Cálculo'!K68,'Hoja 4 - Cálculo'!I68+'Hoja 4 - Cálculo'!J68+'Hoja 4 - Cálculo'!K68)))</f>
        <v>16</v>
      </c>
      <c r="I1487" s="15">
        <f t="shared" si="335"/>
        <v>12</v>
      </c>
      <c r="J1487" s="15">
        <f t="shared" si="341"/>
        <v>10</v>
      </c>
      <c r="K1487" s="15">
        <f>MIN(J1487+G1487,(J1487+G1487)*'Hoja 4 - Cálculo'!$B$15)</f>
        <v>0.47387000000000001</v>
      </c>
      <c r="L1487" s="15">
        <f t="shared" si="336"/>
        <v>23.219629999999999</v>
      </c>
      <c r="M1487" s="15">
        <f t="shared" si="337"/>
        <v>12</v>
      </c>
      <c r="N1487" s="15">
        <f t="shared" si="338"/>
        <v>10</v>
      </c>
      <c r="O1487" s="15">
        <f t="shared" si="339"/>
        <v>1.2196299999999987</v>
      </c>
      <c r="P1487" s="15">
        <f t="shared" si="340"/>
        <v>0</v>
      </c>
      <c r="Q1487" s="14" t="str">
        <f>IF(M1487&gt;=I1487*'Hoja 4 - Cálculo'!$B$16,"Satisfactorio","Falla")</f>
        <v>Satisfactorio</v>
      </c>
      <c r="R1487" s="14">
        <f t="shared" si="342"/>
        <v>0</v>
      </c>
      <c r="S1487" s="14">
        <f t="shared" si="343"/>
        <v>0</v>
      </c>
    </row>
    <row r="1488" spans="1:19">
      <c r="A1488" s="14" t="str">
        <f t="shared" si="334"/>
        <v>SRY-5-1</v>
      </c>
      <c r="B1488" s="15">
        <f>'Curvas SRY'!$B$12</f>
        <v>10</v>
      </c>
      <c r="C1488" s="15">
        <f>'Curvas SRY'!$E$8</f>
        <v>0.75</v>
      </c>
      <c r="D1488" s="14" t="str">
        <f>'Curvas SRY'!$B$14</f>
        <v>Uso variable</v>
      </c>
      <c r="E1488" s="14">
        <f>45</f>
        <v>45</v>
      </c>
      <c r="F1488" s="21">
        <f>'Hoja 4 - Cálculo'!A69</f>
        <v>30926</v>
      </c>
      <c r="G1488" s="15">
        <f>'Hoja 4 - Cálculo'!H69</f>
        <v>20.521125000000001</v>
      </c>
      <c r="H1488" s="15">
        <f>IF(D1488="Uso único",'Hoja 4 - Cálculo'!I69,IF(D1488="Uso múltiple",AVERAGE('Hoja 4 - Cálculo'!$I$25:$I$384)+AVERAGE('Hoja 4 - Cálculo'!$J$25:$J$384)+AVERAGE('Hoja 4 - Cálculo'!$K$25:$K$384),IF(D1488="Uso prioritario",'Hoja 4 - Cálculo'!I69+'Hoja 4 - Cálculo'!K69,'Hoja 4 - Cálculo'!I69+'Hoja 4 - Cálculo'!J69+'Hoja 4 - Cálculo'!K69)))</f>
        <v>11.5</v>
      </c>
      <c r="I1488" s="15">
        <f t="shared" si="335"/>
        <v>8.625</v>
      </c>
      <c r="J1488" s="15">
        <f t="shared" si="341"/>
        <v>10</v>
      </c>
      <c r="K1488" s="15">
        <f>MIN(J1488+G1488,(J1488+G1488)*'Hoja 4 - Cálculo'!$B$15)</f>
        <v>0.61042250000000009</v>
      </c>
      <c r="L1488" s="15">
        <f t="shared" si="336"/>
        <v>29.910702500000003</v>
      </c>
      <c r="M1488" s="15">
        <f t="shared" si="337"/>
        <v>8.625</v>
      </c>
      <c r="N1488" s="15">
        <f t="shared" si="338"/>
        <v>10</v>
      </c>
      <c r="O1488" s="15">
        <f t="shared" si="339"/>
        <v>11.285702500000003</v>
      </c>
      <c r="P1488" s="15">
        <f t="shared" si="340"/>
        <v>0</v>
      </c>
      <c r="Q1488" s="14" t="str">
        <f>IF(M1488&gt;=I1488*'Hoja 4 - Cálculo'!$B$16,"Satisfactorio","Falla")</f>
        <v>Satisfactorio</v>
      </c>
      <c r="R1488" s="14">
        <f t="shared" si="342"/>
        <v>0</v>
      </c>
      <c r="S1488" s="14">
        <f t="shared" si="343"/>
        <v>0</v>
      </c>
    </row>
    <row r="1489" spans="1:19">
      <c r="A1489" s="14" t="str">
        <f t="shared" si="334"/>
        <v>SRY-5-1</v>
      </c>
      <c r="B1489" s="15">
        <f>'Curvas SRY'!$B$12</f>
        <v>10</v>
      </c>
      <c r="C1489" s="15">
        <f>'Curvas SRY'!$E$8</f>
        <v>0.75</v>
      </c>
      <c r="D1489" s="14" t="str">
        <f>'Curvas SRY'!$B$14</f>
        <v>Uso variable</v>
      </c>
      <c r="E1489" s="14">
        <f>46</f>
        <v>46</v>
      </c>
      <c r="F1489" s="21">
        <f>'Hoja 4 - Cálculo'!A70</f>
        <v>30956</v>
      </c>
      <c r="G1489" s="15">
        <f>'Hoja 4 - Cálculo'!H70</f>
        <v>27.061875000000001</v>
      </c>
      <c r="H1489" s="15">
        <f>IF(D1489="Uso único",'Hoja 4 - Cálculo'!I70,IF(D1489="Uso múltiple",AVERAGE('Hoja 4 - Cálculo'!$I$25:$I$384)+AVERAGE('Hoja 4 - Cálculo'!$J$25:$J$384)+AVERAGE('Hoja 4 - Cálculo'!$K$25:$K$384),IF(D1489="Uso prioritario",'Hoja 4 - Cálculo'!I70+'Hoja 4 - Cálculo'!K70,'Hoja 4 - Cálculo'!I70+'Hoja 4 - Cálculo'!J70+'Hoja 4 - Cálculo'!K70)))</f>
        <v>11.5</v>
      </c>
      <c r="I1489" s="15">
        <f t="shared" si="335"/>
        <v>8.625</v>
      </c>
      <c r="J1489" s="15">
        <f t="shared" si="341"/>
        <v>10</v>
      </c>
      <c r="K1489" s="15">
        <f>MIN(J1489+G1489,(J1489+G1489)*'Hoja 4 - Cálculo'!$B$15)</f>
        <v>0.74123749999999999</v>
      </c>
      <c r="L1489" s="15">
        <f t="shared" si="336"/>
        <v>36.320637500000004</v>
      </c>
      <c r="M1489" s="15">
        <f t="shared" si="337"/>
        <v>8.625</v>
      </c>
      <c r="N1489" s="15">
        <f t="shared" si="338"/>
        <v>10</v>
      </c>
      <c r="O1489" s="15">
        <f t="shared" si="339"/>
        <v>17.695637500000004</v>
      </c>
      <c r="P1489" s="15">
        <f t="shared" si="340"/>
        <v>0</v>
      </c>
      <c r="Q1489" s="14" t="str">
        <f>IF(M1489&gt;=I1489*'Hoja 4 - Cálculo'!$B$16,"Satisfactorio","Falla")</f>
        <v>Satisfactorio</v>
      </c>
      <c r="R1489" s="14">
        <f t="shared" si="342"/>
        <v>0</v>
      </c>
      <c r="S1489" s="14">
        <f t="shared" si="343"/>
        <v>0</v>
      </c>
    </row>
    <row r="1490" spans="1:19">
      <c r="A1490" s="14" t="str">
        <f t="shared" si="334"/>
        <v>SRY-5-1</v>
      </c>
      <c r="B1490" s="15">
        <f>'Curvas SRY'!$B$12</f>
        <v>10</v>
      </c>
      <c r="C1490" s="15">
        <f>'Curvas SRY'!$E$8</f>
        <v>0.75</v>
      </c>
      <c r="D1490" s="14" t="str">
        <f>'Curvas SRY'!$B$14</f>
        <v>Uso variable</v>
      </c>
      <c r="E1490" s="14">
        <f>47</f>
        <v>47</v>
      </c>
      <c r="F1490" s="21">
        <f>'Hoja 4 - Cálculo'!A71</f>
        <v>30987</v>
      </c>
      <c r="G1490" s="15">
        <f>'Hoja 4 - Cálculo'!H71</f>
        <v>24.346125000000001</v>
      </c>
      <c r="H1490" s="15">
        <f>IF(D1490="Uso único",'Hoja 4 - Cálculo'!I71,IF(D1490="Uso múltiple",AVERAGE('Hoja 4 - Cálculo'!$I$25:$I$384)+AVERAGE('Hoja 4 - Cálculo'!$J$25:$J$384)+AVERAGE('Hoja 4 - Cálculo'!$K$25:$K$384),IF(D1490="Uso prioritario",'Hoja 4 - Cálculo'!I71+'Hoja 4 - Cálculo'!K71,'Hoja 4 - Cálculo'!I71+'Hoja 4 - Cálculo'!J71+'Hoja 4 - Cálculo'!K71)))</f>
        <v>11.5</v>
      </c>
      <c r="I1490" s="15">
        <f t="shared" si="335"/>
        <v>8.625</v>
      </c>
      <c r="J1490" s="15">
        <f t="shared" si="341"/>
        <v>10</v>
      </c>
      <c r="K1490" s="15">
        <f>MIN(J1490+G1490,(J1490+G1490)*'Hoja 4 - Cálculo'!$B$15)</f>
        <v>0.68692249999999999</v>
      </c>
      <c r="L1490" s="15">
        <f t="shared" si="336"/>
        <v>33.659202499999999</v>
      </c>
      <c r="M1490" s="15">
        <f t="shared" si="337"/>
        <v>8.625</v>
      </c>
      <c r="N1490" s="15">
        <f t="shared" si="338"/>
        <v>10</v>
      </c>
      <c r="O1490" s="15">
        <f t="shared" si="339"/>
        <v>15.034202499999999</v>
      </c>
      <c r="P1490" s="15">
        <f t="shared" si="340"/>
        <v>0</v>
      </c>
      <c r="Q1490" s="14" t="str">
        <f>IF(M1490&gt;=I1490*'Hoja 4 - Cálculo'!$B$16,"Satisfactorio","Falla")</f>
        <v>Satisfactorio</v>
      </c>
      <c r="R1490" s="14">
        <f t="shared" si="342"/>
        <v>0</v>
      </c>
      <c r="S1490" s="14">
        <f t="shared" si="343"/>
        <v>0</v>
      </c>
    </row>
    <row r="1491" spans="1:19">
      <c r="A1491" s="14" t="str">
        <f t="shared" si="334"/>
        <v>SRY-5-1</v>
      </c>
      <c r="B1491" s="15">
        <f>'Curvas SRY'!$B$12</f>
        <v>10</v>
      </c>
      <c r="C1491" s="15">
        <f>'Curvas SRY'!$E$8</f>
        <v>0.75</v>
      </c>
      <c r="D1491" s="14" t="str">
        <f>'Curvas SRY'!$B$14</f>
        <v>Uso variable</v>
      </c>
      <c r="E1491" s="14">
        <f>48</f>
        <v>48</v>
      </c>
      <c r="F1491" s="21">
        <f>'Hoja 4 - Cálculo'!A72</f>
        <v>31017</v>
      </c>
      <c r="G1491" s="15">
        <f>'Hoja 4 - Cálculo'!H72</f>
        <v>14.745374999999999</v>
      </c>
      <c r="H1491" s="15">
        <f>IF(D1491="Uso único",'Hoja 4 - Cálculo'!I72,IF(D1491="Uso múltiple",AVERAGE('Hoja 4 - Cálculo'!$I$25:$I$384)+AVERAGE('Hoja 4 - Cálculo'!$J$25:$J$384)+AVERAGE('Hoja 4 - Cálculo'!$K$25:$K$384),IF(D1491="Uso prioritario",'Hoja 4 - Cálculo'!I72+'Hoja 4 - Cálculo'!K72,'Hoja 4 - Cálculo'!I72+'Hoja 4 - Cálculo'!J72+'Hoja 4 - Cálculo'!K72)))</f>
        <v>16</v>
      </c>
      <c r="I1491" s="15">
        <f t="shared" si="335"/>
        <v>12</v>
      </c>
      <c r="J1491" s="15">
        <f t="shared" si="341"/>
        <v>10</v>
      </c>
      <c r="K1491" s="15">
        <f>MIN(J1491+G1491,(J1491+G1491)*'Hoja 4 - Cálculo'!$B$15)</f>
        <v>0.4949075</v>
      </c>
      <c r="L1491" s="15">
        <f t="shared" si="336"/>
        <v>24.250467499999999</v>
      </c>
      <c r="M1491" s="15">
        <f t="shared" si="337"/>
        <v>12</v>
      </c>
      <c r="N1491" s="15">
        <f t="shared" si="338"/>
        <v>10</v>
      </c>
      <c r="O1491" s="15">
        <f t="shared" si="339"/>
        <v>2.2504674999999992</v>
      </c>
      <c r="P1491" s="15">
        <f t="shared" si="340"/>
        <v>0</v>
      </c>
      <c r="Q1491" s="14" t="str">
        <f>IF(M1491&gt;=I1491*'Hoja 4 - Cálculo'!$B$16,"Satisfactorio","Falla")</f>
        <v>Satisfactorio</v>
      </c>
      <c r="R1491" s="14">
        <f t="shared" si="342"/>
        <v>0</v>
      </c>
      <c r="S1491" s="14">
        <f t="shared" si="343"/>
        <v>0</v>
      </c>
    </row>
    <row r="1492" spans="1:19">
      <c r="A1492" s="14" t="str">
        <f t="shared" si="334"/>
        <v>SRY-5-1</v>
      </c>
      <c r="B1492" s="15">
        <f>'Curvas SRY'!$B$12</f>
        <v>10</v>
      </c>
      <c r="C1492" s="15">
        <f>'Curvas SRY'!$E$8</f>
        <v>0.75</v>
      </c>
      <c r="D1492" s="14" t="str">
        <f>'Curvas SRY'!$B$14</f>
        <v>Uso variable</v>
      </c>
      <c r="E1492" s="14">
        <f>49</f>
        <v>49</v>
      </c>
      <c r="F1492" s="21">
        <f>'Hoja 4 - Cálculo'!A73</f>
        <v>31048</v>
      </c>
      <c r="G1492" s="15">
        <f>'Hoja 4 - Cálculo'!H73</f>
        <v>10.767374999999999</v>
      </c>
      <c r="H1492" s="15">
        <f>IF(D1492="Uso único",'Hoja 4 - Cálculo'!I73,IF(D1492="Uso múltiple",AVERAGE('Hoja 4 - Cálculo'!$I$25:$I$384)+AVERAGE('Hoja 4 - Cálculo'!$J$25:$J$384)+AVERAGE('Hoja 4 - Cálculo'!$K$25:$K$384),IF(D1492="Uso prioritario",'Hoja 4 - Cálculo'!I73+'Hoja 4 - Cálculo'!K73,'Hoja 4 - Cálculo'!I73+'Hoja 4 - Cálculo'!J73+'Hoja 4 - Cálculo'!K73)))</f>
        <v>16</v>
      </c>
      <c r="I1492" s="15">
        <f t="shared" si="335"/>
        <v>12</v>
      </c>
      <c r="J1492" s="15">
        <f t="shared" si="341"/>
        <v>10</v>
      </c>
      <c r="K1492" s="15">
        <f>MIN(J1492+G1492,(J1492+G1492)*'Hoja 4 - Cálculo'!$B$15)</f>
        <v>0.41534750000000004</v>
      </c>
      <c r="L1492" s="15">
        <f t="shared" si="336"/>
        <v>20.352027500000002</v>
      </c>
      <c r="M1492" s="15">
        <f t="shared" si="337"/>
        <v>12</v>
      </c>
      <c r="N1492" s="15">
        <f t="shared" si="338"/>
        <v>8.3520275000000019</v>
      </c>
      <c r="O1492" s="15">
        <f t="shared" si="339"/>
        <v>0</v>
      </c>
      <c r="P1492" s="15">
        <f t="shared" si="340"/>
        <v>0</v>
      </c>
      <c r="Q1492" s="14" t="str">
        <f>IF(M1492&gt;=I1492*'Hoja 4 - Cálculo'!$B$16,"Satisfactorio","Falla")</f>
        <v>Satisfactorio</v>
      </c>
      <c r="R1492" s="14">
        <f t="shared" si="342"/>
        <v>0</v>
      </c>
      <c r="S1492" s="14">
        <f t="shared" si="343"/>
        <v>0</v>
      </c>
    </row>
    <row r="1493" spans="1:19">
      <c r="A1493" s="14" t="str">
        <f t="shared" si="334"/>
        <v>SRY-5-1</v>
      </c>
      <c r="B1493" s="15">
        <f>'Curvas SRY'!$B$12</f>
        <v>10</v>
      </c>
      <c r="C1493" s="15">
        <f>'Curvas SRY'!$E$8</f>
        <v>0.75</v>
      </c>
      <c r="D1493" s="14" t="str">
        <f>'Curvas SRY'!$B$14</f>
        <v>Uso variable</v>
      </c>
      <c r="E1493" s="14">
        <f>50</f>
        <v>50</v>
      </c>
      <c r="F1493" s="21">
        <f>'Hoja 4 - Cálculo'!A74</f>
        <v>31079</v>
      </c>
      <c r="G1493" s="15">
        <f>'Hoja 4 - Cálculo'!H74</f>
        <v>13.464</v>
      </c>
      <c r="H1493" s="15">
        <f>IF(D1493="Uso único",'Hoja 4 - Cálculo'!I74,IF(D1493="Uso múltiple",AVERAGE('Hoja 4 - Cálculo'!$I$25:$I$384)+AVERAGE('Hoja 4 - Cálculo'!$J$25:$J$384)+AVERAGE('Hoja 4 - Cálculo'!$K$25:$K$384),IF(D1493="Uso prioritario",'Hoja 4 - Cálculo'!I74+'Hoja 4 - Cálculo'!K74,'Hoja 4 - Cálculo'!I74+'Hoja 4 - Cálculo'!J74+'Hoja 4 - Cálculo'!K74)))</f>
        <v>16</v>
      </c>
      <c r="I1493" s="15">
        <f t="shared" si="335"/>
        <v>12</v>
      </c>
      <c r="J1493" s="15">
        <f t="shared" si="341"/>
        <v>8.3520275000000019</v>
      </c>
      <c r="K1493" s="15">
        <f>MIN(J1493+G1493,(J1493+G1493)*'Hoja 4 - Cálculo'!$B$15)</f>
        <v>0.43632055000000008</v>
      </c>
      <c r="L1493" s="15">
        <f t="shared" si="336"/>
        <v>21.379706950000003</v>
      </c>
      <c r="M1493" s="15">
        <f t="shared" si="337"/>
        <v>12</v>
      </c>
      <c r="N1493" s="15">
        <f t="shared" si="338"/>
        <v>9.3797069500000028</v>
      </c>
      <c r="O1493" s="15">
        <f t="shared" si="339"/>
        <v>0</v>
      </c>
      <c r="P1493" s="15">
        <f t="shared" si="340"/>
        <v>0</v>
      </c>
      <c r="Q1493" s="14" t="str">
        <f>IF(M1493&gt;=I1493*'Hoja 4 - Cálculo'!$B$16,"Satisfactorio","Falla")</f>
        <v>Satisfactorio</v>
      </c>
      <c r="R1493" s="14">
        <f t="shared" si="342"/>
        <v>0</v>
      </c>
      <c r="S1493" s="14">
        <f t="shared" si="343"/>
        <v>0</v>
      </c>
    </row>
    <row r="1494" spans="1:19">
      <c r="A1494" s="14" t="str">
        <f t="shared" si="334"/>
        <v>SRY-5-1</v>
      </c>
      <c r="B1494" s="15">
        <f>'Curvas SRY'!$B$12</f>
        <v>10</v>
      </c>
      <c r="C1494" s="15">
        <f>'Curvas SRY'!$E$8</f>
        <v>0.75</v>
      </c>
      <c r="D1494" s="14" t="str">
        <f>'Curvas SRY'!$B$14</f>
        <v>Uso variable</v>
      </c>
      <c r="E1494" s="14">
        <f>51</f>
        <v>51</v>
      </c>
      <c r="F1494" s="21">
        <f>'Hoja 4 - Cálculo'!A75</f>
        <v>31107</v>
      </c>
      <c r="G1494" s="15">
        <f>'Hoja 4 - Cálculo'!H75</f>
        <v>19.450125</v>
      </c>
      <c r="H1494" s="15">
        <f>IF(D1494="Uso único",'Hoja 4 - Cálculo'!I75,IF(D1494="Uso múltiple",AVERAGE('Hoja 4 - Cálculo'!$I$25:$I$384)+AVERAGE('Hoja 4 - Cálculo'!$J$25:$J$384)+AVERAGE('Hoja 4 - Cálculo'!$K$25:$K$384),IF(D1494="Uso prioritario",'Hoja 4 - Cálculo'!I75+'Hoja 4 - Cálculo'!K75,'Hoja 4 - Cálculo'!I75+'Hoja 4 - Cálculo'!J75+'Hoja 4 - Cálculo'!K75)))</f>
        <v>16</v>
      </c>
      <c r="I1494" s="15">
        <f t="shared" si="335"/>
        <v>12</v>
      </c>
      <c r="J1494" s="15">
        <f t="shared" si="341"/>
        <v>9.3797069500000028</v>
      </c>
      <c r="K1494" s="15">
        <f>MIN(J1494+G1494,(J1494+G1494)*'Hoja 4 - Cálculo'!$B$15)</f>
        <v>0.57659663900000002</v>
      </c>
      <c r="L1494" s="15">
        <f t="shared" si="336"/>
        <v>28.253235311000001</v>
      </c>
      <c r="M1494" s="15">
        <f t="shared" si="337"/>
        <v>12</v>
      </c>
      <c r="N1494" s="15">
        <f t="shared" si="338"/>
        <v>10</v>
      </c>
      <c r="O1494" s="15">
        <f t="shared" si="339"/>
        <v>6.253235311000001</v>
      </c>
      <c r="P1494" s="15">
        <f t="shared" si="340"/>
        <v>0</v>
      </c>
      <c r="Q1494" s="14" t="str">
        <f>IF(M1494&gt;=I1494*'Hoja 4 - Cálculo'!$B$16,"Satisfactorio","Falla")</f>
        <v>Satisfactorio</v>
      </c>
      <c r="R1494" s="14">
        <f t="shared" si="342"/>
        <v>0</v>
      </c>
      <c r="S1494" s="14">
        <f t="shared" si="343"/>
        <v>0</v>
      </c>
    </row>
    <row r="1495" spans="1:19">
      <c r="A1495" s="14" t="str">
        <f t="shared" si="334"/>
        <v>SRY-5-1</v>
      </c>
      <c r="B1495" s="15">
        <f>'Curvas SRY'!$B$12</f>
        <v>10</v>
      </c>
      <c r="C1495" s="15">
        <f>'Curvas SRY'!$E$8</f>
        <v>0.75</v>
      </c>
      <c r="D1495" s="14" t="str">
        <f>'Curvas SRY'!$B$14</f>
        <v>Uso variable</v>
      </c>
      <c r="E1495" s="14">
        <f>52</f>
        <v>52</v>
      </c>
      <c r="F1495" s="21">
        <f>'Hoja 4 - Cálculo'!A76</f>
        <v>31138</v>
      </c>
      <c r="G1495" s="15">
        <f>'Hoja 4 - Cálculo'!H76</f>
        <v>25.51275</v>
      </c>
      <c r="H1495" s="15">
        <f>IF(D1495="Uso único",'Hoja 4 - Cálculo'!I76,IF(D1495="Uso múltiple",AVERAGE('Hoja 4 - Cálculo'!$I$25:$I$384)+AVERAGE('Hoja 4 - Cálculo'!$J$25:$J$384)+AVERAGE('Hoja 4 - Cálculo'!$K$25:$K$384),IF(D1495="Uso prioritario",'Hoja 4 - Cálculo'!I76+'Hoja 4 - Cálculo'!K76,'Hoja 4 - Cálculo'!I76+'Hoja 4 - Cálculo'!J76+'Hoja 4 - Cálculo'!K76)))</f>
        <v>11.5</v>
      </c>
      <c r="I1495" s="15">
        <f t="shared" si="335"/>
        <v>8.625</v>
      </c>
      <c r="J1495" s="15">
        <f t="shared" si="341"/>
        <v>10</v>
      </c>
      <c r="K1495" s="15">
        <f>MIN(J1495+G1495,(J1495+G1495)*'Hoja 4 - Cálculo'!$B$15)</f>
        <v>0.71025499999999997</v>
      </c>
      <c r="L1495" s="15">
        <f t="shared" si="336"/>
        <v>34.802495</v>
      </c>
      <c r="M1495" s="15">
        <f t="shared" si="337"/>
        <v>8.625</v>
      </c>
      <c r="N1495" s="15">
        <f t="shared" si="338"/>
        <v>10</v>
      </c>
      <c r="O1495" s="15">
        <f t="shared" si="339"/>
        <v>16.177495</v>
      </c>
      <c r="P1495" s="15">
        <f t="shared" si="340"/>
        <v>0</v>
      </c>
      <c r="Q1495" s="14" t="str">
        <f>IF(M1495&gt;=I1495*'Hoja 4 - Cálculo'!$B$16,"Satisfactorio","Falla")</f>
        <v>Satisfactorio</v>
      </c>
      <c r="R1495" s="14">
        <f t="shared" si="342"/>
        <v>0</v>
      </c>
      <c r="S1495" s="14">
        <f t="shared" si="343"/>
        <v>0</v>
      </c>
    </row>
    <row r="1496" spans="1:19">
      <c r="A1496" s="14" t="str">
        <f t="shared" si="334"/>
        <v>SRY-5-1</v>
      </c>
      <c r="B1496" s="15">
        <f>'Curvas SRY'!$B$12</f>
        <v>10</v>
      </c>
      <c r="C1496" s="15">
        <f>'Curvas SRY'!$E$8</f>
        <v>0.75</v>
      </c>
      <c r="D1496" s="14" t="str">
        <f>'Curvas SRY'!$B$14</f>
        <v>Uso variable</v>
      </c>
      <c r="E1496" s="14">
        <f>53</f>
        <v>53</v>
      </c>
      <c r="F1496" s="21">
        <f>'Hoja 4 - Cálculo'!A77</f>
        <v>31168</v>
      </c>
      <c r="G1496" s="15">
        <f>'Hoja 4 - Cálculo'!H77</f>
        <v>24.36525</v>
      </c>
      <c r="H1496" s="15">
        <f>IF(D1496="Uso único",'Hoja 4 - Cálculo'!I77,IF(D1496="Uso múltiple",AVERAGE('Hoja 4 - Cálculo'!$I$25:$I$384)+AVERAGE('Hoja 4 - Cálculo'!$J$25:$J$384)+AVERAGE('Hoja 4 - Cálculo'!$K$25:$K$384),IF(D1496="Uso prioritario",'Hoja 4 - Cálculo'!I77+'Hoja 4 - Cálculo'!K77,'Hoja 4 - Cálculo'!I77+'Hoja 4 - Cálculo'!J77+'Hoja 4 - Cálculo'!K77)))</f>
        <v>11.5</v>
      </c>
      <c r="I1496" s="15">
        <f t="shared" si="335"/>
        <v>8.625</v>
      </c>
      <c r="J1496" s="15">
        <f t="shared" si="341"/>
        <v>10</v>
      </c>
      <c r="K1496" s="15">
        <f>MIN(J1496+G1496,(J1496+G1496)*'Hoja 4 - Cálculo'!$B$15)</f>
        <v>0.68730500000000005</v>
      </c>
      <c r="L1496" s="15">
        <f t="shared" si="336"/>
        <v>33.677945000000001</v>
      </c>
      <c r="M1496" s="15">
        <f t="shared" si="337"/>
        <v>8.625</v>
      </c>
      <c r="N1496" s="15">
        <f t="shared" si="338"/>
        <v>10</v>
      </c>
      <c r="O1496" s="15">
        <f t="shared" si="339"/>
        <v>15.052945000000001</v>
      </c>
      <c r="P1496" s="15">
        <f t="shared" si="340"/>
        <v>0</v>
      </c>
      <c r="Q1496" s="14" t="str">
        <f>IF(M1496&gt;=I1496*'Hoja 4 - Cálculo'!$B$16,"Satisfactorio","Falla")</f>
        <v>Satisfactorio</v>
      </c>
      <c r="R1496" s="14">
        <f t="shared" si="342"/>
        <v>0</v>
      </c>
      <c r="S1496" s="14">
        <f t="shared" si="343"/>
        <v>0</v>
      </c>
    </row>
    <row r="1497" spans="1:19">
      <c r="A1497" s="14" t="str">
        <f t="shared" si="334"/>
        <v>SRY-5-1</v>
      </c>
      <c r="B1497" s="15">
        <f>'Curvas SRY'!$B$12</f>
        <v>10</v>
      </c>
      <c r="C1497" s="15">
        <f>'Curvas SRY'!$E$8</f>
        <v>0.75</v>
      </c>
      <c r="D1497" s="14" t="str">
        <f>'Curvas SRY'!$B$14</f>
        <v>Uso variable</v>
      </c>
      <c r="E1497" s="14">
        <f>54</f>
        <v>54</v>
      </c>
      <c r="F1497" s="21">
        <f>'Hoja 4 - Cálculo'!A78</f>
        <v>31199</v>
      </c>
      <c r="G1497" s="15">
        <f>'Hoja 4 - Cálculo'!H78</f>
        <v>15.395625000000001</v>
      </c>
      <c r="H1497" s="15">
        <f>IF(D1497="Uso único",'Hoja 4 - Cálculo'!I78,IF(D1497="Uso múltiple",AVERAGE('Hoja 4 - Cálculo'!$I$25:$I$384)+AVERAGE('Hoja 4 - Cálculo'!$J$25:$J$384)+AVERAGE('Hoja 4 - Cálculo'!$K$25:$K$384),IF(D1497="Uso prioritario",'Hoja 4 - Cálculo'!I78+'Hoja 4 - Cálculo'!K78,'Hoja 4 - Cálculo'!I78+'Hoja 4 - Cálculo'!J78+'Hoja 4 - Cálculo'!K78)))</f>
        <v>11.5</v>
      </c>
      <c r="I1497" s="15">
        <f t="shared" si="335"/>
        <v>8.625</v>
      </c>
      <c r="J1497" s="15">
        <f t="shared" si="341"/>
        <v>10</v>
      </c>
      <c r="K1497" s="15">
        <f>MIN(J1497+G1497,(J1497+G1497)*'Hoja 4 - Cálculo'!$B$15)</f>
        <v>0.5079125000000001</v>
      </c>
      <c r="L1497" s="15">
        <f t="shared" si="336"/>
        <v>24.887712500000003</v>
      </c>
      <c r="M1497" s="15">
        <f t="shared" si="337"/>
        <v>8.625</v>
      </c>
      <c r="N1497" s="15">
        <f t="shared" si="338"/>
        <v>10</v>
      </c>
      <c r="O1497" s="15">
        <f t="shared" si="339"/>
        <v>6.2627125000000028</v>
      </c>
      <c r="P1497" s="15">
        <f t="shared" si="340"/>
        <v>0</v>
      </c>
      <c r="Q1497" s="14" t="str">
        <f>IF(M1497&gt;=I1497*'Hoja 4 - Cálculo'!$B$16,"Satisfactorio","Falla")</f>
        <v>Satisfactorio</v>
      </c>
      <c r="R1497" s="14">
        <f t="shared" si="342"/>
        <v>0</v>
      </c>
      <c r="S1497" s="14">
        <f t="shared" si="343"/>
        <v>0</v>
      </c>
    </row>
    <row r="1498" spans="1:19">
      <c r="A1498" s="14" t="str">
        <f t="shared" si="334"/>
        <v>SRY-5-1</v>
      </c>
      <c r="B1498" s="15">
        <f>'Curvas SRY'!$B$12</f>
        <v>10</v>
      </c>
      <c r="C1498" s="15">
        <f>'Curvas SRY'!$E$8</f>
        <v>0.75</v>
      </c>
      <c r="D1498" s="14" t="str">
        <f>'Curvas SRY'!$B$14</f>
        <v>Uso variable</v>
      </c>
      <c r="E1498" s="14">
        <f>55</f>
        <v>55</v>
      </c>
      <c r="F1498" s="21">
        <f>'Hoja 4 - Cálculo'!A79</f>
        <v>31229</v>
      </c>
      <c r="G1498" s="15">
        <f>'Hoja 4 - Cálculo'!H79</f>
        <v>11.742749999999999</v>
      </c>
      <c r="H1498" s="15">
        <f>IF(D1498="Uso único",'Hoja 4 - Cálculo'!I79,IF(D1498="Uso múltiple",AVERAGE('Hoja 4 - Cálculo'!$I$25:$I$384)+AVERAGE('Hoja 4 - Cálculo'!$J$25:$J$384)+AVERAGE('Hoja 4 - Cálculo'!$K$25:$K$384),IF(D1498="Uso prioritario",'Hoja 4 - Cálculo'!I79+'Hoja 4 - Cálculo'!K79,'Hoja 4 - Cálculo'!I79+'Hoja 4 - Cálculo'!J79+'Hoja 4 - Cálculo'!K79)))</f>
        <v>16</v>
      </c>
      <c r="I1498" s="15">
        <f t="shared" si="335"/>
        <v>12</v>
      </c>
      <c r="J1498" s="15">
        <f t="shared" si="341"/>
        <v>10</v>
      </c>
      <c r="K1498" s="15">
        <f>MIN(J1498+G1498,(J1498+G1498)*'Hoja 4 - Cálculo'!$B$15)</f>
        <v>0.43485500000000005</v>
      </c>
      <c r="L1498" s="15">
        <f t="shared" si="336"/>
        <v>21.307895000000002</v>
      </c>
      <c r="M1498" s="15">
        <f t="shared" si="337"/>
        <v>12</v>
      </c>
      <c r="N1498" s="15">
        <f t="shared" si="338"/>
        <v>9.307895000000002</v>
      </c>
      <c r="O1498" s="15">
        <f t="shared" si="339"/>
        <v>0</v>
      </c>
      <c r="P1498" s="15">
        <f t="shared" si="340"/>
        <v>0</v>
      </c>
      <c r="Q1498" s="14" t="str">
        <f>IF(M1498&gt;=I1498*'Hoja 4 - Cálculo'!$B$16,"Satisfactorio","Falla")</f>
        <v>Satisfactorio</v>
      </c>
      <c r="R1498" s="14">
        <f t="shared" si="342"/>
        <v>0</v>
      </c>
      <c r="S1498" s="14">
        <f t="shared" si="343"/>
        <v>0</v>
      </c>
    </row>
    <row r="1499" spans="1:19">
      <c r="A1499" s="14" t="str">
        <f t="shared" si="334"/>
        <v>SRY-5-1</v>
      </c>
      <c r="B1499" s="15">
        <f>'Curvas SRY'!$B$12</f>
        <v>10</v>
      </c>
      <c r="C1499" s="15">
        <f>'Curvas SRY'!$E$8</f>
        <v>0.75</v>
      </c>
      <c r="D1499" s="14" t="str">
        <f>'Curvas SRY'!$B$14</f>
        <v>Uso variable</v>
      </c>
      <c r="E1499" s="14">
        <f>56</f>
        <v>56</v>
      </c>
      <c r="F1499" s="21">
        <f>'Hoja 4 - Cálculo'!A80</f>
        <v>31260</v>
      </c>
      <c r="G1499" s="15">
        <f>'Hoja 4 - Cálculo'!H80</f>
        <v>12.603375</v>
      </c>
      <c r="H1499" s="15">
        <f>IF(D1499="Uso único",'Hoja 4 - Cálculo'!I80,IF(D1499="Uso múltiple",AVERAGE('Hoja 4 - Cálculo'!$I$25:$I$384)+AVERAGE('Hoja 4 - Cálculo'!$J$25:$J$384)+AVERAGE('Hoja 4 - Cálculo'!$K$25:$K$384),IF(D1499="Uso prioritario",'Hoja 4 - Cálculo'!I80+'Hoja 4 - Cálculo'!K80,'Hoja 4 - Cálculo'!I80+'Hoja 4 - Cálculo'!J80+'Hoja 4 - Cálculo'!K80)))</f>
        <v>16</v>
      </c>
      <c r="I1499" s="15">
        <f t="shared" si="335"/>
        <v>12</v>
      </c>
      <c r="J1499" s="15">
        <f t="shared" si="341"/>
        <v>9.307895000000002</v>
      </c>
      <c r="K1499" s="15">
        <f>MIN(J1499+G1499,(J1499+G1499)*'Hoja 4 - Cálculo'!$B$15)</f>
        <v>0.43822540000000004</v>
      </c>
      <c r="L1499" s="15">
        <f t="shared" si="336"/>
        <v>21.473044600000001</v>
      </c>
      <c r="M1499" s="15">
        <f t="shared" si="337"/>
        <v>12</v>
      </c>
      <c r="N1499" s="15">
        <f t="shared" si="338"/>
        <v>9.4730446000000015</v>
      </c>
      <c r="O1499" s="15">
        <f t="shared" si="339"/>
        <v>0</v>
      </c>
      <c r="P1499" s="15">
        <f t="shared" si="340"/>
        <v>0</v>
      </c>
      <c r="Q1499" s="14" t="str">
        <f>IF(M1499&gt;=I1499*'Hoja 4 - Cálculo'!$B$16,"Satisfactorio","Falla")</f>
        <v>Satisfactorio</v>
      </c>
      <c r="R1499" s="14">
        <f t="shared" si="342"/>
        <v>0</v>
      </c>
      <c r="S1499" s="14">
        <f t="shared" si="343"/>
        <v>0</v>
      </c>
    </row>
    <row r="1500" spans="1:19">
      <c r="A1500" s="14" t="str">
        <f t="shared" si="334"/>
        <v>SRY-5-1</v>
      </c>
      <c r="B1500" s="15">
        <f>'Curvas SRY'!$B$12</f>
        <v>10</v>
      </c>
      <c r="C1500" s="15">
        <f>'Curvas SRY'!$E$8</f>
        <v>0.75</v>
      </c>
      <c r="D1500" s="14" t="str">
        <f>'Curvas SRY'!$B$14</f>
        <v>Uso variable</v>
      </c>
      <c r="E1500" s="14">
        <f>57</f>
        <v>57</v>
      </c>
      <c r="F1500" s="21">
        <f>'Hoja 4 - Cálculo'!A81</f>
        <v>31291</v>
      </c>
      <c r="G1500" s="15">
        <f>'Hoja 4 - Cálculo'!H81</f>
        <v>21.745125000000002</v>
      </c>
      <c r="H1500" s="15">
        <f>IF(D1500="Uso único",'Hoja 4 - Cálculo'!I81,IF(D1500="Uso múltiple",AVERAGE('Hoja 4 - Cálculo'!$I$25:$I$384)+AVERAGE('Hoja 4 - Cálculo'!$J$25:$J$384)+AVERAGE('Hoja 4 - Cálculo'!$K$25:$K$384),IF(D1500="Uso prioritario",'Hoja 4 - Cálculo'!I81+'Hoja 4 - Cálculo'!K81,'Hoja 4 - Cálculo'!I81+'Hoja 4 - Cálculo'!J81+'Hoja 4 - Cálculo'!K81)))</f>
        <v>11.5</v>
      </c>
      <c r="I1500" s="15">
        <f t="shared" si="335"/>
        <v>8.625</v>
      </c>
      <c r="J1500" s="15">
        <f t="shared" si="341"/>
        <v>9.4730446000000015</v>
      </c>
      <c r="K1500" s="15">
        <f>MIN(J1500+G1500,(J1500+G1500)*'Hoja 4 - Cálculo'!$B$15)</f>
        <v>0.62436339200000013</v>
      </c>
      <c r="L1500" s="15">
        <f t="shared" si="336"/>
        <v>30.593806208000004</v>
      </c>
      <c r="M1500" s="15">
        <f t="shared" si="337"/>
        <v>8.625</v>
      </c>
      <c r="N1500" s="15">
        <f t="shared" si="338"/>
        <v>10</v>
      </c>
      <c r="O1500" s="15">
        <f t="shared" si="339"/>
        <v>11.968806208000004</v>
      </c>
      <c r="P1500" s="15">
        <f t="shared" si="340"/>
        <v>0</v>
      </c>
      <c r="Q1500" s="14" t="str">
        <f>IF(M1500&gt;=I1500*'Hoja 4 - Cálculo'!$B$16,"Satisfactorio","Falla")</f>
        <v>Satisfactorio</v>
      </c>
      <c r="R1500" s="14">
        <f t="shared" si="342"/>
        <v>0</v>
      </c>
      <c r="S1500" s="14">
        <f t="shared" si="343"/>
        <v>0</v>
      </c>
    </row>
    <row r="1501" spans="1:19">
      <c r="A1501" s="14" t="str">
        <f t="shared" si="334"/>
        <v>SRY-5-1</v>
      </c>
      <c r="B1501" s="15">
        <f>'Curvas SRY'!$B$12</f>
        <v>10</v>
      </c>
      <c r="C1501" s="15">
        <f>'Curvas SRY'!$E$8</f>
        <v>0.75</v>
      </c>
      <c r="D1501" s="14" t="str">
        <f>'Curvas SRY'!$B$14</f>
        <v>Uso variable</v>
      </c>
      <c r="E1501" s="14">
        <f>58</f>
        <v>58</v>
      </c>
      <c r="F1501" s="21">
        <f>'Hoja 4 - Cálculo'!A82</f>
        <v>31321</v>
      </c>
      <c r="G1501" s="15">
        <f>'Hoja 4 - Cálculo'!H82</f>
        <v>27.788625</v>
      </c>
      <c r="H1501" s="15">
        <f>IF(D1501="Uso único",'Hoja 4 - Cálculo'!I82,IF(D1501="Uso múltiple",AVERAGE('Hoja 4 - Cálculo'!$I$25:$I$384)+AVERAGE('Hoja 4 - Cálculo'!$J$25:$J$384)+AVERAGE('Hoja 4 - Cálculo'!$K$25:$K$384),IF(D1501="Uso prioritario",'Hoja 4 - Cálculo'!I82+'Hoja 4 - Cálculo'!K82,'Hoja 4 - Cálculo'!I82+'Hoja 4 - Cálculo'!J82+'Hoja 4 - Cálculo'!K82)))</f>
        <v>11.5</v>
      </c>
      <c r="I1501" s="15">
        <f t="shared" si="335"/>
        <v>8.625</v>
      </c>
      <c r="J1501" s="15">
        <f t="shared" si="341"/>
        <v>10</v>
      </c>
      <c r="K1501" s="15">
        <f>MIN(J1501+G1501,(J1501+G1501)*'Hoja 4 - Cálculo'!$B$15)</f>
        <v>0.75577249999999996</v>
      </c>
      <c r="L1501" s="15">
        <f t="shared" si="336"/>
        <v>37.032852499999997</v>
      </c>
      <c r="M1501" s="15">
        <f t="shared" si="337"/>
        <v>8.625</v>
      </c>
      <c r="N1501" s="15">
        <f t="shared" si="338"/>
        <v>10</v>
      </c>
      <c r="O1501" s="15">
        <f t="shared" si="339"/>
        <v>18.407852499999997</v>
      </c>
      <c r="P1501" s="15">
        <f t="shared" si="340"/>
        <v>0</v>
      </c>
      <c r="Q1501" s="14" t="str">
        <f>IF(M1501&gt;=I1501*'Hoja 4 - Cálculo'!$B$16,"Satisfactorio","Falla")</f>
        <v>Satisfactorio</v>
      </c>
      <c r="R1501" s="14">
        <f t="shared" si="342"/>
        <v>0</v>
      </c>
      <c r="S1501" s="14">
        <f t="shared" si="343"/>
        <v>0</v>
      </c>
    </row>
    <row r="1502" spans="1:19">
      <c r="A1502" s="14" t="str">
        <f t="shared" si="334"/>
        <v>SRY-5-1</v>
      </c>
      <c r="B1502" s="15">
        <f>'Curvas SRY'!$B$12</f>
        <v>10</v>
      </c>
      <c r="C1502" s="15">
        <f>'Curvas SRY'!$E$8</f>
        <v>0.75</v>
      </c>
      <c r="D1502" s="14" t="str">
        <f>'Curvas SRY'!$B$14</f>
        <v>Uso variable</v>
      </c>
      <c r="E1502" s="14">
        <f>59</f>
        <v>59</v>
      </c>
      <c r="F1502" s="21">
        <f>'Hoja 4 - Cálculo'!A83</f>
        <v>31352</v>
      </c>
      <c r="G1502" s="15">
        <f>'Hoja 4 - Cálculo'!H83</f>
        <v>22.22325</v>
      </c>
      <c r="H1502" s="15">
        <f>IF(D1502="Uso único",'Hoja 4 - Cálculo'!I83,IF(D1502="Uso múltiple",AVERAGE('Hoja 4 - Cálculo'!$I$25:$I$384)+AVERAGE('Hoja 4 - Cálculo'!$J$25:$J$384)+AVERAGE('Hoja 4 - Cálculo'!$K$25:$K$384),IF(D1502="Uso prioritario",'Hoja 4 - Cálculo'!I83+'Hoja 4 - Cálculo'!K83,'Hoja 4 - Cálculo'!I83+'Hoja 4 - Cálculo'!J83+'Hoja 4 - Cálculo'!K83)))</f>
        <v>11.5</v>
      </c>
      <c r="I1502" s="15">
        <f t="shared" si="335"/>
        <v>8.625</v>
      </c>
      <c r="J1502" s="15">
        <f t="shared" si="341"/>
        <v>10</v>
      </c>
      <c r="K1502" s="15">
        <f>MIN(J1502+G1502,(J1502+G1502)*'Hoja 4 - Cálculo'!$B$15)</f>
        <v>0.64446500000000007</v>
      </c>
      <c r="L1502" s="15">
        <f t="shared" si="336"/>
        <v>31.578785</v>
      </c>
      <c r="M1502" s="15">
        <f t="shared" si="337"/>
        <v>8.625</v>
      </c>
      <c r="N1502" s="15">
        <f t="shared" si="338"/>
        <v>10</v>
      </c>
      <c r="O1502" s="15">
        <f t="shared" si="339"/>
        <v>12.953785</v>
      </c>
      <c r="P1502" s="15">
        <f t="shared" si="340"/>
        <v>0</v>
      </c>
      <c r="Q1502" s="14" t="str">
        <f>IF(M1502&gt;=I1502*'Hoja 4 - Cálculo'!$B$16,"Satisfactorio","Falla")</f>
        <v>Satisfactorio</v>
      </c>
      <c r="R1502" s="14">
        <f t="shared" si="342"/>
        <v>0</v>
      </c>
      <c r="S1502" s="14">
        <f t="shared" si="343"/>
        <v>0</v>
      </c>
    </row>
    <row r="1503" spans="1:19">
      <c r="A1503" s="14" t="str">
        <f t="shared" si="334"/>
        <v>SRY-5-1</v>
      </c>
      <c r="B1503" s="15">
        <f>'Curvas SRY'!$B$12</f>
        <v>10</v>
      </c>
      <c r="C1503" s="15">
        <f>'Curvas SRY'!$E$8</f>
        <v>0.75</v>
      </c>
      <c r="D1503" s="14" t="str">
        <f>'Curvas SRY'!$B$14</f>
        <v>Uso variable</v>
      </c>
      <c r="E1503" s="14">
        <f>60</f>
        <v>60</v>
      </c>
      <c r="F1503" s="21">
        <f>'Hoja 4 - Cálculo'!A84</f>
        <v>31382</v>
      </c>
      <c r="G1503" s="15">
        <f>'Hoja 4 - Cálculo'!H84</f>
        <v>14.171625000000001</v>
      </c>
      <c r="H1503" s="15">
        <f>IF(D1503="Uso único",'Hoja 4 - Cálculo'!I84,IF(D1503="Uso múltiple",AVERAGE('Hoja 4 - Cálculo'!$I$25:$I$384)+AVERAGE('Hoja 4 - Cálculo'!$J$25:$J$384)+AVERAGE('Hoja 4 - Cálculo'!$K$25:$K$384),IF(D1503="Uso prioritario",'Hoja 4 - Cálculo'!I84+'Hoja 4 - Cálculo'!K84,'Hoja 4 - Cálculo'!I84+'Hoja 4 - Cálculo'!J84+'Hoja 4 - Cálculo'!K84)))</f>
        <v>16</v>
      </c>
      <c r="I1503" s="15">
        <f t="shared" si="335"/>
        <v>12</v>
      </c>
      <c r="J1503" s="15">
        <f t="shared" si="341"/>
        <v>10</v>
      </c>
      <c r="K1503" s="15">
        <f>MIN(J1503+G1503,(J1503+G1503)*'Hoja 4 - Cálculo'!$B$15)</f>
        <v>0.48343249999999999</v>
      </c>
      <c r="L1503" s="15">
        <f t="shared" si="336"/>
        <v>23.6881925</v>
      </c>
      <c r="M1503" s="15">
        <f t="shared" si="337"/>
        <v>12</v>
      </c>
      <c r="N1503" s="15">
        <f t="shared" si="338"/>
        <v>10</v>
      </c>
      <c r="O1503" s="15">
        <f t="shared" si="339"/>
        <v>1.6881924999999995</v>
      </c>
      <c r="P1503" s="15">
        <f t="shared" si="340"/>
        <v>0</v>
      </c>
      <c r="Q1503" s="14" t="str">
        <f>IF(M1503&gt;=I1503*'Hoja 4 - Cálculo'!$B$16,"Satisfactorio","Falla")</f>
        <v>Satisfactorio</v>
      </c>
      <c r="R1503" s="14">
        <f t="shared" si="342"/>
        <v>0</v>
      </c>
      <c r="S1503" s="14">
        <f t="shared" si="343"/>
        <v>0</v>
      </c>
    </row>
    <row r="1504" spans="1:19">
      <c r="A1504" s="14" t="str">
        <f t="shared" si="334"/>
        <v>SRY-5-1</v>
      </c>
      <c r="B1504" s="15">
        <f>'Curvas SRY'!$B$12</f>
        <v>10</v>
      </c>
      <c r="C1504" s="15">
        <f>'Curvas SRY'!$E$8</f>
        <v>0.75</v>
      </c>
      <c r="D1504" s="14" t="str">
        <f>'Curvas SRY'!$B$14</f>
        <v>Uso variable</v>
      </c>
      <c r="E1504" s="14">
        <f>61</f>
        <v>61</v>
      </c>
      <c r="F1504" s="21">
        <f>'Hoja 4 - Cálculo'!A85</f>
        <v>31413</v>
      </c>
      <c r="G1504" s="15">
        <f>'Hoja 4 - Cálculo'!H85</f>
        <v>12.641624999999999</v>
      </c>
      <c r="H1504" s="15">
        <f>IF(D1504="Uso único",'Hoja 4 - Cálculo'!I85,IF(D1504="Uso múltiple",AVERAGE('Hoja 4 - Cálculo'!$I$25:$I$384)+AVERAGE('Hoja 4 - Cálculo'!$J$25:$J$384)+AVERAGE('Hoja 4 - Cálculo'!$K$25:$K$384),IF(D1504="Uso prioritario",'Hoja 4 - Cálculo'!I85+'Hoja 4 - Cálculo'!K85,'Hoja 4 - Cálculo'!I85+'Hoja 4 - Cálculo'!J85+'Hoja 4 - Cálculo'!K85)))</f>
        <v>16</v>
      </c>
      <c r="I1504" s="15">
        <f t="shared" si="335"/>
        <v>12</v>
      </c>
      <c r="J1504" s="15">
        <f t="shared" si="341"/>
        <v>10</v>
      </c>
      <c r="K1504" s="15">
        <f>MIN(J1504+G1504,(J1504+G1504)*'Hoja 4 - Cálculo'!$B$15)</f>
        <v>0.45283249999999997</v>
      </c>
      <c r="L1504" s="15">
        <f t="shared" si="336"/>
        <v>22.188792499999998</v>
      </c>
      <c r="M1504" s="15">
        <f t="shared" si="337"/>
        <v>12</v>
      </c>
      <c r="N1504" s="15">
        <f t="shared" si="338"/>
        <v>10</v>
      </c>
      <c r="O1504" s="15">
        <f t="shared" si="339"/>
        <v>0.18879249999999814</v>
      </c>
      <c r="P1504" s="15">
        <f t="shared" si="340"/>
        <v>0</v>
      </c>
      <c r="Q1504" s="14" t="str">
        <f>IF(M1504&gt;=I1504*'Hoja 4 - Cálculo'!$B$16,"Satisfactorio","Falla")</f>
        <v>Satisfactorio</v>
      </c>
      <c r="R1504" s="14">
        <f t="shared" si="342"/>
        <v>0</v>
      </c>
      <c r="S1504" s="14">
        <f t="shared" si="343"/>
        <v>0</v>
      </c>
    </row>
    <row r="1505" spans="1:19">
      <c r="A1505" s="14" t="str">
        <f t="shared" si="334"/>
        <v>SRY-5-1</v>
      </c>
      <c r="B1505" s="15">
        <f>'Curvas SRY'!$B$12</f>
        <v>10</v>
      </c>
      <c r="C1505" s="15">
        <f>'Curvas SRY'!$E$8</f>
        <v>0.75</v>
      </c>
      <c r="D1505" s="14" t="str">
        <f>'Curvas SRY'!$B$14</f>
        <v>Uso variable</v>
      </c>
      <c r="E1505" s="14">
        <f>62</f>
        <v>62</v>
      </c>
      <c r="F1505" s="21">
        <f>'Hoja 4 - Cálculo'!A86</f>
        <v>31444</v>
      </c>
      <c r="G1505" s="15">
        <f>'Hoja 4 - Cálculo'!H86</f>
        <v>15.357374999999999</v>
      </c>
      <c r="H1505" s="15">
        <f>IF(D1505="Uso único",'Hoja 4 - Cálculo'!I86,IF(D1505="Uso múltiple",AVERAGE('Hoja 4 - Cálculo'!$I$25:$I$384)+AVERAGE('Hoja 4 - Cálculo'!$J$25:$J$384)+AVERAGE('Hoja 4 - Cálculo'!$K$25:$K$384),IF(D1505="Uso prioritario",'Hoja 4 - Cálculo'!I86+'Hoja 4 - Cálculo'!K86,'Hoja 4 - Cálculo'!I86+'Hoja 4 - Cálculo'!J86+'Hoja 4 - Cálculo'!K86)))</f>
        <v>16</v>
      </c>
      <c r="I1505" s="15">
        <f t="shared" si="335"/>
        <v>12</v>
      </c>
      <c r="J1505" s="15">
        <f t="shared" si="341"/>
        <v>10</v>
      </c>
      <c r="K1505" s="15">
        <f>MIN(J1505+G1505,(J1505+G1505)*'Hoja 4 - Cálculo'!$B$15)</f>
        <v>0.50714749999999997</v>
      </c>
      <c r="L1505" s="15">
        <f t="shared" si="336"/>
        <v>24.850227499999999</v>
      </c>
      <c r="M1505" s="15">
        <f t="shared" si="337"/>
        <v>12</v>
      </c>
      <c r="N1505" s="15">
        <f t="shared" si="338"/>
        <v>10</v>
      </c>
      <c r="O1505" s="15">
        <f t="shared" si="339"/>
        <v>2.850227499999999</v>
      </c>
      <c r="P1505" s="15">
        <f t="shared" si="340"/>
        <v>0</v>
      </c>
      <c r="Q1505" s="14" t="str">
        <f>IF(M1505&gt;=I1505*'Hoja 4 - Cálculo'!$B$16,"Satisfactorio","Falla")</f>
        <v>Satisfactorio</v>
      </c>
      <c r="R1505" s="14">
        <f t="shared" si="342"/>
        <v>0</v>
      </c>
      <c r="S1505" s="14">
        <f t="shared" si="343"/>
        <v>0</v>
      </c>
    </row>
    <row r="1506" spans="1:19">
      <c r="A1506" s="14" t="str">
        <f t="shared" si="334"/>
        <v>SRY-5-1</v>
      </c>
      <c r="B1506" s="15">
        <f>'Curvas SRY'!$B$12</f>
        <v>10</v>
      </c>
      <c r="C1506" s="15">
        <f>'Curvas SRY'!$E$8</f>
        <v>0.75</v>
      </c>
      <c r="D1506" s="14" t="str">
        <f>'Curvas SRY'!$B$14</f>
        <v>Uso variable</v>
      </c>
      <c r="E1506" s="14">
        <f>63</f>
        <v>63</v>
      </c>
      <c r="F1506" s="21">
        <f>'Hoja 4 - Cálculo'!A87</f>
        <v>31472</v>
      </c>
      <c r="G1506" s="15">
        <f>'Hoja 4 - Cálculo'!H87</f>
        <v>20.846250000000001</v>
      </c>
      <c r="H1506" s="15">
        <f>IF(D1506="Uso único",'Hoja 4 - Cálculo'!I87,IF(D1506="Uso múltiple",AVERAGE('Hoja 4 - Cálculo'!$I$25:$I$384)+AVERAGE('Hoja 4 - Cálculo'!$J$25:$J$384)+AVERAGE('Hoja 4 - Cálculo'!$K$25:$K$384),IF(D1506="Uso prioritario",'Hoja 4 - Cálculo'!I87+'Hoja 4 - Cálculo'!K87,'Hoja 4 - Cálculo'!I87+'Hoja 4 - Cálculo'!J87+'Hoja 4 - Cálculo'!K87)))</f>
        <v>16</v>
      </c>
      <c r="I1506" s="15">
        <f t="shared" si="335"/>
        <v>12</v>
      </c>
      <c r="J1506" s="15">
        <f t="shared" si="341"/>
        <v>10</v>
      </c>
      <c r="K1506" s="15">
        <f>MIN(J1506+G1506,(J1506+G1506)*'Hoja 4 - Cálculo'!$B$15)</f>
        <v>0.61692500000000006</v>
      </c>
      <c r="L1506" s="15">
        <f t="shared" si="336"/>
        <v>30.229325000000003</v>
      </c>
      <c r="M1506" s="15">
        <f t="shared" si="337"/>
        <v>12</v>
      </c>
      <c r="N1506" s="15">
        <f t="shared" si="338"/>
        <v>10</v>
      </c>
      <c r="O1506" s="15">
        <f t="shared" si="339"/>
        <v>8.2293250000000029</v>
      </c>
      <c r="P1506" s="15">
        <f t="shared" si="340"/>
        <v>0</v>
      </c>
      <c r="Q1506" s="14" t="str">
        <f>IF(M1506&gt;=I1506*'Hoja 4 - Cálculo'!$B$16,"Satisfactorio","Falla")</f>
        <v>Satisfactorio</v>
      </c>
      <c r="R1506" s="14">
        <f t="shared" si="342"/>
        <v>0</v>
      </c>
      <c r="S1506" s="14">
        <f t="shared" si="343"/>
        <v>0</v>
      </c>
    </row>
    <row r="1507" spans="1:19">
      <c r="A1507" s="14" t="str">
        <f t="shared" si="334"/>
        <v>SRY-5-1</v>
      </c>
      <c r="B1507" s="15">
        <f>'Curvas SRY'!$B$12</f>
        <v>10</v>
      </c>
      <c r="C1507" s="15">
        <f>'Curvas SRY'!$E$8</f>
        <v>0.75</v>
      </c>
      <c r="D1507" s="14" t="str">
        <f>'Curvas SRY'!$B$14</f>
        <v>Uso variable</v>
      </c>
      <c r="E1507" s="14">
        <f>64</f>
        <v>64</v>
      </c>
      <c r="F1507" s="21">
        <f>'Hoja 4 - Cálculo'!A88</f>
        <v>31503</v>
      </c>
      <c r="G1507" s="15">
        <f>'Hoja 4 - Cálculo'!H88</f>
        <v>30.638249999999999</v>
      </c>
      <c r="H1507" s="15">
        <f>IF(D1507="Uso único",'Hoja 4 - Cálculo'!I88,IF(D1507="Uso múltiple",AVERAGE('Hoja 4 - Cálculo'!$I$25:$I$384)+AVERAGE('Hoja 4 - Cálculo'!$J$25:$J$384)+AVERAGE('Hoja 4 - Cálculo'!$K$25:$K$384),IF(D1507="Uso prioritario",'Hoja 4 - Cálculo'!I88+'Hoja 4 - Cálculo'!K88,'Hoja 4 - Cálculo'!I88+'Hoja 4 - Cálculo'!J88+'Hoja 4 - Cálculo'!K88)))</f>
        <v>11.5</v>
      </c>
      <c r="I1507" s="15">
        <f t="shared" si="335"/>
        <v>8.625</v>
      </c>
      <c r="J1507" s="15">
        <f t="shared" si="341"/>
        <v>10</v>
      </c>
      <c r="K1507" s="15">
        <f>MIN(J1507+G1507,(J1507+G1507)*'Hoja 4 - Cálculo'!$B$15)</f>
        <v>0.81276499999999996</v>
      </c>
      <c r="L1507" s="15">
        <f t="shared" si="336"/>
        <v>39.825485</v>
      </c>
      <c r="M1507" s="15">
        <f t="shared" si="337"/>
        <v>8.625</v>
      </c>
      <c r="N1507" s="15">
        <f t="shared" si="338"/>
        <v>10</v>
      </c>
      <c r="O1507" s="15">
        <f t="shared" si="339"/>
        <v>21.200485</v>
      </c>
      <c r="P1507" s="15">
        <f t="shared" si="340"/>
        <v>0</v>
      </c>
      <c r="Q1507" s="14" t="str">
        <f>IF(M1507&gt;=I1507*'Hoja 4 - Cálculo'!$B$16,"Satisfactorio","Falla")</f>
        <v>Satisfactorio</v>
      </c>
      <c r="R1507" s="14">
        <f t="shared" si="342"/>
        <v>0</v>
      </c>
      <c r="S1507" s="14">
        <f t="shared" si="343"/>
        <v>0</v>
      </c>
    </row>
    <row r="1508" spans="1:19">
      <c r="A1508" s="14" t="str">
        <f t="shared" ref="A1508:A1539" si="344">"SRY-5-1"</f>
        <v>SRY-5-1</v>
      </c>
      <c r="B1508" s="15">
        <f>'Curvas SRY'!$B$12</f>
        <v>10</v>
      </c>
      <c r="C1508" s="15">
        <f>'Curvas SRY'!$E$8</f>
        <v>0.75</v>
      </c>
      <c r="D1508" s="14" t="str">
        <f>'Curvas SRY'!$B$14</f>
        <v>Uso variable</v>
      </c>
      <c r="E1508" s="14">
        <f>65</f>
        <v>65</v>
      </c>
      <c r="F1508" s="21">
        <f>'Hoja 4 - Cálculo'!A89</f>
        <v>31533</v>
      </c>
      <c r="G1508" s="15">
        <f>'Hoja 4 - Cálculo'!H89</f>
        <v>28.438874999999999</v>
      </c>
      <c r="H1508" s="15">
        <f>IF(D1508="Uso único",'Hoja 4 - Cálculo'!I89,IF(D1508="Uso múltiple",AVERAGE('Hoja 4 - Cálculo'!$I$25:$I$384)+AVERAGE('Hoja 4 - Cálculo'!$J$25:$J$384)+AVERAGE('Hoja 4 - Cálculo'!$K$25:$K$384),IF(D1508="Uso prioritario",'Hoja 4 - Cálculo'!I89+'Hoja 4 - Cálculo'!K89,'Hoja 4 - Cálculo'!I89+'Hoja 4 - Cálculo'!J89+'Hoja 4 - Cálculo'!K89)))</f>
        <v>11.5</v>
      </c>
      <c r="I1508" s="15">
        <f t="shared" si="335"/>
        <v>8.625</v>
      </c>
      <c r="J1508" s="15">
        <f t="shared" si="341"/>
        <v>10</v>
      </c>
      <c r="K1508" s="15">
        <f>MIN(J1508+G1508,(J1508+G1508)*'Hoja 4 - Cálculo'!$B$15)</f>
        <v>0.76877749999999989</v>
      </c>
      <c r="L1508" s="15">
        <f t="shared" si="336"/>
        <v>37.670097499999997</v>
      </c>
      <c r="M1508" s="15">
        <f t="shared" si="337"/>
        <v>8.625</v>
      </c>
      <c r="N1508" s="15">
        <f t="shared" si="338"/>
        <v>10</v>
      </c>
      <c r="O1508" s="15">
        <f t="shared" si="339"/>
        <v>19.045097499999997</v>
      </c>
      <c r="P1508" s="15">
        <f t="shared" si="340"/>
        <v>0</v>
      </c>
      <c r="Q1508" s="14" t="str">
        <f>IF(M1508&gt;=I1508*'Hoja 4 - Cálculo'!$B$16,"Satisfactorio","Falla")</f>
        <v>Satisfactorio</v>
      </c>
      <c r="R1508" s="14">
        <f t="shared" si="342"/>
        <v>0</v>
      </c>
      <c r="S1508" s="14">
        <f t="shared" si="343"/>
        <v>0</v>
      </c>
    </row>
    <row r="1509" spans="1:19">
      <c r="A1509" s="14" t="str">
        <f t="shared" si="344"/>
        <v>SRY-5-1</v>
      </c>
      <c r="B1509" s="15">
        <f>'Curvas SRY'!$B$12</f>
        <v>10</v>
      </c>
      <c r="C1509" s="15">
        <f>'Curvas SRY'!$E$8</f>
        <v>0.75</v>
      </c>
      <c r="D1509" s="14" t="str">
        <f>'Curvas SRY'!$B$14</f>
        <v>Uso variable</v>
      </c>
      <c r="E1509" s="14">
        <f>66</f>
        <v>66</v>
      </c>
      <c r="F1509" s="21">
        <f>'Hoja 4 - Cálculo'!A90</f>
        <v>31564</v>
      </c>
      <c r="G1509" s="15">
        <f>'Hoja 4 - Cálculo'!H90</f>
        <v>16.007625000000001</v>
      </c>
      <c r="H1509" s="15">
        <f>IF(D1509="Uso único",'Hoja 4 - Cálculo'!I90,IF(D1509="Uso múltiple",AVERAGE('Hoja 4 - Cálculo'!$I$25:$I$384)+AVERAGE('Hoja 4 - Cálculo'!$J$25:$J$384)+AVERAGE('Hoja 4 - Cálculo'!$K$25:$K$384),IF(D1509="Uso prioritario",'Hoja 4 - Cálculo'!I90+'Hoja 4 - Cálculo'!K90,'Hoja 4 - Cálculo'!I90+'Hoja 4 - Cálculo'!J90+'Hoja 4 - Cálculo'!K90)))</f>
        <v>11.5</v>
      </c>
      <c r="I1509" s="15">
        <f t="shared" si="335"/>
        <v>8.625</v>
      </c>
      <c r="J1509" s="15">
        <f t="shared" ref="J1509:J1540" si="345">N1508</f>
        <v>10</v>
      </c>
      <c r="K1509" s="15">
        <f>MIN(J1509+G1509,(J1509+G1509)*'Hoja 4 - Cálculo'!$B$15)</f>
        <v>0.52015250000000002</v>
      </c>
      <c r="L1509" s="15">
        <f t="shared" si="336"/>
        <v>25.487472500000003</v>
      </c>
      <c r="M1509" s="15">
        <f t="shared" si="337"/>
        <v>8.625</v>
      </c>
      <c r="N1509" s="15">
        <f t="shared" si="338"/>
        <v>10</v>
      </c>
      <c r="O1509" s="15">
        <f t="shared" si="339"/>
        <v>6.8624725000000026</v>
      </c>
      <c r="P1509" s="15">
        <f t="shared" si="340"/>
        <v>0</v>
      </c>
      <c r="Q1509" s="14" t="str">
        <f>IF(M1509&gt;=I1509*'Hoja 4 - Cálculo'!$B$16,"Satisfactorio","Falla")</f>
        <v>Satisfactorio</v>
      </c>
      <c r="R1509" s="14">
        <f t="shared" ref="R1509:R1540" si="346">IF(AND(Q1508="Falla",Q1509="Satisfactorio"),1,0)</f>
        <v>0</v>
      </c>
      <c r="S1509" s="14">
        <f t="shared" ref="S1509:S1540" si="347">IF(AND(Q1509="Falla",Q1508&lt;&gt;"Falla"),1,0)</f>
        <v>0</v>
      </c>
    </row>
    <row r="1510" spans="1:19">
      <c r="A1510" s="14" t="str">
        <f t="shared" si="344"/>
        <v>SRY-5-1</v>
      </c>
      <c r="B1510" s="15">
        <f>'Curvas SRY'!$B$12</f>
        <v>10</v>
      </c>
      <c r="C1510" s="15">
        <f>'Curvas SRY'!$E$8</f>
        <v>0.75</v>
      </c>
      <c r="D1510" s="14" t="str">
        <f>'Curvas SRY'!$B$14</f>
        <v>Uso variable</v>
      </c>
      <c r="E1510" s="14">
        <f>67</f>
        <v>67</v>
      </c>
      <c r="F1510" s="21">
        <f>'Hoja 4 - Cálculo'!A91</f>
        <v>31594</v>
      </c>
      <c r="G1510" s="15">
        <f>'Hoja 4 - Cálculo'!H91</f>
        <v>14.056875</v>
      </c>
      <c r="H1510" s="15">
        <f>IF(D1510="Uso único",'Hoja 4 - Cálculo'!I91,IF(D1510="Uso múltiple",AVERAGE('Hoja 4 - Cálculo'!$I$25:$I$384)+AVERAGE('Hoja 4 - Cálculo'!$J$25:$J$384)+AVERAGE('Hoja 4 - Cálculo'!$K$25:$K$384),IF(D1510="Uso prioritario",'Hoja 4 - Cálculo'!I91+'Hoja 4 - Cálculo'!K91,'Hoja 4 - Cálculo'!I91+'Hoja 4 - Cálculo'!J91+'Hoja 4 - Cálculo'!K91)))</f>
        <v>16</v>
      </c>
      <c r="I1510" s="15">
        <f t="shared" si="335"/>
        <v>12</v>
      </c>
      <c r="J1510" s="15">
        <f t="shared" si="345"/>
        <v>10</v>
      </c>
      <c r="K1510" s="15">
        <f>MIN(J1510+G1510,(J1510+G1510)*'Hoja 4 - Cálculo'!$B$15)</f>
        <v>0.4811375</v>
      </c>
      <c r="L1510" s="15">
        <f t="shared" si="336"/>
        <v>23.575737499999999</v>
      </c>
      <c r="M1510" s="15">
        <f t="shared" si="337"/>
        <v>12</v>
      </c>
      <c r="N1510" s="15">
        <f t="shared" si="338"/>
        <v>10</v>
      </c>
      <c r="O1510" s="15">
        <f t="shared" si="339"/>
        <v>1.5757374999999989</v>
      </c>
      <c r="P1510" s="15">
        <f t="shared" si="340"/>
        <v>0</v>
      </c>
      <c r="Q1510" s="14" t="str">
        <f>IF(M1510&gt;=I1510*'Hoja 4 - Cálculo'!$B$16,"Satisfactorio","Falla")</f>
        <v>Satisfactorio</v>
      </c>
      <c r="R1510" s="14">
        <f t="shared" si="346"/>
        <v>0</v>
      </c>
      <c r="S1510" s="14">
        <f t="shared" si="347"/>
        <v>0</v>
      </c>
    </row>
    <row r="1511" spans="1:19">
      <c r="A1511" s="14" t="str">
        <f t="shared" si="344"/>
        <v>SRY-5-1</v>
      </c>
      <c r="B1511" s="15">
        <f>'Curvas SRY'!$B$12</f>
        <v>10</v>
      </c>
      <c r="C1511" s="15">
        <f>'Curvas SRY'!$E$8</f>
        <v>0.75</v>
      </c>
      <c r="D1511" s="14" t="str">
        <f>'Curvas SRY'!$B$14</f>
        <v>Uso variable</v>
      </c>
      <c r="E1511" s="14">
        <f>68</f>
        <v>68</v>
      </c>
      <c r="F1511" s="21">
        <f>'Hoja 4 - Cálculo'!A92</f>
        <v>31625</v>
      </c>
      <c r="G1511" s="15">
        <f>'Hoja 4 - Cálculo'!H92</f>
        <v>15.032249999999999</v>
      </c>
      <c r="H1511" s="15">
        <f>IF(D1511="Uso único",'Hoja 4 - Cálculo'!I92,IF(D1511="Uso múltiple",AVERAGE('Hoja 4 - Cálculo'!$I$25:$I$384)+AVERAGE('Hoja 4 - Cálculo'!$J$25:$J$384)+AVERAGE('Hoja 4 - Cálculo'!$K$25:$K$384),IF(D1511="Uso prioritario",'Hoja 4 - Cálculo'!I92+'Hoja 4 - Cálculo'!K92,'Hoja 4 - Cálculo'!I92+'Hoja 4 - Cálculo'!J92+'Hoja 4 - Cálculo'!K92)))</f>
        <v>16</v>
      </c>
      <c r="I1511" s="15">
        <f t="shared" si="335"/>
        <v>12</v>
      </c>
      <c r="J1511" s="15">
        <f t="shared" si="345"/>
        <v>10</v>
      </c>
      <c r="K1511" s="15">
        <f>MIN(J1511+G1511,(J1511+G1511)*'Hoja 4 - Cálculo'!$B$15)</f>
        <v>0.50064500000000001</v>
      </c>
      <c r="L1511" s="15">
        <f t="shared" si="336"/>
        <v>24.531604999999999</v>
      </c>
      <c r="M1511" s="15">
        <f t="shared" si="337"/>
        <v>12</v>
      </c>
      <c r="N1511" s="15">
        <f t="shared" si="338"/>
        <v>10</v>
      </c>
      <c r="O1511" s="15">
        <f t="shared" si="339"/>
        <v>2.531604999999999</v>
      </c>
      <c r="P1511" s="15">
        <f t="shared" si="340"/>
        <v>0</v>
      </c>
      <c r="Q1511" s="14" t="str">
        <f>IF(M1511&gt;=I1511*'Hoja 4 - Cálculo'!$B$16,"Satisfactorio","Falla")</f>
        <v>Satisfactorio</v>
      </c>
      <c r="R1511" s="14">
        <f t="shared" si="346"/>
        <v>0</v>
      </c>
      <c r="S1511" s="14">
        <f t="shared" si="347"/>
        <v>0</v>
      </c>
    </row>
    <row r="1512" spans="1:19">
      <c r="A1512" s="14" t="str">
        <f t="shared" si="344"/>
        <v>SRY-5-1</v>
      </c>
      <c r="B1512" s="15">
        <f>'Curvas SRY'!$B$12</f>
        <v>10</v>
      </c>
      <c r="C1512" s="15">
        <f>'Curvas SRY'!$E$8</f>
        <v>0.75</v>
      </c>
      <c r="D1512" s="14" t="str">
        <f>'Curvas SRY'!$B$14</f>
        <v>Uso variable</v>
      </c>
      <c r="E1512" s="14">
        <f>69</f>
        <v>69</v>
      </c>
      <c r="F1512" s="21">
        <f>'Hoja 4 - Cálculo'!A93</f>
        <v>31656</v>
      </c>
      <c r="G1512" s="15">
        <f>'Hoja 4 - Cálculo'!H93</f>
        <v>22.60575</v>
      </c>
      <c r="H1512" s="15">
        <f>IF(D1512="Uso único",'Hoja 4 - Cálculo'!I93,IF(D1512="Uso múltiple",AVERAGE('Hoja 4 - Cálculo'!$I$25:$I$384)+AVERAGE('Hoja 4 - Cálculo'!$J$25:$J$384)+AVERAGE('Hoja 4 - Cálculo'!$K$25:$K$384),IF(D1512="Uso prioritario",'Hoja 4 - Cálculo'!I93+'Hoja 4 - Cálculo'!K93,'Hoja 4 - Cálculo'!I93+'Hoja 4 - Cálculo'!J93+'Hoja 4 - Cálculo'!K93)))</f>
        <v>11.5</v>
      </c>
      <c r="I1512" s="15">
        <f t="shared" si="335"/>
        <v>8.625</v>
      </c>
      <c r="J1512" s="15">
        <f t="shared" si="345"/>
        <v>10</v>
      </c>
      <c r="K1512" s="15">
        <f>MIN(J1512+G1512,(J1512+G1512)*'Hoja 4 - Cálculo'!$B$15)</f>
        <v>0.652115</v>
      </c>
      <c r="L1512" s="15">
        <f t="shared" si="336"/>
        <v>31.953635000000002</v>
      </c>
      <c r="M1512" s="15">
        <f t="shared" si="337"/>
        <v>8.625</v>
      </c>
      <c r="N1512" s="15">
        <f t="shared" si="338"/>
        <v>10</v>
      </c>
      <c r="O1512" s="15">
        <f t="shared" si="339"/>
        <v>13.328635000000002</v>
      </c>
      <c r="P1512" s="15">
        <f t="shared" si="340"/>
        <v>0</v>
      </c>
      <c r="Q1512" s="14" t="str">
        <f>IF(M1512&gt;=I1512*'Hoja 4 - Cálculo'!$B$16,"Satisfactorio","Falla")</f>
        <v>Satisfactorio</v>
      </c>
      <c r="R1512" s="14">
        <f t="shared" si="346"/>
        <v>0</v>
      </c>
      <c r="S1512" s="14">
        <f t="shared" si="347"/>
        <v>0</v>
      </c>
    </row>
    <row r="1513" spans="1:19">
      <c r="A1513" s="14" t="str">
        <f t="shared" si="344"/>
        <v>SRY-5-1</v>
      </c>
      <c r="B1513" s="15">
        <f>'Curvas SRY'!$B$12</f>
        <v>10</v>
      </c>
      <c r="C1513" s="15">
        <f>'Curvas SRY'!$E$8</f>
        <v>0.75</v>
      </c>
      <c r="D1513" s="14" t="str">
        <f>'Curvas SRY'!$B$14</f>
        <v>Uso variable</v>
      </c>
      <c r="E1513" s="14">
        <f>70</f>
        <v>70</v>
      </c>
      <c r="F1513" s="21">
        <f>'Hoja 4 - Cálculo'!A94</f>
        <v>31686</v>
      </c>
      <c r="G1513" s="15">
        <f>'Hoja 4 - Cálculo'!H94</f>
        <v>32.531624999999998</v>
      </c>
      <c r="H1513" s="15">
        <f>IF(D1513="Uso único",'Hoja 4 - Cálculo'!I94,IF(D1513="Uso múltiple",AVERAGE('Hoja 4 - Cálculo'!$I$25:$I$384)+AVERAGE('Hoja 4 - Cálculo'!$J$25:$J$384)+AVERAGE('Hoja 4 - Cálculo'!$K$25:$K$384),IF(D1513="Uso prioritario",'Hoja 4 - Cálculo'!I94+'Hoja 4 - Cálculo'!K94,'Hoja 4 - Cálculo'!I94+'Hoja 4 - Cálculo'!J94+'Hoja 4 - Cálculo'!K94)))</f>
        <v>11.5</v>
      </c>
      <c r="I1513" s="15">
        <f t="shared" si="335"/>
        <v>8.625</v>
      </c>
      <c r="J1513" s="15">
        <f t="shared" si="345"/>
        <v>10</v>
      </c>
      <c r="K1513" s="15">
        <f>MIN(J1513+G1513,(J1513+G1513)*'Hoja 4 - Cálculo'!$B$15)</f>
        <v>0.85063250000000001</v>
      </c>
      <c r="L1513" s="15">
        <f t="shared" si="336"/>
        <v>41.680992499999995</v>
      </c>
      <c r="M1513" s="15">
        <f t="shared" si="337"/>
        <v>8.625</v>
      </c>
      <c r="N1513" s="15">
        <f t="shared" si="338"/>
        <v>10</v>
      </c>
      <c r="O1513" s="15">
        <f t="shared" si="339"/>
        <v>23.055992499999995</v>
      </c>
      <c r="P1513" s="15">
        <f t="shared" si="340"/>
        <v>0</v>
      </c>
      <c r="Q1513" s="14" t="str">
        <f>IF(M1513&gt;=I1513*'Hoja 4 - Cálculo'!$B$16,"Satisfactorio","Falla")</f>
        <v>Satisfactorio</v>
      </c>
      <c r="R1513" s="14">
        <f t="shared" si="346"/>
        <v>0</v>
      </c>
      <c r="S1513" s="14">
        <f t="shared" si="347"/>
        <v>0</v>
      </c>
    </row>
    <row r="1514" spans="1:19">
      <c r="A1514" s="14" t="str">
        <f t="shared" si="344"/>
        <v>SRY-5-1</v>
      </c>
      <c r="B1514" s="15">
        <f>'Curvas SRY'!$B$12</f>
        <v>10</v>
      </c>
      <c r="C1514" s="15">
        <f>'Curvas SRY'!$E$8</f>
        <v>0.75</v>
      </c>
      <c r="D1514" s="14" t="str">
        <f>'Curvas SRY'!$B$14</f>
        <v>Uso variable</v>
      </c>
      <c r="E1514" s="14">
        <f>71</f>
        <v>71</v>
      </c>
      <c r="F1514" s="21">
        <f>'Hoja 4 - Cálculo'!A95</f>
        <v>31717</v>
      </c>
      <c r="G1514" s="15">
        <f>'Hoja 4 - Cálculo'!H95</f>
        <v>26.641124999999999</v>
      </c>
      <c r="H1514" s="15">
        <f>IF(D1514="Uso único",'Hoja 4 - Cálculo'!I95,IF(D1514="Uso múltiple",AVERAGE('Hoja 4 - Cálculo'!$I$25:$I$384)+AVERAGE('Hoja 4 - Cálculo'!$J$25:$J$384)+AVERAGE('Hoja 4 - Cálculo'!$K$25:$K$384),IF(D1514="Uso prioritario",'Hoja 4 - Cálculo'!I95+'Hoja 4 - Cálculo'!K95,'Hoja 4 - Cálculo'!I95+'Hoja 4 - Cálculo'!J95+'Hoja 4 - Cálculo'!K95)))</f>
        <v>11.5</v>
      </c>
      <c r="I1514" s="15">
        <f t="shared" si="335"/>
        <v>8.625</v>
      </c>
      <c r="J1514" s="15">
        <f t="shared" si="345"/>
        <v>10</v>
      </c>
      <c r="K1514" s="15">
        <f>MIN(J1514+G1514,(J1514+G1514)*'Hoja 4 - Cálculo'!$B$15)</f>
        <v>0.73282250000000004</v>
      </c>
      <c r="L1514" s="15">
        <f t="shared" si="336"/>
        <v>35.908302500000005</v>
      </c>
      <c r="M1514" s="15">
        <f t="shared" si="337"/>
        <v>8.625</v>
      </c>
      <c r="N1514" s="15">
        <f t="shared" si="338"/>
        <v>10</v>
      </c>
      <c r="O1514" s="15">
        <f t="shared" si="339"/>
        <v>17.283302500000005</v>
      </c>
      <c r="P1514" s="15">
        <f t="shared" si="340"/>
        <v>0</v>
      </c>
      <c r="Q1514" s="14" t="str">
        <f>IF(M1514&gt;=I1514*'Hoja 4 - Cálculo'!$B$16,"Satisfactorio","Falla")</f>
        <v>Satisfactorio</v>
      </c>
      <c r="R1514" s="14">
        <f t="shared" si="346"/>
        <v>0</v>
      </c>
      <c r="S1514" s="14">
        <f t="shared" si="347"/>
        <v>0</v>
      </c>
    </row>
    <row r="1515" spans="1:19">
      <c r="A1515" s="14" t="str">
        <f t="shared" si="344"/>
        <v>SRY-5-1</v>
      </c>
      <c r="B1515" s="15">
        <f>'Curvas SRY'!$B$12</f>
        <v>10</v>
      </c>
      <c r="C1515" s="15">
        <f>'Curvas SRY'!$E$8</f>
        <v>0.75</v>
      </c>
      <c r="D1515" s="14" t="str">
        <f>'Curvas SRY'!$B$14</f>
        <v>Uso variable</v>
      </c>
      <c r="E1515" s="14">
        <f>72</f>
        <v>72</v>
      </c>
      <c r="F1515" s="21">
        <f>'Hoja 4 - Cálculo'!A96</f>
        <v>31747</v>
      </c>
      <c r="G1515" s="15">
        <f>'Hoja 4 - Cálculo'!H96</f>
        <v>15.166124999999999</v>
      </c>
      <c r="H1515" s="15">
        <f>IF(D1515="Uso único",'Hoja 4 - Cálculo'!I96,IF(D1515="Uso múltiple",AVERAGE('Hoja 4 - Cálculo'!$I$25:$I$384)+AVERAGE('Hoja 4 - Cálculo'!$J$25:$J$384)+AVERAGE('Hoja 4 - Cálculo'!$K$25:$K$384),IF(D1515="Uso prioritario",'Hoja 4 - Cálculo'!I96+'Hoja 4 - Cálculo'!K96,'Hoja 4 - Cálculo'!I96+'Hoja 4 - Cálculo'!J96+'Hoja 4 - Cálculo'!K96)))</f>
        <v>16</v>
      </c>
      <c r="I1515" s="15">
        <f t="shared" si="335"/>
        <v>12</v>
      </c>
      <c r="J1515" s="15">
        <f t="shared" si="345"/>
        <v>10</v>
      </c>
      <c r="K1515" s="15">
        <f>MIN(J1515+G1515,(J1515+G1515)*'Hoja 4 - Cálculo'!$B$15)</f>
        <v>0.50332250000000001</v>
      </c>
      <c r="L1515" s="15">
        <f t="shared" si="336"/>
        <v>24.662802500000002</v>
      </c>
      <c r="M1515" s="15">
        <f t="shared" si="337"/>
        <v>12</v>
      </c>
      <c r="N1515" s="15">
        <f t="shared" si="338"/>
        <v>10</v>
      </c>
      <c r="O1515" s="15">
        <f t="shared" si="339"/>
        <v>2.6628025000000015</v>
      </c>
      <c r="P1515" s="15">
        <f t="shared" si="340"/>
        <v>0</v>
      </c>
      <c r="Q1515" s="14" t="str">
        <f>IF(M1515&gt;=I1515*'Hoja 4 - Cálculo'!$B$16,"Satisfactorio","Falla")</f>
        <v>Satisfactorio</v>
      </c>
      <c r="R1515" s="14">
        <f t="shared" si="346"/>
        <v>0</v>
      </c>
      <c r="S1515" s="14">
        <f t="shared" si="347"/>
        <v>0</v>
      </c>
    </row>
    <row r="1516" spans="1:19">
      <c r="A1516" s="14" t="str">
        <f t="shared" si="344"/>
        <v>SRY-5-1</v>
      </c>
      <c r="B1516" s="15">
        <f>'Curvas SRY'!$B$12</f>
        <v>10</v>
      </c>
      <c r="C1516" s="15">
        <f>'Curvas SRY'!$E$8</f>
        <v>0.75</v>
      </c>
      <c r="D1516" s="14" t="str">
        <f>'Curvas SRY'!$B$14</f>
        <v>Uso variable</v>
      </c>
      <c r="E1516" s="14">
        <f>73</f>
        <v>73</v>
      </c>
      <c r="F1516" s="21">
        <f>'Hoja 4 - Cálculo'!A97</f>
        <v>31778</v>
      </c>
      <c r="G1516" s="15">
        <f>'Hoja 4 - Cálculo'!H97</f>
        <v>14.056875</v>
      </c>
      <c r="H1516" s="15">
        <f>IF(D1516="Uso único",'Hoja 4 - Cálculo'!I97,IF(D1516="Uso múltiple",AVERAGE('Hoja 4 - Cálculo'!$I$25:$I$384)+AVERAGE('Hoja 4 - Cálculo'!$J$25:$J$384)+AVERAGE('Hoja 4 - Cálculo'!$K$25:$K$384),IF(D1516="Uso prioritario",'Hoja 4 - Cálculo'!I97+'Hoja 4 - Cálculo'!K97,'Hoja 4 - Cálculo'!I97+'Hoja 4 - Cálculo'!J97+'Hoja 4 - Cálculo'!K97)))</f>
        <v>16</v>
      </c>
      <c r="I1516" s="15">
        <f t="shared" si="335"/>
        <v>12</v>
      </c>
      <c r="J1516" s="15">
        <f t="shared" si="345"/>
        <v>10</v>
      </c>
      <c r="K1516" s="15">
        <f>MIN(J1516+G1516,(J1516+G1516)*'Hoja 4 - Cálculo'!$B$15)</f>
        <v>0.4811375</v>
      </c>
      <c r="L1516" s="15">
        <f t="shared" si="336"/>
        <v>23.575737499999999</v>
      </c>
      <c r="M1516" s="15">
        <f t="shared" si="337"/>
        <v>12</v>
      </c>
      <c r="N1516" s="15">
        <f t="shared" si="338"/>
        <v>10</v>
      </c>
      <c r="O1516" s="15">
        <f t="shared" si="339"/>
        <v>1.5757374999999989</v>
      </c>
      <c r="P1516" s="15">
        <f t="shared" si="340"/>
        <v>0</v>
      </c>
      <c r="Q1516" s="14" t="str">
        <f>IF(M1516&gt;=I1516*'Hoja 4 - Cálculo'!$B$16,"Satisfactorio","Falla")</f>
        <v>Satisfactorio</v>
      </c>
      <c r="R1516" s="14">
        <f t="shared" si="346"/>
        <v>0</v>
      </c>
      <c r="S1516" s="14">
        <f t="shared" si="347"/>
        <v>0</v>
      </c>
    </row>
    <row r="1517" spans="1:19">
      <c r="A1517" s="14" t="str">
        <f t="shared" si="344"/>
        <v>SRY-5-1</v>
      </c>
      <c r="B1517" s="15">
        <f>'Curvas SRY'!$B$12</f>
        <v>10</v>
      </c>
      <c r="C1517" s="15">
        <f>'Curvas SRY'!$E$8</f>
        <v>0.75</v>
      </c>
      <c r="D1517" s="14" t="str">
        <f>'Curvas SRY'!$B$14</f>
        <v>Uso variable</v>
      </c>
      <c r="E1517" s="14">
        <f>74</f>
        <v>74</v>
      </c>
      <c r="F1517" s="21">
        <f>'Hoja 4 - Cálculo'!A98</f>
        <v>31809</v>
      </c>
      <c r="G1517" s="15">
        <f>'Hoja 4 - Cálculo'!H98</f>
        <v>15.969374999999999</v>
      </c>
      <c r="H1517" s="15">
        <f>IF(D1517="Uso único",'Hoja 4 - Cálculo'!I98,IF(D1517="Uso múltiple",AVERAGE('Hoja 4 - Cálculo'!$I$25:$I$384)+AVERAGE('Hoja 4 - Cálculo'!$J$25:$J$384)+AVERAGE('Hoja 4 - Cálculo'!$K$25:$K$384),IF(D1517="Uso prioritario",'Hoja 4 - Cálculo'!I98+'Hoja 4 - Cálculo'!K98,'Hoja 4 - Cálculo'!I98+'Hoja 4 - Cálculo'!J98+'Hoja 4 - Cálculo'!K98)))</f>
        <v>16</v>
      </c>
      <c r="I1517" s="15">
        <f t="shared" si="335"/>
        <v>12</v>
      </c>
      <c r="J1517" s="15">
        <f t="shared" si="345"/>
        <v>10</v>
      </c>
      <c r="K1517" s="15">
        <f>MIN(J1517+G1517,(J1517+G1517)*'Hoja 4 - Cálculo'!$B$15)</f>
        <v>0.5193875</v>
      </c>
      <c r="L1517" s="15">
        <f t="shared" si="336"/>
        <v>25.449987499999999</v>
      </c>
      <c r="M1517" s="15">
        <f t="shared" si="337"/>
        <v>12</v>
      </c>
      <c r="N1517" s="15">
        <f t="shared" si="338"/>
        <v>10</v>
      </c>
      <c r="O1517" s="15">
        <f t="shared" si="339"/>
        <v>3.4499874999999989</v>
      </c>
      <c r="P1517" s="15">
        <f t="shared" si="340"/>
        <v>0</v>
      </c>
      <c r="Q1517" s="14" t="str">
        <f>IF(M1517&gt;=I1517*'Hoja 4 - Cálculo'!$B$16,"Satisfactorio","Falla")</f>
        <v>Satisfactorio</v>
      </c>
      <c r="R1517" s="14">
        <f t="shared" si="346"/>
        <v>0</v>
      </c>
      <c r="S1517" s="14">
        <f t="shared" si="347"/>
        <v>0</v>
      </c>
    </row>
    <row r="1518" spans="1:19">
      <c r="A1518" s="14" t="str">
        <f t="shared" si="344"/>
        <v>SRY-5-1</v>
      </c>
      <c r="B1518" s="15">
        <f>'Curvas SRY'!$B$12</f>
        <v>10</v>
      </c>
      <c r="C1518" s="15">
        <f>'Curvas SRY'!$E$8</f>
        <v>0.75</v>
      </c>
      <c r="D1518" s="14" t="str">
        <f>'Curvas SRY'!$B$14</f>
        <v>Uso variable</v>
      </c>
      <c r="E1518" s="14">
        <f>75</f>
        <v>75</v>
      </c>
      <c r="F1518" s="21">
        <f>'Hoja 4 - Cálculo'!A99</f>
        <v>31837</v>
      </c>
      <c r="G1518" s="15">
        <f>'Hoja 4 - Cálculo'!H99</f>
        <v>22.797000000000001</v>
      </c>
      <c r="H1518" s="15">
        <f>IF(D1518="Uso único",'Hoja 4 - Cálculo'!I99,IF(D1518="Uso múltiple",AVERAGE('Hoja 4 - Cálculo'!$I$25:$I$384)+AVERAGE('Hoja 4 - Cálculo'!$J$25:$J$384)+AVERAGE('Hoja 4 - Cálculo'!$K$25:$K$384),IF(D1518="Uso prioritario",'Hoja 4 - Cálculo'!I99+'Hoja 4 - Cálculo'!K99,'Hoja 4 - Cálculo'!I99+'Hoja 4 - Cálculo'!J99+'Hoja 4 - Cálculo'!K99)))</f>
        <v>16</v>
      </c>
      <c r="I1518" s="15">
        <f t="shared" si="335"/>
        <v>12</v>
      </c>
      <c r="J1518" s="15">
        <f t="shared" si="345"/>
        <v>10</v>
      </c>
      <c r="K1518" s="15">
        <f>MIN(J1518+G1518,(J1518+G1518)*'Hoja 4 - Cálculo'!$B$15)</f>
        <v>0.65593999999999997</v>
      </c>
      <c r="L1518" s="15">
        <f t="shared" si="336"/>
        <v>32.141059999999996</v>
      </c>
      <c r="M1518" s="15">
        <f t="shared" si="337"/>
        <v>12</v>
      </c>
      <c r="N1518" s="15">
        <f t="shared" si="338"/>
        <v>10</v>
      </c>
      <c r="O1518" s="15">
        <f t="shared" si="339"/>
        <v>10.141059999999996</v>
      </c>
      <c r="P1518" s="15">
        <f t="shared" si="340"/>
        <v>0</v>
      </c>
      <c r="Q1518" s="14" t="str">
        <f>IF(M1518&gt;=I1518*'Hoja 4 - Cálculo'!$B$16,"Satisfactorio","Falla")</f>
        <v>Satisfactorio</v>
      </c>
      <c r="R1518" s="14">
        <f t="shared" si="346"/>
        <v>0</v>
      </c>
      <c r="S1518" s="14">
        <f t="shared" si="347"/>
        <v>0</v>
      </c>
    </row>
    <row r="1519" spans="1:19">
      <c r="A1519" s="14" t="str">
        <f t="shared" si="344"/>
        <v>SRY-5-1</v>
      </c>
      <c r="B1519" s="15">
        <f>'Curvas SRY'!$B$12</f>
        <v>10</v>
      </c>
      <c r="C1519" s="15">
        <f>'Curvas SRY'!$E$8</f>
        <v>0.75</v>
      </c>
      <c r="D1519" s="14" t="str">
        <f>'Curvas SRY'!$B$14</f>
        <v>Uso variable</v>
      </c>
      <c r="E1519" s="14">
        <f>76</f>
        <v>76</v>
      </c>
      <c r="F1519" s="21">
        <f>'Hoja 4 - Cálculo'!A100</f>
        <v>31868</v>
      </c>
      <c r="G1519" s="15">
        <f>'Hoja 4 - Cálculo'!H100</f>
        <v>34.138125000000002</v>
      </c>
      <c r="H1519" s="15">
        <f>IF(D1519="Uso único",'Hoja 4 - Cálculo'!I100,IF(D1519="Uso múltiple",AVERAGE('Hoja 4 - Cálculo'!$I$25:$I$384)+AVERAGE('Hoja 4 - Cálculo'!$J$25:$J$384)+AVERAGE('Hoja 4 - Cálculo'!$K$25:$K$384),IF(D1519="Uso prioritario",'Hoja 4 - Cálculo'!I100+'Hoja 4 - Cálculo'!K100,'Hoja 4 - Cálculo'!I100+'Hoja 4 - Cálculo'!J100+'Hoja 4 - Cálculo'!K100)))</f>
        <v>11.5</v>
      </c>
      <c r="I1519" s="15">
        <f t="shared" si="335"/>
        <v>8.625</v>
      </c>
      <c r="J1519" s="15">
        <f t="shared" si="345"/>
        <v>10</v>
      </c>
      <c r="K1519" s="15">
        <f>MIN(J1519+G1519,(J1519+G1519)*'Hoja 4 - Cálculo'!$B$15)</f>
        <v>0.88276250000000012</v>
      </c>
      <c r="L1519" s="15">
        <f t="shared" si="336"/>
        <v>43.255362500000004</v>
      </c>
      <c r="M1519" s="15">
        <f t="shared" si="337"/>
        <v>8.625</v>
      </c>
      <c r="N1519" s="15">
        <f t="shared" si="338"/>
        <v>10</v>
      </c>
      <c r="O1519" s="15">
        <f t="shared" si="339"/>
        <v>24.630362500000004</v>
      </c>
      <c r="P1519" s="15">
        <f t="shared" si="340"/>
        <v>0</v>
      </c>
      <c r="Q1519" s="14" t="str">
        <f>IF(M1519&gt;=I1519*'Hoja 4 - Cálculo'!$B$16,"Satisfactorio","Falla")</f>
        <v>Satisfactorio</v>
      </c>
      <c r="R1519" s="14">
        <f t="shared" si="346"/>
        <v>0</v>
      </c>
      <c r="S1519" s="14">
        <f t="shared" si="347"/>
        <v>0</v>
      </c>
    </row>
    <row r="1520" spans="1:19">
      <c r="A1520" s="14" t="str">
        <f t="shared" si="344"/>
        <v>SRY-5-1</v>
      </c>
      <c r="B1520" s="15">
        <f>'Curvas SRY'!$B$12</f>
        <v>10</v>
      </c>
      <c r="C1520" s="15">
        <f>'Curvas SRY'!$E$8</f>
        <v>0.75</v>
      </c>
      <c r="D1520" s="14" t="str">
        <f>'Curvas SRY'!$B$14</f>
        <v>Uso variable</v>
      </c>
      <c r="E1520" s="14">
        <f>77</f>
        <v>77</v>
      </c>
      <c r="F1520" s="21">
        <f>'Hoja 4 - Cálculo'!A101</f>
        <v>31898</v>
      </c>
      <c r="G1520" s="15">
        <f>'Hoja 4 - Cálculo'!H101</f>
        <v>28.534500000000001</v>
      </c>
      <c r="H1520" s="15">
        <f>IF(D1520="Uso único",'Hoja 4 - Cálculo'!I101,IF(D1520="Uso múltiple",AVERAGE('Hoja 4 - Cálculo'!$I$25:$I$384)+AVERAGE('Hoja 4 - Cálculo'!$J$25:$J$384)+AVERAGE('Hoja 4 - Cálculo'!$K$25:$K$384),IF(D1520="Uso prioritario",'Hoja 4 - Cálculo'!I101+'Hoja 4 - Cálculo'!K101,'Hoja 4 - Cálculo'!I101+'Hoja 4 - Cálculo'!J101+'Hoja 4 - Cálculo'!K101)))</f>
        <v>11.5</v>
      </c>
      <c r="I1520" s="15">
        <f t="shared" si="335"/>
        <v>8.625</v>
      </c>
      <c r="J1520" s="15">
        <f t="shared" si="345"/>
        <v>10</v>
      </c>
      <c r="K1520" s="15">
        <f>MIN(J1520+G1520,(J1520+G1520)*'Hoja 4 - Cálculo'!$B$15)</f>
        <v>0.7706900000000001</v>
      </c>
      <c r="L1520" s="15">
        <f t="shared" si="336"/>
        <v>37.763809999999999</v>
      </c>
      <c r="M1520" s="15">
        <f t="shared" si="337"/>
        <v>8.625</v>
      </c>
      <c r="N1520" s="15">
        <f t="shared" si="338"/>
        <v>10</v>
      </c>
      <c r="O1520" s="15">
        <f t="shared" si="339"/>
        <v>19.138809999999999</v>
      </c>
      <c r="P1520" s="15">
        <f t="shared" si="340"/>
        <v>0</v>
      </c>
      <c r="Q1520" s="14" t="str">
        <f>IF(M1520&gt;=I1520*'Hoja 4 - Cálculo'!$B$16,"Satisfactorio","Falla")</f>
        <v>Satisfactorio</v>
      </c>
      <c r="R1520" s="14">
        <f t="shared" si="346"/>
        <v>0</v>
      </c>
      <c r="S1520" s="14">
        <f t="shared" si="347"/>
        <v>0</v>
      </c>
    </row>
    <row r="1521" spans="1:19">
      <c r="A1521" s="14" t="str">
        <f t="shared" si="344"/>
        <v>SRY-5-1</v>
      </c>
      <c r="B1521" s="15">
        <f>'Curvas SRY'!$B$12</f>
        <v>10</v>
      </c>
      <c r="C1521" s="15">
        <f>'Curvas SRY'!$E$8</f>
        <v>0.75</v>
      </c>
      <c r="D1521" s="14" t="str">
        <f>'Curvas SRY'!$B$14</f>
        <v>Uso variable</v>
      </c>
      <c r="E1521" s="14">
        <f>78</f>
        <v>78</v>
      </c>
      <c r="F1521" s="21">
        <f>'Hoja 4 - Cálculo'!A102</f>
        <v>31929</v>
      </c>
      <c r="G1521" s="15">
        <f>'Hoja 4 - Cálculo'!H102</f>
        <v>18.589500000000001</v>
      </c>
      <c r="H1521" s="15">
        <f>IF(D1521="Uso único",'Hoja 4 - Cálculo'!I102,IF(D1521="Uso múltiple",AVERAGE('Hoja 4 - Cálculo'!$I$25:$I$384)+AVERAGE('Hoja 4 - Cálculo'!$J$25:$J$384)+AVERAGE('Hoja 4 - Cálculo'!$K$25:$K$384),IF(D1521="Uso prioritario",'Hoja 4 - Cálculo'!I102+'Hoja 4 - Cálculo'!K102,'Hoja 4 - Cálculo'!I102+'Hoja 4 - Cálculo'!J102+'Hoja 4 - Cálculo'!K102)))</f>
        <v>11.5</v>
      </c>
      <c r="I1521" s="15">
        <f t="shared" si="335"/>
        <v>8.625</v>
      </c>
      <c r="J1521" s="15">
        <f t="shared" si="345"/>
        <v>10</v>
      </c>
      <c r="K1521" s="15">
        <f>MIN(J1521+G1521,(J1521+G1521)*'Hoja 4 - Cálculo'!$B$15)</f>
        <v>0.57179000000000002</v>
      </c>
      <c r="L1521" s="15">
        <f t="shared" si="336"/>
        <v>28.017710000000001</v>
      </c>
      <c r="M1521" s="15">
        <f t="shared" si="337"/>
        <v>8.625</v>
      </c>
      <c r="N1521" s="15">
        <f t="shared" si="338"/>
        <v>10</v>
      </c>
      <c r="O1521" s="15">
        <f t="shared" si="339"/>
        <v>9.392710000000001</v>
      </c>
      <c r="P1521" s="15">
        <f t="shared" si="340"/>
        <v>0</v>
      </c>
      <c r="Q1521" s="14" t="str">
        <f>IF(M1521&gt;=I1521*'Hoja 4 - Cálculo'!$B$16,"Satisfactorio","Falla")</f>
        <v>Satisfactorio</v>
      </c>
      <c r="R1521" s="14">
        <f t="shared" si="346"/>
        <v>0</v>
      </c>
      <c r="S1521" s="14">
        <f t="shared" si="347"/>
        <v>0</v>
      </c>
    </row>
    <row r="1522" spans="1:19">
      <c r="A1522" s="14" t="str">
        <f t="shared" si="344"/>
        <v>SRY-5-1</v>
      </c>
      <c r="B1522" s="15">
        <f>'Curvas SRY'!$B$12</f>
        <v>10</v>
      </c>
      <c r="C1522" s="15">
        <f>'Curvas SRY'!$E$8</f>
        <v>0.75</v>
      </c>
      <c r="D1522" s="14" t="str">
        <f>'Curvas SRY'!$B$14</f>
        <v>Uso variable</v>
      </c>
      <c r="E1522" s="14">
        <f>79</f>
        <v>79</v>
      </c>
      <c r="F1522" s="21">
        <f>'Hoja 4 - Cálculo'!A103</f>
        <v>31959</v>
      </c>
      <c r="G1522" s="15">
        <f>'Hoja 4 - Cálculo'!H103</f>
        <v>14.688000000000001</v>
      </c>
      <c r="H1522" s="15">
        <f>IF(D1522="Uso único",'Hoja 4 - Cálculo'!I103,IF(D1522="Uso múltiple",AVERAGE('Hoja 4 - Cálculo'!$I$25:$I$384)+AVERAGE('Hoja 4 - Cálculo'!$J$25:$J$384)+AVERAGE('Hoja 4 - Cálculo'!$K$25:$K$384),IF(D1522="Uso prioritario",'Hoja 4 - Cálculo'!I103+'Hoja 4 - Cálculo'!K103,'Hoja 4 - Cálculo'!I103+'Hoja 4 - Cálculo'!J103+'Hoja 4 - Cálculo'!K103)))</f>
        <v>16</v>
      </c>
      <c r="I1522" s="15">
        <f t="shared" si="335"/>
        <v>12</v>
      </c>
      <c r="J1522" s="15">
        <f t="shared" si="345"/>
        <v>10</v>
      </c>
      <c r="K1522" s="15">
        <f>MIN(J1522+G1522,(J1522+G1522)*'Hoja 4 - Cálculo'!$B$15)</f>
        <v>0.49376000000000003</v>
      </c>
      <c r="L1522" s="15">
        <f t="shared" si="336"/>
        <v>24.194240000000001</v>
      </c>
      <c r="M1522" s="15">
        <f t="shared" si="337"/>
        <v>12</v>
      </c>
      <c r="N1522" s="15">
        <f t="shared" si="338"/>
        <v>10</v>
      </c>
      <c r="O1522" s="15">
        <f t="shared" si="339"/>
        <v>2.1942400000000006</v>
      </c>
      <c r="P1522" s="15">
        <f t="shared" si="340"/>
        <v>0</v>
      </c>
      <c r="Q1522" s="14" t="str">
        <f>IF(M1522&gt;=I1522*'Hoja 4 - Cálculo'!$B$16,"Satisfactorio","Falla")</f>
        <v>Satisfactorio</v>
      </c>
      <c r="R1522" s="14">
        <f t="shared" si="346"/>
        <v>0</v>
      </c>
      <c r="S1522" s="14">
        <f t="shared" si="347"/>
        <v>0</v>
      </c>
    </row>
    <row r="1523" spans="1:19">
      <c r="A1523" s="14" t="str">
        <f t="shared" si="344"/>
        <v>SRY-5-1</v>
      </c>
      <c r="B1523" s="15">
        <f>'Curvas SRY'!$B$12</f>
        <v>10</v>
      </c>
      <c r="C1523" s="15">
        <f>'Curvas SRY'!$E$8</f>
        <v>0.75</v>
      </c>
      <c r="D1523" s="14" t="str">
        <f>'Curvas SRY'!$B$14</f>
        <v>Uso variable</v>
      </c>
      <c r="E1523" s="14">
        <f>80</f>
        <v>80</v>
      </c>
      <c r="F1523" s="21">
        <f>'Hoja 4 - Cálculo'!A104</f>
        <v>31990</v>
      </c>
      <c r="G1523" s="15">
        <f>'Hoja 4 - Cálculo'!H104</f>
        <v>15.759</v>
      </c>
      <c r="H1523" s="15">
        <f>IF(D1523="Uso único",'Hoja 4 - Cálculo'!I104,IF(D1523="Uso múltiple",AVERAGE('Hoja 4 - Cálculo'!$I$25:$I$384)+AVERAGE('Hoja 4 - Cálculo'!$J$25:$J$384)+AVERAGE('Hoja 4 - Cálculo'!$K$25:$K$384),IF(D1523="Uso prioritario",'Hoja 4 - Cálculo'!I104+'Hoja 4 - Cálculo'!K104,'Hoja 4 - Cálculo'!I104+'Hoja 4 - Cálculo'!J104+'Hoja 4 - Cálculo'!K104)))</f>
        <v>16</v>
      </c>
      <c r="I1523" s="15">
        <f t="shared" si="335"/>
        <v>12</v>
      </c>
      <c r="J1523" s="15">
        <f t="shared" si="345"/>
        <v>10</v>
      </c>
      <c r="K1523" s="15">
        <f>MIN(J1523+G1523,(J1523+G1523)*'Hoja 4 - Cálculo'!$B$15)</f>
        <v>0.51517999999999997</v>
      </c>
      <c r="L1523" s="15">
        <f t="shared" si="336"/>
        <v>25.243819999999999</v>
      </c>
      <c r="M1523" s="15">
        <f t="shared" si="337"/>
        <v>12</v>
      </c>
      <c r="N1523" s="15">
        <f t="shared" si="338"/>
        <v>10</v>
      </c>
      <c r="O1523" s="15">
        <f t="shared" si="339"/>
        <v>3.2438199999999995</v>
      </c>
      <c r="P1523" s="15">
        <f t="shared" si="340"/>
        <v>0</v>
      </c>
      <c r="Q1523" s="14" t="str">
        <f>IF(M1523&gt;=I1523*'Hoja 4 - Cálculo'!$B$16,"Satisfactorio","Falla")</f>
        <v>Satisfactorio</v>
      </c>
      <c r="R1523" s="14">
        <f t="shared" si="346"/>
        <v>0</v>
      </c>
      <c r="S1523" s="14">
        <f t="shared" si="347"/>
        <v>0</v>
      </c>
    </row>
    <row r="1524" spans="1:19">
      <c r="A1524" s="14" t="str">
        <f t="shared" si="344"/>
        <v>SRY-5-1</v>
      </c>
      <c r="B1524" s="15">
        <f>'Curvas SRY'!$B$12</f>
        <v>10</v>
      </c>
      <c r="C1524" s="15">
        <f>'Curvas SRY'!$E$8</f>
        <v>0.75</v>
      </c>
      <c r="D1524" s="14" t="str">
        <f>'Curvas SRY'!$B$14</f>
        <v>Uso variable</v>
      </c>
      <c r="E1524" s="14">
        <f>81</f>
        <v>81</v>
      </c>
      <c r="F1524" s="21">
        <f>'Hoja 4 - Cálculo'!A105</f>
        <v>32021</v>
      </c>
      <c r="G1524" s="15">
        <f>'Hoja 4 - Cálculo'!H105</f>
        <v>26.220375000000001</v>
      </c>
      <c r="H1524" s="15">
        <f>IF(D1524="Uso único",'Hoja 4 - Cálculo'!I105,IF(D1524="Uso múltiple",AVERAGE('Hoja 4 - Cálculo'!$I$25:$I$384)+AVERAGE('Hoja 4 - Cálculo'!$J$25:$J$384)+AVERAGE('Hoja 4 - Cálculo'!$K$25:$K$384),IF(D1524="Uso prioritario",'Hoja 4 - Cálculo'!I105+'Hoja 4 - Cálculo'!K105,'Hoja 4 - Cálculo'!I105+'Hoja 4 - Cálculo'!J105+'Hoja 4 - Cálculo'!K105)))</f>
        <v>11.5</v>
      </c>
      <c r="I1524" s="15">
        <f t="shared" si="335"/>
        <v>8.625</v>
      </c>
      <c r="J1524" s="15">
        <f t="shared" si="345"/>
        <v>10</v>
      </c>
      <c r="K1524" s="15">
        <f>MIN(J1524+G1524,(J1524+G1524)*'Hoja 4 - Cálculo'!$B$15)</f>
        <v>0.72440750000000009</v>
      </c>
      <c r="L1524" s="15">
        <f t="shared" si="336"/>
        <v>35.495967500000006</v>
      </c>
      <c r="M1524" s="15">
        <f t="shared" si="337"/>
        <v>8.625</v>
      </c>
      <c r="N1524" s="15">
        <f t="shared" si="338"/>
        <v>10</v>
      </c>
      <c r="O1524" s="15">
        <f t="shared" si="339"/>
        <v>16.870967500000006</v>
      </c>
      <c r="P1524" s="15">
        <f t="shared" si="340"/>
        <v>0</v>
      </c>
      <c r="Q1524" s="14" t="str">
        <f>IF(M1524&gt;=I1524*'Hoja 4 - Cálculo'!$B$16,"Satisfactorio","Falla")</f>
        <v>Satisfactorio</v>
      </c>
      <c r="R1524" s="14">
        <f t="shared" si="346"/>
        <v>0</v>
      </c>
      <c r="S1524" s="14">
        <f t="shared" si="347"/>
        <v>0</v>
      </c>
    </row>
    <row r="1525" spans="1:19">
      <c r="A1525" s="14" t="str">
        <f t="shared" si="344"/>
        <v>SRY-5-1</v>
      </c>
      <c r="B1525" s="15">
        <f>'Curvas SRY'!$B$12</f>
        <v>10</v>
      </c>
      <c r="C1525" s="15">
        <f>'Curvas SRY'!$E$8</f>
        <v>0.75</v>
      </c>
      <c r="D1525" s="14" t="str">
        <f>'Curvas SRY'!$B$14</f>
        <v>Uso variable</v>
      </c>
      <c r="E1525" s="14">
        <f>82</f>
        <v>82</v>
      </c>
      <c r="F1525" s="21">
        <f>'Hoja 4 - Cálculo'!A106</f>
        <v>32051</v>
      </c>
      <c r="G1525" s="15">
        <f>'Hoja 4 - Cálculo'!H106</f>
        <v>32.627249999999997</v>
      </c>
      <c r="H1525" s="15">
        <f>IF(D1525="Uso único",'Hoja 4 - Cálculo'!I106,IF(D1525="Uso múltiple",AVERAGE('Hoja 4 - Cálculo'!$I$25:$I$384)+AVERAGE('Hoja 4 - Cálculo'!$J$25:$J$384)+AVERAGE('Hoja 4 - Cálculo'!$K$25:$K$384),IF(D1525="Uso prioritario",'Hoja 4 - Cálculo'!I106+'Hoja 4 - Cálculo'!K106,'Hoja 4 - Cálculo'!I106+'Hoja 4 - Cálculo'!J106+'Hoja 4 - Cálculo'!K106)))</f>
        <v>11.5</v>
      </c>
      <c r="I1525" s="15">
        <f t="shared" si="335"/>
        <v>8.625</v>
      </c>
      <c r="J1525" s="15">
        <f t="shared" si="345"/>
        <v>10</v>
      </c>
      <c r="K1525" s="15">
        <f>MIN(J1525+G1525,(J1525+G1525)*'Hoja 4 - Cálculo'!$B$15)</f>
        <v>0.852545</v>
      </c>
      <c r="L1525" s="15">
        <f t="shared" si="336"/>
        <v>41.774704999999997</v>
      </c>
      <c r="M1525" s="15">
        <f t="shared" si="337"/>
        <v>8.625</v>
      </c>
      <c r="N1525" s="15">
        <f t="shared" si="338"/>
        <v>10</v>
      </c>
      <c r="O1525" s="15">
        <f t="shared" si="339"/>
        <v>23.149704999999997</v>
      </c>
      <c r="P1525" s="15">
        <f t="shared" si="340"/>
        <v>0</v>
      </c>
      <c r="Q1525" s="14" t="str">
        <f>IF(M1525&gt;=I1525*'Hoja 4 - Cálculo'!$B$16,"Satisfactorio","Falla")</f>
        <v>Satisfactorio</v>
      </c>
      <c r="R1525" s="14">
        <f t="shared" si="346"/>
        <v>0</v>
      </c>
      <c r="S1525" s="14">
        <f t="shared" si="347"/>
        <v>0</v>
      </c>
    </row>
    <row r="1526" spans="1:19">
      <c r="A1526" s="14" t="str">
        <f t="shared" si="344"/>
        <v>SRY-5-1</v>
      </c>
      <c r="B1526" s="15">
        <f>'Curvas SRY'!$B$12</f>
        <v>10</v>
      </c>
      <c r="C1526" s="15">
        <f>'Curvas SRY'!$E$8</f>
        <v>0.75</v>
      </c>
      <c r="D1526" s="14" t="str">
        <f>'Curvas SRY'!$B$14</f>
        <v>Uso variable</v>
      </c>
      <c r="E1526" s="14">
        <f>83</f>
        <v>83</v>
      </c>
      <c r="F1526" s="21">
        <f>'Hoja 4 - Cálculo'!A107</f>
        <v>32082</v>
      </c>
      <c r="G1526" s="15">
        <f>'Hoja 4 - Cálculo'!H107</f>
        <v>29.758500000000002</v>
      </c>
      <c r="H1526" s="15">
        <f>IF(D1526="Uso único",'Hoja 4 - Cálculo'!I107,IF(D1526="Uso múltiple",AVERAGE('Hoja 4 - Cálculo'!$I$25:$I$384)+AVERAGE('Hoja 4 - Cálculo'!$J$25:$J$384)+AVERAGE('Hoja 4 - Cálculo'!$K$25:$K$384),IF(D1526="Uso prioritario",'Hoja 4 - Cálculo'!I107+'Hoja 4 - Cálculo'!K107,'Hoja 4 - Cálculo'!I107+'Hoja 4 - Cálculo'!J107+'Hoja 4 - Cálculo'!K107)))</f>
        <v>11.5</v>
      </c>
      <c r="I1526" s="15">
        <f t="shared" si="335"/>
        <v>8.625</v>
      </c>
      <c r="J1526" s="15">
        <f t="shared" si="345"/>
        <v>10</v>
      </c>
      <c r="K1526" s="15">
        <f>MIN(J1526+G1526,(J1526+G1526)*'Hoja 4 - Cálculo'!$B$15)</f>
        <v>0.79516999999999993</v>
      </c>
      <c r="L1526" s="15">
        <f t="shared" si="336"/>
        <v>38.963329999999999</v>
      </c>
      <c r="M1526" s="15">
        <f t="shared" si="337"/>
        <v>8.625</v>
      </c>
      <c r="N1526" s="15">
        <f t="shared" si="338"/>
        <v>10</v>
      </c>
      <c r="O1526" s="15">
        <f t="shared" si="339"/>
        <v>20.338329999999999</v>
      </c>
      <c r="P1526" s="15">
        <f t="shared" si="340"/>
        <v>0</v>
      </c>
      <c r="Q1526" s="14" t="str">
        <f>IF(M1526&gt;=I1526*'Hoja 4 - Cálculo'!$B$16,"Satisfactorio","Falla")</f>
        <v>Satisfactorio</v>
      </c>
      <c r="R1526" s="14">
        <f t="shared" si="346"/>
        <v>0</v>
      </c>
      <c r="S1526" s="14">
        <f t="shared" si="347"/>
        <v>0</v>
      </c>
    </row>
    <row r="1527" spans="1:19">
      <c r="A1527" s="14" t="str">
        <f t="shared" si="344"/>
        <v>SRY-5-1</v>
      </c>
      <c r="B1527" s="15">
        <f>'Curvas SRY'!$B$12</f>
        <v>10</v>
      </c>
      <c r="C1527" s="15">
        <f>'Curvas SRY'!$E$8</f>
        <v>0.75</v>
      </c>
      <c r="D1527" s="14" t="str">
        <f>'Curvas SRY'!$B$14</f>
        <v>Uso variable</v>
      </c>
      <c r="E1527" s="14">
        <f>84</f>
        <v>84</v>
      </c>
      <c r="F1527" s="21">
        <f>'Hoja 4 - Cálculo'!A108</f>
        <v>32112</v>
      </c>
      <c r="G1527" s="15">
        <f>'Hoja 4 - Cálculo'!H108</f>
        <v>16.543125</v>
      </c>
      <c r="H1527" s="15">
        <f>IF(D1527="Uso único",'Hoja 4 - Cálculo'!I108,IF(D1527="Uso múltiple",AVERAGE('Hoja 4 - Cálculo'!$I$25:$I$384)+AVERAGE('Hoja 4 - Cálculo'!$J$25:$J$384)+AVERAGE('Hoja 4 - Cálculo'!$K$25:$K$384),IF(D1527="Uso prioritario",'Hoja 4 - Cálculo'!I108+'Hoja 4 - Cálculo'!K108,'Hoja 4 - Cálculo'!I108+'Hoja 4 - Cálculo'!J108+'Hoja 4 - Cálculo'!K108)))</f>
        <v>16</v>
      </c>
      <c r="I1527" s="15">
        <f t="shared" si="335"/>
        <v>12</v>
      </c>
      <c r="J1527" s="15">
        <f t="shared" si="345"/>
        <v>10</v>
      </c>
      <c r="K1527" s="15">
        <f>MIN(J1527+G1527,(J1527+G1527)*'Hoja 4 - Cálculo'!$B$15)</f>
        <v>0.53086250000000001</v>
      </c>
      <c r="L1527" s="15">
        <f t="shared" si="336"/>
        <v>26.012262499999999</v>
      </c>
      <c r="M1527" s="15">
        <f t="shared" si="337"/>
        <v>12</v>
      </c>
      <c r="N1527" s="15">
        <f t="shared" si="338"/>
        <v>10</v>
      </c>
      <c r="O1527" s="15">
        <f t="shared" si="339"/>
        <v>4.0122624999999985</v>
      </c>
      <c r="P1527" s="15">
        <f t="shared" si="340"/>
        <v>0</v>
      </c>
      <c r="Q1527" s="14" t="str">
        <f>IF(M1527&gt;=I1527*'Hoja 4 - Cálculo'!$B$16,"Satisfactorio","Falla")</f>
        <v>Satisfactorio</v>
      </c>
      <c r="R1527" s="14">
        <f t="shared" si="346"/>
        <v>0</v>
      </c>
      <c r="S1527" s="14">
        <f t="shared" si="347"/>
        <v>0</v>
      </c>
    </row>
    <row r="1528" spans="1:19">
      <c r="A1528" s="14" t="str">
        <f t="shared" si="344"/>
        <v>SRY-5-1</v>
      </c>
      <c r="B1528" s="15">
        <f>'Curvas SRY'!$B$12</f>
        <v>10</v>
      </c>
      <c r="C1528" s="15">
        <f>'Curvas SRY'!$E$8</f>
        <v>0.75</v>
      </c>
      <c r="D1528" s="14" t="str">
        <f>'Curvas SRY'!$B$14</f>
        <v>Uso variable</v>
      </c>
      <c r="E1528" s="14">
        <f>85</f>
        <v>85</v>
      </c>
      <c r="F1528" s="21">
        <f>'Hoja 4 - Cálculo'!A109</f>
        <v>32143</v>
      </c>
      <c r="G1528" s="15">
        <f>'Hoja 4 - Cálculo'!H109</f>
        <v>13.291874999999999</v>
      </c>
      <c r="H1528" s="15">
        <f>IF(D1528="Uso único",'Hoja 4 - Cálculo'!I109,IF(D1528="Uso múltiple",AVERAGE('Hoja 4 - Cálculo'!$I$25:$I$384)+AVERAGE('Hoja 4 - Cálculo'!$J$25:$J$384)+AVERAGE('Hoja 4 - Cálculo'!$K$25:$K$384),IF(D1528="Uso prioritario",'Hoja 4 - Cálculo'!I109+'Hoja 4 - Cálculo'!K109,'Hoja 4 - Cálculo'!I109+'Hoja 4 - Cálculo'!J109+'Hoja 4 - Cálculo'!K109)))</f>
        <v>16</v>
      </c>
      <c r="I1528" s="15">
        <f t="shared" si="335"/>
        <v>12</v>
      </c>
      <c r="J1528" s="15">
        <f t="shared" si="345"/>
        <v>10</v>
      </c>
      <c r="K1528" s="15">
        <f>MIN(J1528+G1528,(J1528+G1528)*'Hoja 4 - Cálculo'!$B$15)</f>
        <v>0.46583749999999996</v>
      </c>
      <c r="L1528" s="15">
        <f t="shared" si="336"/>
        <v>22.826037499999998</v>
      </c>
      <c r="M1528" s="15">
        <f t="shared" si="337"/>
        <v>12</v>
      </c>
      <c r="N1528" s="15">
        <f t="shared" si="338"/>
        <v>10</v>
      </c>
      <c r="O1528" s="15">
        <f t="shared" si="339"/>
        <v>0.8260374999999982</v>
      </c>
      <c r="P1528" s="15">
        <f t="shared" si="340"/>
        <v>0</v>
      </c>
      <c r="Q1528" s="14" t="str">
        <f>IF(M1528&gt;=I1528*'Hoja 4 - Cálculo'!$B$16,"Satisfactorio","Falla")</f>
        <v>Satisfactorio</v>
      </c>
      <c r="R1528" s="14">
        <f t="shared" si="346"/>
        <v>0</v>
      </c>
      <c r="S1528" s="14">
        <f t="shared" si="347"/>
        <v>0</v>
      </c>
    </row>
    <row r="1529" spans="1:19">
      <c r="A1529" s="14" t="str">
        <f t="shared" si="344"/>
        <v>SRY-5-1</v>
      </c>
      <c r="B1529" s="15">
        <f>'Curvas SRY'!$B$12</f>
        <v>10</v>
      </c>
      <c r="C1529" s="15">
        <f>'Curvas SRY'!$E$8</f>
        <v>0.75</v>
      </c>
      <c r="D1529" s="14" t="str">
        <f>'Curvas SRY'!$B$14</f>
        <v>Uso variable</v>
      </c>
      <c r="E1529" s="14">
        <f>86</f>
        <v>86</v>
      </c>
      <c r="F1529" s="21">
        <f>'Hoja 4 - Cálculo'!A110</f>
        <v>32174</v>
      </c>
      <c r="G1529" s="15">
        <f>'Hoja 4 - Cálculo'!H110</f>
        <v>14.19075</v>
      </c>
      <c r="H1529" s="15">
        <f>IF(D1529="Uso único",'Hoja 4 - Cálculo'!I110,IF(D1529="Uso múltiple",AVERAGE('Hoja 4 - Cálculo'!$I$25:$I$384)+AVERAGE('Hoja 4 - Cálculo'!$J$25:$J$384)+AVERAGE('Hoja 4 - Cálculo'!$K$25:$K$384),IF(D1529="Uso prioritario",'Hoja 4 - Cálculo'!I110+'Hoja 4 - Cálculo'!K110,'Hoja 4 - Cálculo'!I110+'Hoja 4 - Cálculo'!J110+'Hoja 4 - Cálculo'!K110)))</f>
        <v>16</v>
      </c>
      <c r="I1529" s="15">
        <f t="shared" si="335"/>
        <v>12</v>
      </c>
      <c r="J1529" s="15">
        <f t="shared" si="345"/>
        <v>10</v>
      </c>
      <c r="K1529" s="15">
        <f>MIN(J1529+G1529,(J1529+G1529)*'Hoja 4 - Cálculo'!$B$15)</f>
        <v>0.48381500000000005</v>
      </c>
      <c r="L1529" s="15">
        <f t="shared" si="336"/>
        <v>23.706935000000001</v>
      </c>
      <c r="M1529" s="15">
        <f t="shared" si="337"/>
        <v>12</v>
      </c>
      <c r="N1529" s="15">
        <f t="shared" si="338"/>
        <v>10</v>
      </c>
      <c r="O1529" s="15">
        <f t="shared" si="339"/>
        <v>1.7069350000000014</v>
      </c>
      <c r="P1529" s="15">
        <f t="shared" si="340"/>
        <v>0</v>
      </c>
      <c r="Q1529" s="14" t="str">
        <f>IF(M1529&gt;=I1529*'Hoja 4 - Cálculo'!$B$16,"Satisfactorio","Falla")</f>
        <v>Satisfactorio</v>
      </c>
      <c r="R1529" s="14">
        <f t="shared" si="346"/>
        <v>0</v>
      </c>
      <c r="S1529" s="14">
        <f t="shared" si="347"/>
        <v>0</v>
      </c>
    </row>
    <row r="1530" spans="1:19">
      <c r="A1530" s="14" t="str">
        <f t="shared" si="344"/>
        <v>SRY-5-1</v>
      </c>
      <c r="B1530" s="15">
        <f>'Curvas SRY'!$B$12</f>
        <v>10</v>
      </c>
      <c r="C1530" s="15">
        <f>'Curvas SRY'!$E$8</f>
        <v>0.75</v>
      </c>
      <c r="D1530" s="14" t="str">
        <f>'Curvas SRY'!$B$14</f>
        <v>Uso variable</v>
      </c>
      <c r="E1530" s="14">
        <f>87</f>
        <v>87</v>
      </c>
      <c r="F1530" s="21">
        <f>'Hoja 4 - Cálculo'!A111</f>
        <v>32203</v>
      </c>
      <c r="G1530" s="15">
        <f>'Hoja 4 - Cálculo'!H111</f>
        <v>22.338000000000001</v>
      </c>
      <c r="H1530" s="15">
        <f>IF(D1530="Uso único",'Hoja 4 - Cálculo'!I111,IF(D1530="Uso múltiple",AVERAGE('Hoja 4 - Cálculo'!$I$25:$I$384)+AVERAGE('Hoja 4 - Cálculo'!$J$25:$J$384)+AVERAGE('Hoja 4 - Cálculo'!$K$25:$K$384),IF(D1530="Uso prioritario",'Hoja 4 - Cálculo'!I111+'Hoja 4 - Cálculo'!K111,'Hoja 4 - Cálculo'!I111+'Hoja 4 - Cálculo'!J111+'Hoja 4 - Cálculo'!K111)))</f>
        <v>16</v>
      </c>
      <c r="I1530" s="15">
        <f t="shared" si="335"/>
        <v>12</v>
      </c>
      <c r="J1530" s="15">
        <f t="shared" si="345"/>
        <v>10</v>
      </c>
      <c r="K1530" s="15">
        <f>MIN(J1530+G1530,(J1530+G1530)*'Hoja 4 - Cálculo'!$B$15)</f>
        <v>0.64676</v>
      </c>
      <c r="L1530" s="15">
        <f t="shared" si="336"/>
        <v>31.691240000000001</v>
      </c>
      <c r="M1530" s="15">
        <f t="shared" si="337"/>
        <v>12</v>
      </c>
      <c r="N1530" s="15">
        <f t="shared" si="338"/>
        <v>10</v>
      </c>
      <c r="O1530" s="15">
        <f t="shared" si="339"/>
        <v>9.6912400000000005</v>
      </c>
      <c r="P1530" s="15">
        <f t="shared" si="340"/>
        <v>0</v>
      </c>
      <c r="Q1530" s="14" t="str">
        <f>IF(M1530&gt;=I1530*'Hoja 4 - Cálculo'!$B$16,"Satisfactorio","Falla")</f>
        <v>Satisfactorio</v>
      </c>
      <c r="R1530" s="14">
        <f t="shared" si="346"/>
        <v>0</v>
      </c>
      <c r="S1530" s="14">
        <f t="shared" si="347"/>
        <v>0</v>
      </c>
    </row>
    <row r="1531" spans="1:19">
      <c r="A1531" s="14" t="str">
        <f t="shared" si="344"/>
        <v>SRY-5-1</v>
      </c>
      <c r="B1531" s="15">
        <f>'Curvas SRY'!$B$12</f>
        <v>10</v>
      </c>
      <c r="C1531" s="15">
        <f>'Curvas SRY'!$E$8</f>
        <v>0.75</v>
      </c>
      <c r="D1531" s="14" t="str">
        <f>'Curvas SRY'!$B$14</f>
        <v>Uso variable</v>
      </c>
      <c r="E1531" s="14">
        <f>88</f>
        <v>88</v>
      </c>
      <c r="F1531" s="21">
        <f>'Hoja 4 - Cálculo'!A112</f>
        <v>32234</v>
      </c>
      <c r="G1531" s="15">
        <f>'Hoja 4 - Cálculo'!H112</f>
        <v>29.643750000000001</v>
      </c>
      <c r="H1531" s="15">
        <f>IF(D1531="Uso único",'Hoja 4 - Cálculo'!I112,IF(D1531="Uso múltiple",AVERAGE('Hoja 4 - Cálculo'!$I$25:$I$384)+AVERAGE('Hoja 4 - Cálculo'!$J$25:$J$384)+AVERAGE('Hoja 4 - Cálculo'!$K$25:$K$384),IF(D1531="Uso prioritario",'Hoja 4 - Cálculo'!I112+'Hoja 4 - Cálculo'!K112,'Hoja 4 - Cálculo'!I112+'Hoja 4 - Cálculo'!J112+'Hoja 4 - Cálculo'!K112)))</f>
        <v>11.5</v>
      </c>
      <c r="I1531" s="15">
        <f t="shared" si="335"/>
        <v>8.625</v>
      </c>
      <c r="J1531" s="15">
        <f t="shared" si="345"/>
        <v>10</v>
      </c>
      <c r="K1531" s="15">
        <f>MIN(J1531+G1531,(J1531+G1531)*'Hoja 4 - Cálculo'!$B$15)</f>
        <v>0.792875</v>
      </c>
      <c r="L1531" s="15">
        <f t="shared" si="336"/>
        <v>38.850874999999995</v>
      </c>
      <c r="M1531" s="15">
        <f t="shared" si="337"/>
        <v>8.625</v>
      </c>
      <c r="N1531" s="15">
        <f t="shared" si="338"/>
        <v>10</v>
      </c>
      <c r="O1531" s="15">
        <f t="shared" si="339"/>
        <v>20.225874999999995</v>
      </c>
      <c r="P1531" s="15">
        <f t="shared" si="340"/>
        <v>0</v>
      </c>
      <c r="Q1531" s="14" t="str">
        <f>IF(M1531&gt;=I1531*'Hoja 4 - Cálculo'!$B$16,"Satisfactorio","Falla")</f>
        <v>Satisfactorio</v>
      </c>
      <c r="R1531" s="14">
        <f t="shared" si="346"/>
        <v>0</v>
      </c>
      <c r="S1531" s="14">
        <f t="shared" si="347"/>
        <v>0</v>
      </c>
    </row>
    <row r="1532" spans="1:19">
      <c r="A1532" s="14" t="str">
        <f t="shared" si="344"/>
        <v>SRY-5-1</v>
      </c>
      <c r="B1532" s="15">
        <f>'Curvas SRY'!$B$12</f>
        <v>10</v>
      </c>
      <c r="C1532" s="15">
        <f>'Curvas SRY'!$E$8</f>
        <v>0.75</v>
      </c>
      <c r="D1532" s="14" t="str">
        <f>'Curvas SRY'!$B$14</f>
        <v>Uso variable</v>
      </c>
      <c r="E1532" s="14">
        <f>89</f>
        <v>89</v>
      </c>
      <c r="F1532" s="21">
        <f>'Hoja 4 - Cálculo'!A113</f>
        <v>32264</v>
      </c>
      <c r="G1532" s="15">
        <f>'Hoja 4 - Cálculo'!H113</f>
        <v>28.075500000000002</v>
      </c>
      <c r="H1532" s="15">
        <f>IF(D1532="Uso único",'Hoja 4 - Cálculo'!I113,IF(D1532="Uso múltiple",AVERAGE('Hoja 4 - Cálculo'!$I$25:$I$384)+AVERAGE('Hoja 4 - Cálculo'!$J$25:$J$384)+AVERAGE('Hoja 4 - Cálculo'!$K$25:$K$384),IF(D1532="Uso prioritario",'Hoja 4 - Cálculo'!I113+'Hoja 4 - Cálculo'!K113,'Hoja 4 - Cálculo'!I113+'Hoja 4 - Cálculo'!J113+'Hoja 4 - Cálculo'!K113)))</f>
        <v>11.5</v>
      </c>
      <c r="I1532" s="15">
        <f t="shared" si="335"/>
        <v>8.625</v>
      </c>
      <c r="J1532" s="15">
        <f t="shared" si="345"/>
        <v>10</v>
      </c>
      <c r="K1532" s="15">
        <f>MIN(J1532+G1532,(J1532+G1532)*'Hoja 4 - Cálculo'!$B$15)</f>
        <v>0.76151000000000013</v>
      </c>
      <c r="L1532" s="15">
        <f t="shared" si="336"/>
        <v>37.313990000000004</v>
      </c>
      <c r="M1532" s="15">
        <f t="shared" si="337"/>
        <v>8.625</v>
      </c>
      <c r="N1532" s="15">
        <f t="shared" si="338"/>
        <v>10</v>
      </c>
      <c r="O1532" s="15">
        <f t="shared" si="339"/>
        <v>18.688990000000004</v>
      </c>
      <c r="P1532" s="15">
        <f t="shared" si="340"/>
        <v>0</v>
      </c>
      <c r="Q1532" s="14" t="str">
        <f>IF(M1532&gt;=I1532*'Hoja 4 - Cálculo'!$B$16,"Satisfactorio","Falla")</f>
        <v>Satisfactorio</v>
      </c>
      <c r="R1532" s="14">
        <f t="shared" si="346"/>
        <v>0</v>
      </c>
      <c r="S1532" s="14">
        <f t="shared" si="347"/>
        <v>0</v>
      </c>
    </row>
    <row r="1533" spans="1:19">
      <c r="A1533" s="14" t="str">
        <f t="shared" si="344"/>
        <v>SRY-5-1</v>
      </c>
      <c r="B1533" s="15">
        <f>'Curvas SRY'!$B$12</f>
        <v>10</v>
      </c>
      <c r="C1533" s="15">
        <f>'Curvas SRY'!$E$8</f>
        <v>0.75</v>
      </c>
      <c r="D1533" s="14" t="str">
        <f>'Curvas SRY'!$B$14</f>
        <v>Uso variable</v>
      </c>
      <c r="E1533" s="14">
        <f>90</f>
        <v>90</v>
      </c>
      <c r="F1533" s="21">
        <f>'Hoja 4 - Cálculo'!A114</f>
        <v>32295</v>
      </c>
      <c r="G1533" s="15">
        <f>'Hoja 4 - Cálculo'!H114</f>
        <v>16.485749999999999</v>
      </c>
      <c r="H1533" s="15">
        <f>IF(D1533="Uso único",'Hoja 4 - Cálculo'!I114,IF(D1533="Uso múltiple",AVERAGE('Hoja 4 - Cálculo'!$I$25:$I$384)+AVERAGE('Hoja 4 - Cálculo'!$J$25:$J$384)+AVERAGE('Hoja 4 - Cálculo'!$K$25:$K$384),IF(D1533="Uso prioritario",'Hoja 4 - Cálculo'!I114+'Hoja 4 - Cálculo'!K114,'Hoja 4 - Cálculo'!I114+'Hoja 4 - Cálculo'!J114+'Hoja 4 - Cálculo'!K114)))</f>
        <v>11.5</v>
      </c>
      <c r="I1533" s="15">
        <f t="shared" si="335"/>
        <v>8.625</v>
      </c>
      <c r="J1533" s="15">
        <f t="shared" si="345"/>
        <v>10</v>
      </c>
      <c r="K1533" s="15">
        <f>MIN(J1533+G1533,(J1533+G1533)*'Hoja 4 - Cálculo'!$B$15)</f>
        <v>0.52971500000000005</v>
      </c>
      <c r="L1533" s="15">
        <f t="shared" si="336"/>
        <v>25.956035</v>
      </c>
      <c r="M1533" s="15">
        <f t="shared" si="337"/>
        <v>8.625</v>
      </c>
      <c r="N1533" s="15">
        <f t="shared" si="338"/>
        <v>10</v>
      </c>
      <c r="O1533" s="15">
        <f t="shared" si="339"/>
        <v>7.331035</v>
      </c>
      <c r="P1533" s="15">
        <f t="shared" si="340"/>
        <v>0</v>
      </c>
      <c r="Q1533" s="14" t="str">
        <f>IF(M1533&gt;=I1533*'Hoja 4 - Cálculo'!$B$16,"Satisfactorio","Falla")</f>
        <v>Satisfactorio</v>
      </c>
      <c r="R1533" s="14">
        <f t="shared" si="346"/>
        <v>0</v>
      </c>
      <c r="S1533" s="14">
        <f t="shared" si="347"/>
        <v>0</v>
      </c>
    </row>
    <row r="1534" spans="1:19">
      <c r="A1534" s="14" t="str">
        <f t="shared" si="344"/>
        <v>SRY-5-1</v>
      </c>
      <c r="B1534" s="15">
        <f>'Curvas SRY'!$B$12</f>
        <v>10</v>
      </c>
      <c r="C1534" s="15">
        <f>'Curvas SRY'!$E$8</f>
        <v>0.75</v>
      </c>
      <c r="D1534" s="14" t="str">
        <f>'Curvas SRY'!$B$14</f>
        <v>Uso variable</v>
      </c>
      <c r="E1534" s="14">
        <f>91</f>
        <v>91</v>
      </c>
      <c r="F1534" s="21">
        <f>'Hoja 4 - Cálculo'!A115</f>
        <v>32325</v>
      </c>
      <c r="G1534" s="15">
        <f>'Hoja 4 - Cálculo'!H115</f>
        <v>13.827375</v>
      </c>
      <c r="H1534" s="15">
        <f>IF(D1534="Uso único",'Hoja 4 - Cálculo'!I115,IF(D1534="Uso múltiple",AVERAGE('Hoja 4 - Cálculo'!$I$25:$I$384)+AVERAGE('Hoja 4 - Cálculo'!$J$25:$J$384)+AVERAGE('Hoja 4 - Cálculo'!$K$25:$K$384),IF(D1534="Uso prioritario",'Hoja 4 - Cálculo'!I115+'Hoja 4 - Cálculo'!K115,'Hoja 4 - Cálculo'!I115+'Hoja 4 - Cálculo'!J115+'Hoja 4 - Cálculo'!K115)))</f>
        <v>16</v>
      </c>
      <c r="I1534" s="15">
        <f t="shared" si="335"/>
        <v>12</v>
      </c>
      <c r="J1534" s="15">
        <f t="shared" si="345"/>
        <v>10</v>
      </c>
      <c r="K1534" s="15">
        <f>MIN(J1534+G1534,(J1534+G1534)*'Hoja 4 - Cálculo'!$B$15)</f>
        <v>0.47654750000000001</v>
      </c>
      <c r="L1534" s="15">
        <f t="shared" si="336"/>
        <v>23.350827500000001</v>
      </c>
      <c r="M1534" s="15">
        <f t="shared" si="337"/>
        <v>12</v>
      </c>
      <c r="N1534" s="15">
        <f t="shared" si="338"/>
        <v>10</v>
      </c>
      <c r="O1534" s="15">
        <f t="shared" si="339"/>
        <v>1.3508275000000012</v>
      </c>
      <c r="P1534" s="15">
        <f t="shared" si="340"/>
        <v>0</v>
      </c>
      <c r="Q1534" s="14" t="str">
        <f>IF(M1534&gt;=I1534*'Hoja 4 - Cálculo'!$B$16,"Satisfactorio","Falla")</f>
        <v>Satisfactorio</v>
      </c>
      <c r="R1534" s="14">
        <f t="shared" si="346"/>
        <v>0</v>
      </c>
      <c r="S1534" s="14">
        <f t="shared" si="347"/>
        <v>0</v>
      </c>
    </row>
    <row r="1535" spans="1:19">
      <c r="A1535" s="14" t="str">
        <f t="shared" si="344"/>
        <v>SRY-5-1</v>
      </c>
      <c r="B1535" s="15">
        <f>'Curvas SRY'!$B$12</f>
        <v>10</v>
      </c>
      <c r="C1535" s="15">
        <f>'Curvas SRY'!$E$8</f>
        <v>0.75</v>
      </c>
      <c r="D1535" s="14" t="str">
        <f>'Curvas SRY'!$B$14</f>
        <v>Uso variable</v>
      </c>
      <c r="E1535" s="14">
        <f>92</f>
        <v>92</v>
      </c>
      <c r="F1535" s="21">
        <f>'Hoja 4 - Cálculo'!A116</f>
        <v>32356</v>
      </c>
      <c r="G1535" s="15">
        <f>'Hoja 4 - Cálculo'!H116</f>
        <v>14.783625000000001</v>
      </c>
      <c r="H1535" s="15">
        <f>IF(D1535="Uso único",'Hoja 4 - Cálculo'!I116,IF(D1535="Uso múltiple",AVERAGE('Hoja 4 - Cálculo'!$I$25:$I$384)+AVERAGE('Hoja 4 - Cálculo'!$J$25:$J$384)+AVERAGE('Hoja 4 - Cálculo'!$K$25:$K$384),IF(D1535="Uso prioritario",'Hoja 4 - Cálculo'!I116+'Hoja 4 - Cálculo'!K116,'Hoja 4 - Cálculo'!I116+'Hoja 4 - Cálculo'!J116+'Hoja 4 - Cálculo'!K116)))</f>
        <v>16</v>
      </c>
      <c r="I1535" s="15">
        <f t="shared" si="335"/>
        <v>12</v>
      </c>
      <c r="J1535" s="15">
        <f t="shared" si="345"/>
        <v>10</v>
      </c>
      <c r="K1535" s="15">
        <f>MIN(J1535+G1535,(J1535+G1535)*'Hoja 4 - Cálculo'!$B$15)</f>
        <v>0.49567250000000002</v>
      </c>
      <c r="L1535" s="15">
        <f t="shared" si="336"/>
        <v>24.287952499999999</v>
      </c>
      <c r="M1535" s="15">
        <f t="shared" si="337"/>
        <v>12</v>
      </c>
      <c r="N1535" s="15">
        <f t="shared" si="338"/>
        <v>10</v>
      </c>
      <c r="O1535" s="15">
        <f t="shared" si="339"/>
        <v>2.2879524999999994</v>
      </c>
      <c r="P1535" s="15">
        <f t="shared" si="340"/>
        <v>0</v>
      </c>
      <c r="Q1535" s="14" t="str">
        <f>IF(M1535&gt;=I1535*'Hoja 4 - Cálculo'!$B$16,"Satisfactorio","Falla")</f>
        <v>Satisfactorio</v>
      </c>
      <c r="R1535" s="14">
        <f t="shared" si="346"/>
        <v>0</v>
      </c>
      <c r="S1535" s="14">
        <f t="shared" si="347"/>
        <v>0</v>
      </c>
    </row>
    <row r="1536" spans="1:19">
      <c r="A1536" s="14" t="str">
        <f t="shared" si="344"/>
        <v>SRY-5-1</v>
      </c>
      <c r="B1536" s="15">
        <f>'Curvas SRY'!$B$12</f>
        <v>10</v>
      </c>
      <c r="C1536" s="15">
        <f>'Curvas SRY'!$E$8</f>
        <v>0.75</v>
      </c>
      <c r="D1536" s="14" t="str">
        <f>'Curvas SRY'!$B$14</f>
        <v>Uso variable</v>
      </c>
      <c r="E1536" s="14">
        <f>93</f>
        <v>93</v>
      </c>
      <c r="F1536" s="21">
        <f>'Hoja 4 - Cálculo'!A117</f>
        <v>32387</v>
      </c>
      <c r="G1536" s="15">
        <f>'Hoja 4 - Cálculo'!H117</f>
        <v>23.3325</v>
      </c>
      <c r="H1536" s="15">
        <f>IF(D1536="Uso único",'Hoja 4 - Cálculo'!I117,IF(D1536="Uso múltiple",AVERAGE('Hoja 4 - Cálculo'!$I$25:$I$384)+AVERAGE('Hoja 4 - Cálculo'!$J$25:$J$384)+AVERAGE('Hoja 4 - Cálculo'!$K$25:$K$384),IF(D1536="Uso prioritario",'Hoja 4 - Cálculo'!I117+'Hoja 4 - Cálculo'!K117,'Hoja 4 - Cálculo'!I117+'Hoja 4 - Cálculo'!J117+'Hoja 4 - Cálculo'!K117)))</f>
        <v>11.5</v>
      </c>
      <c r="I1536" s="15">
        <f t="shared" si="335"/>
        <v>8.625</v>
      </c>
      <c r="J1536" s="15">
        <f t="shared" si="345"/>
        <v>10</v>
      </c>
      <c r="K1536" s="15">
        <f>MIN(J1536+G1536,(J1536+G1536)*'Hoja 4 - Cálculo'!$B$15)</f>
        <v>0.66664999999999996</v>
      </c>
      <c r="L1536" s="15">
        <f t="shared" si="336"/>
        <v>32.665849999999999</v>
      </c>
      <c r="M1536" s="15">
        <f t="shared" si="337"/>
        <v>8.625</v>
      </c>
      <c r="N1536" s="15">
        <f t="shared" si="338"/>
        <v>10</v>
      </c>
      <c r="O1536" s="15">
        <f t="shared" si="339"/>
        <v>14.040849999999999</v>
      </c>
      <c r="P1536" s="15">
        <f t="shared" si="340"/>
        <v>0</v>
      </c>
      <c r="Q1536" s="14" t="str">
        <f>IF(M1536&gt;=I1536*'Hoja 4 - Cálculo'!$B$16,"Satisfactorio","Falla")</f>
        <v>Satisfactorio</v>
      </c>
      <c r="R1536" s="14">
        <f t="shared" si="346"/>
        <v>0</v>
      </c>
      <c r="S1536" s="14">
        <f t="shared" si="347"/>
        <v>0</v>
      </c>
    </row>
    <row r="1537" spans="1:19">
      <c r="A1537" s="14" t="str">
        <f t="shared" si="344"/>
        <v>SRY-5-1</v>
      </c>
      <c r="B1537" s="15">
        <f>'Curvas SRY'!$B$12</f>
        <v>10</v>
      </c>
      <c r="C1537" s="15">
        <f>'Curvas SRY'!$E$8</f>
        <v>0.75</v>
      </c>
      <c r="D1537" s="14" t="str">
        <f>'Curvas SRY'!$B$14</f>
        <v>Uso variable</v>
      </c>
      <c r="E1537" s="14">
        <f>94</f>
        <v>94</v>
      </c>
      <c r="F1537" s="21">
        <f>'Hoja 4 - Cálculo'!A118</f>
        <v>32417</v>
      </c>
      <c r="G1537" s="15">
        <f>'Hoja 4 - Cálculo'!H118</f>
        <v>32.015250000000002</v>
      </c>
      <c r="H1537" s="15">
        <f>IF(D1537="Uso único",'Hoja 4 - Cálculo'!I118,IF(D1537="Uso múltiple",AVERAGE('Hoja 4 - Cálculo'!$I$25:$I$384)+AVERAGE('Hoja 4 - Cálculo'!$J$25:$J$384)+AVERAGE('Hoja 4 - Cálculo'!$K$25:$K$384),IF(D1537="Uso prioritario",'Hoja 4 - Cálculo'!I118+'Hoja 4 - Cálculo'!K118,'Hoja 4 - Cálculo'!I118+'Hoja 4 - Cálculo'!J118+'Hoja 4 - Cálculo'!K118)))</f>
        <v>11.5</v>
      </c>
      <c r="I1537" s="15">
        <f t="shared" si="335"/>
        <v>8.625</v>
      </c>
      <c r="J1537" s="15">
        <f t="shared" si="345"/>
        <v>10</v>
      </c>
      <c r="K1537" s="15">
        <f>MIN(J1537+G1537,(J1537+G1537)*'Hoja 4 - Cálculo'!$B$15)</f>
        <v>0.84030500000000008</v>
      </c>
      <c r="L1537" s="15">
        <f t="shared" si="336"/>
        <v>41.174945000000001</v>
      </c>
      <c r="M1537" s="15">
        <f t="shared" si="337"/>
        <v>8.625</v>
      </c>
      <c r="N1537" s="15">
        <f t="shared" si="338"/>
        <v>10</v>
      </c>
      <c r="O1537" s="15">
        <f t="shared" si="339"/>
        <v>22.549945000000001</v>
      </c>
      <c r="P1537" s="15">
        <f t="shared" si="340"/>
        <v>0</v>
      </c>
      <c r="Q1537" s="14" t="str">
        <f>IF(M1537&gt;=I1537*'Hoja 4 - Cálculo'!$B$16,"Satisfactorio","Falla")</f>
        <v>Satisfactorio</v>
      </c>
      <c r="R1537" s="14">
        <f t="shared" si="346"/>
        <v>0</v>
      </c>
      <c r="S1537" s="14">
        <f t="shared" si="347"/>
        <v>0</v>
      </c>
    </row>
    <row r="1538" spans="1:19">
      <c r="A1538" s="14" t="str">
        <f t="shared" si="344"/>
        <v>SRY-5-1</v>
      </c>
      <c r="B1538" s="15">
        <f>'Curvas SRY'!$B$12</f>
        <v>10</v>
      </c>
      <c r="C1538" s="15">
        <f>'Curvas SRY'!$E$8</f>
        <v>0.75</v>
      </c>
      <c r="D1538" s="14" t="str">
        <f>'Curvas SRY'!$B$14</f>
        <v>Uso variable</v>
      </c>
      <c r="E1538" s="14">
        <f>95</f>
        <v>95</v>
      </c>
      <c r="F1538" s="21">
        <f>'Hoja 4 - Cálculo'!A119</f>
        <v>32448</v>
      </c>
      <c r="G1538" s="15">
        <f>'Hoja 4 - Cálculo'!H119</f>
        <v>25.876124999999998</v>
      </c>
      <c r="H1538" s="15">
        <f>IF(D1538="Uso único",'Hoja 4 - Cálculo'!I119,IF(D1538="Uso múltiple",AVERAGE('Hoja 4 - Cálculo'!$I$25:$I$384)+AVERAGE('Hoja 4 - Cálculo'!$J$25:$J$384)+AVERAGE('Hoja 4 - Cálculo'!$K$25:$K$384),IF(D1538="Uso prioritario",'Hoja 4 - Cálculo'!I119+'Hoja 4 - Cálculo'!K119,'Hoja 4 - Cálculo'!I119+'Hoja 4 - Cálculo'!J119+'Hoja 4 - Cálculo'!K119)))</f>
        <v>11.5</v>
      </c>
      <c r="I1538" s="15">
        <f t="shared" si="335"/>
        <v>8.625</v>
      </c>
      <c r="J1538" s="15">
        <f t="shared" si="345"/>
        <v>10</v>
      </c>
      <c r="K1538" s="15">
        <f>MIN(J1538+G1538,(J1538+G1538)*'Hoja 4 - Cálculo'!$B$15)</f>
        <v>0.71752250000000006</v>
      </c>
      <c r="L1538" s="15">
        <f t="shared" si="336"/>
        <v>35.158602500000001</v>
      </c>
      <c r="M1538" s="15">
        <f t="shared" si="337"/>
        <v>8.625</v>
      </c>
      <c r="N1538" s="15">
        <f t="shared" si="338"/>
        <v>10</v>
      </c>
      <c r="O1538" s="15">
        <f t="shared" si="339"/>
        <v>16.533602500000001</v>
      </c>
      <c r="P1538" s="15">
        <f t="shared" si="340"/>
        <v>0</v>
      </c>
      <c r="Q1538" s="14" t="str">
        <f>IF(M1538&gt;=I1538*'Hoja 4 - Cálculo'!$B$16,"Satisfactorio","Falla")</f>
        <v>Satisfactorio</v>
      </c>
      <c r="R1538" s="14">
        <f t="shared" si="346"/>
        <v>0</v>
      </c>
      <c r="S1538" s="14">
        <f t="shared" si="347"/>
        <v>0</v>
      </c>
    </row>
    <row r="1539" spans="1:19">
      <c r="A1539" s="14" t="str">
        <f t="shared" si="344"/>
        <v>SRY-5-1</v>
      </c>
      <c r="B1539" s="15">
        <f>'Curvas SRY'!$B$12</f>
        <v>10</v>
      </c>
      <c r="C1539" s="15">
        <f>'Curvas SRY'!$E$8</f>
        <v>0.75</v>
      </c>
      <c r="D1539" s="14" t="str">
        <f>'Curvas SRY'!$B$14</f>
        <v>Uso variable</v>
      </c>
      <c r="E1539" s="14">
        <f>96</f>
        <v>96</v>
      </c>
      <c r="F1539" s="21">
        <f>'Hoja 4 - Cálculo'!A120</f>
        <v>32478</v>
      </c>
      <c r="G1539" s="15">
        <f>'Hoja 4 - Cálculo'!H120</f>
        <v>16.218</v>
      </c>
      <c r="H1539" s="15">
        <f>IF(D1539="Uso único",'Hoja 4 - Cálculo'!I120,IF(D1539="Uso múltiple",AVERAGE('Hoja 4 - Cálculo'!$I$25:$I$384)+AVERAGE('Hoja 4 - Cálculo'!$J$25:$J$384)+AVERAGE('Hoja 4 - Cálculo'!$K$25:$K$384),IF(D1539="Uso prioritario",'Hoja 4 - Cálculo'!I120+'Hoja 4 - Cálculo'!K120,'Hoja 4 - Cálculo'!I120+'Hoja 4 - Cálculo'!J120+'Hoja 4 - Cálculo'!K120)))</f>
        <v>16</v>
      </c>
      <c r="I1539" s="15">
        <f t="shared" si="335"/>
        <v>12</v>
      </c>
      <c r="J1539" s="15">
        <f t="shared" si="345"/>
        <v>10</v>
      </c>
      <c r="K1539" s="15">
        <f>MIN(J1539+G1539,(J1539+G1539)*'Hoja 4 - Cálculo'!$B$15)</f>
        <v>0.52436000000000005</v>
      </c>
      <c r="L1539" s="15">
        <f t="shared" si="336"/>
        <v>25.693639999999998</v>
      </c>
      <c r="M1539" s="15">
        <f t="shared" si="337"/>
        <v>12</v>
      </c>
      <c r="N1539" s="15">
        <f t="shared" si="338"/>
        <v>10</v>
      </c>
      <c r="O1539" s="15">
        <f t="shared" si="339"/>
        <v>3.6936399999999985</v>
      </c>
      <c r="P1539" s="15">
        <f t="shared" si="340"/>
        <v>0</v>
      </c>
      <c r="Q1539" s="14" t="str">
        <f>IF(M1539&gt;=I1539*'Hoja 4 - Cálculo'!$B$16,"Satisfactorio","Falla")</f>
        <v>Satisfactorio</v>
      </c>
      <c r="R1539" s="14">
        <f t="shared" si="346"/>
        <v>0</v>
      </c>
      <c r="S1539" s="14">
        <f t="shared" si="347"/>
        <v>0</v>
      </c>
    </row>
    <row r="1540" spans="1:19">
      <c r="A1540" s="14" t="str">
        <f t="shared" ref="A1540:A1563" si="348">"SRY-5-1"</f>
        <v>SRY-5-1</v>
      </c>
      <c r="B1540" s="15">
        <f>'Curvas SRY'!$B$12</f>
        <v>10</v>
      </c>
      <c r="C1540" s="15">
        <f>'Curvas SRY'!$E$8</f>
        <v>0.75</v>
      </c>
      <c r="D1540" s="14" t="str">
        <f>'Curvas SRY'!$B$14</f>
        <v>Uso variable</v>
      </c>
      <c r="E1540" s="14">
        <f>97</f>
        <v>97</v>
      </c>
      <c r="F1540" s="21">
        <f>'Hoja 4 - Cálculo'!A121</f>
        <v>32509</v>
      </c>
      <c r="G1540" s="15">
        <f>'Hoja 4 - Cálculo'!H121</f>
        <v>11.761875</v>
      </c>
      <c r="H1540" s="15">
        <f>IF(D1540="Uso único",'Hoja 4 - Cálculo'!I121,IF(D1540="Uso múltiple",AVERAGE('Hoja 4 - Cálculo'!$I$25:$I$384)+AVERAGE('Hoja 4 - Cálculo'!$J$25:$J$384)+AVERAGE('Hoja 4 - Cálculo'!$K$25:$K$384),IF(D1540="Uso prioritario",'Hoja 4 - Cálculo'!I121+'Hoja 4 - Cálculo'!K121,'Hoja 4 - Cálculo'!I121+'Hoja 4 - Cálculo'!J121+'Hoja 4 - Cálculo'!K121)))</f>
        <v>16</v>
      </c>
      <c r="I1540" s="15">
        <f t="shared" ref="I1540:I1603" si="349">H1540*C1540</f>
        <v>12</v>
      </c>
      <c r="J1540" s="15">
        <f t="shared" si="345"/>
        <v>10</v>
      </c>
      <c r="K1540" s="15">
        <f>MIN(J1540+G1540,(J1540+G1540)*'Hoja 4 - Cálculo'!$B$15)</f>
        <v>0.4352375</v>
      </c>
      <c r="L1540" s="15">
        <f t="shared" ref="L1540:L1603" si="350">MAX(0,J1540+G1540-K1540)</f>
        <v>21.3266375</v>
      </c>
      <c r="M1540" s="15">
        <f t="shared" ref="M1540:M1603" si="351">MIN(I1540,L1540)</f>
        <v>12</v>
      </c>
      <c r="N1540" s="15">
        <f t="shared" ref="N1540:N1603" si="352">MIN(B1540,MAX(0,L1540-M1540))</f>
        <v>9.3266375000000004</v>
      </c>
      <c r="O1540" s="15">
        <f t="shared" ref="O1540:O1603" si="353">MAX(0,L1540-M1540-B1540)</f>
        <v>0</v>
      </c>
      <c r="P1540" s="15">
        <f t="shared" ref="P1540:P1603" si="354">MAX(0,I1540-M1540)</f>
        <v>0</v>
      </c>
      <c r="Q1540" s="14" t="str">
        <f>IF(M1540&gt;=I1540*'Hoja 4 - Cálculo'!$B$16,"Satisfactorio","Falla")</f>
        <v>Satisfactorio</v>
      </c>
      <c r="R1540" s="14">
        <f t="shared" si="346"/>
        <v>0</v>
      </c>
      <c r="S1540" s="14">
        <f t="shared" si="347"/>
        <v>0</v>
      </c>
    </row>
    <row r="1541" spans="1:19">
      <c r="A1541" s="14" t="str">
        <f t="shared" si="348"/>
        <v>SRY-5-1</v>
      </c>
      <c r="B1541" s="15">
        <f>'Curvas SRY'!$B$12</f>
        <v>10</v>
      </c>
      <c r="C1541" s="15">
        <f>'Curvas SRY'!$E$8</f>
        <v>0.75</v>
      </c>
      <c r="D1541" s="14" t="str">
        <f>'Curvas SRY'!$B$14</f>
        <v>Uso variable</v>
      </c>
      <c r="E1541" s="14">
        <f>98</f>
        <v>98</v>
      </c>
      <c r="F1541" s="21">
        <f>'Hoja 4 - Cálculo'!A122</f>
        <v>32540</v>
      </c>
      <c r="G1541" s="15">
        <f>'Hoja 4 - Cálculo'!H122</f>
        <v>12.43125</v>
      </c>
      <c r="H1541" s="15">
        <f>IF(D1541="Uso único",'Hoja 4 - Cálculo'!I122,IF(D1541="Uso múltiple",AVERAGE('Hoja 4 - Cálculo'!$I$25:$I$384)+AVERAGE('Hoja 4 - Cálculo'!$J$25:$J$384)+AVERAGE('Hoja 4 - Cálculo'!$K$25:$K$384),IF(D1541="Uso prioritario",'Hoja 4 - Cálculo'!I122+'Hoja 4 - Cálculo'!K122,'Hoja 4 - Cálculo'!I122+'Hoja 4 - Cálculo'!J122+'Hoja 4 - Cálculo'!K122)))</f>
        <v>16</v>
      </c>
      <c r="I1541" s="15">
        <f t="shared" si="349"/>
        <v>12</v>
      </c>
      <c r="J1541" s="15">
        <f t="shared" ref="J1541:J1563" si="355">N1540</f>
        <v>9.3266375000000004</v>
      </c>
      <c r="K1541" s="15">
        <f>MIN(J1541+G1541,(J1541+G1541)*'Hoja 4 - Cálculo'!$B$15)</f>
        <v>0.43515775000000007</v>
      </c>
      <c r="L1541" s="15">
        <f t="shared" si="350"/>
        <v>21.322729750000004</v>
      </c>
      <c r="M1541" s="15">
        <f t="shared" si="351"/>
        <v>12</v>
      </c>
      <c r="N1541" s="15">
        <f t="shared" si="352"/>
        <v>9.3227297500000041</v>
      </c>
      <c r="O1541" s="15">
        <f t="shared" si="353"/>
        <v>0</v>
      </c>
      <c r="P1541" s="15">
        <f t="shared" si="354"/>
        <v>0</v>
      </c>
      <c r="Q1541" s="14" t="str">
        <f>IF(M1541&gt;=I1541*'Hoja 4 - Cálculo'!$B$16,"Satisfactorio","Falla")</f>
        <v>Satisfactorio</v>
      </c>
      <c r="R1541" s="14">
        <f t="shared" ref="R1541:R1572" si="356">IF(AND(Q1540="Falla",Q1541="Satisfactorio"),1,0)</f>
        <v>0</v>
      </c>
      <c r="S1541" s="14">
        <f t="shared" ref="S1541:S1563" si="357">IF(AND(Q1541="Falla",Q1540&lt;&gt;"Falla"),1,0)</f>
        <v>0</v>
      </c>
    </row>
    <row r="1542" spans="1:19">
      <c r="A1542" s="14" t="str">
        <f t="shared" si="348"/>
        <v>SRY-5-1</v>
      </c>
      <c r="B1542" s="15">
        <f>'Curvas SRY'!$B$12</f>
        <v>10</v>
      </c>
      <c r="C1542" s="15">
        <f>'Curvas SRY'!$E$8</f>
        <v>0.75</v>
      </c>
      <c r="D1542" s="14" t="str">
        <f>'Curvas SRY'!$B$14</f>
        <v>Uso variable</v>
      </c>
      <c r="E1542" s="14">
        <f>99</f>
        <v>99</v>
      </c>
      <c r="F1542" s="21">
        <f>'Hoja 4 - Cálculo'!A123</f>
        <v>32568</v>
      </c>
      <c r="G1542" s="15">
        <f>'Hoja 4 - Cálculo'!H123</f>
        <v>19.717874999999999</v>
      </c>
      <c r="H1542" s="15">
        <f>IF(D1542="Uso único",'Hoja 4 - Cálculo'!I123,IF(D1542="Uso múltiple",AVERAGE('Hoja 4 - Cálculo'!$I$25:$I$384)+AVERAGE('Hoja 4 - Cálculo'!$J$25:$J$384)+AVERAGE('Hoja 4 - Cálculo'!$K$25:$K$384),IF(D1542="Uso prioritario",'Hoja 4 - Cálculo'!I123+'Hoja 4 - Cálculo'!K123,'Hoja 4 - Cálculo'!I123+'Hoja 4 - Cálculo'!J123+'Hoja 4 - Cálculo'!K123)))</f>
        <v>16</v>
      </c>
      <c r="I1542" s="15">
        <f t="shared" si="349"/>
        <v>12</v>
      </c>
      <c r="J1542" s="15">
        <f t="shared" si="355"/>
        <v>9.3227297500000041</v>
      </c>
      <c r="K1542" s="15">
        <f>MIN(J1542+G1542,(J1542+G1542)*'Hoja 4 - Cálculo'!$B$15)</f>
        <v>0.58081209500000008</v>
      </c>
      <c r="L1542" s="15">
        <f t="shared" si="350"/>
        <v>28.459792655000005</v>
      </c>
      <c r="M1542" s="15">
        <f t="shared" si="351"/>
        <v>12</v>
      </c>
      <c r="N1542" s="15">
        <f t="shared" si="352"/>
        <v>10</v>
      </c>
      <c r="O1542" s="15">
        <f t="shared" si="353"/>
        <v>6.4597926550000047</v>
      </c>
      <c r="P1542" s="15">
        <f t="shared" si="354"/>
        <v>0</v>
      </c>
      <c r="Q1542" s="14" t="str">
        <f>IF(M1542&gt;=I1542*'Hoja 4 - Cálculo'!$B$16,"Satisfactorio","Falla")</f>
        <v>Satisfactorio</v>
      </c>
      <c r="R1542" s="14">
        <f t="shared" si="356"/>
        <v>0</v>
      </c>
      <c r="S1542" s="14">
        <f t="shared" si="357"/>
        <v>0</v>
      </c>
    </row>
    <row r="1543" spans="1:19">
      <c r="A1543" s="14" t="str">
        <f t="shared" si="348"/>
        <v>SRY-5-1</v>
      </c>
      <c r="B1543" s="15">
        <f>'Curvas SRY'!$B$12</f>
        <v>10</v>
      </c>
      <c r="C1543" s="15">
        <f>'Curvas SRY'!$E$8</f>
        <v>0.75</v>
      </c>
      <c r="D1543" s="14" t="str">
        <f>'Curvas SRY'!$B$14</f>
        <v>Uso variable</v>
      </c>
      <c r="E1543" s="14">
        <f>100</f>
        <v>100</v>
      </c>
      <c r="F1543" s="21">
        <f>'Hoja 4 - Cálculo'!A124</f>
        <v>32599</v>
      </c>
      <c r="G1543" s="15">
        <f>'Hoja 4 - Cálculo'!H124</f>
        <v>26.029125000000001</v>
      </c>
      <c r="H1543" s="15">
        <f>IF(D1543="Uso único",'Hoja 4 - Cálculo'!I124,IF(D1543="Uso múltiple",AVERAGE('Hoja 4 - Cálculo'!$I$25:$I$384)+AVERAGE('Hoja 4 - Cálculo'!$J$25:$J$384)+AVERAGE('Hoja 4 - Cálculo'!$K$25:$K$384),IF(D1543="Uso prioritario",'Hoja 4 - Cálculo'!I124+'Hoja 4 - Cálculo'!K124,'Hoja 4 - Cálculo'!I124+'Hoja 4 - Cálculo'!J124+'Hoja 4 - Cálculo'!K124)))</f>
        <v>11.5</v>
      </c>
      <c r="I1543" s="15">
        <f t="shared" si="349"/>
        <v>8.625</v>
      </c>
      <c r="J1543" s="15">
        <f t="shared" si="355"/>
        <v>10</v>
      </c>
      <c r="K1543" s="15">
        <f>MIN(J1543+G1543,(J1543+G1543)*'Hoja 4 - Cálculo'!$B$15)</f>
        <v>0.72058250000000001</v>
      </c>
      <c r="L1543" s="15">
        <f t="shared" si="350"/>
        <v>35.308542500000001</v>
      </c>
      <c r="M1543" s="15">
        <f t="shared" si="351"/>
        <v>8.625</v>
      </c>
      <c r="N1543" s="15">
        <f t="shared" si="352"/>
        <v>10</v>
      </c>
      <c r="O1543" s="15">
        <f t="shared" si="353"/>
        <v>16.683542500000001</v>
      </c>
      <c r="P1543" s="15">
        <f t="shared" si="354"/>
        <v>0</v>
      </c>
      <c r="Q1543" s="14" t="str">
        <f>IF(M1543&gt;=I1543*'Hoja 4 - Cálculo'!$B$16,"Satisfactorio","Falla")</f>
        <v>Satisfactorio</v>
      </c>
      <c r="R1543" s="14">
        <f t="shared" si="356"/>
        <v>0</v>
      </c>
      <c r="S1543" s="14">
        <f t="shared" si="357"/>
        <v>0</v>
      </c>
    </row>
    <row r="1544" spans="1:19">
      <c r="A1544" s="14" t="str">
        <f t="shared" si="348"/>
        <v>SRY-5-1</v>
      </c>
      <c r="B1544" s="15">
        <f>'Curvas SRY'!$B$12</f>
        <v>10</v>
      </c>
      <c r="C1544" s="15">
        <f>'Curvas SRY'!$E$8</f>
        <v>0.75</v>
      </c>
      <c r="D1544" s="14" t="str">
        <f>'Curvas SRY'!$B$14</f>
        <v>Uso variable</v>
      </c>
      <c r="E1544" s="14">
        <f>101</f>
        <v>101</v>
      </c>
      <c r="F1544" s="21">
        <f>'Hoja 4 - Cálculo'!A125</f>
        <v>32629</v>
      </c>
      <c r="G1544" s="15">
        <f>'Hoja 4 - Cálculo'!H125</f>
        <v>24.728625000000005</v>
      </c>
      <c r="H1544" s="15">
        <f>IF(D1544="Uso único",'Hoja 4 - Cálculo'!I125,IF(D1544="Uso múltiple",AVERAGE('Hoja 4 - Cálculo'!$I$25:$I$384)+AVERAGE('Hoja 4 - Cálculo'!$J$25:$J$384)+AVERAGE('Hoja 4 - Cálculo'!$K$25:$K$384),IF(D1544="Uso prioritario",'Hoja 4 - Cálculo'!I125+'Hoja 4 - Cálculo'!K125,'Hoja 4 - Cálculo'!I125+'Hoja 4 - Cálculo'!J125+'Hoja 4 - Cálculo'!K125)))</f>
        <v>11.5</v>
      </c>
      <c r="I1544" s="15">
        <f t="shared" si="349"/>
        <v>8.625</v>
      </c>
      <c r="J1544" s="15">
        <f t="shared" si="355"/>
        <v>10</v>
      </c>
      <c r="K1544" s="15">
        <f>MIN(J1544+G1544,(J1544+G1544)*'Hoja 4 - Cálculo'!$B$15)</f>
        <v>0.69457250000000015</v>
      </c>
      <c r="L1544" s="15">
        <f t="shared" si="350"/>
        <v>34.034052500000008</v>
      </c>
      <c r="M1544" s="15">
        <f t="shared" si="351"/>
        <v>8.625</v>
      </c>
      <c r="N1544" s="15">
        <f t="shared" si="352"/>
        <v>10</v>
      </c>
      <c r="O1544" s="15">
        <f t="shared" si="353"/>
        <v>15.409052500000008</v>
      </c>
      <c r="P1544" s="15">
        <f t="shared" si="354"/>
        <v>0</v>
      </c>
      <c r="Q1544" s="14" t="str">
        <f>IF(M1544&gt;=I1544*'Hoja 4 - Cálculo'!$B$16,"Satisfactorio","Falla")</f>
        <v>Satisfactorio</v>
      </c>
      <c r="R1544" s="14">
        <f t="shared" si="356"/>
        <v>0</v>
      </c>
      <c r="S1544" s="14">
        <f t="shared" si="357"/>
        <v>0</v>
      </c>
    </row>
    <row r="1545" spans="1:19">
      <c r="A1545" s="14" t="str">
        <f t="shared" si="348"/>
        <v>SRY-5-1</v>
      </c>
      <c r="B1545" s="15">
        <f>'Curvas SRY'!$B$12</f>
        <v>10</v>
      </c>
      <c r="C1545" s="15">
        <f>'Curvas SRY'!$E$8</f>
        <v>0.75</v>
      </c>
      <c r="D1545" s="14" t="str">
        <f>'Curvas SRY'!$B$14</f>
        <v>Uso variable</v>
      </c>
      <c r="E1545" s="14">
        <f>102</f>
        <v>102</v>
      </c>
      <c r="F1545" s="21">
        <f>'Hoja 4 - Cálculo'!A126</f>
        <v>32660</v>
      </c>
      <c r="G1545" s="15">
        <f>'Hoja 4 - Cálculo'!H126</f>
        <v>14.515874999999999</v>
      </c>
      <c r="H1545" s="15">
        <f>IF(D1545="Uso único",'Hoja 4 - Cálculo'!I126,IF(D1545="Uso múltiple",AVERAGE('Hoja 4 - Cálculo'!$I$25:$I$384)+AVERAGE('Hoja 4 - Cálculo'!$J$25:$J$384)+AVERAGE('Hoja 4 - Cálculo'!$K$25:$K$384),IF(D1545="Uso prioritario",'Hoja 4 - Cálculo'!I126+'Hoja 4 - Cálculo'!K126,'Hoja 4 - Cálculo'!I126+'Hoja 4 - Cálculo'!J126+'Hoja 4 - Cálculo'!K126)))</f>
        <v>11.5</v>
      </c>
      <c r="I1545" s="15">
        <f t="shared" si="349"/>
        <v>8.625</v>
      </c>
      <c r="J1545" s="15">
        <f t="shared" si="355"/>
        <v>10</v>
      </c>
      <c r="K1545" s="15">
        <f>MIN(J1545+G1545,(J1545+G1545)*'Hoja 4 - Cálculo'!$B$15)</f>
        <v>0.49031750000000002</v>
      </c>
      <c r="L1545" s="15">
        <f t="shared" si="350"/>
        <v>24.025557500000001</v>
      </c>
      <c r="M1545" s="15">
        <f t="shared" si="351"/>
        <v>8.625</v>
      </c>
      <c r="N1545" s="15">
        <f t="shared" si="352"/>
        <v>10</v>
      </c>
      <c r="O1545" s="15">
        <f t="shared" si="353"/>
        <v>5.4005575000000015</v>
      </c>
      <c r="P1545" s="15">
        <f t="shared" si="354"/>
        <v>0</v>
      </c>
      <c r="Q1545" s="14" t="str">
        <f>IF(M1545&gt;=I1545*'Hoja 4 - Cálculo'!$B$16,"Satisfactorio","Falla")</f>
        <v>Satisfactorio</v>
      </c>
      <c r="R1545" s="14">
        <f t="shared" si="356"/>
        <v>0</v>
      </c>
      <c r="S1545" s="14">
        <f t="shared" si="357"/>
        <v>0</v>
      </c>
    </row>
    <row r="1546" spans="1:19">
      <c r="A1546" s="14" t="str">
        <f t="shared" si="348"/>
        <v>SRY-5-1</v>
      </c>
      <c r="B1546" s="15">
        <f>'Curvas SRY'!$B$12</f>
        <v>10</v>
      </c>
      <c r="C1546" s="15">
        <f>'Curvas SRY'!$E$8</f>
        <v>0.75</v>
      </c>
      <c r="D1546" s="14" t="str">
        <f>'Curvas SRY'!$B$14</f>
        <v>Uso variable</v>
      </c>
      <c r="E1546" s="14">
        <f>103</f>
        <v>103</v>
      </c>
      <c r="F1546" s="21">
        <f>'Hoja 4 - Cálculo'!A127</f>
        <v>32690</v>
      </c>
      <c r="G1546" s="15">
        <f>'Hoja 4 - Cálculo'!H127</f>
        <v>12.144375</v>
      </c>
      <c r="H1546" s="15">
        <f>IF(D1546="Uso único",'Hoja 4 - Cálculo'!I127,IF(D1546="Uso múltiple",AVERAGE('Hoja 4 - Cálculo'!$I$25:$I$384)+AVERAGE('Hoja 4 - Cálculo'!$J$25:$J$384)+AVERAGE('Hoja 4 - Cálculo'!$K$25:$K$384),IF(D1546="Uso prioritario",'Hoja 4 - Cálculo'!I127+'Hoja 4 - Cálculo'!K127,'Hoja 4 - Cálculo'!I127+'Hoja 4 - Cálculo'!J127+'Hoja 4 - Cálculo'!K127)))</f>
        <v>16</v>
      </c>
      <c r="I1546" s="15">
        <f t="shared" si="349"/>
        <v>12</v>
      </c>
      <c r="J1546" s="15">
        <f t="shared" si="355"/>
        <v>10</v>
      </c>
      <c r="K1546" s="15">
        <f>MIN(J1546+G1546,(J1546+G1546)*'Hoja 4 - Cálculo'!$B$15)</f>
        <v>0.44288749999999999</v>
      </c>
      <c r="L1546" s="15">
        <f t="shared" si="350"/>
        <v>21.701487499999999</v>
      </c>
      <c r="M1546" s="15">
        <f t="shared" si="351"/>
        <v>12</v>
      </c>
      <c r="N1546" s="15">
        <f t="shared" si="352"/>
        <v>9.7014874999999989</v>
      </c>
      <c r="O1546" s="15">
        <f t="shared" si="353"/>
        <v>0</v>
      </c>
      <c r="P1546" s="15">
        <f t="shared" si="354"/>
        <v>0</v>
      </c>
      <c r="Q1546" s="14" t="str">
        <f>IF(M1546&gt;=I1546*'Hoja 4 - Cálculo'!$B$16,"Satisfactorio","Falla")</f>
        <v>Satisfactorio</v>
      </c>
      <c r="R1546" s="14">
        <f t="shared" si="356"/>
        <v>0</v>
      </c>
      <c r="S1546" s="14">
        <f t="shared" si="357"/>
        <v>0</v>
      </c>
    </row>
    <row r="1547" spans="1:19">
      <c r="A1547" s="14" t="str">
        <f t="shared" si="348"/>
        <v>SRY-5-1</v>
      </c>
      <c r="B1547" s="15">
        <f>'Curvas SRY'!$B$12</f>
        <v>10</v>
      </c>
      <c r="C1547" s="15">
        <f>'Curvas SRY'!$E$8</f>
        <v>0.75</v>
      </c>
      <c r="D1547" s="14" t="str">
        <f>'Curvas SRY'!$B$14</f>
        <v>Uso variable</v>
      </c>
      <c r="E1547" s="14">
        <f>104</f>
        <v>104</v>
      </c>
      <c r="F1547" s="21">
        <f>'Hoja 4 - Cálculo'!A128</f>
        <v>32721</v>
      </c>
      <c r="G1547" s="15">
        <f>'Hoja 4 - Cálculo'!H128</f>
        <v>13.04325</v>
      </c>
      <c r="H1547" s="15">
        <f>IF(D1547="Uso único",'Hoja 4 - Cálculo'!I128,IF(D1547="Uso múltiple",AVERAGE('Hoja 4 - Cálculo'!$I$25:$I$384)+AVERAGE('Hoja 4 - Cálculo'!$J$25:$J$384)+AVERAGE('Hoja 4 - Cálculo'!$K$25:$K$384),IF(D1547="Uso prioritario",'Hoja 4 - Cálculo'!I128+'Hoja 4 - Cálculo'!K128,'Hoja 4 - Cálculo'!I128+'Hoja 4 - Cálculo'!J128+'Hoja 4 - Cálculo'!K128)))</f>
        <v>16</v>
      </c>
      <c r="I1547" s="15">
        <f t="shared" si="349"/>
        <v>12</v>
      </c>
      <c r="J1547" s="15">
        <f t="shared" si="355"/>
        <v>9.7014874999999989</v>
      </c>
      <c r="K1547" s="15">
        <f>MIN(J1547+G1547,(J1547+G1547)*'Hoja 4 - Cálculo'!$B$15)</f>
        <v>0.45489475000000001</v>
      </c>
      <c r="L1547" s="15">
        <f t="shared" si="350"/>
        <v>22.289842749999998</v>
      </c>
      <c r="M1547" s="15">
        <f t="shared" si="351"/>
        <v>12</v>
      </c>
      <c r="N1547" s="15">
        <f t="shared" si="352"/>
        <v>10</v>
      </c>
      <c r="O1547" s="15">
        <f t="shared" si="353"/>
        <v>0.28984274999999826</v>
      </c>
      <c r="P1547" s="15">
        <f t="shared" si="354"/>
        <v>0</v>
      </c>
      <c r="Q1547" s="14" t="str">
        <f>IF(M1547&gt;=I1547*'Hoja 4 - Cálculo'!$B$16,"Satisfactorio","Falla")</f>
        <v>Satisfactorio</v>
      </c>
      <c r="R1547" s="14">
        <f t="shared" si="356"/>
        <v>0</v>
      </c>
      <c r="S1547" s="14">
        <f t="shared" si="357"/>
        <v>0</v>
      </c>
    </row>
    <row r="1548" spans="1:19">
      <c r="A1548" s="14" t="str">
        <f t="shared" si="348"/>
        <v>SRY-5-1</v>
      </c>
      <c r="B1548" s="15">
        <f>'Curvas SRY'!$B$12</f>
        <v>10</v>
      </c>
      <c r="C1548" s="15">
        <f>'Curvas SRY'!$E$8</f>
        <v>0.75</v>
      </c>
      <c r="D1548" s="14" t="str">
        <f>'Curvas SRY'!$B$14</f>
        <v>Uso variable</v>
      </c>
      <c r="E1548" s="14">
        <f>105</f>
        <v>105</v>
      </c>
      <c r="F1548" s="21">
        <f>'Hoja 4 - Cálculo'!A129</f>
        <v>32752</v>
      </c>
      <c r="G1548" s="15">
        <f>'Hoja 4 - Cálculo'!H129</f>
        <v>20.444624999999998</v>
      </c>
      <c r="H1548" s="15">
        <f>IF(D1548="Uso único",'Hoja 4 - Cálculo'!I129,IF(D1548="Uso múltiple",AVERAGE('Hoja 4 - Cálculo'!$I$25:$I$384)+AVERAGE('Hoja 4 - Cálculo'!$J$25:$J$384)+AVERAGE('Hoja 4 - Cálculo'!$K$25:$K$384),IF(D1548="Uso prioritario",'Hoja 4 - Cálculo'!I129+'Hoja 4 - Cálculo'!K129,'Hoja 4 - Cálculo'!I129+'Hoja 4 - Cálculo'!J129+'Hoja 4 - Cálculo'!K129)))</f>
        <v>11.5</v>
      </c>
      <c r="I1548" s="15">
        <f t="shared" si="349"/>
        <v>8.625</v>
      </c>
      <c r="J1548" s="15">
        <f t="shared" si="355"/>
        <v>10</v>
      </c>
      <c r="K1548" s="15">
        <f>MIN(J1548+G1548,(J1548+G1548)*'Hoja 4 - Cálculo'!$B$15)</f>
        <v>0.60889249999999995</v>
      </c>
      <c r="L1548" s="15">
        <f t="shared" si="350"/>
        <v>29.835732499999999</v>
      </c>
      <c r="M1548" s="15">
        <f t="shared" si="351"/>
        <v>8.625</v>
      </c>
      <c r="N1548" s="15">
        <f t="shared" si="352"/>
        <v>10</v>
      </c>
      <c r="O1548" s="15">
        <f t="shared" si="353"/>
        <v>11.210732499999999</v>
      </c>
      <c r="P1548" s="15">
        <f t="shared" si="354"/>
        <v>0</v>
      </c>
      <c r="Q1548" s="14" t="str">
        <f>IF(M1548&gt;=I1548*'Hoja 4 - Cálculo'!$B$16,"Satisfactorio","Falla")</f>
        <v>Satisfactorio</v>
      </c>
      <c r="R1548" s="14">
        <f t="shared" si="356"/>
        <v>0</v>
      </c>
      <c r="S1548" s="14">
        <f t="shared" si="357"/>
        <v>0</v>
      </c>
    </row>
    <row r="1549" spans="1:19">
      <c r="A1549" s="14" t="str">
        <f t="shared" si="348"/>
        <v>SRY-5-1</v>
      </c>
      <c r="B1549" s="15">
        <f>'Curvas SRY'!$B$12</f>
        <v>10</v>
      </c>
      <c r="C1549" s="15">
        <f>'Curvas SRY'!$E$8</f>
        <v>0.75</v>
      </c>
      <c r="D1549" s="14" t="str">
        <f>'Curvas SRY'!$B$14</f>
        <v>Uso variable</v>
      </c>
      <c r="E1549" s="14">
        <f>106</f>
        <v>106</v>
      </c>
      <c r="F1549" s="21">
        <f>'Hoja 4 - Cálculo'!A130</f>
        <v>32782</v>
      </c>
      <c r="G1549" s="15">
        <f>'Hoja 4 - Cálculo'!H130</f>
        <v>28.343250000000001</v>
      </c>
      <c r="H1549" s="15">
        <f>IF(D1549="Uso único",'Hoja 4 - Cálculo'!I130,IF(D1549="Uso múltiple",AVERAGE('Hoja 4 - Cálculo'!$I$25:$I$384)+AVERAGE('Hoja 4 - Cálculo'!$J$25:$J$384)+AVERAGE('Hoja 4 - Cálculo'!$K$25:$K$384),IF(D1549="Uso prioritario",'Hoja 4 - Cálculo'!I130+'Hoja 4 - Cálculo'!K130,'Hoja 4 - Cálculo'!I130+'Hoja 4 - Cálculo'!J130+'Hoja 4 - Cálculo'!K130)))</f>
        <v>11.5</v>
      </c>
      <c r="I1549" s="15">
        <f t="shared" si="349"/>
        <v>8.625</v>
      </c>
      <c r="J1549" s="15">
        <f t="shared" si="355"/>
        <v>10</v>
      </c>
      <c r="K1549" s="15">
        <f>MIN(J1549+G1549,(J1549+G1549)*'Hoja 4 - Cálculo'!$B$15)</f>
        <v>0.76686500000000002</v>
      </c>
      <c r="L1549" s="15">
        <f t="shared" si="350"/>
        <v>37.576384999999995</v>
      </c>
      <c r="M1549" s="15">
        <f t="shared" si="351"/>
        <v>8.625</v>
      </c>
      <c r="N1549" s="15">
        <f t="shared" si="352"/>
        <v>10</v>
      </c>
      <c r="O1549" s="15">
        <f t="shared" si="353"/>
        <v>18.951384999999995</v>
      </c>
      <c r="P1549" s="15">
        <f t="shared" si="354"/>
        <v>0</v>
      </c>
      <c r="Q1549" s="14" t="str">
        <f>IF(M1549&gt;=I1549*'Hoja 4 - Cálculo'!$B$16,"Satisfactorio","Falla")</f>
        <v>Satisfactorio</v>
      </c>
      <c r="R1549" s="14">
        <f t="shared" si="356"/>
        <v>0</v>
      </c>
      <c r="S1549" s="14">
        <f t="shared" si="357"/>
        <v>0</v>
      </c>
    </row>
    <row r="1550" spans="1:19">
      <c r="A1550" s="14" t="str">
        <f t="shared" si="348"/>
        <v>SRY-5-1</v>
      </c>
      <c r="B1550" s="15">
        <f>'Curvas SRY'!$B$12</f>
        <v>10</v>
      </c>
      <c r="C1550" s="15">
        <f>'Curvas SRY'!$E$8</f>
        <v>0.75</v>
      </c>
      <c r="D1550" s="14" t="str">
        <f>'Curvas SRY'!$B$14</f>
        <v>Uso variable</v>
      </c>
      <c r="E1550" s="14">
        <f>107</f>
        <v>107</v>
      </c>
      <c r="F1550" s="21">
        <f>'Hoja 4 - Cálculo'!A131</f>
        <v>32813</v>
      </c>
      <c r="G1550" s="15">
        <f>'Hoja 4 - Cálculo'!H131</f>
        <v>22.60575</v>
      </c>
      <c r="H1550" s="15">
        <f>IF(D1550="Uso único",'Hoja 4 - Cálculo'!I131,IF(D1550="Uso múltiple",AVERAGE('Hoja 4 - Cálculo'!$I$25:$I$384)+AVERAGE('Hoja 4 - Cálculo'!$J$25:$J$384)+AVERAGE('Hoja 4 - Cálculo'!$K$25:$K$384),IF(D1550="Uso prioritario",'Hoja 4 - Cálculo'!I131+'Hoja 4 - Cálculo'!K131,'Hoja 4 - Cálculo'!I131+'Hoja 4 - Cálculo'!J131+'Hoja 4 - Cálculo'!K131)))</f>
        <v>11.5</v>
      </c>
      <c r="I1550" s="15">
        <f t="shared" si="349"/>
        <v>8.625</v>
      </c>
      <c r="J1550" s="15">
        <f t="shared" si="355"/>
        <v>10</v>
      </c>
      <c r="K1550" s="15">
        <f>MIN(J1550+G1550,(J1550+G1550)*'Hoja 4 - Cálculo'!$B$15)</f>
        <v>0.652115</v>
      </c>
      <c r="L1550" s="15">
        <f t="shared" si="350"/>
        <v>31.953635000000002</v>
      </c>
      <c r="M1550" s="15">
        <f t="shared" si="351"/>
        <v>8.625</v>
      </c>
      <c r="N1550" s="15">
        <f t="shared" si="352"/>
        <v>10</v>
      </c>
      <c r="O1550" s="15">
        <f t="shared" si="353"/>
        <v>13.328635000000002</v>
      </c>
      <c r="P1550" s="15">
        <f t="shared" si="354"/>
        <v>0</v>
      </c>
      <c r="Q1550" s="14" t="str">
        <f>IF(M1550&gt;=I1550*'Hoja 4 - Cálculo'!$B$16,"Satisfactorio","Falla")</f>
        <v>Satisfactorio</v>
      </c>
      <c r="R1550" s="14">
        <f t="shared" si="356"/>
        <v>0</v>
      </c>
      <c r="S1550" s="14">
        <f t="shared" si="357"/>
        <v>0</v>
      </c>
    </row>
    <row r="1551" spans="1:19">
      <c r="A1551" s="14" t="str">
        <f t="shared" si="348"/>
        <v>SRY-5-1</v>
      </c>
      <c r="B1551" s="15">
        <f>'Curvas SRY'!$B$12</f>
        <v>10</v>
      </c>
      <c r="C1551" s="15">
        <f>'Curvas SRY'!$E$8</f>
        <v>0.75</v>
      </c>
      <c r="D1551" s="14" t="str">
        <f>'Curvas SRY'!$B$14</f>
        <v>Uso variable</v>
      </c>
      <c r="E1551" s="14">
        <f>108</f>
        <v>108</v>
      </c>
      <c r="F1551" s="21">
        <f>'Hoja 4 - Cálculo'!A132</f>
        <v>32843</v>
      </c>
      <c r="G1551" s="15">
        <f>'Hoja 4 - Cálculo'!H132</f>
        <v>14.362875000000001</v>
      </c>
      <c r="H1551" s="15">
        <f>IF(D1551="Uso único",'Hoja 4 - Cálculo'!I132,IF(D1551="Uso múltiple",AVERAGE('Hoja 4 - Cálculo'!$I$25:$I$384)+AVERAGE('Hoja 4 - Cálculo'!$J$25:$J$384)+AVERAGE('Hoja 4 - Cálculo'!$K$25:$K$384),IF(D1551="Uso prioritario",'Hoja 4 - Cálculo'!I132+'Hoja 4 - Cálculo'!K132,'Hoja 4 - Cálculo'!I132+'Hoja 4 - Cálculo'!J132+'Hoja 4 - Cálculo'!K132)))</f>
        <v>16</v>
      </c>
      <c r="I1551" s="15">
        <f t="shared" si="349"/>
        <v>12</v>
      </c>
      <c r="J1551" s="15">
        <f t="shared" si="355"/>
        <v>10</v>
      </c>
      <c r="K1551" s="15">
        <f>MIN(J1551+G1551,(J1551+G1551)*'Hoja 4 - Cálculo'!$B$15)</f>
        <v>0.48725750000000007</v>
      </c>
      <c r="L1551" s="15">
        <f t="shared" si="350"/>
        <v>23.875617500000004</v>
      </c>
      <c r="M1551" s="15">
        <f t="shared" si="351"/>
        <v>12</v>
      </c>
      <c r="N1551" s="15">
        <f t="shared" si="352"/>
        <v>10</v>
      </c>
      <c r="O1551" s="15">
        <f t="shared" si="353"/>
        <v>1.8756175000000042</v>
      </c>
      <c r="P1551" s="15">
        <f t="shared" si="354"/>
        <v>0</v>
      </c>
      <c r="Q1551" s="14" t="str">
        <f>IF(M1551&gt;=I1551*'Hoja 4 - Cálculo'!$B$16,"Satisfactorio","Falla")</f>
        <v>Satisfactorio</v>
      </c>
      <c r="R1551" s="14">
        <f t="shared" si="356"/>
        <v>0</v>
      </c>
      <c r="S1551" s="14">
        <f t="shared" si="357"/>
        <v>0</v>
      </c>
    </row>
    <row r="1552" spans="1:19">
      <c r="A1552" s="14" t="str">
        <f t="shared" si="348"/>
        <v>SRY-5-1</v>
      </c>
      <c r="B1552" s="15">
        <f>'Curvas SRY'!$B$12</f>
        <v>10</v>
      </c>
      <c r="C1552" s="15">
        <f>'Curvas SRY'!$E$8</f>
        <v>0.75</v>
      </c>
      <c r="D1552" s="14" t="str">
        <f>'Curvas SRY'!$B$14</f>
        <v>Uso variable</v>
      </c>
      <c r="E1552" s="14">
        <f>109</f>
        <v>109</v>
      </c>
      <c r="F1552" s="21">
        <f>'Hoja 4 - Cálculo'!A133</f>
        <v>32874</v>
      </c>
      <c r="G1552" s="15">
        <f>'Hoja 4 - Cálculo'!H133</f>
        <v>11.723625</v>
      </c>
      <c r="H1552" s="15">
        <f>IF(D1552="Uso único",'Hoja 4 - Cálculo'!I133,IF(D1552="Uso múltiple",AVERAGE('Hoja 4 - Cálculo'!$I$25:$I$384)+AVERAGE('Hoja 4 - Cálculo'!$J$25:$J$384)+AVERAGE('Hoja 4 - Cálculo'!$K$25:$K$384),IF(D1552="Uso prioritario",'Hoja 4 - Cálculo'!I133+'Hoja 4 - Cálculo'!K133,'Hoja 4 - Cálculo'!I133+'Hoja 4 - Cálculo'!J133+'Hoja 4 - Cálculo'!K133)))</f>
        <v>16</v>
      </c>
      <c r="I1552" s="15">
        <f t="shared" si="349"/>
        <v>12</v>
      </c>
      <c r="J1552" s="15">
        <f t="shared" si="355"/>
        <v>10</v>
      </c>
      <c r="K1552" s="15">
        <f>MIN(J1552+G1552,(J1552+G1552)*'Hoja 4 - Cálculo'!$B$15)</f>
        <v>0.43447249999999998</v>
      </c>
      <c r="L1552" s="15">
        <f t="shared" si="350"/>
        <v>21.2891525</v>
      </c>
      <c r="M1552" s="15">
        <f t="shared" si="351"/>
        <v>12</v>
      </c>
      <c r="N1552" s="15">
        <f t="shared" si="352"/>
        <v>9.2891525000000001</v>
      </c>
      <c r="O1552" s="15">
        <f t="shared" si="353"/>
        <v>0</v>
      </c>
      <c r="P1552" s="15">
        <f t="shared" si="354"/>
        <v>0</v>
      </c>
      <c r="Q1552" s="14" t="str">
        <f>IF(M1552&gt;=I1552*'Hoja 4 - Cálculo'!$B$16,"Satisfactorio","Falla")</f>
        <v>Satisfactorio</v>
      </c>
      <c r="R1552" s="14">
        <f t="shared" si="356"/>
        <v>0</v>
      </c>
      <c r="S1552" s="14">
        <f t="shared" si="357"/>
        <v>0</v>
      </c>
    </row>
    <row r="1553" spans="1:19">
      <c r="A1553" s="14" t="str">
        <f t="shared" si="348"/>
        <v>SRY-5-1</v>
      </c>
      <c r="B1553" s="15">
        <f>'Curvas SRY'!$B$12</f>
        <v>10</v>
      </c>
      <c r="C1553" s="15">
        <f>'Curvas SRY'!$E$8</f>
        <v>0.75</v>
      </c>
      <c r="D1553" s="14" t="str">
        <f>'Curvas SRY'!$B$14</f>
        <v>Uso variable</v>
      </c>
      <c r="E1553" s="14">
        <f>110</f>
        <v>110</v>
      </c>
      <c r="F1553" s="21">
        <f>'Hoja 4 - Cálculo'!A134</f>
        <v>32905</v>
      </c>
      <c r="G1553" s="15">
        <f>'Hoja 4 - Cálculo'!H134</f>
        <v>13.311</v>
      </c>
      <c r="H1553" s="15">
        <f>IF(D1553="Uso único",'Hoja 4 - Cálculo'!I134,IF(D1553="Uso múltiple",AVERAGE('Hoja 4 - Cálculo'!$I$25:$I$384)+AVERAGE('Hoja 4 - Cálculo'!$J$25:$J$384)+AVERAGE('Hoja 4 - Cálculo'!$K$25:$K$384),IF(D1553="Uso prioritario",'Hoja 4 - Cálculo'!I134+'Hoja 4 - Cálculo'!K134,'Hoja 4 - Cálculo'!I134+'Hoja 4 - Cálculo'!J134+'Hoja 4 - Cálculo'!K134)))</f>
        <v>16</v>
      </c>
      <c r="I1553" s="15">
        <f t="shared" si="349"/>
        <v>12</v>
      </c>
      <c r="J1553" s="15">
        <f t="shared" si="355"/>
        <v>9.2891525000000001</v>
      </c>
      <c r="K1553" s="15">
        <f>MIN(J1553+G1553,(J1553+G1553)*'Hoja 4 - Cálculo'!$B$15)</f>
        <v>0.45200305000000002</v>
      </c>
      <c r="L1553" s="15">
        <f t="shared" si="350"/>
        <v>22.148149450000002</v>
      </c>
      <c r="M1553" s="15">
        <f t="shared" si="351"/>
        <v>12</v>
      </c>
      <c r="N1553" s="15">
        <f t="shared" si="352"/>
        <v>10</v>
      </c>
      <c r="O1553" s="15">
        <f t="shared" si="353"/>
        <v>0.14814945000000179</v>
      </c>
      <c r="P1553" s="15">
        <f t="shared" si="354"/>
        <v>0</v>
      </c>
      <c r="Q1553" s="14" t="str">
        <f>IF(M1553&gt;=I1553*'Hoja 4 - Cálculo'!$B$16,"Satisfactorio","Falla")</f>
        <v>Satisfactorio</v>
      </c>
      <c r="R1553" s="14">
        <f t="shared" si="356"/>
        <v>0</v>
      </c>
      <c r="S1553" s="14">
        <f t="shared" si="357"/>
        <v>0</v>
      </c>
    </row>
    <row r="1554" spans="1:19">
      <c r="A1554" s="14" t="str">
        <f t="shared" si="348"/>
        <v>SRY-5-1</v>
      </c>
      <c r="B1554" s="15">
        <f>'Curvas SRY'!$B$12</f>
        <v>10</v>
      </c>
      <c r="C1554" s="15">
        <f>'Curvas SRY'!$E$8</f>
        <v>0.75</v>
      </c>
      <c r="D1554" s="14" t="str">
        <f>'Curvas SRY'!$B$14</f>
        <v>Uso variable</v>
      </c>
      <c r="E1554" s="14">
        <f>111</f>
        <v>111</v>
      </c>
      <c r="F1554" s="21">
        <f>'Hoja 4 - Cálculo'!A135</f>
        <v>32933</v>
      </c>
      <c r="G1554" s="15">
        <f>'Hoja 4 - Cálculo'!H135</f>
        <v>18.838125000000002</v>
      </c>
      <c r="H1554" s="15">
        <f>IF(D1554="Uso único",'Hoja 4 - Cálculo'!I135,IF(D1554="Uso múltiple",AVERAGE('Hoja 4 - Cálculo'!$I$25:$I$384)+AVERAGE('Hoja 4 - Cálculo'!$J$25:$J$384)+AVERAGE('Hoja 4 - Cálculo'!$K$25:$K$384),IF(D1554="Uso prioritario",'Hoja 4 - Cálculo'!I135+'Hoja 4 - Cálculo'!K135,'Hoja 4 - Cálculo'!I135+'Hoja 4 - Cálculo'!J135+'Hoja 4 - Cálculo'!K135)))</f>
        <v>16</v>
      </c>
      <c r="I1554" s="15">
        <f t="shared" si="349"/>
        <v>12</v>
      </c>
      <c r="J1554" s="15">
        <f t="shared" si="355"/>
        <v>10</v>
      </c>
      <c r="K1554" s="15">
        <f>MIN(J1554+G1554,(J1554+G1554)*'Hoja 4 - Cálculo'!$B$15)</f>
        <v>0.57676250000000007</v>
      </c>
      <c r="L1554" s="15">
        <f t="shared" si="350"/>
        <v>28.261362500000001</v>
      </c>
      <c r="M1554" s="15">
        <f t="shared" si="351"/>
        <v>12</v>
      </c>
      <c r="N1554" s="15">
        <f t="shared" si="352"/>
        <v>10</v>
      </c>
      <c r="O1554" s="15">
        <f t="shared" si="353"/>
        <v>6.2613625000000006</v>
      </c>
      <c r="P1554" s="15">
        <f t="shared" si="354"/>
        <v>0</v>
      </c>
      <c r="Q1554" s="14" t="str">
        <f>IF(M1554&gt;=I1554*'Hoja 4 - Cálculo'!$B$16,"Satisfactorio","Falla")</f>
        <v>Satisfactorio</v>
      </c>
      <c r="R1554" s="14">
        <f t="shared" si="356"/>
        <v>0</v>
      </c>
      <c r="S1554" s="14">
        <f t="shared" si="357"/>
        <v>0</v>
      </c>
    </row>
    <row r="1555" spans="1:19">
      <c r="A1555" s="14" t="str">
        <f t="shared" si="348"/>
        <v>SRY-5-1</v>
      </c>
      <c r="B1555" s="15">
        <f>'Curvas SRY'!$B$12</f>
        <v>10</v>
      </c>
      <c r="C1555" s="15">
        <f>'Curvas SRY'!$E$8</f>
        <v>0.75</v>
      </c>
      <c r="D1555" s="14" t="str">
        <f>'Curvas SRY'!$B$14</f>
        <v>Uso variable</v>
      </c>
      <c r="E1555" s="14">
        <f>112</f>
        <v>112</v>
      </c>
      <c r="F1555" s="21">
        <f>'Hoja 4 - Cálculo'!A136</f>
        <v>32964</v>
      </c>
      <c r="G1555" s="15">
        <f>'Hoja 4 - Cálculo'!H136</f>
        <v>28.611000000000001</v>
      </c>
      <c r="H1555" s="15">
        <f>IF(D1555="Uso único",'Hoja 4 - Cálculo'!I136,IF(D1555="Uso múltiple",AVERAGE('Hoja 4 - Cálculo'!$I$25:$I$384)+AVERAGE('Hoja 4 - Cálculo'!$J$25:$J$384)+AVERAGE('Hoja 4 - Cálculo'!$K$25:$K$384),IF(D1555="Uso prioritario",'Hoja 4 - Cálculo'!I136+'Hoja 4 - Cálculo'!K136,'Hoja 4 - Cálculo'!I136+'Hoja 4 - Cálculo'!J136+'Hoja 4 - Cálculo'!K136)))</f>
        <v>11.5</v>
      </c>
      <c r="I1555" s="15">
        <f t="shared" si="349"/>
        <v>8.625</v>
      </c>
      <c r="J1555" s="15">
        <f t="shared" si="355"/>
        <v>10</v>
      </c>
      <c r="K1555" s="15">
        <f>MIN(J1555+G1555,(J1555+G1555)*'Hoja 4 - Cálculo'!$B$15)</f>
        <v>0.77222000000000013</v>
      </c>
      <c r="L1555" s="15">
        <f t="shared" si="350"/>
        <v>37.838780000000007</v>
      </c>
      <c r="M1555" s="15">
        <f t="shared" si="351"/>
        <v>8.625</v>
      </c>
      <c r="N1555" s="15">
        <f t="shared" si="352"/>
        <v>10</v>
      </c>
      <c r="O1555" s="15">
        <f t="shared" si="353"/>
        <v>19.213780000000007</v>
      </c>
      <c r="P1555" s="15">
        <f t="shared" si="354"/>
        <v>0</v>
      </c>
      <c r="Q1555" s="14" t="str">
        <f>IF(M1555&gt;=I1555*'Hoja 4 - Cálculo'!$B$16,"Satisfactorio","Falla")</f>
        <v>Satisfactorio</v>
      </c>
      <c r="R1555" s="14">
        <f t="shared" si="356"/>
        <v>0</v>
      </c>
      <c r="S1555" s="14">
        <f t="shared" si="357"/>
        <v>0</v>
      </c>
    </row>
    <row r="1556" spans="1:19">
      <c r="A1556" s="14" t="str">
        <f t="shared" si="348"/>
        <v>SRY-5-1</v>
      </c>
      <c r="B1556" s="15">
        <f>'Curvas SRY'!$B$12</f>
        <v>10</v>
      </c>
      <c r="C1556" s="15">
        <f>'Curvas SRY'!$E$8</f>
        <v>0.75</v>
      </c>
      <c r="D1556" s="14" t="str">
        <f>'Curvas SRY'!$B$14</f>
        <v>Uso variable</v>
      </c>
      <c r="E1556" s="14">
        <f>113</f>
        <v>113</v>
      </c>
      <c r="F1556" s="21">
        <f>'Hoja 4 - Cálculo'!A137</f>
        <v>32994</v>
      </c>
      <c r="G1556" s="15">
        <f>'Hoja 4 - Cálculo'!H137</f>
        <v>23.52375</v>
      </c>
      <c r="H1556" s="15">
        <f>IF(D1556="Uso único",'Hoja 4 - Cálculo'!I137,IF(D1556="Uso múltiple",AVERAGE('Hoja 4 - Cálculo'!$I$25:$I$384)+AVERAGE('Hoja 4 - Cálculo'!$J$25:$J$384)+AVERAGE('Hoja 4 - Cálculo'!$K$25:$K$384),IF(D1556="Uso prioritario",'Hoja 4 - Cálculo'!I137+'Hoja 4 - Cálculo'!K137,'Hoja 4 - Cálculo'!I137+'Hoja 4 - Cálculo'!J137+'Hoja 4 - Cálculo'!K137)))</f>
        <v>11.5</v>
      </c>
      <c r="I1556" s="15">
        <f t="shared" si="349"/>
        <v>8.625</v>
      </c>
      <c r="J1556" s="15">
        <f t="shared" si="355"/>
        <v>10</v>
      </c>
      <c r="K1556" s="15">
        <f>MIN(J1556+G1556,(J1556+G1556)*'Hoja 4 - Cálculo'!$B$15)</f>
        <v>0.67047500000000004</v>
      </c>
      <c r="L1556" s="15">
        <f t="shared" si="350"/>
        <v>32.853274999999996</v>
      </c>
      <c r="M1556" s="15">
        <f t="shared" si="351"/>
        <v>8.625</v>
      </c>
      <c r="N1556" s="15">
        <f t="shared" si="352"/>
        <v>10</v>
      </c>
      <c r="O1556" s="15">
        <f t="shared" si="353"/>
        <v>14.228274999999996</v>
      </c>
      <c r="P1556" s="15">
        <f t="shared" si="354"/>
        <v>0</v>
      </c>
      <c r="Q1556" s="14" t="str">
        <f>IF(M1556&gt;=I1556*'Hoja 4 - Cálculo'!$B$16,"Satisfactorio","Falla")</f>
        <v>Satisfactorio</v>
      </c>
      <c r="R1556" s="14">
        <f t="shared" si="356"/>
        <v>0</v>
      </c>
      <c r="S1556" s="14">
        <f t="shared" si="357"/>
        <v>0</v>
      </c>
    </row>
    <row r="1557" spans="1:19">
      <c r="A1557" s="14" t="str">
        <f t="shared" si="348"/>
        <v>SRY-5-1</v>
      </c>
      <c r="B1557" s="15">
        <f>'Curvas SRY'!$B$12</f>
        <v>10</v>
      </c>
      <c r="C1557" s="15">
        <f>'Curvas SRY'!$E$8</f>
        <v>0.75</v>
      </c>
      <c r="D1557" s="14" t="str">
        <f>'Curvas SRY'!$B$14</f>
        <v>Uso variable</v>
      </c>
      <c r="E1557" s="14">
        <f>114</f>
        <v>114</v>
      </c>
      <c r="F1557" s="21">
        <f>'Hoja 4 - Cálculo'!A138</f>
        <v>33025</v>
      </c>
      <c r="G1557" s="15">
        <f>'Hoja 4 - Cálculo'!H138</f>
        <v>15.529500000000001</v>
      </c>
      <c r="H1557" s="15">
        <f>IF(D1557="Uso único",'Hoja 4 - Cálculo'!I138,IF(D1557="Uso múltiple",AVERAGE('Hoja 4 - Cálculo'!$I$25:$I$384)+AVERAGE('Hoja 4 - Cálculo'!$J$25:$J$384)+AVERAGE('Hoja 4 - Cálculo'!$K$25:$K$384),IF(D1557="Uso prioritario",'Hoja 4 - Cálculo'!I138+'Hoja 4 - Cálculo'!K138,'Hoja 4 - Cálculo'!I138+'Hoja 4 - Cálculo'!J138+'Hoja 4 - Cálculo'!K138)))</f>
        <v>11.5</v>
      </c>
      <c r="I1557" s="15">
        <f t="shared" si="349"/>
        <v>8.625</v>
      </c>
      <c r="J1557" s="15">
        <f t="shared" si="355"/>
        <v>10</v>
      </c>
      <c r="K1557" s="15">
        <f>MIN(J1557+G1557,(J1557+G1557)*'Hoja 4 - Cálculo'!$B$15)</f>
        <v>0.51058999999999999</v>
      </c>
      <c r="L1557" s="15">
        <f t="shared" si="350"/>
        <v>25.018909999999998</v>
      </c>
      <c r="M1557" s="15">
        <f t="shared" si="351"/>
        <v>8.625</v>
      </c>
      <c r="N1557" s="15">
        <f t="shared" si="352"/>
        <v>10</v>
      </c>
      <c r="O1557" s="15">
        <f t="shared" si="353"/>
        <v>6.3939099999999982</v>
      </c>
      <c r="P1557" s="15">
        <f t="shared" si="354"/>
        <v>0</v>
      </c>
      <c r="Q1557" s="14" t="str">
        <f>IF(M1557&gt;=I1557*'Hoja 4 - Cálculo'!$B$16,"Satisfactorio","Falla")</f>
        <v>Satisfactorio</v>
      </c>
      <c r="R1557" s="14">
        <f t="shared" si="356"/>
        <v>0</v>
      </c>
      <c r="S1557" s="14">
        <f t="shared" si="357"/>
        <v>0</v>
      </c>
    </row>
    <row r="1558" spans="1:19">
      <c r="A1558" s="14" t="str">
        <f t="shared" si="348"/>
        <v>SRY-5-1</v>
      </c>
      <c r="B1558" s="15">
        <f>'Curvas SRY'!$B$12</f>
        <v>10</v>
      </c>
      <c r="C1558" s="15">
        <f>'Curvas SRY'!$E$8</f>
        <v>0.75</v>
      </c>
      <c r="D1558" s="14" t="str">
        <f>'Curvas SRY'!$B$14</f>
        <v>Uso variable</v>
      </c>
      <c r="E1558" s="14">
        <f>115</f>
        <v>115</v>
      </c>
      <c r="F1558" s="21">
        <f>'Hoja 4 - Cálculo'!A139</f>
        <v>33055</v>
      </c>
      <c r="G1558" s="15">
        <f>'Hoja 4 - Cálculo'!H139</f>
        <v>12.201750000000001</v>
      </c>
      <c r="H1558" s="15">
        <f>IF(D1558="Uso único",'Hoja 4 - Cálculo'!I139,IF(D1558="Uso múltiple",AVERAGE('Hoja 4 - Cálculo'!$I$25:$I$384)+AVERAGE('Hoja 4 - Cálculo'!$J$25:$J$384)+AVERAGE('Hoja 4 - Cálculo'!$K$25:$K$384),IF(D1558="Uso prioritario",'Hoja 4 - Cálculo'!I139+'Hoja 4 - Cálculo'!K139,'Hoja 4 - Cálculo'!I139+'Hoja 4 - Cálculo'!J139+'Hoja 4 - Cálculo'!K139)))</f>
        <v>16</v>
      </c>
      <c r="I1558" s="15">
        <f t="shared" si="349"/>
        <v>12</v>
      </c>
      <c r="J1558" s="15">
        <f t="shared" si="355"/>
        <v>10</v>
      </c>
      <c r="K1558" s="15">
        <f>MIN(J1558+G1558,(J1558+G1558)*'Hoja 4 - Cálculo'!$B$15)</f>
        <v>0.44403500000000001</v>
      </c>
      <c r="L1558" s="15">
        <f t="shared" si="350"/>
        <v>21.757715000000001</v>
      </c>
      <c r="M1558" s="15">
        <f t="shared" si="351"/>
        <v>12</v>
      </c>
      <c r="N1558" s="15">
        <f t="shared" si="352"/>
        <v>9.757715000000001</v>
      </c>
      <c r="O1558" s="15">
        <f t="shared" si="353"/>
        <v>0</v>
      </c>
      <c r="P1558" s="15">
        <f t="shared" si="354"/>
        <v>0</v>
      </c>
      <c r="Q1558" s="14" t="str">
        <f>IF(M1558&gt;=I1558*'Hoja 4 - Cálculo'!$B$16,"Satisfactorio","Falla")</f>
        <v>Satisfactorio</v>
      </c>
      <c r="R1558" s="14">
        <f t="shared" si="356"/>
        <v>0</v>
      </c>
      <c r="S1558" s="14">
        <f t="shared" si="357"/>
        <v>0</v>
      </c>
    </row>
    <row r="1559" spans="1:19">
      <c r="A1559" s="14" t="str">
        <f t="shared" si="348"/>
        <v>SRY-5-1</v>
      </c>
      <c r="B1559" s="15">
        <f>'Curvas SRY'!$B$12</f>
        <v>10</v>
      </c>
      <c r="C1559" s="15">
        <f>'Curvas SRY'!$E$8</f>
        <v>0.75</v>
      </c>
      <c r="D1559" s="14" t="str">
        <f>'Curvas SRY'!$B$14</f>
        <v>Uso variable</v>
      </c>
      <c r="E1559" s="14">
        <f>116</f>
        <v>116</v>
      </c>
      <c r="F1559" s="21">
        <f>'Hoja 4 - Cálculo'!A140</f>
        <v>33086</v>
      </c>
      <c r="G1559" s="15">
        <f>'Hoja 4 - Cálculo'!H140</f>
        <v>13.04325</v>
      </c>
      <c r="H1559" s="15">
        <f>IF(D1559="Uso único",'Hoja 4 - Cálculo'!I140,IF(D1559="Uso múltiple",AVERAGE('Hoja 4 - Cálculo'!$I$25:$I$384)+AVERAGE('Hoja 4 - Cálculo'!$J$25:$J$384)+AVERAGE('Hoja 4 - Cálculo'!$K$25:$K$384),IF(D1559="Uso prioritario",'Hoja 4 - Cálculo'!I140+'Hoja 4 - Cálculo'!K140,'Hoja 4 - Cálculo'!I140+'Hoja 4 - Cálculo'!J140+'Hoja 4 - Cálculo'!K140)))</f>
        <v>16</v>
      </c>
      <c r="I1559" s="15">
        <f t="shared" si="349"/>
        <v>12</v>
      </c>
      <c r="J1559" s="15">
        <f t="shared" si="355"/>
        <v>9.757715000000001</v>
      </c>
      <c r="K1559" s="15">
        <f>MIN(J1559+G1559,(J1559+G1559)*'Hoja 4 - Cálculo'!$B$15)</f>
        <v>0.45601930000000002</v>
      </c>
      <c r="L1559" s="15">
        <f t="shared" si="350"/>
        <v>22.3449457</v>
      </c>
      <c r="M1559" s="15">
        <f t="shared" si="351"/>
        <v>12</v>
      </c>
      <c r="N1559" s="15">
        <f t="shared" si="352"/>
        <v>10</v>
      </c>
      <c r="O1559" s="15">
        <f t="shared" si="353"/>
        <v>0.34494570000000024</v>
      </c>
      <c r="P1559" s="15">
        <f t="shared" si="354"/>
        <v>0</v>
      </c>
      <c r="Q1559" s="14" t="str">
        <f>IF(M1559&gt;=I1559*'Hoja 4 - Cálculo'!$B$16,"Satisfactorio","Falla")</f>
        <v>Satisfactorio</v>
      </c>
      <c r="R1559" s="14">
        <f t="shared" si="356"/>
        <v>0</v>
      </c>
      <c r="S1559" s="14">
        <f t="shared" si="357"/>
        <v>0</v>
      </c>
    </row>
    <row r="1560" spans="1:19">
      <c r="A1560" s="14" t="str">
        <f t="shared" si="348"/>
        <v>SRY-5-1</v>
      </c>
      <c r="B1560" s="15">
        <f>'Curvas SRY'!$B$12</f>
        <v>10</v>
      </c>
      <c r="C1560" s="15">
        <f>'Curvas SRY'!$E$8</f>
        <v>0.75</v>
      </c>
      <c r="D1560" s="14" t="str">
        <f>'Curvas SRY'!$B$14</f>
        <v>Uso variable</v>
      </c>
      <c r="E1560" s="14">
        <f>117</f>
        <v>117</v>
      </c>
      <c r="F1560" s="21">
        <f>'Hoja 4 - Cálculo'!A141</f>
        <v>33117</v>
      </c>
      <c r="G1560" s="15">
        <f>'Hoja 4 - Cálculo'!H141</f>
        <v>21.974625</v>
      </c>
      <c r="H1560" s="15">
        <f>IF(D1560="Uso único",'Hoja 4 - Cálculo'!I141,IF(D1560="Uso múltiple",AVERAGE('Hoja 4 - Cálculo'!$I$25:$I$384)+AVERAGE('Hoja 4 - Cálculo'!$J$25:$J$384)+AVERAGE('Hoja 4 - Cálculo'!$K$25:$K$384),IF(D1560="Uso prioritario",'Hoja 4 - Cálculo'!I141+'Hoja 4 - Cálculo'!K141,'Hoja 4 - Cálculo'!I141+'Hoja 4 - Cálculo'!J141+'Hoja 4 - Cálculo'!K141)))</f>
        <v>11.5</v>
      </c>
      <c r="I1560" s="15">
        <f t="shared" si="349"/>
        <v>8.625</v>
      </c>
      <c r="J1560" s="15">
        <f t="shared" si="355"/>
        <v>10</v>
      </c>
      <c r="K1560" s="15">
        <f>MIN(J1560+G1560,(J1560+G1560)*'Hoja 4 - Cálculo'!$B$15)</f>
        <v>0.63949250000000002</v>
      </c>
      <c r="L1560" s="15">
        <f t="shared" si="350"/>
        <v>31.3351325</v>
      </c>
      <c r="M1560" s="15">
        <f t="shared" si="351"/>
        <v>8.625</v>
      </c>
      <c r="N1560" s="15">
        <f t="shared" si="352"/>
        <v>10</v>
      </c>
      <c r="O1560" s="15">
        <f t="shared" si="353"/>
        <v>12.7101325</v>
      </c>
      <c r="P1560" s="15">
        <f t="shared" si="354"/>
        <v>0</v>
      </c>
      <c r="Q1560" s="14" t="str">
        <f>IF(M1560&gt;=I1560*'Hoja 4 - Cálculo'!$B$16,"Satisfactorio","Falla")</f>
        <v>Satisfactorio</v>
      </c>
      <c r="R1560" s="14">
        <f t="shared" si="356"/>
        <v>0</v>
      </c>
      <c r="S1560" s="14">
        <f t="shared" si="357"/>
        <v>0</v>
      </c>
    </row>
    <row r="1561" spans="1:19">
      <c r="A1561" s="14" t="str">
        <f t="shared" si="348"/>
        <v>SRY-5-1</v>
      </c>
      <c r="B1561" s="15">
        <f>'Curvas SRY'!$B$12</f>
        <v>10</v>
      </c>
      <c r="C1561" s="15">
        <f>'Curvas SRY'!$E$8</f>
        <v>0.75</v>
      </c>
      <c r="D1561" s="14" t="str">
        <f>'Curvas SRY'!$B$14</f>
        <v>Uso variable</v>
      </c>
      <c r="E1561" s="14">
        <f>118</f>
        <v>118</v>
      </c>
      <c r="F1561" s="21">
        <f>'Hoja 4 - Cálculo'!A142</f>
        <v>33147</v>
      </c>
      <c r="G1561" s="15">
        <f>'Hoja 4 - Cálculo'!H142</f>
        <v>26.870625</v>
      </c>
      <c r="H1561" s="15">
        <f>IF(D1561="Uso único",'Hoja 4 - Cálculo'!I142,IF(D1561="Uso múltiple",AVERAGE('Hoja 4 - Cálculo'!$I$25:$I$384)+AVERAGE('Hoja 4 - Cálculo'!$J$25:$J$384)+AVERAGE('Hoja 4 - Cálculo'!$K$25:$K$384),IF(D1561="Uso prioritario",'Hoja 4 - Cálculo'!I142+'Hoja 4 - Cálculo'!K142,'Hoja 4 - Cálculo'!I142+'Hoja 4 - Cálculo'!J142+'Hoja 4 - Cálculo'!K142)))</f>
        <v>11.5</v>
      </c>
      <c r="I1561" s="15">
        <f t="shared" si="349"/>
        <v>8.625</v>
      </c>
      <c r="J1561" s="15">
        <f t="shared" si="355"/>
        <v>10</v>
      </c>
      <c r="K1561" s="15">
        <f>MIN(J1561+G1561,(J1561+G1561)*'Hoja 4 - Cálculo'!$B$15)</f>
        <v>0.73741250000000014</v>
      </c>
      <c r="L1561" s="15">
        <f t="shared" si="350"/>
        <v>36.133212500000006</v>
      </c>
      <c r="M1561" s="15">
        <f t="shared" si="351"/>
        <v>8.625</v>
      </c>
      <c r="N1561" s="15">
        <f t="shared" si="352"/>
        <v>10</v>
      </c>
      <c r="O1561" s="15">
        <f t="shared" si="353"/>
        <v>17.508212500000006</v>
      </c>
      <c r="P1561" s="15">
        <f t="shared" si="354"/>
        <v>0</v>
      </c>
      <c r="Q1561" s="14" t="str">
        <f>IF(M1561&gt;=I1561*'Hoja 4 - Cálculo'!$B$16,"Satisfactorio","Falla")</f>
        <v>Satisfactorio</v>
      </c>
      <c r="R1561" s="14">
        <f t="shared" si="356"/>
        <v>0</v>
      </c>
      <c r="S1561" s="14">
        <f t="shared" si="357"/>
        <v>0</v>
      </c>
    </row>
    <row r="1562" spans="1:19">
      <c r="A1562" s="14" t="str">
        <f t="shared" si="348"/>
        <v>SRY-5-1</v>
      </c>
      <c r="B1562" s="15">
        <f>'Curvas SRY'!$B$12</f>
        <v>10</v>
      </c>
      <c r="C1562" s="15">
        <f>'Curvas SRY'!$E$8</f>
        <v>0.75</v>
      </c>
      <c r="D1562" s="14" t="str">
        <f>'Curvas SRY'!$B$14</f>
        <v>Uso variable</v>
      </c>
      <c r="E1562" s="14">
        <f>119</f>
        <v>119</v>
      </c>
      <c r="F1562" s="21">
        <f>'Hoja 4 - Cálculo'!A143</f>
        <v>33178</v>
      </c>
      <c r="G1562" s="15">
        <f>'Hoja 4 - Cálculo'!H143</f>
        <v>24.881625</v>
      </c>
      <c r="H1562" s="15">
        <f>IF(D1562="Uso único",'Hoja 4 - Cálculo'!I143,IF(D1562="Uso múltiple",AVERAGE('Hoja 4 - Cálculo'!$I$25:$I$384)+AVERAGE('Hoja 4 - Cálculo'!$J$25:$J$384)+AVERAGE('Hoja 4 - Cálculo'!$K$25:$K$384),IF(D1562="Uso prioritario",'Hoja 4 - Cálculo'!I143+'Hoja 4 - Cálculo'!K143,'Hoja 4 - Cálculo'!I143+'Hoja 4 - Cálculo'!J143+'Hoja 4 - Cálculo'!K143)))</f>
        <v>11.5</v>
      </c>
      <c r="I1562" s="15">
        <f t="shared" si="349"/>
        <v>8.625</v>
      </c>
      <c r="J1562" s="15">
        <f t="shared" si="355"/>
        <v>10</v>
      </c>
      <c r="K1562" s="15">
        <f>MIN(J1562+G1562,(J1562+G1562)*'Hoja 4 - Cálculo'!$B$15)</f>
        <v>0.69763249999999999</v>
      </c>
      <c r="L1562" s="15">
        <f t="shared" si="350"/>
        <v>34.183992500000002</v>
      </c>
      <c r="M1562" s="15">
        <f t="shared" si="351"/>
        <v>8.625</v>
      </c>
      <c r="N1562" s="15">
        <f t="shared" si="352"/>
        <v>10</v>
      </c>
      <c r="O1562" s="15">
        <f t="shared" si="353"/>
        <v>15.558992500000002</v>
      </c>
      <c r="P1562" s="15">
        <f t="shared" si="354"/>
        <v>0</v>
      </c>
      <c r="Q1562" s="14" t="str">
        <f>IF(M1562&gt;=I1562*'Hoja 4 - Cálculo'!$B$16,"Satisfactorio","Falla")</f>
        <v>Satisfactorio</v>
      </c>
      <c r="R1562" s="14">
        <f t="shared" si="356"/>
        <v>0</v>
      </c>
      <c r="S1562" s="14">
        <f t="shared" si="357"/>
        <v>0</v>
      </c>
    </row>
    <row r="1563" spans="1:19">
      <c r="A1563" s="14" t="str">
        <f t="shared" si="348"/>
        <v>SRY-5-1</v>
      </c>
      <c r="B1563" s="15">
        <f>'Curvas SRY'!$B$12</f>
        <v>10</v>
      </c>
      <c r="C1563" s="15">
        <f>'Curvas SRY'!$E$8</f>
        <v>0.75</v>
      </c>
      <c r="D1563" s="14" t="str">
        <f>'Curvas SRY'!$B$14</f>
        <v>Uso variable</v>
      </c>
      <c r="E1563" s="14">
        <f>120</f>
        <v>120</v>
      </c>
      <c r="F1563" s="21">
        <f>'Hoja 4 - Cálculo'!A144</f>
        <v>33208</v>
      </c>
      <c r="G1563" s="15">
        <f>'Hoja 4 - Cálculo'!H144</f>
        <v>13.73175</v>
      </c>
      <c r="H1563" s="15">
        <f>IF(D1563="Uso único",'Hoja 4 - Cálculo'!I144,IF(D1563="Uso múltiple",AVERAGE('Hoja 4 - Cálculo'!$I$25:$I$384)+AVERAGE('Hoja 4 - Cálculo'!$J$25:$J$384)+AVERAGE('Hoja 4 - Cálculo'!$K$25:$K$384),IF(D1563="Uso prioritario",'Hoja 4 - Cálculo'!I144+'Hoja 4 - Cálculo'!K144,'Hoja 4 - Cálculo'!I144+'Hoja 4 - Cálculo'!J144+'Hoja 4 - Cálculo'!K144)))</f>
        <v>16</v>
      </c>
      <c r="I1563" s="15">
        <f t="shared" si="349"/>
        <v>12</v>
      </c>
      <c r="J1563" s="15">
        <f t="shared" si="355"/>
        <v>10</v>
      </c>
      <c r="K1563" s="15">
        <f>MIN(J1563+G1563,(J1563+G1563)*'Hoja 4 - Cálculo'!$B$15)</f>
        <v>0.47463499999999997</v>
      </c>
      <c r="L1563" s="15">
        <f t="shared" si="350"/>
        <v>23.257114999999999</v>
      </c>
      <c r="M1563" s="15">
        <f t="shared" si="351"/>
        <v>12</v>
      </c>
      <c r="N1563" s="15">
        <f t="shared" si="352"/>
        <v>10</v>
      </c>
      <c r="O1563" s="15">
        <f t="shared" si="353"/>
        <v>1.2571149999999989</v>
      </c>
      <c r="P1563" s="15">
        <f t="shared" si="354"/>
        <v>0</v>
      </c>
      <c r="Q1563" s="14" t="str">
        <f>IF(M1563&gt;=I1563*'Hoja 4 - Cálculo'!$B$16,"Satisfactorio","Falla")</f>
        <v>Satisfactorio</v>
      </c>
      <c r="R1563" s="14">
        <f t="shared" si="356"/>
        <v>0</v>
      </c>
      <c r="S1563" s="14">
        <f t="shared" si="357"/>
        <v>0</v>
      </c>
    </row>
    <row r="1564" spans="1:19">
      <c r="A1564" s="14" t="str">
        <f t="shared" ref="A1564:A1595" si="358">"SRY-5-2"</f>
        <v>SRY-5-2</v>
      </c>
      <c r="B1564" s="15">
        <f>'Curvas SRY'!$B$12</f>
        <v>10</v>
      </c>
      <c r="C1564" s="15">
        <f>'Curvas SRY'!$E$9</f>
        <v>1</v>
      </c>
      <c r="D1564" s="14" t="str">
        <f>'Curvas SRY'!$B$14</f>
        <v>Uso variable</v>
      </c>
      <c r="E1564" s="14">
        <f>1</f>
        <v>1</v>
      </c>
      <c r="F1564" s="21">
        <f>'Hoja 4 - Cálculo'!A25</f>
        <v>29587</v>
      </c>
      <c r="G1564" s="15">
        <f>'Hoja 4 - Cálculo'!H25</f>
        <v>12.852</v>
      </c>
      <c r="H1564" s="15">
        <f>IF(D1564="Uso único",'Hoja 4 - Cálculo'!I25,IF(D1564="Uso múltiple",AVERAGE('Hoja 4 - Cálculo'!$I$25:$I$384)+AVERAGE('Hoja 4 - Cálculo'!$J$25:$J$384)+AVERAGE('Hoja 4 - Cálculo'!$K$25:$K$384),IF(D1564="Uso prioritario",'Hoja 4 - Cálculo'!I25+'Hoja 4 - Cálculo'!K25,'Hoja 4 - Cálculo'!I25+'Hoja 4 - Cálculo'!J25+'Hoja 4 - Cálculo'!K25)))</f>
        <v>16</v>
      </c>
      <c r="I1564" s="15">
        <f t="shared" si="349"/>
        <v>16</v>
      </c>
      <c r="J1564" s="15">
        <f>0</f>
        <v>0</v>
      </c>
      <c r="K1564" s="15">
        <f>MIN(J1564+G1564,(J1564+G1564)*'Hoja 4 - Cálculo'!$B$15)</f>
        <v>0.25703999999999999</v>
      </c>
      <c r="L1564" s="15">
        <f t="shared" si="350"/>
        <v>12.59496</v>
      </c>
      <c r="M1564" s="15">
        <f t="shared" si="351"/>
        <v>12.59496</v>
      </c>
      <c r="N1564" s="15">
        <f t="shared" si="352"/>
        <v>0</v>
      </c>
      <c r="O1564" s="15">
        <f t="shared" si="353"/>
        <v>0</v>
      </c>
      <c r="P1564" s="15">
        <f t="shared" si="354"/>
        <v>3.4050399999999996</v>
      </c>
      <c r="Q1564" s="14" t="str">
        <f>IF(M1564&gt;=I1564*'Hoja 4 - Cálculo'!$B$16,"Satisfactorio","Falla")</f>
        <v>Falla</v>
      </c>
      <c r="R1564" s="14">
        <f>0</f>
        <v>0</v>
      </c>
      <c r="S1564" s="14">
        <f>IF(Q1564="Falla",1,0)</f>
        <v>1</v>
      </c>
    </row>
    <row r="1565" spans="1:19">
      <c r="A1565" s="14" t="str">
        <f t="shared" si="358"/>
        <v>SRY-5-2</v>
      </c>
      <c r="B1565" s="15">
        <f>'Curvas SRY'!$B$12</f>
        <v>10</v>
      </c>
      <c r="C1565" s="15">
        <f>'Curvas SRY'!$E$9</f>
        <v>1</v>
      </c>
      <c r="D1565" s="14" t="str">
        <f>'Curvas SRY'!$B$14</f>
        <v>Uso variable</v>
      </c>
      <c r="E1565" s="14">
        <f>2</f>
        <v>2</v>
      </c>
      <c r="F1565" s="21">
        <f>'Hoja 4 - Cálculo'!A26</f>
        <v>29618</v>
      </c>
      <c r="G1565" s="15">
        <f>'Hoja 4 - Cálculo'!H26</f>
        <v>14.630625</v>
      </c>
      <c r="H1565" s="15">
        <f>IF(D1565="Uso único",'Hoja 4 - Cálculo'!I26,IF(D1565="Uso múltiple",AVERAGE('Hoja 4 - Cálculo'!$I$25:$I$384)+AVERAGE('Hoja 4 - Cálculo'!$J$25:$J$384)+AVERAGE('Hoja 4 - Cálculo'!$K$25:$K$384),IF(D1565="Uso prioritario",'Hoja 4 - Cálculo'!I26+'Hoja 4 - Cálculo'!K26,'Hoja 4 - Cálculo'!I26+'Hoja 4 - Cálculo'!J26+'Hoja 4 - Cálculo'!K26)))</f>
        <v>16</v>
      </c>
      <c r="I1565" s="15">
        <f t="shared" si="349"/>
        <v>16</v>
      </c>
      <c r="J1565" s="15">
        <f t="shared" ref="J1565:J1596" si="359">N1564</f>
        <v>0</v>
      </c>
      <c r="K1565" s="15">
        <f>MIN(J1565+G1565,(J1565+G1565)*'Hoja 4 - Cálculo'!$B$15)</f>
        <v>0.2926125</v>
      </c>
      <c r="L1565" s="15">
        <f t="shared" si="350"/>
        <v>14.3380125</v>
      </c>
      <c r="M1565" s="15">
        <f t="shared" si="351"/>
        <v>14.3380125</v>
      </c>
      <c r="N1565" s="15">
        <f t="shared" si="352"/>
        <v>0</v>
      </c>
      <c r="O1565" s="15">
        <f t="shared" si="353"/>
        <v>0</v>
      </c>
      <c r="P1565" s="15">
        <f t="shared" si="354"/>
        <v>1.6619875000000004</v>
      </c>
      <c r="Q1565" s="14" t="str">
        <f>IF(M1565&gt;=I1565*'Hoja 4 - Cálculo'!$B$16,"Satisfactorio","Falla")</f>
        <v>Falla</v>
      </c>
      <c r="R1565" s="14">
        <f t="shared" ref="R1565:R1596" si="360">IF(AND(Q1564="Falla",Q1565="Satisfactorio"),1,0)</f>
        <v>0</v>
      </c>
      <c r="S1565" s="14">
        <f t="shared" ref="S1565:S1596" si="361">IF(AND(Q1565="Falla",Q1564&lt;&gt;"Falla"),1,0)</f>
        <v>0</v>
      </c>
    </row>
    <row r="1566" spans="1:19">
      <c r="A1566" s="14" t="str">
        <f t="shared" si="358"/>
        <v>SRY-5-2</v>
      </c>
      <c r="B1566" s="15">
        <f>'Curvas SRY'!$B$12</f>
        <v>10</v>
      </c>
      <c r="C1566" s="15">
        <f>'Curvas SRY'!$E$9</f>
        <v>1</v>
      </c>
      <c r="D1566" s="14" t="str">
        <f>'Curvas SRY'!$B$14</f>
        <v>Uso variable</v>
      </c>
      <c r="E1566" s="14">
        <f>3</f>
        <v>3</v>
      </c>
      <c r="F1566" s="21">
        <f>'Hoja 4 - Cálculo'!A27</f>
        <v>29646</v>
      </c>
      <c r="G1566" s="15">
        <f>'Hoja 4 - Cálculo'!H27</f>
        <v>21.114000000000001</v>
      </c>
      <c r="H1566" s="15">
        <f>IF(D1566="Uso único",'Hoja 4 - Cálculo'!I27,IF(D1566="Uso múltiple",AVERAGE('Hoja 4 - Cálculo'!$I$25:$I$384)+AVERAGE('Hoja 4 - Cálculo'!$J$25:$J$384)+AVERAGE('Hoja 4 - Cálculo'!$K$25:$K$384),IF(D1566="Uso prioritario",'Hoja 4 - Cálculo'!I27+'Hoja 4 - Cálculo'!K27,'Hoja 4 - Cálculo'!I27+'Hoja 4 - Cálculo'!J27+'Hoja 4 - Cálculo'!K27)))</f>
        <v>16</v>
      </c>
      <c r="I1566" s="15">
        <f t="shared" si="349"/>
        <v>16</v>
      </c>
      <c r="J1566" s="15">
        <f t="shared" si="359"/>
        <v>0</v>
      </c>
      <c r="K1566" s="15">
        <f>MIN(J1566+G1566,(J1566+G1566)*'Hoja 4 - Cálculo'!$B$15)</f>
        <v>0.42228000000000004</v>
      </c>
      <c r="L1566" s="15">
        <f t="shared" si="350"/>
        <v>20.69172</v>
      </c>
      <c r="M1566" s="15">
        <f t="shared" si="351"/>
        <v>16</v>
      </c>
      <c r="N1566" s="15">
        <f t="shared" si="352"/>
        <v>4.6917200000000001</v>
      </c>
      <c r="O1566" s="15">
        <f t="shared" si="353"/>
        <v>0</v>
      </c>
      <c r="P1566" s="15">
        <f t="shared" si="354"/>
        <v>0</v>
      </c>
      <c r="Q1566" s="14" t="str">
        <f>IF(M1566&gt;=I1566*'Hoja 4 - Cálculo'!$B$16,"Satisfactorio","Falla")</f>
        <v>Satisfactorio</v>
      </c>
      <c r="R1566" s="14">
        <f t="shared" si="360"/>
        <v>1</v>
      </c>
      <c r="S1566" s="14">
        <f t="shared" si="361"/>
        <v>0</v>
      </c>
    </row>
    <row r="1567" spans="1:19">
      <c r="A1567" s="14" t="str">
        <f t="shared" si="358"/>
        <v>SRY-5-2</v>
      </c>
      <c r="B1567" s="15">
        <f>'Curvas SRY'!$B$12</f>
        <v>10</v>
      </c>
      <c r="C1567" s="15">
        <f>'Curvas SRY'!$E$9</f>
        <v>1</v>
      </c>
      <c r="D1567" s="14" t="str">
        <f>'Curvas SRY'!$B$14</f>
        <v>Uso variable</v>
      </c>
      <c r="E1567" s="14">
        <f>4</f>
        <v>4</v>
      </c>
      <c r="F1567" s="21">
        <f>'Hoja 4 - Cálculo'!A28</f>
        <v>29677</v>
      </c>
      <c r="G1567" s="15">
        <f>'Hoja 4 - Cálculo'!H28</f>
        <v>29.280374999999999</v>
      </c>
      <c r="H1567" s="15">
        <f>IF(D1567="Uso único",'Hoja 4 - Cálculo'!I28,IF(D1567="Uso múltiple",AVERAGE('Hoja 4 - Cálculo'!$I$25:$I$384)+AVERAGE('Hoja 4 - Cálculo'!$J$25:$J$384)+AVERAGE('Hoja 4 - Cálculo'!$K$25:$K$384),IF(D1567="Uso prioritario",'Hoja 4 - Cálculo'!I28+'Hoja 4 - Cálculo'!K28,'Hoja 4 - Cálculo'!I28+'Hoja 4 - Cálculo'!J28+'Hoja 4 - Cálculo'!K28)))</f>
        <v>11.5</v>
      </c>
      <c r="I1567" s="15">
        <f t="shared" si="349"/>
        <v>11.5</v>
      </c>
      <c r="J1567" s="15">
        <f t="shared" si="359"/>
        <v>4.6917200000000001</v>
      </c>
      <c r="K1567" s="15">
        <f>MIN(J1567+G1567,(J1567+G1567)*'Hoja 4 - Cálculo'!$B$15)</f>
        <v>0.67944189999999993</v>
      </c>
      <c r="L1567" s="15">
        <f t="shared" si="350"/>
        <v>33.292653099999995</v>
      </c>
      <c r="M1567" s="15">
        <f t="shared" si="351"/>
        <v>11.5</v>
      </c>
      <c r="N1567" s="15">
        <f t="shared" si="352"/>
        <v>10</v>
      </c>
      <c r="O1567" s="15">
        <f t="shared" si="353"/>
        <v>11.792653099999995</v>
      </c>
      <c r="P1567" s="15">
        <f t="shared" si="354"/>
        <v>0</v>
      </c>
      <c r="Q1567" s="14" t="str">
        <f>IF(M1567&gt;=I1567*'Hoja 4 - Cálculo'!$B$16,"Satisfactorio","Falla")</f>
        <v>Satisfactorio</v>
      </c>
      <c r="R1567" s="14">
        <f t="shared" si="360"/>
        <v>0</v>
      </c>
      <c r="S1567" s="14">
        <f t="shared" si="361"/>
        <v>0</v>
      </c>
    </row>
    <row r="1568" spans="1:19">
      <c r="A1568" s="14" t="str">
        <f t="shared" si="358"/>
        <v>SRY-5-2</v>
      </c>
      <c r="B1568" s="15">
        <f>'Curvas SRY'!$B$12</f>
        <v>10</v>
      </c>
      <c r="C1568" s="15">
        <f>'Curvas SRY'!$E$9</f>
        <v>1</v>
      </c>
      <c r="D1568" s="14" t="str">
        <f>'Curvas SRY'!$B$14</f>
        <v>Uso variable</v>
      </c>
      <c r="E1568" s="14">
        <f>5</f>
        <v>5</v>
      </c>
      <c r="F1568" s="21">
        <f>'Hoja 4 - Cálculo'!A29</f>
        <v>29707</v>
      </c>
      <c r="G1568" s="15">
        <f>'Hoja 4 - Cálculo'!H29</f>
        <v>26.048249999999999</v>
      </c>
      <c r="H1568" s="15">
        <f>IF(D1568="Uso único",'Hoja 4 - Cálculo'!I29,IF(D1568="Uso múltiple",AVERAGE('Hoja 4 - Cálculo'!$I$25:$I$384)+AVERAGE('Hoja 4 - Cálculo'!$J$25:$J$384)+AVERAGE('Hoja 4 - Cálculo'!$K$25:$K$384),IF(D1568="Uso prioritario",'Hoja 4 - Cálculo'!I29+'Hoja 4 - Cálculo'!K29,'Hoja 4 - Cálculo'!I29+'Hoja 4 - Cálculo'!J29+'Hoja 4 - Cálculo'!K29)))</f>
        <v>11.5</v>
      </c>
      <c r="I1568" s="15">
        <f t="shared" si="349"/>
        <v>11.5</v>
      </c>
      <c r="J1568" s="15">
        <f t="shared" si="359"/>
        <v>10</v>
      </c>
      <c r="K1568" s="15">
        <f>MIN(J1568+G1568,(J1568+G1568)*'Hoja 4 - Cálculo'!$B$15)</f>
        <v>0.72096499999999997</v>
      </c>
      <c r="L1568" s="15">
        <f t="shared" si="350"/>
        <v>35.327284999999996</v>
      </c>
      <c r="M1568" s="15">
        <f t="shared" si="351"/>
        <v>11.5</v>
      </c>
      <c r="N1568" s="15">
        <f t="shared" si="352"/>
        <v>10</v>
      </c>
      <c r="O1568" s="15">
        <f t="shared" si="353"/>
        <v>13.827284999999996</v>
      </c>
      <c r="P1568" s="15">
        <f t="shared" si="354"/>
        <v>0</v>
      </c>
      <c r="Q1568" s="14" t="str">
        <f>IF(M1568&gt;=I1568*'Hoja 4 - Cálculo'!$B$16,"Satisfactorio","Falla")</f>
        <v>Satisfactorio</v>
      </c>
      <c r="R1568" s="14">
        <f t="shared" si="360"/>
        <v>0</v>
      </c>
      <c r="S1568" s="14">
        <f t="shared" si="361"/>
        <v>0</v>
      </c>
    </row>
    <row r="1569" spans="1:19">
      <c r="A1569" s="14" t="str">
        <f t="shared" si="358"/>
        <v>SRY-5-2</v>
      </c>
      <c r="B1569" s="15">
        <f>'Curvas SRY'!$B$12</f>
        <v>10</v>
      </c>
      <c r="C1569" s="15">
        <f>'Curvas SRY'!$E$9</f>
        <v>1</v>
      </c>
      <c r="D1569" s="14" t="str">
        <f>'Curvas SRY'!$B$14</f>
        <v>Uso variable</v>
      </c>
      <c r="E1569" s="14">
        <f>6</f>
        <v>6</v>
      </c>
      <c r="F1569" s="21">
        <f>'Hoja 4 - Cálculo'!A30</f>
        <v>29738</v>
      </c>
      <c r="G1569" s="15">
        <f>'Hoja 4 - Cálculo'!H30</f>
        <v>15.625125000000001</v>
      </c>
      <c r="H1569" s="15">
        <f>IF(D1569="Uso único",'Hoja 4 - Cálculo'!I30,IF(D1569="Uso múltiple",AVERAGE('Hoja 4 - Cálculo'!$I$25:$I$384)+AVERAGE('Hoja 4 - Cálculo'!$J$25:$J$384)+AVERAGE('Hoja 4 - Cálculo'!$K$25:$K$384),IF(D1569="Uso prioritario",'Hoja 4 - Cálculo'!I30+'Hoja 4 - Cálculo'!K30,'Hoja 4 - Cálculo'!I30+'Hoja 4 - Cálculo'!J30+'Hoja 4 - Cálculo'!K30)))</f>
        <v>11.5</v>
      </c>
      <c r="I1569" s="15">
        <f t="shared" si="349"/>
        <v>11.5</v>
      </c>
      <c r="J1569" s="15">
        <f t="shared" si="359"/>
        <v>10</v>
      </c>
      <c r="K1569" s="15">
        <f>MIN(J1569+G1569,(J1569+G1569)*'Hoja 4 - Cálculo'!$B$15)</f>
        <v>0.51250249999999997</v>
      </c>
      <c r="L1569" s="15">
        <f t="shared" si="350"/>
        <v>25.112622500000001</v>
      </c>
      <c r="M1569" s="15">
        <f t="shared" si="351"/>
        <v>11.5</v>
      </c>
      <c r="N1569" s="15">
        <f t="shared" si="352"/>
        <v>10</v>
      </c>
      <c r="O1569" s="15">
        <f t="shared" si="353"/>
        <v>3.6126225000000005</v>
      </c>
      <c r="P1569" s="15">
        <f t="shared" si="354"/>
        <v>0</v>
      </c>
      <c r="Q1569" s="14" t="str">
        <f>IF(M1569&gt;=I1569*'Hoja 4 - Cálculo'!$B$16,"Satisfactorio","Falla")</f>
        <v>Satisfactorio</v>
      </c>
      <c r="R1569" s="14">
        <f t="shared" si="360"/>
        <v>0</v>
      </c>
      <c r="S1569" s="14">
        <f t="shared" si="361"/>
        <v>0</v>
      </c>
    </row>
    <row r="1570" spans="1:19">
      <c r="A1570" s="14" t="str">
        <f t="shared" si="358"/>
        <v>SRY-5-2</v>
      </c>
      <c r="B1570" s="15">
        <f>'Curvas SRY'!$B$12</f>
        <v>10</v>
      </c>
      <c r="C1570" s="15">
        <f>'Curvas SRY'!$E$9</f>
        <v>1</v>
      </c>
      <c r="D1570" s="14" t="str">
        <f>'Curvas SRY'!$B$14</f>
        <v>Uso variable</v>
      </c>
      <c r="E1570" s="14">
        <f>7</f>
        <v>7</v>
      </c>
      <c r="F1570" s="21">
        <f>'Hoja 4 - Cálculo'!A31</f>
        <v>29768</v>
      </c>
      <c r="G1570" s="15">
        <f>'Hoja 4 - Cálculo'!H31</f>
        <v>12.794625</v>
      </c>
      <c r="H1570" s="15">
        <f>IF(D1570="Uso único",'Hoja 4 - Cálculo'!I31,IF(D1570="Uso múltiple",AVERAGE('Hoja 4 - Cálculo'!$I$25:$I$384)+AVERAGE('Hoja 4 - Cálculo'!$J$25:$J$384)+AVERAGE('Hoja 4 - Cálculo'!$K$25:$K$384),IF(D1570="Uso prioritario",'Hoja 4 - Cálculo'!I31+'Hoja 4 - Cálculo'!K31,'Hoja 4 - Cálculo'!I31+'Hoja 4 - Cálculo'!J31+'Hoja 4 - Cálculo'!K31)))</f>
        <v>16</v>
      </c>
      <c r="I1570" s="15">
        <f t="shared" si="349"/>
        <v>16</v>
      </c>
      <c r="J1570" s="15">
        <f t="shared" si="359"/>
        <v>10</v>
      </c>
      <c r="K1570" s="15">
        <f>MIN(J1570+G1570,(J1570+G1570)*'Hoja 4 - Cálculo'!$B$15)</f>
        <v>0.45589250000000003</v>
      </c>
      <c r="L1570" s="15">
        <f t="shared" si="350"/>
        <v>22.338732499999999</v>
      </c>
      <c r="M1570" s="15">
        <f t="shared" si="351"/>
        <v>16</v>
      </c>
      <c r="N1570" s="15">
        <f t="shared" si="352"/>
        <v>6.338732499999999</v>
      </c>
      <c r="O1570" s="15">
        <f t="shared" si="353"/>
        <v>0</v>
      </c>
      <c r="P1570" s="15">
        <f t="shared" si="354"/>
        <v>0</v>
      </c>
      <c r="Q1570" s="14" t="str">
        <f>IF(M1570&gt;=I1570*'Hoja 4 - Cálculo'!$B$16,"Satisfactorio","Falla")</f>
        <v>Satisfactorio</v>
      </c>
      <c r="R1570" s="14">
        <f t="shared" si="360"/>
        <v>0</v>
      </c>
      <c r="S1570" s="14">
        <f t="shared" si="361"/>
        <v>0</v>
      </c>
    </row>
    <row r="1571" spans="1:19">
      <c r="A1571" s="14" t="str">
        <f t="shared" si="358"/>
        <v>SRY-5-2</v>
      </c>
      <c r="B1571" s="15">
        <f>'Curvas SRY'!$B$12</f>
        <v>10</v>
      </c>
      <c r="C1571" s="15">
        <f>'Curvas SRY'!$E$9</f>
        <v>1</v>
      </c>
      <c r="D1571" s="14" t="str">
        <f>'Curvas SRY'!$B$14</f>
        <v>Uso variable</v>
      </c>
      <c r="E1571" s="14">
        <f>8</f>
        <v>8</v>
      </c>
      <c r="F1571" s="21">
        <f>'Hoja 4 - Cálculo'!A32</f>
        <v>29799</v>
      </c>
      <c r="G1571" s="15">
        <f>'Hoja 4 - Cálculo'!H32</f>
        <v>13.712624999999999</v>
      </c>
      <c r="H1571" s="15">
        <f>IF(D1571="Uso único",'Hoja 4 - Cálculo'!I32,IF(D1571="Uso múltiple",AVERAGE('Hoja 4 - Cálculo'!$I$25:$I$384)+AVERAGE('Hoja 4 - Cálculo'!$J$25:$J$384)+AVERAGE('Hoja 4 - Cálculo'!$K$25:$K$384),IF(D1571="Uso prioritario",'Hoja 4 - Cálculo'!I32+'Hoja 4 - Cálculo'!K32,'Hoja 4 - Cálculo'!I32+'Hoja 4 - Cálculo'!J32+'Hoja 4 - Cálculo'!K32)))</f>
        <v>16</v>
      </c>
      <c r="I1571" s="15">
        <f t="shared" si="349"/>
        <v>16</v>
      </c>
      <c r="J1571" s="15">
        <f t="shared" si="359"/>
        <v>6.338732499999999</v>
      </c>
      <c r="K1571" s="15">
        <f>MIN(J1571+G1571,(J1571+G1571)*'Hoja 4 - Cálculo'!$B$15)</f>
        <v>0.40102715</v>
      </c>
      <c r="L1571" s="15">
        <f t="shared" si="350"/>
        <v>19.650330349999997</v>
      </c>
      <c r="M1571" s="15">
        <f t="shared" si="351"/>
        <v>16</v>
      </c>
      <c r="N1571" s="15">
        <f t="shared" si="352"/>
        <v>3.6503303499999973</v>
      </c>
      <c r="O1571" s="15">
        <f t="shared" si="353"/>
        <v>0</v>
      </c>
      <c r="P1571" s="15">
        <f t="shared" si="354"/>
        <v>0</v>
      </c>
      <c r="Q1571" s="14" t="str">
        <f>IF(M1571&gt;=I1571*'Hoja 4 - Cálculo'!$B$16,"Satisfactorio","Falla")</f>
        <v>Satisfactorio</v>
      </c>
      <c r="R1571" s="14">
        <f t="shared" si="360"/>
        <v>0</v>
      </c>
      <c r="S1571" s="14">
        <f t="shared" si="361"/>
        <v>0</v>
      </c>
    </row>
    <row r="1572" spans="1:19">
      <c r="A1572" s="14" t="str">
        <f t="shared" si="358"/>
        <v>SRY-5-2</v>
      </c>
      <c r="B1572" s="15">
        <f>'Curvas SRY'!$B$12</f>
        <v>10</v>
      </c>
      <c r="C1572" s="15">
        <f>'Curvas SRY'!$E$9</f>
        <v>1</v>
      </c>
      <c r="D1572" s="14" t="str">
        <f>'Curvas SRY'!$B$14</f>
        <v>Uso variable</v>
      </c>
      <c r="E1572" s="14">
        <f>9</f>
        <v>9</v>
      </c>
      <c r="F1572" s="21">
        <f>'Hoja 4 - Cálculo'!A33</f>
        <v>29830</v>
      </c>
      <c r="G1572" s="15">
        <f>'Hoja 4 - Cálculo'!H33</f>
        <v>22.070250000000001</v>
      </c>
      <c r="H1572" s="15">
        <f>IF(D1572="Uso único",'Hoja 4 - Cálculo'!I33,IF(D1572="Uso múltiple",AVERAGE('Hoja 4 - Cálculo'!$I$25:$I$384)+AVERAGE('Hoja 4 - Cálculo'!$J$25:$J$384)+AVERAGE('Hoja 4 - Cálculo'!$K$25:$K$384),IF(D1572="Uso prioritario",'Hoja 4 - Cálculo'!I33+'Hoja 4 - Cálculo'!K33,'Hoja 4 - Cálculo'!I33+'Hoja 4 - Cálculo'!J33+'Hoja 4 - Cálculo'!K33)))</f>
        <v>11.5</v>
      </c>
      <c r="I1572" s="15">
        <f t="shared" si="349"/>
        <v>11.5</v>
      </c>
      <c r="J1572" s="15">
        <f t="shared" si="359"/>
        <v>3.6503303499999973</v>
      </c>
      <c r="K1572" s="15">
        <f>MIN(J1572+G1572,(J1572+G1572)*'Hoja 4 - Cálculo'!$B$15)</f>
        <v>0.51441160699999999</v>
      </c>
      <c r="L1572" s="15">
        <f t="shared" si="350"/>
        <v>25.206168742999999</v>
      </c>
      <c r="M1572" s="15">
        <f t="shared" si="351"/>
        <v>11.5</v>
      </c>
      <c r="N1572" s="15">
        <f t="shared" si="352"/>
        <v>10</v>
      </c>
      <c r="O1572" s="15">
        <f t="shared" si="353"/>
        <v>3.7061687429999992</v>
      </c>
      <c r="P1572" s="15">
        <f t="shared" si="354"/>
        <v>0</v>
      </c>
      <c r="Q1572" s="14" t="str">
        <f>IF(M1572&gt;=I1572*'Hoja 4 - Cálculo'!$B$16,"Satisfactorio","Falla")</f>
        <v>Satisfactorio</v>
      </c>
      <c r="R1572" s="14">
        <f t="shared" si="360"/>
        <v>0</v>
      </c>
      <c r="S1572" s="14">
        <f t="shared" si="361"/>
        <v>0</v>
      </c>
    </row>
    <row r="1573" spans="1:19">
      <c r="A1573" s="14" t="str">
        <f t="shared" si="358"/>
        <v>SRY-5-2</v>
      </c>
      <c r="B1573" s="15">
        <f>'Curvas SRY'!$B$12</f>
        <v>10</v>
      </c>
      <c r="C1573" s="15">
        <f>'Curvas SRY'!$E$9</f>
        <v>1</v>
      </c>
      <c r="D1573" s="14" t="str">
        <f>'Curvas SRY'!$B$14</f>
        <v>Uso variable</v>
      </c>
      <c r="E1573" s="14">
        <f>10</f>
        <v>10</v>
      </c>
      <c r="F1573" s="21">
        <f>'Hoja 4 - Cálculo'!A34</f>
        <v>29860</v>
      </c>
      <c r="G1573" s="15">
        <f>'Hoja 4 - Cálculo'!H34</f>
        <v>29.777625</v>
      </c>
      <c r="H1573" s="15">
        <f>IF(D1573="Uso único",'Hoja 4 - Cálculo'!I34,IF(D1573="Uso múltiple",AVERAGE('Hoja 4 - Cálculo'!$I$25:$I$384)+AVERAGE('Hoja 4 - Cálculo'!$J$25:$J$384)+AVERAGE('Hoja 4 - Cálculo'!$K$25:$K$384),IF(D1573="Uso prioritario",'Hoja 4 - Cálculo'!I34+'Hoja 4 - Cálculo'!K34,'Hoja 4 - Cálculo'!I34+'Hoja 4 - Cálculo'!J34+'Hoja 4 - Cálculo'!K34)))</f>
        <v>11.5</v>
      </c>
      <c r="I1573" s="15">
        <f t="shared" si="349"/>
        <v>11.5</v>
      </c>
      <c r="J1573" s="15">
        <f t="shared" si="359"/>
        <v>10</v>
      </c>
      <c r="K1573" s="15">
        <f>MIN(J1573+G1573,(J1573+G1573)*'Hoja 4 - Cálculo'!$B$15)</f>
        <v>0.7955525</v>
      </c>
      <c r="L1573" s="15">
        <f t="shared" si="350"/>
        <v>38.982072500000001</v>
      </c>
      <c r="M1573" s="15">
        <f t="shared" si="351"/>
        <v>11.5</v>
      </c>
      <c r="N1573" s="15">
        <f t="shared" si="352"/>
        <v>10</v>
      </c>
      <c r="O1573" s="15">
        <f t="shared" si="353"/>
        <v>17.482072500000001</v>
      </c>
      <c r="P1573" s="15">
        <f t="shared" si="354"/>
        <v>0</v>
      </c>
      <c r="Q1573" s="14" t="str">
        <f>IF(M1573&gt;=I1573*'Hoja 4 - Cálculo'!$B$16,"Satisfactorio","Falla")</f>
        <v>Satisfactorio</v>
      </c>
      <c r="R1573" s="14">
        <f t="shared" si="360"/>
        <v>0</v>
      </c>
      <c r="S1573" s="14">
        <f t="shared" si="361"/>
        <v>0</v>
      </c>
    </row>
    <row r="1574" spans="1:19">
      <c r="A1574" s="14" t="str">
        <f t="shared" si="358"/>
        <v>SRY-5-2</v>
      </c>
      <c r="B1574" s="15">
        <f>'Curvas SRY'!$B$12</f>
        <v>10</v>
      </c>
      <c r="C1574" s="15">
        <f>'Curvas SRY'!$E$9</f>
        <v>1</v>
      </c>
      <c r="D1574" s="14" t="str">
        <f>'Curvas SRY'!$B$14</f>
        <v>Uso variable</v>
      </c>
      <c r="E1574" s="14">
        <f>11</f>
        <v>11</v>
      </c>
      <c r="F1574" s="21">
        <f>'Hoja 4 - Cálculo'!A35</f>
        <v>29891</v>
      </c>
      <c r="G1574" s="15">
        <f>'Hoja 4 - Cálculo'!H35</f>
        <v>25.51275</v>
      </c>
      <c r="H1574" s="15">
        <f>IF(D1574="Uso único",'Hoja 4 - Cálculo'!I35,IF(D1574="Uso múltiple",AVERAGE('Hoja 4 - Cálculo'!$I$25:$I$384)+AVERAGE('Hoja 4 - Cálculo'!$J$25:$J$384)+AVERAGE('Hoja 4 - Cálculo'!$K$25:$K$384),IF(D1574="Uso prioritario",'Hoja 4 - Cálculo'!I35+'Hoja 4 - Cálculo'!K35,'Hoja 4 - Cálculo'!I35+'Hoja 4 - Cálculo'!J35+'Hoja 4 - Cálculo'!K35)))</f>
        <v>11.5</v>
      </c>
      <c r="I1574" s="15">
        <f t="shared" si="349"/>
        <v>11.5</v>
      </c>
      <c r="J1574" s="15">
        <f t="shared" si="359"/>
        <v>10</v>
      </c>
      <c r="K1574" s="15">
        <f>MIN(J1574+G1574,(J1574+G1574)*'Hoja 4 - Cálculo'!$B$15)</f>
        <v>0.71025499999999997</v>
      </c>
      <c r="L1574" s="15">
        <f t="shared" si="350"/>
        <v>34.802495</v>
      </c>
      <c r="M1574" s="15">
        <f t="shared" si="351"/>
        <v>11.5</v>
      </c>
      <c r="N1574" s="15">
        <f t="shared" si="352"/>
        <v>10</v>
      </c>
      <c r="O1574" s="15">
        <f t="shared" si="353"/>
        <v>13.302495</v>
      </c>
      <c r="P1574" s="15">
        <f t="shared" si="354"/>
        <v>0</v>
      </c>
      <c r="Q1574" s="14" t="str">
        <f>IF(M1574&gt;=I1574*'Hoja 4 - Cálculo'!$B$16,"Satisfactorio","Falla")</f>
        <v>Satisfactorio</v>
      </c>
      <c r="R1574" s="14">
        <f t="shared" si="360"/>
        <v>0</v>
      </c>
      <c r="S1574" s="14">
        <f t="shared" si="361"/>
        <v>0</v>
      </c>
    </row>
    <row r="1575" spans="1:19">
      <c r="A1575" s="14" t="str">
        <f t="shared" si="358"/>
        <v>SRY-5-2</v>
      </c>
      <c r="B1575" s="15">
        <f>'Curvas SRY'!$B$12</f>
        <v>10</v>
      </c>
      <c r="C1575" s="15">
        <f>'Curvas SRY'!$E$9</f>
        <v>1</v>
      </c>
      <c r="D1575" s="14" t="str">
        <f>'Curvas SRY'!$B$14</f>
        <v>Uso variable</v>
      </c>
      <c r="E1575" s="14">
        <f>12</f>
        <v>12</v>
      </c>
      <c r="F1575" s="21">
        <f>'Hoja 4 - Cálculo'!A36</f>
        <v>29921</v>
      </c>
      <c r="G1575" s="15">
        <f>'Hoja 4 - Cálculo'!H36</f>
        <v>15.3765</v>
      </c>
      <c r="H1575" s="15">
        <f>IF(D1575="Uso único",'Hoja 4 - Cálculo'!I36,IF(D1575="Uso múltiple",AVERAGE('Hoja 4 - Cálculo'!$I$25:$I$384)+AVERAGE('Hoja 4 - Cálculo'!$J$25:$J$384)+AVERAGE('Hoja 4 - Cálculo'!$K$25:$K$384),IF(D1575="Uso prioritario",'Hoja 4 - Cálculo'!I36+'Hoja 4 - Cálculo'!K36,'Hoja 4 - Cálculo'!I36+'Hoja 4 - Cálculo'!J36+'Hoja 4 - Cálculo'!K36)))</f>
        <v>16</v>
      </c>
      <c r="I1575" s="15">
        <f t="shared" si="349"/>
        <v>16</v>
      </c>
      <c r="J1575" s="15">
        <f t="shared" si="359"/>
        <v>10</v>
      </c>
      <c r="K1575" s="15">
        <f>MIN(J1575+G1575,(J1575+G1575)*'Hoja 4 - Cálculo'!$B$15)</f>
        <v>0.50753000000000004</v>
      </c>
      <c r="L1575" s="15">
        <f t="shared" si="350"/>
        <v>24.868970000000001</v>
      </c>
      <c r="M1575" s="15">
        <f t="shared" si="351"/>
        <v>16</v>
      </c>
      <c r="N1575" s="15">
        <f t="shared" si="352"/>
        <v>8.8689700000000009</v>
      </c>
      <c r="O1575" s="15">
        <f t="shared" si="353"/>
        <v>0</v>
      </c>
      <c r="P1575" s="15">
        <f t="shared" si="354"/>
        <v>0</v>
      </c>
      <c r="Q1575" s="14" t="str">
        <f>IF(M1575&gt;=I1575*'Hoja 4 - Cálculo'!$B$16,"Satisfactorio","Falla")</f>
        <v>Satisfactorio</v>
      </c>
      <c r="R1575" s="14">
        <f t="shared" si="360"/>
        <v>0</v>
      </c>
      <c r="S1575" s="14">
        <f t="shared" si="361"/>
        <v>0</v>
      </c>
    </row>
    <row r="1576" spans="1:19">
      <c r="A1576" s="14" t="str">
        <f t="shared" si="358"/>
        <v>SRY-5-2</v>
      </c>
      <c r="B1576" s="15">
        <f>'Curvas SRY'!$B$12</f>
        <v>10</v>
      </c>
      <c r="C1576" s="15">
        <f>'Curvas SRY'!$E$9</f>
        <v>1</v>
      </c>
      <c r="D1576" s="14" t="str">
        <f>'Curvas SRY'!$B$14</f>
        <v>Uso variable</v>
      </c>
      <c r="E1576" s="14">
        <f>13</f>
        <v>13</v>
      </c>
      <c r="F1576" s="21">
        <f>'Hoja 4 - Cálculo'!A37</f>
        <v>29952</v>
      </c>
      <c r="G1576" s="15">
        <f>'Hoja 4 - Cálculo'!H37</f>
        <v>13.808249999999999</v>
      </c>
      <c r="H1576" s="15">
        <f>IF(D1576="Uso único",'Hoja 4 - Cálculo'!I37,IF(D1576="Uso múltiple",AVERAGE('Hoja 4 - Cálculo'!$I$25:$I$384)+AVERAGE('Hoja 4 - Cálculo'!$J$25:$J$384)+AVERAGE('Hoja 4 - Cálculo'!$K$25:$K$384),IF(D1576="Uso prioritario",'Hoja 4 - Cálculo'!I37+'Hoja 4 - Cálculo'!K37,'Hoja 4 - Cálculo'!I37+'Hoja 4 - Cálculo'!J37+'Hoja 4 - Cálculo'!K37)))</f>
        <v>16</v>
      </c>
      <c r="I1576" s="15">
        <f t="shared" si="349"/>
        <v>16</v>
      </c>
      <c r="J1576" s="15">
        <f t="shared" si="359"/>
        <v>8.8689700000000009</v>
      </c>
      <c r="K1576" s="15">
        <f>MIN(J1576+G1576,(J1576+G1576)*'Hoja 4 - Cálculo'!$B$15)</f>
        <v>0.45354439999999996</v>
      </c>
      <c r="L1576" s="15">
        <f t="shared" si="350"/>
        <v>22.2236756</v>
      </c>
      <c r="M1576" s="15">
        <f t="shared" si="351"/>
        <v>16</v>
      </c>
      <c r="N1576" s="15">
        <f t="shared" si="352"/>
        <v>6.2236756</v>
      </c>
      <c r="O1576" s="15">
        <f t="shared" si="353"/>
        <v>0</v>
      </c>
      <c r="P1576" s="15">
        <f t="shared" si="354"/>
        <v>0</v>
      </c>
      <c r="Q1576" s="14" t="str">
        <f>IF(M1576&gt;=I1576*'Hoja 4 - Cálculo'!$B$16,"Satisfactorio","Falla")</f>
        <v>Satisfactorio</v>
      </c>
      <c r="R1576" s="14">
        <f t="shared" si="360"/>
        <v>0</v>
      </c>
      <c r="S1576" s="14">
        <f t="shared" si="361"/>
        <v>0</v>
      </c>
    </row>
    <row r="1577" spans="1:19">
      <c r="A1577" s="14" t="str">
        <f t="shared" si="358"/>
        <v>SRY-5-2</v>
      </c>
      <c r="B1577" s="15">
        <f>'Curvas SRY'!$B$12</f>
        <v>10</v>
      </c>
      <c r="C1577" s="15">
        <f>'Curvas SRY'!$E$9</f>
        <v>1</v>
      </c>
      <c r="D1577" s="14" t="str">
        <f>'Curvas SRY'!$B$14</f>
        <v>Uso variable</v>
      </c>
      <c r="E1577" s="14">
        <f>14</f>
        <v>14</v>
      </c>
      <c r="F1577" s="21">
        <f>'Hoja 4 - Cálculo'!A38</f>
        <v>29983</v>
      </c>
      <c r="G1577" s="15">
        <f>'Hoja 4 - Cálculo'!H38</f>
        <v>15.472125</v>
      </c>
      <c r="H1577" s="15">
        <f>IF(D1577="Uso único",'Hoja 4 - Cálculo'!I38,IF(D1577="Uso múltiple",AVERAGE('Hoja 4 - Cálculo'!$I$25:$I$384)+AVERAGE('Hoja 4 - Cálculo'!$J$25:$J$384)+AVERAGE('Hoja 4 - Cálculo'!$K$25:$K$384),IF(D1577="Uso prioritario",'Hoja 4 - Cálculo'!I38+'Hoja 4 - Cálculo'!K38,'Hoja 4 - Cálculo'!I38+'Hoja 4 - Cálculo'!J38+'Hoja 4 - Cálculo'!K38)))</f>
        <v>16</v>
      </c>
      <c r="I1577" s="15">
        <f t="shared" si="349"/>
        <v>16</v>
      </c>
      <c r="J1577" s="15">
        <f t="shared" si="359"/>
        <v>6.2236756</v>
      </c>
      <c r="K1577" s="15">
        <f>MIN(J1577+G1577,(J1577+G1577)*'Hoja 4 - Cálculo'!$B$15)</f>
        <v>0.43391601199999996</v>
      </c>
      <c r="L1577" s="15">
        <f t="shared" si="350"/>
        <v>21.261884587999997</v>
      </c>
      <c r="M1577" s="15">
        <f t="shared" si="351"/>
        <v>16</v>
      </c>
      <c r="N1577" s="15">
        <f t="shared" si="352"/>
        <v>5.2618845879999974</v>
      </c>
      <c r="O1577" s="15">
        <f t="shared" si="353"/>
        <v>0</v>
      </c>
      <c r="P1577" s="15">
        <f t="shared" si="354"/>
        <v>0</v>
      </c>
      <c r="Q1577" s="14" t="str">
        <f>IF(M1577&gt;=I1577*'Hoja 4 - Cálculo'!$B$16,"Satisfactorio","Falla")</f>
        <v>Satisfactorio</v>
      </c>
      <c r="R1577" s="14">
        <f t="shared" si="360"/>
        <v>0</v>
      </c>
      <c r="S1577" s="14">
        <f t="shared" si="361"/>
        <v>0</v>
      </c>
    </row>
    <row r="1578" spans="1:19">
      <c r="A1578" s="14" t="str">
        <f t="shared" si="358"/>
        <v>SRY-5-2</v>
      </c>
      <c r="B1578" s="15">
        <f>'Curvas SRY'!$B$12</f>
        <v>10</v>
      </c>
      <c r="C1578" s="15">
        <f>'Curvas SRY'!$E$9</f>
        <v>1</v>
      </c>
      <c r="D1578" s="14" t="str">
        <f>'Curvas SRY'!$B$14</f>
        <v>Uso variable</v>
      </c>
      <c r="E1578" s="14">
        <f>15</f>
        <v>15</v>
      </c>
      <c r="F1578" s="21">
        <f>'Hoja 4 - Cálculo'!A39</f>
        <v>30011</v>
      </c>
      <c r="G1578" s="15">
        <f>'Hoja 4 - Cálculo'!H39</f>
        <v>22.338000000000001</v>
      </c>
      <c r="H1578" s="15">
        <f>IF(D1578="Uso único",'Hoja 4 - Cálculo'!I39,IF(D1578="Uso múltiple",AVERAGE('Hoja 4 - Cálculo'!$I$25:$I$384)+AVERAGE('Hoja 4 - Cálculo'!$J$25:$J$384)+AVERAGE('Hoja 4 - Cálculo'!$K$25:$K$384),IF(D1578="Uso prioritario",'Hoja 4 - Cálculo'!I39+'Hoja 4 - Cálculo'!K39,'Hoja 4 - Cálculo'!I39+'Hoja 4 - Cálculo'!J39+'Hoja 4 - Cálculo'!K39)))</f>
        <v>16</v>
      </c>
      <c r="I1578" s="15">
        <f t="shared" si="349"/>
        <v>16</v>
      </c>
      <c r="J1578" s="15">
        <f t="shared" si="359"/>
        <v>5.2618845879999974</v>
      </c>
      <c r="K1578" s="15">
        <f>MIN(J1578+G1578,(J1578+G1578)*'Hoja 4 - Cálculo'!$B$15)</f>
        <v>0.55199769176000002</v>
      </c>
      <c r="L1578" s="15">
        <f t="shared" si="350"/>
        <v>27.047886896239998</v>
      </c>
      <c r="M1578" s="15">
        <f t="shared" si="351"/>
        <v>16</v>
      </c>
      <c r="N1578" s="15">
        <f t="shared" si="352"/>
        <v>10</v>
      </c>
      <c r="O1578" s="15">
        <f t="shared" si="353"/>
        <v>1.0478868962399979</v>
      </c>
      <c r="P1578" s="15">
        <f t="shared" si="354"/>
        <v>0</v>
      </c>
      <c r="Q1578" s="14" t="str">
        <f>IF(M1578&gt;=I1578*'Hoja 4 - Cálculo'!$B$16,"Satisfactorio","Falla")</f>
        <v>Satisfactorio</v>
      </c>
      <c r="R1578" s="14">
        <f t="shared" si="360"/>
        <v>0</v>
      </c>
      <c r="S1578" s="14">
        <f t="shared" si="361"/>
        <v>0</v>
      </c>
    </row>
    <row r="1579" spans="1:19">
      <c r="A1579" s="14" t="str">
        <f t="shared" si="358"/>
        <v>SRY-5-2</v>
      </c>
      <c r="B1579" s="15">
        <f>'Curvas SRY'!$B$12</f>
        <v>10</v>
      </c>
      <c r="C1579" s="15">
        <f>'Curvas SRY'!$E$9</f>
        <v>1</v>
      </c>
      <c r="D1579" s="14" t="str">
        <f>'Curvas SRY'!$B$14</f>
        <v>Uso variable</v>
      </c>
      <c r="E1579" s="14">
        <f>16</f>
        <v>16</v>
      </c>
      <c r="F1579" s="21">
        <f>'Hoja 4 - Cálculo'!A40</f>
        <v>30042</v>
      </c>
      <c r="G1579" s="15">
        <f>'Hoja 4 - Cálculo'!H40</f>
        <v>31.670999999999999</v>
      </c>
      <c r="H1579" s="15">
        <f>IF(D1579="Uso único",'Hoja 4 - Cálculo'!I40,IF(D1579="Uso múltiple",AVERAGE('Hoja 4 - Cálculo'!$I$25:$I$384)+AVERAGE('Hoja 4 - Cálculo'!$J$25:$J$384)+AVERAGE('Hoja 4 - Cálculo'!$K$25:$K$384),IF(D1579="Uso prioritario",'Hoja 4 - Cálculo'!I40+'Hoja 4 - Cálculo'!K40,'Hoja 4 - Cálculo'!I40+'Hoja 4 - Cálculo'!J40+'Hoja 4 - Cálculo'!K40)))</f>
        <v>11.5</v>
      </c>
      <c r="I1579" s="15">
        <f t="shared" si="349"/>
        <v>11.5</v>
      </c>
      <c r="J1579" s="15">
        <f t="shared" si="359"/>
        <v>10</v>
      </c>
      <c r="K1579" s="15">
        <f>MIN(J1579+G1579,(J1579+G1579)*'Hoja 4 - Cálculo'!$B$15)</f>
        <v>0.83342000000000005</v>
      </c>
      <c r="L1579" s="15">
        <f t="shared" si="350"/>
        <v>40.837580000000003</v>
      </c>
      <c r="M1579" s="15">
        <f t="shared" si="351"/>
        <v>11.5</v>
      </c>
      <c r="N1579" s="15">
        <f t="shared" si="352"/>
        <v>10</v>
      </c>
      <c r="O1579" s="15">
        <f t="shared" si="353"/>
        <v>19.337580000000003</v>
      </c>
      <c r="P1579" s="15">
        <f t="shared" si="354"/>
        <v>0</v>
      </c>
      <c r="Q1579" s="14" t="str">
        <f>IF(M1579&gt;=I1579*'Hoja 4 - Cálculo'!$B$16,"Satisfactorio","Falla")</f>
        <v>Satisfactorio</v>
      </c>
      <c r="R1579" s="14">
        <f t="shared" si="360"/>
        <v>0</v>
      </c>
      <c r="S1579" s="14">
        <f t="shared" si="361"/>
        <v>0</v>
      </c>
    </row>
    <row r="1580" spans="1:19">
      <c r="A1580" s="14" t="str">
        <f t="shared" si="358"/>
        <v>SRY-5-2</v>
      </c>
      <c r="B1580" s="15">
        <f>'Curvas SRY'!$B$12</f>
        <v>10</v>
      </c>
      <c r="C1580" s="15">
        <f>'Curvas SRY'!$E$9</f>
        <v>1</v>
      </c>
      <c r="D1580" s="14" t="str">
        <f>'Curvas SRY'!$B$14</f>
        <v>Uso variable</v>
      </c>
      <c r="E1580" s="14">
        <f>17</f>
        <v>17</v>
      </c>
      <c r="F1580" s="21">
        <f>'Hoja 4 - Cálculo'!A41</f>
        <v>30072</v>
      </c>
      <c r="G1580" s="15">
        <f>'Hoja 4 - Cálculo'!H41</f>
        <v>29.299499999999998</v>
      </c>
      <c r="H1580" s="15">
        <f>IF(D1580="Uso único",'Hoja 4 - Cálculo'!I41,IF(D1580="Uso múltiple",AVERAGE('Hoja 4 - Cálculo'!$I$25:$I$384)+AVERAGE('Hoja 4 - Cálculo'!$J$25:$J$384)+AVERAGE('Hoja 4 - Cálculo'!$K$25:$K$384),IF(D1580="Uso prioritario",'Hoja 4 - Cálculo'!I41+'Hoja 4 - Cálculo'!K41,'Hoja 4 - Cálculo'!I41+'Hoja 4 - Cálculo'!J41+'Hoja 4 - Cálculo'!K41)))</f>
        <v>11.5</v>
      </c>
      <c r="I1580" s="15">
        <f t="shared" si="349"/>
        <v>11.5</v>
      </c>
      <c r="J1580" s="15">
        <f t="shared" si="359"/>
        <v>10</v>
      </c>
      <c r="K1580" s="15">
        <f>MIN(J1580+G1580,(J1580+G1580)*'Hoja 4 - Cálculo'!$B$15)</f>
        <v>0.78598999999999997</v>
      </c>
      <c r="L1580" s="15">
        <f t="shared" si="350"/>
        <v>38.513509999999997</v>
      </c>
      <c r="M1580" s="15">
        <f t="shared" si="351"/>
        <v>11.5</v>
      </c>
      <c r="N1580" s="15">
        <f t="shared" si="352"/>
        <v>10</v>
      </c>
      <c r="O1580" s="15">
        <f t="shared" si="353"/>
        <v>17.013509999999997</v>
      </c>
      <c r="P1580" s="15">
        <f t="shared" si="354"/>
        <v>0</v>
      </c>
      <c r="Q1580" s="14" t="str">
        <f>IF(M1580&gt;=I1580*'Hoja 4 - Cálculo'!$B$16,"Satisfactorio","Falla")</f>
        <v>Satisfactorio</v>
      </c>
      <c r="R1580" s="14">
        <f t="shared" si="360"/>
        <v>0</v>
      </c>
      <c r="S1580" s="14">
        <f t="shared" si="361"/>
        <v>0</v>
      </c>
    </row>
    <row r="1581" spans="1:19">
      <c r="A1581" s="14" t="str">
        <f t="shared" si="358"/>
        <v>SRY-5-2</v>
      </c>
      <c r="B1581" s="15">
        <f>'Curvas SRY'!$B$12</f>
        <v>10</v>
      </c>
      <c r="C1581" s="15">
        <f>'Curvas SRY'!$E$9</f>
        <v>1</v>
      </c>
      <c r="D1581" s="14" t="str">
        <f>'Curvas SRY'!$B$14</f>
        <v>Uso variable</v>
      </c>
      <c r="E1581" s="14">
        <f>18</f>
        <v>18</v>
      </c>
      <c r="F1581" s="21">
        <f>'Hoja 4 - Cálculo'!A42</f>
        <v>30103</v>
      </c>
      <c r="G1581" s="15">
        <f>'Hoja 4 - Cálculo'!H42</f>
        <v>18.321750000000002</v>
      </c>
      <c r="H1581" s="15">
        <f>IF(D1581="Uso único",'Hoja 4 - Cálculo'!I42,IF(D1581="Uso múltiple",AVERAGE('Hoja 4 - Cálculo'!$I$25:$I$384)+AVERAGE('Hoja 4 - Cálculo'!$J$25:$J$384)+AVERAGE('Hoja 4 - Cálculo'!$K$25:$K$384),IF(D1581="Uso prioritario",'Hoja 4 - Cálculo'!I42+'Hoja 4 - Cálculo'!K42,'Hoja 4 - Cálculo'!I42+'Hoja 4 - Cálculo'!J42+'Hoja 4 - Cálculo'!K42)))</f>
        <v>11.5</v>
      </c>
      <c r="I1581" s="15">
        <f t="shared" si="349"/>
        <v>11.5</v>
      </c>
      <c r="J1581" s="15">
        <f t="shared" si="359"/>
        <v>10</v>
      </c>
      <c r="K1581" s="15">
        <f>MIN(J1581+G1581,(J1581+G1581)*'Hoja 4 - Cálculo'!$B$15)</f>
        <v>0.56643500000000002</v>
      </c>
      <c r="L1581" s="15">
        <f t="shared" si="350"/>
        <v>27.755315000000003</v>
      </c>
      <c r="M1581" s="15">
        <f t="shared" si="351"/>
        <v>11.5</v>
      </c>
      <c r="N1581" s="15">
        <f t="shared" si="352"/>
        <v>10</v>
      </c>
      <c r="O1581" s="15">
        <f t="shared" si="353"/>
        <v>6.2553150000000031</v>
      </c>
      <c r="P1581" s="15">
        <f t="shared" si="354"/>
        <v>0</v>
      </c>
      <c r="Q1581" s="14" t="str">
        <f>IF(M1581&gt;=I1581*'Hoja 4 - Cálculo'!$B$16,"Satisfactorio","Falla")</f>
        <v>Satisfactorio</v>
      </c>
      <c r="R1581" s="14">
        <f t="shared" si="360"/>
        <v>0</v>
      </c>
      <c r="S1581" s="14">
        <f t="shared" si="361"/>
        <v>0</v>
      </c>
    </row>
    <row r="1582" spans="1:19">
      <c r="A1582" s="14" t="str">
        <f t="shared" si="358"/>
        <v>SRY-5-2</v>
      </c>
      <c r="B1582" s="15">
        <f>'Curvas SRY'!$B$12</f>
        <v>10</v>
      </c>
      <c r="C1582" s="15">
        <f>'Curvas SRY'!$E$9</f>
        <v>1</v>
      </c>
      <c r="D1582" s="14" t="str">
        <f>'Curvas SRY'!$B$14</f>
        <v>Uso variable</v>
      </c>
      <c r="E1582" s="14">
        <f>19</f>
        <v>19</v>
      </c>
      <c r="F1582" s="21">
        <f>'Hoja 4 - Cálculo'!A43</f>
        <v>30133</v>
      </c>
      <c r="G1582" s="15">
        <f>'Hoja 4 - Cálculo'!H43</f>
        <v>15.3765</v>
      </c>
      <c r="H1582" s="15">
        <f>IF(D1582="Uso único",'Hoja 4 - Cálculo'!I43,IF(D1582="Uso múltiple",AVERAGE('Hoja 4 - Cálculo'!$I$25:$I$384)+AVERAGE('Hoja 4 - Cálculo'!$J$25:$J$384)+AVERAGE('Hoja 4 - Cálculo'!$K$25:$K$384),IF(D1582="Uso prioritario",'Hoja 4 - Cálculo'!I43+'Hoja 4 - Cálculo'!K43,'Hoja 4 - Cálculo'!I43+'Hoja 4 - Cálculo'!J43+'Hoja 4 - Cálculo'!K43)))</f>
        <v>16</v>
      </c>
      <c r="I1582" s="15">
        <f t="shared" si="349"/>
        <v>16</v>
      </c>
      <c r="J1582" s="15">
        <f t="shared" si="359"/>
        <v>10</v>
      </c>
      <c r="K1582" s="15">
        <f>MIN(J1582+G1582,(J1582+G1582)*'Hoja 4 - Cálculo'!$B$15)</f>
        <v>0.50753000000000004</v>
      </c>
      <c r="L1582" s="15">
        <f t="shared" si="350"/>
        <v>24.868970000000001</v>
      </c>
      <c r="M1582" s="15">
        <f t="shared" si="351"/>
        <v>16</v>
      </c>
      <c r="N1582" s="15">
        <f t="shared" si="352"/>
        <v>8.8689700000000009</v>
      </c>
      <c r="O1582" s="15">
        <f t="shared" si="353"/>
        <v>0</v>
      </c>
      <c r="P1582" s="15">
        <f t="shared" si="354"/>
        <v>0</v>
      </c>
      <c r="Q1582" s="14" t="str">
        <f>IF(M1582&gt;=I1582*'Hoja 4 - Cálculo'!$B$16,"Satisfactorio","Falla")</f>
        <v>Satisfactorio</v>
      </c>
      <c r="R1582" s="14">
        <f t="shared" si="360"/>
        <v>0</v>
      </c>
      <c r="S1582" s="14">
        <f t="shared" si="361"/>
        <v>0</v>
      </c>
    </row>
    <row r="1583" spans="1:19">
      <c r="A1583" s="14" t="str">
        <f t="shared" si="358"/>
        <v>SRY-5-2</v>
      </c>
      <c r="B1583" s="15">
        <f>'Curvas SRY'!$B$12</f>
        <v>10</v>
      </c>
      <c r="C1583" s="15">
        <f>'Curvas SRY'!$E$9</f>
        <v>1</v>
      </c>
      <c r="D1583" s="14" t="str">
        <f>'Curvas SRY'!$B$14</f>
        <v>Uso variable</v>
      </c>
      <c r="E1583" s="14">
        <f>20</f>
        <v>20</v>
      </c>
      <c r="F1583" s="21">
        <f>'Hoja 4 - Cálculo'!A44</f>
        <v>30164</v>
      </c>
      <c r="G1583" s="15">
        <f>'Hoja 4 - Cálculo'!H44</f>
        <v>16.466625000000001</v>
      </c>
      <c r="H1583" s="15">
        <f>IF(D1583="Uso único",'Hoja 4 - Cálculo'!I44,IF(D1583="Uso múltiple",AVERAGE('Hoja 4 - Cálculo'!$I$25:$I$384)+AVERAGE('Hoja 4 - Cálculo'!$J$25:$J$384)+AVERAGE('Hoja 4 - Cálculo'!$K$25:$K$384),IF(D1583="Uso prioritario",'Hoja 4 - Cálculo'!I44+'Hoja 4 - Cálculo'!K44,'Hoja 4 - Cálculo'!I44+'Hoja 4 - Cálculo'!J44+'Hoja 4 - Cálculo'!K44)))</f>
        <v>16</v>
      </c>
      <c r="I1583" s="15">
        <f t="shared" si="349"/>
        <v>16</v>
      </c>
      <c r="J1583" s="15">
        <f t="shared" si="359"/>
        <v>8.8689700000000009</v>
      </c>
      <c r="K1583" s="15">
        <f>MIN(J1583+G1583,(J1583+G1583)*'Hoja 4 - Cálculo'!$B$15)</f>
        <v>0.50671189999999999</v>
      </c>
      <c r="L1583" s="15">
        <f t="shared" si="350"/>
        <v>24.828883100000002</v>
      </c>
      <c r="M1583" s="15">
        <f t="shared" si="351"/>
        <v>16</v>
      </c>
      <c r="N1583" s="15">
        <f t="shared" si="352"/>
        <v>8.8288831000000023</v>
      </c>
      <c r="O1583" s="15">
        <f t="shared" si="353"/>
        <v>0</v>
      </c>
      <c r="P1583" s="15">
        <f t="shared" si="354"/>
        <v>0</v>
      </c>
      <c r="Q1583" s="14" t="str">
        <f>IF(M1583&gt;=I1583*'Hoja 4 - Cálculo'!$B$16,"Satisfactorio","Falla")</f>
        <v>Satisfactorio</v>
      </c>
      <c r="R1583" s="14">
        <f t="shared" si="360"/>
        <v>0</v>
      </c>
      <c r="S1583" s="14">
        <f t="shared" si="361"/>
        <v>0</v>
      </c>
    </row>
    <row r="1584" spans="1:19">
      <c r="A1584" s="14" t="str">
        <f t="shared" si="358"/>
        <v>SRY-5-2</v>
      </c>
      <c r="B1584" s="15">
        <f>'Curvas SRY'!$B$12</f>
        <v>10</v>
      </c>
      <c r="C1584" s="15">
        <f>'Curvas SRY'!$E$9</f>
        <v>1</v>
      </c>
      <c r="D1584" s="14" t="str">
        <f>'Curvas SRY'!$B$14</f>
        <v>Uso variable</v>
      </c>
      <c r="E1584" s="14">
        <f>21</f>
        <v>21</v>
      </c>
      <c r="F1584" s="21">
        <f>'Hoja 4 - Cálculo'!A45</f>
        <v>30195</v>
      </c>
      <c r="G1584" s="15">
        <f>'Hoja 4 - Cálculo'!H45</f>
        <v>25.837875</v>
      </c>
      <c r="H1584" s="15">
        <f>IF(D1584="Uso único",'Hoja 4 - Cálculo'!I45,IF(D1584="Uso múltiple",AVERAGE('Hoja 4 - Cálculo'!$I$25:$I$384)+AVERAGE('Hoja 4 - Cálculo'!$J$25:$J$384)+AVERAGE('Hoja 4 - Cálculo'!$K$25:$K$384),IF(D1584="Uso prioritario",'Hoja 4 - Cálculo'!I45+'Hoja 4 - Cálculo'!K45,'Hoja 4 - Cálculo'!I45+'Hoja 4 - Cálculo'!J45+'Hoja 4 - Cálculo'!K45)))</f>
        <v>11.5</v>
      </c>
      <c r="I1584" s="15">
        <f t="shared" si="349"/>
        <v>11.5</v>
      </c>
      <c r="J1584" s="15">
        <f t="shared" si="359"/>
        <v>8.8288831000000023</v>
      </c>
      <c r="K1584" s="15">
        <f>MIN(J1584+G1584,(J1584+G1584)*'Hoja 4 - Cálculo'!$B$15)</f>
        <v>0.69333516200000012</v>
      </c>
      <c r="L1584" s="15">
        <f t="shared" si="350"/>
        <v>33.973422938000006</v>
      </c>
      <c r="M1584" s="15">
        <f t="shared" si="351"/>
        <v>11.5</v>
      </c>
      <c r="N1584" s="15">
        <f t="shared" si="352"/>
        <v>10</v>
      </c>
      <c r="O1584" s="15">
        <f t="shared" si="353"/>
        <v>12.473422938000006</v>
      </c>
      <c r="P1584" s="15">
        <f t="shared" si="354"/>
        <v>0</v>
      </c>
      <c r="Q1584" s="14" t="str">
        <f>IF(M1584&gt;=I1584*'Hoja 4 - Cálculo'!$B$16,"Satisfactorio","Falla")</f>
        <v>Satisfactorio</v>
      </c>
      <c r="R1584" s="14">
        <f t="shared" si="360"/>
        <v>0</v>
      </c>
      <c r="S1584" s="14">
        <f t="shared" si="361"/>
        <v>0</v>
      </c>
    </row>
    <row r="1585" spans="1:19">
      <c r="A1585" s="14" t="str">
        <f t="shared" si="358"/>
        <v>SRY-5-2</v>
      </c>
      <c r="B1585" s="15">
        <f>'Curvas SRY'!$B$12</f>
        <v>10</v>
      </c>
      <c r="C1585" s="15">
        <f>'Curvas SRY'!$E$9</f>
        <v>1</v>
      </c>
      <c r="D1585" s="14" t="str">
        <f>'Curvas SRY'!$B$14</f>
        <v>Uso variable</v>
      </c>
      <c r="E1585" s="14">
        <f>22</f>
        <v>22</v>
      </c>
      <c r="F1585" s="21">
        <f>'Hoja 4 - Cálculo'!A46</f>
        <v>30225</v>
      </c>
      <c r="G1585" s="15">
        <f>'Hoja 4 - Cálculo'!H46</f>
        <v>33.46875</v>
      </c>
      <c r="H1585" s="15">
        <f>IF(D1585="Uso único",'Hoja 4 - Cálculo'!I46,IF(D1585="Uso múltiple",AVERAGE('Hoja 4 - Cálculo'!$I$25:$I$384)+AVERAGE('Hoja 4 - Cálculo'!$J$25:$J$384)+AVERAGE('Hoja 4 - Cálculo'!$K$25:$K$384),IF(D1585="Uso prioritario",'Hoja 4 - Cálculo'!I46+'Hoja 4 - Cálculo'!K46,'Hoja 4 - Cálculo'!I46+'Hoja 4 - Cálculo'!J46+'Hoja 4 - Cálculo'!K46)))</f>
        <v>11.5</v>
      </c>
      <c r="I1585" s="15">
        <f t="shared" si="349"/>
        <v>11.5</v>
      </c>
      <c r="J1585" s="15">
        <f t="shared" si="359"/>
        <v>10</v>
      </c>
      <c r="K1585" s="15">
        <f>MIN(J1585+G1585,(J1585+G1585)*'Hoja 4 - Cálculo'!$B$15)</f>
        <v>0.86937500000000001</v>
      </c>
      <c r="L1585" s="15">
        <f t="shared" si="350"/>
        <v>42.599375000000002</v>
      </c>
      <c r="M1585" s="15">
        <f t="shared" si="351"/>
        <v>11.5</v>
      </c>
      <c r="N1585" s="15">
        <f t="shared" si="352"/>
        <v>10</v>
      </c>
      <c r="O1585" s="15">
        <f t="shared" si="353"/>
        <v>21.099375000000002</v>
      </c>
      <c r="P1585" s="15">
        <f t="shared" si="354"/>
        <v>0</v>
      </c>
      <c r="Q1585" s="14" t="str">
        <f>IF(M1585&gt;=I1585*'Hoja 4 - Cálculo'!$B$16,"Satisfactorio","Falla")</f>
        <v>Satisfactorio</v>
      </c>
      <c r="R1585" s="14">
        <f t="shared" si="360"/>
        <v>0</v>
      </c>
      <c r="S1585" s="14">
        <f t="shared" si="361"/>
        <v>0</v>
      </c>
    </row>
    <row r="1586" spans="1:19">
      <c r="A1586" s="14" t="str">
        <f t="shared" si="358"/>
        <v>SRY-5-2</v>
      </c>
      <c r="B1586" s="15">
        <f>'Curvas SRY'!$B$12</f>
        <v>10</v>
      </c>
      <c r="C1586" s="15">
        <f>'Curvas SRY'!$E$9</f>
        <v>1</v>
      </c>
      <c r="D1586" s="14" t="str">
        <f>'Curvas SRY'!$B$14</f>
        <v>Uso variable</v>
      </c>
      <c r="E1586" s="14">
        <f>23</f>
        <v>23</v>
      </c>
      <c r="F1586" s="21">
        <f>'Hoja 4 - Cálculo'!A47</f>
        <v>30256</v>
      </c>
      <c r="G1586" s="15">
        <f>'Hoja 4 - Cálculo'!H47</f>
        <v>27.578250000000001</v>
      </c>
      <c r="H1586" s="15">
        <f>IF(D1586="Uso único",'Hoja 4 - Cálculo'!I47,IF(D1586="Uso múltiple",AVERAGE('Hoja 4 - Cálculo'!$I$25:$I$384)+AVERAGE('Hoja 4 - Cálculo'!$J$25:$J$384)+AVERAGE('Hoja 4 - Cálculo'!$K$25:$K$384),IF(D1586="Uso prioritario",'Hoja 4 - Cálculo'!I47+'Hoja 4 - Cálculo'!K47,'Hoja 4 - Cálculo'!I47+'Hoja 4 - Cálculo'!J47+'Hoja 4 - Cálculo'!K47)))</f>
        <v>11.5</v>
      </c>
      <c r="I1586" s="15">
        <f t="shared" si="349"/>
        <v>11.5</v>
      </c>
      <c r="J1586" s="15">
        <f t="shared" si="359"/>
        <v>10</v>
      </c>
      <c r="K1586" s="15">
        <f>MIN(J1586+G1586,(J1586+G1586)*'Hoja 4 - Cálculo'!$B$15)</f>
        <v>0.75156499999999993</v>
      </c>
      <c r="L1586" s="15">
        <f t="shared" si="350"/>
        <v>36.826684999999998</v>
      </c>
      <c r="M1586" s="15">
        <f t="shared" si="351"/>
        <v>11.5</v>
      </c>
      <c r="N1586" s="15">
        <f t="shared" si="352"/>
        <v>10</v>
      </c>
      <c r="O1586" s="15">
        <f t="shared" si="353"/>
        <v>15.326684999999998</v>
      </c>
      <c r="P1586" s="15">
        <f t="shared" si="354"/>
        <v>0</v>
      </c>
      <c r="Q1586" s="14" t="str">
        <f>IF(M1586&gt;=I1586*'Hoja 4 - Cálculo'!$B$16,"Satisfactorio","Falla")</f>
        <v>Satisfactorio</v>
      </c>
      <c r="R1586" s="14">
        <f t="shared" si="360"/>
        <v>0</v>
      </c>
      <c r="S1586" s="14">
        <f t="shared" si="361"/>
        <v>0</v>
      </c>
    </row>
    <row r="1587" spans="1:19">
      <c r="A1587" s="14" t="str">
        <f t="shared" si="358"/>
        <v>SRY-5-2</v>
      </c>
      <c r="B1587" s="15">
        <f>'Curvas SRY'!$B$12</f>
        <v>10</v>
      </c>
      <c r="C1587" s="15">
        <f>'Curvas SRY'!$E$9</f>
        <v>1</v>
      </c>
      <c r="D1587" s="14" t="str">
        <f>'Curvas SRY'!$B$14</f>
        <v>Uso variable</v>
      </c>
      <c r="E1587" s="14">
        <f>24</f>
        <v>24</v>
      </c>
      <c r="F1587" s="21">
        <f>'Hoja 4 - Cálculo'!A48</f>
        <v>30286</v>
      </c>
      <c r="G1587" s="15">
        <f>'Hoja 4 - Cálculo'!H48</f>
        <v>16.256250000000001</v>
      </c>
      <c r="H1587" s="15">
        <f>IF(D1587="Uso único",'Hoja 4 - Cálculo'!I48,IF(D1587="Uso múltiple",AVERAGE('Hoja 4 - Cálculo'!$I$25:$I$384)+AVERAGE('Hoja 4 - Cálculo'!$J$25:$J$384)+AVERAGE('Hoja 4 - Cálculo'!$K$25:$K$384),IF(D1587="Uso prioritario",'Hoja 4 - Cálculo'!I48+'Hoja 4 - Cálculo'!K48,'Hoja 4 - Cálculo'!I48+'Hoja 4 - Cálculo'!J48+'Hoja 4 - Cálculo'!K48)))</f>
        <v>16</v>
      </c>
      <c r="I1587" s="15">
        <f t="shared" si="349"/>
        <v>16</v>
      </c>
      <c r="J1587" s="15">
        <f t="shared" si="359"/>
        <v>10</v>
      </c>
      <c r="K1587" s="15">
        <f>MIN(J1587+G1587,(J1587+G1587)*'Hoja 4 - Cálculo'!$B$15)</f>
        <v>0.52512500000000006</v>
      </c>
      <c r="L1587" s="15">
        <f t="shared" si="350"/>
        <v>25.731125000000002</v>
      </c>
      <c r="M1587" s="15">
        <f t="shared" si="351"/>
        <v>16</v>
      </c>
      <c r="N1587" s="15">
        <f t="shared" si="352"/>
        <v>9.7311250000000022</v>
      </c>
      <c r="O1587" s="15">
        <f t="shared" si="353"/>
        <v>0</v>
      </c>
      <c r="P1587" s="15">
        <f t="shared" si="354"/>
        <v>0</v>
      </c>
      <c r="Q1587" s="14" t="str">
        <f>IF(M1587&gt;=I1587*'Hoja 4 - Cálculo'!$B$16,"Satisfactorio","Falla")</f>
        <v>Satisfactorio</v>
      </c>
      <c r="R1587" s="14">
        <f t="shared" si="360"/>
        <v>0</v>
      </c>
      <c r="S1587" s="14">
        <f t="shared" si="361"/>
        <v>0</v>
      </c>
    </row>
    <row r="1588" spans="1:19">
      <c r="A1588" s="14" t="str">
        <f t="shared" si="358"/>
        <v>SRY-5-2</v>
      </c>
      <c r="B1588" s="15">
        <f>'Curvas SRY'!$B$12</f>
        <v>10</v>
      </c>
      <c r="C1588" s="15">
        <f>'Curvas SRY'!$E$9</f>
        <v>1</v>
      </c>
      <c r="D1588" s="14" t="str">
        <f>'Curvas SRY'!$B$14</f>
        <v>Uso variable</v>
      </c>
      <c r="E1588" s="14">
        <f>25</f>
        <v>25</v>
      </c>
      <c r="F1588" s="21">
        <f>'Hoja 4 - Cálculo'!A49</f>
        <v>30317</v>
      </c>
      <c r="G1588" s="15">
        <f>'Hoja 4 - Cálculo'!H49</f>
        <v>12.775499999999999</v>
      </c>
      <c r="H1588" s="15">
        <f>IF(D1588="Uso único",'Hoja 4 - Cálculo'!I49,IF(D1588="Uso múltiple",AVERAGE('Hoja 4 - Cálculo'!$I$25:$I$384)+AVERAGE('Hoja 4 - Cálculo'!$J$25:$J$384)+AVERAGE('Hoja 4 - Cálculo'!$K$25:$K$384),IF(D1588="Uso prioritario",'Hoja 4 - Cálculo'!I49+'Hoja 4 - Cálculo'!K49,'Hoja 4 - Cálculo'!I49+'Hoja 4 - Cálculo'!J49+'Hoja 4 - Cálculo'!K49)))</f>
        <v>16</v>
      </c>
      <c r="I1588" s="15">
        <f t="shared" si="349"/>
        <v>16</v>
      </c>
      <c r="J1588" s="15">
        <f t="shared" si="359"/>
        <v>9.7311250000000022</v>
      </c>
      <c r="K1588" s="15">
        <f>MIN(J1588+G1588,(J1588+G1588)*'Hoja 4 - Cálculo'!$B$15)</f>
        <v>0.45013249999999999</v>
      </c>
      <c r="L1588" s="15">
        <f t="shared" si="350"/>
        <v>22.056492500000001</v>
      </c>
      <c r="M1588" s="15">
        <f t="shared" si="351"/>
        <v>16</v>
      </c>
      <c r="N1588" s="15">
        <f t="shared" si="352"/>
        <v>6.0564925000000009</v>
      </c>
      <c r="O1588" s="15">
        <f t="shared" si="353"/>
        <v>0</v>
      </c>
      <c r="P1588" s="15">
        <f t="shared" si="354"/>
        <v>0</v>
      </c>
      <c r="Q1588" s="14" t="str">
        <f>IF(M1588&gt;=I1588*'Hoja 4 - Cálculo'!$B$16,"Satisfactorio","Falla")</f>
        <v>Satisfactorio</v>
      </c>
      <c r="R1588" s="14">
        <f t="shared" si="360"/>
        <v>0</v>
      </c>
      <c r="S1588" s="14">
        <f t="shared" si="361"/>
        <v>0</v>
      </c>
    </row>
    <row r="1589" spans="1:19">
      <c r="A1589" s="14" t="str">
        <f t="shared" si="358"/>
        <v>SRY-5-2</v>
      </c>
      <c r="B1589" s="15">
        <f>'Curvas SRY'!$B$12</f>
        <v>10</v>
      </c>
      <c r="C1589" s="15">
        <f>'Curvas SRY'!$E$9</f>
        <v>1</v>
      </c>
      <c r="D1589" s="14" t="str">
        <f>'Curvas SRY'!$B$14</f>
        <v>Uso variable</v>
      </c>
      <c r="E1589" s="14">
        <f>26</f>
        <v>26</v>
      </c>
      <c r="F1589" s="21">
        <f>'Hoja 4 - Cálculo'!A50</f>
        <v>30348</v>
      </c>
      <c r="G1589" s="15">
        <f>'Hoja 4 - Cálculo'!H50</f>
        <v>14.49675</v>
      </c>
      <c r="H1589" s="15">
        <f>IF(D1589="Uso único",'Hoja 4 - Cálculo'!I50,IF(D1589="Uso múltiple",AVERAGE('Hoja 4 - Cálculo'!$I$25:$I$384)+AVERAGE('Hoja 4 - Cálculo'!$J$25:$J$384)+AVERAGE('Hoja 4 - Cálculo'!$K$25:$K$384),IF(D1589="Uso prioritario",'Hoja 4 - Cálculo'!I50+'Hoja 4 - Cálculo'!K50,'Hoja 4 - Cálculo'!I50+'Hoja 4 - Cálculo'!J50+'Hoja 4 - Cálculo'!K50)))</f>
        <v>16</v>
      </c>
      <c r="I1589" s="15">
        <f t="shared" si="349"/>
        <v>16</v>
      </c>
      <c r="J1589" s="15">
        <f t="shared" si="359"/>
        <v>6.0564925000000009</v>
      </c>
      <c r="K1589" s="15">
        <f>MIN(J1589+G1589,(J1589+G1589)*'Hoja 4 - Cálculo'!$B$15)</f>
        <v>0.41106485000000009</v>
      </c>
      <c r="L1589" s="15">
        <f t="shared" si="350"/>
        <v>20.142177650000004</v>
      </c>
      <c r="M1589" s="15">
        <f t="shared" si="351"/>
        <v>16</v>
      </c>
      <c r="N1589" s="15">
        <f t="shared" si="352"/>
        <v>4.1421776500000043</v>
      </c>
      <c r="O1589" s="15">
        <f t="shared" si="353"/>
        <v>0</v>
      </c>
      <c r="P1589" s="15">
        <f t="shared" si="354"/>
        <v>0</v>
      </c>
      <c r="Q1589" s="14" t="str">
        <f>IF(M1589&gt;=I1589*'Hoja 4 - Cálculo'!$B$16,"Satisfactorio","Falla")</f>
        <v>Satisfactorio</v>
      </c>
      <c r="R1589" s="14">
        <f t="shared" si="360"/>
        <v>0</v>
      </c>
      <c r="S1589" s="14">
        <f t="shared" si="361"/>
        <v>0</v>
      </c>
    </row>
    <row r="1590" spans="1:19">
      <c r="A1590" s="14" t="str">
        <f t="shared" si="358"/>
        <v>SRY-5-2</v>
      </c>
      <c r="B1590" s="15">
        <f>'Curvas SRY'!$B$12</f>
        <v>10</v>
      </c>
      <c r="C1590" s="15">
        <f>'Curvas SRY'!$E$9</f>
        <v>1</v>
      </c>
      <c r="D1590" s="14" t="str">
        <f>'Curvas SRY'!$B$14</f>
        <v>Uso variable</v>
      </c>
      <c r="E1590" s="14">
        <f>27</f>
        <v>27</v>
      </c>
      <c r="F1590" s="21">
        <f>'Hoja 4 - Cálculo'!A51</f>
        <v>30376</v>
      </c>
      <c r="G1590" s="15">
        <f>'Hoja 4 - Cálculo'!H51</f>
        <v>21.936375000000002</v>
      </c>
      <c r="H1590" s="15">
        <f>IF(D1590="Uso único",'Hoja 4 - Cálculo'!I51,IF(D1590="Uso múltiple",AVERAGE('Hoja 4 - Cálculo'!$I$25:$I$384)+AVERAGE('Hoja 4 - Cálculo'!$J$25:$J$384)+AVERAGE('Hoja 4 - Cálculo'!$K$25:$K$384),IF(D1590="Uso prioritario",'Hoja 4 - Cálculo'!I51+'Hoja 4 - Cálculo'!K51,'Hoja 4 - Cálculo'!I51+'Hoja 4 - Cálculo'!J51+'Hoja 4 - Cálculo'!K51)))</f>
        <v>16</v>
      </c>
      <c r="I1590" s="15">
        <f t="shared" si="349"/>
        <v>16</v>
      </c>
      <c r="J1590" s="15">
        <f t="shared" si="359"/>
        <v>4.1421776500000043</v>
      </c>
      <c r="K1590" s="15">
        <f>MIN(J1590+G1590,(J1590+G1590)*'Hoja 4 - Cálculo'!$B$15)</f>
        <v>0.52157105300000017</v>
      </c>
      <c r="L1590" s="15">
        <f t="shared" si="350"/>
        <v>25.556981597000007</v>
      </c>
      <c r="M1590" s="15">
        <f t="shared" si="351"/>
        <v>16</v>
      </c>
      <c r="N1590" s="15">
        <f t="shared" si="352"/>
        <v>9.5569815970000072</v>
      </c>
      <c r="O1590" s="15">
        <f t="shared" si="353"/>
        <v>0</v>
      </c>
      <c r="P1590" s="15">
        <f t="shared" si="354"/>
        <v>0</v>
      </c>
      <c r="Q1590" s="14" t="str">
        <f>IF(M1590&gt;=I1590*'Hoja 4 - Cálculo'!$B$16,"Satisfactorio","Falla")</f>
        <v>Satisfactorio</v>
      </c>
      <c r="R1590" s="14">
        <f t="shared" si="360"/>
        <v>0</v>
      </c>
      <c r="S1590" s="14">
        <f t="shared" si="361"/>
        <v>0</v>
      </c>
    </row>
    <row r="1591" spans="1:19">
      <c r="A1591" s="14" t="str">
        <f t="shared" si="358"/>
        <v>SRY-5-2</v>
      </c>
      <c r="B1591" s="15">
        <f>'Curvas SRY'!$B$12</f>
        <v>10</v>
      </c>
      <c r="C1591" s="15">
        <f>'Curvas SRY'!$E$9</f>
        <v>1</v>
      </c>
      <c r="D1591" s="14" t="str">
        <f>'Curvas SRY'!$B$14</f>
        <v>Uso variable</v>
      </c>
      <c r="E1591" s="14">
        <f>28</f>
        <v>28</v>
      </c>
      <c r="F1591" s="21">
        <f>'Hoja 4 - Cálculo'!A52</f>
        <v>30407</v>
      </c>
      <c r="G1591" s="15">
        <f>'Hoja 4 - Cálculo'!H52</f>
        <v>32.263874999999999</v>
      </c>
      <c r="H1591" s="15">
        <f>IF(D1591="Uso único",'Hoja 4 - Cálculo'!I52,IF(D1591="Uso múltiple",AVERAGE('Hoja 4 - Cálculo'!$I$25:$I$384)+AVERAGE('Hoja 4 - Cálculo'!$J$25:$J$384)+AVERAGE('Hoja 4 - Cálculo'!$K$25:$K$384),IF(D1591="Uso prioritario",'Hoja 4 - Cálculo'!I52+'Hoja 4 - Cálculo'!K52,'Hoja 4 - Cálculo'!I52+'Hoja 4 - Cálculo'!J52+'Hoja 4 - Cálculo'!K52)))</f>
        <v>11.5</v>
      </c>
      <c r="I1591" s="15">
        <f t="shared" si="349"/>
        <v>11.5</v>
      </c>
      <c r="J1591" s="15">
        <f t="shared" si="359"/>
        <v>9.5569815970000072</v>
      </c>
      <c r="K1591" s="15">
        <f>MIN(J1591+G1591,(J1591+G1591)*'Hoja 4 - Cálculo'!$B$15)</f>
        <v>0.83641713194000011</v>
      </c>
      <c r="L1591" s="15">
        <f t="shared" si="350"/>
        <v>40.984439465059999</v>
      </c>
      <c r="M1591" s="15">
        <f t="shared" si="351"/>
        <v>11.5</v>
      </c>
      <c r="N1591" s="15">
        <f t="shared" si="352"/>
        <v>10</v>
      </c>
      <c r="O1591" s="15">
        <f t="shared" si="353"/>
        <v>19.484439465059999</v>
      </c>
      <c r="P1591" s="15">
        <f t="shared" si="354"/>
        <v>0</v>
      </c>
      <c r="Q1591" s="14" t="str">
        <f>IF(M1591&gt;=I1591*'Hoja 4 - Cálculo'!$B$16,"Satisfactorio","Falla")</f>
        <v>Satisfactorio</v>
      </c>
      <c r="R1591" s="14">
        <f t="shared" si="360"/>
        <v>0</v>
      </c>
      <c r="S1591" s="14">
        <f t="shared" si="361"/>
        <v>0</v>
      </c>
    </row>
    <row r="1592" spans="1:19">
      <c r="A1592" s="14" t="str">
        <f t="shared" si="358"/>
        <v>SRY-5-2</v>
      </c>
      <c r="B1592" s="15">
        <f>'Curvas SRY'!$B$12</f>
        <v>10</v>
      </c>
      <c r="C1592" s="15">
        <f>'Curvas SRY'!$E$9</f>
        <v>1</v>
      </c>
      <c r="D1592" s="14" t="str">
        <f>'Curvas SRY'!$B$14</f>
        <v>Uso variable</v>
      </c>
      <c r="E1592" s="14">
        <f>29</f>
        <v>29</v>
      </c>
      <c r="F1592" s="21">
        <f>'Hoja 4 - Cálculo'!A53</f>
        <v>30437</v>
      </c>
      <c r="G1592" s="15">
        <f>'Hoja 4 - Cálculo'!H53</f>
        <v>29.356874999999999</v>
      </c>
      <c r="H1592" s="15">
        <f>IF(D1592="Uso único",'Hoja 4 - Cálculo'!I53,IF(D1592="Uso múltiple",AVERAGE('Hoja 4 - Cálculo'!$I$25:$I$384)+AVERAGE('Hoja 4 - Cálculo'!$J$25:$J$384)+AVERAGE('Hoja 4 - Cálculo'!$K$25:$K$384),IF(D1592="Uso prioritario",'Hoja 4 - Cálculo'!I53+'Hoja 4 - Cálculo'!K53,'Hoja 4 - Cálculo'!I53+'Hoja 4 - Cálculo'!J53+'Hoja 4 - Cálculo'!K53)))</f>
        <v>11.5</v>
      </c>
      <c r="I1592" s="15">
        <f t="shared" si="349"/>
        <v>11.5</v>
      </c>
      <c r="J1592" s="15">
        <f t="shared" si="359"/>
        <v>10</v>
      </c>
      <c r="K1592" s="15">
        <f>MIN(J1592+G1592,(J1592+G1592)*'Hoja 4 - Cálculo'!$B$15)</f>
        <v>0.78713750000000005</v>
      </c>
      <c r="L1592" s="15">
        <f t="shared" si="350"/>
        <v>38.569737500000002</v>
      </c>
      <c r="M1592" s="15">
        <f t="shared" si="351"/>
        <v>11.5</v>
      </c>
      <c r="N1592" s="15">
        <f t="shared" si="352"/>
        <v>10</v>
      </c>
      <c r="O1592" s="15">
        <f t="shared" si="353"/>
        <v>17.069737500000002</v>
      </c>
      <c r="P1592" s="15">
        <f t="shared" si="354"/>
        <v>0</v>
      </c>
      <c r="Q1592" s="14" t="str">
        <f>IF(M1592&gt;=I1592*'Hoja 4 - Cálculo'!$B$16,"Satisfactorio","Falla")</f>
        <v>Satisfactorio</v>
      </c>
      <c r="R1592" s="14">
        <f t="shared" si="360"/>
        <v>0</v>
      </c>
      <c r="S1592" s="14">
        <f t="shared" si="361"/>
        <v>0</v>
      </c>
    </row>
    <row r="1593" spans="1:19">
      <c r="A1593" s="14" t="str">
        <f t="shared" si="358"/>
        <v>SRY-5-2</v>
      </c>
      <c r="B1593" s="15">
        <f>'Curvas SRY'!$B$12</f>
        <v>10</v>
      </c>
      <c r="C1593" s="15">
        <f>'Curvas SRY'!$E$9</f>
        <v>1</v>
      </c>
      <c r="D1593" s="14" t="str">
        <f>'Curvas SRY'!$B$14</f>
        <v>Uso variable</v>
      </c>
      <c r="E1593" s="14">
        <f>30</f>
        <v>30</v>
      </c>
      <c r="F1593" s="21">
        <f>'Hoja 4 - Cálculo'!A54</f>
        <v>30468</v>
      </c>
      <c r="G1593" s="15">
        <f>'Hoja 4 - Cálculo'!H54</f>
        <v>17.212499999999999</v>
      </c>
      <c r="H1593" s="15">
        <f>IF(D1593="Uso único",'Hoja 4 - Cálculo'!I54,IF(D1593="Uso múltiple",AVERAGE('Hoja 4 - Cálculo'!$I$25:$I$384)+AVERAGE('Hoja 4 - Cálculo'!$J$25:$J$384)+AVERAGE('Hoja 4 - Cálculo'!$K$25:$K$384),IF(D1593="Uso prioritario",'Hoja 4 - Cálculo'!I54+'Hoja 4 - Cálculo'!K54,'Hoja 4 - Cálculo'!I54+'Hoja 4 - Cálculo'!J54+'Hoja 4 - Cálculo'!K54)))</f>
        <v>11.5</v>
      </c>
      <c r="I1593" s="15">
        <f t="shared" si="349"/>
        <v>11.5</v>
      </c>
      <c r="J1593" s="15">
        <f t="shared" si="359"/>
        <v>10</v>
      </c>
      <c r="K1593" s="15">
        <f>MIN(J1593+G1593,(J1593+G1593)*'Hoja 4 - Cálculo'!$B$15)</f>
        <v>0.54425000000000001</v>
      </c>
      <c r="L1593" s="15">
        <f t="shared" si="350"/>
        <v>26.668249999999997</v>
      </c>
      <c r="M1593" s="15">
        <f t="shared" si="351"/>
        <v>11.5</v>
      </c>
      <c r="N1593" s="15">
        <f t="shared" si="352"/>
        <v>10</v>
      </c>
      <c r="O1593" s="15">
        <f t="shared" si="353"/>
        <v>5.1682499999999969</v>
      </c>
      <c r="P1593" s="15">
        <f t="shared" si="354"/>
        <v>0</v>
      </c>
      <c r="Q1593" s="14" t="str">
        <f>IF(M1593&gt;=I1593*'Hoja 4 - Cálculo'!$B$16,"Satisfactorio","Falla")</f>
        <v>Satisfactorio</v>
      </c>
      <c r="R1593" s="14">
        <f t="shared" si="360"/>
        <v>0</v>
      </c>
      <c r="S1593" s="14">
        <f t="shared" si="361"/>
        <v>0</v>
      </c>
    </row>
    <row r="1594" spans="1:19">
      <c r="A1594" s="14" t="str">
        <f t="shared" si="358"/>
        <v>SRY-5-2</v>
      </c>
      <c r="B1594" s="15">
        <f>'Curvas SRY'!$B$12</f>
        <v>10</v>
      </c>
      <c r="C1594" s="15">
        <f>'Curvas SRY'!$E$9</f>
        <v>1</v>
      </c>
      <c r="D1594" s="14" t="str">
        <f>'Curvas SRY'!$B$14</f>
        <v>Uso variable</v>
      </c>
      <c r="E1594" s="14">
        <f>31</f>
        <v>31</v>
      </c>
      <c r="F1594" s="21">
        <f>'Hoja 4 - Cálculo'!A55</f>
        <v>30498</v>
      </c>
      <c r="G1594" s="15">
        <f>'Hoja 4 - Cálculo'!H55</f>
        <v>13.597875</v>
      </c>
      <c r="H1594" s="15">
        <f>IF(D1594="Uso único",'Hoja 4 - Cálculo'!I55,IF(D1594="Uso múltiple",AVERAGE('Hoja 4 - Cálculo'!$I$25:$I$384)+AVERAGE('Hoja 4 - Cálculo'!$J$25:$J$384)+AVERAGE('Hoja 4 - Cálculo'!$K$25:$K$384),IF(D1594="Uso prioritario",'Hoja 4 - Cálculo'!I55+'Hoja 4 - Cálculo'!K55,'Hoja 4 - Cálculo'!I55+'Hoja 4 - Cálculo'!J55+'Hoja 4 - Cálculo'!K55)))</f>
        <v>16</v>
      </c>
      <c r="I1594" s="15">
        <f t="shared" si="349"/>
        <v>16</v>
      </c>
      <c r="J1594" s="15">
        <f t="shared" si="359"/>
        <v>10</v>
      </c>
      <c r="K1594" s="15">
        <f>MIN(J1594+G1594,(J1594+G1594)*'Hoja 4 - Cálculo'!$B$15)</f>
        <v>0.47195750000000003</v>
      </c>
      <c r="L1594" s="15">
        <f t="shared" si="350"/>
        <v>23.125917500000003</v>
      </c>
      <c r="M1594" s="15">
        <f t="shared" si="351"/>
        <v>16</v>
      </c>
      <c r="N1594" s="15">
        <f t="shared" si="352"/>
        <v>7.1259175000000035</v>
      </c>
      <c r="O1594" s="15">
        <f t="shared" si="353"/>
        <v>0</v>
      </c>
      <c r="P1594" s="15">
        <f t="shared" si="354"/>
        <v>0</v>
      </c>
      <c r="Q1594" s="14" t="str">
        <f>IF(M1594&gt;=I1594*'Hoja 4 - Cálculo'!$B$16,"Satisfactorio","Falla")</f>
        <v>Satisfactorio</v>
      </c>
      <c r="R1594" s="14">
        <f t="shared" si="360"/>
        <v>0</v>
      </c>
      <c r="S1594" s="14">
        <f t="shared" si="361"/>
        <v>0</v>
      </c>
    </row>
    <row r="1595" spans="1:19">
      <c r="A1595" s="14" t="str">
        <f t="shared" si="358"/>
        <v>SRY-5-2</v>
      </c>
      <c r="B1595" s="15">
        <f>'Curvas SRY'!$B$12</f>
        <v>10</v>
      </c>
      <c r="C1595" s="15">
        <f>'Curvas SRY'!$E$9</f>
        <v>1</v>
      </c>
      <c r="D1595" s="14" t="str">
        <f>'Curvas SRY'!$B$14</f>
        <v>Uso variable</v>
      </c>
      <c r="E1595" s="14">
        <f>32</f>
        <v>32</v>
      </c>
      <c r="F1595" s="21">
        <f>'Hoja 4 - Cálculo'!A56</f>
        <v>30529</v>
      </c>
      <c r="G1595" s="15">
        <f>'Hoja 4 - Cálculo'!H56</f>
        <v>14.592375000000001</v>
      </c>
      <c r="H1595" s="15">
        <f>IF(D1595="Uso único",'Hoja 4 - Cálculo'!I56,IF(D1595="Uso múltiple",AVERAGE('Hoja 4 - Cálculo'!$I$25:$I$384)+AVERAGE('Hoja 4 - Cálculo'!$J$25:$J$384)+AVERAGE('Hoja 4 - Cálculo'!$K$25:$K$384),IF(D1595="Uso prioritario",'Hoja 4 - Cálculo'!I56+'Hoja 4 - Cálculo'!K56,'Hoja 4 - Cálculo'!I56+'Hoja 4 - Cálculo'!J56+'Hoja 4 - Cálculo'!K56)))</f>
        <v>16</v>
      </c>
      <c r="I1595" s="15">
        <f t="shared" si="349"/>
        <v>16</v>
      </c>
      <c r="J1595" s="15">
        <f t="shared" si="359"/>
        <v>7.1259175000000035</v>
      </c>
      <c r="K1595" s="15">
        <f>MIN(J1595+G1595,(J1595+G1595)*'Hoja 4 - Cálculo'!$B$15)</f>
        <v>0.43436585000000011</v>
      </c>
      <c r="L1595" s="15">
        <f t="shared" si="350"/>
        <v>21.283926650000005</v>
      </c>
      <c r="M1595" s="15">
        <f t="shared" si="351"/>
        <v>16</v>
      </c>
      <c r="N1595" s="15">
        <f t="shared" si="352"/>
        <v>5.2839266500000051</v>
      </c>
      <c r="O1595" s="15">
        <f t="shared" si="353"/>
        <v>0</v>
      </c>
      <c r="P1595" s="15">
        <f t="shared" si="354"/>
        <v>0</v>
      </c>
      <c r="Q1595" s="14" t="str">
        <f>IF(M1595&gt;=I1595*'Hoja 4 - Cálculo'!$B$16,"Satisfactorio","Falla")</f>
        <v>Satisfactorio</v>
      </c>
      <c r="R1595" s="14">
        <f t="shared" si="360"/>
        <v>0</v>
      </c>
      <c r="S1595" s="14">
        <f t="shared" si="361"/>
        <v>0</v>
      </c>
    </row>
    <row r="1596" spans="1:19">
      <c r="A1596" s="14" t="str">
        <f t="shared" ref="A1596:A1627" si="362">"SRY-5-2"</f>
        <v>SRY-5-2</v>
      </c>
      <c r="B1596" s="15">
        <f>'Curvas SRY'!$B$12</f>
        <v>10</v>
      </c>
      <c r="C1596" s="15">
        <f>'Curvas SRY'!$E$9</f>
        <v>1</v>
      </c>
      <c r="D1596" s="14" t="str">
        <f>'Curvas SRY'!$B$14</f>
        <v>Uso variable</v>
      </c>
      <c r="E1596" s="14">
        <f>33</f>
        <v>33</v>
      </c>
      <c r="F1596" s="21">
        <f>'Hoja 4 - Cálculo'!A57</f>
        <v>30560</v>
      </c>
      <c r="G1596" s="15">
        <f>'Hoja 4 - Cálculo'!H57</f>
        <v>24.307874999999999</v>
      </c>
      <c r="H1596" s="15">
        <f>IF(D1596="Uso único",'Hoja 4 - Cálculo'!I57,IF(D1596="Uso múltiple",AVERAGE('Hoja 4 - Cálculo'!$I$25:$I$384)+AVERAGE('Hoja 4 - Cálculo'!$J$25:$J$384)+AVERAGE('Hoja 4 - Cálculo'!$K$25:$K$384),IF(D1596="Uso prioritario",'Hoja 4 - Cálculo'!I57+'Hoja 4 - Cálculo'!K57,'Hoja 4 - Cálculo'!I57+'Hoja 4 - Cálculo'!J57+'Hoja 4 - Cálculo'!K57)))</f>
        <v>11.5</v>
      </c>
      <c r="I1596" s="15">
        <f t="shared" si="349"/>
        <v>11.5</v>
      </c>
      <c r="J1596" s="15">
        <f t="shared" si="359"/>
        <v>5.2839266500000051</v>
      </c>
      <c r="K1596" s="15">
        <f>MIN(J1596+G1596,(J1596+G1596)*'Hoja 4 - Cálculo'!$B$15)</f>
        <v>0.59183603300000009</v>
      </c>
      <c r="L1596" s="15">
        <f t="shared" si="350"/>
        <v>28.999965617000004</v>
      </c>
      <c r="M1596" s="15">
        <f t="shared" si="351"/>
        <v>11.5</v>
      </c>
      <c r="N1596" s="15">
        <f t="shared" si="352"/>
        <v>10</v>
      </c>
      <c r="O1596" s="15">
        <f t="shared" si="353"/>
        <v>7.4999656170000044</v>
      </c>
      <c r="P1596" s="15">
        <f t="shared" si="354"/>
        <v>0</v>
      </c>
      <c r="Q1596" s="14" t="str">
        <f>IF(M1596&gt;=I1596*'Hoja 4 - Cálculo'!$B$16,"Satisfactorio","Falla")</f>
        <v>Satisfactorio</v>
      </c>
      <c r="R1596" s="14">
        <f t="shared" si="360"/>
        <v>0</v>
      </c>
      <c r="S1596" s="14">
        <f t="shared" si="361"/>
        <v>0</v>
      </c>
    </row>
    <row r="1597" spans="1:19">
      <c r="A1597" s="14" t="str">
        <f t="shared" si="362"/>
        <v>SRY-5-2</v>
      </c>
      <c r="B1597" s="15">
        <f>'Curvas SRY'!$B$12</f>
        <v>10</v>
      </c>
      <c r="C1597" s="15">
        <f>'Curvas SRY'!$E$9</f>
        <v>1</v>
      </c>
      <c r="D1597" s="14" t="str">
        <f>'Curvas SRY'!$B$14</f>
        <v>Uso variable</v>
      </c>
      <c r="E1597" s="14">
        <f>34</f>
        <v>34</v>
      </c>
      <c r="F1597" s="21">
        <f>'Hoja 4 - Cálculo'!A58</f>
        <v>30590</v>
      </c>
      <c r="G1597" s="15">
        <f>'Hoja 4 - Cálculo'!H58</f>
        <v>33.564374999999998</v>
      </c>
      <c r="H1597" s="15">
        <f>IF(D1597="Uso único",'Hoja 4 - Cálculo'!I58,IF(D1597="Uso múltiple",AVERAGE('Hoja 4 - Cálculo'!$I$25:$I$384)+AVERAGE('Hoja 4 - Cálculo'!$J$25:$J$384)+AVERAGE('Hoja 4 - Cálculo'!$K$25:$K$384),IF(D1597="Uso prioritario",'Hoja 4 - Cálculo'!I58+'Hoja 4 - Cálculo'!K58,'Hoja 4 - Cálculo'!I58+'Hoja 4 - Cálculo'!J58+'Hoja 4 - Cálculo'!K58)))</f>
        <v>11.5</v>
      </c>
      <c r="I1597" s="15">
        <f t="shared" si="349"/>
        <v>11.5</v>
      </c>
      <c r="J1597" s="15">
        <f t="shared" ref="J1597:J1628" si="363">N1596</f>
        <v>10</v>
      </c>
      <c r="K1597" s="15">
        <f>MIN(J1597+G1597,(J1597+G1597)*'Hoja 4 - Cálculo'!$B$15)</f>
        <v>0.87128749999999999</v>
      </c>
      <c r="L1597" s="15">
        <f t="shared" si="350"/>
        <v>42.693087499999997</v>
      </c>
      <c r="M1597" s="15">
        <f t="shared" si="351"/>
        <v>11.5</v>
      </c>
      <c r="N1597" s="15">
        <f t="shared" si="352"/>
        <v>10</v>
      </c>
      <c r="O1597" s="15">
        <f t="shared" si="353"/>
        <v>21.193087499999997</v>
      </c>
      <c r="P1597" s="15">
        <f t="shared" si="354"/>
        <v>0</v>
      </c>
      <c r="Q1597" s="14" t="str">
        <f>IF(M1597&gt;=I1597*'Hoja 4 - Cálculo'!$B$16,"Satisfactorio","Falla")</f>
        <v>Satisfactorio</v>
      </c>
      <c r="R1597" s="14">
        <f t="shared" ref="R1597:R1628" si="364">IF(AND(Q1596="Falla",Q1597="Satisfactorio"),1,0)</f>
        <v>0</v>
      </c>
      <c r="S1597" s="14">
        <f t="shared" ref="S1597:S1628" si="365">IF(AND(Q1597="Falla",Q1596&lt;&gt;"Falla"),1,0)</f>
        <v>0</v>
      </c>
    </row>
    <row r="1598" spans="1:19">
      <c r="A1598" s="14" t="str">
        <f t="shared" si="362"/>
        <v>SRY-5-2</v>
      </c>
      <c r="B1598" s="15">
        <f>'Curvas SRY'!$B$12</f>
        <v>10</v>
      </c>
      <c r="C1598" s="15">
        <f>'Curvas SRY'!$E$9</f>
        <v>1</v>
      </c>
      <c r="D1598" s="14" t="str">
        <f>'Curvas SRY'!$B$14</f>
        <v>Uso variable</v>
      </c>
      <c r="E1598" s="14">
        <f>35</f>
        <v>35</v>
      </c>
      <c r="F1598" s="21">
        <f>'Hoja 4 - Cálculo'!A59</f>
        <v>30621</v>
      </c>
      <c r="G1598" s="15">
        <f>'Hoja 4 - Cálculo'!H59</f>
        <v>28.075500000000002</v>
      </c>
      <c r="H1598" s="15">
        <f>IF(D1598="Uso único",'Hoja 4 - Cálculo'!I59,IF(D1598="Uso múltiple",AVERAGE('Hoja 4 - Cálculo'!$I$25:$I$384)+AVERAGE('Hoja 4 - Cálculo'!$J$25:$J$384)+AVERAGE('Hoja 4 - Cálculo'!$K$25:$K$384),IF(D1598="Uso prioritario",'Hoja 4 - Cálculo'!I59+'Hoja 4 - Cálculo'!K59,'Hoja 4 - Cálculo'!I59+'Hoja 4 - Cálculo'!J59+'Hoja 4 - Cálculo'!K59)))</f>
        <v>11.5</v>
      </c>
      <c r="I1598" s="15">
        <f t="shared" si="349"/>
        <v>11.5</v>
      </c>
      <c r="J1598" s="15">
        <f t="shared" si="363"/>
        <v>10</v>
      </c>
      <c r="K1598" s="15">
        <f>MIN(J1598+G1598,(J1598+G1598)*'Hoja 4 - Cálculo'!$B$15)</f>
        <v>0.76151000000000013</v>
      </c>
      <c r="L1598" s="15">
        <f t="shared" si="350"/>
        <v>37.313990000000004</v>
      </c>
      <c r="M1598" s="15">
        <f t="shared" si="351"/>
        <v>11.5</v>
      </c>
      <c r="N1598" s="15">
        <f t="shared" si="352"/>
        <v>10</v>
      </c>
      <c r="O1598" s="15">
        <f t="shared" si="353"/>
        <v>15.813990000000004</v>
      </c>
      <c r="P1598" s="15">
        <f t="shared" si="354"/>
        <v>0</v>
      </c>
      <c r="Q1598" s="14" t="str">
        <f>IF(M1598&gt;=I1598*'Hoja 4 - Cálculo'!$B$16,"Satisfactorio","Falla")</f>
        <v>Satisfactorio</v>
      </c>
      <c r="R1598" s="14">
        <f t="shared" si="364"/>
        <v>0</v>
      </c>
      <c r="S1598" s="14">
        <f t="shared" si="365"/>
        <v>0</v>
      </c>
    </row>
    <row r="1599" spans="1:19">
      <c r="A1599" s="14" t="str">
        <f t="shared" si="362"/>
        <v>SRY-5-2</v>
      </c>
      <c r="B1599" s="15">
        <f>'Curvas SRY'!$B$12</f>
        <v>10</v>
      </c>
      <c r="C1599" s="15">
        <f>'Curvas SRY'!$E$9</f>
        <v>1</v>
      </c>
      <c r="D1599" s="14" t="str">
        <f>'Curvas SRY'!$B$14</f>
        <v>Uso variable</v>
      </c>
      <c r="E1599" s="14">
        <f>36</f>
        <v>36</v>
      </c>
      <c r="F1599" s="21">
        <f>'Hoja 4 - Cálculo'!A60</f>
        <v>30651</v>
      </c>
      <c r="G1599" s="15">
        <f>'Hoja 4 - Cálculo'!H60</f>
        <v>15.931125</v>
      </c>
      <c r="H1599" s="15">
        <f>IF(D1599="Uso único",'Hoja 4 - Cálculo'!I60,IF(D1599="Uso múltiple",AVERAGE('Hoja 4 - Cálculo'!$I$25:$I$384)+AVERAGE('Hoja 4 - Cálculo'!$J$25:$J$384)+AVERAGE('Hoja 4 - Cálculo'!$K$25:$K$384),IF(D1599="Uso prioritario",'Hoja 4 - Cálculo'!I60+'Hoja 4 - Cálculo'!K60,'Hoja 4 - Cálculo'!I60+'Hoja 4 - Cálculo'!J60+'Hoja 4 - Cálculo'!K60)))</f>
        <v>16</v>
      </c>
      <c r="I1599" s="15">
        <f t="shared" si="349"/>
        <v>16</v>
      </c>
      <c r="J1599" s="15">
        <f t="shared" si="363"/>
        <v>10</v>
      </c>
      <c r="K1599" s="15">
        <f>MIN(J1599+G1599,(J1599+G1599)*'Hoja 4 - Cálculo'!$B$15)</f>
        <v>0.51862249999999999</v>
      </c>
      <c r="L1599" s="15">
        <f t="shared" si="350"/>
        <v>25.412502500000002</v>
      </c>
      <c r="M1599" s="15">
        <f t="shared" si="351"/>
        <v>16</v>
      </c>
      <c r="N1599" s="15">
        <f t="shared" si="352"/>
        <v>9.4125025000000022</v>
      </c>
      <c r="O1599" s="15">
        <f t="shared" si="353"/>
        <v>0</v>
      </c>
      <c r="P1599" s="15">
        <f t="shared" si="354"/>
        <v>0</v>
      </c>
      <c r="Q1599" s="14" t="str">
        <f>IF(M1599&gt;=I1599*'Hoja 4 - Cálculo'!$B$16,"Satisfactorio","Falla")</f>
        <v>Satisfactorio</v>
      </c>
      <c r="R1599" s="14">
        <f t="shared" si="364"/>
        <v>0</v>
      </c>
      <c r="S1599" s="14">
        <f t="shared" si="365"/>
        <v>0</v>
      </c>
    </row>
    <row r="1600" spans="1:19">
      <c r="A1600" s="14" t="str">
        <f t="shared" si="362"/>
        <v>SRY-5-2</v>
      </c>
      <c r="B1600" s="15">
        <f>'Curvas SRY'!$B$12</f>
        <v>10</v>
      </c>
      <c r="C1600" s="15">
        <f>'Curvas SRY'!$E$9</f>
        <v>1</v>
      </c>
      <c r="D1600" s="14" t="str">
        <f>'Curvas SRY'!$B$14</f>
        <v>Uso variable</v>
      </c>
      <c r="E1600" s="14">
        <f>37</f>
        <v>37</v>
      </c>
      <c r="F1600" s="21">
        <f>'Hoja 4 - Cálculo'!A61</f>
        <v>30682</v>
      </c>
      <c r="G1600" s="15">
        <f>'Hoja 4 - Cálculo'!H61</f>
        <v>10.920375</v>
      </c>
      <c r="H1600" s="15">
        <f>IF(D1600="Uso único",'Hoja 4 - Cálculo'!I61,IF(D1600="Uso múltiple",AVERAGE('Hoja 4 - Cálculo'!$I$25:$I$384)+AVERAGE('Hoja 4 - Cálculo'!$J$25:$J$384)+AVERAGE('Hoja 4 - Cálculo'!$K$25:$K$384),IF(D1600="Uso prioritario",'Hoja 4 - Cálculo'!I61+'Hoja 4 - Cálculo'!K61,'Hoja 4 - Cálculo'!I61+'Hoja 4 - Cálculo'!J61+'Hoja 4 - Cálculo'!K61)))</f>
        <v>16</v>
      </c>
      <c r="I1600" s="15">
        <f t="shared" si="349"/>
        <v>16</v>
      </c>
      <c r="J1600" s="15">
        <f t="shared" si="363"/>
        <v>9.4125025000000022</v>
      </c>
      <c r="K1600" s="15">
        <f>MIN(J1600+G1600,(J1600+G1600)*'Hoja 4 - Cálculo'!$B$15)</f>
        <v>0.40665755000000003</v>
      </c>
      <c r="L1600" s="15">
        <f t="shared" si="350"/>
        <v>19.926219950000004</v>
      </c>
      <c r="M1600" s="15">
        <f t="shared" si="351"/>
        <v>16</v>
      </c>
      <c r="N1600" s="15">
        <f t="shared" si="352"/>
        <v>3.9262199500000037</v>
      </c>
      <c r="O1600" s="15">
        <f t="shared" si="353"/>
        <v>0</v>
      </c>
      <c r="P1600" s="15">
        <f t="shared" si="354"/>
        <v>0</v>
      </c>
      <c r="Q1600" s="14" t="str">
        <f>IF(M1600&gt;=I1600*'Hoja 4 - Cálculo'!$B$16,"Satisfactorio","Falla")</f>
        <v>Satisfactorio</v>
      </c>
      <c r="R1600" s="14">
        <f t="shared" si="364"/>
        <v>0</v>
      </c>
      <c r="S1600" s="14">
        <f t="shared" si="365"/>
        <v>0</v>
      </c>
    </row>
    <row r="1601" spans="1:19">
      <c r="A1601" s="14" t="str">
        <f t="shared" si="362"/>
        <v>SRY-5-2</v>
      </c>
      <c r="B1601" s="15">
        <f>'Curvas SRY'!$B$12</f>
        <v>10</v>
      </c>
      <c r="C1601" s="15">
        <f>'Curvas SRY'!$E$9</f>
        <v>1</v>
      </c>
      <c r="D1601" s="14" t="str">
        <f>'Curvas SRY'!$B$14</f>
        <v>Uso variable</v>
      </c>
      <c r="E1601" s="14">
        <f>38</f>
        <v>38</v>
      </c>
      <c r="F1601" s="21">
        <f>'Hoja 4 - Cálculo'!A62</f>
        <v>30713</v>
      </c>
      <c r="G1601" s="15">
        <f>'Hoja 4 - Cálculo'!H62</f>
        <v>13.04325</v>
      </c>
      <c r="H1601" s="15">
        <f>IF(D1601="Uso único",'Hoja 4 - Cálculo'!I62,IF(D1601="Uso múltiple",AVERAGE('Hoja 4 - Cálculo'!$I$25:$I$384)+AVERAGE('Hoja 4 - Cálculo'!$J$25:$J$384)+AVERAGE('Hoja 4 - Cálculo'!$K$25:$K$384),IF(D1601="Uso prioritario",'Hoja 4 - Cálculo'!I62+'Hoja 4 - Cálculo'!K62,'Hoja 4 - Cálculo'!I62+'Hoja 4 - Cálculo'!J62+'Hoja 4 - Cálculo'!K62)))</f>
        <v>16</v>
      </c>
      <c r="I1601" s="15">
        <f t="shared" si="349"/>
        <v>16</v>
      </c>
      <c r="J1601" s="15">
        <f t="shared" si="363"/>
        <v>3.9262199500000037</v>
      </c>
      <c r="K1601" s="15">
        <f>MIN(J1601+G1601,(J1601+G1601)*'Hoja 4 - Cálculo'!$B$15)</f>
        <v>0.33938939900000009</v>
      </c>
      <c r="L1601" s="15">
        <f t="shared" si="350"/>
        <v>16.630080551000002</v>
      </c>
      <c r="M1601" s="15">
        <f t="shared" si="351"/>
        <v>16</v>
      </c>
      <c r="N1601" s="15">
        <f t="shared" si="352"/>
        <v>0.63008055100000249</v>
      </c>
      <c r="O1601" s="15">
        <f t="shared" si="353"/>
        <v>0</v>
      </c>
      <c r="P1601" s="15">
        <f t="shared" si="354"/>
        <v>0</v>
      </c>
      <c r="Q1601" s="14" t="str">
        <f>IF(M1601&gt;=I1601*'Hoja 4 - Cálculo'!$B$16,"Satisfactorio","Falla")</f>
        <v>Satisfactorio</v>
      </c>
      <c r="R1601" s="14">
        <f t="shared" si="364"/>
        <v>0</v>
      </c>
      <c r="S1601" s="14">
        <f t="shared" si="365"/>
        <v>0</v>
      </c>
    </row>
    <row r="1602" spans="1:19">
      <c r="A1602" s="14" t="str">
        <f t="shared" si="362"/>
        <v>SRY-5-2</v>
      </c>
      <c r="B1602" s="15">
        <f>'Curvas SRY'!$B$12</f>
        <v>10</v>
      </c>
      <c r="C1602" s="15">
        <f>'Curvas SRY'!$E$9</f>
        <v>1</v>
      </c>
      <c r="D1602" s="14" t="str">
        <f>'Curvas SRY'!$B$14</f>
        <v>Uso variable</v>
      </c>
      <c r="E1602" s="14">
        <f>39</f>
        <v>39</v>
      </c>
      <c r="F1602" s="21">
        <f>'Hoja 4 - Cálculo'!A63</f>
        <v>30742</v>
      </c>
      <c r="G1602" s="15">
        <f>'Hoja 4 - Cálculo'!H63</f>
        <v>20.272500000000001</v>
      </c>
      <c r="H1602" s="15">
        <f>IF(D1602="Uso único",'Hoja 4 - Cálculo'!I63,IF(D1602="Uso múltiple",AVERAGE('Hoja 4 - Cálculo'!$I$25:$I$384)+AVERAGE('Hoja 4 - Cálculo'!$J$25:$J$384)+AVERAGE('Hoja 4 - Cálculo'!$K$25:$K$384),IF(D1602="Uso prioritario",'Hoja 4 - Cálculo'!I63+'Hoja 4 - Cálculo'!K63,'Hoja 4 - Cálculo'!I63+'Hoja 4 - Cálculo'!J63+'Hoja 4 - Cálculo'!K63)))</f>
        <v>16</v>
      </c>
      <c r="I1602" s="15">
        <f t="shared" si="349"/>
        <v>16</v>
      </c>
      <c r="J1602" s="15">
        <f t="shared" si="363"/>
        <v>0.63008055100000249</v>
      </c>
      <c r="K1602" s="15">
        <f>MIN(J1602+G1602,(J1602+G1602)*'Hoja 4 - Cálculo'!$B$15)</f>
        <v>0.4180516110200001</v>
      </c>
      <c r="L1602" s="15">
        <f t="shared" si="350"/>
        <v>20.484528939980002</v>
      </c>
      <c r="M1602" s="15">
        <f t="shared" si="351"/>
        <v>16</v>
      </c>
      <c r="N1602" s="15">
        <f t="shared" si="352"/>
        <v>4.4845289399800023</v>
      </c>
      <c r="O1602" s="15">
        <f t="shared" si="353"/>
        <v>0</v>
      </c>
      <c r="P1602" s="15">
        <f t="shared" si="354"/>
        <v>0</v>
      </c>
      <c r="Q1602" s="14" t="str">
        <f>IF(M1602&gt;=I1602*'Hoja 4 - Cálculo'!$B$16,"Satisfactorio","Falla")</f>
        <v>Satisfactorio</v>
      </c>
      <c r="R1602" s="14">
        <f t="shared" si="364"/>
        <v>0</v>
      </c>
      <c r="S1602" s="14">
        <f t="shared" si="365"/>
        <v>0</v>
      </c>
    </row>
    <row r="1603" spans="1:19">
      <c r="A1603" s="14" t="str">
        <f t="shared" si="362"/>
        <v>SRY-5-2</v>
      </c>
      <c r="B1603" s="15">
        <f>'Curvas SRY'!$B$12</f>
        <v>10</v>
      </c>
      <c r="C1603" s="15">
        <f>'Curvas SRY'!$E$9</f>
        <v>1</v>
      </c>
      <c r="D1603" s="14" t="str">
        <f>'Curvas SRY'!$B$14</f>
        <v>Uso variable</v>
      </c>
      <c r="E1603" s="14">
        <f>40</f>
        <v>40</v>
      </c>
      <c r="F1603" s="21">
        <f>'Hoja 4 - Cálculo'!A64</f>
        <v>30773</v>
      </c>
      <c r="G1603" s="15">
        <f>'Hoja 4 - Cálculo'!H64</f>
        <v>27.922499999999999</v>
      </c>
      <c r="H1603" s="15">
        <f>IF(D1603="Uso único",'Hoja 4 - Cálculo'!I64,IF(D1603="Uso múltiple",AVERAGE('Hoja 4 - Cálculo'!$I$25:$I$384)+AVERAGE('Hoja 4 - Cálculo'!$J$25:$J$384)+AVERAGE('Hoja 4 - Cálculo'!$K$25:$K$384),IF(D1603="Uso prioritario",'Hoja 4 - Cálculo'!I64+'Hoja 4 - Cálculo'!K64,'Hoja 4 - Cálculo'!I64+'Hoja 4 - Cálculo'!J64+'Hoja 4 - Cálculo'!K64)))</f>
        <v>11.5</v>
      </c>
      <c r="I1603" s="15">
        <f t="shared" si="349"/>
        <v>11.5</v>
      </c>
      <c r="J1603" s="15">
        <f t="shared" si="363"/>
        <v>4.4845289399800023</v>
      </c>
      <c r="K1603" s="15">
        <f>MIN(J1603+G1603,(J1603+G1603)*'Hoja 4 - Cálculo'!$B$15)</f>
        <v>0.64814057879960008</v>
      </c>
      <c r="L1603" s="15">
        <f t="shared" si="350"/>
        <v>31.7588883611804</v>
      </c>
      <c r="M1603" s="15">
        <f t="shared" si="351"/>
        <v>11.5</v>
      </c>
      <c r="N1603" s="15">
        <f t="shared" si="352"/>
        <v>10</v>
      </c>
      <c r="O1603" s="15">
        <f t="shared" si="353"/>
        <v>10.2588883611804</v>
      </c>
      <c r="P1603" s="15">
        <f t="shared" si="354"/>
        <v>0</v>
      </c>
      <c r="Q1603" s="14" t="str">
        <f>IF(M1603&gt;=I1603*'Hoja 4 - Cálculo'!$B$16,"Satisfactorio","Falla")</f>
        <v>Satisfactorio</v>
      </c>
      <c r="R1603" s="14">
        <f t="shared" si="364"/>
        <v>0</v>
      </c>
      <c r="S1603" s="14">
        <f t="shared" si="365"/>
        <v>0</v>
      </c>
    </row>
    <row r="1604" spans="1:19">
      <c r="A1604" s="14" t="str">
        <f t="shared" si="362"/>
        <v>SRY-5-2</v>
      </c>
      <c r="B1604" s="15">
        <f>'Curvas SRY'!$B$12</f>
        <v>10</v>
      </c>
      <c r="C1604" s="15">
        <f>'Curvas SRY'!$E$9</f>
        <v>1</v>
      </c>
      <c r="D1604" s="14" t="str">
        <f>'Curvas SRY'!$B$14</f>
        <v>Uso variable</v>
      </c>
      <c r="E1604" s="14">
        <f>41</f>
        <v>41</v>
      </c>
      <c r="F1604" s="21">
        <f>'Hoja 4 - Cálculo'!A65</f>
        <v>30803</v>
      </c>
      <c r="G1604" s="15">
        <f>'Hoja 4 - Cálculo'!H65</f>
        <v>23.657624999999999</v>
      </c>
      <c r="H1604" s="15">
        <f>IF(D1604="Uso único",'Hoja 4 - Cálculo'!I65,IF(D1604="Uso múltiple",AVERAGE('Hoja 4 - Cálculo'!$I$25:$I$384)+AVERAGE('Hoja 4 - Cálculo'!$J$25:$J$384)+AVERAGE('Hoja 4 - Cálculo'!$K$25:$K$384),IF(D1604="Uso prioritario",'Hoja 4 - Cálculo'!I65+'Hoja 4 - Cálculo'!K65,'Hoja 4 - Cálculo'!I65+'Hoja 4 - Cálculo'!J65+'Hoja 4 - Cálculo'!K65)))</f>
        <v>11.5</v>
      </c>
      <c r="I1604" s="15">
        <f t="shared" ref="I1604:I1667" si="366">H1604*C1604</f>
        <v>11.5</v>
      </c>
      <c r="J1604" s="15">
        <f t="shared" si="363"/>
        <v>10</v>
      </c>
      <c r="K1604" s="15">
        <f>MIN(J1604+G1604,(J1604+G1604)*'Hoja 4 - Cálculo'!$B$15)</f>
        <v>0.67315249999999993</v>
      </c>
      <c r="L1604" s="15">
        <f t="shared" ref="L1604:L1667" si="367">MAX(0,J1604+G1604-K1604)</f>
        <v>32.984472499999995</v>
      </c>
      <c r="M1604" s="15">
        <f t="shared" ref="M1604:M1667" si="368">MIN(I1604,L1604)</f>
        <v>11.5</v>
      </c>
      <c r="N1604" s="15">
        <f t="shared" ref="N1604:N1667" si="369">MIN(B1604,MAX(0,L1604-M1604))</f>
        <v>10</v>
      </c>
      <c r="O1604" s="15">
        <f t="shared" ref="O1604:O1667" si="370">MAX(0,L1604-M1604-B1604)</f>
        <v>11.484472499999995</v>
      </c>
      <c r="P1604" s="15">
        <f t="shared" ref="P1604:P1667" si="371">MAX(0,I1604-M1604)</f>
        <v>0</v>
      </c>
      <c r="Q1604" s="14" t="str">
        <f>IF(M1604&gt;=I1604*'Hoja 4 - Cálculo'!$B$16,"Satisfactorio","Falla")</f>
        <v>Satisfactorio</v>
      </c>
      <c r="R1604" s="14">
        <f t="shared" si="364"/>
        <v>0</v>
      </c>
      <c r="S1604" s="14">
        <f t="shared" si="365"/>
        <v>0</v>
      </c>
    </row>
    <row r="1605" spans="1:19">
      <c r="A1605" s="14" t="str">
        <f t="shared" si="362"/>
        <v>SRY-5-2</v>
      </c>
      <c r="B1605" s="15">
        <f>'Curvas SRY'!$B$12</f>
        <v>10</v>
      </c>
      <c r="C1605" s="15">
        <f>'Curvas SRY'!$E$9</f>
        <v>1</v>
      </c>
      <c r="D1605" s="14" t="str">
        <f>'Curvas SRY'!$B$14</f>
        <v>Uso variable</v>
      </c>
      <c r="E1605" s="14">
        <f>42</f>
        <v>42</v>
      </c>
      <c r="F1605" s="21">
        <f>'Hoja 4 - Cálculo'!A66</f>
        <v>30834</v>
      </c>
      <c r="G1605" s="15">
        <f>'Hoja 4 - Cálculo'!H66</f>
        <v>14.554125000000001</v>
      </c>
      <c r="H1605" s="15">
        <f>IF(D1605="Uso único",'Hoja 4 - Cálculo'!I66,IF(D1605="Uso múltiple",AVERAGE('Hoja 4 - Cálculo'!$I$25:$I$384)+AVERAGE('Hoja 4 - Cálculo'!$J$25:$J$384)+AVERAGE('Hoja 4 - Cálculo'!$K$25:$K$384),IF(D1605="Uso prioritario",'Hoja 4 - Cálculo'!I66+'Hoja 4 - Cálculo'!K66,'Hoja 4 - Cálculo'!I66+'Hoja 4 - Cálculo'!J66+'Hoja 4 - Cálculo'!K66)))</f>
        <v>11.5</v>
      </c>
      <c r="I1605" s="15">
        <f t="shared" si="366"/>
        <v>11.5</v>
      </c>
      <c r="J1605" s="15">
        <f t="shared" si="363"/>
        <v>10</v>
      </c>
      <c r="K1605" s="15">
        <f>MIN(J1605+G1605,(J1605+G1605)*'Hoja 4 - Cálculo'!$B$15)</f>
        <v>0.49108249999999998</v>
      </c>
      <c r="L1605" s="15">
        <f t="shared" si="367"/>
        <v>24.063042499999998</v>
      </c>
      <c r="M1605" s="15">
        <f t="shared" si="368"/>
        <v>11.5</v>
      </c>
      <c r="N1605" s="15">
        <f t="shared" si="369"/>
        <v>10</v>
      </c>
      <c r="O1605" s="15">
        <f t="shared" si="370"/>
        <v>2.5630424999999981</v>
      </c>
      <c r="P1605" s="15">
        <f t="shared" si="371"/>
        <v>0</v>
      </c>
      <c r="Q1605" s="14" t="str">
        <f>IF(M1605&gt;=I1605*'Hoja 4 - Cálculo'!$B$16,"Satisfactorio","Falla")</f>
        <v>Satisfactorio</v>
      </c>
      <c r="R1605" s="14">
        <f t="shared" si="364"/>
        <v>0</v>
      </c>
      <c r="S1605" s="14">
        <f t="shared" si="365"/>
        <v>0</v>
      </c>
    </row>
    <row r="1606" spans="1:19">
      <c r="A1606" s="14" t="str">
        <f t="shared" si="362"/>
        <v>SRY-5-2</v>
      </c>
      <c r="B1606" s="15">
        <f>'Curvas SRY'!$B$12</f>
        <v>10</v>
      </c>
      <c r="C1606" s="15">
        <f>'Curvas SRY'!$E$9</f>
        <v>1</v>
      </c>
      <c r="D1606" s="14" t="str">
        <f>'Curvas SRY'!$B$14</f>
        <v>Uso variable</v>
      </c>
      <c r="E1606" s="14">
        <f>43</f>
        <v>43</v>
      </c>
      <c r="F1606" s="21">
        <f>'Hoja 4 - Cálculo'!A67</f>
        <v>30864</v>
      </c>
      <c r="G1606" s="15">
        <f>'Hoja 4 - Cálculo'!H67</f>
        <v>12.794625</v>
      </c>
      <c r="H1606" s="15">
        <f>IF(D1606="Uso único",'Hoja 4 - Cálculo'!I67,IF(D1606="Uso múltiple",AVERAGE('Hoja 4 - Cálculo'!$I$25:$I$384)+AVERAGE('Hoja 4 - Cálculo'!$J$25:$J$384)+AVERAGE('Hoja 4 - Cálculo'!$K$25:$K$384),IF(D1606="Uso prioritario",'Hoja 4 - Cálculo'!I67+'Hoja 4 - Cálculo'!K67,'Hoja 4 - Cálculo'!I67+'Hoja 4 - Cálculo'!J67+'Hoja 4 - Cálculo'!K67)))</f>
        <v>16</v>
      </c>
      <c r="I1606" s="15">
        <f t="shared" si="366"/>
        <v>16</v>
      </c>
      <c r="J1606" s="15">
        <f t="shared" si="363"/>
        <v>10</v>
      </c>
      <c r="K1606" s="15">
        <f>MIN(J1606+G1606,(J1606+G1606)*'Hoja 4 - Cálculo'!$B$15)</f>
        <v>0.45589250000000003</v>
      </c>
      <c r="L1606" s="15">
        <f t="shared" si="367"/>
        <v>22.338732499999999</v>
      </c>
      <c r="M1606" s="15">
        <f t="shared" si="368"/>
        <v>16</v>
      </c>
      <c r="N1606" s="15">
        <f t="shared" si="369"/>
        <v>6.338732499999999</v>
      </c>
      <c r="O1606" s="15">
        <f t="shared" si="370"/>
        <v>0</v>
      </c>
      <c r="P1606" s="15">
        <f t="shared" si="371"/>
        <v>0</v>
      </c>
      <c r="Q1606" s="14" t="str">
        <f>IF(M1606&gt;=I1606*'Hoja 4 - Cálculo'!$B$16,"Satisfactorio","Falla")</f>
        <v>Satisfactorio</v>
      </c>
      <c r="R1606" s="14">
        <f t="shared" si="364"/>
        <v>0</v>
      </c>
      <c r="S1606" s="14">
        <f t="shared" si="365"/>
        <v>0</v>
      </c>
    </row>
    <row r="1607" spans="1:19">
      <c r="A1607" s="14" t="str">
        <f t="shared" si="362"/>
        <v>SRY-5-2</v>
      </c>
      <c r="B1607" s="15">
        <f>'Curvas SRY'!$B$12</f>
        <v>10</v>
      </c>
      <c r="C1607" s="15">
        <f>'Curvas SRY'!$E$9</f>
        <v>1</v>
      </c>
      <c r="D1607" s="14" t="str">
        <f>'Curvas SRY'!$B$14</f>
        <v>Uso variable</v>
      </c>
      <c r="E1607" s="14">
        <f>44</f>
        <v>44</v>
      </c>
      <c r="F1607" s="21">
        <f>'Hoja 4 - Cálculo'!A68</f>
        <v>30895</v>
      </c>
      <c r="G1607" s="15">
        <f>'Hoja 4 - Cálculo'!H68</f>
        <v>13.6935</v>
      </c>
      <c r="H1607" s="15">
        <f>IF(D1607="Uso único",'Hoja 4 - Cálculo'!I68,IF(D1607="Uso múltiple",AVERAGE('Hoja 4 - Cálculo'!$I$25:$I$384)+AVERAGE('Hoja 4 - Cálculo'!$J$25:$J$384)+AVERAGE('Hoja 4 - Cálculo'!$K$25:$K$384),IF(D1607="Uso prioritario",'Hoja 4 - Cálculo'!I68+'Hoja 4 - Cálculo'!K68,'Hoja 4 - Cálculo'!I68+'Hoja 4 - Cálculo'!J68+'Hoja 4 - Cálculo'!K68)))</f>
        <v>16</v>
      </c>
      <c r="I1607" s="15">
        <f t="shared" si="366"/>
        <v>16</v>
      </c>
      <c r="J1607" s="15">
        <f t="shared" si="363"/>
        <v>6.338732499999999</v>
      </c>
      <c r="K1607" s="15">
        <f>MIN(J1607+G1607,(J1607+G1607)*'Hoja 4 - Cálculo'!$B$15)</f>
        <v>0.40064464999999999</v>
      </c>
      <c r="L1607" s="15">
        <f t="shared" si="367"/>
        <v>19.631587849999999</v>
      </c>
      <c r="M1607" s="15">
        <f t="shared" si="368"/>
        <v>16</v>
      </c>
      <c r="N1607" s="15">
        <f t="shared" si="369"/>
        <v>3.631587849999999</v>
      </c>
      <c r="O1607" s="15">
        <f t="shared" si="370"/>
        <v>0</v>
      </c>
      <c r="P1607" s="15">
        <f t="shared" si="371"/>
        <v>0</v>
      </c>
      <c r="Q1607" s="14" t="str">
        <f>IF(M1607&gt;=I1607*'Hoja 4 - Cálculo'!$B$16,"Satisfactorio","Falla")</f>
        <v>Satisfactorio</v>
      </c>
      <c r="R1607" s="14">
        <f t="shared" si="364"/>
        <v>0</v>
      </c>
      <c r="S1607" s="14">
        <f t="shared" si="365"/>
        <v>0</v>
      </c>
    </row>
    <row r="1608" spans="1:19">
      <c r="A1608" s="14" t="str">
        <f t="shared" si="362"/>
        <v>SRY-5-2</v>
      </c>
      <c r="B1608" s="15">
        <f>'Curvas SRY'!$B$12</f>
        <v>10</v>
      </c>
      <c r="C1608" s="15">
        <f>'Curvas SRY'!$E$9</f>
        <v>1</v>
      </c>
      <c r="D1608" s="14" t="str">
        <f>'Curvas SRY'!$B$14</f>
        <v>Uso variable</v>
      </c>
      <c r="E1608" s="14">
        <f>45</f>
        <v>45</v>
      </c>
      <c r="F1608" s="21">
        <f>'Hoja 4 - Cálculo'!A69</f>
        <v>30926</v>
      </c>
      <c r="G1608" s="15">
        <f>'Hoja 4 - Cálculo'!H69</f>
        <v>20.521125000000001</v>
      </c>
      <c r="H1608" s="15">
        <f>IF(D1608="Uso único",'Hoja 4 - Cálculo'!I69,IF(D1608="Uso múltiple",AVERAGE('Hoja 4 - Cálculo'!$I$25:$I$384)+AVERAGE('Hoja 4 - Cálculo'!$J$25:$J$384)+AVERAGE('Hoja 4 - Cálculo'!$K$25:$K$384),IF(D1608="Uso prioritario",'Hoja 4 - Cálculo'!I69+'Hoja 4 - Cálculo'!K69,'Hoja 4 - Cálculo'!I69+'Hoja 4 - Cálculo'!J69+'Hoja 4 - Cálculo'!K69)))</f>
        <v>11.5</v>
      </c>
      <c r="I1608" s="15">
        <f t="shared" si="366"/>
        <v>11.5</v>
      </c>
      <c r="J1608" s="15">
        <f t="shared" si="363"/>
        <v>3.631587849999999</v>
      </c>
      <c r="K1608" s="15">
        <f>MIN(J1608+G1608,(J1608+G1608)*'Hoja 4 - Cálculo'!$B$15)</f>
        <v>0.48305425700000004</v>
      </c>
      <c r="L1608" s="15">
        <f t="shared" si="367"/>
        <v>23.669658593000001</v>
      </c>
      <c r="M1608" s="15">
        <f t="shared" si="368"/>
        <v>11.5</v>
      </c>
      <c r="N1608" s="15">
        <f t="shared" si="369"/>
        <v>10</v>
      </c>
      <c r="O1608" s="15">
        <f t="shared" si="370"/>
        <v>2.1696585930000012</v>
      </c>
      <c r="P1608" s="15">
        <f t="shared" si="371"/>
        <v>0</v>
      </c>
      <c r="Q1608" s="14" t="str">
        <f>IF(M1608&gt;=I1608*'Hoja 4 - Cálculo'!$B$16,"Satisfactorio","Falla")</f>
        <v>Satisfactorio</v>
      </c>
      <c r="R1608" s="14">
        <f t="shared" si="364"/>
        <v>0</v>
      </c>
      <c r="S1608" s="14">
        <f t="shared" si="365"/>
        <v>0</v>
      </c>
    </row>
    <row r="1609" spans="1:19">
      <c r="A1609" s="14" t="str">
        <f t="shared" si="362"/>
        <v>SRY-5-2</v>
      </c>
      <c r="B1609" s="15">
        <f>'Curvas SRY'!$B$12</f>
        <v>10</v>
      </c>
      <c r="C1609" s="15">
        <f>'Curvas SRY'!$E$9</f>
        <v>1</v>
      </c>
      <c r="D1609" s="14" t="str">
        <f>'Curvas SRY'!$B$14</f>
        <v>Uso variable</v>
      </c>
      <c r="E1609" s="14">
        <f>46</f>
        <v>46</v>
      </c>
      <c r="F1609" s="21">
        <f>'Hoja 4 - Cálculo'!A70</f>
        <v>30956</v>
      </c>
      <c r="G1609" s="15">
        <f>'Hoja 4 - Cálculo'!H70</f>
        <v>27.061875000000001</v>
      </c>
      <c r="H1609" s="15">
        <f>IF(D1609="Uso único",'Hoja 4 - Cálculo'!I70,IF(D1609="Uso múltiple",AVERAGE('Hoja 4 - Cálculo'!$I$25:$I$384)+AVERAGE('Hoja 4 - Cálculo'!$J$25:$J$384)+AVERAGE('Hoja 4 - Cálculo'!$K$25:$K$384),IF(D1609="Uso prioritario",'Hoja 4 - Cálculo'!I70+'Hoja 4 - Cálculo'!K70,'Hoja 4 - Cálculo'!I70+'Hoja 4 - Cálculo'!J70+'Hoja 4 - Cálculo'!K70)))</f>
        <v>11.5</v>
      </c>
      <c r="I1609" s="15">
        <f t="shared" si="366"/>
        <v>11.5</v>
      </c>
      <c r="J1609" s="15">
        <f t="shared" si="363"/>
        <v>10</v>
      </c>
      <c r="K1609" s="15">
        <f>MIN(J1609+G1609,(J1609+G1609)*'Hoja 4 - Cálculo'!$B$15)</f>
        <v>0.74123749999999999</v>
      </c>
      <c r="L1609" s="15">
        <f t="shared" si="367"/>
        <v>36.320637500000004</v>
      </c>
      <c r="M1609" s="15">
        <f t="shared" si="368"/>
        <v>11.5</v>
      </c>
      <c r="N1609" s="15">
        <f t="shared" si="369"/>
        <v>10</v>
      </c>
      <c r="O1609" s="15">
        <f t="shared" si="370"/>
        <v>14.820637500000004</v>
      </c>
      <c r="P1609" s="15">
        <f t="shared" si="371"/>
        <v>0</v>
      </c>
      <c r="Q1609" s="14" t="str">
        <f>IF(M1609&gt;=I1609*'Hoja 4 - Cálculo'!$B$16,"Satisfactorio","Falla")</f>
        <v>Satisfactorio</v>
      </c>
      <c r="R1609" s="14">
        <f t="shared" si="364"/>
        <v>0</v>
      </c>
      <c r="S1609" s="14">
        <f t="shared" si="365"/>
        <v>0</v>
      </c>
    </row>
    <row r="1610" spans="1:19">
      <c r="A1610" s="14" t="str">
        <f t="shared" si="362"/>
        <v>SRY-5-2</v>
      </c>
      <c r="B1610" s="15">
        <f>'Curvas SRY'!$B$12</f>
        <v>10</v>
      </c>
      <c r="C1610" s="15">
        <f>'Curvas SRY'!$E$9</f>
        <v>1</v>
      </c>
      <c r="D1610" s="14" t="str">
        <f>'Curvas SRY'!$B$14</f>
        <v>Uso variable</v>
      </c>
      <c r="E1610" s="14">
        <f>47</f>
        <v>47</v>
      </c>
      <c r="F1610" s="21">
        <f>'Hoja 4 - Cálculo'!A71</f>
        <v>30987</v>
      </c>
      <c r="G1610" s="15">
        <f>'Hoja 4 - Cálculo'!H71</f>
        <v>24.346125000000001</v>
      </c>
      <c r="H1610" s="15">
        <f>IF(D1610="Uso único",'Hoja 4 - Cálculo'!I71,IF(D1610="Uso múltiple",AVERAGE('Hoja 4 - Cálculo'!$I$25:$I$384)+AVERAGE('Hoja 4 - Cálculo'!$J$25:$J$384)+AVERAGE('Hoja 4 - Cálculo'!$K$25:$K$384),IF(D1610="Uso prioritario",'Hoja 4 - Cálculo'!I71+'Hoja 4 - Cálculo'!K71,'Hoja 4 - Cálculo'!I71+'Hoja 4 - Cálculo'!J71+'Hoja 4 - Cálculo'!K71)))</f>
        <v>11.5</v>
      </c>
      <c r="I1610" s="15">
        <f t="shared" si="366"/>
        <v>11.5</v>
      </c>
      <c r="J1610" s="15">
        <f t="shared" si="363"/>
        <v>10</v>
      </c>
      <c r="K1610" s="15">
        <f>MIN(J1610+G1610,(J1610+G1610)*'Hoja 4 - Cálculo'!$B$15)</f>
        <v>0.68692249999999999</v>
      </c>
      <c r="L1610" s="15">
        <f t="shared" si="367"/>
        <v>33.659202499999999</v>
      </c>
      <c r="M1610" s="15">
        <f t="shared" si="368"/>
        <v>11.5</v>
      </c>
      <c r="N1610" s="15">
        <f t="shared" si="369"/>
        <v>10</v>
      </c>
      <c r="O1610" s="15">
        <f t="shared" si="370"/>
        <v>12.159202499999999</v>
      </c>
      <c r="P1610" s="15">
        <f t="shared" si="371"/>
        <v>0</v>
      </c>
      <c r="Q1610" s="14" t="str">
        <f>IF(M1610&gt;=I1610*'Hoja 4 - Cálculo'!$B$16,"Satisfactorio","Falla")</f>
        <v>Satisfactorio</v>
      </c>
      <c r="R1610" s="14">
        <f t="shared" si="364"/>
        <v>0</v>
      </c>
      <c r="S1610" s="14">
        <f t="shared" si="365"/>
        <v>0</v>
      </c>
    </row>
    <row r="1611" spans="1:19">
      <c r="A1611" s="14" t="str">
        <f t="shared" si="362"/>
        <v>SRY-5-2</v>
      </c>
      <c r="B1611" s="15">
        <f>'Curvas SRY'!$B$12</f>
        <v>10</v>
      </c>
      <c r="C1611" s="15">
        <f>'Curvas SRY'!$E$9</f>
        <v>1</v>
      </c>
      <c r="D1611" s="14" t="str">
        <f>'Curvas SRY'!$B$14</f>
        <v>Uso variable</v>
      </c>
      <c r="E1611" s="14">
        <f>48</f>
        <v>48</v>
      </c>
      <c r="F1611" s="21">
        <f>'Hoja 4 - Cálculo'!A72</f>
        <v>31017</v>
      </c>
      <c r="G1611" s="15">
        <f>'Hoja 4 - Cálculo'!H72</f>
        <v>14.745374999999999</v>
      </c>
      <c r="H1611" s="15">
        <f>IF(D1611="Uso único",'Hoja 4 - Cálculo'!I72,IF(D1611="Uso múltiple",AVERAGE('Hoja 4 - Cálculo'!$I$25:$I$384)+AVERAGE('Hoja 4 - Cálculo'!$J$25:$J$384)+AVERAGE('Hoja 4 - Cálculo'!$K$25:$K$384),IF(D1611="Uso prioritario",'Hoja 4 - Cálculo'!I72+'Hoja 4 - Cálculo'!K72,'Hoja 4 - Cálculo'!I72+'Hoja 4 - Cálculo'!J72+'Hoja 4 - Cálculo'!K72)))</f>
        <v>16</v>
      </c>
      <c r="I1611" s="15">
        <f t="shared" si="366"/>
        <v>16</v>
      </c>
      <c r="J1611" s="15">
        <f t="shared" si="363"/>
        <v>10</v>
      </c>
      <c r="K1611" s="15">
        <f>MIN(J1611+G1611,(J1611+G1611)*'Hoja 4 - Cálculo'!$B$15)</f>
        <v>0.4949075</v>
      </c>
      <c r="L1611" s="15">
        <f t="shared" si="367"/>
        <v>24.250467499999999</v>
      </c>
      <c r="M1611" s="15">
        <f t="shared" si="368"/>
        <v>16</v>
      </c>
      <c r="N1611" s="15">
        <f t="shared" si="369"/>
        <v>8.2504674999999992</v>
      </c>
      <c r="O1611" s="15">
        <f t="shared" si="370"/>
        <v>0</v>
      </c>
      <c r="P1611" s="15">
        <f t="shared" si="371"/>
        <v>0</v>
      </c>
      <c r="Q1611" s="14" t="str">
        <f>IF(M1611&gt;=I1611*'Hoja 4 - Cálculo'!$B$16,"Satisfactorio","Falla")</f>
        <v>Satisfactorio</v>
      </c>
      <c r="R1611" s="14">
        <f t="shared" si="364"/>
        <v>0</v>
      </c>
      <c r="S1611" s="14">
        <f t="shared" si="365"/>
        <v>0</v>
      </c>
    </row>
    <row r="1612" spans="1:19">
      <c r="A1612" s="14" t="str">
        <f t="shared" si="362"/>
        <v>SRY-5-2</v>
      </c>
      <c r="B1612" s="15">
        <f>'Curvas SRY'!$B$12</f>
        <v>10</v>
      </c>
      <c r="C1612" s="15">
        <f>'Curvas SRY'!$E$9</f>
        <v>1</v>
      </c>
      <c r="D1612" s="14" t="str">
        <f>'Curvas SRY'!$B$14</f>
        <v>Uso variable</v>
      </c>
      <c r="E1612" s="14">
        <f>49</f>
        <v>49</v>
      </c>
      <c r="F1612" s="21">
        <f>'Hoja 4 - Cálculo'!A73</f>
        <v>31048</v>
      </c>
      <c r="G1612" s="15">
        <f>'Hoja 4 - Cálculo'!H73</f>
        <v>10.767374999999999</v>
      </c>
      <c r="H1612" s="15">
        <f>IF(D1612="Uso único",'Hoja 4 - Cálculo'!I73,IF(D1612="Uso múltiple",AVERAGE('Hoja 4 - Cálculo'!$I$25:$I$384)+AVERAGE('Hoja 4 - Cálculo'!$J$25:$J$384)+AVERAGE('Hoja 4 - Cálculo'!$K$25:$K$384),IF(D1612="Uso prioritario",'Hoja 4 - Cálculo'!I73+'Hoja 4 - Cálculo'!K73,'Hoja 4 - Cálculo'!I73+'Hoja 4 - Cálculo'!J73+'Hoja 4 - Cálculo'!K73)))</f>
        <v>16</v>
      </c>
      <c r="I1612" s="15">
        <f t="shared" si="366"/>
        <v>16</v>
      </c>
      <c r="J1612" s="15">
        <f t="shared" si="363"/>
        <v>8.2504674999999992</v>
      </c>
      <c r="K1612" s="15">
        <f>MIN(J1612+G1612,(J1612+G1612)*'Hoja 4 - Cálculo'!$B$15)</f>
        <v>0.38035685000000002</v>
      </c>
      <c r="L1612" s="15">
        <f t="shared" si="367"/>
        <v>18.637485650000002</v>
      </c>
      <c r="M1612" s="15">
        <f t="shared" si="368"/>
        <v>16</v>
      </c>
      <c r="N1612" s="15">
        <f t="shared" si="369"/>
        <v>2.6374856500000021</v>
      </c>
      <c r="O1612" s="15">
        <f t="shared" si="370"/>
        <v>0</v>
      </c>
      <c r="P1612" s="15">
        <f t="shared" si="371"/>
        <v>0</v>
      </c>
      <c r="Q1612" s="14" t="str">
        <f>IF(M1612&gt;=I1612*'Hoja 4 - Cálculo'!$B$16,"Satisfactorio","Falla")</f>
        <v>Satisfactorio</v>
      </c>
      <c r="R1612" s="14">
        <f t="shared" si="364"/>
        <v>0</v>
      </c>
      <c r="S1612" s="14">
        <f t="shared" si="365"/>
        <v>0</v>
      </c>
    </row>
    <row r="1613" spans="1:19">
      <c r="A1613" s="14" t="str">
        <f t="shared" si="362"/>
        <v>SRY-5-2</v>
      </c>
      <c r="B1613" s="15">
        <f>'Curvas SRY'!$B$12</f>
        <v>10</v>
      </c>
      <c r="C1613" s="15">
        <f>'Curvas SRY'!$E$9</f>
        <v>1</v>
      </c>
      <c r="D1613" s="14" t="str">
        <f>'Curvas SRY'!$B$14</f>
        <v>Uso variable</v>
      </c>
      <c r="E1613" s="14">
        <f>50</f>
        <v>50</v>
      </c>
      <c r="F1613" s="21">
        <f>'Hoja 4 - Cálculo'!A74</f>
        <v>31079</v>
      </c>
      <c r="G1613" s="15">
        <f>'Hoja 4 - Cálculo'!H74</f>
        <v>13.464</v>
      </c>
      <c r="H1613" s="15">
        <f>IF(D1613="Uso único",'Hoja 4 - Cálculo'!I74,IF(D1613="Uso múltiple",AVERAGE('Hoja 4 - Cálculo'!$I$25:$I$384)+AVERAGE('Hoja 4 - Cálculo'!$J$25:$J$384)+AVERAGE('Hoja 4 - Cálculo'!$K$25:$K$384),IF(D1613="Uso prioritario",'Hoja 4 - Cálculo'!I74+'Hoja 4 - Cálculo'!K74,'Hoja 4 - Cálculo'!I74+'Hoja 4 - Cálculo'!J74+'Hoja 4 - Cálculo'!K74)))</f>
        <v>16</v>
      </c>
      <c r="I1613" s="15">
        <f t="shared" si="366"/>
        <v>16</v>
      </c>
      <c r="J1613" s="15">
        <f t="shared" si="363"/>
        <v>2.6374856500000021</v>
      </c>
      <c r="K1613" s="15">
        <f>MIN(J1613+G1613,(J1613+G1613)*'Hoja 4 - Cálculo'!$B$15)</f>
        <v>0.322029713</v>
      </c>
      <c r="L1613" s="15">
        <f t="shared" si="367"/>
        <v>15.779455937000002</v>
      </c>
      <c r="M1613" s="15">
        <f t="shared" si="368"/>
        <v>15.779455937000002</v>
      </c>
      <c r="N1613" s="15">
        <f t="shared" si="369"/>
        <v>0</v>
      </c>
      <c r="O1613" s="15">
        <f t="shared" si="370"/>
        <v>0</v>
      </c>
      <c r="P1613" s="15">
        <f t="shared" si="371"/>
        <v>0.2205440629999984</v>
      </c>
      <c r="Q1613" s="14" t="str">
        <f>IF(M1613&gt;=I1613*'Hoja 4 - Cálculo'!$B$16,"Satisfactorio","Falla")</f>
        <v>Falla</v>
      </c>
      <c r="R1613" s="14">
        <f t="shared" si="364"/>
        <v>0</v>
      </c>
      <c r="S1613" s="14">
        <f t="shared" si="365"/>
        <v>1</v>
      </c>
    </row>
    <row r="1614" spans="1:19">
      <c r="A1614" s="14" t="str">
        <f t="shared" si="362"/>
        <v>SRY-5-2</v>
      </c>
      <c r="B1614" s="15">
        <f>'Curvas SRY'!$B$12</f>
        <v>10</v>
      </c>
      <c r="C1614" s="15">
        <f>'Curvas SRY'!$E$9</f>
        <v>1</v>
      </c>
      <c r="D1614" s="14" t="str">
        <f>'Curvas SRY'!$B$14</f>
        <v>Uso variable</v>
      </c>
      <c r="E1614" s="14">
        <f>51</f>
        <v>51</v>
      </c>
      <c r="F1614" s="21">
        <f>'Hoja 4 - Cálculo'!A75</f>
        <v>31107</v>
      </c>
      <c r="G1614" s="15">
        <f>'Hoja 4 - Cálculo'!H75</f>
        <v>19.450125</v>
      </c>
      <c r="H1614" s="15">
        <f>IF(D1614="Uso único",'Hoja 4 - Cálculo'!I75,IF(D1614="Uso múltiple",AVERAGE('Hoja 4 - Cálculo'!$I$25:$I$384)+AVERAGE('Hoja 4 - Cálculo'!$J$25:$J$384)+AVERAGE('Hoja 4 - Cálculo'!$K$25:$K$384),IF(D1614="Uso prioritario",'Hoja 4 - Cálculo'!I75+'Hoja 4 - Cálculo'!K75,'Hoja 4 - Cálculo'!I75+'Hoja 4 - Cálculo'!J75+'Hoja 4 - Cálculo'!K75)))</f>
        <v>16</v>
      </c>
      <c r="I1614" s="15">
        <f t="shared" si="366"/>
        <v>16</v>
      </c>
      <c r="J1614" s="15">
        <f t="shared" si="363"/>
        <v>0</v>
      </c>
      <c r="K1614" s="15">
        <f>MIN(J1614+G1614,(J1614+G1614)*'Hoja 4 - Cálculo'!$B$15)</f>
        <v>0.38900250000000003</v>
      </c>
      <c r="L1614" s="15">
        <f t="shared" si="367"/>
        <v>19.0611225</v>
      </c>
      <c r="M1614" s="15">
        <f t="shared" si="368"/>
        <v>16</v>
      </c>
      <c r="N1614" s="15">
        <f t="shared" si="369"/>
        <v>3.0611224999999997</v>
      </c>
      <c r="O1614" s="15">
        <f t="shared" si="370"/>
        <v>0</v>
      </c>
      <c r="P1614" s="15">
        <f t="shared" si="371"/>
        <v>0</v>
      </c>
      <c r="Q1614" s="14" t="str">
        <f>IF(M1614&gt;=I1614*'Hoja 4 - Cálculo'!$B$16,"Satisfactorio","Falla")</f>
        <v>Satisfactorio</v>
      </c>
      <c r="R1614" s="14">
        <f t="shared" si="364"/>
        <v>1</v>
      </c>
      <c r="S1614" s="14">
        <f t="shared" si="365"/>
        <v>0</v>
      </c>
    </row>
    <row r="1615" spans="1:19">
      <c r="A1615" s="14" t="str">
        <f t="shared" si="362"/>
        <v>SRY-5-2</v>
      </c>
      <c r="B1615" s="15">
        <f>'Curvas SRY'!$B$12</f>
        <v>10</v>
      </c>
      <c r="C1615" s="15">
        <f>'Curvas SRY'!$E$9</f>
        <v>1</v>
      </c>
      <c r="D1615" s="14" t="str">
        <f>'Curvas SRY'!$B$14</f>
        <v>Uso variable</v>
      </c>
      <c r="E1615" s="14">
        <f>52</f>
        <v>52</v>
      </c>
      <c r="F1615" s="21">
        <f>'Hoja 4 - Cálculo'!A76</f>
        <v>31138</v>
      </c>
      <c r="G1615" s="15">
        <f>'Hoja 4 - Cálculo'!H76</f>
        <v>25.51275</v>
      </c>
      <c r="H1615" s="15">
        <f>IF(D1615="Uso único",'Hoja 4 - Cálculo'!I76,IF(D1615="Uso múltiple",AVERAGE('Hoja 4 - Cálculo'!$I$25:$I$384)+AVERAGE('Hoja 4 - Cálculo'!$J$25:$J$384)+AVERAGE('Hoja 4 - Cálculo'!$K$25:$K$384),IF(D1615="Uso prioritario",'Hoja 4 - Cálculo'!I76+'Hoja 4 - Cálculo'!K76,'Hoja 4 - Cálculo'!I76+'Hoja 4 - Cálculo'!J76+'Hoja 4 - Cálculo'!K76)))</f>
        <v>11.5</v>
      </c>
      <c r="I1615" s="15">
        <f t="shared" si="366"/>
        <v>11.5</v>
      </c>
      <c r="J1615" s="15">
        <f t="shared" si="363"/>
        <v>3.0611224999999997</v>
      </c>
      <c r="K1615" s="15">
        <f>MIN(J1615+G1615,(J1615+G1615)*'Hoja 4 - Cálculo'!$B$15)</f>
        <v>0.57147745000000005</v>
      </c>
      <c r="L1615" s="15">
        <f t="shared" si="367"/>
        <v>28.002395050000001</v>
      </c>
      <c r="M1615" s="15">
        <f t="shared" si="368"/>
        <v>11.5</v>
      </c>
      <c r="N1615" s="15">
        <f t="shared" si="369"/>
        <v>10</v>
      </c>
      <c r="O1615" s="15">
        <f t="shared" si="370"/>
        <v>6.5023950500000005</v>
      </c>
      <c r="P1615" s="15">
        <f t="shared" si="371"/>
        <v>0</v>
      </c>
      <c r="Q1615" s="14" t="str">
        <f>IF(M1615&gt;=I1615*'Hoja 4 - Cálculo'!$B$16,"Satisfactorio","Falla")</f>
        <v>Satisfactorio</v>
      </c>
      <c r="R1615" s="14">
        <f t="shared" si="364"/>
        <v>0</v>
      </c>
      <c r="S1615" s="14">
        <f t="shared" si="365"/>
        <v>0</v>
      </c>
    </row>
    <row r="1616" spans="1:19">
      <c r="A1616" s="14" t="str">
        <f t="shared" si="362"/>
        <v>SRY-5-2</v>
      </c>
      <c r="B1616" s="15">
        <f>'Curvas SRY'!$B$12</f>
        <v>10</v>
      </c>
      <c r="C1616" s="15">
        <f>'Curvas SRY'!$E$9</f>
        <v>1</v>
      </c>
      <c r="D1616" s="14" t="str">
        <f>'Curvas SRY'!$B$14</f>
        <v>Uso variable</v>
      </c>
      <c r="E1616" s="14">
        <f>53</f>
        <v>53</v>
      </c>
      <c r="F1616" s="21">
        <f>'Hoja 4 - Cálculo'!A77</f>
        <v>31168</v>
      </c>
      <c r="G1616" s="15">
        <f>'Hoja 4 - Cálculo'!H77</f>
        <v>24.36525</v>
      </c>
      <c r="H1616" s="15">
        <f>IF(D1616="Uso único",'Hoja 4 - Cálculo'!I77,IF(D1616="Uso múltiple",AVERAGE('Hoja 4 - Cálculo'!$I$25:$I$384)+AVERAGE('Hoja 4 - Cálculo'!$J$25:$J$384)+AVERAGE('Hoja 4 - Cálculo'!$K$25:$K$384),IF(D1616="Uso prioritario",'Hoja 4 - Cálculo'!I77+'Hoja 4 - Cálculo'!K77,'Hoja 4 - Cálculo'!I77+'Hoja 4 - Cálculo'!J77+'Hoja 4 - Cálculo'!K77)))</f>
        <v>11.5</v>
      </c>
      <c r="I1616" s="15">
        <f t="shared" si="366"/>
        <v>11.5</v>
      </c>
      <c r="J1616" s="15">
        <f t="shared" si="363"/>
        <v>10</v>
      </c>
      <c r="K1616" s="15">
        <f>MIN(J1616+G1616,(J1616+G1616)*'Hoja 4 - Cálculo'!$B$15)</f>
        <v>0.68730500000000005</v>
      </c>
      <c r="L1616" s="15">
        <f t="shared" si="367"/>
        <v>33.677945000000001</v>
      </c>
      <c r="M1616" s="15">
        <f t="shared" si="368"/>
        <v>11.5</v>
      </c>
      <c r="N1616" s="15">
        <f t="shared" si="369"/>
        <v>10</v>
      </c>
      <c r="O1616" s="15">
        <f t="shared" si="370"/>
        <v>12.177945000000001</v>
      </c>
      <c r="P1616" s="15">
        <f t="shared" si="371"/>
        <v>0</v>
      </c>
      <c r="Q1616" s="14" t="str">
        <f>IF(M1616&gt;=I1616*'Hoja 4 - Cálculo'!$B$16,"Satisfactorio","Falla")</f>
        <v>Satisfactorio</v>
      </c>
      <c r="R1616" s="14">
        <f t="shared" si="364"/>
        <v>0</v>
      </c>
      <c r="S1616" s="14">
        <f t="shared" si="365"/>
        <v>0</v>
      </c>
    </row>
    <row r="1617" spans="1:19">
      <c r="A1617" s="14" t="str">
        <f t="shared" si="362"/>
        <v>SRY-5-2</v>
      </c>
      <c r="B1617" s="15">
        <f>'Curvas SRY'!$B$12</f>
        <v>10</v>
      </c>
      <c r="C1617" s="15">
        <f>'Curvas SRY'!$E$9</f>
        <v>1</v>
      </c>
      <c r="D1617" s="14" t="str">
        <f>'Curvas SRY'!$B$14</f>
        <v>Uso variable</v>
      </c>
      <c r="E1617" s="14">
        <f>54</f>
        <v>54</v>
      </c>
      <c r="F1617" s="21">
        <f>'Hoja 4 - Cálculo'!A78</f>
        <v>31199</v>
      </c>
      <c r="G1617" s="15">
        <f>'Hoja 4 - Cálculo'!H78</f>
        <v>15.395625000000001</v>
      </c>
      <c r="H1617" s="15">
        <f>IF(D1617="Uso único",'Hoja 4 - Cálculo'!I78,IF(D1617="Uso múltiple",AVERAGE('Hoja 4 - Cálculo'!$I$25:$I$384)+AVERAGE('Hoja 4 - Cálculo'!$J$25:$J$384)+AVERAGE('Hoja 4 - Cálculo'!$K$25:$K$384),IF(D1617="Uso prioritario",'Hoja 4 - Cálculo'!I78+'Hoja 4 - Cálculo'!K78,'Hoja 4 - Cálculo'!I78+'Hoja 4 - Cálculo'!J78+'Hoja 4 - Cálculo'!K78)))</f>
        <v>11.5</v>
      </c>
      <c r="I1617" s="15">
        <f t="shared" si="366"/>
        <v>11.5</v>
      </c>
      <c r="J1617" s="15">
        <f t="shared" si="363"/>
        <v>10</v>
      </c>
      <c r="K1617" s="15">
        <f>MIN(J1617+G1617,(J1617+G1617)*'Hoja 4 - Cálculo'!$B$15)</f>
        <v>0.5079125000000001</v>
      </c>
      <c r="L1617" s="15">
        <f t="shared" si="367"/>
        <v>24.887712500000003</v>
      </c>
      <c r="M1617" s="15">
        <f t="shared" si="368"/>
        <v>11.5</v>
      </c>
      <c r="N1617" s="15">
        <f t="shared" si="369"/>
        <v>10</v>
      </c>
      <c r="O1617" s="15">
        <f t="shared" si="370"/>
        <v>3.3877125000000028</v>
      </c>
      <c r="P1617" s="15">
        <f t="shared" si="371"/>
        <v>0</v>
      </c>
      <c r="Q1617" s="14" t="str">
        <f>IF(M1617&gt;=I1617*'Hoja 4 - Cálculo'!$B$16,"Satisfactorio","Falla")</f>
        <v>Satisfactorio</v>
      </c>
      <c r="R1617" s="14">
        <f t="shared" si="364"/>
        <v>0</v>
      </c>
      <c r="S1617" s="14">
        <f t="shared" si="365"/>
        <v>0</v>
      </c>
    </row>
    <row r="1618" spans="1:19">
      <c r="A1618" s="14" t="str">
        <f t="shared" si="362"/>
        <v>SRY-5-2</v>
      </c>
      <c r="B1618" s="15">
        <f>'Curvas SRY'!$B$12</f>
        <v>10</v>
      </c>
      <c r="C1618" s="15">
        <f>'Curvas SRY'!$E$9</f>
        <v>1</v>
      </c>
      <c r="D1618" s="14" t="str">
        <f>'Curvas SRY'!$B$14</f>
        <v>Uso variable</v>
      </c>
      <c r="E1618" s="14">
        <f>55</f>
        <v>55</v>
      </c>
      <c r="F1618" s="21">
        <f>'Hoja 4 - Cálculo'!A79</f>
        <v>31229</v>
      </c>
      <c r="G1618" s="15">
        <f>'Hoja 4 - Cálculo'!H79</f>
        <v>11.742749999999999</v>
      </c>
      <c r="H1618" s="15">
        <f>IF(D1618="Uso único",'Hoja 4 - Cálculo'!I79,IF(D1618="Uso múltiple",AVERAGE('Hoja 4 - Cálculo'!$I$25:$I$384)+AVERAGE('Hoja 4 - Cálculo'!$J$25:$J$384)+AVERAGE('Hoja 4 - Cálculo'!$K$25:$K$384),IF(D1618="Uso prioritario",'Hoja 4 - Cálculo'!I79+'Hoja 4 - Cálculo'!K79,'Hoja 4 - Cálculo'!I79+'Hoja 4 - Cálculo'!J79+'Hoja 4 - Cálculo'!K79)))</f>
        <v>16</v>
      </c>
      <c r="I1618" s="15">
        <f t="shared" si="366"/>
        <v>16</v>
      </c>
      <c r="J1618" s="15">
        <f t="shared" si="363"/>
        <v>10</v>
      </c>
      <c r="K1618" s="15">
        <f>MIN(J1618+G1618,(J1618+G1618)*'Hoja 4 - Cálculo'!$B$15)</f>
        <v>0.43485500000000005</v>
      </c>
      <c r="L1618" s="15">
        <f t="shared" si="367"/>
        <v>21.307895000000002</v>
      </c>
      <c r="M1618" s="15">
        <f t="shared" si="368"/>
        <v>16</v>
      </c>
      <c r="N1618" s="15">
        <f t="shared" si="369"/>
        <v>5.307895000000002</v>
      </c>
      <c r="O1618" s="15">
        <f t="shared" si="370"/>
        <v>0</v>
      </c>
      <c r="P1618" s="15">
        <f t="shared" si="371"/>
        <v>0</v>
      </c>
      <c r="Q1618" s="14" t="str">
        <f>IF(M1618&gt;=I1618*'Hoja 4 - Cálculo'!$B$16,"Satisfactorio","Falla")</f>
        <v>Satisfactorio</v>
      </c>
      <c r="R1618" s="14">
        <f t="shared" si="364"/>
        <v>0</v>
      </c>
      <c r="S1618" s="14">
        <f t="shared" si="365"/>
        <v>0</v>
      </c>
    </row>
    <row r="1619" spans="1:19">
      <c r="A1619" s="14" t="str">
        <f t="shared" si="362"/>
        <v>SRY-5-2</v>
      </c>
      <c r="B1619" s="15">
        <f>'Curvas SRY'!$B$12</f>
        <v>10</v>
      </c>
      <c r="C1619" s="15">
        <f>'Curvas SRY'!$E$9</f>
        <v>1</v>
      </c>
      <c r="D1619" s="14" t="str">
        <f>'Curvas SRY'!$B$14</f>
        <v>Uso variable</v>
      </c>
      <c r="E1619" s="14">
        <f>56</f>
        <v>56</v>
      </c>
      <c r="F1619" s="21">
        <f>'Hoja 4 - Cálculo'!A80</f>
        <v>31260</v>
      </c>
      <c r="G1619" s="15">
        <f>'Hoja 4 - Cálculo'!H80</f>
        <v>12.603375</v>
      </c>
      <c r="H1619" s="15">
        <f>IF(D1619="Uso único",'Hoja 4 - Cálculo'!I80,IF(D1619="Uso múltiple",AVERAGE('Hoja 4 - Cálculo'!$I$25:$I$384)+AVERAGE('Hoja 4 - Cálculo'!$J$25:$J$384)+AVERAGE('Hoja 4 - Cálculo'!$K$25:$K$384),IF(D1619="Uso prioritario",'Hoja 4 - Cálculo'!I80+'Hoja 4 - Cálculo'!K80,'Hoja 4 - Cálculo'!I80+'Hoja 4 - Cálculo'!J80+'Hoja 4 - Cálculo'!K80)))</f>
        <v>16</v>
      </c>
      <c r="I1619" s="15">
        <f t="shared" si="366"/>
        <v>16</v>
      </c>
      <c r="J1619" s="15">
        <f t="shared" si="363"/>
        <v>5.307895000000002</v>
      </c>
      <c r="K1619" s="15">
        <f>MIN(J1619+G1619,(J1619+G1619)*'Hoja 4 - Cálculo'!$B$15)</f>
        <v>0.35822540000000003</v>
      </c>
      <c r="L1619" s="15">
        <f t="shared" si="367"/>
        <v>17.553044600000003</v>
      </c>
      <c r="M1619" s="15">
        <f t="shared" si="368"/>
        <v>16</v>
      </c>
      <c r="N1619" s="15">
        <f t="shared" si="369"/>
        <v>1.5530446000000033</v>
      </c>
      <c r="O1619" s="15">
        <f t="shared" si="370"/>
        <v>0</v>
      </c>
      <c r="P1619" s="15">
        <f t="shared" si="371"/>
        <v>0</v>
      </c>
      <c r="Q1619" s="14" t="str">
        <f>IF(M1619&gt;=I1619*'Hoja 4 - Cálculo'!$B$16,"Satisfactorio","Falla")</f>
        <v>Satisfactorio</v>
      </c>
      <c r="R1619" s="14">
        <f t="shared" si="364"/>
        <v>0</v>
      </c>
      <c r="S1619" s="14">
        <f t="shared" si="365"/>
        <v>0</v>
      </c>
    </row>
    <row r="1620" spans="1:19">
      <c r="A1620" s="14" t="str">
        <f t="shared" si="362"/>
        <v>SRY-5-2</v>
      </c>
      <c r="B1620" s="15">
        <f>'Curvas SRY'!$B$12</f>
        <v>10</v>
      </c>
      <c r="C1620" s="15">
        <f>'Curvas SRY'!$E$9</f>
        <v>1</v>
      </c>
      <c r="D1620" s="14" t="str">
        <f>'Curvas SRY'!$B$14</f>
        <v>Uso variable</v>
      </c>
      <c r="E1620" s="14">
        <f>57</f>
        <v>57</v>
      </c>
      <c r="F1620" s="21">
        <f>'Hoja 4 - Cálculo'!A81</f>
        <v>31291</v>
      </c>
      <c r="G1620" s="15">
        <f>'Hoja 4 - Cálculo'!H81</f>
        <v>21.745125000000002</v>
      </c>
      <c r="H1620" s="15">
        <f>IF(D1620="Uso único",'Hoja 4 - Cálculo'!I81,IF(D1620="Uso múltiple",AVERAGE('Hoja 4 - Cálculo'!$I$25:$I$384)+AVERAGE('Hoja 4 - Cálculo'!$J$25:$J$384)+AVERAGE('Hoja 4 - Cálculo'!$K$25:$K$384),IF(D1620="Uso prioritario",'Hoja 4 - Cálculo'!I81+'Hoja 4 - Cálculo'!K81,'Hoja 4 - Cálculo'!I81+'Hoja 4 - Cálculo'!J81+'Hoja 4 - Cálculo'!K81)))</f>
        <v>11.5</v>
      </c>
      <c r="I1620" s="15">
        <f t="shared" si="366"/>
        <v>11.5</v>
      </c>
      <c r="J1620" s="15">
        <f t="shared" si="363"/>
        <v>1.5530446000000033</v>
      </c>
      <c r="K1620" s="15">
        <f>MIN(J1620+G1620,(J1620+G1620)*'Hoja 4 - Cálculo'!$B$15)</f>
        <v>0.46596339200000009</v>
      </c>
      <c r="L1620" s="15">
        <f t="shared" si="367"/>
        <v>22.832206208000006</v>
      </c>
      <c r="M1620" s="15">
        <f t="shared" si="368"/>
        <v>11.5</v>
      </c>
      <c r="N1620" s="15">
        <f t="shared" si="369"/>
        <v>10</v>
      </c>
      <c r="O1620" s="15">
        <f t="shared" si="370"/>
        <v>1.3322062080000059</v>
      </c>
      <c r="P1620" s="15">
        <f t="shared" si="371"/>
        <v>0</v>
      </c>
      <c r="Q1620" s="14" t="str">
        <f>IF(M1620&gt;=I1620*'Hoja 4 - Cálculo'!$B$16,"Satisfactorio","Falla")</f>
        <v>Satisfactorio</v>
      </c>
      <c r="R1620" s="14">
        <f t="shared" si="364"/>
        <v>0</v>
      </c>
      <c r="S1620" s="14">
        <f t="shared" si="365"/>
        <v>0</v>
      </c>
    </row>
    <row r="1621" spans="1:19">
      <c r="A1621" s="14" t="str">
        <f t="shared" si="362"/>
        <v>SRY-5-2</v>
      </c>
      <c r="B1621" s="15">
        <f>'Curvas SRY'!$B$12</f>
        <v>10</v>
      </c>
      <c r="C1621" s="15">
        <f>'Curvas SRY'!$E$9</f>
        <v>1</v>
      </c>
      <c r="D1621" s="14" t="str">
        <f>'Curvas SRY'!$B$14</f>
        <v>Uso variable</v>
      </c>
      <c r="E1621" s="14">
        <f>58</f>
        <v>58</v>
      </c>
      <c r="F1621" s="21">
        <f>'Hoja 4 - Cálculo'!A82</f>
        <v>31321</v>
      </c>
      <c r="G1621" s="15">
        <f>'Hoja 4 - Cálculo'!H82</f>
        <v>27.788625</v>
      </c>
      <c r="H1621" s="15">
        <f>IF(D1621="Uso único",'Hoja 4 - Cálculo'!I82,IF(D1621="Uso múltiple",AVERAGE('Hoja 4 - Cálculo'!$I$25:$I$384)+AVERAGE('Hoja 4 - Cálculo'!$J$25:$J$384)+AVERAGE('Hoja 4 - Cálculo'!$K$25:$K$384),IF(D1621="Uso prioritario",'Hoja 4 - Cálculo'!I82+'Hoja 4 - Cálculo'!K82,'Hoja 4 - Cálculo'!I82+'Hoja 4 - Cálculo'!J82+'Hoja 4 - Cálculo'!K82)))</f>
        <v>11.5</v>
      </c>
      <c r="I1621" s="15">
        <f t="shared" si="366"/>
        <v>11.5</v>
      </c>
      <c r="J1621" s="15">
        <f t="shared" si="363"/>
        <v>10</v>
      </c>
      <c r="K1621" s="15">
        <f>MIN(J1621+G1621,(J1621+G1621)*'Hoja 4 - Cálculo'!$B$15)</f>
        <v>0.75577249999999996</v>
      </c>
      <c r="L1621" s="15">
        <f t="shared" si="367"/>
        <v>37.032852499999997</v>
      </c>
      <c r="M1621" s="15">
        <f t="shared" si="368"/>
        <v>11.5</v>
      </c>
      <c r="N1621" s="15">
        <f t="shared" si="369"/>
        <v>10</v>
      </c>
      <c r="O1621" s="15">
        <f t="shared" si="370"/>
        <v>15.532852499999997</v>
      </c>
      <c r="P1621" s="15">
        <f t="shared" si="371"/>
        <v>0</v>
      </c>
      <c r="Q1621" s="14" t="str">
        <f>IF(M1621&gt;=I1621*'Hoja 4 - Cálculo'!$B$16,"Satisfactorio","Falla")</f>
        <v>Satisfactorio</v>
      </c>
      <c r="R1621" s="14">
        <f t="shared" si="364"/>
        <v>0</v>
      </c>
      <c r="S1621" s="14">
        <f t="shared" si="365"/>
        <v>0</v>
      </c>
    </row>
    <row r="1622" spans="1:19">
      <c r="A1622" s="14" t="str">
        <f t="shared" si="362"/>
        <v>SRY-5-2</v>
      </c>
      <c r="B1622" s="15">
        <f>'Curvas SRY'!$B$12</f>
        <v>10</v>
      </c>
      <c r="C1622" s="15">
        <f>'Curvas SRY'!$E$9</f>
        <v>1</v>
      </c>
      <c r="D1622" s="14" t="str">
        <f>'Curvas SRY'!$B$14</f>
        <v>Uso variable</v>
      </c>
      <c r="E1622" s="14">
        <f>59</f>
        <v>59</v>
      </c>
      <c r="F1622" s="21">
        <f>'Hoja 4 - Cálculo'!A83</f>
        <v>31352</v>
      </c>
      <c r="G1622" s="15">
        <f>'Hoja 4 - Cálculo'!H83</f>
        <v>22.22325</v>
      </c>
      <c r="H1622" s="15">
        <f>IF(D1622="Uso único",'Hoja 4 - Cálculo'!I83,IF(D1622="Uso múltiple",AVERAGE('Hoja 4 - Cálculo'!$I$25:$I$384)+AVERAGE('Hoja 4 - Cálculo'!$J$25:$J$384)+AVERAGE('Hoja 4 - Cálculo'!$K$25:$K$384),IF(D1622="Uso prioritario",'Hoja 4 - Cálculo'!I83+'Hoja 4 - Cálculo'!K83,'Hoja 4 - Cálculo'!I83+'Hoja 4 - Cálculo'!J83+'Hoja 4 - Cálculo'!K83)))</f>
        <v>11.5</v>
      </c>
      <c r="I1622" s="15">
        <f t="shared" si="366"/>
        <v>11.5</v>
      </c>
      <c r="J1622" s="15">
        <f t="shared" si="363"/>
        <v>10</v>
      </c>
      <c r="K1622" s="15">
        <f>MIN(J1622+G1622,(J1622+G1622)*'Hoja 4 - Cálculo'!$B$15)</f>
        <v>0.64446500000000007</v>
      </c>
      <c r="L1622" s="15">
        <f t="shared" si="367"/>
        <v>31.578785</v>
      </c>
      <c r="M1622" s="15">
        <f t="shared" si="368"/>
        <v>11.5</v>
      </c>
      <c r="N1622" s="15">
        <f t="shared" si="369"/>
        <v>10</v>
      </c>
      <c r="O1622" s="15">
        <f t="shared" si="370"/>
        <v>10.078785</v>
      </c>
      <c r="P1622" s="15">
        <f t="shared" si="371"/>
        <v>0</v>
      </c>
      <c r="Q1622" s="14" t="str">
        <f>IF(M1622&gt;=I1622*'Hoja 4 - Cálculo'!$B$16,"Satisfactorio","Falla")</f>
        <v>Satisfactorio</v>
      </c>
      <c r="R1622" s="14">
        <f t="shared" si="364"/>
        <v>0</v>
      </c>
      <c r="S1622" s="14">
        <f t="shared" si="365"/>
        <v>0</v>
      </c>
    </row>
    <row r="1623" spans="1:19">
      <c r="A1623" s="14" t="str">
        <f t="shared" si="362"/>
        <v>SRY-5-2</v>
      </c>
      <c r="B1623" s="15">
        <f>'Curvas SRY'!$B$12</f>
        <v>10</v>
      </c>
      <c r="C1623" s="15">
        <f>'Curvas SRY'!$E$9</f>
        <v>1</v>
      </c>
      <c r="D1623" s="14" t="str">
        <f>'Curvas SRY'!$B$14</f>
        <v>Uso variable</v>
      </c>
      <c r="E1623" s="14">
        <f>60</f>
        <v>60</v>
      </c>
      <c r="F1623" s="21">
        <f>'Hoja 4 - Cálculo'!A84</f>
        <v>31382</v>
      </c>
      <c r="G1623" s="15">
        <f>'Hoja 4 - Cálculo'!H84</f>
        <v>14.171625000000001</v>
      </c>
      <c r="H1623" s="15">
        <f>IF(D1623="Uso único",'Hoja 4 - Cálculo'!I84,IF(D1623="Uso múltiple",AVERAGE('Hoja 4 - Cálculo'!$I$25:$I$384)+AVERAGE('Hoja 4 - Cálculo'!$J$25:$J$384)+AVERAGE('Hoja 4 - Cálculo'!$K$25:$K$384),IF(D1623="Uso prioritario",'Hoja 4 - Cálculo'!I84+'Hoja 4 - Cálculo'!K84,'Hoja 4 - Cálculo'!I84+'Hoja 4 - Cálculo'!J84+'Hoja 4 - Cálculo'!K84)))</f>
        <v>16</v>
      </c>
      <c r="I1623" s="15">
        <f t="shared" si="366"/>
        <v>16</v>
      </c>
      <c r="J1623" s="15">
        <f t="shared" si="363"/>
        <v>10</v>
      </c>
      <c r="K1623" s="15">
        <f>MIN(J1623+G1623,(J1623+G1623)*'Hoja 4 - Cálculo'!$B$15)</f>
        <v>0.48343249999999999</v>
      </c>
      <c r="L1623" s="15">
        <f t="shared" si="367"/>
        <v>23.6881925</v>
      </c>
      <c r="M1623" s="15">
        <f t="shared" si="368"/>
        <v>16</v>
      </c>
      <c r="N1623" s="15">
        <f t="shared" si="369"/>
        <v>7.6881924999999995</v>
      </c>
      <c r="O1623" s="15">
        <f t="shared" si="370"/>
        <v>0</v>
      </c>
      <c r="P1623" s="15">
        <f t="shared" si="371"/>
        <v>0</v>
      </c>
      <c r="Q1623" s="14" t="str">
        <f>IF(M1623&gt;=I1623*'Hoja 4 - Cálculo'!$B$16,"Satisfactorio","Falla")</f>
        <v>Satisfactorio</v>
      </c>
      <c r="R1623" s="14">
        <f t="shared" si="364"/>
        <v>0</v>
      </c>
      <c r="S1623" s="14">
        <f t="shared" si="365"/>
        <v>0</v>
      </c>
    </row>
    <row r="1624" spans="1:19">
      <c r="A1624" s="14" t="str">
        <f t="shared" si="362"/>
        <v>SRY-5-2</v>
      </c>
      <c r="B1624" s="15">
        <f>'Curvas SRY'!$B$12</f>
        <v>10</v>
      </c>
      <c r="C1624" s="15">
        <f>'Curvas SRY'!$E$9</f>
        <v>1</v>
      </c>
      <c r="D1624" s="14" t="str">
        <f>'Curvas SRY'!$B$14</f>
        <v>Uso variable</v>
      </c>
      <c r="E1624" s="14">
        <f>61</f>
        <v>61</v>
      </c>
      <c r="F1624" s="21">
        <f>'Hoja 4 - Cálculo'!A85</f>
        <v>31413</v>
      </c>
      <c r="G1624" s="15">
        <f>'Hoja 4 - Cálculo'!H85</f>
        <v>12.641624999999999</v>
      </c>
      <c r="H1624" s="15">
        <f>IF(D1624="Uso único",'Hoja 4 - Cálculo'!I85,IF(D1624="Uso múltiple",AVERAGE('Hoja 4 - Cálculo'!$I$25:$I$384)+AVERAGE('Hoja 4 - Cálculo'!$J$25:$J$384)+AVERAGE('Hoja 4 - Cálculo'!$K$25:$K$384),IF(D1624="Uso prioritario",'Hoja 4 - Cálculo'!I85+'Hoja 4 - Cálculo'!K85,'Hoja 4 - Cálculo'!I85+'Hoja 4 - Cálculo'!J85+'Hoja 4 - Cálculo'!K85)))</f>
        <v>16</v>
      </c>
      <c r="I1624" s="15">
        <f t="shared" si="366"/>
        <v>16</v>
      </c>
      <c r="J1624" s="15">
        <f t="shared" si="363"/>
        <v>7.6881924999999995</v>
      </c>
      <c r="K1624" s="15">
        <f>MIN(J1624+G1624,(J1624+G1624)*'Hoja 4 - Cálculo'!$B$15)</f>
        <v>0.40659634999999994</v>
      </c>
      <c r="L1624" s="15">
        <f t="shared" si="367"/>
        <v>19.923221149999996</v>
      </c>
      <c r="M1624" s="15">
        <f t="shared" si="368"/>
        <v>16</v>
      </c>
      <c r="N1624" s="15">
        <f t="shared" si="369"/>
        <v>3.9232211499999963</v>
      </c>
      <c r="O1624" s="15">
        <f t="shared" si="370"/>
        <v>0</v>
      </c>
      <c r="P1624" s="15">
        <f t="shared" si="371"/>
        <v>0</v>
      </c>
      <c r="Q1624" s="14" t="str">
        <f>IF(M1624&gt;=I1624*'Hoja 4 - Cálculo'!$B$16,"Satisfactorio","Falla")</f>
        <v>Satisfactorio</v>
      </c>
      <c r="R1624" s="14">
        <f t="shared" si="364"/>
        <v>0</v>
      </c>
      <c r="S1624" s="14">
        <f t="shared" si="365"/>
        <v>0</v>
      </c>
    </row>
    <row r="1625" spans="1:19">
      <c r="A1625" s="14" t="str">
        <f t="shared" si="362"/>
        <v>SRY-5-2</v>
      </c>
      <c r="B1625" s="15">
        <f>'Curvas SRY'!$B$12</f>
        <v>10</v>
      </c>
      <c r="C1625" s="15">
        <f>'Curvas SRY'!$E$9</f>
        <v>1</v>
      </c>
      <c r="D1625" s="14" t="str">
        <f>'Curvas SRY'!$B$14</f>
        <v>Uso variable</v>
      </c>
      <c r="E1625" s="14">
        <f>62</f>
        <v>62</v>
      </c>
      <c r="F1625" s="21">
        <f>'Hoja 4 - Cálculo'!A86</f>
        <v>31444</v>
      </c>
      <c r="G1625" s="15">
        <f>'Hoja 4 - Cálculo'!H86</f>
        <v>15.357374999999999</v>
      </c>
      <c r="H1625" s="15">
        <f>IF(D1625="Uso único",'Hoja 4 - Cálculo'!I86,IF(D1625="Uso múltiple",AVERAGE('Hoja 4 - Cálculo'!$I$25:$I$384)+AVERAGE('Hoja 4 - Cálculo'!$J$25:$J$384)+AVERAGE('Hoja 4 - Cálculo'!$K$25:$K$384),IF(D1625="Uso prioritario",'Hoja 4 - Cálculo'!I86+'Hoja 4 - Cálculo'!K86,'Hoja 4 - Cálculo'!I86+'Hoja 4 - Cálculo'!J86+'Hoja 4 - Cálculo'!K86)))</f>
        <v>16</v>
      </c>
      <c r="I1625" s="15">
        <f t="shared" si="366"/>
        <v>16</v>
      </c>
      <c r="J1625" s="15">
        <f t="shared" si="363"/>
        <v>3.9232211499999963</v>
      </c>
      <c r="K1625" s="15">
        <f>MIN(J1625+G1625,(J1625+G1625)*'Hoja 4 - Cálculo'!$B$15)</f>
        <v>0.38561192299999991</v>
      </c>
      <c r="L1625" s="15">
        <f t="shared" si="367"/>
        <v>18.894984226999995</v>
      </c>
      <c r="M1625" s="15">
        <f t="shared" si="368"/>
        <v>16</v>
      </c>
      <c r="N1625" s="15">
        <f t="shared" si="369"/>
        <v>2.8949842269999948</v>
      </c>
      <c r="O1625" s="15">
        <f t="shared" si="370"/>
        <v>0</v>
      </c>
      <c r="P1625" s="15">
        <f t="shared" si="371"/>
        <v>0</v>
      </c>
      <c r="Q1625" s="14" t="str">
        <f>IF(M1625&gt;=I1625*'Hoja 4 - Cálculo'!$B$16,"Satisfactorio","Falla")</f>
        <v>Satisfactorio</v>
      </c>
      <c r="R1625" s="14">
        <f t="shared" si="364"/>
        <v>0</v>
      </c>
      <c r="S1625" s="14">
        <f t="shared" si="365"/>
        <v>0</v>
      </c>
    </row>
    <row r="1626" spans="1:19">
      <c r="A1626" s="14" t="str">
        <f t="shared" si="362"/>
        <v>SRY-5-2</v>
      </c>
      <c r="B1626" s="15">
        <f>'Curvas SRY'!$B$12</f>
        <v>10</v>
      </c>
      <c r="C1626" s="15">
        <f>'Curvas SRY'!$E$9</f>
        <v>1</v>
      </c>
      <c r="D1626" s="14" t="str">
        <f>'Curvas SRY'!$B$14</f>
        <v>Uso variable</v>
      </c>
      <c r="E1626" s="14">
        <f>63</f>
        <v>63</v>
      </c>
      <c r="F1626" s="21">
        <f>'Hoja 4 - Cálculo'!A87</f>
        <v>31472</v>
      </c>
      <c r="G1626" s="15">
        <f>'Hoja 4 - Cálculo'!H87</f>
        <v>20.846250000000001</v>
      </c>
      <c r="H1626" s="15">
        <f>IF(D1626="Uso único",'Hoja 4 - Cálculo'!I87,IF(D1626="Uso múltiple",AVERAGE('Hoja 4 - Cálculo'!$I$25:$I$384)+AVERAGE('Hoja 4 - Cálculo'!$J$25:$J$384)+AVERAGE('Hoja 4 - Cálculo'!$K$25:$K$384),IF(D1626="Uso prioritario",'Hoja 4 - Cálculo'!I87+'Hoja 4 - Cálculo'!K87,'Hoja 4 - Cálculo'!I87+'Hoja 4 - Cálculo'!J87+'Hoja 4 - Cálculo'!K87)))</f>
        <v>16</v>
      </c>
      <c r="I1626" s="15">
        <f t="shared" si="366"/>
        <v>16</v>
      </c>
      <c r="J1626" s="15">
        <f t="shared" si="363"/>
        <v>2.8949842269999948</v>
      </c>
      <c r="K1626" s="15">
        <f>MIN(J1626+G1626,(J1626+G1626)*'Hoja 4 - Cálculo'!$B$15)</f>
        <v>0.47482468453999993</v>
      </c>
      <c r="L1626" s="15">
        <f t="shared" si="367"/>
        <v>23.266409542459996</v>
      </c>
      <c r="M1626" s="15">
        <f t="shared" si="368"/>
        <v>16</v>
      </c>
      <c r="N1626" s="15">
        <f t="shared" si="369"/>
        <v>7.2664095424599964</v>
      </c>
      <c r="O1626" s="15">
        <f t="shared" si="370"/>
        <v>0</v>
      </c>
      <c r="P1626" s="15">
        <f t="shared" si="371"/>
        <v>0</v>
      </c>
      <c r="Q1626" s="14" t="str">
        <f>IF(M1626&gt;=I1626*'Hoja 4 - Cálculo'!$B$16,"Satisfactorio","Falla")</f>
        <v>Satisfactorio</v>
      </c>
      <c r="R1626" s="14">
        <f t="shared" si="364"/>
        <v>0</v>
      </c>
      <c r="S1626" s="14">
        <f t="shared" si="365"/>
        <v>0</v>
      </c>
    </row>
    <row r="1627" spans="1:19">
      <c r="A1627" s="14" t="str">
        <f t="shared" si="362"/>
        <v>SRY-5-2</v>
      </c>
      <c r="B1627" s="15">
        <f>'Curvas SRY'!$B$12</f>
        <v>10</v>
      </c>
      <c r="C1627" s="15">
        <f>'Curvas SRY'!$E$9</f>
        <v>1</v>
      </c>
      <c r="D1627" s="14" t="str">
        <f>'Curvas SRY'!$B$14</f>
        <v>Uso variable</v>
      </c>
      <c r="E1627" s="14">
        <f>64</f>
        <v>64</v>
      </c>
      <c r="F1627" s="21">
        <f>'Hoja 4 - Cálculo'!A88</f>
        <v>31503</v>
      </c>
      <c r="G1627" s="15">
        <f>'Hoja 4 - Cálculo'!H88</f>
        <v>30.638249999999999</v>
      </c>
      <c r="H1627" s="15">
        <f>IF(D1627="Uso único",'Hoja 4 - Cálculo'!I88,IF(D1627="Uso múltiple",AVERAGE('Hoja 4 - Cálculo'!$I$25:$I$384)+AVERAGE('Hoja 4 - Cálculo'!$J$25:$J$384)+AVERAGE('Hoja 4 - Cálculo'!$K$25:$K$384),IF(D1627="Uso prioritario",'Hoja 4 - Cálculo'!I88+'Hoja 4 - Cálculo'!K88,'Hoja 4 - Cálculo'!I88+'Hoja 4 - Cálculo'!J88+'Hoja 4 - Cálculo'!K88)))</f>
        <v>11.5</v>
      </c>
      <c r="I1627" s="15">
        <f t="shared" si="366"/>
        <v>11.5</v>
      </c>
      <c r="J1627" s="15">
        <f t="shared" si="363"/>
        <v>7.2664095424599964</v>
      </c>
      <c r="K1627" s="15">
        <f>MIN(J1627+G1627,(J1627+G1627)*'Hoja 4 - Cálculo'!$B$15)</f>
        <v>0.7580931908491999</v>
      </c>
      <c r="L1627" s="15">
        <f t="shared" si="367"/>
        <v>37.146566351610794</v>
      </c>
      <c r="M1627" s="15">
        <f t="shared" si="368"/>
        <v>11.5</v>
      </c>
      <c r="N1627" s="15">
        <f t="shared" si="369"/>
        <v>10</v>
      </c>
      <c r="O1627" s="15">
        <f t="shared" si="370"/>
        <v>15.646566351610794</v>
      </c>
      <c r="P1627" s="15">
        <f t="shared" si="371"/>
        <v>0</v>
      </c>
      <c r="Q1627" s="14" t="str">
        <f>IF(M1627&gt;=I1627*'Hoja 4 - Cálculo'!$B$16,"Satisfactorio","Falla")</f>
        <v>Satisfactorio</v>
      </c>
      <c r="R1627" s="14">
        <f t="shared" si="364"/>
        <v>0</v>
      </c>
      <c r="S1627" s="14">
        <f t="shared" si="365"/>
        <v>0</v>
      </c>
    </row>
    <row r="1628" spans="1:19">
      <c r="A1628" s="14" t="str">
        <f t="shared" ref="A1628:A1659" si="372">"SRY-5-2"</f>
        <v>SRY-5-2</v>
      </c>
      <c r="B1628" s="15">
        <f>'Curvas SRY'!$B$12</f>
        <v>10</v>
      </c>
      <c r="C1628" s="15">
        <f>'Curvas SRY'!$E$9</f>
        <v>1</v>
      </c>
      <c r="D1628" s="14" t="str">
        <f>'Curvas SRY'!$B$14</f>
        <v>Uso variable</v>
      </c>
      <c r="E1628" s="14">
        <f>65</f>
        <v>65</v>
      </c>
      <c r="F1628" s="21">
        <f>'Hoja 4 - Cálculo'!A89</f>
        <v>31533</v>
      </c>
      <c r="G1628" s="15">
        <f>'Hoja 4 - Cálculo'!H89</f>
        <v>28.438874999999999</v>
      </c>
      <c r="H1628" s="15">
        <f>IF(D1628="Uso único",'Hoja 4 - Cálculo'!I89,IF(D1628="Uso múltiple",AVERAGE('Hoja 4 - Cálculo'!$I$25:$I$384)+AVERAGE('Hoja 4 - Cálculo'!$J$25:$J$384)+AVERAGE('Hoja 4 - Cálculo'!$K$25:$K$384),IF(D1628="Uso prioritario",'Hoja 4 - Cálculo'!I89+'Hoja 4 - Cálculo'!K89,'Hoja 4 - Cálculo'!I89+'Hoja 4 - Cálculo'!J89+'Hoja 4 - Cálculo'!K89)))</f>
        <v>11.5</v>
      </c>
      <c r="I1628" s="15">
        <f t="shared" si="366"/>
        <v>11.5</v>
      </c>
      <c r="J1628" s="15">
        <f t="shared" si="363"/>
        <v>10</v>
      </c>
      <c r="K1628" s="15">
        <f>MIN(J1628+G1628,(J1628+G1628)*'Hoja 4 - Cálculo'!$B$15)</f>
        <v>0.76877749999999989</v>
      </c>
      <c r="L1628" s="15">
        <f t="shared" si="367"/>
        <v>37.670097499999997</v>
      </c>
      <c r="M1628" s="15">
        <f t="shared" si="368"/>
        <v>11.5</v>
      </c>
      <c r="N1628" s="15">
        <f t="shared" si="369"/>
        <v>10</v>
      </c>
      <c r="O1628" s="15">
        <f t="shared" si="370"/>
        <v>16.170097499999997</v>
      </c>
      <c r="P1628" s="15">
        <f t="shared" si="371"/>
        <v>0</v>
      </c>
      <c r="Q1628" s="14" t="str">
        <f>IF(M1628&gt;=I1628*'Hoja 4 - Cálculo'!$B$16,"Satisfactorio","Falla")</f>
        <v>Satisfactorio</v>
      </c>
      <c r="R1628" s="14">
        <f t="shared" si="364"/>
        <v>0</v>
      </c>
      <c r="S1628" s="14">
        <f t="shared" si="365"/>
        <v>0</v>
      </c>
    </row>
    <row r="1629" spans="1:19">
      <c r="A1629" s="14" t="str">
        <f t="shared" si="372"/>
        <v>SRY-5-2</v>
      </c>
      <c r="B1629" s="15">
        <f>'Curvas SRY'!$B$12</f>
        <v>10</v>
      </c>
      <c r="C1629" s="15">
        <f>'Curvas SRY'!$E$9</f>
        <v>1</v>
      </c>
      <c r="D1629" s="14" t="str">
        <f>'Curvas SRY'!$B$14</f>
        <v>Uso variable</v>
      </c>
      <c r="E1629" s="14">
        <f>66</f>
        <v>66</v>
      </c>
      <c r="F1629" s="21">
        <f>'Hoja 4 - Cálculo'!A90</f>
        <v>31564</v>
      </c>
      <c r="G1629" s="15">
        <f>'Hoja 4 - Cálculo'!H90</f>
        <v>16.007625000000001</v>
      </c>
      <c r="H1629" s="15">
        <f>IF(D1629="Uso único",'Hoja 4 - Cálculo'!I90,IF(D1629="Uso múltiple",AVERAGE('Hoja 4 - Cálculo'!$I$25:$I$384)+AVERAGE('Hoja 4 - Cálculo'!$J$25:$J$384)+AVERAGE('Hoja 4 - Cálculo'!$K$25:$K$384),IF(D1629="Uso prioritario",'Hoja 4 - Cálculo'!I90+'Hoja 4 - Cálculo'!K90,'Hoja 4 - Cálculo'!I90+'Hoja 4 - Cálculo'!J90+'Hoja 4 - Cálculo'!K90)))</f>
        <v>11.5</v>
      </c>
      <c r="I1629" s="15">
        <f t="shared" si="366"/>
        <v>11.5</v>
      </c>
      <c r="J1629" s="15">
        <f t="shared" ref="J1629:J1660" si="373">N1628</f>
        <v>10</v>
      </c>
      <c r="K1629" s="15">
        <f>MIN(J1629+G1629,(J1629+G1629)*'Hoja 4 - Cálculo'!$B$15)</f>
        <v>0.52015250000000002</v>
      </c>
      <c r="L1629" s="15">
        <f t="shared" si="367"/>
        <v>25.487472500000003</v>
      </c>
      <c r="M1629" s="15">
        <f t="shared" si="368"/>
        <v>11.5</v>
      </c>
      <c r="N1629" s="15">
        <f t="shared" si="369"/>
        <v>10</v>
      </c>
      <c r="O1629" s="15">
        <f t="shared" si="370"/>
        <v>3.9874725000000026</v>
      </c>
      <c r="P1629" s="15">
        <f t="shared" si="371"/>
        <v>0</v>
      </c>
      <c r="Q1629" s="14" t="str">
        <f>IF(M1629&gt;=I1629*'Hoja 4 - Cálculo'!$B$16,"Satisfactorio","Falla")</f>
        <v>Satisfactorio</v>
      </c>
      <c r="R1629" s="14">
        <f t="shared" ref="R1629:R1660" si="374">IF(AND(Q1628="Falla",Q1629="Satisfactorio"),1,0)</f>
        <v>0</v>
      </c>
      <c r="S1629" s="14">
        <f t="shared" ref="S1629:S1660" si="375">IF(AND(Q1629="Falla",Q1628&lt;&gt;"Falla"),1,0)</f>
        <v>0</v>
      </c>
    </row>
    <row r="1630" spans="1:19">
      <c r="A1630" s="14" t="str">
        <f t="shared" si="372"/>
        <v>SRY-5-2</v>
      </c>
      <c r="B1630" s="15">
        <f>'Curvas SRY'!$B$12</f>
        <v>10</v>
      </c>
      <c r="C1630" s="15">
        <f>'Curvas SRY'!$E$9</f>
        <v>1</v>
      </c>
      <c r="D1630" s="14" t="str">
        <f>'Curvas SRY'!$B$14</f>
        <v>Uso variable</v>
      </c>
      <c r="E1630" s="14">
        <f>67</f>
        <v>67</v>
      </c>
      <c r="F1630" s="21">
        <f>'Hoja 4 - Cálculo'!A91</f>
        <v>31594</v>
      </c>
      <c r="G1630" s="15">
        <f>'Hoja 4 - Cálculo'!H91</f>
        <v>14.056875</v>
      </c>
      <c r="H1630" s="15">
        <f>IF(D1630="Uso único",'Hoja 4 - Cálculo'!I91,IF(D1630="Uso múltiple",AVERAGE('Hoja 4 - Cálculo'!$I$25:$I$384)+AVERAGE('Hoja 4 - Cálculo'!$J$25:$J$384)+AVERAGE('Hoja 4 - Cálculo'!$K$25:$K$384),IF(D1630="Uso prioritario",'Hoja 4 - Cálculo'!I91+'Hoja 4 - Cálculo'!K91,'Hoja 4 - Cálculo'!I91+'Hoja 4 - Cálculo'!J91+'Hoja 4 - Cálculo'!K91)))</f>
        <v>16</v>
      </c>
      <c r="I1630" s="15">
        <f t="shared" si="366"/>
        <v>16</v>
      </c>
      <c r="J1630" s="15">
        <f t="shared" si="373"/>
        <v>10</v>
      </c>
      <c r="K1630" s="15">
        <f>MIN(J1630+G1630,(J1630+G1630)*'Hoja 4 - Cálculo'!$B$15)</f>
        <v>0.4811375</v>
      </c>
      <c r="L1630" s="15">
        <f t="shared" si="367"/>
        <v>23.575737499999999</v>
      </c>
      <c r="M1630" s="15">
        <f t="shared" si="368"/>
        <v>16</v>
      </c>
      <c r="N1630" s="15">
        <f t="shared" si="369"/>
        <v>7.5757374999999989</v>
      </c>
      <c r="O1630" s="15">
        <f t="shared" si="370"/>
        <v>0</v>
      </c>
      <c r="P1630" s="15">
        <f t="shared" si="371"/>
        <v>0</v>
      </c>
      <c r="Q1630" s="14" t="str">
        <f>IF(M1630&gt;=I1630*'Hoja 4 - Cálculo'!$B$16,"Satisfactorio","Falla")</f>
        <v>Satisfactorio</v>
      </c>
      <c r="R1630" s="14">
        <f t="shared" si="374"/>
        <v>0</v>
      </c>
      <c r="S1630" s="14">
        <f t="shared" si="375"/>
        <v>0</v>
      </c>
    </row>
    <row r="1631" spans="1:19">
      <c r="A1631" s="14" t="str">
        <f t="shared" si="372"/>
        <v>SRY-5-2</v>
      </c>
      <c r="B1631" s="15">
        <f>'Curvas SRY'!$B$12</f>
        <v>10</v>
      </c>
      <c r="C1631" s="15">
        <f>'Curvas SRY'!$E$9</f>
        <v>1</v>
      </c>
      <c r="D1631" s="14" t="str">
        <f>'Curvas SRY'!$B$14</f>
        <v>Uso variable</v>
      </c>
      <c r="E1631" s="14">
        <f>68</f>
        <v>68</v>
      </c>
      <c r="F1631" s="21">
        <f>'Hoja 4 - Cálculo'!A92</f>
        <v>31625</v>
      </c>
      <c r="G1631" s="15">
        <f>'Hoja 4 - Cálculo'!H92</f>
        <v>15.032249999999999</v>
      </c>
      <c r="H1631" s="15">
        <f>IF(D1631="Uso único",'Hoja 4 - Cálculo'!I92,IF(D1631="Uso múltiple",AVERAGE('Hoja 4 - Cálculo'!$I$25:$I$384)+AVERAGE('Hoja 4 - Cálculo'!$J$25:$J$384)+AVERAGE('Hoja 4 - Cálculo'!$K$25:$K$384),IF(D1631="Uso prioritario",'Hoja 4 - Cálculo'!I92+'Hoja 4 - Cálculo'!K92,'Hoja 4 - Cálculo'!I92+'Hoja 4 - Cálculo'!J92+'Hoja 4 - Cálculo'!K92)))</f>
        <v>16</v>
      </c>
      <c r="I1631" s="15">
        <f t="shared" si="366"/>
        <v>16</v>
      </c>
      <c r="J1631" s="15">
        <f t="shared" si="373"/>
        <v>7.5757374999999989</v>
      </c>
      <c r="K1631" s="15">
        <f>MIN(J1631+G1631,(J1631+G1631)*'Hoja 4 - Cálculo'!$B$15)</f>
        <v>0.45215975000000003</v>
      </c>
      <c r="L1631" s="15">
        <f t="shared" si="367"/>
        <v>22.15582775</v>
      </c>
      <c r="M1631" s="15">
        <f t="shared" si="368"/>
        <v>16</v>
      </c>
      <c r="N1631" s="15">
        <f t="shared" si="369"/>
        <v>6.1558277500000003</v>
      </c>
      <c r="O1631" s="15">
        <f t="shared" si="370"/>
        <v>0</v>
      </c>
      <c r="P1631" s="15">
        <f t="shared" si="371"/>
        <v>0</v>
      </c>
      <c r="Q1631" s="14" t="str">
        <f>IF(M1631&gt;=I1631*'Hoja 4 - Cálculo'!$B$16,"Satisfactorio","Falla")</f>
        <v>Satisfactorio</v>
      </c>
      <c r="R1631" s="14">
        <f t="shared" si="374"/>
        <v>0</v>
      </c>
      <c r="S1631" s="14">
        <f t="shared" si="375"/>
        <v>0</v>
      </c>
    </row>
    <row r="1632" spans="1:19">
      <c r="A1632" s="14" t="str">
        <f t="shared" si="372"/>
        <v>SRY-5-2</v>
      </c>
      <c r="B1632" s="15">
        <f>'Curvas SRY'!$B$12</f>
        <v>10</v>
      </c>
      <c r="C1632" s="15">
        <f>'Curvas SRY'!$E$9</f>
        <v>1</v>
      </c>
      <c r="D1632" s="14" t="str">
        <f>'Curvas SRY'!$B$14</f>
        <v>Uso variable</v>
      </c>
      <c r="E1632" s="14">
        <f>69</f>
        <v>69</v>
      </c>
      <c r="F1632" s="21">
        <f>'Hoja 4 - Cálculo'!A93</f>
        <v>31656</v>
      </c>
      <c r="G1632" s="15">
        <f>'Hoja 4 - Cálculo'!H93</f>
        <v>22.60575</v>
      </c>
      <c r="H1632" s="15">
        <f>IF(D1632="Uso único",'Hoja 4 - Cálculo'!I93,IF(D1632="Uso múltiple",AVERAGE('Hoja 4 - Cálculo'!$I$25:$I$384)+AVERAGE('Hoja 4 - Cálculo'!$J$25:$J$384)+AVERAGE('Hoja 4 - Cálculo'!$K$25:$K$384),IF(D1632="Uso prioritario",'Hoja 4 - Cálculo'!I93+'Hoja 4 - Cálculo'!K93,'Hoja 4 - Cálculo'!I93+'Hoja 4 - Cálculo'!J93+'Hoja 4 - Cálculo'!K93)))</f>
        <v>11.5</v>
      </c>
      <c r="I1632" s="15">
        <f t="shared" si="366"/>
        <v>11.5</v>
      </c>
      <c r="J1632" s="15">
        <f t="shared" si="373"/>
        <v>6.1558277500000003</v>
      </c>
      <c r="K1632" s="15">
        <f>MIN(J1632+G1632,(J1632+G1632)*'Hoja 4 - Cálculo'!$B$15)</f>
        <v>0.57523155500000001</v>
      </c>
      <c r="L1632" s="15">
        <f t="shared" si="367"/>
        <v>28.186346195000002</v>
      </c>
      <c r="M1632" s="15">
        <f t="shared" si="368"/>
        <v>11.5</v>
      </c>
      <c r="N1632" s="15">
        <f t="shared" si="369"/>
        <v>10</v>
      </c>
      <c r="O1632" s="15">
        <f t="shared" si="370"/>
        <v>6.6863461950000023</v>
      </c>
      <c r="P1632" s="15">
        <f t="shared" si="371"/>
        <v>0</v>
      </c>
      <c r="Q1632" s="14" t="str">
        <f>IF(M1632&gt;=I1632*'Hoja 4 - Cálculo'!$B$16,"Satisfactorio","Falla")</f>
        <v>Satisfactorio</v>
      </c>
      <c r="R1632" s="14">
        <f t="shared" si="374"/>
        <v>0</v>
      </c>
      <c r="S1632" s="14">
        <f t="shared" si="375"/>
        <v>0</v>
      </c>
    </row>
    <row r="1633" spans="1:19">
      <c r="A1633" s="14" t="str">
        <f t="shared" si="372"/>
        <v>SRY-5-2</v>
      </c>
      <c r="B1633" s="15">
        <f>'Curvas SRY'!$B$12</f>
        <v>10</v>
      </c>
      <c r="C1633" s="15">
        <f>'Curvas SRY'!$E$9</f>
        <v>1</v>
      </c>
      <c r="D1633" s="14" t="str">
        <f>'Curvas SRY'!$B$14</f>
        <v>Uso variable</v>
      </c>
      <c r="E1633" s="14">
        <f>70</f>
        <v>70</v>
      </c>
      <c r="F1633" s="21">
        <f>'Hoja 4 - Cálculo'!A94</f>
        <v>31686</v>
      </c>
      <c r="G1633" s="15">
        <f>'Hoja 4 - Cálculo'!H94</f>
        <v>32.531624999999998</v>
      </c>
      <c r="H1633" s="15">
        <f>IF(D1633="Uso único",'Hoja 4 - Cálculo'!I94,IF(D1633="Uso múltiple",AVERAGE('Hoja 4 - Cálculo'!$I$25:$I$384)+AVERAGE('Hoja 4 - Cálculo'!$J$25:$J$384)+AVERAGE('Hoja 4 - Cálculo'!$K$25:$K$384),IF(D1633="Uso prioritario",'Hoja 4 - Cálculo'!I94+'Hoja 4 - Cálculo'!K94,'Hoja 4 - Cálculo'!I94+'Hoja 4 - Cálculo'!J94+'Hoja 4 - Cálculo'!K94)))</f>
        <v>11.5</v>
      </c>
      <c r="I1633" s="15">
        <f t="shared" si="366"/>
        <v>11.5</v>
      </c>
      <c r="J1633" s="15">
        <f t="shared" si="373"/>
        <v>10</v>
      </c>
      <c r="K1633" s="15">
        <f>MIN(J1633+G1633,(J1633+G1633)*'Hoja 4 - Cálculo'!$B$15)</f>
        <v>0.85063250000000001</v>
      </c>
      <c r="L1633" s="15">
        <f t="shared" si="367"/>
        <v>41.680992499999995</v>
      </c>
      <c r="M1633" s="15">
        <f t="shared" si="368"/>
        <v>11.5</v>
      </c>
      <c r="N1633" s="15">
        <f t="shared" si="369"/>
        <v>10</v>
      </c>
      <c r="O1633" s="15">
        <f t="shared" si="370"/>
        <v>20.180992499999995</v>
      </c>
      <c r="P1633" s="15">
        <f t="shared" si="371"/>
        <v>0</v>
      </c>
      <c r="Q1633" s="14" t="str">
        <f>IF(M1633&gt;=I1633*'Hoja 4 - Cálculo'!$B$16,"Satisfactorio","Falla")</f>
        <v>Satisfactorio</v>
      </c>
      <c r="R1633" s="14">
        <f t="shared" si="374"/>
        <v>0</v>
      </c>
      <c r="S1633" s="14">
        <f t="shared" si="375"/>
        <v>0</v>
      </c>
    </row>
    <row r="1634" spans="1:19">
      <c r="A1634" s="14" t="str">
        <f t="shared" si="372"/>
        <v>SRY-5-2</v>
      </c>
      <c r="B1634" s="15">
        <f>'Curvas SRY'!$B$12</f>
        <v>10</v>
      </c>
      <c r="C1634" s="15">
        <f>'Curvas SRY'!$E$9</f>
        <v>1</v>
      </c>
      <c r="D1634" s="14" t="str">
        <f>'Curvas SRY'!$B$14</f>
        <v>Uso variable</v>
      </c>
      <c r="E1634" s="14">
        <f>71</f>
        <v>71</v>
      </c>
      <c r="F1634" s="21">
        <f>'Hoja 4 - Cálculo'!A95</f>
        <v>31717</v>
      </c>
      <c r="G1634" s="15">
        <f>'Hoja 4 - Cálculo'!H95</f>
        <v>26.641124999999999</v>
      </c>
      <c r="H1634" s="15">
        <f>IF(D1634="Uso único",'Hoja 4 - Cálculo'!I95,IF(D1634="Uso múltiple",AVERAGE('Hoja 4 - Cálculo'!$I$25:$I$384)+AVERAGE('Hoja 4 - Cálculo'!$J$25:$J$384)+AVERAGE('Hoja 4 - Cálculo'!$K$25:$K$384),IF(D1634="Uso prioritario",'Hoja 4 - Cálculo'!I95+'Hoja 4 - Cálculo'!K95,'Hoja 4 - Cálculo'!I95+'Hoja 4 - Cálculo'!J95+'Hoja 4 - Cálculo'!K95)))</f>
        <v>11.5</v>
      </c>
      <c r="I1634" s="15">
        <f t="shared" si="366"/>
        <v>11.5</v>
      </c>
      <c r="J1634" s="15">
        <f t="shared" si="373"/>
        <v>10</v>
      </c>
      <c r="K1634" s="15">
        <f>MIN(J1634+G1634,(J1634+G1634)*'Hoja 4 - Cálculo'!$B$15)</f>
        <v>0.73282250000000004</v>
      </c>
      <c r="L1634" s="15">
        <f t="shared" si="367"/>
        <v>35.908302500000005</v>
      </c>
      <c r="M1634" s="15">
        <f t="shared" si="368"/>
        <v>11.5</v>
      </c>
      <c r="N1634" s="15">
        <f t="shared" si="369"/>
        <v>10</v>
      </c>
      <c r="O1634" s="15">
        <f t="shared" si="370"/>
        <v>14.408302500000005</v>
      </c>
      <c r="P1634" s="15">
        <f t="shared" si="371"/>
        <v>0</v>
      </c>
      <c r="Q1634" s="14" t="str">
        <f>IF(M1634&gt;=I1634*'Hoja 4 - Cálculo'!$B$16,"Satisfactorio","Falla")</f>
        <v>Satisfactorio</v>
      </c>
      <c r="R1634" s="14">
        <f t="shared" si="374"/>
        <v>0</v>
      </c>
      <c r="S1634" s="14">
        <f t="shared" si="375"/>
        <v>0</v>
      </c>
    </row>
    <row r="1635" spans="1:19">
      <c r="A1635" s="14" t="str">
        <f t="shared" si="372"/>
        <v>SRY-5-2</v>
      </c>
      <c r="B1635" s="15">
        <f>'Curvas SRY'!$B$12</f>
        <v>10</v>
      </c>
      <c r="C1635" s="15">
        <f>'Curvas SRY'!$E$9</f>
        <v>1</v>
      </c>
      <c r="D1635" s="14" t="str">
        <f>'Curvas SRY'!$B$14</f>
        <v>Uso variable</v>
      </c>
      <c r="E1635" s="14">
        <f>72</f>
        <v>72</v>
      </c>
      <c r="F1635" s="21">
        <f>'Hoja 4 - Cálculo'!A96</f>
        <v>31747</v>
      </c>
      <c r="G1635" s="15">
        <f>'Hoja 4 - Cálculo'!H96</f>
        <v>15.166124999999999</v>
      </c>
      <c r="H1635" s="15">
        <f>IF(D1635="Uso único",'Hoja 4 - Cálculo'!I96,IF(D1635="Uso múltiple",AVERAGE('Hoja 4 - Cálculo'!$I$25:$I$384)+AVERAGE('Hoja 4 - Cálculo'!$J$25:$J$384)+AVERAGE('Hoja 4 - Cálculo'!$K$25:$K$384),IF(D1635="Uso prioritario",'Hoja 4 - Cálculo'!I96+'Hoja 4 - Cálculo'!K96,'Hoja 4 - Cálculo'!I96+'Hoja 4 - Cálculo'!J96+'Hoja 4 - Cálculo'!K96)))</f>
        <v>16</v>
      </c>
      <c r="I1635" s="15">
        <f t="shared" si="366"/>
        <v>16</v>
      </c>
      <c r="J1635" s="15">
        <f t="shared" si="373"/>
        <v>10</v>
      </c>
      <c r="K1635" s="15">
        <f>MIN(J1635+G1635,(J1635+G1635)*'Hoja 4 - Cálculo'!$B$15)</f>
        <v>0.50332250000000001</v>
      </c>
      <c r="L1635" s="15">
        <f t="shared" si="367"/>
        <v>24.662802500000002</v>
      </c>
      <c r="M1635" s="15">
        <f t="shared" si="368"/>
        <v>16</v>
      </c>
      <c r="N1635" s="15">
        <f t="shared" si="369"/>
        <v>8.6628025000000015</v>
      </c>
      <c r="O1635" s="15">
        <f t="shared" si="370"/>
        <v>0</v>
      </c>
      <c r="P1635" s="15">
        <f t="shared" si="371"/>
        <v>0</v>
      </c>
      <c r="Q1635" s="14" t="str">
        <f>IF(M1635&gt;=I1635*'Hoja 4 - Cálculo'!$B$16,"Satisfactorio","Falla")</f>
        <v>Satisfactorio</v>
      </c>
      <c r="R1635" s="14">
        <f t="shared" si="374"/>
        <v>0</v>
      </c>
      <c r="S1635" s="14">
        <f t="shared" si="375"/>
        <v>0</v>
      </c>
    </row>
    <row r="1636" spans="1:19">
      <c r="A1636" s="14" t="str">
        <f t="shared" si="372"/>
        <v>SRY-5-2</v>
      </c>
      <c r="B1636" s="15">
        <f>'Curvas SRY'!$B$12</f>
        <v>10</v>
      </c>
      <c r="C1636" s="15">
        <f>'Curvas SRY'!$E$9</f>
        <v>1</v>
      </c>
      <c r="D1636" s="14" t="str">
        <f>'Curvas SRY'!$B$14</f>
        <v>Uso variable</v>
      </c>
      <c r="E1636" s="14">
        <f>73</f>
        <v>73</v>
      </c>
      <c r="F1636" s="21">
        <f>'Hoja 4 - Cálculo'!A97</f>
        <v>31778</v>
      </c>
      <c r="G1636" s="15">
        <f>'Hoja 4 - Cálculo'!H97</f>
        <v>14.056875</v>
      </c>
      <c r="H1636" s="15">
        <f>IF(D1636="Uso único",'Hoja 4 - Cálculo'!I97,IF(D1636="Uso múltiple",AVERAGE('Hoja 4 - Cálculo'!$I$25:$I$384)+AVERAGE('Hoja 4 - Cálculo'!$J$25:$J$384)+AVERAGE('Hoja 4 - Cálculo'!$K$25:$K$384),IF(D1636="Uso prioritario",'Hoja 4 - Cálculo'!I97+'Hoja 4 - Cálculo'!K97,'Hoja 4 - Cálculo'!I97+'Hoja 4 - Cálculo'!J97+'Hoja 4 - Cálculo'!K97)))</f>
        <v>16</v>
      </c>
      <c r="I1636" s="15">
        <f t="shared" si="366"/>
        <v>16</v>
      </c>
      <c r="J1636" s="15">
        <f t="shared" si="373"/>
        <v>8.6628025000000015</v>
      </c>
      <c r="K1636" s="15">
        <f>MIN(J1636+G1636,(J1636+G1636)*'Hoja 4 - Cálculo'!$B$15)</f>
        <v>0.45439355000000009</v>
      </c>
      <c r="L1636" s="15">
        <f t="shared" si="367"/>
        <v>22.265283950000004</v>
      </c>
      <c r="M1636" s="15">
        <f t="shared" si="368"/>
        <v>16</v>
      </c>
      <c r="N1636" s="15">
        <f t="shared" si="369"/>
        <v>6.2652839500000042</v>
      </c>
      <c r="O1636" s="15">
        <f t="shared" si="370"/>
        <v>0</v>
      </c>
      <c r="P1636" s="15">
        <f t="shared" si="371"/>
        <v>0</v>
      </c>
      <c r="Q1636" s="14" t="str">
        <f>IF(M1636&gt;=I1636*'Hoja 4 - Cálculo'!$B$16,"Satisfactorio","Falla")</f>
        <v>Satisfactorio</v>
      </c>
      <c r="R1636" s="14">
        <f t="shared" si="374"/>
        <v>0</v>
      </c>
      <c r="S1636" s="14">
        <f t="shared" si="375"/>
        <v>0</v>
      </c>
    </row>
    <row r="1637" spans="1:19">
      <c r="A1637" s="14" t="str">
        <f t="shared" si="372"/>
        <v>SRY-5-2</v>
      </c>
      <c r="B1637" s="15">
        <f>'Curvas SRY'!$B$12</f>
        <v>10</v>
      </c>
      <c r="C1637" s="15">
        <f>'Curvas SRY'!$E$9</f>
        <v>1</v>
      </c>
      <c r="D1637" s="14" t="str">
        <f>'Curvas SRY'!$B$14</f>
        <v>Uso variable</v>
      </c>
      <c r="E1637" s="14">
        <f>74</f>
        <v>74</v>
      </c>
      <c r="F1637" s="21">
        <f>'Hoja 4 - Cálculo'!A98</f>
        <v>31809</v>
      </c>
      <c r="G1637" s="15">
        <f>'Hoja 4 - Cálculo'!H98</f>
        <v>15.969374999999999</v>
      </c>
      <c r="H1637" s="15">
        <f>IF(D1637="Uso único",'Hoja 4 - Cálculo'!I98,IF(D1637="Uso múltiple",AVERAGE('Hoja 4 - Cálculo'!$I$25:$I$384)+AVERAGE('Hoja 4 - Cálculo'!$J$25:$J$384)+AVERAGE('Hoja 4 - Cálculo'!$K$25:$K$384),IF(D1637="Uso prioritario",'Hoja 4 - Cálculo'!I98+'Hoja 4 - Cálculo'!K98,'Hoja 4 - Cálculo'!I98+'Hoja 4 - Cálculo'!J98+'Hoja 4 - Cálculo'!K98)))</f>
        <v>16</v>
      </c>
      <c r="I1637" s="15">
        <f t="shared" si="366"/>
        <v>16</v>
      </c>
      <c r="J1637" s="15">
        <f t="shared" si="373"/>
        <v>6.2652839500000042</v>
      </c>
      <c r="K1637" s="15">
        <f>MIN(J1637+G1637,(J1637+G1637)*'Hoja 4 - Cálculo'!$B$15)</f>
        <v>0.44469317900000011</v>
      </c>
      <c r="L1637" s="15">
        <f t="shared" si="367"/>
        <v>21.789965771000002</v>
      </c>
      <c r="M1637" s="15">
        <f t="shared" si="368"/>
        <v>16</v>
      </c>
      <c r="N1637" s="15">
        <f t="shared" si="369"/>
        <v>5.7899657710000021</v>
      </c>
      <c r="O1637" s="15">
        <f t="shared" si="370"/>
        <v>0</v>
      </c>
      <c r="P1637" s="15">
        <f t="shared" si="371"/>
        <v>0</v>
      </c>
      <c r="Q1637" s="14" t="str">
        <f>IF(M1637&gt;=I1637*'Hoja 4 - Cálculo'!$B$16,"Satisfactorio","Falla")</f>
        <v>Satisfactorio</v>
      </c>
      <c r="R1637" s="14">
        <f t="shared" si="374"/>
        <v>0</v>
      </c>
      <c r="S1637" s="14">
        <f t="shared" si="375"/>
        <v>0</v>
      </c>
    </row>
    <row r="1638" spans="1:19">
      <c r="A1638" s="14" t="str">
        <f t="shared" si="372"/>
        <v>SRY-5-2</v>
      </c>
      <c r="B1638" s="15">
        <f>'Curvas SRY'!$B$12</f>
        <v>10</v>
      </c>
      <c r="C1638" s="15">
        <f>'Curvas SRY'!$E$9</f>
        <v>1</v>
      </c>
      <c r="D1638" s="14" t="str">
        <f>'Curvas SRY'!$B$14</f>
        <v>Uso variable</v>
      </c>
      <c r="E1638" s="14">
        <f>75</f>
        <v>75</v>
      </c>
      <c r="F1638" s="21">
        <f>'Hoja 4 - Cálculo'!A99</f>
        <v>31837</v>
      </c>
      <c r="G1638" s="15">
        <f>'Hoja 4 - Cálculo'!H99</f>
        <v>22.797000000000001</v>
      </c>
      <c r="H1638" s="15">
        <f>IF(D1638="Uso único",'Hoja 4 - Cálculo'!I99,IF(D1638="Uso múltiple",AVERAGE('Hoja 4 - Cálculo'!$I$25:$I$384)+AVERAGE('Hoja 4 - Cálculo'!$J$25:$J$384)+AVERAGE('Hoja 4 - Cálculo'!$K$25:$K$384),IF(D1638="Uso prioritario",'Hoja 4 - Cálculo'!I99+'Hoja 4 - Cálculo'!K99,'Hoja 4 - Cálculo'!I99+'Hoja 4 - Cálculo'!J99+'Hoja 4 - Cálculo'!K99)))</f>
        <v>16</v>
      </c>
      <c r="I1638" s="15">
        <f t="shared" si="366"/>
        <v>16</v>
      </c>
      <c r="J1638" s="15">
        <f t="shared" si="373"/>
        <v>5.7899657710000021</v>
      </c>
      <c r="K1638" s="15">
        <f>MIN(J1638+G1638,(J1638+G1638)*'Hoja 4 - Cálculo'!$B$15)</f>
        <v>0.57173931542000012</v>
      </c>
      <c r="L1638" s="15">
        <f t="shared" si="367"/>
        <v>28.015226455580002</v>
      </c>
      <c r="M1638" s="15">
        <f t="shared" si="368"/>
        <v>16</v>
      </c>
      <c r="N1638" s="15">
        <f t="shared" si="369"/>
        <v>10</v>
      </c>
      <c r="O1638" s="15">
        <f t="shared" si="370"/>
        <v>2.0152264555800024</v>
      </c>
      <c r="P1638" s="15">
        <f t="shared" si="371"/>
        <v>0</v>
      </c>
      <c r="Q1638" s="14" t="str">
        <f>IF(M1638&gt;=I1638*'Hoja 4 - Cálculo'!$B$16,"Satisfactorio","Falla")</f>
        <v>Satisfactorio</v>
      </c>
      <c r="R1638" s="14">
        <f t="shared" si="374"/>
        <v>0</v>
      </c>
      <c r="S1638" s="14">
        <f t="shared" si="375"/>
        <v>0</v>
      </c>
    </row>
    <row r="1639" spans="1:19">
      <c r="A1639" s="14" t="str">
        <f t="shared" si="372"/>
        <v>SRY-5-2</v>
      </c>
      <c r="B1639" s="15">
        <f>'Curvas SRY'!$B$12</f>
        <v>10</v>
      </c>
      <c r="C1639" s="15">
        <f>'Curvas SRY'!$E$9</f>
        <v>1</v>
      </c>
      <c r="D1639" s="14" t="str">
        <f>'Curvas SRY'!$B$14</f>
        <v>Uso variable</v>
      </c>
      <c r="E1639" s="14">
        <f>76</f>
        <v>76</v>
      </c>
      <c r="F1639" s="21">
        <f>'Hoja 4 - Cálculo'!A100</f>
        <v>31868</v>
      </c>
      <c r="G1639" s="15">
        <f>'Hoja 4 - Cálculo'!H100</f>
        <v>34.138125000000002</v>
      </c>
      <c r="H1639" s="15">
        <f>IF(D1639="Uso único",'Hoja 4 - Cálculo'!I100,IF(D1639="Uso múltiple",AVERAGE('Hoja 4 - Cálculo'!$I$25:$I$384)+AVERAGE('Hoja 4 - Cálculo'!$J$25:$J$384)+AVERAGE('Hoja 4 - Cálculo'!$K$25:$K$384),IF(D1639="Uso prioritario",'Hoja 4 - Cálculo'!I100+'Hoja 4 - Cálculo'!K100,'Hoja 4 - Cálculo'!I100+'Hoja 4 - Cálculo'!J100+'Hoja 4 - Cálculo'!K100)))</f>
        <v>11.5</v>
      </c>
      <c r="I1639" s="15">
        <f t="shared" si="366"/>
        <v>11.5</v>
      </c>
      <c r="J1639" s="15">
        <f t="shared" si="373"/>
        <v>10</v>
      </c>
      <c r="K1639" s="15">
        <f>MIN(J1639+G1639,(J1639+G1639)*'Hoja 4 - Cálculo'!$B$15)</f>
        <v>0.88276250000000012</v>
      </c>
      <c r="L1639" s="15">
        <f t="shared" si="367"/>
        <v>43.255362500000004</v>
      </c>
      <c r="M1639" s="15">
        <f t="shared" si="368"/>
        <v>11.5</v>
      </c>
      <c r="N1639" s="15">
        <f t="shared" si="369"/>
        <v>10</v>
      </c>
      <c r="O1639" s="15">
        <f t="shared" si="370"/>
        <v>21.755362500000004</v>
      </c>
      <c r="P1639" s="15">
        <f t="shared" si="371"/>
        <v>0</v>
      </c>
      <c r="Q1639" s="14" t="str">
        <f>IF(M1639&gt;=I1639*'Hoja 4 - Cálculo'!$B$16,"Satisfactorio","Falla")</f>
        <v>Satisfactorio</v>
      </c>
      <c r="R1639" s="14">
        <f t="shared" si="374"/>
        <v>0</v>
      </c>
      <c r="S1639" s="14">
        <f t="shared" si="375"/>
        <v>0</v>
      </c>
    </row>
    <row r="1640" spans="1:19">
      <c r="A1640" s="14" t="str">
        <f t="shared" si="372"/>
        <v>SRY-5-2</v>
      </c>
      <c r="B1640" s="15">
        <f>'Curvas SRY'!$B$12</f>
        <v>10</v>
      </c>
      <c r="C1640" s="15">
        <f>'Curvas SRY'!$E$9</f>
        <v>1</v>
      </c>
      <c r="D1640" s="14" t="str">
        <f>'Curvas SRY'!$B$14</f>
        <v>Uso variable</v>
      </c>
      <c r="E1640" s="14">
        <f>77</f>
        <v>77</v>
      </c>
      <c r="F1640" s="21">
        <f>'Hoja 4 - Cálculo'!A101</f>
        <v>31898</v>
      </c>
      <c r="G1640" s="15">
        <f>'Hoja 4 - Cálculo'!H101</f>
        <v>28.534500000000001</v>
      </c>
      <c r="H1640" s="15">
        <f>IF(D1640="Uso único",'Hoja 4 - Cálculo'!I101,IF(D1640="Uso múltiple",AVERAGE('Hoja 4 - Cálculo'!$I$25:$I$384)+AVERAGE('Hoja 4 - Cálculo'!$J$25:$J$384)+AVERAGE('Hoja 4 - Cálculo'!$K$25:$K$384),IF(D1640="Uso prioritario",'Hoja 4 - Cálculo'!I101+'Hoja 4 - Cálculo'!K101,'Hoja 4 - Cálculo'!I101+'Hoja 4 - Cálculo'!J101+'Hoja 4 - Cálculo'!K101)))</f>
        <v>11.5</v>
      </c>
      <c r="I1640" s="15">
        <f t="shared" si="366"/>
        <v>11.5</v>
      </c>
      <c r="J1640" s="15">
        <f t="shared" si="373"/>
        <v>10</v>
      </c>
      <c r="K1640" s="15">
        <f>MIN(J1640+G1640,(J1640+G1640)*'Hoja 4 - Cálculo'!$B$15)</f>
        <v>0.7706900000000001</v>
      </c>
      <c r="L1640" s="15">
        <f t="shared" si="367"/>
        <v>37.763809999999999</v>
      </c>
      <c r="M1640" s="15">
        <f t="shared" si="368"/>
        <v>11.5</v>
      </c>
      <c r="N1640" s="15">
        <f t="shared" si="369"/>
        <v>10</v>
      </c>
      <c r="O1640" s="15">
        <f t="shared" si="370"/>
        <v>16.263809999999999</v>
      </c>
      <c r="P1640" s="15">
        <f t="shared" si="371"/>
        <v>0</v>
      </c>
      <c r="Q1640" s="14" t="str">
        <f>IF(M1640&gt;=I1640*'Hoja 4 - Cálculo'!$B$16,"Satisfactorio","Falla")</f>
        <v>Satisfactorio</v>
      </c>
      <c r="R1640" s="14">
        <f t="shared" si="374"/>
        <v>0</v>
      </c>
      <c r="S1640" s="14">
        <f t="shared" si="375"/>
        <v>0</v>
      </c>
    </row>
    <row r="1641" spans="1:19">
      <c r="A1641" s="14" t="str">
        <f t="shared" si="372"/>
        <v>SRY-5-2</v>
      </c>
      <c r="B1641" s="15">
        <f>'Curvas SRY'!$B$12</f>
        <v>10</v>
      </c>
      <c r="C1641" s="15">
        <f>'Curvas SRY'!$E$9</f>
        <v>1</v>
      </c>
      <c r="D1641" s="14" t="str">
        <f>'Curvas SRY'!$B$14</f>
        <v>Uso variable</v>
      </c>
      <c r="E1641" s="14">
        <f>78</f>
        <v>78</v>
      </c>
      <c r="F1641" s="21">
        <f>'Hoja 4 - Cálculo'!A102</f>
        <v>31929</v>
      </c>
      <c r="G1641" s="15">
        <f>'Hoja 4 - Cálculo'!H102</f>
        <v>18.589500000000001</v>
      </c>
      <c r="H1641" s="15">
        <f>IF(D1641="Uso único",'Hoja 4 - Cálculo'!I102,IF(D1641="Uso múltiple",AVERAGE('Hoja 4 - Cálculo'!$I$25:$I$384)+AVERAGE('Hoja 4 - Cálculo'!$J$25:$J$384)+AVERAGE('Hoja 4 - Cálculo'!$K$25:$K$384),IF(D1641="Uso prioritario",'Hoja 4 - Cálculo'!I102+'Hoja 4 - Cálculo'!K102,'Hoja 4 - Cálculo'!I102+'Hoja 4 - Cálculo'!J102+'Hoja 4 - Cálculo'!K102)))</f>
        <v>11.5</v>
      </c>
      <c r="I1641" s="15">
        <f t="shared" si="366"/>
        <v>11.5</v>
      </c>
      <c r="J1641" s="15">
        <f t="shared" si="373"/>
        <v>10</v>
      </c>
      <c r="K1641" s="15">
        <f>MIN(J1641+G1641,(J1641+G1641)*'Hoja 4 - Cálculo'!$B$15)</f>
        <v>0.57179000000000002</v>
      </c>
      <c r="L1641" s="15">
        <f t="shared" si="367"/>
        <v>28.017710000000001</v>
      </c>
      <c r="M1641" s="15">
        <f t="shared" si="368"/>
        <v>11.5</v>
      </c>
      <c r="N1641" s="15">
        <f t="shared" si="369"/>
        <v>10</v>
      </c>
      <c r="O1641" s="15">
        <f t="shared" si="370"/>
        <v>6.517710000000001</v>
      </c>
      <c r="P1641" s="15">
        <f t="shared" si="371"/>
        <v>0</v>
      </c>
      <c r="Q1641" s="14" t="str">
        <f>IF(M1641&gt;=I1641*'Hoja 4 - Cálculo'!$B$16,"Satisfactorio","Falla")</f>
        <v>Satisfactorio</v>
      </c>
      <c r="R1641" s="14">
        <f t="shared" si="374"/>
        <v>0</v>
      </c>
      <c r="S1641" s="14">
        <f t="shared" si="375"/>
        <v>0</v>
      </c>
    </row>
    <row r="1642" spans="1:19">
      <c r="A1642" s="14" t="str">
        <f t="shared" si="372"/>
        <v>SRY-5-2</v>
      </c>
      <c r="B1642" s="15">
        <f>'Curvas SRY'!$B$12</f>
        <v>10</v>
      </c>
      <c r="C1642" s="15">
        <f>'Curvas SRY'!$E$9</f>
        <v>1</v>
      </c>
      <c r="D1642" s="14" t="str">
        <f>'Curvas SRY'!$B$14</f>
        <v>Uso variable</v>
      </c>
      <c r="E1642" s="14">
        <f>79</f>
        <v>79</v>
      </c>
      <c r="F1642" s="21">
        <f>'Hoja 4 - Cálculo'!A103</f>
        <v>31959</v>
      </c>
      <c r="G1642" s="15">
        <f>'Hoja 4 - Cálculo'!H103</f>
        <v>14.688000000000001</v>
      </c>
      <c r="H1642" s="15">
        <f>IF(D1642="Uso único",'Hoja 4 - Cálculo'!I103,IF(D1642="Uso múltiple",AVERAGE('Hoja 4 - Cálculo'!$I$25:$I$384)+AVERAGE('Hoja 4 - Cálculo'!$J$25:$J$384)+AVERAGE('Hoja 4 - Cálculo'!$K$25:$K$384),IF(D1642="Uso prioritario",'Hoja 4 - Cálculo'!I103+'Hoja 4 - Cálculo'!K103,'Hoja 4 - Cálculo'!I103+'Hoja 4 - Cálculo'!J103+'Hoja 4 - Cálculo'!K103)))</f>
        <v>16</v>
      </c>
      <c r="I1642" s="15">
        <f t="shared" si="366"/>
        <v>16</v>
      </c>
      <c r="J1642" s="15">
        <f t="shared" si="373"/>
        <v>10</v>
      </c>
      <c r="K1642" s="15">
        <f>MIN(J1642+G1642,(J1642+G1642)*'Hoja 4 - Cálculo'!$B$15)</f>
        <v>0.49376000000000003</v>
      </c>
      <c r="L1642" s="15">
        <f t="shared" si="367"/>
        <v>24.194240000000001</v>
      </c>
      <c r="M1642" s="15">
        <f t="shared" si="368"/>
        <v>16</v>
      </c>
      <c r="N1642" s="15">
        <f t="shared" si="369"/>
        <v>8.1942400000000006</v>
      </c>
      <c r="O1642" s="15">
        <f t="shared" si="370"/>
        <v>0</v>
      </c>
      <c r="P1642" s="15">
        <f t="shared" si="371"/>
        <v>0</v>
      </c>
      <c r="Q1642" s="14" t="str">
        <f>IF(M1642&gt;=I1642*'Hoja 4 - Cálculo'!$B$16,"Satisfactorio","Falla")</f>
        <v>Satisfactorio</v>
      </c>
      <c r="R1642" s="14">
        <f t="shared" si="374"/>
        <v>0</v>
      </c>
      <c r="S1642" s="14">
        <f t="shared" si="375"/>
        <v>0</v>
      </c>
    </row>
    <row r="1643" spans="1:19">
      <c r="A1643" s="14" t="str">
        <f t="shared" si="372"/>
        <v>SRY-5-2</v>
      </c>
      <c r="B1643" s="15">
        <f>'Curvas SRY'!$B$12</f>
        <v>10</v>
      </c>
      <c r="C1643" s="15">
        <f>'Curvas SRY'!$E$9</f>
        <v>1</v>
      </c>
      <c r="D1643" s="14" t="str">
        <f>'Curvas SRY'!$B$14</f>
        <v>Uso variable</v>
      </c>
      <c r="E1643" s="14">
        <f>80</f>
        <v>80</v>
      </c>
      <c r="F1643" s="21">
        <f>'Hoja 4 - Cálculo'!A104</f>
        <v>31990</v>
      </c>
      <c r="G1643" s="15">
        <f>'Hoja 4 - Cálculo'!H104</f>
        <v>15.759</v>
      </c>
      <c r="H1643" s="15">
        <f>IF(D1643="Uso único",'Hoja 4 - Cálculo'!I104,IF(D1643="Uso múltiple",AVERAGE('Hoja 4 - Cálculo'!$I$25:$I$384)+AVERAGE('Hoja 4 - Cálculo'!$J$25:$J$384)+AVERAGE('Hoja 4 - Cálculo'!$K$25:$K$384),IF(D1643="Uso prioritario",'Hoja 4 - Cálculo'!I104+'Hoja 4 - Cálculo'!K104,'Hoja 4 - Cálculo'!I104+'Hoja 4 - Cálculo'!J104+'Hoja 4 - Cálculo'!K104)))</f>
        <v>16</v>
      </c>
      <c r="I1643" s="15">
        <f t="shared" si="366"/>
        <v>16</v>
      </c>
      <c r="J1643" s="15">
        <f t="shared" si="373"/>
        <v>8.1942400000000006</v>
      </c>
      <c r="K1643" s="15">
        <f>MIN(J1643+G1643,(J1643+G1643)*'Hoja 4 - Cálculo'!$B$15)</f>
        <v>0.47906480000000001</v>
      </c>
      <c r="L1643" s="15">
        <f t="shared" si="367"/>
        <v>23.474175200000001</v>
      </c>
      <c r="M1643" s="15">
        <f t="shared" si="368"/>
        <v>16</v>
      </c>
      <c r="N1643" s="15">
        <f t="shared" si="369"/>
        <v>7.4741752000000012</v>
      </c>
      <c r="O1643" s="15">
        <f t="shared" si="370"/>
        <v>0</v>
      </c>
      <c r="P1643" s="15">
        <f t="shared" si="371"/>
        <v>0</v>
      </c>
      <c r="Q1643" s="14" t="str">
        <f>IF(M1643&gt;=I1643*'Hoja 4 - Cálculo'!$B$16,"Satisfactorio","Falla")</f>
        <v>Satisfactorio</v>
      </c>
      <c r="R1643" s="14">
        <f t="shared" si="374"/>
        <v>0</v>
      </c>
      <c r="S1643" s="14">
        <f t="shared" si="375"/>
        <v>0</v>
      </c>
    </row>
    <row r="1644" spans="1:19">
      <c r="A1644" s="14" t="str">
        <f t="shared" si="372"/>
        <v>SRY-5-2</v>
      </c>
      <c r="B1644" s="15">
        <f>'Curvas SRY'!$B$12</f>
        <v>10</v>
      </c>
      <c r="C1644" s="15">
        <f>'Curvas SRY'!$E$9</f>
        <v>1</v>
      </c>
      <c r="D1644" s="14" t="str">
        <f>'Curvas SRY'!$B$14</f>
        <v>Uso variable</v>
      </c>
      <c r="E1644" s="14">
        <f>81</f>
        <v>81</v>
      </c>
      <c r="F1644" s="21">
        <f>'Hoja 4 - Cálculo'!A105</f>
        <v>32021</v>
      </c>
      <c r="G1644" s="15">
        <f>'Hoja 4 - Cálculo'!H105</f>
        <v>26.220375000000001</v>
      </c>
      <c r="H1644" s="15">
        <f>IF(D1644="Uso único",'Hoja 4 - Cálculo'!I105,IF(D1644="Uso múltiple",AVERAGE('Hoja 4 - Cálculo'!$I$25:$I$384)+AVERAGE('Hoja 4 - Cálculo'!$J$25:$J$384)+AVERAGE('Hoja 4 - Cálculo'!$K$25:$K$384),IF(D1644="Uso prioritario",'Hoja 4 - Cálculo'!I105+'Hoja 4 - Cálculo'!K105,'Hoja 4 - Cálculo'!I105+'Hoja 4 - Cálculo'!J105+'Hoja 4 - Cálculo'!K105)))</f>
        <v>11.5</v>
      </c>
      <c r="I1644" s="15">
        <f t="shared" si="366"/>
        <v>11.5</v>
      </c>
      <c r="J1644" s="15">
        <f t="shared" si="373"/>
        <v>7.4741752000000012</v>
      </c>
      <c r="K1644" s="15">
        <f>MIN(J1644+G1644,(J1644+G1644)*'Hoja 4 - Cálculo'!$B$15)</f>
        <v>0.67389100400000002</v>
      </c>
      <c r="L1644" s="15">
        <f t="shared" si="367"/>
        <v>33.020659196000004</v>
      </c>
      <c r="M1644" s="15">
        <f t="shared" si="368"/>
        <v>11.5</v>
      </c>
      <c r="N1644" s="15">
        <f t="shared" si="369"/>
        <v>10</v>
      </c>
      <c r="O1644" s="15">
        <f t="shared" si="370"/>
        <v>11.520659196000004</v>
      </c>
      <c r="P1644" s="15">
        <f t="shared" si="371"/>
        <v>0</v>
      </c>
      <c r="Q1644" s="14" t="str">
        <f>IF(M1644&gt;=I1644*'Hoja 4 - Cálculo'!$B$16,"Satisfactorio","Falla")</f>
        <v>Satisfactorio</v>
      </c>
      <c r="R1644" s="14">
        <f t="shared" si="374"/>
        <v>0</v>
      </c>
      <c r="S1644" s="14">
        <f t="shared" si="375"/>
        <v>0</v>
      </c>
    </row>
    <row r="1645" spans="1:19">
      <c r="A1645" s="14" t="str">
        <f t="shared" si="372"/>
        <v>SRY-5-2</v>
      </c>
      <c r="B1645" s="15">
        <f>'Curvas SRY'!$B$12</f>
        <v>10</v>
      </c>
      <c r="C1645" s="15">
        <f>'Curvas SRY'!$E$9</f>
        <v>1</v>
      </c>
      <c r="D1645" s="14" t="str">
        <f>'Curvas SRY'!$B$14</f>
        <v>Uso variable</v>
      </c>
      <c r="E1645" s="14">
        <f>82</f>
        <v>82</v>
      </c>
      <c r="F1645" s="21">
        <f>'Hoja 4 - Cálculo'!A106</f>
        <v>32051</v>
      </c>
      <c r="G1645" s="15">
        <f>'Hoja 4 - Cálculo'!H106</f>
        <v>32.627249999999997</v>
      </c>
      <c r="H1645" s="15">
        <f>IF(D1645="Uso único",'Hoja 4 - Cálculo'!I106,IF(D1645="Uso múltiple",AVERAGE('Hoja 4 - Cálculo'!$I$25:$I$384)+AVERAGE('Hoja 4 - Cálculo'!$J$25:$J$384)+AVERAGE('Hoja 4 - Cálculo'!$K$25:$K$384),IF(D1645="Uso prioritario",'Hoja 4 - Cálculo'!I106+'Hoja 4 - Cálculo'!K106,'Hoja 4 - Cálculo'!I106+'Hoja 4 - Cálculo'!J106+'Hoja 4 - Cálculo'!K106)))</f>
        <v>11.5</v>
      </c>
      <c r="I1645" s="15">
        <f t="shared" si="366"/>
        <v>11.5</v>
      </c>
      <c r="J1645" s="15">
        <f t="shared" si="373"/>
        <v>10</v>
      </c>
      <c r="K1645" s="15">
        <f>MIN(J1645+G1645,(J1645+G1645)*'Hoja 4 - Cálculo'!$B$15)</f>
        <v>0.852545</v>
      </c>
      <c r="L1645" s="15">
        <f t="shared" si="367"/>
        <v>41.774704999999997</v>
      </c>
      <c r="M1645" s="15">
        <f t="shared" si="368"/>
        <v>11.5</v>
      </c>
      <c r="N1645" s="15">
        <f t="shared" si="369"/>
        <v>10</v>
      </c>
      <c r="O1645" s="15">
        <f t="shared" si="370"/>
        <v>20.274704999999997</v>
      </c>
      <c r="P1645" s="15">
        <f t="shared" si="371"/>
        <v>0</v>
      </c>
      <c r="Q1645" s="14" t="str">
        <f>IF(M1645&gt;=I1645*'Hoja 4 - Cálculo'!$B$16,"Satisfactorio","Falla")</f>
        <v>Satisfactorio</v>
      </c>
      <c r="R1645" s="14">
        <f t="shared" si="374"/>
        <v>0</v>
      </c>
      <c r="S1645" s="14">
        <f t="shared" si="375"/>
        <v>0</v>
      </c>
    </row>
    <row r="1646" spans="1:19">
      <c r="A1646" s="14" t="str">
        <f t="shared" si="372"/>
        <v>SRY-5-2</v>
      </c>
      <c r="B1646" s="15">
        <f>'Curvas SRY'!$B$12</f>
        <v>10</v>
      </c>
      <c r="C1646" s="15">
        <f>'Curvas SRY'!$E$9</f>
        <v>1</v>
      </c>
      <c r="D1646" s="14" t="str">
        <f>'Curvas SRY'!$B$14</f>
        <v>Uso variable</v>
      </c>
      <c r="E1646" s="14">
        <f>83</f>
        <v>83</v>
      </c>
      <c r="F1646" s="21">
        <f>'Hoja 4 - Cálculo'!A107</f>
        <v>32082</v>
      </c>
      <c r="G1646" s="15">
        <f>'Hoja 4 - Cálculo'!H107</f>
        <v>29.758500000000002</v>
      </c>
      <c r="H1646" s="15">
        <f>IF(D1646="Uso único",'Hoja 4 - Cálculo'!I107,IF(D1646="Uso múltiple",AVERAGE('Hoja 4 - Cálculo'!$I$25:$I$384)+AVERAGE('Hoja 4 - Cálculo'!$J$25:$J$384)+AVERAGE('Hoja 4 - Cálculo'!$K$25:$K$384),IF(D1646="Uso prioritario",'Hoja 4 - Cálculo'!I107+'Hoja 4 - Cálculo'!K107,'Hoja 4 - Cálculo'!I107+'Hoja 4 - Cálculo'!J107+'Hoja 4 - Cálculo'!K107)))</f>
        <v>11.5</v>
      </c>
      <c r="I1646" s="15">
        <f t="shared" si="366"/>
        <v>11.5</v>
      </c>
      <c r="J1646" s="15">
        <f t="shared" si="373"/>
        <v>10</v>
      </c>
      <c r="K1646" s="15">
        <f>MIN(J1646+G1646,(J1646+G1646)*'Hoja 4 - Cálculo'!$B$15)</f>
        <v>0.79516999999999993</v>
      </c>
      <c r="L1646" s="15">
        <f t="shared" si="367"/>
        <v>38.963329999999999</v>
      </c>
      <c r="M1646" s="15">
        <f t="shared" si="368"/>
        <v>11.5</v>
      </c>
      <c r="N1646" s="15">
        <f t="shared" si="369"/>
        <v>10</v>
      </c>
      <c r="O1646" s="15">
        <f t="shared" si="370"/>
        <v>17.463329999999999</v>
      </c>
      <c r="P1646" s="15">
        <f t="shared" si="371"/>
        <v>0</v>
      </c>
      <c r="Q1646" s="14" t="str">
        <f>IF(M1646&gt;=I1646*'Hoja 4 - Cálculo'!$B$16,"Satisfactorio","Falla")</f>
        <v>Satisfactorio</v>
      </c>
      <c r="R1646" s="14">
        <f t="shared" si="374"/>
        <v>0</v>
      </c>
      <c r="S1646" s="14">
        <f t="shared" si="375"/>
        <v>0</v>
      </c>
    </row>
    <row r="1647" spans="1:19">
      <c r="A1647" s="14" t="str">
        <f t="shared" si="372"/>
        <v>SRY-5-2</v>
      </c>
      <c r="B1647" s="15">
        <f>'Curvas SRY'!$B$12</f>
        <v>10</v>
      </c>
      <c r="C1647" s="15">
        <f>'Curvas SRY'!$E$9</f>
        <v>1</v>
      </c>
      <c r="D1647" s="14" t="str">
        <f>'Curvas SRY'!$B$14</f>
        <v>Uso variable</v>
      </c>
      <c r="E1647" s="14">
        <f>84</f>
        <v>84</v>
      </c>
      <c r="F1647" s="21">
        <f>'Hoja 4 - Cálculo'!A108</f>
        <v>32112</v>
      </c>
      <c r="G1647" s="15">
        <f>'Hoja 4 - Cálculo'!H108</f>
        <v>16.543125</v>
      </c>
      <c r="H1647" s="15">
        <f>IF(D1647="Uso único",'Hoja 4 - Cálculo'!I108,IF(D1647="Uso múltiple",AVERAGE('Hoja 4 - Cálculo'!$I$25:$I$384)+AVERAGE('Hoja 4 - Cálculo'!$J$25:$J$384)+AVERAGE('Hoja 4 - Cálculo'!$K$25:$K$384),IF(D1647="Uso prioritario",'Hoja 4 - Cálculo'!I108+'Hoja 4 - Cálculo'!K108,'Hoja 4 - Cálculo'!I108+'Hoja 4 - Cálculo'!J108+'Hoja 4 - Cálculo'!K108)))</f>
        <v>16</v>
      </c>
      <c r="I1647" s="15">
        <f t="shared" si="366"/>
        <v>16</v>
      </c>
      <c r="J1647" s="15">
        <f t="shared" si="373"/>
        <v>10</v>
      </c>
      <c r="K1647" s="15">
        <f>MIN(J1647+G1647,(J1647+G1647)*'Hoja 4 - Cálculo'!$B$15)</f>
        <v>0.53086250000000001</v>
      </c>
      <c r="L1647" s="15">
        <f t="shared" si="367"/>
        <v>26.012262499999999</v>
      </c>
      <c r="M1647" s="15">
        <f t="shared" si="368"/>
        <v>16</v>
      </c>
      <c r="N1647" s="15">
        <f t="shared" si="369"/>
        <v>10</v>
      </c>
      <c r="O1647" s="15">
        <f t="shared" si="370"/>
        <v>1.2262499999998511E-2</v>
      </c>
      <c r="P1647" s="15">
        <f t="shared" si="371"/>
        <v>0</v>
      </c>
      <c r="Q1647" s="14" t="str">
        <f>IF(M1647&gt;=I1647*'Hoja 4 - Cálculo'!$B$16,"Satisfactorio","Falla")</f>
        <v>Satisfactorio</v>
      </c>
      <c r="R1647" s="14">
        <f t="shared" si="374"/>
        <v>0</v>
      </c>
      <c r="S1647" s="14">
        <f t="shared" si="375"/>
        <v>0</v>
      </c>
    </row>
    <row r="1648" spans="1:19">
      <c r="A1648" s="14" t="str">
        <f t="shared" si="372"/>
        <v>SRY-5-2</v>
      </c>
      <c r="B1648" s="15">
        <f>'Curvas SRY'!$B$12</f>
        <v>10</v>
      </c>
      <c r="C1648" s="15">
        <f>'Curvas SRY'!$E$9</f>
        <v>1</v>
      </c>
      <c r="D1648" s="14" t="str">
        <f>'Curvas SRY'!$B$14</f>
        <v>Uso variable</v>
      </c>
      <c r="E1648" s="14">
        <f>85</f>
        <v>85</v>
      </c>
      <c r="F1648" s="21">
        <f>'Hoja 4 - Cálculo'!A109</f>
        <v>32143</v>
      </c>
      <c r="G1648" s="15">
        <f>'Hoja 4 - Cálculo'!H109</f>
        <v>13.291874999999999</v>
      </c>
      <c r="H1648" s="15">
        <f>IF(D1648="Uso único",'Hoja 4 - Cálculo'!I109,IF(D1648="Uso múltiple",AVERAGE('Hoja 4 - Cálculo'!$I$25:$I$384)+AVERAGE('Hoja 4 - Cálculo'!$J$25:$J$384)+AVERAGE('Hoja 4 - Cálculo'!$K$25:$K$384),IF(D1648="Uso prioritario",'Hoja 4 - Cálculo'!I109+'Hoja 4 - Cálculo'!K109,'Hoja 4 - Cálculo'!I109+'Hoja 4 - Cálculo'!J109+'Hoja 4 - Cálculo'!K109)))</f>
        <v>16</v>
      </c>
      <c r="I1648" s="15">
        <f t="shared" si="366"/>
        <v>16</v>
      </c>
      <c r="J1648" s="15">
        <f t="shared" si="373"/>
        <v>10</v>
      </c>
      <c r="K1648" s="15">
        <f>MIN(J1648+G1648,(J1648+G1648)*'Hoja 4 - Cálculo'!$B$15)</f>
        <v>0.46583749999999996</v>
      </c>
      <c r="L1648" s="15">
        <f t="shared" si="367"/>
        <v>22.826037499999998</v>
      </c>
      <c r="M1648" s="15">
        <f t="shared" si="368"/>
        <v>16</v>
      </c>
      <c r="N1648" s="15">
        <f t="shared" si="369"/>
        <v>6.8260374999999982</v>
      </c>
      <c r="O1648" s="15">
        <f t="shared" si="370"/>
        <v>0</v>
      </c>
      <c r="P1648" s="15">
        <f t="shared" si="371"/>
        <v>0</v>
      </c>
      <c r="Q1648" s="14" t="str">
        <f>IF(M1648&gt;=I1648*'Hoja 4 - Cálculo'!$B$16,"Satisfactorio","Falla")</f>
        <v>Satisfactorio</v>
      </c>
      <c r="R1648" s="14">
        <f t="shared" si="374"/>
        <v>0</v>
      </c>
      <c r="S1648" s="14">
        <f t="shared" si="375"/>
        <v>0</v>
      </c>
    </row>
    <row r="1649" spans="1:19">
      <c r="A1649" s="14" t="str">
        <f t="shared" si="372"/>
        <v>SRY-5-2</v>
      </c>
      <c r="B1649" s="15">
        <f>'Curvas SRY'!$B$12</f>
        <v>10</v>
      </c>
      <c r="C1649" s="15">
        <f>'Curvas SRY'!$E$9</f>
        <v>1</v>
      </c>
      <c r="D1649" s="14" t="str">
        <f>'Curvas SRY'!$B$14</f>
        <v>Uso variable</v>
      </c>
      <c r="E1649" s="14">
        <f>86</f>
        <v>86</v>
      </c>
      <c r="F1649" s="21">
        <f>'Hoja 4 - Cálculo'!A110</f>
        <v>32174</v>
      </c>
      <c r="G1649" s="15">
        <f>'Hoja 4 - Cálculo'!H110</f>
        <v>14.19075</v>
      </c>
      <c r="H1649" s="15">
        <f>IF(D1649="Uso único",'Hoja 4 - Cálculo'!I110,IF(D1649="Uso múltiple",AVERAGE('Hoja 4 - Cálculo'!$I$25:$I$384)+AVERAGE('Hoja 4 - Cálculo'!$J$25:$J$384)+AVERAGE('Hoja 4 - Cálculo'!$K$25:$K$384),IF(D1649="Uso prioritario",'Hoja 4 - Cálculo'!I110+'Hoja 4 - Cálculo'!K110,'Hoja 4 - Cálculo'!I110+'Hoja 4 - Cálculo'!J110+'Hoja 4 - Cálculo'!K110)))</f>
        <v>16</v>
      </c>
      <c r="I1649" s="15">
        <f t="shared" si="366"/>
        <v>16</v>
      </c>
      <c r="J1649" s="15">
        <f t="shared" si="373"/>
        <v>6.8260374999999982</v>
      </c>
      <c r="K1649" s="15">
        <f>MIN(J1649+G1649,(J1649+G1649)*'Hoja 4 - Cálculo'!$B$15)</f>
        <v>0.42033575000000001</v>
      </c>
      <c r="L1649" s="15">
        <f t="shared" si="367"/>
        <v>20.59645175</v>
      </c>
      <c r="M1649" s="15">
        <f t="shared" si="368"/>
        <v>16</v>
      </c>
      <c r="N1649" s="15">
        <f t="shared" si="369"/>
        <v>4.5964517499999999</v>
      </c>
      <c r="O1649" s="15">
        <f t="shared" si="370"/>
        <v>0</v>
      </c>
      <c r="P1649" s="15">
        <f t="shared" si="371"/>
        <v>0</v>
      </c>
      <c r="Q1649" s="14" t="str">
        <f>IF(M1649&gt;=I1649*'Hoja 4 - Cálculo'!$B$16,"Satisfactorio","Falla")</f>
        <v>Satisfactorio</v>
      </c>
      <c r="R1649" s="14">
        <f t="shared" si="374"/>
        <v>0</v>
      </c>
      <c r="S1649" s="14">
        <f t="shared" si="375"/>
        <v>0</v>
      </c>
    </row>
    <row r="1650" spans="1:19">
      <c r="A1650" s="14" t="str">
        <f t="shared" si="372"/>
        <v>SRY-5-2</v>
      </c>
      <c r="B1650" s="15">
        <f>'Curvas SRY'!$B$12</f>
        <v>10</v>
      </c>
      <c r="C1650" s="15">
        <f>'Curvas SRY'!$E$9</f>
        <v>1</v>
      </c>
      <c r="D1650" s="14" t="str">
        <f>'Curvas SRY'!$B$14</f>
        <v>Uso variable</v>
      </c>
      <c r="E1650" s="14">
        <f>87</f>
        <v>87</v>
      </c>
      <c r="F1650" s="21">
        <f>'Hoja 4 - Cálculo'!A111</f>
        <v>32203</v>
      </c>
      <c r="G1650" s="15">
        <f>'Hoja 4 - Cálculo'!H111</f>
        <v>22.338000000000001</v>
      </c>
      <c r="H1650" s="15">
        <f>IF(D1650="Uso único",'Hoja 4 - Cálculo'!I111,IF(D1650="Uso múltiple",AVERAGE('Hoja 4 - Cálculo'!$I$25:$I$384)+AVERAGE('Hoja 4 - Cálculo'!$J$25:$J$384)+AVERAGE('Hoja 4 - Cálculo'!$K$25:$K$384),IF(D1650="Uso prioritario",'Hoja 4 - Cálculo'!I111+'Hoja 4 - Cálculo'!K111,'Hoja 4 - Cálculo'!I111+'Hoja 4 - Cálculo'!J111+'Hoja 4 - Cálculo'!K111)))</f>
        <v>16</v>
      </c>
      <c r="I1650" s="15">
        <f t="shared" si="366"/>
        <v>16</v>
      </c>
      <c r="J1650" s="15">
        <f t="shared" si="373"/>
        <v>4.5964517499999999</v>
      </c>
      <c r="K1650" s="15">
        <f>MIN(J1650+G1650,(J1650+G1650)*'Hoja 4 - Cálculo'!$B$15)</f>
        <v>0.53868903499999998</v>
      </c>
      <c r="L1650" s="15">
        <f t="shared" si="367"/>
        <v>26.395762715</v>
      </c>
      <c r="M1650" s="15">
        <f t="shared" si="368"/>
        <v>16</v>
      </c>
      <c r="N1650" s="15">
        <f t="shared" si="369"/>
        <v>10</v>
      </c>
      <c r="O1650" s="15">
        <f t="shared" si="370"/>
        <v>0.39576271500000004</v>
      </c>
      <c r="P1650" s="15">
        <f t="shared" si="371"/>
        <v>0</v>
      </c>
      <c r="Q1650" s="14" t="str">
        <f>IF(M1650&gt;=I1650*'Hoja 4 - Cálculo'!$B$16,"Satisfactorio","Falla")</f>
        <v>Satisfactorio</v>
      </c>
      <c r="R1650" s="14">
        <f t="shared" si="374"/>
        <v>0</v>
      </c>
      <c r="S1650" s="14">
        <f t="shared" si="375"/>
        <v>0</v>
      </c>
    </row>
    <row r="1651" spans="1:19">
      <c r="A1651" s="14" t="str">
        <f t="shared" si="372"/>
        <v>SRY-5-2</v>
      </c>
      <c r="B1651" s="15">
        <f>'Curvas SRY'!$B$12</f>
        <v>10</v>
      </c>
      <c r="C1651" s="15">
        <f>'Curvas SRY'!$E$9</f>
        <v>1</v>
      </c>
      <c r="D1651" s="14" t="str">
        <f>'Curvas SRY'!$B$14</f>
        <v>Uso variable</v>
      </c>
      <c r="E1651" s="14">
        <f>88</f>
        <v>88</v>
      </c>
      <c r="F1651" s="21">
        <f>'Hoja 4 - Cálculo'!A112</f>
        <v>32234</v>
      </c>
      <c r="G1651" s="15">
        <f>'Hoja 4 - Cálculo'!H112</f>
        <v>29.643750000000001</v>
      </c>
      <c r="H1651" s="15">
        <f>IF(D1651="Uso único",'Hoja 4 - Cálculo'!I112,IF(D1651="Uso múltiple",AVERAGE('Hoja 4 - Cálculo'!$I$25:$I$384)+AVERAGE('Hoja 4 - Cálculo'!$J$25:$J$384)+AVERAGE('Hoja 4 - Cálculo'!$K$25:$K$384),IF(D1651="Uso prioritario",'Hoja 4 - Cálculo'!I112+'Hoja 4 - Cálculo'!K112,'Hoja 4 - Cálculo'!I112+'Hoja 4 - Cálculo'!J112+'Hoja 4 - Cálculo'!K112)))</f>
        <v>11.5</v>
      </c>
      <c r="I1651" s="15">
        <f t="shared" si="366"/>
        <v>11.5</v>
      </c>
      <c r="J1651" s="15">
        <f t="shared" si="373"/>
        <v>10</v>
      </c>
      <c r="K1651" s="15">
        <f>MIN(J1651+G1651,(J1651+G1651)*'Hoja 4 - Cálculo'!$B$15)</f>
        <v>0.792875</v>
      </c>
      <c r="L1651" s="15">
        <f t="shared" si="367"/>
        <v>38.850874999999995</v>
      </c>
      <c r="M1651" s="15">
        <f t="shared" si="368"/>
        <v>11.5</v>
      </c>
      <c r="N1651" s="15">
        <f t="shared" si="369"/>
        <v>10</v>
      </c>
      <c r="O1651" s="15">
        <f t="shared" si="370"/>
        <v>17.350874999999995</v>
      </c>
      <c r="P1651" s="15">
        <f t="shared" si="371"/>
        <v>0</v>
      </c>
      <c r="Q1651" s="14" t="str">
        <f>IF(M1651&gt;=I1651*'Hoja 4 - Cálculo'!$B$16,"Satisfactorio","Falla")</f>
        <v>Satisfactorio</v>
      </c>
      <c r="R1651" s="14">
        <f t="shared" si="374"/>
        <v>0</v>
      </c>
      <c r="S1651" s="14">
        <f t="shared" si="375"/>
        <v>0</v>
      </c>
    </row>
    <row r="1652" spans="1:19">
      <c r="A1652" s="14" t="str">
        <f t="shared" si="372"/>
        <v>SRY-5-2</v>
      </c>
      <c r="B1652" s="15">
        <f>'Curvas SRY'!$B$12</f>
        <v>10</v>
      </c>
      <c r="C1652" s="15">
        <f>'Curvas SRY'!$E$9</f>
        <v>1</v>
      </c>
      <c r="D1652" s="14" t="str">
        <f>'Curvas SRY'!$B$14</f>
        <v>Uso variable</v>
      </c>
      <c r="E1652" s="14">
        <f>89</f>
        <v>89</v>
      </c>
      <c r="F1652" s="21">
        <f>'Hoja 4 - Cálculo'!A113</f>
        <v>32264</v>
      </c>
      <c r="G1652" s="15">
        <f>'Hoja 4 - Cálculo'!H113</f>
        <v>28.075500000000002</v>
      </c>
      <c r="H1652" s="15">
        <f>IF(D1652="Uso único",'Hoja 4 - Cálculo'!I113,IF(D1652="Uso múltiple",AVERAGE('Hoja 4 - Cálculo'!$I$25:$I$384)+AVERAGE('Hoja 4 - Cálculo'!$J$25:$J$384)+AVERAGE('Hoja 4 - Cálculo'!$K$25:$K$384),IF(D1652="Uso prioritario",'Hoja 4 - Cálculo'!I113+'Hoja 4 - Cálculo'!K113,'Hoja 4 - Cálculo'!I113+'Hoja 4 - Cálculo'!J113+'Hoja 4 - Cálculo'!K113)))</f>
        <v>11.5</v>
      </c>
      <c r="I1652" s="15">
        <f t="shared" si="366"/>
        <v>11.5</v>
      </c>
      <c r="J1652" s="15">
        <f t="shared" si="373"/>
        <v>10</v>
      </c>
      <c r="K1652" s="15">
        <f>MIN(J1652+G1652,(J1652+G1652)*'Hoja 4 - Cálculo'!$B$15)</f>
        <v>0.76151000000000013</v>
      </c>
      <c r="L1652" s="15">
        <f t="shared" si="367"/>
        <v>37.313990000000004</v>
      </c>
      <c r="M1652" s="15">
        <f t="shared" si="368"/>
        <v>11.5</v>
      </c>
      <c r="N1652" s="15">
        <f t="shared" si="369"/>
        <v>10</v>
      </c>
      <c r="O1652" s="15">
        <f t="shared" si="370"/>
        <v>15.813990000000004</v>
      </c>
      <c r="P1652" s="15">
        <f t="shared" si="371"/>
        <v>0</v>
      </c>
      <c r="Q1652" s="14" t="str">
        <f>IF(M1652&gt;=I1652*'Hoja 4 - Cálculo'!$B$16,"Satisfactorio","Falla")</f>
        <v>Satisfactorio</v>
      </c>
      <c r="R1652" s="14">
        <f t="shared" si="374"/>
        <v>0</v>
      </c>
      <c r="S1652" s="14">
        <f t="shared" si="375"/>
        <v>0</v>
      </c>
    </row>
    <row r="1653" spans="1:19">
      <c r="A1653" s="14" t="str">
        <f t="shared" si="372"/>
        <v>SRY-5-2</v>
      </c>
      <c r="B1653" s="15">
        <f>'Curvas SRY'!$B$12</f>
        <v>10</v>
      </c>
      <c r="C1653" s="15">
        <f>'Curvas SRY'!$E$9</f>
        <v>1</v>
      </c>
      <c r="D1653" s="14" t="str">
        <f>'Curvas SRY'!$B$14</f>
        <v>Uso variable</v>
      </c>
      <c r="E1653" s="14">
        <f>90</f>
        <v>90</v>
      </c>
      <c r="F1653" s="21">
        <f>'Hoja 4 - Cálculo'!A114</f>
        <v>32295</v>
      </c>
      <c r="G1653" s="15">
        <f>'Hoja 4 - Cálculo'!H114</f>
        <v>16.485749999999999</v>
      </c>
      <c r="H1653" s="15">
        <f>IF(D1653="Uso único",'Hoja 4 - Cálculo'!I114,IF(D1653="Uso múltiple",AVERAGE('Hoja 4 - Cálculo'!$I$25:$I$384)+AVERAGE('Hoja 4 - Cálculo'!$J$25:$J$384)+AVERAGE('Hoja 4 - Cálculo'!$K$25:$K$384),IF(D1653="Uso prioritario",'Hoja 4 - Cálculo'!I114+'Hoja 4 - Cálculo'!K114,'Hoja 4 - Cálculo'!I114+'Hoja 4 - Cálculo'!J114+'Hoja 4 - Cálculo'!K114)))</f>
        <v>11.5</v>
      </c>
      <c r="I1653" s="15">
        <f t="shared" si="366"/>
        <v>11.5</v>
      </c>
      <c r="J1653" s="15">
        <f t="shared" si="373"/>
        <v>10</v>
      </c>
      <c r="K1653" s="15">
        <f>MIN(J1653+G1653,(J1653+G1653)*'Hoja 4 - Cálculo'!$B$15)</f>
        <v>0.52971500000000005</v>
      </c>
      <c r="L1653" s="15">
        <f t="shared" si="367"/>
        <v>25.956035</v>
      </c>
      <c r="M1653" s="15">
        <f t="shared" si="368"/>
        <v>11.5</v>
      </c>
      <c r="N1653" s="15">
        <f t="shared" si="369"/>
        <v>10</v>
      </c>
      <c r="O1653" s="15">
        <f t="shared" si="370"/>
        <v>4.456035</v>
      </c>
      <c r="P1653" s="15">
        <f t="shared" si="371"/>
        <v>0</v>
      </c>
      <c r="Q1653" s="14" t="str">
        <f>IF(M1653&gt;=I1653*'Hoja 4 - Cálculo'!$B$16,"Satisfactorio","Falla")</f>
        <v>Satisfactorio</v>
      </c>
      <c r="R1653" s="14">
        <f t="shared" si="374"/>
        <v>0</v>
      </c>
      <c r="S1653" s="14">
        <f t="shared" si="375"/>
        <v>0</v>
      </c>
    </row>
    <row r="1654" spans="1:19">
      <c r="A1654" s="14" t="str">
        <f t="shared" si="372"/>
        <v>SRY-5-2</v>
      </c>
      <c r="B1654" s="15">
        <f>'Curvas SRY'!$B$12</f>
        <v>10</v>
      </c>
      <c r="C1654" s="15">
        <f>'Curvas SRY'!$E$9</f>
        <v>1</v>
      </c>
      <c r="D1654" s="14" t="str">
        <f>'Curvas SRY'!$B$14</f>
        <v>Uso variable</v>
      </c>
      <c r="E1654" s="14">
        <f>91</f>
        <v>91</v>
      </c>
      <c r="F1654" s="21">
        <f>'Hoja 4 - Cálculo'!A115</f>
        <v>32325</v>
      </c>
      <c r="G1654" s="15">
        <f>'Hoja 4 - Cálculo'!H115</f>
        <v>13.827375</v>
      </c>
      <c r="H1654" s="15">
        <f>IF(D1654="Uso único",'Hoja 4 - Cálculo'!I115,IF(D1654="Uso múltiple",AVERAGE('Hoja 4 - Cálculo'!$I$25:$I$384)+AVERAGE('Hoja 4 - Cálculo'!$J$25:$J$384)+AVERAGE('Hoja 4 - Cálculo'!$K$25:$K$384),IF(D1654="Uso prioritario",'Hoja 4 - Cálculo'!I115+'Hoja 4 - Cálculo'!K115,'Hoja 4 - Cálculo'!I115+'Hoja 4 - Cálculo'!J115+'Hoja 4 - Cálculo'!K115)))</f>
        <v>16</v>
      </c>
      <c r="I1654" s="15">
        <f t="shared" si="366"/>
        <v>16</v>
      </c>
      <c r="J1654" s="15">
        <f t="shared" si="373"/>
        <v>10</v>
      </c>
      <c r="K1654" s="15">
        <f>MIN(J1654+G1654,(J1654+G1654)*'Hoja 4 - Cálculo'!$B$15)</f>
        <v>0.47654750000000001</v>
      </c>
      <c r="L1654" s="15">
        <f t="shared" si="367"/>
        <v>23.350827500000001</v>
      </c>
      <c r="M1654" s="15">
        <f t="shared" si="368"/>
        <v>16</v>
      </c>
      <c r="N1654" s="15">
        <f t="shared" si="369"/>
        <v>7.3508275000000012</v>
      </c>
      <c r="O1654" s="15">
        <f t="shared" si="370"/>
        <v>0</v>
      </c>
      <c r="P1654" s="15">
        <f t="shared" si="371"/>
        <v>0</v>
      </c>
      <c r="Q1654" s="14" t="str">
        <f>IF(M1654&gt;=I1654*'Hoja 4 - Cálculo'!$B$16,"Satisfactorio","Falla")</f>
        <v>Satisfactorio</v>
      </c>
      <c r="R1654" s="14">
        <f t="shared" si="374"/>
        <v>0</v>
      </c>
      <c r="S1654" s="14">
        <f t="shared" si="375"/>
        <v>0</v>
      </c>
    </row>
    <row r="1655" spans="1:19">
      <c r="A1655" s="14" t="str">
        <f t="shared" si="372"/>
        <v>SRY-5-2</v>
      </c>
      <c r="B1655" s="15">
        <f>'Curvas SRY'!$B$12</f>
        <v>10</v>
      </c>
      <c r="C1655" s="15">
        <f>'Curvas SRY'!$E$9</f>
        <v>1</v>
      </c>
      <c r="D1655" s="14" t="str">
        <f>'Curvas SRY'!$B$14</f>
        <v>Uso variable</v>
      </c>
      <c r="E1655" s="14">
        <f>92</f>
        <v>92</v>
      </c>
      <c r="F1655" s="21">
        <f>'Hoja 4 - Cálculo'!A116</f>
        <v>32356</v>
      </c>
      <c r="G1655" s="15">
        <f>'Hoja 4 - Cálculo'!H116</f>
        <v>14.783625000000001</v>
      </c>
      <c r="H1655" s="15">
        <f>IF(D1655="Uso único",'Hoja 4 - Cálculo'!I116,IF(D1655="Uso múltiple",AVERAGE('Hoja 4 - Cálculo'!$I$25:$I$384)+AVERAGE('Hoja 4 - Cálculo'!$J$25:$J$384)+AVERAGE('Hoja 4 - Cálculo'!$K$25:$K$384),IF(D1655="Uso prioritario",'Hoja 4 - Cálculo'!I116+'Hoja 4 - Cálculo'!K116,'Hoja 4 - Cálculo'!I116+'Hoja 4 - Cálculo'!J116+'Hoja 4 - Cálculo'!K116)))</f>
        <v>16</v>
      </c>
      <c r="I1655" s="15">
        <f t="shared" si="366"/>
        <v>16</v>
      </c>
      <c r="J1655" s="15">
        <f t="shared" si="373"/>
        <v>7.3508275000000012</v>
      </c>
      <c r="K1655" s="15">
        <f>MIN(J1655+G1655,(J1655+G1655)*'Hoja 4 - Cálculo'!$B$15)</f>
        <v>0.44268905000000003</v>
      </c>
      <c r="L1655" s="15">
        <f t="shared" si="367"/>
        <v>21.691763450000003</v>
      </c>
      <c r="M1655" s="15">
        <f t="shared" si="368"/>
        <v>16</v>
      </c>
      <c r="N1655" s="15">
        <f t="shared" si="369"/>
        <v>5.6917634500000034</v>
      </c>
      <c r="O1655" s="15">
        <f t="shared" si="370"/>
        <v>0</v>
      </c>
      <c r="P1655" s="15">
        <f t="shared" si="371"/>
        <v>0</v>
      </c>
      <c r="Q1655" s="14" t="str">
        <f>IF(M1655&gt;=I1655*'Hoja 4 - Cálculo'!$B$16,"Satisfactorio","Falla")</f>
        <v>Satisfactorio</v>
      </c>
      <c r="R1655" s="14">
        <f t="shared" si="374"/>
        <v>0</v>
      </c>
      <c r="S1655" s="14">
        <f t="shared" si="375"/>
        <v>0</v>
      </c>
    </row>
    <row r="1656" spans="1:19">
      <c r="A1656" s="14" t="str">
        <f t="shared" si="372"/>
        <v>SRY-5-2</v>
      </c>
      <c r="B1656" s="15">
        <f>'Curvas SRY'!$B$12</f>
        <v>10</v>
      </c>
      <c r="C1656" s="15">
        <f>'Curvas SRY'!$E$9</f>
        <v>1</v>
      </c>
      <c r="D1656" s="14" t="str">
        <f>'Curvas SRY'!$B$14</f>
        <v>Uso variable</v>
      </c>
      <c r="E1656" s="14">
        <f>93</f>
        <v>93</v>
      </c>
      <c r="F1656" s="21">
        <f>'Hoja 4 - Cálculo'!A117</f>
        <v>32387</v>
      </c>
      <c r="G1656" s="15">
        <f>'Hoja 4 - Cálculo'!H117</f>
        <v>23.3325</v>
      </c>
      <c r="H1656" s="15">
        <f>IF(D1656="Uso único",'Hoja 4 - Cálculo'!I117,IF(D1656="Uso múltiple",AVERAGE('Hoja 4 - Cálculo'!$I$25:$I$384)+AVERAGE('Hoja 4 - Cálculo'!$J$25:$J$384)+AVERAGE('Hoja 4 - Cálculo'!$K$25:$K$384),IF(D1656="Uso prioritario",'Hoja 4 - Cálculo'!I117+'Hoja 4 - Cálculo'!K117,'Hoja 4 - Cálculo'!I117+'Hoja 4 - Cálculo'!J117+'Hoja 4 - Cálculo'!K117)))</f>
        <v>11.5</v>
      </c>
      <c r="I1656" s="15">
        <f t="shared" si="366"/>
        <v>11.5</v>
      </c>
      <c r="J1656" s="15">
        <f t="shared" si="373"/>
        <v>5.6917634500000034</v>
      </c>
      <c r="K1656" s="15">
        <f>MIN(J1656+G1656,(J1656+G1656)*'Hoja 4 - Cálculo'!$B$15)</f>
        <v>0.58048526900000008</v>
      </c>
      <c r="L1656" s="15">
        <f t="shared" si="367"/>
        <v>28.443778181000003</v>
      </c>
      <c r="M1656" s="15">
        <f t="shared" si="368"/>
        <v>11.5</v>
      </c>
      <c r="N1656" s="15">
        <f t="shared" si="369"/>
        <v>10</v>
      </c>
      <c r="O1656" s="15">
        <f t="shared" si="370"/>
        <v>6.9437781810000025</v>
      </c>
      <c r="P1656" s="15">
        <f t="shared" si="371"/>
        <v>0</v>
      </c>
      <c r="Q1656" s="14" t="str">
        <f>IF(M1656&gt;=I1656*'Hoja 4 - Cálculo'!$B$16,"Satisfactorio","Falla")</f>
        <v>Satisfactorio</v>
      </c>
      <c r="R1656" s="14">
        <f t="shared" si="374"/>
        <v>0</v>
      </c>
      <c r="S1656" s="14">
        <f t="shared" si="375"/>
        <v>0</v>
      </c>
    </row>
    <row r="1657" spans="1:19">
      <c r="A1657" s="14" t="str">
        <f t="shared" si="372"/>
        <v>SRY-5-2</v>
      </c>
      <c r="B1657" s="15">
        <f>'Curvas SRY'!$B$12</f>
        <v>10</v>
      </c>
      <c r="C1657" s="15">
        <f>'Curvas SRY'!$E$9</f>
        <v>1</v>
      </c>
      <c r="D1657" s="14" t="str">
        <f>'Curvas SRY'!$B$14</f>
        <v>Uso variable</v>
      </c>
      <c r="E1657" s="14">
        <f>94</f>
        <v>94</v>
      </c>
      <c r="F1657" s="21">
        <f>'Hoja 4 - Cálculo'!A118</f>
        <v>32417</v>
      </c>
      <c r="G1657" s="15">
        <f>'Hoja 4 - Cálculo'!H118</f>
        <v>32.015250000000002</v>
      </c>
      <c r="H1657" s="15">
        <f>IF(D1657="Uso único",'Hoja 4 - Cálculo'!I118,IF(D1657="Uso múltiple",AVERAGE('Hoja 4 - Cálculo'!$I$25:$I$384)+AVERAGE('Hoja 4 - Cálculo'!$J$25:$J$384)+AVERAGE('Hoja 4 - Cálculo'!$K$25:$K$384),IF(D1657="Uso prioritario",'Hoja 4 - Cálculo'!I118+'Hoja 4 - Cálculo'!K118,'Hoja 4 - Cálculo'!I118+'Hoja 4 - Cálculo'!J118+'Hoja 4 - Cálculo'!K118)))</f>
        <v>11.5</v>
      </c>
      <c r="I1657" s="15">
        <f t="shared" si="366"/>
        <v>11.5</v>
      </c>
      <c r="J1657" s="15">
        <f t="shared" si="373"/>
        <v>10</v>
      </c>
      <c r="K1657" s="15">
        <f>MIN(J1657+G1657,(J1657+G1657)*'Hoja 4 - Cálculo'!$B$15)</f>
        <v>0.84030500000000008</v>
      </c>
      <c r="L1657" s="15">
        <f t="shared" si="367"/>
        <v>41.174945000000001</v>
      </c>
      <c r="M1657" s="15">
        <f t="shared" si="368"/>
        <v>11.5</v>
      </c>
      <c r="N1657" s="15">
        <f t="shared" si="369"/>
        <v>10</v>
      </c>
      <c r="O1657" s="15">
        <f t="shared" si="370"/>
        <v>19.674945000000001</v>
      </c>
      <c r="P1657" s="15">
        <f t="shared" si="371"/>
        <v>0</v>
      </c>
      <c r="Q1657" s="14" t="str">
        <f>IF(M1657&gt;=I1657*'Hoja 4 - Cálculo'!$B$16,"Satisfactorio","Falla")</f>
        <v>Satisfactorio</v>
      </c>
      <c r="R1657" s="14">
        <f t="shared" si="374"/>
        <v>0</v>
      </c>
      <c r="S1657" s="14">
        <f t="shared" si="375"/>
        <v>0</v>
      </c>
    </row>
    <row r="1658" spans="1:19">
      <c r="A1658" s="14" t="str">
        <f t="shared" si="372"/>
        <v>SRY-5-2</v>
      </c>
      <c r="B1658" s="15">
        <f>'Curvas SRY'!$B$12</f>
        <v>10</v>
      </c>
      <c r="C1658" s="15">
        <f>'Curvas SRY'!$E$9</f>
        <v>1</v>
      </c>
      <c r="D1658" s="14" t="str">
        <f>'Curvas SRY'!$B$14</f>
        <v>Uso variable</v>
      </c>
      <c r="E1658" s="14">
        <f>95</f>
        <v>95</v>
      </c>
      <c r="F1658" s="21">
        <f>'Hoja 4 - Cálculo'!A119</f>
        <v>32448</v>
      </c>
      <c r="G1658" s="15">
        <f>'Hoja 4 - Cálculo'!H119</f>
        <v>25.876124999999998</v>
      </c>
      <c r="H1658" s="15">
        <f>IF(D1658="Uso único",'Hoja 4 - Cálculo'!I119,IF(D1658="Uso múltiple",AVERAGE('Hoja 4 - Cálculo'!$I$25:$I$384)+AVERAGE('Hoja 4 - Cálculo'!$J$25:$J$384)+AVERAGE('Hoja 4 - Cálculo'!$K$25:$K$384),IF(D1658="Uso prioritario",'Hoja 4 - Cálculo'!I119+'Hoja 4 - Cálculo'!K119,'Hoja 4 - Cálculo'!I119+'Hoja 4 - Cálculo'!J119+'Hoja 4 - Cálculo'!K119)))</f>
        <v>11.5</v>
      </c>
      <c r="I1658" s="15">
        <f t="shared" si="366"/>
        <v>11.5</v>
      </c>
      <c r="J1658" s="15">
        <f t="shared" si="373"/>
        <v>10</v>
      </c>
      <c r="K1658" s="15">
        <f>MIN(J1658+G1658,(J1658+G1658)*'Hoja 4 - Cálculo'!$B$15)</f>
        <v>0.71752250000000006</v>
      </c>
      <c r="L1658" s="15">
        <f t="shared" si="367"/>
        <v>35.158602500000001</v>
      </c>
      <c r="M1658" s="15">
        <f t="shared" si="368"/>
        <v>11.5</v>
      </c>
      <c r="N1658" s="15">
        <f t="shared" si="369"/>
        <v>10</v>
      </c>
      <c r="O1658" s="15">
        <f t="shared" si="370"/>
        <v>13.658602500000001</v>
      </c>
      <c r="P1658" s="15">
        <f t="shared" si="371"/>
        <v>0</v>
      </c>
      <c r="Q1658" s="14" t="str">
        <f>IF(M1658&gt;=I1658*'Hoja 4 - Cálculo'!$B$16,"Satisfactorio","Falla")</f>
        <v>Satisfactorio</v>
      </c>
      <c r="R1658" s="14">
        <f t="shared" si="374"/>
        <v>0</v>
      </c>
      <c r="S1658" s="14">
        <f t="shared" si="375"/>
        <v>0</v>
      </c>
    </row>
    <row r="1659" spans="1:19">
      <c r="A1659" s="14" t="str">
        <f t="shared" si="372"/>
        <v>SRY-5-2</v>
      </c>
      <c r="B1659" s="15">
        <f>'Curvas SRY'!$B$12</f>
        <v>10</v>
      </c>
      <c r="C1659" s="15">
        <f>'Curvas SRY'!$E$9</f>
        <v>1</v>
      </c>
      <c r="D1659" s="14" t="str">
        <f>'Curvas SRY'!$B$14</f>
        <v>Uso variable</v>
      </c>
      <c r="E1659" s="14">
        <f>96</f>
        <v>96</v>
      </c>
      <c r="F1659" s="21">
        <f>'Hoja 4 - Cálculo'!A120</f>
        <v>32478</v>
      </c>
      <c r="G1659" s="15">
        <f>'Hoja 4 - Cálculo'!H120</f>
        <v>16.218</v>
      </c>
      <c r="H1659" s="15">
        <f>IF(D1659="Uso único",'Hoja 4 - Cálculo'!I120,IF(D1659="Uso múltiple",AVERAGE('Hoja 4 - Cálculo'!$I$25:$I$384)+AVERAGE('Hoja 4 - Cálculo'!$J$25:$J$384)+AVERAGE('Hoja 4 - Cálculo'!$K$25:$K$384),IF(D1659="Uso prioritario",'Hoja 4 - Cálculo'!I120+'Hoja 4 - Cálculo'!K120,'Hoja 4 - Cálculo'!I120+'Hoja 4 - Cálculo'!J120+'Hoja 4 - Cálculo'!K120)))</f>
        <v>16</v>
      </c>
      <c r="I1659" s="15">
        <f t="shared" si="366"/>
        <v>16</v>
      </c>
      <c r="J1659" s="15">
        <f t="shared" si="373"/>
        <v>10</v>
      </c>
      <c r="K1659" s="15">
        <f>MIN(J1659+G1659,(J1659+G1659)*'Hoja 4 - Cálculo'!$B$15)</f>
        <v>0.52436000000000005</v>
      </c>
      <c r="L1659" s="15">
        <f t="shared" si="367"/>
        <v>25.693639999999998</v>
      </c>
      <c r="M1659" s="15">
        <f t="shared" si="368"/>
        <v>16</v>
      </c>
      <c r="N1659" s="15">
        <f t="shared" si="369"/>
        <v>9.6936399999999985</v>
      </c>
      <c r="O1659" s="15">
        <f t="shared" si="370"/>
        <v>0</v>
      </c>
      <c r="P1659" s="15">
        <f t="shared" si="371"/>
        <v>0</v>
      </c>
      <c r="Q1659" s="14" t="str">
        <f>IF(M1659&gt;=I1659*'Hoja 4 - Cálculo'!$B$16,"Satisfactorio","Falla")</f>
        <v>Satisfactorio</v>
      </c>
      <c r="R1659" s="14">
        <f t="shared" si="374"/>
        <v>0</v>
      </c>
      <c r="S1659" s="14">
        <f t="shared" si="375"/>
        <v>0</v>
      </c>
    </row>
    <row r="1660" spans="1:19">
      <c r="A1660" s="14" t="str">
        <f t="shared" ref="A1660:A1683" si="376">"SRY-5-2"</f>
        <v>SRY-5-2</v>
      </c>
      <c r="B1660" s="15">
        <f>'Curvas SRY'!$B$12</f>
        <v>10</v>
      </c>
      <c r="C1660" s="15">
        <f>'Curvas SRY'!$E$9</f>
        <v>1</v>
      </c>
      <c r="D1660" s="14" t="str">
        <f>'Curvas SRY'!$B$14</f>
        <v>Uso variable</v>
      </c>
      <c r="E1660" s="14">
        <f>97</f>
        <v>97</v>
      </c>
      <c r="F1660" s="21">
        <f>'Hoja 4 - Cálculo'!A121</f>
        <v>32509</v>
      </c>
      <c r="G1660" s="15">
        <f>'Hoja 4 - Cálculo'!H121</f>
        <v>11.761875</v>
      </c>
      <c r="H1660" s="15">
        <f>IF(D1660="Uso único",'Hoja 4 - Cálculo'!I121,IF(D1660="Uso múltiple",AVERAGE('Hoja 4 - Cálculo'!$I$25:$I$384)+AVERAGE('Hoja 4 - Cálculo'!$J$25:$J$384)+AVERAGE('Hoja 4 - Cálculo'!$K$25:$K$384),IF(D1660="Uso prioritario",'Hoja 4 - Cálculo'!I121+'Hoja 4 - Cálculo'!K121,'Hoja 4 - Cálculo'!I121+'Hoja 4 - Cálculo'!J121+'Hoja 4 - Cálculo'!K121)))</f>
        <v>16</v>
      </c>
      <c r="I1660" s="15">
        <f t="shared" si="366"/>
        <v>16</v>
      </c>
      <c r="J1660" s="15">
        <f t="shared" si="373"/>
        <v>9.6936399999999985</v>
      </c>
      <c r="K1660" s="15">
        <f>MIN(J1660+G1660,(J1660+G1660)*'Hoja 4 - Cálculo'!$B$15)</f>
        <v>0.4291103</v>
      </c>
      <c r="L1660" s="15">
        <f t="shared" si="367"/>
        <v>21.026404699999997</v>
      </c>
      <c r="M1660" s="15">
        <f t="shared" si="368"/>
        <v>16</v>
      </c>
      <c r="N1660" s="15">
        <f t="shared" si="369"/>
        <v>5.026404699999997</v>
      </c>
      <c r="O1660" s="15">
        <f t="shared" si="370"/>
        <v>0</v>
      </c>
      <c r="P1660" s="15">
        <f t="shared" si="371"/>
        <v>0</v>
      </c>
      <c r="Q1660" s="14" t="str">
        <f>IF(M1660&gt;=I1660*'Hoja 4 - Cálculo'!$B$16,"Satisfactorio","Falla")</f>
        <v>Satisfactorio</v>
      </c>
      <c r="R1660" s="14">
        <f t="shared" si="374"/>
        <v>0</v>
      </c>
      <c r="S1660" s="14">
        <f t="shared" si="375"/>
        <v>0</v>
      </c>
    </row>
    <row r="1661" spans="1:19">
      <c r="A1661" s="14" t="str">
        <f t="shared" si="376"/>
        <v>SRY-5-2</v>
      </c>
      <c r="B1661" s="15">
        <f>'Curvas SRY'!$B$12</f>
        <v>10</v>
      </c>
      <c r="C1661" s="15">
        <f>'Curvas SRY'!$E$9</f>
        <v>1</v>
      </c>
      <c r="D1661" s="14" t="str">
        <f>'Curvas SRY'!$B$14</f>
        <v>Uso variable</v>
      </c>
      <c r="E1661" s="14">
        <f>98</f>
        <v>98</v>
      </c>
      <c r="F1661" s="21">
        <f>'Hoja 4 - Cálculo'!A122</f>
        <v>32540</v>
      </c>
      <c r="G1661" s="15">
        <f>'Hoja 4 - Cálculo'!H122</f>
        <v>12.43125</v>
      </c>
      <c r="H1661" s="15">
        <f>IF(D1661="Uso único",'Hoja 4 - Cálculo'!I122,IF(D1661="Uso múltiple",AVERAGE('Hoja 4 - Cálculo'!$I$25:$I$384)+AVERAGE('Hoja 4 - Cálculo'!$J$25:$J$384)+AVERAGE('Hoja 4 - Cálculo'!$K$25:$K$384),IF(D1661="Uso prioritario",'Hoja 4 - Cálculo'!I122+'Hoja 4 - Cálculo'!K122,'Hoja 4 - Cálculo'!I122+'Hoja 4 - Cálculo'!J122+'Hoja 4 - Cálculo'!K122)))</f>
        <v>16</v>
      </c>
      <c r="I1661" s="15">
        <f t="shared" si="366"/>
        <v>16</v>
      </c>
      <c r="J1661" s="15">
        <f t="shared" ref="J1661:J1683" si="377">N1660</f>
        <v>5.026404699999997</v>
      </c>
      <c r="K1661" s="15">
        <f>MIN(J1661+G1661,(J1661+G1661)*'Hoja 4 - Cálculo'!$B$15)</f>
        <v>0.349153094</v>
      </c>
      <c r="L1661" s="15">
        <f t="shared" si="367"/>
        <v>17.108501606000001</v>
      </c>
      <c r="M1661" s="15">
        <f t="shared" si="368"/>
        <v>16</v>
      </c>
      <c r="N1661" s="15">
        <f t="shared" si="369"/>
        <v>1.1085016060000008</v>
      </c>
      <c r="O1661" s="15">
        <f t="shared" si="370"/>
        <v>0</v>
      </c>
      <c r="P1661" s="15">
        <f t="shared" si="371"/>
        <v>0</v>
      </c>
      <c r="Q1661" s="14" t="str">
        <f>IF(M1661&gt;=I1661*'Hoja 4 - Cálculo'!$B$16,"Satisfactorio","Falla")</f>
        <v>Satisfactorio</v>
      </c>
      <c r="R1661" s="14">
        <f t="shared" ref="R1661:R1692" si="378">IF(AND(Q1660="Falla",Q1661="Satisfactorio"),1,0)</f>
        <v>0</v>
      </c>
      <c r="S1661" s="14">
        <f t="shared" ref="S1661:S1683" si="379">IF(AND(Q1661="Falla",Q1660&lt;&gt;"Falla"),1,0)</f>
        <v>0</v>
      </c>
    </row>
    <row r="1662" spans="1:19">
      <c r="A1662" s="14" t="str">
        <f t="shared" si="376"/>
        <v>SRY-5-2</v>
      </c>
      <c r="B1662" s="15">
        <f>'Curvas SRY'!$B$12</f>
        <v>10</v>
      </c>
      <c r="C1662" s="15">
        <f>'Curvas SRY'!$E$9</f>
        <v>1</v>
      </c>
      <c r="D1662" s="14" t="str">
        <f>'Curvas SRY'!$B$14</f>
        <v>Uso variable</v>
      </c>
      <c r="E1662" s="14">
        <f>99</f>
        <v>99</v>
      </c>
      <c r="F1662" s="21">
        <f>'Hoja 4 - Cálculo'!A123</f>
        <v>32568</v>
      </c>
      <c r="G1662" s="15">
        <f>'Hoja 4 - Cálculo'!H123</f>
        <v>19.717874999999999</v>
      </c>
      <c r="H1662" s="15">
        <f>IF(D1662="Uso único",'Hoja 4 - Cálculo'!I123,IF(D1662="Uso múltiple",AVERAGE('Hoja 4 - Cálculo'!$I$25:$I$384)+AVERAGE('Hoja 4 - Cálculo'!$J$25:$J$384)+AVERAGE('Hoja 4 - Cálculo'!$K$25:$K$384),IF(D1662="Uso prioritario",'Hoja 4 - Cálculo'!I123+'Hoja 4 - Cálculo'!K123,'Hoja 4 - Cálculo'!I123+'Hoja 4 - Cálculo'!J123+'Hoja 4 - Cálculo'!K123)))</f>
        <v>16</v>
      </c>
      <c r="I1662" s="15">
        <f t="shared" si="366"/>
        <v>16</v>
      </c>
      <c r="J1662" s="15">
        <f t="shared" si="377"/>
        <v>1.1085016060000008</v>
      </c>
      <c r="K1662" s="15">
        <f>MIN(J1662+G1662,(J1662+G1662)*'Hoja 4 - Cálculo'!$B$15)</f>
        <v>0.41652753211999999</v>
      </c>
      <c r="L1662" s="15">
        <f t="shared" si="367"/>
        <v>20.40984907388</v>
      </c>
      <c r="M1662" s="15">
        <f t="shared" si="368"/>
        <v>16</v>
      </c>
      <c r="N1662" s="15">
        <f t="shared" si="369"/>
        <v>4.4098490738800002</v>
      </c>
      <c r="O1662" s="15">
        <f t="shared" si="370"/>
        <v>0</v>
      </c>
      <c r="P1662" s="15">
        <f t="shared" si="371"/>
        <v>0</v>
      </c>
      <c r="Q1662" s="14" t="str">
        <f>IF(M1662&gt;=I1662*'Hoja 4 - Cálculo'!$B$16,"Satisfactorio","Falla")</f>
        <v>Satisfactorio</v>
      </c>
      <c r="R1662" s="14">
        <f t="shared" si="378"/>
        <v>0</v>
      </c>
      <c r="S1662" s="14">
        <f t="shared" si="379"/>
        <v>0</v>
      </c>
    </row>
    <row r="1663" spans="1:19">
      <c r="A1663" s="14" t="str">
        <f t="shared" si="376"/>
        <v>SRY-5-2</v>
      </c>
      <c r="B1663" s="15">
        <f>'Curvas SRY'!$B$12</f>
        <v>10</v>
      </c>
      <c r="C1663" s="15">
        <f>'Curvas SRY'!$E$9</f>
        <v>1</v>
      </c>
      <c r="D1663" s="14" t="str">
        <f>'Curvas SRY'!$B$14</f>
        <v>Uso variable</v>
      </c>
      <c r="E1663" s="14">
        <f>100</f>
        <v>100</v>
      </c>
      <c r="F1663" s="21">
        <f>'Hoja 4 - Cálculo'!A124</f>
        <v>32599</v>
      </c>
      <c r="G1663" s="15">
        <f>'Hoja 4 - Cálculo'!H124</f>
        <v>26.029125000000001</v>
      </c>
      <c r="H1663" s="15">
        <f>IF(D1663="Uso único",'Hoja 4 - Cálculo'!I124,IF(D1663="Uso múltiple",AVERAGE('Hoja 4 - Cálculo'!$I$25:$I$384)+AVERAGE('Hoja 4 - Cálculo'!$J$25:$J$384)+AVERAGE('Hoja 4 - Cálculo'!$K$25:$K$384),IF(D1663="Uso prioritario",'Hoja 4 - Cálculo'!I124+'Hoja 4 - Cálculo'!K124,'Hoja 4 - Cálculo'!I124+'Hoja 4 - Cálculo'!J124+'Hoja 4 - Cálculo'!K124)))</f>
        <v>11.5</v>
      </c>
      <c r="I1663" s="15">
        <f t="shared" si="366"/>
        <v>11.5</v>
      </c>
      <c r="J1663" s="15">
        <f t="shared" si="377"/>
        <v>4.4098490738800002</v>
      </c>
      <c r="K1663" s="15">
        <f>MIN(J1663+G1663,(J1663+G1663)*'Hoja 4 - Cálculo'!$B$15)</f>
        <v>0.60877948147760008</v>
      </c>
      <c r="L1663" s="15">
        <f t="shared" si="367"/>
        <v>29.8301945924024</v>
      </c>
      <c r="M1663" s="15">
        <f t="shared" si="368"/>
        <v>11.5</v>
      </c>
      <c r="N1663" s="15">
        <f t="shared" si="369"/>
        <v>10</v>
      </c>
      <c r="O1663" s="15">
        <f t="shared" si="370"/>
        <v>8.3301945924023997</v>
      </c>
      <c r="P1663" s="15">
        <f t="shared" si="371"/>
        <v>0</v>
      </c>
      <c r="Q1663" s="14" t="str">
        <f>IF(M1663&gt;=I1663*'Hoja 4 - Cálculo'!$B$16,"Satisfactorio","Falla")</f>
        <v>Satisfactorio</v>
      </c>
      <c r="R1663" s="14">
        <f t="shared" si="378"/>
        <v>0</v>
      </c>
      <c r="S1663" s="14">
        <f t="shared" si="379"/>
        <v>0</v>
      </c>
    </row>
    <row r="1664" spans="1:19">
      <c r="A1664" s="14" t="str">
        <f t="shared" si="376"/>
        <v>SRY-5-2</v>
      </c>
      <c r="B1664" s="15">
        <f>'Curvas SRY'!$B$12</f>
        <v>10</v>
      </c>
      <c r="C1664" s="15">
        <f>'Curvas SRY'!$E$9</f>
        <v>1</v>
      </c>
      <c r="D1664" s="14" t="str">
        <f>'Curvas SRY'!$B$14</f>
        <v>Uso variable</v>
      </c>
      <c r="E1664" s="14">
        <f>101</f>
        <v>101</v>
      </c>
      <c r="F1664" s="21">
        <f>'Hoja 4 - Cálculo'!A125</f>
        <v>32629</v>
      </c>
      <c r="G1664" s="15">
        <f>'Hoja 4 - Cálculo'!H125</f>
        <v>24.728625000000005</v>
      </c>
      <c r="H1664" s="15">
        <f>IF(D1664="Uso único",'Hoja 4 - Cálculo'!I125,IF(D1664="Uso múltiple",AVERAGE('Hoja 4 - Cálculo'!$I$25:$I$384)+AVERAGE('Hoja 4 - Cálculo'!$J$25:$J$384)+AVERAGE('Hoja 4 - Cálculo'!$K$25:$K$384),IF(D1664="Uso prioritario",'Hoja 4 - Cálculo'!I125+'Hoja 4 - Cálculo'!K125,'Hoja 4 - Cálculo'!I125+'Hoja 4 - Cálculo'!J125+'Hoja 4 - Cálculo'!K125)))</f>
        <v>11.5</v>
      </c>
      <c r="I1664" s="15">
        <f t="shared" si="366"/>
        <v>11.5</v>
      </c>
      <c r="J1664" s="15">
        <f t="shared" si="377"/>
        <v>10</v>
      </c>
      <c r="K1664" s="15">
        <f>MIN(J1664+G1664,(J1664+G1664)*'Hoja 4 - Cálculo'!$B$15)</f>
        <v>0.69457250000000015</v>
      </c>
      <c r="L1664" s="15">
        <f t="shared" si="367"/>
        <v>34.034052500000008</v>
      </c>
      <c r="M1664" s="15">
        <f t="shared" si="368"/>
        <v>11.5</v>
      </c>
      <c r="N1664" s="15">
        <f t="shared" si="369"/>
        <v>10</v>
      </c>
      <c r="O1664" s="15">
        <f t="shared" si="370"/>
        <v>12.534052500000008</v>
      </c>
      <c r="P1664" s="15">
        <f t="shared" si="371"/>
        <v>0</v>
      </c>
      <c r="Q1664" s="14" t="str">
        <f>IF(M1664&gt;=I1664*'Hoja 4 - Cálculo'!$B$16,"Satisfactorio","Falla")</f>
        <v>Satisfactorio</v>
      </c>
      <c r="R1664" s="14">
        <f t="shared" si="378"/>
        <v>0</v>
      </c>
      <c r="S1664" s="14">
        <f t="shared" si="379"/>
        <v>0</v>
      </c>
    </row>
    <row r="1665" spans="1:19">
      <c r="A1665" s="14" t="str">
        <f t="shared" si="376"/>
        <v>SRY-5-2</v>
      </c>
      <c r="B1665" s="15">
        <f>'Curvas SRY'!$B$12</f>
        <v>10</v>
      </c>
      <c r="C1665" s="15">
        <f>'Curvas SRY'!$E$9</f>
        <v>1</v>
      </c>
      <c r="D1665" s="14" t="str">
        <f>'Curvas SRY'!$B$14</f>
        <v>Uso variable</v>
      </c>
      <c r="E1665" s="14">
        <f>102</f>
        <v>102</v>
      </c>
      <c r="F1665" s="21">
        <f>'Hoja 4 - Cálculo'!A126</f>
        <v>32660</v>
      </c>
      <c r="G1665" s="15">
        <f>'Hoja 4 - Cálculo'!H126</f>
        <v>14.515874999999999</v>
      </c>
      <c r="H1665" s="15">
        <f>IF(D1665="Uso único",'Hoja 4 - Cálculo'!I126,IF(D1665="Uso múltiple",AVERAGE('Hoja 4 - Cálculo'!$I$25:$I$384)+AVERAGE('Hoja 4 - Cálculo'!$J$25:$J$384)+AVERAGE('Hoja 4 - Cálculo'!$K$25:$K$384),IF(D1665="Uso prioritario",'Hoja 4 - Cálculo'!I126+'Hoja 4 - Cálculo'!K126,'Hoja 4 - Cálculo'!I126+'Hoja 4 - Cálculo'!J126+'Hoja 4 - Cálculo'!K126)))</f>
        <v>11.5</v>
      </c>
      <c r="I1665" s="15">
        <f t="shared" si="366"/>
        <v>11.5</v>
      </c>
      <c r="J1665" s="15">
        <f t="shared" si="377"/>
        <v>10</v>
      </c>
      <c r="K1665" s="15">
        <f>MIN(J1665+G1665,(J1665+G1665)*'Hoja 4 - Cálculo'!$B$15)</f>
        <v>0.49031750000000002</v>
      </c>
      <c r="L1665" s="15">
        <f t="shared" si="367"/>
        <v>24.025557500000001</v>
      </c>
      <c r="M1665" s="15">
        <f t="shared" si="368"/>
        <v>11.5</v>
      </c>
      <c r="N1665" s="15">
        <f t="shared" si="369"/>
        <v>10</v>
      </c>
      <c r="O1665" s="15">
        <f t="shared" si="370"/>
        <v>2.5255575000000015</v>
      </c>
      <c r="P1665" s="15">
        <f t="shared" si="371"/>
        <v>0</v>
      </c>
      <c r="Q1665" s="14" t="str">
        <f>IF(M1665&gt;=I1665*'Hoja 4 - Cálculo'!$B$16,"Satisfactorio","Falla")</f>
        <v>Satisfactorio</v>
      </c>
      <c r="R1665" s="14">
        <f t="shared" si="378"/>
        <v>0</v>
      </c>
      <c r="S1665" s="14">
        <f t="shared" si="379"/>
        <v>0</v>
      </c>
    </row>
    <row r="1666" spans="1:19">
      <c r="A1666" s="14" t="str">
        <f t="shared" si="376"/>
        <v>SRY-5-2</v>
      </c>
      <c r="B1666" s="15">
        <f>'Curvas SRY'!$B$12</f>
        <v>10</v>
      </c>
      <c r="C1666" s="15">
        <f>'Curvas SRY'!$E$9</f>
        <v>1</v>
      </c>
      <c r="D1666" s="14" t="str">
        <f>'Curvas SRY'!$B$14</f>
        <v>Uso variable</v>
      </c>
      <c r="E1666" s="14">
        <f>103</f>
        <v>103</v>
      </c>
      <c r="F1666" s="21">
        <f>'Hoja 4 - Cálculo'!A127</f>
        <v>32690</v>
      </c>
      <c r="G1666" s="15">
        <f>'Hoja 4 - Cálculo'!H127</f>
        <v>12.144375</v>
      </c>
      <c r="H1666" s="15">
        <f>IF(D1666="Uso único",'Hoja 4 - Cálculo'!I127,IF(D1666="Uso múltiple",AVERAGE('Hoja 4 - Cálculo'!$I$25:$I$384)+AVERAGE('Hoja 4 - Cálculo'!$J$25:$J$384)+AVERAGE('Hoja 4 - Cálculo'!$K$25:$K$384),IF(D1666="Uso prioritario",'Hoja 4 - Cálculo'!I127+'Hoja 4 - Cálculo'!K127,'Hoja 4 - Cálculo'!I127+'Hoja 4 - Cálculo'!J127+'Hoja 4 - Cálculo'!K127)))</f>
        <v>16</v>
      </c>
      <c r="I1666" s="15">
        <f t="shared" si="366"/>
        <v>16</v>
      </c>
      <c r="J1666" s="15">
        <f t="shared" si="377"/>
        <v>10</v>
      </c>
      <c r="K1666" s="15">
        <f>MIN(J1666+G1666,(J1666+G1666)*'Hoja 4 - Cálculo'!$B$15)</f>
        <v>0.44288749999999999</v>
      </c>
      <c r="L1666" s="15">
        <f t="shared" si="367"/>
        <v>21.701487499999999</v>
      </c>
      <c r="M1666" s="15">
        <f t="shared" si="368"/>
        <v>16</v>
      </c>
      <c r="N1666" s="15">
        <f t="shared" si="369"/>
        <v>5.7014874999999989</v>
      </c>
      <c r="O1666" s="15">
        <f t="shared" si="370"/>
        <v>0</v>
      </c>
      <c r="P1666" s="15">
        <f t="shared" si="371"/>
        <v>0</v>
      </c>
      <c r="Q1666" s="14" t="str">
        <f>IF(M1666&gt;=I1666*'Hoja 4 - Cálculo'!$B$16,"Satisfactorio","Falla")</f>
        <v>Satisfactorio</v>
      </c>
      <c r="R1666" s="14">
        <f t="shared" si="378"/>
        <v>0</v>
      </c>
      <c r="S1666" s="14">
        <f t="shared" si="379"/>
        <v>0</v>
      </c>
    </row>
    <row r="1667" spans="1:19">
      <c r="A1667" s="14" t="str">
        <f t="shared" si="376"/>
        <v>SRY-5-2</v>
      </c>
      <c r="B1667" s="15">
        <f>'Curvas SRY'!$B$12</f>
        <v>10</v>
      </c>
      <c r="C1667" s="15">
        <f>'Curvas SRY'!$E$9</f>
        <v>1</v>
      </c>
      <c r="D1667" s="14" t="str">
        <f>'Curvas SRY'!$B$14</f>
        <v>Uso variable</v>
      </c>
      <c r="E1667" s="14">
        <f>104</f>
        <v>104</v>
      </c>
      <c r="F1667" s="21">
        <f>'Hoja 4 - Cálculo'!A128</f>
        <v>32721</v>
      </c>
      <c r="G1667" s="15">
        <f>'Hoja 4 - Cálculo'!H128</f>
        <v>13.04325</v>
      </c>
      <c r="H1667" s="15">
        <f>IF(D1667="Uso único",'Hoja 4 - Cálculo'!I128,IF(D1667="Uso múltiple",AVERAGE('Hoja 4 - Cálculo'!$I$25:$I$384)+AVERAGE('Hoja 4 - Cálculo'!$J$25:$J$384)+AVERAGE('Hoja 4 - Cálculo'!$K$25:$K$384),IF(D1667="Uso prioritario",'Hoja 4 - Cálculo'!I128+'Hoja 4 - Cálculo'!K128,'Hoja 4 - Cálculo'!I128+'Hoja 4 - Cálculo'!J128+'Hoja 4 - Cálculo'!K128)))</f>
        <v>16</v>
      </c>
      <c r="I1667" s="15">
        <f t="shared" si="366"/>
        <v>16</v>
      </c>
      <c r="J1667" s="15">
        <f t="shared" si="377"/>
        <v>5.7014874999999989</v>
      </c>
      <c r="K1667" s="15">
        <f>MIN(J1667+G1667,(J1667+G1667)*'Hoja 4 - Cálculo'!$B$15)</f>
        <v>0.37489475</v>
      </c>
      <c r="L1667" s="15">
        <f t="shared" si="367"/>
        <v>18.36984275</v>
      </c>
      <c r="M1667" s="15">
        <f t="shared" si="368"/>
        <v>16</v>
      </c>
      <c r="N1667" s="15">
        <f t="shared" si="369"/>
        <v>2.3698427500000001</v>
      </c>
      <c r="O1667" s="15">
        <f t="shared" si="370"/>
        <v>0</v>
      </c>
      <c r="P1667" s="15">
        <f t="shared" si="371"/>
        <v>0</v>
      </c>
      <c r="Q1667" s="14" t="str">
        <f>IF(M1667&gt;=I1667*'Hoja 4 - Cálculo'!$B$16,"Satisfactorio","Falla")</f>
        <v>Satisfactorio</v>
      </c>
      <c r="R1667" s="14">
        <f t="shared" si="378"/>
        <v>0</v>
      </c>
      <c r="S1667" s="14">
        <f t="shared" si="379"/>
        <v>0</v>
      </c>
    </row>
    <row r="1668" spans="1:19">
      <c r="A1668" s="14" t="str">
        <f t="shared" si="376"/>
        <v>SRY-5-2</v>
      </c>
      <c r="B1668" s="15">
        <f>'Curvas SRY'!$B$12</f>
        <v>10</v>
      </c>
      <c r="C1668" s="15">
        <f>'Curvas SRY'!$E$9</f>
        <v>1</v>
      </c>
      <c r="D1668" s="14" t="str">
        <f>'Curvas SRY'!$B$14</f>
        <v>Uso variable</v>
      </c>
      <c r="E1668" s="14">
        <f>105</f>
        <v>105</v>
      </c>
      <c r="F1668" s="21">
        <f>'Hoja 4 - Cálculo'!A129</f>
        <v>32752</v>
      </c>
      <c r="G1668" s="15">
        <f>'Hoja 4 - Cálculo'!H129</f>
        <v>20.444624999999998</v>
      </c>
      <c r="H1668" s="15">
        <f>IF(D1668="Uso único",'Hoja 4 - Cálculo'!I129,IF(D1668="Uso múltiple",AVERAGE('Hoja 4 - Cálculo'!$I$25:$I$384)+AVERAGE('Hoja 4 - Cálculo'!$J$25:$J$384)+AVERAGE('Hoja 4 - Cálculo'!$K$25:$K$384),IF(D1668="Uso prioritario",'Hoja 4 - Cálculo'!I129+'Hoja 4 - Cálculo'!K129,'Hoja 4 - Cálculo'!I129+'Hoja 4 - Cálculo'!J129+'Hoja 4 - Cálculo'!K129)))</f>
        <v>11.5</v>
      </c>
      <c r="I1668" s="15">
        <f t="shared" ref="I1668:I1731" si="380">H1668*C1668</f>
        <v>11.5</v>
      </c>
      <c r="J1668" s="15">
        <f t="shared" si="377"/>
        <v>2.3698427500000001</v>
      </c>
      <c r="K1668" s="15">
        <f>MIN(J1668+G1668,(J1668+G1668)*'Hoja 4 - Cálculo'!$B$15)</f>
        <v>0.45628935500000001</v>
      </c>
      <c r="L1668" s="15">
        <f t="shared" ref="L1668:L1731" si="381">MAX(0,J1668+G1668-K1668)</f>
        <v>22.358178394999999</v>
      </c>
      <c r="M1668" s="15">
        <f t="shared" ref="M1668:M1731" si="382">MIN(I1668,L1668)</f>
        <v>11.5</v>
      </c>
      <c r="N1668" s="15">
        <f t="shared" ref="N1668:N1731" si="383">MIN(B1668,MAX(0,L1668-M1668))</f>
        <v>10</v>
      </c>
      <c r="O1668" s="15">
        <f t="shared" ref="O1668:O1731" si="384">MAX(0,L1668-M1668-B1668)</f>
        <v>0.85817839499999948</v>
      </c>
      <c r="P1668" s="15">
        <f t="shared" ref="P1668:P1731" si="385">MAX(0,I1668-M1668)</f>
        <v>0</v>
      </c>
      <c r="Q1668" s="14" t="str">
        <f>IF(M1668&gt;=I1668*'Hoja 4 - Cálculo'!$B$16,"Satisfactorio","Falla")</f>
        <v>Satisfactorio</v>
      </c>
      <c r="R1668" s="14">
        <f t="shared" si="378"/>
        <v>0</v>
      </c>
      <c r="S1668" s="14">
        <f t="shared" si="379"/>
        <v>0</v>
      </c>
    </row>
    <row r="1669" spans="1:19">
      <c r="A1669" s="14" t="str">
        <f t="shared" si="376"/>
        <v>SRY-5-2</v>
      </c>
      <c r="B1669" s="15">
        <f>'Curvas SRY'!$B$12</f>
        <v>10</v>
      </c>
      <c r="C1669" s="15">
        <f>'Curvas SRY'!$E$9</f>
        <v>1</v>
      </c>
      <c r="D1669" s="14" t="str">
        <f>'Curvas SRY'!$B$14</f>
        <v>Uso variable</v>
      </c>
      <c r="E1669" s="14">
        <f>106</f>
        <v>106</v>
      </c>
      <c r="F1669" s="21">
        <f>'Hoja 4 - Cálculo'!A130</f>
        <v>32782</v>
      </c>
      <c r="G1669" s="15">
        <f>'Hoja 4 - Cálculo'!H130</f>
        <v>28.343250000000001</v>
      </c>
      <c r="H1669" s="15">
        <f>IF(D1669="Uso único",'Hoja 4 - Cálculo'!I130,IF(D1669="Uso múltiple",AVERAGE('Hoja 4 - Cálculo'!$I$25:$I$384)+AVERAGE('Hoja 4 - Cálculo'!$J$25:$J$384)+AVERAGE('Hoja 4 - Cálculo'!$K$25:$K$384),IF(D1669="Uso prioritario",'Hoja 4 - Cálculo'!I130+'Hoja 4 - Cálculo'!K130,'Hoja 4 - Cálculo'!I130+'Hoja 4 - Cálculo'!J130+'Hoja 4 - Cálculo'!K130)))</f>
        <v>11.5</v>
      </c>
      <c r="I1669" s="15">
        <f t="shared" si="380"/>
        <v>11.5</v>
      </c>
      <c r="J1669" s="15">
        <f t="shared" si="377"/>
        <v>10</v>
      </c>
      <c r="K1669" s="15">
        <f>MIN(J1669+G1669,(J1669+G1669)*'Hoja 4 - Cálculo'!$B$15)</f>
        <v>0.76686500000000002</v>
      </c>
      <c r="L1669" s="15">
        <f t="shared" si="381"/>
        <v>37.576384999999995</v>
      </c>
      <c r="M1669" s="15">
        <f t="shared" si="382"/>
        <v>11.5</v>
      </c>
      <c r="N1669" s="15">
        <f t="shared" si="383"/>
        <v>10</v>
      </c>
      <c r="O1669" s="15">
        <f t="shared" si="384"/>
        <v>16.076384999999995</v>
      </c>
      <c r="P1669" s="15">
        <f t="shared" si="385"/>
        <v>0</v>
      </c>
      <c r="Q1669" s="14" t="str">
        <f>IF(M1669&gt;=I1669*'Hoja 4 - Cálculo'!$B$16,"Satisfactorio","Falla")</f>
        <v>Satisfactorio</v>
      </c>
      <c r="R1669" s="14">
        <f t="shared" si="378"/>
        <v>0</v>
      </c>
      <c r="S1669" s="14">
        <f t="shared" si="379"/>
        <v>0</v>
      </c>
    </row>
    <row r="1670" spans="1:19">
      <c r="A1670" s="14" t="str">
        <f t="shared" si="376"/>
        <v>SRY-5-2</v>
      </c>
      <c r="B1670" s="15">
        <f>'Curvas SRY'!$B$12</f>
        <v>10</v>
      </c>
      <c r="C1670" s="15">
        <f>'Curvas SRY'!$E$9</f>
        <v>1</v>
      </c>
      <c r="D1670" s="14" t="str">
        <f>'Curvas SRY'!$B$14</f>
        <v>Uso variable</v>
      </c>
      <c r="E1670" s="14">
        <f>107</f>
        <v>107</v>
      </c>
      <c r="F1670" s="21">
        <f>'Hoja 4 - Cálculo'!A131</f>
        <v>32813</v>
      </c>
      <c r="G1670" s="15">
        <f>'Hoja 4 - Cálculo'!H131</f>
        <v>22.60575</v>
      </c>
      <c r="H1670" s="15">
        <f>IF(D1670="Uso único",'Hoja 4 - Cálculo'!I131,IF(D1670="Uso múltiple",AVERAGE('Hoja 4 - Cálculo'!$I$25:$I$384)+AVERAGE('Hoja 4 - Cálculo'!$J$25:$J$384)+AVERAGE('Hoja 4 - Cálculo'!$K$25:$K$384),IF(D1670="Uso prioritario",'Hoja 4 - Cálculo'!I131+'Hoja 4 - Cálculo'!K131,'Hoja 4 - Cálculo'!I131+'Hoja 4 - Cálculo'!J131+'Hoja 4 - Cálculo'!K131)))</f>
        <v>11.5</v>
      </c>
      <c r="I1670" s="15">
        <f t="shared" si="380"/>
        <v>11.5</v>
      </c>
      <c r="J1670" s="15">
        <f t="shared" si="377"/>
        <v>10</v>
      </c>
      <c r="K1670" s="15">
        <f>MIN(J1670+G1670,(J1670+G1670)*'Hoja 4 - Cálculo'!$B$15)</f>
        <v>0.652115</v>
      </c>
      <c r="L1670" s="15">
        <f t="shared" si="381"/>
        <v>31.953635000000002</v>
      </c>
      <c r="M1670" s="15">
        <f t="shared" si="382"/>
        <v>11.5</v>
      </c>
      <c r="N1670" s="15">
        <f t="shared" si="383"/>
        <v>10</v>
      </c>
      <c r="O1670" s="15">
        <f t="shared" si="384"/>
        <v>10.453635000000002</v>
      </c>
      <c r="P1670" s="15">
        <f t="shared" si="385"/>
        <v>0</v>
      </c>
      <c r="Q1670" s="14" t="str">
        <f>IF(M1670&gt;=I1670*'Hoja 4 - Cálculo'!$B$16,"Satisfactorio","Falla")</f>
        <v>Satisfactorio</v>
      </c>
      <c r="R1670" s="14">
        <f t="shared" si="378"/>
        <v>0</v>
      </c>
      <c r="S1670" s="14">
        <f t="shared" si="379"/>
        <v>0</v>
      </c>
    </row>
    <row r="1671" spans="1:19">
      <c r="A1671" s="14" t="str">
        <f t="shared" si="376"/>
        <v>SRY-5-2</v>
      </c>
      <c r="B1671" s="15">
        <f>'Curvas SRY'!$B$12</f>
        <v>10</v>
      </c>
      <c r="C1671" s="15">
        <f>'Curvas SRY'!$E$9</f>
        <v>1</v>
      </c>
      <c r="D1671" s="14" t="str">
        <f>'Curvas SRY'!$B$14</f>
        <v>Uso variable</v>
      </c>
      <c r="E1671" s="14">
        <f>108</f>
        <v>108</v>
      </c>
      <c r="F1671" s="21">
        <f>'Hoja 4 - Cálculo'!A132</f>
        <v>32843</v>
      </c>
      <c r="G1671" s="15">
        <f>'Hoja 4 - Cálculo'!H132</f>
        <v>14.362875000000001</v>
      </c>
      <c r="H1671" s="15">
        <f>IF(D1671="Uso único",'Hoja 4 - Cálculo'!I132,IF(D1671="Uso múltiple",AVERAGE('Hoja 4 - Cálculo'!$I$25:$I$384)+AVERAGE('Hoja 4 - Cálculo'!$J$25:$J$384)+AVERAGE('Hoja 4 - Cálculo'!$K$25:$K$384),IF(D1671="Uso prioritario",'Hoja 4 - Cálculo'!I132+'Hoja 4 - Cálculo'!K132,'Hoja 4 - Cálculo'!I132+'Hoja 4 - Cálculo'!J132+'Hoja 4 - Cálculo'!K132)))</f>
        <v>16</v>
      </c>
      <c r="I1671" s="15">
        <f t="shared" si="380"/>
        <v>16</v>
      </c>
      <c r="J1671" s="15">
        <f t="shared" si="377"/>
        <v>10</v>
      </c>
      <c r="K1671" s="15">
        <f>MIN(J1671+G1671,(J1671+G1671)*'Hoja 4 - Cálculo'!$B$15)</f>
        <v>0.48725750000000007</v>
      </c>
      <c r="L1671" s="15">
        <f t="shared" si="381"/>
        <v>23.875617500000004</v>
      </c>
      <c r="M1671" s="15">
        <f t="shared" si="382"/>
        <v>16</v>
      </c>
      <c r="N1671" s="15">
        <f t="shared" si="383"/>
        <v>7.8756175000000042</v>
      </c>
      <c r="O1671" s="15">
        <f t="shared" si="384"/>
        <v>0</v>
      </c>
      <c r="P1671" s="15">
        <f t="shared" si="385"/>
        <v>0</v>
      </c>
      <c r="Q1671" s="14" t="str">
        <f>IF(M1671&gt;=I1671*'Hoja 4 - Cálculo'!$B$16,"Satisfactorio","Falla")</f>
        <v>Satisfactorio</v>
      </c>
      <c r="R1671" s="14">
        <f t="shared" si="378"/>
        <v>0</v>
      </c>
      <c r="S1671" s="14">
        <f t="shared" si="379"/>
        <v>0</v>
      </c>
    </row>
    <row r="1672" spans="1:19">
      <c r="A1672" s="14" t="str">
        <f t="shared" si="376"/>
        <v>SRY-5-2</v>
      </c>
      <c r="B1672" s="15">
        <f>'Curvas SRY'!$B$12</f>
        <v>10</v>
      </c>
      <c r="C1672" s="15">
        <f>'Curvas SRY'!$E$9</f>
        <v>1</v>
      </c>
      <c r="D1672" s="14" t="str">
        <f>'Curvas SRY'!$B$14</f>
        <v>Uso variable</v>
      </c>
      <c r="E1672" s="14">
        <f>109</f>
        <v>109</v>
      </c>
      <c r="F1672" s="21">
        <f>'Hoja 4 - Cálculo'!A133</f>
        <v>32874</v>
      </c>
      <c r="G1672" s="15">
        <f>'Hoja 4 - Cálculo'!H133</f>
        <v>11.723625</v>
      </c>
      <c r="H1672" s="15">
        <f>IF(D1672="Uso único",'Hoja 4 - Cálculo'!I133,IF(D1672="Uso múltiple",AVERAGE('Hoja 4 - Cálculo'!$I$25:$I$384)+AVERAGE('Hoja 4 - Cálculo'!$J$25:$J$384)+AVERAGE('Hoja 4 - Cálculo'!$K$25:$K$384),IF(D1672="Uso prioritario",'Hoja 4 - Cálculo'!I133+'Hoja 4 - Cálculo'!K133,'Hoja 4 - Cálculo'!I133+'Hoja 4 - Cálculo'!J133+'Hoja 4 - Cálculo'!K133)))</f>
        <v>16</v>
      </c>
      <c r="I1672" s="15">
        <f t="shared" si="380"/>
        <v>16</v>
      </c>
      <c r="J1672" s="15">
        <f t="shared" si="377"/>
        <v>7.8756175000000042</v>
      </c>
      <c r="K1672" s="15">
        <f>MIN(J1672+G1672,(J1672+G1672)*'Hoja 4 - Cálculo'!$B$15)</f>
        <v>0.39198485000000005</v>
      </c>
      <c r="L1672" s="15">
        <f t="shared" si="381"/>
        <v>19.207257650000003</v>
      </c>
      <c r="M1672" s="15">
        <f t="shared" si="382"/>
        <v>16</v>
      </c>
      <c r="N1672" s="15">
        <f t="shared" si="383"/>
        <v>3.2072576500000025</v>
      </c>
      <c r="O1672" s="15">
        <f t="shared" si="384"/>
        <v>0</v>
      </c>
      <c r="P1672" s="15">
        <f t="shared" si="385"/>
        <v>0</v>
      </c>
      <c r="Q1672" s="14" t="str">
        <f>IF(M1672&gt;=I1672*'Hoja 4 - Cálculo'!$B$16,"Satisfactorio","Falla")</f>
        <v>Satisfactorio</v>
      </c>
      <c r="R1672" s="14">
        <f t="shared" si="378"/>
        <v>0</v>
      </c>
      <c r="S1672" s="14">
        <f t="shared" si="379"/>
        <v>0</v>
      </c>
    </row>
    <row r="1673" spans="1:19">
      <c r="A1673" s="14" t="str">
        <f t="shared" si="376"/>
        <v>SRY-5-2</v>
      </c>
      <c r="B1673" s="15">
        <f>'Curvas SRY'!$B$12</f>
        <v>10</v>
      </c>
      <c r="C1673" s="15">
        <f>'Curvas SRY'!$E$9</f>
        <v>1</v>
      </c>
      <c r="D1673" s="14" t="str">
        <f>'Curvas SRY'!$B$14</f>
        <v>Uso variable</v>
      </c>
      <c r="E1673" s="14">
        <f>110</f>
        <v>110</v>
      </c>
      <c r="F1673" s="21">
        <f>'Hoja 4 - Cálculo'!A134</f>
        <v>32905</v>
      </c>
      <c r="G1673" s="15">
        <f>'Hoja 4 - Cálculo'!H134</f>
        <v>13.311</v>
      </c>
      <c r="H1673" s="15">
        <f>IF(D1673="Uso único",'Hoja 4 - Cálculo'!I134,IF(D1673="Uso múltiple",AVERAGE('Hoja 4 - Cálculo'!$I$25:$I$384)+AVERAGE('Hoja 4 - Cálculo'!$J$25:$J$384)+AVERAGE('Hoja 4 - Cálculo'!$K$25:$K$384),IF(D1673="Uso prioritario",'Hoja 4 - Cálculo'!I134+'Hoja 4 - Cálculo'!K134,'Hoja 4 - Cálculo'!I134+'Hoja 4 - Cálculo'!J134+'Hoja 4 - Cálculo'!K134)))</f>
        <v>16</v>
      </c>
      <c r="I1673" s="15">
        <f t="shared" si="380"/>
        <v>16</v>
      </c>
      <c r="J1673" s="15">
        <f t="shared" si="377"/>
        <v>3.2072576500000025</v>
      </c>
      <c r="K1673" s="15">
        <f>MIN(J1673+G1673,(J1673+G1673)*'Hoja 4 - Cálculo'!$B$15)</f>
        <v>0.33036515300000008</v>
      </c>
      <c r="L1673" s="15">
        <f t="shared" si="381"/>
        <v>16.187892497000004</v>
      </c>
      <c r="M1673" s="15">
        <f t="shared" si="382"/>
        <v>16</v>
      </c>
      <c r="N1673" s="15">
        <f t="shared" si="383"/>
        <v>0.18789249700000354</v>
      </c>
      <c r="O1673" s="15">
        <f t="shared" si="384"/>
        <v>0</v>
      </c>
      <c r="P1673" s="15">
        <f t="shared" si="385"/>
        <v>0</v>
      </c>
      <c r="Q1673" s="14" t="str">
        <f>IF(M1673&gt;=I1673*'Hoja 4 - Cálculo'!$B$16,"Satisfactorio","Falla")</f>
        <v>Satisfactorio</v>
      </c>
      <c r="R1673" s="14">
        <f t="shared" si="378"/>
        <v>0</v>
      </c>
      <c r="S1673" s="14">
        <f t="shared" si="379"/>
        <v>0</v>
      </c>
    </row>
    <row r="1674" spans="1:19">
      <c r="A1674" s="14" t="str">
        <f t="shared" si="376"/>
        <v>SRY-5-2</v>
      </c>
      <c r="B1674" s="15">
        <f>'Curvas SRY'!$B$12</f>
        <v>10</v>
      </c>
      <c r="C1674" s="15">
        <f>'Curvas SRY'!$E$9</f>
        <v>1</v>
      </c>
      <c r="D1674" s="14" t="str">
        <f>'Curvas SRY'!$B$14</f>
        <v>Uso variable</v>
      </c>
      <c r="E1674" s="14">
        <f>111</f>
        <v>111</v>
      </c>
      <c r="F1674" s="21">
        <f>'Hoja 4 - Cálculo'!A135</f>
        <v>32933</v>
      </c>
      <c r="G1674" s="15">
        <f>'Hoja 4 - Cálculo'!H135</f>
        <v>18.838125000000002</v>
      </c>
      <c r="H1674" s="15">
        <f>IF(D1674="Uso único",'Hoja 4 - Cálculo'!I135,IF(D1674="Uso múltiple",AVERAGE('Hoja 4 - Cálculo'!$I$25:$I$384)+AVERAGE('Hoja 4 - Cálculo'!$J$25:$J$384)+AVERAGE('Hoja 4 - Cálculo'!$K$25:$K$384),IF(D1674="Uso prioritario",'Hoja 4 - Cálculo'!I135+'Hoja 4 - Cálculo'!K135,'Hoja 4 - Cálculo'!I135+'Hoja 4 - Cálculo'!J135+'Hoja 4 - Cálculo'!K135)))</f>
        <v>16</v>
      </c>
      <c r="I1674" s="15">
        <f t="shared" si="380"/>
        <v>16</v>
      </c>
      <c r="J1674" s="15">
        <f t="shared" si="377"/>
        <v>0.18789249700000354</v>
      </c>
      <c r="K1674" s="15">
        <f>MIN(J1674+G1674,(J1674+G1674)*'Hoja 4 - Cálculo'!$B$15)</f>
        <v>0.38052034994000011</v>
      </c>
      <c r="L1674" s="15">
        <f t="shared" si="381"/>
        <v>18.645497147060006</v>
      </c>
      <c r="M1674" s="15">
        <f t="shared" si="382"/>
        <v>16</v>
      </c>
      <c r="N1674" s="15">
        <f t="shared" si="383"/>
        <v>2.6454971470600057</v>
      </c>
      <c r="O1674" s="15">
        <f t="shared" si="384"/>
        <v>0</v>
      </c>
      <c r="P1674" s="15">
        <f t="shared" si="385"/>
        <v>0</v>
      </c>
      <c r="Q1674" s="14" t="str">
        <f>IF(M1674&gt;=I1674*'Hoja 4 - Cálculo'!$B$16,"Satisfactorio","Falla")</f>
        <v>Satisfactorio</v>
      </c>
      <c r="R1674" s="14">
        <f t="shared" si="378"/>
        <v>0</v>
      </c>
      <c r="S1674" s="14">
        <f t="shared" si="379"/>
        <v>0</v>
      </c>
    </row>
    <row r="1675" spans="1:19">
      <c r="A1675" s="14" t="str">
        <f t="shared" si="376"/>
        <v>SRY-5-2</v>
      </c>
      <c r="B1675" s="15">
        <f>'Curvas SRY'!$B$12</f>
        <v>10</v>
      </c>
      <c r="C1675" s="15">
        <f>'Curvas SRY'!$E$9</f>
        <v>1</v>
      </c>
      <c r="D1675" s="14" t="str">
        <f>'Curvas SRY'!$B$14</f>
        <v>Uso variable</v>
      </c>
      <c r="E1675" s="14">
        <f>112</f>
        <v>112</v>
      </c>
      <c r="F1675" s="21">
        <f>'Hoja 4 - Cálculo'!A136</f>
        <v>32964</v>
      </c>
      <c r="G1675" s="15">
        <f>'Hoja 4 - Cálculo'!H136</f>
        <v>28.611000000000001</v>
      </c>
      <c r="H1675" s="15">
        <f>IF(D1675="Uso único",'Hoja 4 - Cálculo'!I136,IF(D1675="Uso múltiple",AVERAGE('Hoja 4 - Cálculo'!$I$25:$I$384)+AVERAGE('Hoja 4 - Cálculo'!$J$25:$J$384)+AVERAGE('Hoja 4 - Cálculo'!$K$25:$K$384),IF(D1675="Uso prioritario",'Hoja 4 - Cálculo'!I136+'Hoja 4 - Cálculo'!K136,'Hoja 4 - Cálculo'!I136+'Hoja 4 - Cálculo'!J136+'Hoja 4 - Cálculo'!K136)))</f>
        <v>11.5</v>
      </c>
      <c r="I1675" s="15">
        <f t="shared" si="380"/>
        <v>11.5</v>
      </c>
      <c r="J1675" s="15">
        <f t="shared" si="377"/>
        <v>2.6454971470600057</v>
      </c>
      <c r="K1675" s="15">
        <f>MIN(J1675+G1675,(J1675+G1675)*'Hoja 4 - Cálculo'!$B$15)</f>
        <v>0.62512994294120017</v>
      </c>
      <c r="L1675" s="15">
        <f t="shared" si="381"/>
        <v>30.631367204118806</v>
      </c>
      <c r="M1675" s="15">
        <f t="shared" si="382"/>
        <v>11.5</v>
      </c>
      <c r="N1675" s="15">
        <f t="shared" si="383"/>
        <v>10</v>
      </c>
      <c r="O1675" s="15">
        <f t="shared" si="384"/>
        <v>9.1313672041188063</v>
      </c>
      <c r="P1675" s="15">
        <f t="shared" si="385"/>
        <v>0</v>
      </c>
      <c r="Q1675" s="14" t="str">
        <f>IF(M1675&gt;=I1675*'Hoja 4 - Cálculo'!$B$16,"Satisfactorio","Falla")</f>
        <v>Satisfactorio</v>
      </c>
      <c r="R1675" s="14">
        <f t="shared" si="378"/>
        <v>0</v>
      </c>
      <c r="S1675" s="14">
        <f t="shared" si="379"/>
        <v>0</v>
      </c>
    </row>
    <row r="1676" spans="1:19">
      <c r="A1676" s="14" t="str">
        <f t="shared" si="376"/>
        <v>SRY-5-2</v>
      </c>
      <c r="B1676" s="15">
        <f>'Curvas SRY'!$B$12</f>
        <v>10</v>
      </c>
      <c r="C1676" s="15">
        <f>'Curvas SRY'!$E$9</f>
        <v>1</v>
      </c>
      <c r="D1676" s="14" t="str">
        <f>'Curvas SRY'!$B$14</f>
        <v>Uso variable</v>
      </c>
      <c r="E1676" s="14">
        <f>113</f>
        <v>113</v>
      </c>
      <c r="F1676" s="21">
        <f>'Hoja 4 - Cálculo'!A137</f>
        <v>32994</v>
      </c>
      <c r="G1676" s="15">
        <f>'Hoja 4 - Cálculo'!H137</f>
        <v>23.52375</v>
      </c>
      <c r="H1676" s="15">
        <f>IF(D1676="Uso único",'Hoja 4 - Cálculo'!I137,IF(D1676="Uso múltiple",AVERAGE('Hoja 4 - Cálculo'!$I$25:$I$384)+AVERAGE('Hoja 4 - Cálculo'!$J$25:$J$384)+AVERAGE('Hoja 4 - Cálculo'!$K$25:$K$384),IF(D1676="Uso prioritario",'Hoja 4 - Cálculo'!I137+'Hoja 4 - Cálculo'!K137,'Hoja 4 - Cálculo'!I137+'Hoja 4 - Cálculo'!J137+'Hoja 4 - Cálculo'!K137)))</f>
        <v>11.5</v>
      </c>
      <c r="I1676" s="15">
        <f t="shared" si="380"/>
        <v>11.5</v>
      </c>
      <c r="J1676" s="15">
        <f t="shared" si="377"/>
        <v>10</v>
      </c>
      <c r="K1676" s="15">
        <f>MIN(J1676+G1676,(J1676+G1676)*'Hoja 4 - Cálculo'!$B$15)</f>
        <v>0.67047500000000004</v>
      </c>
      <c r="L1676" s="15">
        <f t="shared" si="381"/>
        <v>32.853274999999996</v>
      </c>
      <c r="M1676" s="15">
        <f t="shared" si="382"/>
        <v>11.5</v>
      </c>
      <c r="N1676" s="15">
        <f t="shared" si="383"/>
        <v>10</v>
      </c>
      <c r="O1676" s="15">
        <f t="shared" si="384"/>
        <v>11.353274999999996</v>
      </c>
      <c r="P1676" s="15">
        <f t="shared" si="385"/>
        <v>0</v>
      </c>
      <c r="Q1676" s="14" t="str">
        <f>IF(M1676&gt;=I1676*'Hoja 4 - Cálculo'!$B$16,"Satisfactorio","Falla")</f>
        <v>Satisfactorio</v>
      </c>
      <c r="R1676" s="14">
        <f t="shared" si="378"/>
        <v>0</v>
      </c>
      <c r="S1676" s="14">
        <f t="shared" si="379"/>
        <v>0</v>
      </c>
    </row>
    <row r="1677" spans="1:19">
      <c r="A1677" s="14" t="str">
        <f t="shared" si="376"/>
        <v>SRY-5-2</v>
      </c>
      <c r="B1677" s="15">
        <f>'Curvas SRY'!$B$12</f>
        <v>10</v>
      </c>
      <c r="C1677" s="15">
        <f>'Curvas SRY'!$E$9</f>
        <v>1</v>
      </c>
      <c r="D1677" s="14" t="str">
        <f>'Curvas SRY'!$B$14</f>
        <v>Uso variable</v>
      </c>
      <c r="E1677" s="14">
        <f>114</f>
        <v>114</v>
      </c>
      <c r="F1677" s="21">
        <f>'Hoja 4 - Cálculo'!A138</f>
        <v>33025</v>
      </c>
      <c r="G1677" s="15">
        <f>'Hoja 4 - Cálculo'!H138</f>
        <v>15.529500000000001</v>
      </c>
      <c r="H1677" s="15">
        <f>IF(D1677="Uso único",'Hoja 4 - Cálculo'!I138,IF(D1677="Uso múltiple",AVERAGE('Hoja 4 - Cálculo'!$I$25:$I$384)+AVERAGE('Hoja 4 - Cálculo'!$J$25:$J$384)+AVERAGE('Hoja 4 - Cálculo'!$K$25:$K$384),IF(D1677="Uso prioritario",'Hoja 4 - Cálculo'!I138+'Hoja 4 - Cálculo'!K138,'Hoja 4 - Cálculo'!I138+'Hoja 4 - Cálculo'!J138+'Hoja 4 - Cálculo'!K138)))</f>
        <v>11.5</v>
      </c>
      <c r="I1677" s="15">
        <f t="shared" si="380"/>
        <v>11.5</v>
      </c>
      <c r="J1677" s="15">
        <f t="shared" si="377"/>
        <v>10</v>
      </c>
      <c r="K1677" s="15">
        <f>MIN(J1677+G1677,(J1677+G1677)*'Hoja 4 - Cálculo'!$B$15)</f>
        <v>0.51058999999999999</v>
      </c>
      <c r="L1677" s="15">
        <f t="shared" si="381"/>
        <v>25.018909999999998</v>
      </c>
      <c r="M1677" s="15">
        <f t="shared" si="382"/>
        <v>11.5</v>
      </c>
      <c r="N1677" s="15">
        <f t="shared" si="383"/>
        <v>10</v>
      </c>
      <c r="O1677" s="15">
        <f t="shared" si="384"/>
        <v>3.5189099999999982</v>
      </c>
      <c r="P1677" s="15">
        <f t="shared" si="385"/>
        <v>0</v>
      </c>
      <c r="Q1677" s="14" t="str">
        <f>IF(M1677&gt;=I1677*'Hoja 4 - Cálculo'!$B$16,"Satisfactorio","Falla")</f>
        <v>Satisfactorio</v>
      </c>
      <c r="R1677" s="14">
        <f t="shared" si="378"/>
        <v>0</v>
      </c>
      <c r="S1677" s="14">
        <f t="shared" si="379"/>
        <v>0</v>
      </c>
    </row>
    <row r="1678" spans="1:19">
      <c r="A1678" s="14" t="str">
        <f t="shared" si="376"/>
        <v>SRY-5-2</v>
      </c>
      <c r="B1678" s="15">
        <f>'Curvas SRY'!$B$12</f>
        <v>10</v>
      </c>
      <c r="C1678" s="15">
        <f>'Curvas SRY'!$E$9</f>
        <v>1</v>
      </c>
      <c r="D1678" s="14" t="str">
        <f>'Curvas SRY'!$B$14</f>
        <v>Uso variable</v>
      </c>
      <c r="E1678" s="14">
        <f>115</f>
        <v>115</v>
      </c>
      <c r="F1678" s="21">
        <f>'Hoja 4 - Cálculo'!A139</f>
        <v>33055</v>
      </c>
      <c r="G1678" s="15">
        <f>'Hoja 4 - Cálculo'!H139</f>
        <v>12.201750000000001</v>
      </c>
      <c r="H1678" s="15">
        <f>IF(D1678="Uso único",'Hoja 4 - Cálculo'!I139,IF(D1678="Uso múltiple",AVERAGE('Hoja 4 - Cálculo'!$I$25:$I$384)+AVERAGE('Hoja 4 - Cálculo'!$J$25:$J$384)+AVERAGE('Hoja 4 - Cálculo'!$K$25:$K$384),IF(D1678="Uso prioritario",'Hoja 4 - Cálculo'!I139+'Hoja 4 - Cálculo'!K139,'Hoja 4 - Cálculo'!I139+'Hoja 4 - Cálculo'!J139+'Hoja 4 - Cálculo'!K139)))</f>
        <v>16</v>
      </c>
      <c r="I1678" s="15">
        <f t="shared" si="380"/>
        <v>16</v>
      </c>
      <c r="J1678" s="15">
        <f t="shared" si="377"/>
        <v>10</v>
      </c>
      <c r="K1678" s="15">
        <f>MIN(J1678+G1678,(J1678+G1678)*'Hoja 4 - Cálculo'!$B$15)</f>
        <v>0.44403500000000001</v>
      </c>
      <c r="L1678" s="15">
        <f t="shared" si="381"/>
        <v>21.757715000000001</v>
      </c>
      <c r="M1678" s="15">
        <f t="shared" si="382"/>
        <v>16</v>
      </c>
      <c r="N1678" s="15">
        <f t="shared" si="383"/>
        <v>5.757715000000001</v>
      </c>
      <c r="O1678" s="15">
        <f t="shared" si="384"/>
        <v>0</v>
      </c>
      <c r="P1678" s="15">
        <f t="shared" si="385"/>
        <v>0</v>
      </c>
      <c r="Q1678" s="14" t="str">
        <f>IF(M1678&gt;=I1678*'Hoja 4 - Cálculo'!$B$16,"Satisfactorio","Falla")</f>
        <v>Satisfactorio</v>
      </c>
      <c r="R1678" s="14">
        <f t="shared" si="378"/>
        <v>0</v>
      </c>
      <c r="S1678" s="14">
        <f t="shared" si="379"/>
        <v>0</v>
      </c>
    </row>
    <row r="1679" spans="1:19">
      <c r="A1679" s="14" t="str">
        <f t="shared" si="376"/>
        <v>SRY-5-2</v>
      </c>
      <c r="B1679" s="15">
        <f>'Curvas SRY'!$B$12</f>
        <v>10</v>
      </c>
      <c r="C1679" s="15">
        <f>'Curvas SRY'!$E$9</f>
        <v>1</v>
      </c>
      <c r="D1679" s="14" t="str">
        <f>'Curvas SRY'!$B$14</f>
        <v>Uso variable</v>
      </c>
      <c r="E1679" s="14">
        <f>116</f>
        <v>116</v>
      </c>
      <c r="F1679" s="21">
        <f>'Hoja 4 - Cálculo'!A140</f>
        <v>33086</v>
      </c>
      <c r="G1679" s="15">
        <f>'Hoja 4 - Cálculo'!H140</f>
        <v>13.04325</v>
      </c>
      <c r="H1679" s="15">
        <f>IF(D1679="Uso único",'Hoja 4 - Cálculo'!I140,IF(D1679="Uso múltiple",AVERAGE('Hoja 4 - Cálculo'!$I$25:$I$384)+AVERAGE('Hoja 4 - Cálculo'!$J$25:$J$384)+AVERAGE('Hoja 4 - Cálculo'!$K$25:$K$384),IF(D1679="Uso prioritario",'Hoja 4 - Cálculo'!I140+'Hoja 4 - Cálculo'!K140,'Hoja 4 - Cálculo'!I140+'Hoja 4 - Cálculo'!J140+'Hoja 4 - Cálculo'!K140)))</f>
        <v>16</v>
      </c>
      <c r="I1679" s="15">
        <f t="shared" si="380"/>
        <v>16</v>
      </c>
      <c r="J1679" s="15">
        <f t="shared" si="377"/>
        <v>5.757715000000001</v>
      </c>
      <c r="K1679" s="15">
        <f>MIN(J1679+G1679,(J1679+G1679)*'Hoja 4 - Cálculo'!$B$15)</f>
        <v>0.37601930000000006</v>
      </c>
      <c r="L1679" s="15">
        <f t="shared" si="381"/>
        <v>18.424945700000002</v>
      </c>
      <c r="M1679" s="15">
        <f t="shared" si="382"/>
        <v>16</v>
      </c>
      <c r="N1679" s="15">
        <f t="shared" si="383"/>
        <v>2.4249457000000021</v>
      </c>
      <c r="O1679" s="15">
        <f t="shared" si="384"/>
        <v>0</v>
      </c>
      <c r="P1679" s="15">
        <f t="shared" si="385"/>
        <v>0</v>
      </c>
      <c r="Q1679" s="14" t="str">
        <f>IF(M1679&gt;=I1679*'Hoja 4 - Cálculo'!$B$16,"Satisfactorio","Falla")</f>
        <v>Satisfactorio</v>
      </c>
      <c r="R1679" s="14">
        <f t="shared" si="378"/>
        <v>0</v>
      </c>
      <c r="S1679" s="14">
        <f t="shared" si="379"/>
        <v>0</v>
      </c>
    </row>
    <row r="1680" spans="1:19">
      <c r="A1680" s="14" t="str">
        <f t="shared" si="376"/>
        <v>SRY-5-2</v>
      </c>
      <c r="B1680" s="15">
        <f>'Curvas SRY'!$B$12</f>
        <v>10</v>
      </c>
      <c r="C1680" s="15">
        <f>'Curvas SRY'!$E$9</f>
        <v>1</v>
      </c>
      <c r="D1680" s="14" t="str">
        <f>'Curvas SRY'!$B$14</f>
        <v>Uso variable</v>
      </c>
      <c r="E1680" s="14">
        <f>117</f>
        <v>117</v>
      </c>
      <c r="F1680" s="21">
        <f>'Hoja 4 - Cálculo'!A141</f>
        <v>33117</v>
      </c>
      <c r="G1680" s="15">
        <f>'Hoja 4 - Cálculo'!H141</f>
        <v>21.974625</v>
      </c>
      <c r="H1680" s="15">
        <f>IF(D1680="Uso único",'Hoja 4 - Cálculo'!I141,IF(D1680="Uso múltiple",AVERAGE('Hoja 4 - Cálculo'!$I$25:$I$384)+AVERAGE('Hoja 4 - Cálculo'!$J$25:$J$384)+AVERAGE('Hoja 4 - Cálculo'!$K$25:$K$384),IF(D1680="Uso prioritario",'Hoja 4 - Cálculo'!I141+'Hoja 4 - Cálculo'!K141,'Hoja 4 - Cálculo'!I141+'Hoja 4 - Cálculo'!J141+'Hoja 4 - Cálculo'!K141)))</f>
        <v>11.5</v>
      </c>
      <c r="I1680" s="15">
        <f t="shared" si="380"/>
        <v>11.5</v>
      </c>
      <c r="J1680" s="15">
        <f t="shared" si="377"/>
        <v>2.4249457000000021</v>
      </c>
      <c r="K1680" s="15">
        <f>MIN(J1680+G1680,(J1680+G1680)*'Hoja 4 - Cálculo'!$B$15)</f>
        <v>0.48799141400000007</v>
      </c>
      <c r="L1680" s="15">
        <f t="shared" si="381"/>
        <v>23.911579286000002</v>
      </c>
      <c r="M1680" s="15">
        <f t="shared" si="382"/>
        <v>11.5</v>
      </c>
      <c r="N1680" s="15">
        <f t="shared" si="383"/>
        <v>10</v>
      </c>
      <c r="O1680" s="15">
        <f t="shared" si="384"/>
        <v>2.411579286000002</v>
      </c>
      <c r="P1680" s="15">
        <f t="shared" si="385"/>
        <v>0</v>
      </c>
      <c r="Q1680" s="14" t="str">
        <f>IF(M1680&gt;=I1680*'Hoja 4 - Cálculo'!$B$16,"Satisfactorio","Falla")</f>
        <v>Satisfactorio</v>
      </c>
      <c r="R1680" s="14">
        <f t="shared" si="378"/>
        <v>0</v>
      </c>
      <c r="S1680" s="14">
        <f t="shared" si="379"/>
        <v>0</v>
      </c>
    </row>
    <row r="1681" spans="1:19">
      <c r="A1681" s="14" t="str">
        <f t="shared" si="376"/>
        <v>SRY-5-2</v>
      </c>
      <c r="B1681" s="15">
        <f>'Curvas SRY'!$B$12</f>
        <v>10</v>
      </c>
      <c r="C1681" s="15">
        <f>'Curvas SRY'!$E$9</f>
        <v>1</v>
      </c>
      <c r="D1681" s="14" t="str">
        <f>'Curvas SRY'!$B$14</f>
        <v>Uso variable</v>
      </c>
      <c r="E1681" s="14">
        <f>118</f>
        <v>118</v>
      </c>
      <c r="F1681" s="21">
        <f>'Hoja 4 - Cálculo'!A142</f>
        <v>33147</v>
      </c>
      <c r="G1681" s="15">
        <f>'Hoja 4 - Cálculo'!H142</f>
        <v>26.870625</v>
      </c>
      <c r="H1681" s="15">
        <f>IF(D1681="Uso único",'Hoja 4 - Cálculo'!I142,IF(D1681="Uso múltiple",AVERAGE('Hoja 4 - Cálculo'!$I$25:$I$384)+AVERAGE('Hoja 4 - Cálculo'!$J$25:$J$384)+AVERAGE('Hoja 4 - Cálculo'!$K$25:$K$384),IF(D1681="Uso prioritario",'Hoja 4 - Cálculo'!I142+'Hoja 4 - Cálculo'!K142,'Hoja 4 - Cálculo'!I142+'Hoja 4 - Cálculo'!J142+'Hoja 4 - Cálculo'!K142)))</f>
        <v>11.5</v>
      </c>
      <c r="I1681" s="15">
        <f t="shared" si="380"/>
        <v>11.5</v>
      </c>
      <c r="J1681" s="15">
        <f t="shared" si="377"/>
        <v>10</v>
      </c>
      <c r="K1681" s="15">
        <f>MIN(J1681+G1681,(J1681+G1681)*'Hoja 4 - Cálculo'!$B$15)</f>
        <v>0.73741250000000014</v>
      </c>
      <c r="L1681" s="15">
        <f t="shared" si="381"/>
        <v>36.133212500000006</v>
      </c>
      <c r="M1681" s="15">
        <f t="shared" si="382"/>
        <v>11.5</v>
      </c>
      <c r="N1681" s="15">
        <f t="shared" si="383"/>
        <v>10</v>
      </c>
      <c r="O1681" s="15">
        <f t="shared" si="384"/>
        <v>14.633212500000006</v>
      </c>
      <c r="P1681" s="15">
        <f t="shared" si="385"/>
        <v>0</v>
      </c>
      <c r="Q1681" s="14" t="str">
        <f>IF(M1681&gt;=I1681*'Hoja 4 - Cálculo'!$B$16,"Satisfactorio","Falla")</f>
        <v>Satisfactorio</v>
      </c>
      <c r="R1681" s="14">
        <f t="shared" si="378"/>
        <v>0</v>
      </c>
      <c r="S1681" s="14">
        <f t="shared" si="379"/>
        <v>0</v>
      </c>
    </row>
    <row r="1682" spans="1:19">
      <c r="A1682" s="14" t="str">
        <f t="shared" si="376"/>
        <v>SRY-5-2</v>
      </c>
      <c r="B1682" s="15">
        <f>'Curvas SRY'!$B$12</f>
        <v>10</v>
      </c>
      <c r="C1682" s="15">
        <f>'Curvas SRY'!$E$9</f>
        <v>1</v>
      </c>
      <c r="D1682" s="14" t="str">
        <f>'Curvas SRY'!$B$14</f>
        <v>Uso variable</v>
      </c>
      <c r="E1682" s="14">
        <f>119</f>
        <v>119</v>
      </c>
      <c r="F1682" s="21">
        <f>'Hoja 4 - Cálculo'!A143</f>
        <v>33178</v>
      </c>
      <c r="G1682" s="15">
        <f>'Hoja 4 - Cálculo'!H143</f>
        <v>24.881625</v>
      </c>
      <c r="H1682" s="15">
        <f>IF(D1682="Uso único",'Hoja 4 - Cálculo'!I143,IF(D1682="Uso múltiple",AVERAGE('Hoja 4 - Cálculo'!$I$25:$I$384)+AVERAGE('Hoja 4 - Cálculo'!$J$25:$J$384)+AVERAGE('Hoja 4 - Cálculo'!$K$25:$K$384),IF(D1682="Uso prioritario",'Hoja 4 - Cálculo'!I143+'Hoja 4 - Cálculo'!K143,'Hoja 4 - Cálculo'!I143+'Hoja 4 - Cálculo'!J143+'Hoja 4 - Cálculo'!K143)))</f>
        <v>11.5</v>
      </c>
      <c r="I1682" s="15">
        <f t="shared" si="380"/>
        <v>11.5</v>
      </c>
      <c r="J1682" s="15">
        <f t="shared" si="377"/>
        <v>10</v>
      </c>
      <c r="K1682" s="15">
        <f>MIN(J1682+G1682,(J1682+G1682)*'Hoja 4 - Cálculo'!$B$15)</f>
        <v>0.69763249999999999</v>
      </c>
      <c r="L1682" s="15">
        <f t="shared" si="381"/>
        <v>34.183992500000002</v>
      </c>
      <c r="M1682" s="15">
        <f t="shared" si="382"/>
        <v>11.5</v>
      </c>
      <c r="N1682" s="15">
        <f t="shared" si="383"/>
        <v>10</v>
      </c>
      <c r="O1682" s="15">
        <f t="shared" si="384"/>
        <v>12.683992500000002</v>
      </c>
      <c r="P1682" s="15">
        <f t="shared" si="385"/>
        <v>0</v>
      </c>
      <c r="Q1682" s="14" t="str">
        <f>IF(M1682&gt;=I1682*'Hoja 4 - Cálculo'!$B$16,"Satisfactorio","Falla")</f>
        <v>Satisfactorio</v>
      </c>
      <c r="R1682" s="14">
        <f t="shared" si="378"/>
        <v>0</v>
      </c>
      <c r="S1682" s="14">
        <f t="shared" si="379"/>
        <v>0</v>
      </c>
    </row>
    <row r="1683" spans="1:19">
      <c r="A1683" s="14" t="str">
        <f t="shared" si="376"/>
        <v>SRY-5-2</v>
      </c>
      <c r="B1683" s="15">
        <f>'Curvas SRY'!$B$12</f>
        <v>10</v>
      </c>
      <c r="C1683" s="15">
        <f>'Curvas SRY'!$E$9</f>
        <v>1</v>
      </c>
      <c r="D1683" s="14" t="str">
        <f>'Curvas SRY'!$B$14</f>
        <v>Uso variable</v>
      </c>
      <c r="E1683" s="14">
        <f>120</f>
        <v>120</v>
      </c>
      <c r="F1683" s="21">
        <f>'Hoja 4 - Cálculo'!A144</f>
        <v>33208</v>
      </c>
      <c r="G1683" s="15">
        <f>'Hoja 4 - Cálculo'!H144</f>
        <v>13.73175</v>
      </c>
      <c r="H1683" s="15">
        <f>IF(D1683="Uso único",'Hoja 4 - Cálculo'!I144,IF(D1683="Uso múltiple",AVERAGE('Hoja 4 - Cálculo'!$I$25:$I$384)+AVERAGE('Hoja 4 - Cálculo'!$J$25:$J$384)+AVERAGE('Hoja 4 - Cálculo'!$K$25:$K$384),IF(D1683="Uso prioritario",'Hoja 4 - Cálculo'!I144+'Hoja 4 - Cálculo'!K144,'Hoja 4 - Cálculo'!I144+'Hoja 4 - Cálculo'!J144+'Hoja 4 - Cálculo'!K144)))</f>
        <v>16</v>
      </c>
      <c r="I1683" s="15">
        <f t="shared" si="380"/>
        <v>16</v>
      </c>
      <c r="J1683" s="15">
        <f t="shared" si="377"/>
        <v>10</v>
      </c>
      <c r="K1683" s="15">
        <f>MIN(J1683+G1683,(J1683+G1683)*'Hoja 4 - Cálculo'!$B$15)</f>
        <v>0.47463499999999997</v>
      </c>
      <c r="L1683" s="15">
        <f t="shared" si="381"/>
        <v>23.257114999999999</v>
      </c>
      <c r="M1683" s="15">
        <f t="shared" si="382"/>
        <v>16</v>
      </c>
      <c r="N1683" s="15">
        <f t="shared" si="383"/>
        <v>7.2571149999999989</v>
      </c>
      <c r="O1683" s="15">
        <f t="shared" si="384"/>
        <v>0</v>
      </c>
      <c r="P1683" s="15">
        <f t="shared" si="385"/>
        <v>0</v>
      </c>
      <c r="Q1683" s="14" t="str">
        <f>IF(M1683&gt;=I1683*'Hoja 4 - Cálculo'!$B$16,"Satisfactorio","Falla")</f>
        <v>Satisfactorio</v>
      </c>
      <c r="R1683" s="14">
        <f t="shared" si="378"/>
        <v>0</v>
      </c>
      <c r="S1683" s="14">
        <f t="shared" si="379"/>
        <v>0</v>
      </c>
    </row>
    <row r="1684" spans="1:19">
      <c r="A1684" s="14" t="str">
        <f t="shared" ref="A1684:A1715" si="386">"SRY-5-3"</f>
        <v>SRY-5-3</v>
      </c>
      <c r="B1684" s="15">
        <f>'Curvas SRY'!$B$12</f>
        <v>10</v>
      </c>
      <c r="C1684" s="15">
        <f>'Curvas SRY'!$E$10</f>
        <v>1.25</v>
      </c>
      <c r="D1684" s="14" t="str">
        <f>'Curvas SRY'!$B$14</f>
        <v>Uso variable</v>
      </c>
      <c r="E1684" s="14">
        <f>1</f>
        <v>1</v>
      </c>
      <c r="F1684" s="21">
        <f>'Hoja 4 - Cálculo'!A25</f>
        <v>29587</v>
      </c>
      <c r="G1684" s="15">
        <f>'Hoja 4 - Cálculo'!H25</f>
        <v>12.852</v>
      </c>
      <c r="H1684" s="15">
        <f>IF(D1684="Uso único",'Hoja 4 - Cálculo'!I25,IF(D1684="Uso múltiple",AVERAGE('Hoja 4 - Cálculo'!$I$25:$I$384)+AVERAGE('Hoja 4 - Cálculo'!$J$25:$J$384)+AVERAGE('Hoja 4 - Cálculo'!$K$25:$K$384),IF(D1684="Uso prioritario",'Hoja 4 - Cálculo'!I25+'Hoja 4 - Cálculo'!K25,'Hoja 4 - Cálculo'!I25+'Hoja 4 - Cálculo'!J25+'Hoja 4 - Cálculo'!K25)))</f>
        <v>16</v>
      </c>
      <c r="I1684" s="15">
        <f t="shared" si="380"/>
        <v>20</v>
      </c>
      <c r="J1684" s="15">
        <f>0</f>
        <v>0</v>
      </c>
      <c r="K1684" s="15">
        <f>MIN(J1684+G1684,(J1684+G1684)*'Hoja 4 - Cálculo'!$B$15)</f>
        <v>0.25703999999999999</v>
      </c>
      <c r="L1684" s="15">
        <f t="shared" si="381"/>
        <v>12.59496</v>
      </c>
      <c r="M1684" s="15">
        <f t="shared" si="382"/>
        <v>12.59496</v>
      </c>
      <c r="N1684" s="15">
        <f t="shared" si="383"/>
        <v>0</v>
      </c>
      <c r="O1684" s="15">
        <f t="shared" si="384"/>
        <v>0</v>
      </c>
      <c r="P1684" s="15">
        <f t="shared" si="385"/>
        <v>7.4050399999999996</v>
      </c>
      <c r="Q1684" s="14" t="str">
        <f>IF(M1684&gt;=I1684*'Hoja 4 - Cálculo'!$B$16,"Satisfactorio","Falla")</f>
        <v>Falla</v>
      </c>
      <c r="R1684" s="14">
        <f>0</f>
        <v>0</v>
      </c>
      <c r="S1684" s="14">
        <f>IF(Q1684="Falla",1,0)</f>
        <v>1</v>
      </c>
    </row>
    <row r="1685" spans="1:19">
      <c r="A1685" s="14" t="str">
        <f t="shared" si="386"/>
        <v>SRY-5-3</v>
      </c>
      <c r="B1685" s="15">
        <f>'Curvas SRY'!$B$12</f>
        <v>10</v>
      </c>
      <c r="C1685" s="15">
        <f>'Curvas SRY'!$E$10</f>
        <v>1.25</v>
      </c>
      <c r="D1685" s="14" t="str">
        <f>'Curvas SRY'!$B$14</f>
        <v>Uso variable</v>
      </c>
      <c r="E1685" s="14">
        <f>2</f>
        <v>2</v>
      </c>
      <c r="F1685" s="21">
        <f>'Hoja 4 - Cálculo'!A26</f>
        <v>29618</v>
      </c>
      <c r="G1685" s="15">
        <f>'Hoja 4 - Cálculo'!H26</f>
        <v>14.630625</v>
      </c>
      <c r="H1685" s="15">
        <f>IF(D1685="Uso único",'Hoja 4 - Cálculo'!I26,IF(D1685="Uso múltiple",AVERAGE('Hoja 4 - Cálculo'!$I$25:$I$384)+AVERAGE('Hoja 4 - Cálculo'!$J$25:$J$384)+AVERAGE('Hoja 4 - Cálculo'!$K$25:$K$384),IF(D1685="Uso prioritario",'Hoja 4 - Cálculo'!I26+'Hoja 4 - Cálculo'!K26,'Hoja 4 - Cálculo'!I26+'Hoja 4 - Cálculo'!J26+'Hoja 4 - Cálculo'!K26)))</f>
        <v>16</v>
      </c>
      <c r="I1685" s="15">
        <f t="shared" si="380"/>
        <v>20</v>
      </c>
      <c r="J1685" s="15">
        <f t="shared" ref="J1685:J1716" si="387">N1684</f>
        <v>0</v>
      </c>
      <c r="K1685" s="15">
        <f>MIN(J1685+G1685,(J1685+G1685)*'Hoja 4 - Cálculo'!$B$15)</f>
        <v>0.2926125</v>
      </c>
      <c r="L1685" s="15">
        <f t="shared" si="381"/>
        <v>14.3380125</v>
      </c>
      <c r="M1685" s="15">
        <f t="shared" si="382"/>
        <v>14.3380125</v>
      </c>
      <c r="N1685" s="15">
        <f t="shared" si="383"/>
        <v>0</v>
      </c>
      <c r="O1685" s="15">
        <f t="shared" si="384"/>
        <v>0</v>
      </c>
      <c r="P1685" s="15">
        <f t="shared" si="385"/>
        <v>5.6619875000000004</v>
      </c>
      <c r="Q1685" s="14" t="str">
        <f>IF(M1685&gt;=I1685*'Hoja 4 - Cálculo'!$B$16,"Satisfactorio","Falla")</f>
        <v>Falla</v>
      </c>
      <c r="R1685" s="14">
        <f t="shared" ref="R1685:R1716" si="388">IF(AND(Q1684="Falla",Q1685="Satisfactorio"),1,0)</f>
        <v>0</v>
      </c>
      <c r="S1685" s="14">
        <f t="shared" ref="S1685:S1716" si="389">IF(AND(Q1685="Falla",Q1684&lt;&gt;"Falla"),1,0)</f>
        <v>0</v>
      </c>
    </row>
    <row r="1686" spans="1:19">
      <c r="A1686" s="14" t="str">
        <f t="shared" si="386"/>
        <v>SRY-5-3</v>
      </c>
      <c r="B1686" s="15">
        <f>'Curvas SRY'!$B$12</f>
        <v>10</v>
      </c>
      <c r="C1686" s="15">
        <f>'Curvas SRY'!$E$10</f>
        <v>1.25</v>
      </c>
      <c r="D1686" s="14" t="str">
        <f>'Curvas SRY'!$B$14</f>
        <v>Uso variable</v>
      </c>
      <c r="E1686" s="14">
        <f>3</f>
        <v>3</v>
      </c>
      <c r="F1686" s="21">
        <f>'Hoja 4 - Cálculo'!A27</f>
        <v>29646</v>
      </c>
      <c r="G1686" s="15">
        <f>'Hoja 4 - Cálculo'!H27</f>
        <v>21.114000000000001</v>
      </c>
      <c r="H1686" s="15">
        <f>IF(D1686="Uso único",'Hoja 4 - Cálculo'!I27,IF(D1686="Uso múltiple",AVERAGE('Hoja 4 - Cálculo'!$I$25:$I$384)+AVERAGE('Hoja 4 - Cálculo'!$J$25:$J$384)+AVERAGE('Hoja 4 - Cálculo'!$K$25:$K$384),IF(D1686="Uso prioritario",'Hoja 4 - Cálculo'!I27+'Hoja 4 - Cálculo'!K27,'Hoja 4 - Cálculo'!I27+'Hoja 4 - Cálculo'!J27+'Hoja 4 - Cálculo'!K27)))</f>
        <v>16</v>
      </c>
      <c r="I1686" s="15">
        <f t="shared" si="380"/>
        <v>20</v>
      </c>
      <c r="J1686" s="15">
        <f t="shared" si="387"/>
        <v>0</v>
      </c>
      <c r="K1686" s="15">
        <f>MIN(J1686+G1686,(J1686+G1686)*'Hoja 4 - Cálculo'!$B$15)</f>
        <v>0.42228000000000004</v>
      </c>
      <c r="L1686" s="15">
        <f t="shared" si="381"/>
        <v>20.69172</v>
      </c>
      <c r="M1686" s="15">
        <f t="shared" si="382"/>
        <v>20</v>
      </c>
      <c r="N1686" s="15">
        <f t="shared" si="383"/>
        <v>0.69172000000000011</v>
      </c>
      <c r="O1686" s="15">
        <f t="shared" si="384"/>
        <v>0</v>
      </c>
      <c r="P1686" s="15">
        <f t="shared" si="385"/>
        <v>0</v>
      </c>
      <c r="Q1686" s="14" t="str">
        <f>IF(M1686&gt;=I1686*'Hoja 4 - Cálculo'!$B$16,"Satisfactorio","Falla")</f>
        <v>Satisfactorio</v>
      </c>
      <c r="R1686" s="14">
        <f t="shared" si="388"/>
        <v>1</v>
      </c>
      <c r="S1686" s="14">
        <f t="shared" si="389"/>
        <v>0</v>
      </c>
    </row>
    <row r="1687" spans="1:19">
      <c r="A1687" s="14" t="str">
        <f t="shared" si="386"/>
        <v>SRY-5-3</v>
      </c>
      <c r="B1687" s="15">
        <f>'Curvas SRY'!$B$12</f>
        <v>10</v>
      </c>
      <c r="C1687" s="15">
        <f>'Curvas SRY'!$E$10</f>
        <v>1.25</v>
      </c>
      <c r="D1687" s="14" t="str">
        <f>'Curvas SRY'!$B$14</f>
        <v>Uso variable</v>
      </c>
      <c r="E1687" s="14">
        <f>4</f>
        <v>4</v>
      </c>
      <c r="F1687" s="21">
        <f>'Hoja 4 - Cálculo'!A28</f>
        <v>29677</v>
      </c>
      <c r="G1687" s="15">
        <f>'Hoja 4 - Cálculo'!H28</f>
        <v>29.280374999999999</v>
      </c>
      <c r="H1687" s="15">
        <f>IF(D1687="Uso único",'Hoja 4 - Cálculo'!I28,IF(D1687="Uso múltiple",AVERAGE('Hoja 4 - Cálculo'!$I$25:$I$384)+AVERAGE('Hoja 4 - Cálculo'!$J$25:$J$384)+AVERAGE('Hoja 4 - Cálculo'!$K$25:$K$384),IF(D1687="Uso prioritario",'Hoja 4 - Cálculo'!I28+'Hoja 4 - Cálculo'!K28,'Hoja 4 - Cálculo'!I28+'Hoja 4 - Cálculo'!J28+'Hoja 4 - Cálculo'!K28)))</f>
        <v>11.5</v>
      </c>
      <c r="I1687" s="15">
        <f t="shared" si="380"/>
        <v>14.375</v>
      </c>
      <c r="J1687" s="15">
        <f t="shared" si="387"/>
        <v>0.69172000000000011</v>
      </c>
      <c r="K1687" s="15">
        <f>MIN(J1687+G1687,(J1687+G1687)*'Hoja 4 - Cálculo'!$B$15)</f>
        <v>0.59944189999999997</v>
      </c>
      <c r="L1687" s="15">
        <f t="shared" si="381"/>
        <v>29.372653100000001</v>
      </c>
      <c r="M1687" s="15">
        <f t="shared" si="382"/>
        <v>14.375</v>
      </c>
      <c r="N1687" s="15">
        <f t="shared" si="383"/>
        <v>10</v>
      </c>
      <c r="O1687" s="15">
        <f t="shared" si="384"/>
        <v>4.9976531000000008</v>
      </c>
      <c r="P1687" s="15">
        <f t="shared" si="385"/>
        <v>0</v>
      </c>
      <c r="Q1687" s="14" t="str">
        <f>IF(M1687&gt;=I1687*'Hoja 4 - Cálculo'!$B$16,"Satisfactorio","Falla")</f>
        <v>Satisfactorio</v>
      </c>
      <c r="R1687" s="14">
        <f t="shared" si="388"/>
        <v>0</v>
      </c>
      <c r="S1687" s="14">
        <f t="shared" si="389"/>
        <v>0</v>
      </c>
    </row>
    <row r="1688" spans="1:19">
      <c r="A1688" s="14" t="str">
        <f t="shared" si="386"/>
        <v>SRY-5-3</v>
      </c>
      <c r="B1688" s="15">
        <f>'Curvas SRY'!$B$12</f>
        <v>10</v>
      </c>
      <c r="C1688" s="15">
        <f>'Curvas SRY'!$E$10</f>
        <v>1.25</v>
      </c>
      <c r="D1688" s="14" t="str">
        <f>'Curvas SRY'!$B$14</f>
        <v>Uso variable</v>
      </c>
      <c r="E1688" s="14">
        <f>5</f>
        <v>5</v>
      </c>
      <c r="F1688" s="21">
        <f>'Hoja 4 - Cálculo'!A29</f>
        <v>29707</v>
      </c>
      <c r="G1688" s="15">
        <f>'Hoja 4 - Cálculo'!H29</f>
        <v>26.048249999999999</v>
      </c>
      <c r="H1688" s="15">
        <f>IF(D1688="Uso único",'Hoja 4 - Cálculo'!I29,IF(D1688="Uso múltiple",AVERAGE('Hoja 4 - Cálculo'!$I$25:$I$384)+AVERAGE('Hoja 4 - Cálculo'!$J$25:$J$384)+AVERAGE('Hoja 4 - Cálculo'!$K$25:$K$384),IF(D1688="Uso prioritario",'Hoja 4 - Cálculo'!I29+'Hoja 4 - Cálculo'!K29,'Hoja 4 - Cálculo'!I29+'Hoja 4 - Cálculo'!J29+'Hoja 4 - Cálculo'!K29)))</f>
        <v>11.5</v>
      </c>
      <c r="I1688" s="15">
        <f t="shared" si="380"/>
        <v>14.375</v>
      </c>
      <c r="J1688" s="15">
        <f t="shared" si="387"/>
        <v>10</v>
      </c>
      <c r="K1688" s="15">
        <f>MIN(J1688+G1688,(J1688+G1688)*'Hoja 4 - Cálculo'!$B$15)</f>
        <v>0.72096499999999997</v>
      </c>
      <c r="L1688" s="15">
        <f t="shared" si="381"/>
        <v>35.327284999999996</v>
      </c>
      <c r="M1688" s="15">
        <f t="shared" si="382"/>
        <v>14.375</v>
      </c>
      <c r="N1688" s="15">
        <f t="shared" si="383"/>
        <v>10</v>
      </c>
      <c r="O1688" s="15">
        <f t="shared" si="384"/>
        <v>10.952284999999996</v>
      </c>
      <c r="P1688" s="15">
        <f t="shared" si="385"/>
        <v>0</v>
      </c>
      <c r="Q1688" s="14" t="str">
        <f>IF(M1688&gt;=I1688*'Hoja 4 - Cálculo'!$B$16,"Satisfactorio","Falla")</f>
        <v>Satisfactorio</v>
      </c>
      <c r="R1688" s="14">
        <f t="shared" si="388"/>
        <v>0</v>
      </c>
      <c r="S1688" s="14">
        <f t="shared" si="389"/>
        <v>0</v>
      </c>
    </row>
    <row r="1689" spans="1:19">
      <c r="A1689" s="14" t="str">
        <f t="shared" si="386"/>
        <v>SRY-5-3</v>
      </c>
      <c r="B1689" s="15">
        <f>'Curvas SRY'!$B$12</f>
        <v>10</v>
      </c>
      <c r="C1689" s="15">
        <f>'Curvas SRY'!$E$10</f>
        <v>1.25</v>
      </c>
      <c r="D1689" s="14" t="str">
        <f>'Curvas SRY'!$B$14</f>
        <v>Uso variable</v>
      </c>
      <c r="E1689" s="14">
        <f>6</f>
        <v>6</v>
      </c>
      <c r="F1689" s="21">
        <f>'Hoja 4 - Cálculo'!A30</f>
        <v>29738</v>
      </c>
      <c r="G1689" s="15">
        <f>'Hoja 4 - Cálculo'!H30</f>
        <v>15.625125000000001</v>
      </c>
      <c r="H1689" s="15">
        <f>IF(D1689="Uso único",'Hoja 4 - Cálculo'!I30,IF(D1689="Uso múltiple",AVERAGE('Hoja 4 - Cálculo'!$I$25:$I$384)+AVERAGE('Hoja 4 - Cálculo'!$J$25:$J$384)+AVERAGE('Hoja 4 - Cálculo'!$K$25:$K$384),IF(D1689="Uso prioritario",'Hoja 4 - Cálculo'!I30+'Hoja 4 - Cálculo'!K30,'Hoja 4 - Cálculo'!I30+'Hoja 4 - Cálculo'!J30+'Hoja 4 - Cálculo'!K30)))</f>
        <v>11.5</v>
      </c>
      <c r="I1689" s="15">
        <f t="shared" si="380"/>
        <v>14.375</v>
      </c>
      <c r="J1689" s="15">
        <f t="shared" si="387"/>
        <v>10</v>
      </c>
      <c r="K1689" s="15">
        <f>MIN(J1689+G1689,(J1689+G1689)*'Hoja 4 - Cálculo'!$B$15)</f>
        <v>0.51250249999999997</v>
      </c>
      <c r="L1689" s="15">
        <f t="shared" si="381"/>
        <v>25.112622500000001</v>
      </c>
      <c r="M1689" s="15">
        <f t="shared" si="382"/>
        <v>14.375</v>
      </c>
      <c r="N1689" s="15">
        <f t="shared" si="383"/>
        <v>10</v>
      </c>
      <c r="O1689" s="15">
        <f t="shared" si="384"/>
        <v>0.73762250000000051</v>
      </c>
      <c r="P1689" s="15">
        <f t="shared" si="385"/>
        <v>0</v>
      </c>
      <c r="Q1689" s="14" t="str">
        <f>IF(M1689&gt;=I1689*'Hoja 4 - Cálculo'!$B$16,"Satisfactorio","Falla")</f>
        <v>Satisfactorio</v>
      </c>
      <c r="R1689" s="14">
        <f t="shared" si="388"/>
        <v>0</v>
      </c>
      <c r="S1689" s="14">
        <f t="shared" si="389"/>
        <v>0</v>
      </c>
    </row>
    <row r="1690" spans="1:19">
      <c r="A1690" s="14" t="str">
        <f t="shared" si="386"/>
        <v>SRY-5-3</v>
      </c>
      <c r="B1690" s="15">
        <f>'Curvas SRY'!$B$12</f>
        <v>10</v>
      </c>
      <c r="C1690" s="15">
        <f>'Curvas SRY'!$E$10</f>
        <v>1.25</v>
      </c>
      <c r="D1690" s="14" t="str">
        <f>'Curvas SRY'!$B$14</f>
        <v>Uso variable</v>
      </c>
      <c r="E1690" s="14">
        <f>7</f>
        <v>7</v>
      </c>
      <c r="F1690" s="21">
        <f>'Hoja 4 - Cálculo'!A31</f>
        <v>29768</v>
      </c>
      <c r="G1690" s="15">
        <f>'Hoja 4 - Cálculo'!H31</f>
        <v>12.794625</v>
      </c>
      <c r="H1690" s="15">
        <f>IF(D1690="Uso único",'Hoja 4 - Cálculo'!I31,IF(D1690="Uso múltiple",AVERAGE('Hoja 4 - Cálculo'!$I$25:$I$384)+AVERAGE('Hoja 4 - Cálculo'!$J$25:$J$384)+AVERAGE('Hoja 4 - Cálculo'!$K$25:$K$384),IF(D1690="Uso prioritario",'Hoja 4 - Cálculo'!I31+'Hoja 4 - Cálculo'!K31,'Hoja 4 - Cálculo'!I31+'Hoja 4 - Cálculo'!J31+'Hoja 4 - Cálculo'!K31)))</f>
        <v>16</v>
      </c>
      <c r="I1690" s="15">
        <f t="shared" si="380"/>
        <v>20</v>
      </c>
      <c r="J1690" s="15">
        <f t="shared" si="387"/>
        <v>10</v>
      </c>
      <c r="K1690" s="15">
        <f>MIN(J1690+G1690,(J1690+G1690)*'Hoja 4 - Cálculo'!$B$15)</f>
        <v>0.45589250000000003</v>
      </c>
      <c r="L1690" s="15">
        <f t="shared" si="381"/>
        <v>22.338732499999999</v>
      </c>
      <c r="M1690" s="15">
        <f t="shared" si="382"/>
        <v>20</v>
      </c>
      <c r="N1690" s="15">
        <f t="shared" si="383"/>
        <v>2.338732499999999</v>
      </c>
      <c r="O1690" s="15">
        <f t="shared" si="384"/>
        <v>0</v>
      </c>
      <c r="P1690" s="15">
        <f t="shared" si="385"/>
        <v>0</v>
      </c>
      <c r="Q1690" s="14" t="str">
        <f>IF(M1690&gt;=I1690*'Hoja 4 - Cálculo'!$B$16,"Satisfactorio","Falla")</f>
        <v>Satisfactorio</v>
      </c>
      <c r="R1690" s="14">
        <f t="shared" si="388"/>
        <v>0</v>
      </c>
      <c r="S1690" s="14">
        <f t="shared" si="389"/>
        <v>0</v>
      </c>
    </row>
    <row r="1691" spans="1:19">
      <c r="A1691" s="14" t="str">
        <f t="shared" si="386"/>
        <v>SRY-5-3</v>
      </c>
      <c r="B1691" s="15">
        <f>'Curvas SRY'!$B$12</f>
        <v>10</v>
      </c>
      <c r="C1691" s="15">
        <f>'Curvas SRY'!$E$10</f>
        <v>1.25</v>
      </c>
      <c r="D1691" s="14" t="str">
        <f>'Curvas SRY'!$B$14</f>
        <v>Uso variable</v>
      </c>
      <c r="E1691" s="14">
        <f>8</f>
        <v>8</v>
      </c>
      <c r="F1691" s="21">
        <f>'Hoja 4 - Cálculo'!A32</f>
        <v>29799</v>
      </c>
      <c r="G1691" s="15">
        <f>'Hoja 4 - Cálculo'!H32</f>
        <v>13.712624999999999</v>
      </c>
      <c r="H1691" s="15">
        <f>IF(D1691="Uso único",'Hoja 4 - Cálculo'!I32,IF(D1691="Uso múltiple",AVERAGE('Hoja 4 - Cálculo'!$I$25:$I$384)+AVERAGE('Hoja 4 - Cálculo'!$J$25:$J$384)+AVERAGE('Hoja 4 - Cálculo'!$K$25:$K$384),IF(D1691="Uso prioritario",'Hoja 4 - Cálculo'!I32+'Hoja 4 - Cálculo'!K32,'Hoja 4 - Cálculo'!I32+'Hoja 4 - Cálculo'!J32+'Hoja 4 - Cálculo'!K32)))</f>
        <v>16</v>
      </c>
      <c r="I1691" s="15">
        <f t="shared" si="380"/>
        <v>20</v>
      </c>
      <c r="J1691" s="15">
        <f t="shared" si="387"/>
        <v>2.338732499999999</v>
      </c>
      <c r="K1691" s="15">
        <f>MIN(J1691+G1691,(J1691+G1691)*'Hoja 4 - Cálculo'!$B$15)</f>
        <v>0.32102714999999998</v>
      </c>
      <c r="L1691" s="15">
        <f t="shared" si="381"/>
        <v>15.730330349999997</v>
      </c>
      <c r="M1691" s="15">
        <f t="shared" si="382"/>
        <v>15.730330349999997</v>
      </c>
      <c r="N1691" s="15">
        <f t="shared" si="383"/>
        <v>0</v>
      </c>
      <c r="O1691" s="15">
        <f t="shared" si="384"/>
        <v>0</v>
      </c>
      <c r="P1691" s="15">
        <f t="shared" si="385"/>
        <v>4.2696696500000026</v>
      </c>
      <c r="Q1691" s="14" t="str">
        <f>IF(M1691&gt;=I1691*'Hoja 4 - Cálculo'!$B$16,"Satisfactorio","Falla")</f>
        <v>Falla</v>
      </c>
      <c r="R1691" s="14">
        <f t="shared" si="388"/>
        <v>0</v>
      </c>
      <c r="S1691" s="14">
        <f t="shared" si="389"/>
        <v>1</v>
      </c>
    </row>
    <row r="1692" spans="1:19">
      <c r="A1692" s="14" t="str">
        <f t="shared" si="386"/>
        <v>SRY-5-3</v>
      </c>
      <c r="B1692" s="15">
        <f>'Curvas SRY'!$B$12</f>
        <v>10</v>
      </c>
      <c r="C1692" s="15">
        <f>'Curvas SRY'!$E$10</f>
        <v>1.25</v>
      </c>
      <c r="D1692" s="14" t="str">
        <f>'Curvas SRY'!$B$14</f>
        <v>Uso variable</v>
      </c>
      <c r="E1692" s="14">
        <f>9</f>
        <v>9</v>
      </c>
      <c r="F1692" s="21">
        <f>'Hoja 4 - Cálculo'!A33</f>
        <v>29830</v>
      </c>
      <c r="G1692" s="15">
        <f>'Hoja 4 - Cálculo'!H33</f>
        <v>22.070250000000001</v>
      </c>
      <c r="H1692" s="15">
        <f>IF(D1692="Uso único",'Hoja 4 - Cálculo'!I33,IF(D1692="Uso múltiple",AVERAGE('Hoja 4 - Cálculo'!$I$25:$I$384)+AVERAGE('Hoja 4 - Cálculo'!$J$25:$J$384)+AVERAGE('Hoja 4 - Cálculo'!$K$25:$K$384),IF(D1692="Uso prioritario",'Hoja 4 - Cálculo'!I33+'Hoja 4 - Cálculo'!K33,'Hoja 4 - Cálculo'!I33+'Hoja 4 - Cálculo'!J33+'Hoja 4 - Cálculo'!K33)))</f>
        <v>11.5</v>
      </c>
      <c r="I1692" s="15">
        <f t="shared" si="380"/>
        <v>14.375</v>
      </c>
      <c r="J1692" s="15">
        <f t="shared" si="387"/>
        <v>0</v>
      </c>
      <c r="K1692" s="15">
        <f>MIN(J1692+G1692,(J1692+G1692)*'Hoja 4 - Cálculo'!$B$15)</f>
        <v>0.44140500000000005</v>
      </c>
      <c r="L1692" s="15">
        <f t="shared" si="381"/>
        <v>21.628845000000002</v>
      </c>
      <c r="M1692" s="15">
        <f t="shared" si="382"/>
        <v>14.375</v>
      </c>
      <c r="N1692" s="15">
        <f t="shared" si="383"/>
        <v>7.2538450000000019</v>
      </c>
      <c r="O1692" s="15">
        <f t="shared" si="384"/>
        <v>0</v>
      </c>
      <c r="P1692" s="15">
        <f t="shared" si="385"/>
        <v>0</v>
      </c>
      <c r="Q1692" s="14" t="str">
        <f>IF(M1692&gt;=I1692*'Hoja 4 - Cálculo'!$B$16,"Satisfactorio","Falla")</f>
        <v>Satisfactorio</v>
      </c>
      <c r="R1692" s="14">
        <f t="shared" si="388"/>
        <v>1</v>
      </c>
      <c r="S1692" s="14">
        <f t="shared" si="389"/>
        <v>0</v>
      </c>
    </row>
    <row r="1693" spans="1:19">
      <c r="A1693" s="14" t="str">
        <f t="shared" si="386"/>
        <v>SRY-5-3</v>
      </c>
      <c r="B1693" s="15">
        <f>'Curvas SRY'!$B$12</f>
        <v>10</v>
      </c>
      <c r="C1693" s="15">
        <f>'Curvas SRY'!$E$10</f>
        <v>1.25</v>
      </c>
      <c r="D1693" s="14" t="str">
        <f>'Curvas SRY'!$B$14</f>
        <v>Uso variable</v>
      </c>
      <c r="E1693" s="14">
        <f>10</f>
        <v>10</v>
      </c>
      <c r="F1693" s="21">
        <f>'Hoja 4 - Cálculo'!A34</f>
        <v>29860</v>
      </c>
      <c r="G1693" s="15">
        <f>'Hoja 4 - Cálculo'!H34</f>
        <v>29.777625</v>
      </c>
      <c r="H1693" s="15">
        <f>IF(D1693="Uso único",'Hoja 4 - Cálculo'!I34,IF(D1693="Uso múltiple",AVERAGE('Hoja 4 - Cálculo'!$I$25:$I$384)+AVERAGE('Hoja 4 - Cálculo'!$J$25:$J$384)+AVERAGE('Hoja 4 - Cálculo'!$K$25:$K$384),IF(D1693="Uso prioritario",'Hoja 4 - Cálculo'!I34+'Hoja 4 - Cálculo'!K34,'Hoja 4 - Cálculo'!I34+'Hoja 4 - Cálculo'!J34+'Hoja 4 - Cálculo'!K34)))</f>
        <v>11.5</v>
      </c>
      <c r="I1693" s="15">
        <f t="shared" si="380"/>
        <v>14.375</v>
      </c>
      <c r="J1693" s="15">
        <f t="shared" si="387"/>
        <v>7.2538450000000019</v>
      </c>
      <c r="K1693" s="15">
        <f>MIN(J1693+G1693,(J1693+G1693)*'Hoja 4 - Cálculo'!$B$15)</f>
        <v>0.74062939999999999</v>
      </c>
      <c r="L1693" s="15">
        <f t="shared" si="381"/>
        <v>36.290840599999996</v>
      </c>
      <c r="M1693" s="15">
        <f t="shared" si="382"/>
        <v>14.375</v>
      </c>
      <c r="N1693" s="15">
        <f t="shared" si="383"/>
        <v>10</v>
      </c>
      <c r="O1693" s="15">
        <f t="shared" si="384"/>
        <v>11.915840599999996</v>
      </c>
      <c r="P1693" s="15">
        <f t="shared" si="385"/>
        <v>0</v>
      </c>
      <c r="Q1693" s="14" t="str">
        <f>IF(M1693&gt;=I1693*'Hoja 4 - Cálculo'!$B$16,"Satisfactorio","Falla")</f>
        <v>Satisfactorio</v>
      </c>
      <c r="R1693" s="14">
        <f t="shared" si="388"/>
        <v>0</v>
      </c>
      <c r="S1693" s="14">
        <f t="shared" si="389"/>
        <v>0</v>
      </c>
    </row>
    <row r="1694" spans="1:19">
      <c r="A1694" s="14" t="str">
        <f t="shared" si="386"/>
        <v>SRY-5-3</v>
      </c>
      <c r="B1694" s="15">
        <f>'Curvas SRY'!$B$12</f>
        <v>10</v>
      </c>
      <c r="C1694" s="15">
        <f>'Curvas SRY'!$E$10</f>
        <v>1.25</v>
      </c>
      <c r="D1694" s="14" t="str">
        <f>'Curvas SRY'!$B$14</f>
        <v>Uso variable</v>
      </c>
      <c r="E1694" s="14">
        <f>11</f>
        <v>11</v>
      </c>
      <c r="F1694" s="21">
        <f>'Hoja 4 - Cálculo'!A35</f>
        <v>29891</v>
      </c>
      <c r="G1694" s="15">
        <f>'Hoja 4 - Cálculo'!H35</f>
        <v>25.51275</v>
      </c>
      <c r="H1694" s="15">
        <f>IF(D1694="Uso único",'Hoja 4 - Cálculo'!I35,IF(D1694="Uso múltiple",AVERAGE('Hoja 4 - Cálculo'!$I$25:$I$384)+AVERAGE('Hoja 4 - Cálculo'!$J$25:$J$384)+AVERAGE('Hoja 4 - Cálculo'!$K$25:$K$384),IF(D1694="Uso prioritario",'Hoja 4 - Cálculo'!I35+'Hoja 4 - Cálculo'!K35,'Hoja 4 - Cálculo'!I35+'Hoja 4 - Cálculo'!J35+'Hoja 4 - Cálculo'!K35)))</f>
        <v>11.5</v>
      </c>
      <c r="I1694" s="15">
        <f t="shared" si="380"/>
        <v>14.375</v>
      </c>
      <c r="J1694" s="15">
        <f t="shared" si="387"/>
        <v>10</v>
      </c>
      <c r="K1694" s="15">
        <f>MIN(J1694+G1694,(J1694+G1694)*'Hoja 4 - Cálculo'!$B$15)</f>
        <v>0.71025499999999997</v>
      </c>
      <c r="L1694" s="15">
        <f t="shared" si="381"/>
        <v>34.802495</v>
      </c>
      <c r="M1694" s="15">
        <f t="shared" si="382"/>
        <v>14.375</v>
      </c>
      <c r="N1694" s="15">
        <f t="shared" si="383"/>
        <v>10</v>
      </c>
      <c r="O1694" s="15">
        <f t="shared" si="384"/>
        <v>10.427495</v>
      </c>
      <c r="P1694" s="15">
        <f t="shared" si="385"/>
        <v>0</v>
      </c>
      <c r="Q1694" s="14" t="str">
        <f>IF(M1694&gt;=I1694*'Hoja 4 - Cálculo'!$B$16,"Satisfactorio","Falla")</f>
        <v>Satisfactorio</v>
      </c>
      <c r="R1694" s="14">
        <f t="shared" si="388"/>
        <v>0</v>
      </c>
      <c r="S1694" s="14">
        <f t="shared" si="389"/>
        <v>0</v>
      </c>
    </row>
    <row r="1695" spans="1:19">
      <c r="A1695" s="14" t="str">
        <f t="shared" si="386"/>
        <v>SRY-5-3</v>
      </c>
      <c r="B1695" s="15">
        <f>'Curvas SRY'!$B$12</f>
        <v>10</v>
      </c>
      <c r="C1695" s="15">
        <f>'Curvas SRY'!$E$10</f>
        <v>1.25</v>
      </c>
      <c r="D1695" s="14" t="str">
        <f>'Curvas SRY'!$B$14</f>
        <v>Uso variable</v>
      </c>
      <c r="E1695" s="14">
        <f>12</f>
        <v>12</v>
      </c>
      <c r="F1695" s="21">
        <f>'Hoja 4 - Cálculo'!A36</f>
        <v>29921</v>
      </c>
      <c r="G1695" s="15">
        <f>'Hoja 4 - Cálculo'!H36</f>
        <v>15.3765</v>
      </c>
      <c r="H1695" s="15">
        <f>IF(D1695="Uso único",'Hoja 4 - Cálculo'!I36,IF(D1695="Uso múltiple",AVERAGE('Hoja 4 - Cálculo'!$I$25:$I$384)+AVERAGE('Hoja 4 - Cálculo'!$J$25:$J$384)+AVERAGE('Hoja 4 - Cálculo'!$K$25:$K$384),IF(D1695="Uso prioritario",'Hoja 4 - Cálculo'!I36+'Hoja 4 - Cálculo'!K36,'Hoja 4 - Cálculo'!I36+'Hoja 4 - Cálculo'!J36+'Hoja 4 - Cálculo'!K36)))</f>
        <v>16</v>
      </c>
      <c r="I1695" s="15">
        <f t="shared" si="380"/>
        <v>20</v>
      </c>
      <c r="J1695" s="15">
        <f t="shared" si="387"/>
        <v>10</v>
      </c>
      <c r="K1695" s="15">
        <f>MIN(J1695+G1695,(J1695+G1695)*'Hoja 4 - Cálculo'!$B$15)</f>
        <v>0.50753000000000004</v>
      </c>
      <c r="L1695" s="15">
        <f t="shared" si="381"/>
        <v>24.868970000000001</v>
      </c>
      <c r="M1695" s="15">
        <f t="shared" si="382"/>
        <v>20</v>
      </c>
      <c r="N1695" s="15">
        <f t="shared" si="383"/>
        <v>4.8689700000000009</v>
      </c>
      <c r="O1695" s="15">
        <f t="shared" si="384"/>
        <v>0</v>
      </c>
      <c r="P1695" s="15">
        <f t="shared" si="385"/>
        <v>0</v>
      </c>
      <c r="Q1695" s="14" t="str">
        <f>IF(M1695&gt;=I1695*'Hoja 4 - Cálculo'!$B$16,"Satisfactorio","Falla")</f>
        <v>Satisfactorio</v>
      </c>
      <c r="R1695" s="14">
        <f t="shared" si="388"/>
        <v>0</v>
      </c>
      <c r="S1695" s="14">
        <f t="shared" si="389"/>
        <v>0</v>
      </c>
    </row>
    <row r="1696" spans="1:19">
      <c r="A1696" s="14" t="str">
        <f t="shared" si="386"/>
        <v>SRY-5-3</v>
      </c>
      <c r="B1696" s="15">
        <f>'Curvas SRY'!$B$12</f>
        <v>10</v>
      </c>
      <c r="C1696" s="15">
        <f>'Curvas SRY'!$E$10</f>
        <v>1.25</v>
      </c>
      <c r="D1696" s="14" t="str">
        <f>'Curvas SRY'!$B$14</f>
        <v>Uso variable</v>
      </c>
      <c r="E1696" s="14">
        <f>13</f>
        <v>13</v>
      </c>
      <c r="F1696" s="21">
        <f>'Hoja 4 - Cálculo'!A37</f>
        <v>29952</v>
      </c>
      <c r="G1696" s="15">
        <f>'Hoja 4 - Cálculo'!H37</f>
        <v>13.808249999999999</v>
      </c>
      <c r="H1696" s="15">
        <f>IF(D1696="Uso único",'Hoja 4 - Cálculo'!I37,IF(D1696="Uso múltiple",AVERAGE('Hoja 4 - Cálculo'!$I$25:$I$384)+AVERAGE('Hoja 4 - Cálculo'!$J$25:$J$384)+AVERAGE('Hoja 4 - Cálculo'!$K$25:$K$384),IF(D1696="Uso prioritario",'Hoja 4 - Cálculo'!I37+'Hoja 4 - Cálculo'!K37,'Hoja 4 - Cálculo'!I37+'Hoja 4 - Cálculo'!J37+'Hoja 4 - Cálculo'!K37)))</f>
        <v>16</v>
      </c>
      <c r="I1696" s="15">
        <f t="shared" si="380"/>
        <v>20</v>
      </c>
      <c r="J1696" s="15">
        <f t="shared" si="387"/>
        <v>4.8689700000000009</v>
      </c>
      <c r="K1696" s="15">
        <f>MIN(J1696+G1696,(J1696+G1696)*'Hoja 4 - Cálculo'!$B$15)</f>
        <v>0.3735444</v>
      </c>
      <c r="L1696" s="15">
        <f t="shared" si="381"/>
        <v>18.303675599999998</v>
      </c>
      <c r="M1696" s="15">
        <f t="shared" si="382"/>
        <v>18.303675599999998</v>
      </c>
      <c r="N1696" s="15">
        <f t="shared" si="383"/>
        <v>0</v>
      </c>
      <c r="O1696" s="15">
        <f t="shared" si="384"/>
        <v>0</v>
      </c>
      <c r="P1696" s="15">
        <f t="shared" si="385"/>
        <v>1.6963244000000017</v>
      </c>
      <c r="Q1696" s="14" t="str">
        <f>IF(M1696&gt;=I1696*'Hoja 4 - Cálculo'!$B$16,"Satisfactorio","Falla")</f>
        <v>Falla</v>
      </c>
      <c r="R1696" s="14">
        <f t="shared" si="388"/>
        <v>0</v>
      </c>
      <c r="S1696" s="14">
        <f t="shared" si="389"/>
        <v>1</v>
      </c>
    </row>
    <row r="1697" spans="1:19">
      <c r="A1697" s="14" t="str">
        <f t="shared" si="386"/>
        <v>SRY-5-3</v>
      </c>
      <c r="B1697" s="15">
        <f>'Curvas SRY'!$B$12</f>
        <v>10</v>
      </c>
      <c r="C1697" s="15">
        <f>'Curvas SRY'!$E$10</f>
        <v>1.25</v>
      </c>
      <c r="D1697" s="14" t="str">
        <f>'Curvas SRY'!$B$14</f>
        <v>Uso variable</v>
      </c>
      <c r="E1697" s="14">
        <f>14</f>
        <v>14</v>
      </c>
      <c r="F1697" s="21">
        <f>'Hoja 4 - Cálculo'!A38</f>
        <v>29983</v>
      </c>
      <c r="G1697" s="15">
        <f>'Hoja 4 - Cálculo'!H38</f>
        <v>15.472125</v>
      </c>
      <c r="H1697" s="15">
        <f>IF(D1697="Uso único",'Hoja 4 - Cálculo'!I38,IF(D1697="Uso múltiple",AVERAGE('Hoja 4 - Cálculo'!$I$25:$I$384)+AVERAGE('Hoja 4 - Cálculo'!$J$25:$J$384)+AVERAGE('Hoja 4 - Cálculo'!$K$25:$K$384),IF(D1697="Uso prioritario",'Hoja 4 - Cálculo'!I38+'Hoja 4 - Cálculo'!K38,'Hoja 4 - Cálculo'!I38+'Hoja 4 - Cálculo'!J38+'Hoja 4 - Cálculo'!K38)))</f>
        <v>16</v>
      </c>
      <c r="I1697" s="15">
        <f t="shared" si="380"/>
        <v>20</v>
      </c>
      <c r="J1697" s="15">
        <f t="shared" si="387"/>
        <v>0</v>
      </c>
      <c r="K1697" s="15">
        <f>MIN(J1697+G1697,(J1697+G1697)*'Hoja 4 - Cálculo'!$B$15)</f>
        <v>0.30944250000000001</v>
      </c>
      <c r="L1697" s="15">
        <f t="shared" si="381"/>
        <v>15.162682500000001</v>
      </c>
      <c r="M1697" s="15">
        <f t="shared" si="382"/>
        <v>15.162682500000001</v>
      </c>
      <c r="N1697" s="15">
        <f t="shared" si="383"/>
        <v>0</v>
      </c>
      <c r="O1697" s="15">
        <f t="shared" si="384"/>
        <v>0</v>
      </c>
      <c r="P1697" s="15">
        <f t="shared" si="385"/>
        <v>4.8373174999999993</v>
      </c>
      <c r="Q1697" s="14" t="str">
        <f>IF(M1697&gt;=I1697*'Hoja 4 - Cálculo'!$B$16,"Satisfactorio","Falla")</f>
        <v>Falla</v>
      </c>
      <c r="R1697" s="14">
        <f t="shared" si="388"/>
        <v>0</v>
      </c>
      <c r="S1697" s="14">
        <f t="shared" si="389"/>
        <v>0</v>
      </c>
    </row>
    <row r="1698" spans="1:19">
      <c r="A1698" s="14" t="str">
        <f t="shared" si="386"/>
        <v>SRY-5-3</v>
      </c>
      <c r="B1698" s="15">
        <f>'Curvas SRY'!$B$12</f>
        <v>10</v>
      </c>
      <c r="C1698" s="15">
        <f>'Curvas SRY'!$E$10</f>
        <v>1.25</v>
      </c>
      <c r="D1698" s="14" t="str">
        <f>'Curvas SRY'!$B$14</f>
        <v>Uso variable</v>
      </c>
      <c r="E1698" s="14">
        <f>15</f>
        <v>15</v>
      </c>
      <c r="F1698" s="21">
        <f>'Hoja 4 - Cálculo'!A39</f>
        <v>30011</v>
      </c>
      <c r="G1698" s="15">
        <f>'Hoja 4 - Cálculo'!H39</f>
        <v>22.338000000000001</v>
      </c>
      <c r="H1698" s="15">
        <f>IF(D1698="Uso único",'Hoja 4 - Cálculo'!I39,IF(D1698="Uso múltiple",AVERAGE('Hoja 4 - Cálculo'!$I$25:$I$384)+AVERAGE('Hoja 4 - Cálculo'!$J$25:$J$384)+AVERAGE('Hoja 4 - Cálculo'!$K$25:$K$384),IF(D1698="Uso prioritario",'Hoja 4 - Cálculo'!I39+'Hoja 4 - Cálculo'!K39,'Hoja 4 - Cálculo'!I39+'Hoja 4 - Cálculo'!J39+'Hoja 4 - Cálculo'!K39)))</f>
        <v>16</v>
      </c>
      <c r="I1698" s="15">
        <f t="shared" si="380"/>
        <v>20</v>
      </c>
      <c r="J1698" s="15">
        <f t="shared" si="387"/>
        <v>0</v>
      </c>
      <c r="K1698" s="15">
        <f>MIN(J1698+G1698,(J1698+G1698)*'Hoja 4 - Cálculo'!$B$15)</f>
        <v>0.44676000000000005</v>
      </c>
      <c r="L1698" s="15">
        <f t="shared" si="381"/>
        <v>21.89124</v>
      </c>
      <c r="M1698" s="15">
        <f t="shared" si="382"/>
        <v>20</v>
      </c>
      <c r="N1698" s="15">
        <f t="shared" si="383"/>
        <v>1.8912399999999998</v>
      </c>
      <c r="O1698" s="15">
        <f t="shared" si="384"/>
        <v>0</v>
      </c>
      <c r="P1698" s="15">
        <f t="shared" si="385"/>
        <v>0</v>
      </c>
      <c r="Q1698" s="14" t="str">
        <f>IF(M1698&gt;=I1698*'Hoja 4 - Cálculo'!$B$16,"Satisfactorio","Falla")</f>
        <v>Satisfactorio</v>
      </c>
      <c r="R1698" s="14">
        <f t="shared" si="388"/>
        <v>1</v>
      </c>
      <c r="S1698" s="14">
        <f t="shared" si="389"/>
        <v>0</v>
      </c>
    </row>
    <row r="1699" spans="1:19">
      <c r="A1699" s="14" t="str">
        <f t="shared" si="386"/>
        <v>SRY-5-3</v>
      </c>
      <c r="B1699" s="15">
        <f>'Curvas SRY'!$B$12</f>
        <v>10</v>
      </c>
      <c r="C1699" s="15">
        <f>'Curvas SRY'!$E$10</f>
        <v>1.25</v>
      </c>
      <c r="D1699" s="14" t="str">
        <f>'Curvas SRY'!$B$14</f>
        <v>Uso variable</v>
      </c>
      <c r="E1699" s="14">
        <f>16</f>
        <v>16</v>
      </c>
      <c r="F1699" s="21">
        <f>'Hoja 4 - Cálculo'!A40</f>
        <v>30042</v>
      </c>
      <c r="G1699" s="15">
        <f>'Hoja 4 - Cálculo'!H40</f>
        <v>31.670999999999999</v>
      </c>
      <c r="H1699" s="15">
        <f>IF(D1699="Uso único",'Hoja 4 - Cálculo'!I40,IF(D1699="Uso múltiple",AVERAGE('Hoja 4 - Cálculo'!$I$25:$I$384)+AVERAGE('Hoja 4 - Cálculo'!$J$25:$J$384)+AVERAGE('Hoja 4 - Cálculo'!$K$25:$K$384),IF(D1699="Uso prioritario",'Hoja 4 - Cálculo'!I40+'Hoja 4 - Cálculo'!K40,'Hoja 4 - Cálculo'!I40+'Hoja 4 - Cálculo'!J40+'Hoja 4 - Cálculo'!K40)))</f>
        <v>11.5</v>
      </c>
      <c r="I1699" s="15">
        <f t="shared" si="380"/>
        <v>14.375</v>
      </c>
      <c r="J1699" s="15">
        <f t="shared" si="387"/>
        <v>1.8912399999999998</v>
      </c>
      <c r="K1699" s="15">
        <f>MIN(J1699+G1699,(J1699+G1699)*'Hoja 4 - Cálculo'!$B$15)</f>
        <v>0.67124480000000009</v>
      </c>
      <c r="L1699" s="15">
        <f t="shared" si="381"/>
        <v>32.890995200000006</v>
      </c>
      <c r="M1699" s="15">
        <f t="shared" si="382"/>
        <v>14.375</v>
      </c>
      <c r="N1699" s="15">
        <f t="shared" si="383"/>
        <v>10</v>
      </c>
      <c r="O1699" s="15">
        <f t="shared" si="384"/>
        <v>8.5159952000000061</v>
      </c>
      <c r="P1699" s="15">
        <f t="shared" si="385"/>
        <v>0</v>
      </c>
      <c r="Q1699" s="14" t="str">
        <f>IF(M1699&gt;=I1699*'Hoja 4 - Cálculo'!$B$16,"Satisfactorio","Falla")</f>
        <v>Satisfactorio</v>
      </c>
      <c r="R1699" s="14">
        <f t="shared" si="388"/>
        <v>0</v>
      </c>
      <c r="S1699" s="14">
        <f t="shared" si="389"/>
        <v>0</v>
      </c>
    </row>
    <row r="1700" spans="1:19">
      <c r="A1700" s="14" t="str">
        <f t="shared" si="386"/>
        <v>SRY-5-3</v>
      </c>
      <c r="B1700" s="15">
        <f>'Curvas SRY'!$B$12</f>
        <v>10</v>
      </c>
      <c r="C1700" s="15">
        <f>'Curvas SRY'!$E$10</f>
        <v>1.25</v>
      </c>
      <c r="D1700" s="14" t="str">
        <f>'Curvas SRY'!$B$14</f>
        <v>Uso variable</v>
      </c>
      <c r="E1700" s="14">
        <f>17</f>
        <v>17</v>
      </c>
      <c r="F1700" s="21">
        <f>'Hoja 4 - Cálculo'!A41</f>
        <v>30072</v>
      </c>
      <c r="G1700" s="15">
        <f>'Hoja 4 - Cálculo'!H41</f>
        <v>29.299499999999998</v>
      </c>
      <c r="H1700" s="15">
        <f>IF(D1700="Uso único",'Hoja 4 - Cálculo'!I41,IF(D1700="Uso múltiple",AVERAGE('Hoja 4 - Cálculo'!$I$25:$I$384)+AVERAGE('Hoja 4 - Cálculo'!$J$25:$J$384)+AVERAGE('Hoja 4 - Cálculo'!$K$25:$K$384),IF(D1700="Uso prioritario",'Hoja 4 - Cálculo'!I41+'Hoja 4 - Cálculo'!K41,'Hoja 4 - Cálculo'!I41+'Hoja 4 - Cálculo'!J41+'Hoja 4 - Cálculo'!K41)))</f>
        <v>11.5</v>
      </c>
      <c r="I1700" s="15">
        <f t="shared" si="380"/>
        <v>14.375</v>
      </c>
      <c r="J1700" s="15">
        <f t="shared" si="387"/>
        <v>10</v>
      </c>
      <c r="K1700" s="15">
        <f>MIN(J1700+G1700,(J1700+G1700)*'Hoja 4 - Cálculo'!$B$15)</f>
        <v>0.78598999999999997</v>
      </c>
      <c r="L1700" s="15">
        <f t="shared" si="381"/>
        <v>38.513509999999997</v>
      </c>
      <c r="M1700" s="15">
        <f t="shared" si="382"/>
        <v>14.375</v>
      </c>
      <c r="N1700" s="15">
        <f t="shared" si="383"/>
        <v>10</v>
      </c>
      <c r="O1700" s="15">
        <f t="shared" si="384"/>
        <v>14.138509999999997</v>
      </c>
      <c r="P1700" s="15">
        <f t="shared" si="385"/>
        <v>0</v>
      </c>
      <c r="Q1700" s="14" t="str">
        <f>IF(M1700&gt;=I1700*'Hoja 4 - Cálculo'!$B$16,"Satisfactorio","Falla")</f>
        <v>Satisfactorio</v>
      </c>
      <c r="R1700" s="14">
        <f t="shared" si="388"/>
        <v>0</v>
      </c>
      <c r="S1700" s="14">
        <f t="shared" si="389"/>
        <v>0</v>
      </c>
    </row>
    <row r="1701" spans="1:19">
      <c r="A1701" s="14" t="str">
        <f t="shared" si="386"/>
        <v>SRY-5-3</v>
      </c>
      <c r="B1701" s="15">
        <f>'Curvas SRY'!$B$12</f>
        <v>10</v>
      </c>
      <c r="C1701" s="15">
        <f>'Curvas SRY'!$E$10</f>
        <v>1.25</v>
      </c>
      <c r="D1701" s="14" t="str">
        <f>'Curvas SRY'!$B$14</f>
        <v>Uso variable</v>
      </c>
      <c r="E1701" s="14">
        <f>18</f>
        <v>18</v>
      </c>
      <c r="F1701" s="21">
        <f>'Hoja 4 - Cálculo'!A42</f>
        <v>30103</v>
      </c>
      <c r="G1701" s="15">
        <f>'Hoja 4 - Cálculo'!H42</f>
        <v>18.321750000000002</v>
      </c>
      <c r="H1701" s="15">
        <f>IF(D1701="Uso único",'Hoja 4 - Cálculo'!I42,IF(D1701="Uso múltiple",AVERAGE('Hoja 4 - Cálculo'!$I$25:$I$384)+AVERAGE('Hoja 4 - Cálculo'!$J$25:$J$384)+AVERAGE('Hoja 4 - Cálculo'!$K$25:$K$384),IF(D1701="Uso prioritario",'Hoja 4 - Cálculo'!I42+'Hoja 4 - Cálculo'!K42,'Hoja 4 - Cálculo'!I42+'Hoja 4 - Cálculo'!J42+'Hoja 4 - Cálculo'!K42)))</f>
        <v>11.5</v>
      </c>
      <c r="I1701" s="15">
        <f t="shared" si="380"/>
        <v>14.375</v>
      </c>
      <c r="J1701" s="15">
        <f t="shared" si="387"/>
        <v>10</v>
      </c>
      <c r="K1701" s="15">
        <f>MIN(J1701+G1701,(J1701+G1701)*'Hoja 4 - Cálculo'!$B$15)</f>
        <v>0.56643500000000002</v>
      </c>
      <c r="L1701" s="15">
        <f t="shared" si="381"/>
        <v>27.755315000000003</v>
      </c>
      <c r="M1701" s="15">
        <f t="shared" si="382"/>
        <v>14.375</v>
      </c>
      <c r="N1701" s="15">
        <f t="shared" si="383"/>
        <v>10</v>
      </c>
      <c r="O1701" s="15">
        <f t="shared" si="384"/>
        <v>3.3803150000000031</v>
      </c>
      <c r="P1701" s="15">
        <f t="shared" si="385"/>
        <v>0</v>
      </c>
      <c r="Q1701" s="14" t="str">
        <f>IF(M1701&gt;=I1701*'Hoja 4 - Cálculo'!$B$16,"Satisfactorio","Falla")</f>
        <v>Satisfactorio</v>
      </c>
      <c r="R1701" s="14">
        <f t="shared" si="388"/>
        <v>0</v>
      </c>
      <c r="S1701" s="14">
        <f t="shared" si="389"/>
        <v>0</v>
      </c>
    </row>
    <row r="1702" spans="1:19">
      <c r="A1702" s="14" t="str">
        <f t="shared" si="386"/>
        <v>SRY-5-3</v>
      </c>
      <c r="B1702" s="15">
        <f>'Curvas SRY'!$B$12</f>
        <v>10</v>
      </c>
      <c r="C1702" s="15">
        <f>'Curvas SRY'!$E$10</f>
        <v>1.25</v>
      </c>
      <c r="D1702" s="14" t="str">
        <f>'Curvas SRY'!$B$14</f>
        <v>Uso variable</v>
      </c>
      <c r="E1702" s="14">
        <f>19</f>
        <v>19</v>
      </c>
      <c r="F1702" s="21">
        <f>'Hoja 4 - Cálculo'!A43</f>
        <v>30133</v>
      </c>
      <c r="G1702" s="15">
        <f>'Hoja 4 - Cálculo'!H43</f>
        <v>15.3765</v>
      </c>
      <c r="H1702" s="15">
        <f>IF(D1702="Uso único",'Hoja 4 - Cálculo'!I43,IF(D1702="Uso múltiple",AVERAGE('Hoja 4 - Cálculo'!$I$25:$I$384)+AVERAGE('Hoja 4 - Cálculo'!$J$25:$J$384)+AVERAGE('Hoja 4 - Cálculo'!$K$25:$K$384),IF(D1702="Uso prioritario",'Hoja 4 - Cálculo'!I43+'Hoja 4 - Cálculo'!K43,'Hoja 4 - Cálculo'!I43+'Hoja 4 - Cálculo'!J43+'Hoja 4 - Cálculo'!K43)))</f>
        <v>16</v>
      </c>
      <c r="I1702" s="15">
        <f t="shared" si="380"/>
        <v>20</v>
      </c>
      <c r="J1702" s="15">
        <f t="shared" si="387"/>
        <v>10</v>
      </c>
      <c r="K1702" s="15">
        <f>MIN(J1702+G1702,(J1702+G1702)*'Hoja 4 - Cálculo'!$B$15)</f>
        <v>0.50753000000000004</v>
      </c>
      <c r="L1702" s="15">
        <f t="shared" si="381"/>
        <v>24.868970000000001</v>
      </c>
      <c r="M1702" s="15">
        <f t="shared" si="382"/>
        <v>20</v>
      </c>
      <c r="N1702" s="15">
        <f t="shared" si="383"/>
        <v>4.8689700000000009</v>
      </c>
      <c r="O1702" s="15">
        <f t="shared" si="384"/>
        <v>0</v>
      </c>
      <c r="P1702" s="15">
        <f t="shared" si="385"/>
        <v>0</v>
      </c>
      <c r="Q1702" s="14" t="str">
        <f>IF(M1702&gt;=I1702*'Hoja 4 - Cálculo'!$B$16,"Satisfactorio","Falla")</f>
        <v>Satisfactorio</v>
      </c>
      <c r="R1702" s="14">
        <f t="shared" si="388"/>
        <v>0</v>
      </c>
      <c r="S1702" s="14">
        <f t="shared" si="389"/>
        <v>0</v>
      </c>
    </row>
    <row r="1703" spans="1:19">
      <c r="A1703" s="14" t="str">
        <f t="shared" si="386"/>
        <v>SRY-5-3</v>
      </c>
      <c r="B1703" s="15">
        <f>'Curvas SRY'!$B$12</f>
        <v>10</v>
      </c>
      <c r="C1703" s="15">
        <f>'Curvas SRY'!$E$10</f>
        <v>1.25</v>
      </c>
      <c r="D1703" s="14" t="str">
        <f>'Curvas SRY'!$B$14</f>
        <v>Uso variable</v>
      </c>
      <c r="E1703" s="14">
        <f>20</f>
        <v>20</v>
      </c>
      <c r="F1703" s="21">
        <f>'Hoja 4 - Cálculo'!A44</f>
        <v>30164</v>
      </c>
      <c r="G1703" s="15">
        <f>'Hoja 4 - Cálculo'!H44</f>
        <v>16.466625000000001</v>
      </c>
      <c r="H1703" s="15">
        <f>IF(D1703="Uso único",'Hoja 4 - Cálculo'!I44,IF(D1703="Uso múltiple",AVERAGE('Hoja 4 - Cálculo'!$I$25:$I$384)+AVERAGE('Hoja 4 - Cálculo'!$J$25:$J$384)+AVERAGE('Hoja 4 - Cálculo'!$K$25:$K$384),IF(D1703="Uso prioritario",'Hoja 4 - Cálculo'!I44+'Hoja 4 - Cálculo'!K44,'Hoja 4 - Cálculo'!I44+'Hoja 4 - Cálculo'!J44+'Hoja 4 - Cálculo'!K44)))</f>
        <v>16</v>
      </c>
      <c r="I1703" s="15">
        <f t="shared" si="380"/>
        <v>20</v>
      </c>
      <c r="J1703" s="15">
        <f t="shared" si="387"/>
        <v>4.8689700000000009</v>
      </c>
      <c r="K1703" s="15">
        <f>MIN(J1703+G1703,(J1703+G1703)*'Hoja 4 - Cálculo'!$B$15)</f>
        <v>0.42671190000000003</v>
      </c>
      <c r="L1703" s="15">
        <f t="shared" si="381"/>
        <v>20.908883100000001</v>
      </c>
      <c r="M1703" s="15">
        <f t="shared" si="382"/>
        <v>20</v>
      </c>
      <c r="N1703" s="15">
        <f t="shared" si="383"/>
        <v>0.90888310000000061</v>
      </c>
      <c r="O1703" s="15">
        <f t="shared" si="384"/>
        <v>0</v>
      </c>
      <c r="P1703" s="15">
        <f t="shared" si="385"/>
        <v>0</v>
      </c>
      <c r="Q1703" s="14" t="str">
        <f>IF(M1703&gt;=I1703*'Hoja 4 - Cálculo'!$B$16,"Satisfactorio","Falla")</f>
        <v>Satisfactorio</v>
      </c>
      <c r="R1703" s="14">
        <f t="shared" si="388"/>
        <v>0</v>
      </c>
      <c r="S1703" s="14">
        <f t="shared" si="389"/>
        <v>0</v>
      </c>
    </row>
    <row r="1704" spans="1:19">
      <c r="A1704" s="14" t="str">
        <f t="shared" si="386"/>
        <v>SRY-5-3</v>
      </c>
      <c r="B1704" s="15">
        <f>'Curvas SRY'!$B$12</f>
        <v>10</v>
      </c>
      <c r="C1704" s="15">
        <f>'Curvas SRY'!$E$10</f>
        <v>1.25</v>
      </c>
      <c r="D1704" s="14" t="str">
        <f>'Curvas SRY'!$B$14</f>
        <v>Uso variable</v>
      </c>
      <c r="E1704" s="14">
        <f>21</f>
        <v>21</v>
      </c>
      <c r="F1704" s="21">
        <f>'Hoja 4 - Cálculo'!A45</f>
        <v>30195</v>
      </c>
      <c r="G1704" s="15">
        <f>'Hoja 4 - Cálculo'!H45</f>
        <v>25.837875</v>
      </c>
      <c r="H1704" s="15">
        <f>IF(D1704="Uso único",'Hoja 4 - Cálculo'!I45,IF(D1704="Uso múltiple",AVERAGE('Hoja 4 - Cálculo'!$I$25:$I$384)+AVERAGE('Hoja 4 - Cálculo'!$J$25:$J$384)+AVERAGE('Hoja 4 - Cálculo'!$K$25:$K$384),IF(D1704="Uso prioritario",'Hoja 4 - Cálculo'!I45+'Hoja 4 - Cálculo'!K45,'Hoja 4 - Cálculo'!I45+'Hoja 4 - Cálculo'!J45+'Hoja 4 - Cálculo'!K45)))</f>
        <v>11.5</v>
      </c>
      <c r="I1704" s="15">
        <f t="shared" si="380"/>
        <v>14.375</v>
      </c>
      <c r="J1704" s="15">
        <f t="shared" si="387"/>
        <v>0.90888310000000061</v>
      </c>
      <c r="K1704" s="15">
        <f>MIN(J1704+G1704,(J1704+G1704)*'Hoja 4 - Cálculo'!$B$15)</f>
        <v>0.53493516200000002</v>
      </c>
      <c r="L1704" s="15">
        <f t="shared" si="381"/>
        <v>26.211822938000001</v>
      </c>
      <c r="M1704" s="15">
        <f t="shared" si="382"/>
        <v>14.375</v>
      </c>
      <c r="N1704" s="15">
        <f t="shared" si="383"/>
        <v>10</v>
      </c>
      <c r="O1704" s="15">
        <f t="shared" si="384"/>
        <v>1.836822938000001</v>
      </c>
      <c r="P1704" s="15">
        <f t="shared" si="385"/>
        <v>0</v>
      </c>
      <c r="Q1704" s="14" t="str">
        <f>IF(M1704&gt;=I1704*'Hoja 4 - Cálculo'!$B$16,"Satisfactorio","Falla")</f>
        <v>Satisfactorio</v>
      </c>
      <c r="R1704" s="14">
        <f t="shared" si="388"/>
        <v>0</v>
      </c>
      <c r="S1704" s="14">
        <f t="shared" si="389"/>
        <v>0</v>
      </c>
    </row>
    <row r="1705" spans="1:19">
      <c r="A1705" s="14" t="str">
        <f t="shared" si="386"/>
        <v>SRY-5-3</v>
      </c>
      <c r="B1705" s="15">
        <f>'Curvas SRY'!$B$12</f>
        <v>10</v>
      </c>
      <c r="C1705" s="15">
        <f>'Curvas SRY'!$E$10</f>
        <v>1.25</v>
      </c>
      <c r="D1705" s="14" t="str">
        <f>'Curvas SRY'!$B$14</f>
        <v>Uso variable</v>
      </c>
      <c r="E1705" s="14">
        <f>22</f>
        <v>22</v>
      </c>
      <c r="F1705" s="21">
        <f>'Hoja 4 - Cálculo'!A46</f>
        <v>30225</v>
      </c>
      <c r="G1705" s="15">
        <f>'Hoja 4 - Cálculo'!H46</f>
        <v>33.46875</v>
      </c>
      <c r="H1705" s="15">
        <f>IF(D1705="Uso único",'Hoja 4 - Cálculo'!I46,IF(D1705="Uso múltiple",AVERAGE('Hoja 4 - Cálculo'!$I$25:$I$384)+AVERAGE('Hoja 4 - Cálculo'!$J$25:$J$384)+AVERAGE('Hoja 4 - Cálculo'!$K$25:$K$384),IF(D1705="Uso prioritario",'Hoja 4 - Cálculo'!I46+'Hoja 4 - Cálculo'!K46,'Hoja 4 - Cálculo'!I46+'Hoja 4 - Cálculo'!J46+'Hoja 4 - Cálculo'!K46)))</f>
        <v>11.5</v>
      </c>
      <c r="I1705" s="15">
        <f t="shared" si="380"/>
        <v>14.375</v>
      </c>
      <c r="J1705" s="15">
        <f t="shared" si="387"/>
        <v>10</v>
      </c>
      <c r="K1705" s="15">
        <f>MIN(J1705+G1705,(J1705+G1705)*'Hoja 4 - Cálculo'!$B$15)</f>
        <v>0.86937500000000001</v>
      </c>
      <c r="L1705" s="15">
        <f t="shared" si="381"/>
        <v>42.599375000000002</v>
      </c>
      <c r="M1705" s="15">
        <f t="shared" si="382"/>
        <v>14.375</v>
      </c>
      <c r="N1705" s="15">
        <f t="shared" si="383"/>
        <v>10</v>
      </c>
      <c r="O1705" s="15">
        <f t="shared" si="384"/>
        <v>18.224375000000002</v>
      </c>
      <c r="P1705" s="15">
        <f t="shared" si="385"/>
        <v>0</v>
      </c>
      <c r="Q1705" s="14" t="str">
        <f>IF(M1705&gt;=I1705*'Hoja 4 - Cálculo'!$B$16,"Satisfactorio","Falla")</f>
        <v>Satisfactorio</v>
      </c>
      <c r="R1705" s="14">
        <f t="shared" si="388"/>
        <v>0</v>
      </c>
      <c r="S1705" s="14">
        <f t="shared" si="389"/>
        <v>0</v>
      </c>
    </row>
    <row r="1706" spans="1:19">
      <c r="A1706" s="14" t="str">
        <f t="shared" si="386"/>
        <v>SRY-5-3</v>
      </c>
      <c r="B1706" s="15">
        <f>'Curvas SRY'!$B$12</f>
        <v>10</v>
      </c>
      <c r="C1706" s="15">
        <f>'Curvas SRY'!$E$10</f>
        <v>1.25</v>
      </c>
      <c r="D1706" s="14" t="str">
        <f>'Curvas SRY'!$B$14</f>
        <v>Uso variable</v>
      </c>
      <c r="E1706" s="14">
        <f>23</f>
        <v>23</v>
      </c>
      <c r="F1706" s="21">
        <f>'Hoja 4 - Cálculo'!A47</f>
        <v>30256</v>
      </c>
      <c r="G1706" s="15">
        <f>'Hoja 4 - Cálculo'!H47</f>
        <v>27.578250000000001</v>
      </c>
      <c r="H1706" s="15">
        <f>IF(D1706="Uso único",'Hoja 4 - Cálculo'!I47,IF(D1706="Uso múltiple",AVERAGE('Hoja 4 - Cálculo'!$I$25:$I$384)+AVERAGE('Hoja 4 - Cálculo'!$J$25:$J$384)+AVERAGE('Hoja 4 - Cálculo'!$K$25:$K$384),IF(D1706="Uso prioritario",'Hoja 4 - Cálculo'!I47+'Hoja 4 - Cálculo'!K47,'Hoja 4 - Cálculo'!I47+'Hoja 4 - Cálculo'!J47+'Hoja 4 - Cálculo'!K47)))</f>
        <v>11.5</v>
      </c>
      <c r="I1706" s="15">
        <f t="shared" si="380"/>
        <v>14.375</v>
      </c>
      <c r="J1706" s="15">
        <f t="shared" si="387"/>
        <v>10</v>
      </c>
      <c r="K1706" s="15">
        <f>MIN(J1706+G1706,(J1706+G1706)*'Hoja 4 - Cálculo'!$B$15)</f>
        <v>0.75156499999999993</v>
      </c>
      <c r="L1706" s="15">
        <f t="shared" si="381"/>
        <v>36.826684999999998</v>
      </c>
      <c r="M1706" s="15">
        <f t="shared" si="382"/>
        <v>14.375</v>
      </c>
      <c r="N1706" s="15">
        <f t="shared" si="383"/>
        <v>10</v>
      </c>
      <c r="O1706" s="15">
        <f t="shared" si="384"/>
        <v>12.451684999999998</v>
      </c>
      <c r="P1706" s="15">
        <f t="shared" si="385"/>
        <v>0</v>
      </c>
      <c r="Q1706" s="14" t="str">
        <f>IF(M1706&gt;=I1706*'Hoja 4 - Cálculo'!$B$16,"Satisfactorio","Falla")</f>
        <v>Satisfactorio</v>
      </c>
      <c r="R1706" s="14">
        <f t="shared" si="388"/>
        <v>0</v>
      </c>
      <c r="S1706" s="14">
        <f t="shared" si="389"/>
        <v>0</v>
      </c>
    </row>
    <row r="1707" spans="1:19">
      <c r="A1707" s="14" t="str">
        <f t="shared" si="386"/>
        <v>SRY-5-3</v>
      </c>
      <c r="B1707" s="15">
        <f>'Curvas SRY'!$B$12</f>
        <v>10</v>
      </c>
      <c r="C1707" s="15">
        <f>'Curvas SRY'!$E$10</f>
        <v>1.25</v>
      </c>
      <c r="D1707" s="14" t="str">
        <f>'Curvas SRY'!$B$14</f>
        <v>Uso variable</v>
      </c>
      <c r="E1707" s="14">
        <f>24</f>
        <v>24</v>
      </c>
      <c r="F1707" s="21">
        <f>'Hoja 4 - Cálculo'!A48</f>
        <v>30286</v>
      </c>
      <c r="G1707" s="15">
        <f>'Hoja 4 - Cálculo'!H48</f>
        <v>16.256250000000001</v>
      </c>
      <c r="H1707" s="15">
        <f>IF(D1707="Uso único",'Hoja 4 - Cálculo'!I48,IF(D1707="Uso múltiple",AVERAGE('Hoja 4 - Cálculo'!$I$25:$I$384)+AVERAGE('Hoja 4 - Cálculo'!$J$25:$J$384)+AVERAGE('Hoja 4 - Cálculo'!$K$25:$K$384),IF(D1707="Uso prioritario",'Hoja 4 - Cálculo'!I48+'Hoja 4 - Cálculo'!K48,'Hoja 4 - Cálculo'!I48+'Hoja 4 - Cálculo'!J48+'Hoja 4 - Cálculo'!K48)))</f>
        <v>16</v>
      </c>
      <c r="I1707" s="15">
        <f t="shared" si="380"/>
        <v>20</v>
      </c>
      <c r="J1707" s="15">
        <f t="shared" si="387"/>
        <v>10</v>
      </c>
      <c r="K1707" s="15">
        <f>MIN(J1707+G1707,(J1707+G1707)*'Hoja 4 - Cálculo'!$B$15)</f>
        <v>0.52512500000000006</v>
      </c>
      <c r="L1707" s="15">
        <f t="shared" si="381"/>
        <v>25.731125000000002</v>
      </c>
      <c r="M1707" s="15">
        <f t="shared" si="382"/>
        <v>20</v>
      </c>
      <c r="N1707" s="15">
        <f t="shared" si="383"/>
        <v>5.7311250000000022</v>
      </c>
      <c r="O1707" s="15">
        <f t="shared" si="384"/>
        <v>0</v>
      </c>
      <c r="P1707" s="15">
        <f t="shared" si="385"/>
        <v>0</v>
      </c>
      <c r="Q1707" s="14" t="str">
        <f>IF(M1707&gt;=I1707*'Hoja 4 - Cálculo'!$B$16,"Satisfactorio","Falla")</f>
        <v>Satisfactorio</v>
      </c>
      <c r="R1707" s="14">
        <f t="shared" si="388"/>
        <v>0</v>
      </c>
      <c r="S1707" s="14">
        <f t="shared" si="389"/>
        <v>0</v>
      </c>
    </row>
    <row r="1708" spans="1:19">
      <c r="A1708" s="14" t="str">
        <f t="shared" si="386"/>
        <v>SRY-5-3</v>
      </c>
      <c r="B1708" s="15">
        <f>'Curvas SRY'!$B$12</f>
        <v>10</v>
      </c>
      <c r="C1708" s="15">
        <f>'Curvas SRY'!$E$10</f>
        <v>1.25</v>
      </c>
      <c r="D1708" s="14" t="str">
        <f>'Curvas SRY'!$B$14</f>
        <v>Uso variable</v>
      </c>
      <c r="E1708" s="14">
        <f>25</f>
        <v>25</v>
      </c>
      <c r="F1708" s="21">
        <f>'Hoja 4 - Cálculo'!A49</f>
        <v>30317</v>
      </c>
      <c r="G1708" s="15">
        <f>'Hoja 4 - Cálculo'!H49</f>
        <v>12.775499999999999</v>
      </c>
      <c r="H1708" s="15">
        <f>IF(D1708="Uso único",'Hoja 4 - Cálculo'!I49,IF(D1708="Uso múltiple",AVERAGE('Hoja 4 - Cálculo'!$I$25:$I$384)+AVERAGE('Hoja 4 - Cálculo'!$J$25:$J$384)+AVERAGE('Hoja 4 - Cálculo'!$K$25:$K$384),IF(D1708="Uso prioritario",'Hoja 4 - Cálculo'!I49+'Hoja 4 - Cálculo'!K49,'Hoja 4 - Cálculo'!I49+'Hoja 4 - Cálculo'!J49+'Hoja 4 - Cálculo'!K49)))</f>
        <v>16</v>
      </c>
      <c r="I1708" s="15">
        <f t="shared" si="380"/>
        <v>20</v>
      </c>
      <c r="J1708" s="15">
        <f t="shared" si="387"/>
        <v>5.7311250000000022</v>
      </c>
      <c r="K1708" s="15">
        <f>MIN(J1708+G1708,(J1708+G1708)*'Hoja 4 - Cálculo'!$B$15)</f>
        <v>0.37013249999999998</v>
      </c>
      <c r="L1708" s="15">
        <f t="shared" si="381"/>
        <v>18.136492499999999</v>
      </c>
      <c r="M1708" s="15">
        <f t="shared" si="382"/>
        <v>18.136492499999999</v>
      </c>
      <c r="N1708" s="15">
        <f t="shared" si="383"/>
        <v>0</v>
      </c>
      <c r="O1708" s="15">
        <f t="shared" si="384"/>
        <v>0</v>
      </c>
      <c r="P1708" s="15">
        <f t="shared" si="385"/>
        <v>1.8635075000000008</v>
      </c>
      <c r="Q1708" s="14" t="str">
        <f>IF(M1708&gt;=I1708*'Hoja 4 - Cálculo'!$B$16,"Satisfactorio","Falla")</f>
        <v>Falla</v>
      </c>
      <c r="R1708" s="14">
        <f t="shared" si="388"/>
        <v>0</v>
      </c>
      <c r="S1708" s="14">
        <f t="shared" si="389"/>
        <v>1</v>
      </c>
    </row>
    <row r="1709" spans="1:19">
      <c r="A1709" s="14" t="str">
        <f t="shared" si="386"/>
        <v>SRY-5-3</v>
      </c>
      <c r="B1709" s="15">
        <f>'Curvas SRY'!$B$12</f>
        <v>10</v>
      </c>
      <c r="C1709" s="15">
        <f>'Curvas SRY'!$E$10</f>
        <v>1.25</v>
      </c>
      <c r="D1709" s="14" t="str">
        <f>'Curvas SRY'!$B$14</f>
        <v>Uso variable</v>
      </c>
      <c r="E1709" s="14">
        <f>26</f>
        <v>26</v>
      </c>
      <c r="F1709" s="21">
        <f>'Hoja 4 - Cálculo'!A50</f>
        <v>30348</v>
      </c>
      <c r="G1709" s="15">
        <f>'Hoja 4 - Cálculo'!H50</f>
        <v>14.49675</v>
      </c>
      <c r="H1709" s="15">
        <f>IF(D1709="Uso único",'Hoja 4 - Cálculo'!I50,IF(D1709="Uso múltiple",AVERAGE('Hoja 4 - Cálculo'!$I$25:$I$384)+AVERAGE('Hoja 4 - Cálculo'!$J$25:$J$384)+AVERAGE('Hoja 4 - Cálculo'!$K$25:$K$384),IF(D1709="Uso prioritario",'Hoja 4 - Cálculo'!I50+'Hoja 4 - Cálculo'!K50,'Hoja 4 - Cálculo'!I50+'Hoja 4 - Cálculo'!J50+'Hoja 4 - Cálculo'!K50)))</f>
        <v>16</v>
      </c>
      <c r="I1709" s="15">
        <f t="shared" si="380"/>
        <v>20</v>
      </c>
      <c r="J1709" s="15">
        <f t="shared" si="387"/>
        <v>0</v>
      </c>
      <c r="K1709" s="15">
        <f>MIN(J1709+G1709,(J1709+G1709)*'Hoja 4 - Cálculo'!$B$15)</f>
        <v>0.289935</v>
      </c>
      <c r="L1709" s="15">
        <f t="shared" si="381"/>
        <v>14.206815000000001</v>
      </c>
      <c r="M1709" s="15">
        <f t="shared" si="382"/>
        <v>14.206815000000001</v>
      </c>
      <c r="N1709" s="15">
        <f t="shared" si="383"/>
        <v>0</v>
      </c>
      <c r="O1709" s="15">
        <f t="shared" si="384"/>
        <v>0</v>
      </c>
      <c r="P1709" s="15">
        <f t="shared" si="385"/>
        <v>5.7931849999999994</v>
      </c>
      <c r="Q1709" s="14" t="str">
        <f>IF(M1709&gt;=I1709*'Hoja 4 - Cálculo'!$B$16,"Satisfactorio","Falla")</f>
        <v>Falla</v>
      </c>
      <c r="R1709" s="14">
        <f t="shared" si="388"/>
        <v>0</v>
      </c>
      <c r="S1709" s="14">
        <f t="shared" si="389"/>
        <v>0</v>
      </c>
    </row>
    <row r="1710" spans="1:19">
      <c r="A1710" s="14" t="str">
        <f t="shared" si="386"/>
        <v>SRY-5-3</v>
      </c>
      <c r="B1710" s="15">
        <f>'Curvas SRY'!$B$12</f>
        <v>10</v>
      </c>
      <c r="C1710" s="15">
        <f>'Curvas SRY'!$E$10</f>
        <v>1.25</v>
      </c>
      <c r="D1710" s="14" t="str">
        <f>'Curvas SRY'!$B$14</f>
        <v>Uso variable</v>
      </c>
      <c r="E1710" s="14">
        <f>27</f>
        <v>27</v>
      </c>
      <c r="F1710" s="21">
        <f>'Hoja 4 - Cálculo'!A51</f>
        <v>30376</v>
      </c>
      <c r="G1710" s="15">
        <f>'Hoja 4 - Cálculo'!H51</f>
        <v>21.936375000000002</v>
      </c>
      <c r="H1710" s="15">
        <f>IF(D1710="Uso único",'Hoja 4 - Cálculo'!I51,IF(D1710="Uso múltiple",AVERAGE('Hoja 4 - Cálculo'!$I$25:$I$384)+AVERAGE('Hoja 4 - Cálculo'!$J$25:$J$384)+AVERAGE('Hoja 4 - Cálculo'!$K$25:$K$384),IF(D1710="Uso prioritario",'Hoja 4 - Cálculo'!I51+'Hoja 4 - Cálculo'!K51,'Hoja 4 - Cálculo'!I51+'Hoja 4 - Cálculo'!J51+'Hoja 4 - Cálculo'!K51)))</f>
        <v>16</v>
      </c>
      <c r="I1710" s="15">
        <f t="shared" si="380"/>
        <v>20</v>
      </c>
      <c r="J1710" s="15">
        <f t="shared" si="387"/>
        <v>0</v>
      </c>
      <c r="K1710" s="15">
        <f>MIN(J1710+G1710,(J1710+G1710)*'Hoja 4 - Cálculo'!$B$15)</f>
        <v>0.43872750000000005</v>
      </c>
      <c r="L1710" s="15">
        <f t="shared" si="381"/>
        <v>21.497647500000003</v>
      </c>
      <c r="M1710" s="15">
        <f t="shared" si="382"/>
        <v>20</v>
      </c>
      <c r="N1710" s="15">
        <f t="shared" si="383"/>
        <v>1.4976475000000029</v>
      </c>
      <c r="O1710" s="15">
        <f t="shared" si="384"/>
        <v>0</v>
      </c>
      <c r="P1710" s="15">
        <f t="shared" si="385"/>
        <v>0</v>
      </c>
      <c r="Q1710" s="14" t="str">
        <f>IF(M1710&gt;=I1710*'Hoja 4 - Cálculo'!$B$16,"Satisfactorio","Falla")</f>
        <v>Satisfactorio</v>
      </c>
      <c r="R1710" s="14">
        <f t="shared" si="388"/>
        <v>1</v>
      </c>
      <c r="S1710" s="14">
        <f t="shared" si="389"/>
        <v>0</v>
      </c>
    </row>
    <row r="1711" spans="1:19">
      <c r="A1711" s="14" t="str">
        <f t="shared" si="386"/>
        <v>SRY-5-3</v>
      </c>
      <c r="B1711" s="15">
        <f>'Curvas SRY'!$B$12</f>
        <v>10</v>
      </c>
      <c r="C1711" s="15">
        <f>'Curvas SRY'!$E$10</f>
        <v>1.25</v>
      </c>
      <c r="D1711" s="14" t="str">
        <f>'Curvas SRY'!$B$14</f>
        <v>Uso variable</v>
      </c>
      <c r="E1711" s="14">
        <f>28</f>
        <v>28</v>
      </c>
      <c r="F1711" s="21">
        <f>'Hoja 4 - Cálculo'!A52</f>
        <v>30407</v>
      </c>
      <c r="G1711" s="15">
        <f>'Hoja 4 - Cálculo'!H52</f>
        <v>32.263874999999999</v>
      </c>
      <c r="H1711" s="15">
        <f>IF(D1711="Uso único",'Hoja 4 - Cálculo'!I52,IF(D1711="Uso múltiple",AVERAGE('Hoja 4 - Cálculo'!$I$25:$I$384)+AVERAGE('Hoja 4 - Cálculo'!$J$25:$J$384)+AVERAGE('Hoja 4 - Cálculo'!$K$25:$K$384),IF(D1711="Uso prioritario",'Hoja 4 - Cálculo'!I52+'Hoja 4 - Cálculo'!K52,'Hoja 4 - Cálculo'!I52+'Hoja 4 - Cálculo'!J52+'Hoja 4 - Cálculo'!K52)))</f>
        <v>11.5</v>
      </c>
      <c r="I1711" s="15">
        <f t="shared" si="380"/>
        <v>14.375</v>
      </c>
      <c r="J1711" s="15">
        <f t="shared" si="387"/>
        <v>1.4976475000000029</v>
      </c>
      <c r="K1711" s="15">
        <f>MIN(J1711+G1711,(J1711+G1711)*'Hoja 4 - Cálculo'!$B$15)</f>
        <v>0.67523044999999993</v>
      </c>
      <c r="L1711" s="15">
        <f t="shared" si="381"/>
        <v>33.086292049999997</v>
      </c>
      <c r="M1711" s="15">
        <f t="shared" si="382"/>
        <v>14.375</v>
      </c>
      <c r="N1711" s="15">
        <f t="shared" si="383"/>
        <v>10</v>
      </c>
      <c r="O1711" s="15">
        <f t="shared" si="384"/>
        <v>8.7112920499999973</v>
      </c>
      <c r="P1711" s="15">
        <f t="shared" si="385"/>
        <v>0</v>
      </c>
      <c r="Q1711" s="14" t="str">
        <f>IF(M1711&gt;=I1711*'Hoja 4 - Cálculo'!$B$16,"Satisfactorio","Falla")</f>
        <v>Satisfactorio</v>
      </c>
      <c r="R1711" s="14">
        <f t="shared" si="388"/>
        <v>0</v>
      </c>
      <c r="S1711" s="14">
        <f t="shared" si="389"/>
        <v>0</v>
      </c>
    </row>
    <row r="1712" spans="1:19">
      <c r="A1712" s="14" t="str">
        <f t="shared" si="386"/>
        <v>SRY-5-3</v>
      </c>
      <c r="B1712" s="15">
        <f>'Curvas SRY'!$B$12</f>
        <v>10</v>
      </c>
      <c r="C1712" s="15">
        <f>'Curvas SRY'!$E$10</f>
        <v>1.25</v>
      </c>
      <c r="D1712" s="14" t="str">
        <f>'Curvas SRY'!$B$14</f>
        <v>Uso variable</v>
      </c>
      <c r="E1712" s="14">
        <f>29</f>
        <v>29</v>
      </c>
      <c r="F1712" s="21">
        <f>'Hoja 4 - Cálculo'!A53</f>
        <v>30437</v>
      </c>
      <c r="G1712" s="15">
        <f>'Hoja 4 - Cálculo'!H53</f>
        <v>29.356874999999999</v>
      </c>
      <c r="H1712" s="15">
        <f>IF(D1712="Uso único",'Hoja 4 - Cálculo'!I53,IF(D1712="Uso múltiple",AVERAGE('Hoja 4 - Cálculo'!$I$25:$I$384)+AVERAGE('Hoja 4 - Cálculo'!$J$25:$J$384)+AVERAGE('Hoja 4 - Cálculo'!$K$25:$K$384),IF(D1712="Uso prioritario",'Hoja 4 - Cálculo'!I53+'Hoja 4 - Cálculo'!K53,'Hoja 4 - Cálculo'!I53+'Hoja 4 - Cálculo'!J53+'Hoja 4 - Cálculo'!K53)))</f>
        <v>11.5</v>
      </c>
      <c r="I1712" s="15">
        <f t="shared" si="380"/>
        <v>14.375</v>
      </c>
      <c r="J1712" s="15">
        <f t="shared" si="387"/>
        <v>10</v>
      </c>
      <c r="K1712" s="15">
        <f>MIN(J1712+G1712,(J1712+G1712)*'Hoja 4 - Cálculo'!$B$15)</f>
        <v>0.78713750000000005</v>
      </c>
      <c r="L1712" s="15">
        <f t="shared" si="381"/>
        <v>38.569737500000002</v>
      </c>
      <c r="M1712" s="15">
        <f t="shared" si="382"/>
        <v>14.375</v>
      </c>
      <c r="N1712" s="15">
        <f t="shared" si="383"/>
        <v>10</v>
      </c>
      <c r="O1712" s="15">
        <f t="shared" si="384"/>
        <v>14.194737500000002</v>
      </c>
      <c r="P1712" s="15">
        <f t="shared" si="385"/>
        <v>0</v>
      </c>
      <c r="Q1712" s="14" t="str">
        <f>IF(M1712&gt;=I1712*'Hoja 4 - Cálculo'!$B$16,"Satisfactorio","Falla")</f>
        <v>Satisfactorio</v>
      </c>
      <c r="R1712" s="14">
        <f t="shared" si="388"/>
        <v>0</v>
      </c>
      <c r="S1712" s="14">
        <f t="shared" si="389"/>
        <v>0</v>
      </c>
    </row>
    <row r="1713" spans="1:19">
      <c r="A1713" s="14" t="str">
        <f t="shared" si="386"/>
        <v>SRY-5-3</v>
      </c>
      <c r="B1713" s="15">
        <f>'Curvas SRY'!$B$12</f>
        <v>10</v>
      </c>
      <c r="C1713" s="15">
        <f>'Curvas SRY'!$E$10</f>
        <v>1.25</v>
      </c>
      <c r="D1713" s="14" t="str">
        <f>'Curvas SRY'!$B$14</f>
        <v>Uso variable</v>
      </c>
      <c r="E1713" s="14">
        <f>30</f>
        <v>30</v>
      </c>
      <c r="F1713" s="21">
        <f>'Hoja 4 - Cálculo'!A54</f>
        <v>30468</v>
      </c>
      <c r="G1713" s="15">
        <f>'Hoja 4 - Cálculo'!H54</f>
        <v>17.212499999999999</v>
      </c>
      <c r="H1713" s="15">
        <f>IF(D1713="Uso único",'Hoja 4 - Cálculo'!I54,IF(D1713="Uso múltiple",AVERAGE('Hoja 4 - Cálculo'!$I$25:$I$384)+AVERAGE('Hoja 4 - Cálculo'!$J$25:$J$384)+AVERAGE('Hoja 4 - Cálculo'!$K$25:$K$384),IF(D1713="Uso prioritario",'Hoja 4 - Cálculo'!I54+'Hoja 4 - Cálculo'!K54,'Hoja 4 - Cálculo'!I54+'Hoja 4 - Cálculo'!J54+'Hoja 4 - Cálculo'!K54)))</f>
        <v>11.5</v>
      </c>
      <c r="I1713" s="15">
        <f t="shared" si="380"/>
        <v>14.375</v>
      </c>
      <c r="J1713" s="15">
        <f t="shared" si="387"/>
        <v>10</v>
      </c>
      <c r="K1713" s="15">
        <f>MIN(J1713+G1713,(J1713+G1713)*'Hoja 4 - Cálculo'!$B$15)</f>
        <v>0.54425000000000001</v>
      </c>
      <c r="L1713" s="15">
        <f t="shared" si="381"/>
        <v>26.668249999999997</v>
      </c>
      <c r="M1713" s="15">
        <f t="shared" si="382"/>
        <v>14.375</v>
      </c>
      <c r="N1713" s="15">
        <f t="shared" si="383"/>
        <v>10</v>
      </c>
      <c r="O1713" s="15">
        <f t="shared" si="384"/>
        <v>2.2932499999999969</v>
      </c>
      <c r="P1713" s="15">
        <f t="shared" si="385"/>
        <v>0</v>
      </c>
      <c r="Q1713" s="14" t="str">
        <f>IF(M1713&gt;=I1713*'Hoja 4 - Cálculo'!$B$16,"Satisfactorio","Falla")</f>
        <v>Satisfactorio</v>
      </c>
      <c r="R1713" s="14">
        <f t="shared" si="388"/>
        <v>0</v>
      </c>
      <c r="S1713" s="14">
        <f t="shared" si="389"/>
        <v>0</v>
      </c>
    </row>
    <row r="1714" spans="1:19">
      <c r="A1714" s="14" t="str">
        <f t="shared" si="386"/>
        <v>SRY-5-3</v>
      </c>
      <c r="B1714" s="15">
        <f>'Curvas SRY'!$B$12</f>
        <v>10</v>
      </c>
      <c r="C1714" s="15">
        <f>'Curvas SRY'!$E$10</f>
        <v>1.25</v>
      </c>
      <c r="D1714" s="14" t="str">
        <f>'Curvas SRY'!$B$14</f>
        <v>Uso variable</v>
      </c>
      <c r="E1714" s="14">
        <f>31</f>
        <v>31</v>
      </c>
      <c r="F1714" s="21">
        <f>'Hoja 4 - Cálculo'!A55</f>
        <v>30498</v>
      </c>
      <c r="G1714" s="15">
        <f>'Hoja 4 - Cálculo'!H55</f>
        <v>13.597875</v>
      </c>
      <c r="H1714" s="15">
        <f>IF(D1714="Uso único",'Hoja 4 - Cálculo'!I55,IF(D1714="Uso múltiple",AVERAGE('Hoja 4 - Cálculo'!$I$25:$I$384)+AVERAGE('Hoja 4 - Cálculo'!$J$25:$J$384)+AVERAGE('Hoja 4 - Cálculo'!$K$25:$K$384),IF(D1714="Uso prioritario",'Hoja 4 - Cálculo'!I55+'Hoja 4 - Cálculo'!K55,'Hoja 4 - Cálculo'!I55+'Hoja 4 - Cálculo'!J55+'Hoja 4 - Cálculo'!K55)))</f>
        <v>16</v>
      </c>
      <c r="I1714" s="15">
        <f t="shared" si="380"/>
        <v>20</v>
      </c>
      <c r="J1714" s="15">
        <f t="shared" si="387"/>
        <v>10</v>
      </c>
      <c r="K1714" s="15">
        <f>MIN(J1714+G1714,(J1714+G1714)*'Hoja 4 - Cálculo'!$B$15)</f>
        <v>0.47195750000000003</v>
      </c>
      <c r="L1714" s="15">
        <f t="shared" si="381"/>
        <v>23.125917500000003</v>
      </c>
      <c r="M1714" s="15">
        <f t="shared" si="382"/>
        <v>20</v>
      </c>
      <c r="N1714" s="15">
        <f t="shared" si="383"/>
        <v>3.1259175000000035</v>
      </c>
      <c r="O1714" s="15">
        <f t="shared" si="384"/>
        <v>0</v>
      </c>
      <c r="P1714" s="15">
        <f t="shared" si="385"/>
        <v>0</v>
      </c>
      <c r="Q1714" s="14" t="str">
        <f>IF(M1714&gt;=I1714*'Hoja 4 - Cálculo'!$B$16,"Satisfactorio","Falla")</f>
        <v>Satisfactorio</v>
      </c>
      <c r="R1714" s="14">
        <f t="shared" si="388"/>
        <v>0</v>
      </c>
      <c r="S1714" s="14">
        <f t="shared" si="389"/>
        <v>0</v>
      </c>
    </row>
    <row r="1715" spans="1:19">
      <c r="A1715" s="14" t="str">
        <f t="shared" si="386"/>
        <v>SRY-5-3</v>
      </c>
      <c r="B1715" s="15">
        <f>'Curvas SRY'!$B$12</f>
        <v>10</v>
      </c>
      <c r="C1715" s="15">
        <f>'Curvas SRY'!$E$10</f>
        <v>1.25</v>
      </c>
      <c r="D1715" s="14" t="str">
        <f>'Curvas SRY'!$B$14</f>
        <v>Uso variable</v>
      </c>
      <c r="E1715" s="14">
        <f>32</f>
        <v>32</v>
      </c>
      <c r="F1715" s="21">
        <f>'Hoja 4 - Cálculo'!A56</f>
        <v>30529</v>
      </c>
      <c r="G1715" s="15">
        <f>'Hoja 4 - Cálculo'!H56</f>
        <v>14.592375000000001</v>
      </c>
      <c r="H1715" s="15">
        <f>IF(D1715="Uso único",'Hoja 4 - Cálculo'!I56,IF(D1715="Uso múltiple",AVERAGE('Hoja 4 - Cálculo'!$I$25:$I$384)+AVERAGE('Hoja 4 - Cálculo'!$J$25:$J$384)+AVERAGE('Hoja 4 - Cálculo'!$K$25:$K$384),IF(D1715="Uso prioritario",'Hoja 4 - Cálculo'!I56+'Hoja 4 - Cálculo'!K56,'Hoja 4 - Cálculo'!I56+'Hoja 4 - Cálculo'!J56+'Hoja 4 - Cálculo'!K56)))</f>
        <v>16</v>
      </c>
      <c r="I1715" s="15">
        <f t="shared" si="380"/>
        <v>20</v>
      </c>
      <c r="J1715" s="15">
        <f t="shared" si="387"/>
        <v>3.1259175000000035</v>
      </c>
      <c r="K1715" s="15">
        <f>MIN(J1715+G1715,(J1715+G1715)*'Hoja 4 - Cálculo'!$B$15)</f>
        <v>0.35436585000000009</v>
      </c>
      <c r="L1715" s="15">
        <f t="shared" si="381"/>
        <v>17.363926650000003</v>
      </c>
      <c r="M1715" s="15">
        <f t="shared" si="382"/>
        <v>17.363926650000003</v>
      </c>
      <c r="N1715" s="15">
        <f t="shared" si="383"/>
        <v>0</v>
      </c>
      <c r="O1715" s="15">
        <f t="shared" si="384"/>
        <v>0</v>
      </c>
      <c r="P1715" s="15">
        <f t="shared" si="385"/>
        <v>2.6360733499999967</v>
      </c>
      <c r="Q1715" s="14" t="str">
        <f>IF(M1715&gt;=I1715*'Hoja 4 - Cálculo'!$B$16,"Satisfactorio","Falla")</f>
        <v>Falla</v>
      </c>
      <c r="R1715" s="14">
        <f t="shared" si="388"/>
        <v>0</v>
      </c>
      <c r="S1715" s="14">
        <f t="shared" si="389"/>
        <v>1</v>
      </c>
    </row>
    <row r="1716" spans="1:19">
      <c r="A1716" s="14" t="str">
        <f t="shared" ref="A1716:A1747" si="390">"SRY-5-3"</f>
        <v>SRY-5-3</v>
      </c>
      <c r="B1716" s="15">
        <f>'Curvas SRY'!$B$12</f>
        <v>10</v>
      </c>
      <c r="C1716" s="15">
        <f>'Curvas SRY'!$E$10</f>
        <v>1.25</v>
      </c>
      <c r="D1716" s="14" t="str">
        <f>'Curvas SRY'!$B$14</f>
        <v>Uso variable</v>
      </c>
      <c r="E1716" s="14">
        <f>33</f>
        <v>33</v>
      </c>
      <c r="F1716" s="21">
        <f>'Hoja 4 - Cálculo'!A57</f>
        <v>30560</v>
      </c>
      <c r="G1716" s="15">
        <f>'Hoja 4 - Cálculo'!H57</f>
        <v>24.307874999999999</v>
      </c>
      <c r="H1716" s="15">
        <f>IF(D1716="Uso único",'Hoja 4 - Cálculo'!I57,IF(D1716="Uso múltiple",AVERAGE('Hoja 4 - Cálculo'!$I$25:$I$384)+AVERAGE('Hoja 4 - Cálculo'!$J$25:$J$384)+AVERAGE('Hoja 4 - Cálculo'!$K$25:$K$384),IF(D1716="Uso prioritario",'Hoja 4 - Cálculo'!I57+'Hoja 4 - Cálculo'!K57,'Hoja 4 - Cálculo'!I57+'Hoja 4 - Cálculo'!J57+'Hoja 4 - Cálculo'!K57)))</f>
        <v>11.5</v>
      </c>
      <c r="I1716" s="15">
        <f t="shared" si="380"/>
        <v>14.375</v>
      </c>
      <c r="J1716" s="15">
        <f t="shared" si="387"/>
        <v>0</v>
      </c>
      <c r="K1716" s="15">
        <f>MIN(J1716+G1716,(J1716+G1716)*'Hoja 4 - Cálculo'!$B$15)</f>
        <v>0.48615750000000002</v>
      </c>
      <c r="L1716" s="15">
        <f t="shared" si="381"/>
        <v>23.821717499999998</v>
      </c>
      <c r="M1716" s="15">
        <f t="shared" si="382"/>
        <v>14.375</v>
      </c>
      <c r="N1716" s="15">
        <f t="shared" si="383"/>
        <v>9.4467174999999983</v>
      </c>
      <c r="O1716" s="15">
        <f t="shared" si="384"/>
        <v>0</v>
      </c>
      <c r="P1716" s="15">
        <f t="shared" si="385"/>
        <v>0</v>
      </c>
      <c r="Q1716" s="14" t="str">
        <f>IF(M1716&gt;=I1716*'Hoja 4 - Cálculo'!$B$16,"Satisfactorio","Falla")</f>
        <v>Satisfactorio</v>
      </c>
      <c r="R1716" s="14">
        <f t="shared" si="388"/>
        <v>1</v>
      </c>
      <c r="S1716" s="14">
        <f t="shared" si="389"/>
        <v>0</v>
      </c>
    </row>
    <row r="1717" spans="1:19">
      <c r="A1717" s="14" t="str">
        <f t="shared" si="390"/>
        <v>SRY-5-3</v>
      </c>
      <c r="B1717" s="15">
        <f>'Curvas SRY'!$B$12</f>
        <v>10</v>
      </c>
      <c r="C1717" s="15">
        <f>'Curvas SRY'!$E$10</f>
        <v>1.25</v>
      </c>
      <c r="D1717" s="14" t="str">
        <f>'Curvas SRY'!$B$14</f>
        <v>Uso variable</v>
      </c>
      <c r="E1717" s="14">
        <f>34</f>
        <v>34</v>
      </c>
      <c r="F1717" s="21">
        <f>'Hoja 4 - Cálculo'!A58</f>
        <v>30590</v>
      </c>
      <c r="G1717" s="15">
        <f>'Hoja 4 - Cálculo'!H58</f>
        <v>33.564374999999998</v>
      </c>
      <c r="H1717" s="15">
        <f>IF(D1717="Uso único",'Hoja 4 - Cálculo'!I58,IF(D1717="Uso múltiple",AVERAGE('Hoja 4 - Cálculo'!$I$25:$I$384)+AVERAGE('Hoja 4 - Cálculo'!$J$25:$J$384)+AVERAGE('Hoja 4 - Cálculo'!$K$25:$K$384),IF(D1717="Uso prioritario",'Hoja 4 - Cálculo'!I58+'Hoja 4 - Cálculo'!K58,'Hoja 4 - Cálculo'!I58+'Hoja 4 - Cálculo'!J58+'Hoja 4 - Cálculo'!K58)))</f>
        <v>11.5</v>
      </c>
      <c r="I1717" s="15">
        <f t="shared" si="380"/>
        <v>14.375</v>
      </c>
      <c r="J1717" s="15">
        <f t="shared" ref="J1717:J1748" si="391">N1716</f>
        <v>9.4467174999999983</v>
      </c>
      <c r="K1717" s="15">
        <f>MIN(J1717+G1717,(J1717+G1717)*'Hoja 4 - Cálculo'!$B$15)</f>
        <v>0.86022184999999995</v>
      </c>
      <c r="L1717" s="15">
        <f t="shared" si="381"/>
        <v>42.150870649999995</v>
      </c>
      <c r="M1717" s="15">
        <f t="shared" si="382"/>
        <v>14.375</v>
      </c>
      <c r="N1717" s="15">
        <f t="shared" si="383"/>
        <v>10</v>
      </c>
      <c r="O1717" s="15">
        <f t="shared" si="384"/>
        <v>17.775870649999995</v>
      </c>
      <c r="P1717" s="15">
        <f t="shared" si="385"/>
        <v>0</v>
      </c>
      <c r="Q1717" s="14" t="str">
        <f>IF(M1717&gt;=I1717*'Hoja 4 - Cálculo'!$B$16,"Satisfactorio","Falla")</f>
        <v>Satisfactorio</v>
      </c>
      <c r="R1717" s="14">
        <f t="shared" ref="R1717:R1748" si="392">IF(AND(Q1716="Falla",Q1717="Satisfactorio"),1,0)</f>
        <v>0</v>
      </c>
      <c r="S1717" s="14">
        <f t="shared" ref="S1717:S1748" si="393">IF(AND(Q1717="Falla",Q1716&lt;&gt;"Falla"),1,0)</f>
        <v>0</v>
      </c>
    </row>
    <row r="1718" spans="1:19">
      <c r="A1718" s="14" t="str">
        <f t="shared" si="390"/>
        <v>SRY-5-3</v>
      </c>
      <c r="B1718" s="15">
        <f>'Curvas SRY'!$B$12</f>
        <v>10</v>
      </c>
      <c r="C1718" s="15">
        <f>'Curvas SRY'!$E$10</f>
        <v>1.25</v>
      </c>
      <c r="D1718" s="14" t="str">
        <f>'Curvas SRY'!$B$14</f>
        <v>Uso variable</v>
      </c>
      <c r="E1718" s="14">
        <f>35</f>
        <v>35</v>
      </c>
      <c r="F1718" s="21">
        <f>'Hoja 4 - Cálculo'!A59</f>
        <v>30621</v>
      </c>
      <c r="G1718" s="15">
        <f>'Hoja 4 - Cálculo'!H59</f>
        <v>28.075500000000002</v>
      </c>
      <c r="H1718" s="15">
        <f>IF(D1718="Uso único",'Hoja 4 - Cálculo'!I59,IF(D1718="Uso múltiple",AVERAGE('Hoja 4 - Cálculo'!$I$25:$I$384)+AVERAGE('Hoja 4 - Cálculo'!$J$25:$J$384)+AVERAGE('Hoja 4 - Cálculo'!$K$25:$K$384),IF(D1718="Uso prioritario",'Hoja 4 - Cálculo'!I59+'Hoja 4 - Cálculo'!K59,'Hoja 4 - Cálculo'!I59+'Hoja 4 - Cálculo'!J59+'Hoja 4 - Cálculo'!K59)))</f>
        <v>11.5</v>
      </c>
      <c r="I1718" s="15">
        <f t="shared" si="380"/>
        <v>14.375</v>
      </c>
      <c r="J1718" s="15">
        <f t="shared" si="391"/>
        <v>10</v>
      </c>
      <c r="K1718" s="15">
        <f>MIN(J1718+G1718,(J1718+G1718)*'Hoja 4 - Cálculo'!$B$15)</f>
        <v>0.76151000000000013</v>
      </c>
      <c r="L1718" s="15">
        <f t="shared" si="381"/>
        <v>37.313990000000004</v>
      </c>
      <c r="M1718" s="15">
        <f t="shared" si="382"/>
        <v>14.375</v>
      </c>
      <c r="N1718" s="15">
        <f t="shared" si="383"/>
        <v>10</v>
      </c>
      <c r="O1718" s="15">
        <f t="shared" si="384"/>
        <v>12.938990000000004</v>
      </c>
      <c r="P1718" s="15">
        <f t="shared" si="385"/>
        <v>0</v>
      </c>
      <c r="Q1718" s="14" t="str">
        <f>IF(M1718&gt;=I1718*'Hoja 4 - Cálculo'!$B$16,"Satisfactorio","Falla")</f>
        <v>Satisfactorio</v>
      </c>
      <c r="R1718" s="14">
        <f t="shared" si="392"/>
        <v>0</v>
      </c>
      <c r="S1718" s="14">
        <f t="shared" si="393"/>
        <v>0</v>
      </c>
    </row>
    <row r="1719" spans="1:19">
      <c r="A1719" s="14" t="str">
        <f t="shared" si="390"/>
        <v>SRY-5-3</v>
      </c>
      <c r="B1719" s="15">
        <f>'Curvas SRY'!$B$12</f>
        <v>10</v>
      </c>
      <c r="C1719" s="15">
        <f>'Curvas SRY'!$E$10</f>
        <v>1.25</v>
      </c>
      <c r="D1719" s="14" t="str">
        <f>'Curvas SRY'!$B$14</f>
        <v>Uso variable</v>
      </c>
      <c r="E1719" s="14">
        <f>36</f>
        <v>36</v>
      </c>
      <c r="F1719" s="21">
        <f>'Hoja 4 - Cálculo'!A60</f>
        <v>30651</v>
      </c>
      <c r="G1719" s="15">
        <f>'Hoja 4 - Cálculo'!H60</f>
        <v>15.931125</v>
      </c>
      <c r="H1719" s="15">
        <f>IF(D1719="Uso único",'Hoja 4 - Cálculo'!I60,IF(D1719="Uso múltiple",AVERAGE('Hoja 4 - Cálculo'!$I$25:$I$384)+AVERAGE('Hoja 4 - Cálculo'!$J$25:$J$384)+AVERAGE('Hoja 4 - Cálculo'!$K$25:$K$384),IF(D1719="Uso prioritario",'Hoja 4 - Cálculo'!I60+'Hoja 4 - Cálculo'!K60,'Hoja 4 - Cálculo'!I60+'Hoja 4 - Cálculo'!J60+'Hoja 4 - Cálculo'!K60)))</f>
        <v>16</v>
      </c>
      <c r="I1719" s="15">
        <f t="shared" si="380"/>
        <v>20</v>
      </c>
      <c r="J1719" s="15">
        <f t="shared" si="391"/>
        <v>10</v>
      </c>
      <c r="K1719" s="15">
        <f>MIN(J1719+G1719,(J1719+G1719)*'Hoja 4 - Cálculo'!$B$15)</f>
        <v>0.51862249999999999</v>
      </c>
      <c r="L1719" s="15">
        <f t="shared" si="381"/>
        <v>25.412502500000002</v>
      </c>
      <c r="M1719" s="15">
        <f t="shared" si="382"/>
        <v>20</v>
      </c>
      <c r="N1719" s="15">
        <f t="shared" si="383"/>
        <v>5.4125025000000022</v>
      </c>
      <c r="O1719" s="15">
        <f t="shared" si="384"/>
        <v>0</v>
      </c>
      <c r="P1719" s="15">
        <f t="shared" si="385"/>
        <v>0</v>
      </c>
      <c r="Q1719" s="14" t="str">
        <f>IF(M1719&gt;=I1719*'Hoja 4 - Cálculo'!$B$16,"Satisfactorio","Falla")</f>
        <v>Satisfactorio</v>
      </c>
      <c r="R1719" s="14">
        <f t="shared" si="392"/>
        <v>0</v>
      </c>
      <c r="S1719" s="14">
        <f t="shared" si="393"/>
        <v>0</v>
      </c>
    </row>
    <row r="1720" spans="1:19">
      <c r="A1720" s="14" t="str">
        <f t="shared" si="390"/>
        <v>SRY-5-3</v>
      </c>
      <c r="B1720" s="15">
        <f>'Curvas SRY'!$B$12</f>
        <v>10</v>
      </c>
      <c r="C1720" s="15">
        <f>'Curvas SRY'!$E$10</f>
        <v>1.25</v>
      </c>
      <c r="D1720" s="14" t="str">
        <f>'Curvas SRY'!$B$14</f>
        <v>Uso variable</v>
      </c>
      <c r="E1720" s="14">
        <f>37</f>
        <v>37</v>
      </c>
      <c r="F1720" s="21">
        <f>'Hoja 4 - Cálculo'!A61</f>
        <v>30682</v>
      </c>
      <c r="G1720" s="15">
        <f>'Hoja 4 - Cálculo'!H61</f>
        <v>10.920375</v>
      </c>
      <c r="H1720" s="15">
        <f>IF(D1720="Uso único",'Hoja 4 - Cálculo'!I61,IF(D1720="Uso múltiple",AVERAGE('Hoja 4 - Cálculo'!$I$25:$I$384)+AVERAGE('Hoja 4 - Cálculo'!$J$25:$J$384)+AVERAGE('Hoja 4 - Cálculo'!$K$25:$K$384),IF(D1720="Uso prioritario",'Hoja 4 - Cálculo'!I61+'Hoja 4 - Cálculo'!K61,'Hoja 4 - Cálculo'!I61+'Hoja 4 - Cálculo'!J61+'Hoja 4 - Cálculo'!K61)))</f>
        <v>16</v>
      </c>
      <c r="I1720" s="15">
        <f t="shared" si="380"/>
        <v>20</v>
      </c>
      <c r="J1720" s="15">
        <f t="shared" si="391"/>
        <v>5.4125025000000022</v>
      </c>
      <c r="K1720" s="15">
        <f>MIN(J1720+G1720,(J1720+G1720)*'Hoja 4 - Cálculo'!$B$15)</f>
        <v>0.32665755000000007</v>
      </c>
      <c r="L1720" s="15">
        <f t="shared" si="381"/>
        <v>16.006219950000002</v>
      </c>
      <c r="M1720" s="15">
        <f t="shared" si="382"/>
        <v>16.006219950000002</v>
      </c>
      <c r="N1720" s="15">
        <f t="shared" si="383"/>
        <v>0</v>
      </c>
      <c r="O1720" s="15">
        <f t="shared" si="384"/>
        <v>0</v>
      </c>
      <c r="P1720" s="15">
        <f t="shared" si="385"/>
        <v>3.993780049999998</v>
      </c>
      <c r="Q1720" s="14" t="str">
        <f>IF(M1720&gt;=I1720*'Hoja 4 - Cálculo'!$B$16,"Satisfactorio","Falla")</f>
        <v>Falla</v>
      </c>
      <c r="R1720" s="14">
        <f t="shared" si="392"/>
        <v>0</v>
      </c>
      <c r="S1720" s="14">
        <f t="shared" si="393"/>
        <v>1</v>
      </c>
    </row>
    <row r="1721" spans="1:19">
      <c r="A1721" s="14" t="str">
        <f t="shared" si="390"/>
        <v>SRY-5-3</v>
      </c>
      <c r="B1721" s="15">
        <f>'Curvas SRY'!$B$12</f>
        <v>10</v>
      </c>
      <c r="C1721" s="15">
        <f>'Curvas SRY'!$E$10</f>
        <v>1.25</v>
      </c>
      <c r="D1721" s="14" t="str">
        <f>'Curvas SRY'!$B$14</f>
        <v>Uso variable</v>
      </c>
      <c r="E1721" s="14">
        <f>38</f>
        <v>38</v>
      </c>
      <c r="F1721" s="21">
        <f>'Hoja 4 - Cálculo'!A62</f>
        <v>30713</v>
      </c>
      <c r="G1721" s="15">
        <f>'Hoja 4 - Cálculo'!H62</f>
        <v>13.04325</v>
      </c>
      <c r="H1721" s="15">
        <f>IF(D1721="Uso único",'Hoja 4 - Cálculo'!I62,IF(D1721="Uso múltiple",AVERAGE('Hoja 4 - Cálculo'!$I$25:$I$384)+AVERAGE('Hoja 4 - Cálculo'!$J$25:$J$384)+AVERAGE('Hoja 4 - Cálculo'!$K$25:$K$384),IF(D1721="Uso prioritario",'Hoja 4 - Cálculo'!I62+'Hoja 4 - Cálculo'!K62,'Hoja 4 - Cálculo'!I62+'Hoja 4 - Cálculo'!J62+'Hoja 4 - Cálculo'!K62)))</f>
        <v>16</v>
      </c>
      <c r="I1721" s="15">
        <f t="shared" si="380"/>
        <v>20</v>
      </c>
      <c r="J1721" s="15">
        <f t="shared" si="391"/>
        <v>0</v>
      </c>
      <c r="K1721" s="15">
        <f>MIN(J1721+G1721,(J1721+G1721)*'Hoja 4 - Cálculo'!$B$15)</f>
        <v>0.26086500000000001</v>
      </c>
      <c r="L1721" s="15">
        <f t="shared" si="381"/>
        <v>12.782385</v>
      </c>
      <c r="M1721" s="15">
        <f t="shared" si="382"/>
        <v>12.782385</v>
      </c>
      <c r="N1721" s="15">
        <f t="shared" si="383"/>
        <v>0</v>
      </c>
      <c r="O1721" s="15">
        <f t="shared" si="384"/>
        <v>0</v>
      </c>
      <c r="P1721" s="15">
        <f t="shared" si="385"/>
        <v>7.2176150000000003</v>
      </c>
      <c r="Q1721" s="14" t="str">
        <f>IF(M1721&gt;=I1721*'Hoja 4 - Cálculo'!$B$16,"Satisfactorio","Falla")</f>
        <v>Falla</v>
      </c>
      <c r="R1721" s="14">
        <f t="shared" si="392"/>
        <v>0</v>
      </c>
      <c r="S1721" s="14">
        <f t="shared" si="393"/>
        <v>0</v>
      </c>
    </row>
    <row r="1722" spans="1:19">
      <c r="A1722" s="14" t="str">
        <f t="shared" si="390"/>
        <v>SRY-5-3</v>
      </c>
      <c r="B1722" s="15">
        <f>'Curvas SRY'!$B$12</f>
        <v>10</v>
      </c>
      <c r="C1722" s="15">
        <f>'Curvas SRY'!$E$10</f>
        <v>1.25</v>
      </c>
      <c r="D1722" s="14" t="str">
        <f>'Curvas SRY'!$B$14</f>
        <v>Uso variable</v>
      </c>
      <c r="E1722" s="14">
        <f>39</f>
        <v>39</v>
      </c>
      <c r="F1722" s="21">
        <f>'Hoja 4 - Cálculo'!A63</f>
        <v>30742</v>
      </c>
      <c r="G1722" s="15">
        <f>'Hoja 4 - Cálculo'!H63</f>
        <v>20.272500000000001</v>
      </c>
      <c r="H1722" s="15">
        <f>IF(D1722="Uso único",'Hoja 4 - Cálculo'!I63,IF(D1722="Uso múltiple",AVERAGE('Hoja 4 - Cálculo'!$I$25:$I$384)+AVERAGE('Hoja 4 - Cálculo'!$J$25:$J$384)+AVERAGE('Hoja 4 - Cálculo'!$K$25:$K$384),IF(D1722="Uso prioritario",'Hoja 4 - Cálculo'!I63+'Hoja 4 - Cálculo'!K63,'Hoja 4 - Cálculo'!I63+'Hoja 4 - Cálculo'!J63+'Hoja 4 - Cálculo'!K63)))</f>
        <v>16</v>
      </c>
      <c r="I1722" s="15">
        <f t="shared" si="380"/>
        <v>20</v>
      </c>
      <c r="J1722" s="15">
        <f t="shared" si="391"/>
        <v>0</v>
      </c>
      <c r="K1722" s="15">
        <f>MIN(J1722+G1722,(J1722+G1722)*'Hoja 4 - Cálculo'!$B$15)</f>
        <v>0.40545000000000003</v>
      </c>
      <c r="L1722" s="15">
        <f t="shared" si="381"/>
        <v>19.867050000000003</v>
      </c>
      <c r="M1722" s="15">
        <f t="shared" si="382"/>
        <v>19.867050000000003</v>
      </c>
      <c r="N1722" s="15">
        <f t="shared" si="383"/>
        <v>0</v>
      </c>
      <c r="O1722" s="15">
        <f t="shared" si="384"/>
        <v>0</v>
      </c>
      <c r="P1722" s="15">
        <f t="shared" si="385"/>
        <v>0.13294999999999746</v>
      </c>
      <c r="Q1722" s="14" t="str">
        <f>IF(M1722&gt;=I1722*'Hoja 4 - Cálculo'!$B$16,"Satisfactorio","Falla")</f>
        <v>Falla</v>
      </c>
      <c r="R1722" s="14">
        <f t="shared" si="392"/>
        <v>0</v>
      </c>
      <c r="S1722" s="14">
        <f t="shared" si="393"/>
        <v>0</v>
      </c>
    </row>
    <row r="1723" spans="1:19">
      <c r="A1723" s="14" t="str">
        <f t="shared" si="390"/>
        <v>SRY-5-3</v>
      </c>
      <c r="B1723" s="15">
        <f>'Curvas SRY'!$B$12</f>
        <v>10</v>
      </c>
      <c r="C1723" s="15">
        <f>'Curvas SRY'!$E$10</f>
        <v>1.25</v>
      </c>
      <c r="D1723" s="14" t="str">
        <f>'Curvas SRY'!$B$14</f>
        <v>Uso variable</v>
      </c>
      <c r="E1723" s="14">
        <f>40</f>
        <v>40</v>
      </c>
      <c r="F1723" s="21">
        <f>'Hoja 4 - Cálculo'!A64</f>
        <v>30773</v>
      </c>
      <c r="G1723" s="15">
        <f>'Hoja 4 - Cálculo'!H64</f>
        <v>27.922499999999999</v>
      </c>
      <c r="H1723" s="15">
        <f>IF(D1723="Uso único",'Hoja 4 - Cálculo'!I64,IF(D1723="Uso múltiple",AVERAGE('Hoja 4 - Cálculo'!$I$25:$I$384)+AVERAGE('Hoja 4 - Cálculo'!$J$25:$J$384)+AVERAGE('Hoja 4 - Cálculo'!$K$25:$K$384),IF(D1723="Uso prioritario",'Hoja 4 - Cálculo'!I64+'Hoja 4 - Cálculo'!K64,'Hoja 4 - Cálculo'!I64+'Hoja 4 - Cálculo'!J64+'Hoja 4 - Cálculo'!K64)))</f>
        <v>11.5</v>
      </c>
      <c r="I1723" s="15">
        <f t="shared" si="380"/>
        <v>14.375</v>
      </c>
      <c r="J1723" s="15">
        <f t="shared" si="391"/>
        <v>0</v>
      </c>
      <c r="K1723" s="15">
        <f>MIN(J1723+G1723,(J1723+G1723)*'Hoja 4 - Cálculo'!$B$15)</f>
        <v>0.55845</v>
      </c>
      <c r="L1723" s="15">
        <f t="shared" si="381"/>
        <v>27.364049999999999</v>
      </c>
      <c r="M1723" s="15">
        <f t="shared" si="382"/>
        <v>14.375</v>
      </c>
      <c r="N1723" s="15">
        <f t="shared" si="383"/>
        <v>10</v>
      </c>
      <c r="O1723" s="15">
        <f t="shared" si="384"/>
        <v>2.9890499999999989</v>
      </c>
      <c r="P1723" s="15">
        <f t="shared" si="385"/>
        <v>0</v>
      </c>
      <c r="Q1723" s="14" t="str">
        <f>IF(M1723&gt;=I1723*'Hoja 4 - Cálculo'!$B$16,"Satisfactorio","Falla")</f>
        <v>Satisfactorio</v>
      </c>
      <c r="R1723" s="14">
        <f t="shared" si="392"/>
        <v>1</v>
      </c>
      <c r="S1723" s="14">
        <f t="shared" si="393"/>
        <v>0</v>
      </c>
    </row>
    <row r="1724" spans="1:19">
      <c r="A1724" s="14" t="str">
        <f t="shared" si="390"/>
        <v>SRY-5-3</v>
      </c>
      <c r="B1724" s="15">
        <f>'Curvas SRY'!$B$12</f>
        <v>10</v>
      </c>
      <c r="C1724" s="15">
        <f>'Curvas SRY'!$E$10</f>
        <v>1.25</v>
      </c>
      <c r="D1724" s="14" t="str">
        <f>'Curvas SRY'!$B$14</f>
        <v>Uso variable</v>
      </c>
      <c r="E1724" s="14">
        <f>41</f>
        <v>41</v>
      </c>
      <c r="F1724" s="21">
        <f>'Hoja 4 - Cálculo'!A65</f>
        <v>30803</v>
      </c>
      <c r="G1724" s="15">
        <f>'Hoja 4 - Cálculo'!H65</f>
        <v>23.657624999999999</v>
      </c>
      <c r="H1724" s="15">
        <f>IF(D1724="Uso único",'Hoja 4 - Cálculo'!I65,IF(D1724="Uso múltiple",AVERAGE('Hoja 4 - Cálculo'!$I$25:$I$384)+AVERAGE('Hoja 4 - Cálculo'!$J$25:$J$384)+AVERAGE('Hoja 4 - Cálculo'!$K$25:$K$384),IF(D1724="Uso prioritario",'Hoja 4 - Cálculo'!I65+'Hoja 4 - Cálculo'!K65,'Hoja 4 - Cálculo'!I65+'Hoja 4 - Cálculo'!J65+'Hoja 4 - Cálculo'!K65)))</f>
        <v>11.5</v>
      </c>
      <c r="I1724" s="15">
        <f t="shared" si="380"/>
        <v>14.375</v>
      </c>
      <c r="J1724" s="15">
        <f t="shared" si="391"/>
        <v>10</v>
      </c>
      <c r="K1724" s="15">
        <f>MIN(J1724+G1724,(J1724+G1724)*'Hoja 4 - Cálculo'!$B$15)</f>
        <v>0.67315249999999993</v>
      </c>
      <c r="L1724" s="15">
        <f t="shared" si="381"/>
        <v>32.984472499999995</v>
      </c>
      <c r="M1724" s="15">
        <f t="shared" si="382"/>
        <v>14.375</v>
      </c>
      <c r="N1724" s="15">
        <f t="shared" si="383"/>
        <v>10</v>
      </c>
      <c r="O1724" s="15">
        <f t="shared" si="384"/>
        <v>8.6094724999999954</v>
      </c>
      <c r="P1724" s="15">
        <f t="shared" si="385"/>
        <v>0</v>
      </c>
      <c r="Q1724" s="14" t="str">
        <f>IF(M1724&gt;=I1724*'Hoja 4 - Cálculo'!$B$16,"Satisfactorio","Falla")</f>
        <v>Satisfactorio</v>
      </c>
      <c r="R1724" s="14">
        <f t="shared" si="392"/>
        <v>0</v>
      </c>
      <c r="S1724" s="14">
        <f t="shared" si="393"/>
        <v>0</v>
      </c>
    </row>
    <row r="1725" spans="1:19">
      <c r="A1725" s="14" t="str">
        <f t="shared" si="390"/>
        <v>SRY-5-3</v>
      </c>
      <c r="B1725" s="15">
        <f>'Curvas SRY'!$B$12</f>
        <v>10</v>
      </c>
      <c r="C1725" s="15">
        <f>'Curvas SRY'!$E$10</f>
        <v>1.25</v>
      </c>
      <c r="D1725" s="14" t="str">
        <f>'Curvas SRY'!$B$14</f>
        <v>Uso variable</v>
      </c>
      <c r="E1725" s="14">
        <f>42</f>
        <v>42</v>
      </c>
      <c r="F1725" s="21">
        <f>'Hoja 4 - Cálculo'!A66</f>
        <v>30834</v>
      </c>
      <c r="G1725" s="15">
        <f>'Hoja 4 - Cálculo'!H66</f>
        <v>14.554125000000001</v>
      </c>
      <c r="H1725" s="15">
        <f>IF(D1725="Uso único",'Hoja 4 - Cálculo'!I66,IF(D1725="Uso múltiple",AVERAGE('Hoja 4 - Cálculo'!$I$25:$I$384)+AVERAGE('Hoja 4 - Cálculo'!$J$25:$J$384)+AVERAGE('Hoja 4 - Cálculo'!$K$25:$K$384),IF(D1725="Uso prioritario",'Hoja 4 - Cálculo'!I66+'Hoja 4 - Cálculo'!K66,'Hoja 4 - Cálculo'!I66+'Hoja 4 - Cálculo'!J66+'Hoja 4 - Cálculo'!K66)))</f>
        <v>11.5</v>
      </c>
      <c r="I1725" s="15">
        <f t="shared" si="380"/>
        <v>14.375</v>
      </c>
      <c r="J1725" s="15">
        <f t="shared" si="391"/>
        <v>10</v>
      </c>
      <c r="K1725" s="15">
        <f>MIN(J1725+G1725,(J1725+G1725)*'Hoja 4 - Cálculo'!$B$15)</f>
        <v>0.49108249999999998</v>
      </c>
      <c r="L1725" s="15">
        <f t="shared" si="381"/>
        <v>24.063042499999998</v>
      </c>
      <c r="M1725" s="15">
        <f t="shared" si="382"/>
        <v>14.375</v>
      </c>
      <c r="N1725" s="15">
        <f t="shared" si="383"/>
        <v>9.6880424999999981</v>
      </c>
      <c r="O1725" s="15">
        <f t="shared" si="384"/>
        <v>0</v>
      </c>
      <c r="P1725" s="15">
        <f t="shared" si="385"/>
        <v>0</v>
      </c>
      <c r="Q1725" s="14" t="str">
        <f>IF(M1725&gt;=I1725*'Hoja 4 - Cálculo'!$B$16,"Satisfactorio","Falla")</f>
        <v>Satisfactorio</v>
      </c>
      <c r="R1725" s="14">
        <f t="shared" si="392"/>
        <v>0</v>
      </c>
      <c r="S1725" s="14">
        <f t="shared" si="393"/>
        <v>0</v>
      </c>
    </row>
    <row r="1726" spans="1:19">
      <c r="A1726" s="14" t="str">
        <f t="shared" si="390"/>
        <v>SRY-5-3</v>
      </c>
      <c r="B1726" s="15">
        <f>'Curvas SRY'!$B$12</f>
        <v>10</v>
      </c>
      <c r="C1726" s="15">
        <f>'Curvas SRY'!$E$10</f>
        <v>1.25</v>
      </c>
      <c r="D1726" s="14" t="str">
        <f>'Curvas SRY'!$B$14</f>
        <v>Uso variable</v>
      </c>
      <c r="E1726" s="14">
        <f>43</f>
        <v>43</v>
      </c>
      <c r="F1726" s="21">
        <f>'Hoja 4 - Cálculo'!A67</f>
        <v>30864</v>
      </c>
      <c r="G1726" s="15">
        <f>'Hoja 4 - Cálculo'!H67</f>
        <v>12.794625</v>
      </c>
      <c r="H1726" s="15">
        <f>IF(D1726="Uso único",'Hoja 4 - Cálculo'!I67,IF(D1726="Uso múltiple",AVERAGE('Hoja 4 - Cálculo'!$I$25:$I$384)+AVERAGE('Hoja 4 - Cálculo'!$J$25:$J$384)+AVERAGE('Hoja 4 - Cálculo'!$K$25:$K$384),IF(D1726="Uso prioritario",'Hoja 4 - Cálculo'!I67+'Hoja 4 - Cálculo'!K67,'Hoja 4 - Cálculo'!I67+'Hoja 4 - Cálculo'!J67+'Hoja 4 - Cálculo'!K67)))</f>
        <v>16</v>
      </c>
      <c r="I1726" s="15">
        <f t="shared" si="380"/>
        <v>20</v>
      </c>
      <c r="J1726" s="15">
        <f t="shared" si="391"/>
        <v>9.6880424999999981</v>
      </c>
      <c r="K1726" s="15">
        <f>MIN(J1726+G1726,(J1726+G1726)*'Hoja 4 - Cálculo'!$B$15)</f>
        <v>0.44965334999999995</v>
      </c>
      <c r="L1726" s="15">
        <f t="shared" si="381"/>
        <v>22.03301415</v>
      </c>
      <c r="M1726" s="15">
        <f t="shared" si="382"/>
        <v>20</v>
      </c>
      <c r="N1726" s="15">
        <f t="shared" si="383"/>
        <v>2.0330141499999996</v>
      </c>
      <c r="O1726" s="15">
        <f t="shared" si="384"/>
        <v>0</v>
      </c>
      <c r="P1726" s="15">
        <f t="shared" si="385"/>
        <v>0</v>
      </c>
      <c r="Q1726" s="14" t="str">
        <f>IF(M1726&gt;=I1726*'Hoja 4 - Cálculo'!$B$16,"Satisfactorio","Falla")</f>
        <v>Satisfactorio</v>
      </c>
      <c r="R1726" s="14">
        <f t="shared" si="392"/>
        <v>0</v>
      </c>
      <c r="S1726" s="14">
        <f t="shared" si="393"/>
        <v>0</v>
      </c>
    </row>
    <row r="1727" spans="1:19">
      <c r="A1727" s="14" t="str">
        <f t="shared" si="390"/>
        <v>SRY-5-3</v>
      </c>
      <c r="B1727" s="15">
        <f>'Curvas SRY'!$B$12</f>
        <v>10</v>
      </c>
      <c r="C1727" s="15">
        <f>'Curvas SRY'!$E$10</f>
        <v>1.25</v>
      </c>
      <c r="D1727" s="14" t="str">
        <f>'Curvas SRY'!$B$14</f>
        <v>Uso variable</v>
      </c>
      <c r="E1727" s="14">
        <f>44</f>
        <v>44</v>
      </c>
      <c r="F1727" s="21">
        <f>'Hoja 4 - Cálculo'!A68</f>
        <v>30895</v>
      </c>
      <c r="G1727" s="15">
        <f>'Hoja 4 - Cálculo'!H68</f>
        <v>13.6935</v>
      </c>
      <c r="H1727" s="15">
        <f>IF(D1727="Uso único",'Hoja 4 - Cálculo'!I68,IF(D1727="Uso múltiple",AVERAGE('Hoja 4 - Cálculo'!$I$25:$I$384)+AVERAGE('Hoja 4 - Cálculo'!$J$25:$J$384)+AVERAGE('Hoja 4 - Cálculo'!$K$25:$K$384),IF(D1727="Uso prioritario",'Hoja 4 - Cálculo'!I68+'Hoja 4 - Cálculo'!K68,'Hoja 4 - Cálculo'!I68+'Hoja 4 - Cálculo'!J68+'Hoja 4 - Cálculo'!K68)))</f>
        <v>16</v>
      </c>
      <c r="I1727" s="15">
        <f t="shared" si="380"/>
        <v>20</v>
      </c>
      <c r="J1727" s="15">
        <f t="shared" si="391"/>
        <v>2.0330141499999996</v>
      </c>
      <c r="K1727" s="15">
        <f>MIN(J1727+G1727,(J1727+G1727)*'Hoja 4 - Cálculo'!$B$15)</f>
        <v>0.31453028300000002</v>
      </c>
      <c r="L1727" s="15">
        <f t="shared" si="381"/>
        <v>15.411983867</v>
      </c>
      <c r="M1727" s="15">
        <f t="shared" si="382"/>
        <v>15.411983867</v>
      </c>
      <c r="N1727" s="15">
        <f t="shared" si="383"/>
        <v>0</v>
      </c>
      <c r="O1727" s="15">
        <f t="shared" si="384"/>
        <v>0</v>
      </c>
      <c r="P1727" s="15">
        <f t="shared" si="385"/>
        <v>4.588016133</v>
      </c>
      <c r="Q1727" s="14" t="str">
        <f>IF(M1727&gt;=I1727*'Hoja 4 - Cálculo'!$B$16,"Satisfactorio","Falla")</f>
        <v>Falla</v>
      </c>
      <c r="R1727" s="14">
        <f t="shared" si="392"/>
        <v>0</v>
      </c>
      <c r="S1727" s="14">
        <f t="shared" si="393"/>
        <v>1</v>
      </c>
    </row>
    <row r="1728" spans="1:19">
      <c r="A1728" s="14" t="str">
        <f t="shared" si="390"/>
        <v>SRY-5-3</v>
      </c>
      <c r="B1728" s="15">
        <f>'Curvas SRY'!$B$12</f>
        <v>10</v>
      </c>
      <c r="C1728" s="15">
        <f>'Curvas SRY'!$E$10</f>
        <v>1.25</v>
      </c>
      <c r="D1728" s="14" t="str">
        <f>'Curvas SRY'!$B$14</f>
        <v>Uso variable</v>
      </c>
      <c r="E1728" s="14">
        <f>45</f>
        <v>45</v>
      </c>
      <c r="F1728" s="21">
        <f>'Hoja 4 - Cálculo'!A69</f>
        <v>30926</v>
      </c>
      <c r="G1728" s="15">
        <f>'Hoja 4 - Cálculo'!H69</f>
        <v>20.521125000000001</v>
      </c>
      <c r="H1728" s="15">
        <f>IF(D1728="Uso único",'Hoja 4 - Cálculo'!I69,IF(D1728="Uso múltiple",AVERAGE('Hoja 4 - Cálculo'!$I$25:$I$384)+AVERAGE('Hoja 4 - Cálculo'!$J$25:$J$384)+AVERAGE('Hoja 4 - Cálculo'!$K$25:$K$384),IF(D1728="Uso prioritario",'Hoja 4 - Cálculo'!I69+'Hoja 4 - Cálculo'!K69,'Hoja 4 - Cálculo'!I69+'Hoja 4 - Cálculo'!J69+'Hoja 4 - Cálculo'!K69)))</f>
        <v>11.5</v>
      </c>
      <c r="I1728" s="15">
        <f t="shared" si="380"/>
        <v>14.375</v>
      </c>
      <c r="J1728" s="15">
        <f t="shared" si="391"/>
        <v>0</v>
      </c>
      <c r="K1728" s="15">
        <f>MIN(J1728+G1728,(J1728+G1728)*'Hoja 4 - Cálculo'!$B$15)</f>
        <v>0.41042250000000002</v>
      </c>
      <c r="L1728" s="15">
        <f t="shared" si="381"/>
        <v>20.110702500000002</v>
      </c>
      <c r="M1728" s="15">
        <f t="shared" si="382"/>
        <v>14.375</v>
      </c>
      <c r="N1728" s="15">
        <f t="shared" si="383"/>
        <v>5.7357025000000021</v>
      </c>
      <c r="O1728" s="15">
        <f t="shared" si="384"/>
        <v>0</v>
      </c>
      <c r="P1728" s="15">
        <f t="shared" si="385"/>
        <v>0</v>
      </c>
      <c r="Q1728" s="14" t="str">
        <f>IF(M1728&gt;=I1728*'Hoja 4 - Cálculo'!$B$16,"Satisfactorio","Falla")</f>
        <v>Satisfactorio</v>
      </c>
      <c r="R1728" s="14">
        <f t="shared" si="392"/>
        <v>1</v>
      </c>
      <c r="S1728" s="14">
        <f t="shared" si="393"/>
        <v>0</v>
      </c>
    </row>
    <row r="1729" spans="1:19">
      <c r="A1729" s="14" t="str">
        <f t="shared" si="390"/>
        <v>SRY-5-3</v>
      </c>
      <c r="B1729" s="15">
        <f>'Curvas SRY'!$B$12</f>
        <v>10</v>
      </c>
      <c r="C1729" s="15">
        <f>'Curvas SRY'!$E$10</f>
        <v>1.25</v>
      </c>
      <c r="D1729" s="14" t="str">
        <f>'Curvas SRY'!$B$14</f>
        <v>Uso variable</v>
      </c>
      <c r="E1729" s="14">
        <f>46</f>
        <v>46</v>
      </c>
      <c r="F1729" s="21">
        <f>'Hoja 4 - Cálculo'!A70</f>
        <v>30956</v>
      </c>
      <c r="G1729" s="15">
        <f>'Hoja 4 - Cálculo'!H70</f>
        <v>27.061875000000001</v>
      </c>
      <c r="H1729" s="15">
        <f>IF(D1729="Uso único",'Hoja 4 - Cálculo'!I70,IF(D1729="Uso múltiple",AVERAGE('Hoja 4 - Cálculo'!$I$25:$I$384)+AVERAGE('Hoja 4 - Cálculo'!$J$25:$J$384)+AVERAGE('Hoja 4 - Cálculo'!$K$25:$K$384),IF(D1729="Uso prioritario",'Hoja 4 - Cálculo'!I70+'Hoja 4 - Cálculo'!K70,'Hoja 4 - Cálculo'!I70+'Hoja 4 - Cálculo'!J70+'Hoja 4 - Cálculo'!K70)))</f>
        <v>11.5</v>
      </c>
      <c r="I1729" s="15">
        <f t="shared" si="380"/>
        <v>14.375</v>
      </c>
      <c r="J1729" s="15">
        <f t="shared" si="391"/>
        <v>5.7357025000000021</v>
      </c>
      <c r="K1729" s="15">
        <f>MIN(J1729+G1729,(J1729+G1729)*'Hoja 4 - Cálculo'!$B$15)</f>
        <v>0.65595155000000005</v>
      </c>
      <c r="L1729" s="15">
        <f t="shared" si="381"/>
        <v>32.141625950000005</v>
      </c>
      <c r="M1729" s="15">
        <f t="shared" si="382"/>
        <v>14.375</v>
      </c>
      <c r="N1729" s="15">
        <f t="shared" si="383"/>
        <v>10</v>
      </c>
      <c r="O1729" s="15">
        <f t="shared" si="384"/>
        <v>7.7666259500000052</v>
      </c>
      <c r="P1729" s="15">
        <f t="shared" si="385"/>
        <v>0</v>
      </c>
      <c r="Q1729" s="14" t="str">
        <f>IF(M1729&gt;=I1729*'Hoja 4 - Cálculo'!$B$16,"Satisfactorio","Falla")</f>
        <v>Satisfactorio</v>
      </c>
      <c r="R1729" s="14">
        <f t="shared" si="392"/>
        <v>0</v>
      </c>
      <c r="S1729" s="14">
        <f t="shared" si="393"/>
        <v>0</v>
      </c>
    </row>
    <row r="1730" spans="1:19">
      <c r="A1730" s="14" t="str">
        <f t="shared" si="390"/>
        <v>SRY-5-3</v>
      </c>
      <c r="B1730" s="15">
        <f>'Curvas SRY'!$B$12</f>
        <v>10</v>
      </c>
      <c r="C1730" s="15">
        <f>'Curvas SRY'!$E$10</f>
        <v>1.25</v>
      </c>
      <c r="D1730" s="14" t="str">
        <f>'Curvas SRY'!$B$14</f>
        <v>Uso variable</v>
      </c>
      <c r="E1730" s="14">
        <f>47</f>
        <v>47</v>
      </c>
      <c r="F1730" s="21">
        <f>'Hoja 4 - Cálculo'!A71</f>
        <v>30987</v>
      </c>
      <c r="G1730" s="15">
        <f>'Hoja 4 - Cálculo'!H71</f>
        <v>24.346125000000001</v>
      </c>
      <c r="H1730" s="15">
        <f>IF(D1730="Uso único",'Hoja 4 - Cálculo'!I71,IF(D1730="Uso múltiple",AVERAGE('Hoja 4 - Cálculo'!$I$25:$I$384)+AVERAGE('Hoja 4 - Cálculo'!$J$25:$J$384)+AVERAGE('Hoja 4 - Cálculo'!$K$25:$K$384),IF(D1730="Uso prioritario",'Hoja 4 - Cálculo'!I71+'Hoja 4 - Cálculo'!K71,'Hoja 4 - Cálculo'!I71+'Hoja 4 - Cálculo'!J71+'Hoja 4 - Cálculo'!K71)))</f>
        <v>11.5</v>
      </c>
      <c r="I1730" s="15">
        <f t="shared" si="380"/>
        <v>14.375</v>
      </c>
      <c r="J1730" s="15">
        <f t="shared" si="391"/>
        <v>10</v>
      </c>
      <c r="K1730" s="15">
        <f>MIN(J1730+G1730,(J1730+G1730)*'Hoja 4 - Cálculo'!$B$15)</f>
        <v>0.68692249999999999</v>
      </c>
      <c r="L1730" s="15">
        <f t="shared" si="381"/>
        <v>33.659202499999999</v>
      </c>
      <c r="M1730" s="15">
        <f t="shared" si="382"/>
        <v>14.375</v>
      </c>
      <c r="N1730" s="15">
        <f t="shared" si="383"/>
        <v>10</v>
      </c>
      <c r="O1730" s="15">
        <f t="shared" si="384"/>
        <v>9.2842024999999992</v>
      </c>
      <c r="P1730" s="15">
        <f t="shared" si="385"/>
        <v>0</v>
      </c>
      <c r="Q1730" s="14" t="str">
        <f>IF(M1730&gt;=I1730*'Hoja 4 - Cálculo'!$B$16,"Satisfactorio","Falla")</f>
        <v>Satisfactorio</v>
      </c>
      <c r="R1730" s="14">
        <f t="shared" si="392"/>
        <v>0</v>
      </c>
      <c r="S1730" s="14">
        <f t="shared" si="393"/>
        <v>0</v>
      </c>
    </row>
    <row r="1731" spans="1:19">
      <c r="A1731" s="14" t="str">
        <f t="shared" si="390"/>
        <v>SRY-5-3</v>
      </c>
      <c r="B1731" s="15">
        <f>'Curvas SRY'!$B$12</f>
        <v>10</v>
      </c>
      <c r="C1731" s="15">
        <f>'Curvas SRY'!$E$10</f>
        <v>1.25</v>
      </c>
      <c r="D1731" s="14" t="str">
        <f>'Curvas SRY'!$B$14</f>
        <v>Uso variable</v>
      </c>
      <c r="E1731" s="14">
        <f>48</f>
        <v>48</v>
      </c>
      <c r="F1731" s="21">
        <f>'Hoja 4 - Cálculo'!A72</f>
        <v>31017</v>
      </c>
      <c r="G1731" s="15">
        <f>'Hoja 4 - Cálculo'!H72</f>
        <v>14.745374999999999</v>
      </c>
      <c r="H1731" s="15">
        <f>IF(D1731="Uso único",'Hoja 4 - Cálculo'!I72,IF(D1731="Uso múltiple",AVERAGE('Hoja 4 - Cálculo'!$I$25:$I$384)+AVERAGE('Hoja 4 - Cálculo'!$J$25:$J$384)+AVERAGE('Hoja 4 - Cálculo'!$K$25:$K$384),IF(D1731="Uso prioritario",'Hoja 4 - Cálculo'!I72+'Hoja 4 - Cálculo'!K72,'Hoja 4 - Cálculo'!I72+'Hoja 4 - Cálculo'!J72+'Hoja 4 - Cálculo'!K72)))</f>
        <v>16</v>
      </c>
      <c r="I1731" s="15">
        <f t="shared" si="380"/>
        <v>20</v>
      </c>
      <c r="J1731" s="15">
        <f t="shared" si="391"/>
        <v>10</v>
      </c>
      <c r="K1731" s="15">
        <f>MIN(J1731+G1731,(J1731+G1731)*'Hoja 4 - Cálculo'!$B$15)</f>
        <v>0.4949075</v>
      </c>
      <c r="L1731" s="15">
        <f t="shared" si="381"/>
        <v>24.250467499999999</v>
      </c>
      <c r="M1731" s="15">
        <f t="shared" si="382"/>
        <v>20</v>
      </c>
      <c r="N1731" s="15">
        <f t="shared" si="383"/>
        <v>4.2504674999999992</v>
      </c>
      <c r="O1731" s="15">
        <f t="shared" si="384"/>
        <v>0</v>
      </c>
      <c r="P1731" s="15">
        <f t="shared" si="385"/>
        <v>0</v>
      </c>
      <c r="Q1731" s="14" t="str">
        <f>IF(M1731&gt;=I1731*'Hoja 4 - Cálculo'!$B$16,"Satisfactorio","Falla")</f>
        <v>Satisfactorio</v>
      </c>
      <c r="R1731" s="14">
        <f t="shared" si="392"/>
        <v>0</v>
      </c>
      <c r="S1731" s="14">
        <f t="shared" si="393"/>
        <v>0</v>
      </c>
    </row>
    <row r="1732" spans="1:19">
      <c r="A1732" s="14" t="str">
        <f t="shared" si="390"/>
        <v>SRY-5-3</v>
      </c>
      <c r="B1732" s="15">
        <f>'Curvas SRY'!$B$12</f>
        <v>10</v>
      </c>
      <c r="C1732" s="15">
        <f>'Curvas SRY'!$E$10</f>
        <v>1.25</v>
      </c>
      <c r="D1732" s="14" t="str">
        <f>'Curvas SRY'!$B$14</f>
        <v>Uso variable</v>
      </c>
      <c r="E1732" s="14">
        <f>49</f>
        <v>49</v>
      </c>
      <c r="F1732" s="21">
        <f>'Hoja 4 - Cálculo'!A73</f>
        <v>31048</v>
      </c>
      <c r="G1732" s="15">
        <f>'Hoja 4 - Cálculo'!H73</f>
        <v>10.767374999999999</v>
      </c>
      <c r="H1732" s="15">
        <f>IF(D1732="Uso único",'Hoja 4 - Cálculo'!I73,IF(D1732="Uso múltiple",AVERAGE('Hoja 4 - Cálculo'!$I$25:$I$384)+AVERAGE('Hoja 4 - Cálculo'!$J$25:$J$384)+AVERAGE('Hoja 4 - Cálculo'!$K$25:$K$384),IF(D1732="Uso prioritario",'Hoja 4 - Cálculo'!I73+'Hoja 4 - Cálculo'!K73,'Hoja 4 - Cálculo'!I73+'Hoja 4 - Cálculo'!J73+'Hoja 4 - Cálculo'!K73)))</f>
        <v>16</v>
      </c>
      <c r="I1732" s="15">
        <f t="shared" ref="I1732:I1795" si="394">H1732*C1732</f>
        <v>20</v>
      </c>
      <c r="J1732" s="15">
        <f t="shared" si="391"/>
        <v>4.2504674999999992</v>
      </c>
      <c r="K1732" s="15">
        <f>MIN(J1732+G1732,(J1732+G1732)*'Hoja 4 - Cálculo'!$B$15)</f>
        <v>0.30035684999999995</v>
      </c>
      <c r="L1732" s="15">
        <f t="shared" ref="L1732:L1795" si="395">MAX(0,J1732+G1732-K1732)</f>
        <v>14.717485649999999</v>
      </c>
      <c r="M1732" s="15">
        <f t="shared" ref="M1732:M1795" si="396">MIN(I1732,L1732)</f>
        <v>14.717485649999999</v>
      </c>
      <c r="N1732" s="15">
        <f t="shared" ref="N1732:N1795" si="397">MIN(B1732,MAX(0,L1732-M1732))</f>
        <v>0</v>
      </c>
      <c r="O1732" s="15">
        <f t="shared" ref="O1732:O1795" si="398">MAX(0,L1732-M1732-B1732)</f>
        <v>0</v>
      </c>
      <c r="P1732" s="15">
        <f t="shared" ref="P1732:P1795" si="399">MAX(0,I1732-M1732)</f>
        <v>5.2825143500000014</v>
      </c>
      <c r="Q1732" s="14" t="str">
        <f>IF(M1732&gt;=I1732*'Hoja 4 - Cálculo'!$B$16,"Satisfactorio","Falla")</f>
        <v>Falla</v>
      </c>
      <c r="R1732" s="14">
        <f t="shared" si="392"/>
        <v>0</v>
      </c>
      <c r="S1732" s="14">
        <f t="shared" si="393"/>
        <v>1</v>
      </c>
    </row>
    <row r="1733" spans="1:19">
      <c r="A1733" s="14" t="str">
        <f t="shared" si="390"/>
        <v>SRY-5-3</v>
      </c>
      <c r="B1733" s="15">
        <f>'Curvas SRY'!$B$12</f>
        <v>10</v>
      </c>
      <c r="C1733" s="15">
        <f>'Curvas SRY'!$E$10</f>
        <v>1.25</v>
      </c>
      <c r="D1733" s="14" t="str">
        <f>'Curvas SRY'!$B$14</f>
        <v>Uso variable</v>
      </c>
      <c r="E1733" s="14">
        <f>50</f>
        <v>50</v>
      </c>
      <c r="F1733" s="21">
        <f>'Hoja 4 - Cálculo'!A74</f>
        <v>31079</v>
      </c>
      <c r="G1733" s="15">
        <f>'Hoja 4 - Cálculo'!H74</f>
        <v>13.464</v>
      </c>
      <c r="H1733" s="15">
        <f>IF(D1733="Uso único",'Hoja 4 - Cálculo'!I74,IF(D1733="Uso múltiple",AVERAGE('Hoja 4 - Cálculo'!$I$25:$I$384)+AVERAGE('Hoja 4 - Cálculo'!$J$25:$J$384)+AVERAGE('Hoja 4 - Cálculo'!$K$25:$K$384),IF(D1733="Uso prioritario",'Hoja 4 - Cálculo'!I74+'Hoja 4 - Cálculo'!K74,'Hoja 4 - Cálculo'!I74+'Hoja 4 - Cálculo'!J74+'Hoja 4 - Cálculo'!K74)))</f>
        <v>16</v>
      </c>
      <c r="I1733" s="15">
        <f t="shared" si="394"/>
        <v>20</v>
      </c>
      <c r="J1733" s="15">
        <f t="shared" si="391"/>
        <v>0</v>
      </c>
      <c r="K1733" s="15">
        <f>MIN(J1733+G1733,(J1733+G1733)*'Hoja 4 - Cálculo'!$B$15)</f>
        <v>0.26928000000000002</v>
      </c>
      <c r="L1733" s="15">
        <f t="shared" si="395"/>
        <v>13.19472</v>
      </c>
      <c r="M1733" s="15">
        <f t="shared" si="396"/>
        <v>13.19472</v>
      </c>
      <c r="N1733" s="15">
        <f t="shared" si="397"/>
        <v>0</v>
      </c>
      <c r="O1733" s="15">
        <f t="shared" si="398"/>
        <v>0</v>
      </c>
      <c r="P1733" s="15">
        <f t="shared" si="399"/>
        <v>6.8052799999999998</v>
      </c>
      <c r="Q1733" s="14" t="str">
        <f>IF(M1733&gt;=I1733*'Hoja 4 - Cálculo'!$B$16,"Satisfactorio","Falla")</f>
        <v>Falla</v>
      </c>
      <c r="R1733" s="14">
        <f t="shared" si="392"/>
        <v>0</v>
      </c>
      <c r="S1733" s="14">
        <f t="shared" si="393"/>
        <v>0</v>
      </c>
    </row>
    <row r="1734" spans="1:19">
      <c r="A1734" s="14" t="str">
        <f t="shared" si="390"/>
        <v>SRY-5-3</v>
      </c>
      <c r="B1734" s="15">
        <f>'Curvas SRY'!$B$12</f>
        <v>10</v>
      </c>
      <c r="C1734" s="15">
        <f>'Curvas SRY'!$E$10</f>
        <v>1.25</v>
      </c>
      <c r="D1734" s="14" t="str">
        <f>'Curvas SRY'!$B$14</f>
        <v>Uso variable</v>
      </c>
      <c r="E1734" s="14">
        <f>51</f>
        <v>51</v>
      </c>
      <c r="F1734" s="21">
        <f>'Hoja 4 - Cálculo'!A75</f>
        <v>31107</v>
      </c>
      <c r="G1734" s="15">
        <f>'Hoja 4 - Cálculo'!H75</f>
        <v>19.450125</v>
      </c>
      <c r="H1734" s="15">
        <f>IF(D1734="Uso único",'Hoja 4 - Cálculo'!I75,IF(D1734="Uso múltiple",AVERAGE('Hoja 4 - Cálculo'!$I$25:$I$384)+AVERAGE('Hoja 4 - Cálculo'!$J$25:$J$384)+AVERAGE('Hoja 4 - Cálculo'!$K$25:$K$384),IF(D1734="Uso prioritario",'Hoja 4 - Cálculo'!I75+'Hoja 4 - Cálculo'!K75,'Hoja 4 - Cálculo'!I75+'Hoja 4 - Cálculo'!J75+'Hoja 4 - Cálculo'!K75)))</f>
        <v>16</v>
      </c>
      <c r="I1734" s="15">
        <f t="shared" si="394"/>
        <v>20</v>
      </c>
      <c r="J1734" s="15">
        <f t="shared" si="391"/>
        <v>0</v>
      </c>
      <c r="K1734" s="15">
        <f>MIN(J1734+G1734,(J1734+G1734)*'Hoja 4 - Cálculo'!$B$15)</f>
        <v>0.38900250000000003</v>
      </c>
      <c r="L1734" s="15">
        <f t="shared" si="395"/>
        <v>19.0611225</v>
      </c>
      <c r="M1734" s="15">
        <f t="shared" si="396"/>
        <v>19.0611225</v>
      </c>
      <c r="N1734" s="15">
        <f t="shared" si="397"/>
        <v>0</v>
      </c>
      <c r="O1734" s="15">
        <f t="shared" si="398"/>
        <v>0</v>
      </c>
      <c r="P1734" s="15">
        <f t="shared" si="399"/>
        <v>0.93887750000000025</v>
      </c>
      <c r="Q1734" s="14" t="str">
        <f>IF(M1734&gt;=I1734*'Hoja 4 - Cálculo'!$B$16,"Satisfactorio","Falla")</f>
        <v>Falla</v>
      </c>
      <c r="R1734" s="14">
        <f t="shared" si="392"/>
        <v>0</v>
      </c>
      <c r="S1734" s="14">
        <f t="shared" si="393"/>
        <v>0</v>
      </c>
    </row>
    <row r="1735" spans="1:19">
      <c r="A1735" s="14" t="str">
        <f t="shared" si="390"/>
        <v>SRY-5-3</v>
      </c>
      <c r="B1735" s="15">
        <f>'Curvas SRY'!$B$12</f>
        <v>10</v>
      </c>
      <c r="C1735" s="15">
        <f>'Curvas SRY'!$E$10</f>
        <v>1.25</v>
      </c>
      <c r="D1735" s="14" t="str">
        <f>'Curvas SRY'!$B$14</f>
        <v>Uso variable</v>
      </c>
      <c r="E1735" s="14">
        <f>52</f>
        <v>52</v>
      </c>
      <c r="F1735" s="21">
        <f>'Hoja 4 - Cálculo'!A76</f>
        <v>31138</v>
      </c>
      <c r="G1735" s="15">
        <f>'Hoja 4 - Cálculo'!H76</f>
        <v>25.51275</v>
      </c>
      <c r="H1735" s="15">
        <f>IF(D1735="Uso único",'Hoja 4 - Cálculo'!I76,IF(D1735="Uso múltiple",AVERAGE('Hoja 4 - Cálculo'!$I$25:$I$384)+AVERAGE('Hoja 4 - Cálculo'!$J$25:$J$384)+AVERAGE('Hoja 4 - Cálculo'!$K$25:$K$384),IF(D1735="Uso prioritario",'Hoja 4 - Cálculo'!I76+'Hoja 4 - Cálculo'!K76,'Hoja 4 - Cálculo'!I76+'Hoja 4 - Cálculo'!J76+'Hoja 4 - Cálculo'!K76)))</f>
        <v>11.5</v>
      </c>
      <c r="I1735" s="15">
        <f t="shared" si="394"/>
        <v>14.375</v>
      </c>
      <c r="J1735" s="15">
        <f t="shared" si="391"/>
        <v>0</v>
      </c>
      <c r="K1735" s="15">
        <f>MIN(J1735+G1735,(J1735+G1735)*'Hoja 4 - Cálculo'!$B$15)</f>
        <v>0.51025500000000001</v>
      </c>
      <c r="L1735" s="15">
        <f t="shared" si="395"/>
        <v>25.002495</v>
      </c>
      <c r="M1735" s="15">
        <f t="shared" si="396"/>
        <v>14.375</v>
      </c>
      <c r="N1735" s="15">
        <f t="shared" si="397"/>
        <v>10</v>
      </c>
      <c r="O1735" s="15">
        <f t="shared" si="398"/>
        <v>0.62749499999999969</v>
      </c>
      <c r="P1735" s="15">
        <f t="shared" si="399"/>
        <v>0</v>
      </c>
      <c r="Q1735" s="14" t="str">
        <f>IF(M1735&gt;=I1735*'Hoja 4 - Cálculo'!$B$16,"Satisfactorio","Falla")</f>
        <v>Satisfactorio</v>
      </c>
      <c r="R1735" s="14">
        <f t="shared" si="392"/>
        <v>1</v>
      </c>
      <c r="S1735" s="14">
        <f t="shared" si="393"/>
        <v>0</v>
      </c>
    </row>
    <row r="1736" spans="1:19">
      <c r="A1736" s="14" t="str">
        <f t="shared" si="390"/>
        <v>SRY-5-3</v>
      </c>
      <c r="B1736" s="15">
        <f>'Curvas SRY'!$B$12</f>
        <v>10</v>
      </c>
      <c r="C1736" s="15">
        <f>'Curvas SRY'!$E$10</f>
        <v>1.25</v>
      </c>
      <c r="D1736" s="14" t="str">
        <f>'Curvas SRY'!$B$14</f>
        <v>Uso variable</v>
      </c>
      <c r="E1736" s="14">
        <f>53</f>
        <v>53</v>
      </c>
      <c r="F1736" s="21">
        <f>'Hoja 4 - Cálculo'!A77</f>
        <v>31168</v>
      </c>
      <c r="G1736" s="15">
        <f>'Hoja 4 - Cálculo'!H77</f>
        <v>24.36525</v>
      </c>
      <c r="H1736" s="15">
        <f>IF(D1736="Uso único",'Hoja 4 - Cálculo'!I77,IF(D1736="Uso múltiple",AVERAGE('Hoja 4 - Cálculo'!$I$25:$I$384)+AVERAGE('Hoja 4 - Cálculo'!$J$25:$J$384)+AVERAGE('Hoja 4 - Cálculo'!$K$25:$K$384),IF(D1736="Uso prioritario",'Hoja 4 - Cálculo'!I77+'Hoja 4 - Cálculo'!K77,'Hoja 4 - Cálculo'!I77+'Hoja 4 - Cálculo'!J77+'Hoja 4 - Cálculo'!K77)))</f>
        <v>11.5</v>
      </c>
      <c r="I1736" s="15">
        <f t="shared" si="394"/>
        <v>14.375</v>
      </c>
      <c r="J1736" s="15">
        <f t="shared" si="391"/>
        <v>10</v>
      </c>
      <c r="K1736" s="15">
        <f>MIN(J1736+G1736,(J1736+G1736)*'Hoja 4 - Cálculo'!$B$15)</f>
        <v>0.68730500000000005</v>
      </c>
      <c r="L1736" s="15">
        <f t="shared" si="395"/>
        <v>33.677945000000001</v>
      </c>
      <c r="M1736" s="15">
        <f t="shared" si="396"/>
        <v>14.375</v>
      </c>
      <c r="N1736" s="15">
        <f t="shared" si="397"/>
        <v>10</v>
      </c>
      <c r="O1736" s="15">
        <f t="shared" si="398"/>
        <v>9.3029450000000011</v>
      </c>
      <c r="P1736" s="15">
        <f t="shared" si="399"/>
        <v>0</v>
      </c>
      <c r="Q1736" s="14" t="str">
        <f>IF(M1736&gt;=I1736*'Hoja 4 - Cálculo'!$B$16,"Satisfactorio","Falla")</f>
        <v>Satisfactorio</v>
      </c>
      <c r="R1736" s="14">
        <f t="shared" si="392"/>
        <v>0</v>
      </c>
      <c r="S1736" s="14">
        <f t="shared" si="393"/>
        <v>0</v>
      </c>
    </row>
    <row r="1737" spans="1:19">
      <c r="A1737" s="14" t="str">
        <f t="shared" si="390"/>
        <v>SRY-5-3</v>
      </c>
      <c r="B1737" s="15">
        <f>'Curvas SRY'!$B$12</f>
        <v>10</v>
      </c>
      <c r="C1737" s="15">
        <f>'Curvas SRY'!$E$10</f>
        <v>1.25</v>
      </c>
      <c r="D1737" s="14" t="str">
        <f>'Curvas SRY'!$B$14</f>
        <v>Uso variable</v>
      </c>
      <c r="E1737" s="14">
        <f>54</f>
        <v>54</v>
      </c>
      <c r="F1737" s="21">
        <f>'Hoja 4 - Cálculo'!A78</f>
        <v>31199</v>
      </c>
      <c r="G1737" s="15">
        <f>'Hoja 4 - Cálculo'!H78</f>
        <v>15.395625000000001</v>
      </c>
      <c r="H1737" s="15">
        <f>IF(D1737="Uso único",'Hoja 4 - Cálculo'!I78,IF(D1737="Uso múltiple",AVERAGE('Hoja 4 - Cálculo'!$I$25:$I$384)+AVERAGE('Hoja 4 - Cálculo'!$J$25:$J$384)+AVERAGE('Hoja 4 - Cálculo'!$K$25:$K$384),IF(D1737="Uso prioritario",'Hoja 4 - Cálculo'!I78+'Hoja 4 - Cálculo'!K78,'Hoja 4 - Cálculo'!I78+'Hoja 4 - Cálculo'!J78+'Hoja 4 - Cálculo'!K78)))</f>
        <v>11.5</v>
      </c>
      <c r="I1737" s="15">
        <f t="shared" si="394"/>
        <v>14.375</v>
      </c>
      <c r="J1737" s="15">
        <f t="shared" si="391"/>
        <v>10</v>
      </c>
      <c r="K1737" s="15">
        <f>MIN(J1737+G1737,(J1737+G1737)*'Hoja 4 - Cálculo'!$B$15)</f>
        <v>0.5079125000000001</v>
      </c>
      <c r="L1737" s="15">
        <f t="shared" si="395"/>
        <v>24.887712500000003</v>
      </c>
      <c r="M1737" s="15">
        <f t="shared" si="396"/>
        <v>14.375</v>
      </c>
      <c r="N1737" s="15">
        <f t="shared" si="397"/>
        <v>10</v>
      </c>
      <c r="O1737" s="15">
        <f t="shared" si="398"/>
        <v>0.51271250000000279</v>
      </c>
      <c r="P1737" s="15">
        <f t="shared" si="399"/>
        <v>0</v>
      </c>
      <c r="Q1737" s="14" t="str">
        <f>IF(M1737&gt;=I1737*'Hoja 4 - Cálculo'!$B$16,"Satisfactorio","Falla")</f>
        <v>Satisfactorio</v>
      </c>
      <c r="R1737" s="14">
        <f t="shared" si="392"/>
        <v>0</v>
      </c>
      <c r="S1737" s="14">
        <f t="shared" si="393"/>
        <v>0</v>
      </c>
    </row>
    <row r="1738" spans="1:19">
      <c r="A1738" s="14" t="str">
        <f t="shared" si="390"/>
        <v>SRY-5-3</v>
      </c>
      <c r="B1738" s="15">
        <f>'Curvas SRY'!$B$12</f>
        <v>10</v>
      </c>
      <c r="C1738" s="15">
        <f>'Curvas SRY'!$E$10</f>
        <v>1.25</v>
      </c>
      <c r="D1738" s="14" t="str">
        <f>'Curvas SRY'!$B$14</f>
        <v>Uso variable</v>
      </c>
      <c r="E1738" s="14">
        <f>55</f>
        <v>55</v>
      </c>
      <c r="F1738" s="21">
        <f>'Hoja 4 - Cálculo'!A79</f>
        <v>31229</v>
      </c>
      <c r="G1738" s="15">
        <f>'Hoja 4 - Cálculo'!H79</f>
        <v>11.742749999999999</v>
      </c>
      <c r="H1738" s="15">
        <f>IF(D1738="Uso único",'Hoja 4 - Cálculo'!I79,IF(D1738="Uso múltiple",AVERAGE('Hoja 4 - Cálculo'!$I$25:$I$384)+AVERAGE('Hoja 4 - Cálculo'!$J$25:$J$384)+AVERAGE('Hoja 4 - Cálculo'!$K$25:$K$384),IF(D1738="Uso prioritario",'Hoja 4 - Cálculo'!I79+'Hoja 4 - Cálculo'!K79,'Hoja 4 - Cálculo'!I79+'Hoja 4 - Cálculo'!J79+'Hoja 4 - Cálculo'!K79)))</f>
        <v>16</v>
      </c>
      <c r="I1738" s="15">
        <f t="shared" si="394"/>
        <v>20</v>
      </c>
      <c r="J1738" s="15">
        <f t="shared" si="391"/>
        <v>10</v>
      </c>
      <c r="K1738" s="15">
        <f>MIN(J1738+G1738,(J1738+G1738)*'Hoja 4 - Cálculo'!$B$15)</f>
        <v>0.43485500000000005</v>
      </c>
      <c r="L1738" s="15">
        <f t="shared" si="395"/>
        <v>21.307895000000002</v>
      </c>
      <c r="M1738" s="15">
        <f t="shared" si="396"/>
        <v>20</v>
      </c>
      <c r="N1738" s="15">
        <f t="shared" si="397"/>
        <v>1.307895000000002</v>
      </c>
      <c r="O1738" s="15">
        <f t="shared" si="398"/>
        <v>0</v>
      </c>
      <c r="P1738" s="15">
        <f t="shared" si="399"/>
        <v>0</v>
      </c>
      <c r="Q1738" s="14" t="str">
        <f>IF(M1738&gt;=I1738*'Hoja 4 - Cálculo'!$B$16,"Satisfactorio","Falla")</f>
        <v>Satisfactorio</v>
      </c>
      <c r="R1738" s="14">
        <f t="shared" si="392"/>
        <v>0</v>
      </c>
      <c r="S1738" s="14">
        <f t="shared" si="393"/>
        <v>0</v>
      </c>
    </row>
    <row r="1739" spans="1:19">
      <c r="A1739" s="14" t="str">
        <f t="shared" si="390"/>
        <v>SRY-5-3</v>
      </c>
      <c r="B1739" s="15">
        <f>'Curvas SRY'!$B$12</f>
        <v>10</v>
      </c>
      <c r="C1739" s="15">
        <f>'Curvas SRY'!$E$10</f>
        <v>1.25</v>
      </c>
      <c r="D1739" s="14" t="str">
        <f>'Curvas SRY'!$B$14</f>
        <v>Uso variable</v>
      </c>
      <c r="E1739" s="14">
        <f>56</f>
        <v>56</v>
      </c>
      <c r="F1739" s="21">
        <f>'Hoja 4 - Cálculo'!A80</f>
        <v>31260</v>
      </c>
      <c r="G1739" s="15">
        <f>'Hoja 4 - Cálculo'!H80</f>
        <v>12.603375</v>
      </c>
      <c r="H1739" s="15">
        <f>IF(D1739="Uso único",'Hoja 4 - Cálculo'!I80,IF(D1739="Uso múltiple",AVERAGE('Hoja 4 - Cálculo'!$I$25:$I$384)+AVERAGE('Hoja 4 - Cálculo'!$J$25:$J$384)+AVERAGE('Hoja 4 - Cálculo'!$K$25:$K$384),IF(D1739="Uso prioritario",'Hoja 4 - Cálculo'!I80+'Hoja 4 - Cálculo'!K80,'Hoja 4 - Cálculo'!I80+'Hoja 4 - Cálculo'!J80+'Hoja 4 - Cálculo'!K80)))</f>
        <v>16</v>
      </c>
      <c r="I1739" s="15">
        <f t="shared" si="394"/>
        <v>20</v>
      </c>
      <c r="J1739" s="15">
        <f t="shared" si="391"/>
        <v>1.307895000000002</v>
      </c>
      <c r="K1739" s="15">
        <f>MIN(J1739+G1739,(J1739+G1739)*'Hoja 4 - Cálculo'!$B$15)</f>
        <v>0.27822540000000007</v>
      </c>
      <c r="L1739" s="15">
        <f t="shared" si="395"/>
        <v>13.633044600000002</v>
      </c>
      <c r="M1739" s="15">
        <f t="shared" si="396"/>
        <v>13.633044600000002</v>
      </c>
      <c r="N1739" s="15">
        <f t="shared" si="397"/>
        <v>0</v>
      </c>
      <c r="O1739" s="15">
        <f t="shared" si="398"/>
        <v>0</v>
      </c>
      <c r="P1739" s="15">
        <f t="shared" si="399"/>
        <v>6.3669553999999984</v>
      </c>
      <c r="Q1739" s="14" t="str">
        <f>IF(M1739&gt;=I1739*'Hoja 4 - Cálculo'!$B$16,"Satisfactorio","Falla")</f>
        <v>Falla</v>
      </c>
      <c r="R1739" s="14">
        <f t="shared" si="392"/>
        <v>0</v>
      </c>
      <c r="S1739" s="14">
        <f t="shared" si="393"/>
        <v>1</v>
      </c>
    </row>
    <row r="1740" spans="1:19">
      <c r="A1740" s="14" t="str">
        <f t="shared" si="390"/>
        <v>SRY-5-3</v>
      </c>
      <c r="B1740" s="15">
        <f>'Curvas SRY'!$B$12</f>
        <v>10</v>
      </c>
      <c r="C1740" s="15">
        <f>'Curvas SRY'!$E$10</f>
        <v>1.25</v>
      </c>
      <c r="D1740" s="14" t="str">
        <f>'Curvas SRY'!$B$14</f>
        <v>Uso variable</v>
      </c>
      <c r="E1740" s="14">
        <f>57</f>
        <v>57</v>
      </c>
      <c r="F1740" s="21">
        <f>'Hoja 4 - Cálculo'!A81</f>
        <v>31291</v>
      </c>
      <c r="G1740" s="15">
        <f>'Hoja 4 - Cálculo'!H81</f>
        <v>21.745125000000002</v>
      </c>
      <c r="H1740" s="15">
        <f>IF(D1740="Uso único",'Hoja 4 - Cálculo'!I81,IF(D1740="Uso múltiple",AVERAGE('Hoja 4 - Cálculo'!$I$25:$I$384)+AVERAGE('Hoja 4 - Cálculo'!$J$25:$J$384)+AVERAGE('Hoja 4 - Cálculo'!$K$25:$K$384),IF(D1740="Uso prioritario",'Hoja 4 - Cálculo'!I81+'Hoja 4 - Cálculo'!K81,'Hoja 4 - Cálculo'!I81+'Hoja 4 - Cálculo'!J81+'Hoja 4 - Cálculo'!K81)))</f>
        <v>11.5</v>
      </c>
      <c r="I1740" s="15">
        <f t="shared" si="394"/>
        <v>14.375</v>
      </c>
      <c r="J1740" s="15">
        <f t="shared" si="391"/>
        <v>0</v>
      </c>
      <c r="K1740" s="15">
        <f>MIN(J1740+G1740,(J1740+G1740)*'Hoja 4 - Cálculo'!$B$15)</f>
        <v>0.43490250000000003</v>
      </c>
      <c r="L1740" s="15">
        <f t="shared" si="395"/>
        <v>21.310222500000002</v>
      </c>
      <c r="M1740" s="15">
        <f t="shared" si="396"/>
        <v>14.375</v>
      </c>
      <c r="N1740" s="15">
        <f t="shared" si="397"/>
        <v>6.9352225000000018</v>
      </c>
      <c r="O1740" s="15">
        <f t="shared" si="398"/>
        <v>0</v>
      </c>
      <c r="P1740" s="15">
        <f t="shared" si="399"/>
        <v>0</v>
      </c>
      <c r="Q1740" s="14" t="str">
        <f>IF(M1740&gt;=I1740*'Hoja 4 - Cálculo'!$B$16,"Satisfactorio","Falla")</f>
        <v>Satisfactorio</v>
      </c>
      <c r="R1740" s="14">
        <f t="shared" si="392"/>
        <v>1</v>
      </c>
      <c r="S1740" s="14">
        <f t="shared" si="393"/>
        <v>0</v>
      </c>
    </row>
    <row r="1741" spans="1:19">
      <c r="A1741" s="14" t="str">
        <f t="shared" si="390"/>
        <v>SRY-5-3</v>
      </c>
      <c r="B1741" s="15">
        <f>'Curvas SRY'!$B$12</f>
        <v>10</v>
      </c>
      <c r="C1741" s="15">
        <f>'Curvas SRY'!$E$10</f>
        <v>1.25</v>
      </c>
      <c r="D1741" s="14" t="str">
        <f>'Curvas SRY'!$B$14</f>
        <v>Uso variable</v>
      </c>
      <c r="E1741" s="14">
        <f>58</f>
        <v>58</v>
      </c>
      <c r="F1741" s="21">
        <f>'Hoja 4 - Cálculo'!A82</f>
        <v>31321</v>
      </c>
      <c r="G1741" s="15">
        <f>'Hoja 4 - Cálculo'!H82</f>
        <v>27.788625</v>
      </c>
      <c r="H1741" s="15">
        <f>IF(D1741="Uso único",'Hoja 4 - Cálculo'!I82,IF(D1741="Uso múltiple",AVERAGE('Hoja 4 - Cálculo'!$I$25:$I$384)+AVERAGE('Hoja 4 - Cálculo'!$J$25:$J$384)+AVERAGE('Hoja 4 - Cálculo'!$K$25:$K$384),IF(D1741="Uso prioritario",'Hoja 4 - Cálculo'!I82+'Hoja 4 - Cálculo'!K82,'Hoja 4 - Cálculo'!I82+'Hoja 4 - Cálculo'!J82+'Hoja 4 - Cálculo'!K82)))</f>
        <v>11.5</v>
      </c>
      <c r="I1741" s="15">
        <f t="shared" si="394"/>
        <v>14.375</v>
      </c>
      <c r="J1741" s="15">
        <f t="shared" si="391"/>
        <v>6.9352225000000018</v>
      </c>
      <c r="K1741" s="15">
        <f>MIN(J1741+G1741,(J1741+G1741)*'Hoja 4 - Cálculo'!$B$15)</f>
        <v>0.69447695000000009</v>
      </c>
      <c r="L1741" s="15">
        <f t="shared" si="395"/>
        <v>34.029370550000003</v>
      </c>
      <c r="M1741" s="15">
        <f t="shared" si="396"/>
        <v>14.375</v>
      </c>
      <c r="N1741" s="15">
        <f t="shared" si="397"/>
        <v>10</v>
      </c>
      <c r="O1741" s="15">
        <f t="shared" si="398"/>
        <v>9.654370550000003</v>
      </c>
      <c r="P1741" s="15">
        <f t="shared" si="399"/>
        <v>0</v>
      </c>
      <c r="Q1741" s="14" t="str">
        <f>IF(M1741&gt;=I1741*'Hoja 4 - Cálculo'!$B$16,"Satisfactorio","Falla")</f>
        <v>Satisfactorio</v>
      </c>
      <c r="R1741" s="14">
        <f t="shared" si="392"/>
        <v>0</v>
      </c>
      <c r="S1741" s="14">
        <f t="shared" si="393"/>
        <v>0</v>
      </c>
    </row>
    <row r="1742" spans="1:19">
      <c r="A1742" s="14" t="str">
        <f t="shared" si="390"/>
        <v>SRY-5-3</v>
      </c>
      <c r="B1742" s="15">
        <f>'Curvas SRY'!$B$12</f>
        <v>10</v>
      </c>
      <c r="C1742" s="15">
        <f>'Curvas SRY'!$E$10</f>
        <v>1.25</v>
      </c>
      <c r="D1742" s="14" t="str">
        <f>'Curvas SRY'!$B$14</f>
        <v>Uso variable</v>
      </c>
      <c r="E1742" s="14">
        <f>59</f>
        <v>59</v>
      </c>
      <c r="F1742" s="21">
        <f>'Hoja 4 - Cálculo'!A83</f>
        <v>31352</v>
      </c>
      <c r="G1742" s="15">
        <f>'Hoja 4 - Cálculo'!H83</f>
        <v>22.22325</v>
      </c>
      <c r="H1742" s="15">
        <f>IF(D1742="Uso único",'Hoja 4 - Cálculo'!I83,IF(D1742="Uso múltiple",AVERAGE('Hoja 4 - Cálculo'!$I$25:$I$384)+AVERAGE('Hoja 4 - Cálculo'!$J$25:$J$384)+AVERAGE('Hoja 4 - Cálculo'!$K$25:$K$384),IF(D1742="Uso prioritario",'Hoja 4 - Cálculo'!I83+'Hoja 4 - Cálculo'!K83,'Hoja 4 - Cálculo'!I83+'Hoja 4 - Cálculo'!J83+'Hoja 4 - Cálculo'!K83)))</f>
        <v>11.5</v>
      </c>
      <c r="I1742" s="15">
        <f t="shared" si="394"/>
        <v>14.375</v>
      </c>
      <c r="J1742" s="15">
        <f t="shared" si="391"/>
        <v>10</v>
      </c>
      <c r="K1742" s="15">
        <f>MIN(J1742+G1742,(J1742+G1742)*'Hoja 4 - Cálculo'!$B$15)</f>
        <v>0.64446500000000007</v>
      </c>
      <c r="L1742" s="15">
        <f t="shared" si="395"/>
        <v>31.578785</v>
      </c>
      <c r="M1742" s="15">
        <f t="shared" si="396"/>
        <v>14.375</v>
      </c>
      <c r="N1742" s="15">
        <f t="shared" si="397"/>
        <v>10</v>
      </c>
      <c r="O1742" s="15">
        <f t="shared" si="398"/>
        <v>7.2037849999999999</v>
      </c>
      <c r="P1742" s="15">
        <f t="shared" si="399"/>
        <v>0</v>
      </c>
      <c r="Q1742" s="14" t="str">
        <f>IF(M1742&gt;=I1742*'Hoja 4 - Cálculo'!$B$16,"Satisfactorio","Falla")</f>
        <v>Satisfactorio</v>
      </c>
      <c r="R1742" s="14">
        <f t="shared" si="392"/>
        <v>0</v>
      </c>
      <c r="S1742" s="14">
        <f t="shared" si="393"/>
        <v>0</v>
      </c>
    </row>
    <row r="1743" spans="1:19">
      <c r="A1743" s="14" t="str">
        <f t="shared" si="390"/>
        <v>SRY-5-3</v>
      </c>
      <c r="B1743" s="15">
        <f>'Curvas SRY'!$B$12</f>
        <v>10</v>
      </c>
      <c r="C1743" s="15">
        <f>'Curvas SRY'!$E$10</f>
        <v>1.25</v>
      </c>
      <c r="D1743" s="14" t="str">
        <f>'Curvas SRY'!$B$14</f>
        <v>Uso variable</v>
      </c>
      <c r="E1743" s="14">
        <f>60</f>
        <v>60</v>
      </c>
      <c r="F1743" s="21">
        <f>'Hoja 4 - Cálculo'!A84</f>
        <v>31382</v>
      </c>
      <c r="G1743" s="15">
        <f>'Hoja 4 - Cálculo'!H84</f>
        <v>14.171625000000001</v>
      </c>
      <c r="H1743" s="15">
        <f>IF(D1743="Uso único",'Hoja 4 - Cálculo'!I84,IF(D1743="Uso múltiple",AVERAGE('Hoja 4 - Cálculo'!$I$25:$I$384)+AVERAGE('Hoja 4 - Cálculo'!$J$25:$J$384)+AVERAGE('Hoja 4 - Cálculo'!$K$25:$K$384),IF(D1743="Uso prioritario",'Hoja 4 - Cálculo'!I84+'Hoja 4 - Cálculo'!K84,'Hoja 4 - Cálculo'!I84+'Hoja 4 - Cálculo'!J84+'Hoja 4 - Cálculo'!K84)))</f>
        <v>16</v>
      </c>
      <c r="I1743" s="15">
        <f t="shared" si="394"/>
        <v>20</v>
      </c>
      <c r="J1743" s="15">
        <f t="shared" si="391"/>
        <v>10</v>
      </c>
      <c r="K1743" s="15">
        <f>MIN(J1743+G1743,(J1743+G1743)*'Hoja 4 - Cálculo'!$B$15)</f>
        <v>0.48343249999999999</v>
      </c>
      <c r="L1743" s="15">
        <f t="shared" si="395"/>
        <v>23.6881925</v>
      </c>
      <c r="M1743" s="15">
        <f t="shared" si="396"/>
        <v>20</v>
      </c>
      <c r="N1743" s="15">
        <f t="shared" si="397"/>
        <v>3.6881924999999995</v>
      </c>
      <c r="O1743" s="15">
        <f t="shared" si="398"/>
        <v>0</v>
      </c>
      <c r="P1743" s="15">
        <f t="shared" si="399"/>
        <v>0</v>
      </c>
      <c r="Q1743" s="14" t="str">
        <f>IF(M1743&gt;=I1743*'Hoja 4 - Cálculo'!$B$16,"Satisfactorio","Falla")</f>
        <v>Satisfactorio</v>
      </c>
      <c r="R1743" s="14">
        <f t="shared" si="392"/>
        <v>0</v>
      </c>
      <c r="S1743" s="14">
        <f t="shared" si="393"/>
        <v>0</v>
      </c>
    </row>
    <row r="1744" spans="1:19">
      <c r="A1744" s="14" t="str">
        <f t="shared" si="390"/>
        <v>SRY-5-3</v>
      </c>
      <c r="B1744" s="15">
        <f>'Curvas SRY'!$B$12</f>
        <v>10</v>
      </c>
      <c r="C1744" s="15">
        <f>'Curvas SRY'!$E$10</f>
        <v>1.25</v>
      </c>
      <c r="D1744" s="14" t="str">
        <f>'Curvas SRY'!$B$14</f>
        <v>Uso variable</v>
      </c>
      <c r="E1744" s="14">
        <f>61</f>
        <v>61</v>
      </c>
      <c r="F1744" s="21">
        <f>'Hoja 4 - Cálculo'!A85</f>
        <v>31413</v>
      </c>
      <c r="G1744" s="15">
        <f>'Hoja 4 - Cálculo'!H85</f>
        <v>12.641624999999999</v>
      </c>
      <c r="H1744" s="15">
        <f>IF(D1744="Uso único",'Hoja 4 - Cálculo'!I85,IF(D1744="Uso múltiple",AVERAGE('Hoja 4 - Cálculo'!$I$25:$I$384)+AVERAGE('Hoja 4 - Cálculo'!$J$25:$J$384)+AVERAGE('Hoja 4 - Cálculo'!$K$25:$K$384),IF(D1744="Uso prioritario",'Hoja 4 - Cálculo'!I85+'Hoja 4 - Cálculo'!K85,'Hoja 4 - Cálculo'!I85+'Hoja 4 - Cálculo'!J85+'Hoja 4 - Cálculo'!K85)))</f>
        <v>16</v>
      </c>
      <c r="I1744" s="15">
        <f t="shared" si="394"/>
        <v>20</v>
      </c>
      <c r="J1744" s="15">
        <f t="shared" si="391"/>
        <v>3.6881924999999995</v>
      </c>
      <c r="K1744" s="15">
        <f>MIN(J1744+G1744,(J1744+G1744)*'Hoja 4 - Cálculo'!$B$15)</f>
        <v>0.32659634999999992</v>
      </c>
      <c r="L1744" s="15">
        <f t="shared" si="395"/>
        <v>16.003221149999998</v>
      </c>
      <c r="M1744" s="15">
        <f t="shared" si="396"/>
        <v>16.003221149999998</v>
      </c>
      <c r="N1744" s="15">
        <f t="shared" si="397"/>
        <v>0</v>
      </c>
      <c r="O1744" s="15">
        <f t="shared" si="398"/>
        <v>0</v>
      </c>
      <c r="P1744" s="15">
        <f t="shared" si="399"/>
        <v>3.9967788500000019</v>
      </c>
      <c r="Q1744" s="14" t="str">
        <f>IF(M1744&gt;=I1744*'Hoja 4 - Cálculo'!$B$16,"Satisfactorio","Falla")</f>
        <v>Falla</v>
      </c>
      <c r="R1744" s="14">
        <f t="shared" si="392"/>
        <v>0</v>
      </c>
      <c r="S1744" s="14">
        <f t="shared" si="393"/>
        <v>1</v>
      </c>
    </row>
    <row r="1745" spans="1:19">
      <c r="A1745" s="14" t="str">
        <f t="shared" si="390"/>
        <v>SRY-5-3</v>
      </c>
      <c r="B1745" s="15">
        <f>'Curvas SRY'!$B$12</f>
        <v>10</v>
      </c>
      <c r="C1745" s="15">
        <f>'Curvas SRY'!$E$10</f>
        <v>1.25</v>
      </c>
      <c r="D1745" s="14" t="str">
        <f>'Curvas SRY'!$B$14</f>
        <v>Uso variable</v>
      </c>
      <c r="E1745" s="14">
        <f>62</f>
        <v>62</v>
      </c>
      <c r="F1745" s="21">
        <f>'Hoja 4 - Cálculo'!A86</f>
        <v>31444</v>
      </c>
      <c r="G1745" s="15">
        <f>'Hoja 4 - Cálculo'!H86</f>
        <v>15.357374999999999</v>
      </c>
      <c r="H1745" s="15">
        <f>IF(D1745="Uso único",'Hoja 4 - Cálculo'!I86,IF(D1745="Uso múltiple",AVERAGE('Hoja 4 - Cálculo'!$I$25:$I$384)+AVERAGE('Hoja 4 - Cálculo'!$J$25:$J$384)+AVERAGE('Hoja 4 - Cálculo'!$K$25:$K$384),IF(D1745="Uso prioritario",'Hoja 4 - Cálculo'!I86+'Hoja 4 - Cálculo'!K86,'Hoja 4 - Cálculo'!I86+'Hoja 4 - Cálculo'!J86+'Hoja 4 - Cálculo'!K86)))</f>
        <v>16</v>
      </c>
      <c r="I1745" s="15">
        <f t="shared" si="394"/>
        <v>20</v>
      </c>
      <c r="J1745" s="15">
        <f t="shared" si="391"/>
        <v>0</v>
      </c>
      <c r="K1745" s="15">
        <f>MIN(J1745+G1745,(J1745+G1745)*'Hoja 4 - Cálculo'!$B$15)</f>
        <v>0.30714750000000002</v>
      </c>
      <c r="L1745" s="15">
        <f t="shared" si="395"/>
        <v>15.0502275</v>
      </c>
      <c r="M1745" s="15">
        <f t="shared" si="396"/>
        <v>15.0502275</v>
      </c>
      <c r="N1745" s="15">
        <f t="shared" si="397"/>
        <v>0</v>
      </c>
      <c r="O1745" s="15">
        <f t="shared" si="398"/>
        <v>0</v>
      </c>
      <c r="P1745" s="15">
        <f t="shared" si="399"/>
        <v>4.9497724999999999</v>
      </c>
      <c r="Q1745" s="14" t="str">
        <f>IF(M1745&gt;=I1745*'Hoja 4 - Cálculo'!$B$16,"Satisfactorio","Falla")</f>
        <v>Falla</v>
      </c>
      <c r="R1745" s="14">
        <f t="shared" si="392"/>
        <v>0</v>
      </c>
      <c r="S1745" s="14">
        <f t="shared" si="393"/>
        <v>0</v>
      </c>
    </row>
    <row r="1746" spans="1:19">
      <c r="A1746" s="14" t="str">
        <f t="shared" si="390"/>
        <v>SRY-5-3</v>
      </c>
      <c r="B1746" s="15">
        <f>'Curvas SRY'!$B$12</f>
        <v>10</v>
      </c>
      <c r="C1746" s="15">
        <f>'Curvas SRY'!$E$10</f>
        <v>1.25</v>
      </c>
      <c r="D1746" s="14" t="str">
        <f>'Curvas SRY'!$B$14</f>
        <v>Uso variable</v>
      </c>
      <c r="E1746" s="14">
        <f>63</f>
        <v>63</v>
      </c>
      <c r="F1746" s="21">
        <f>'Hoja 4 - Cálculo'!A87</f>
        <v>31472</v>
      </c>
      <c r="G1746" s="15">
        <f>'Hoja 4 - Cálculo'!H87</f>
        <v>20.846250000000001</v>
      </c>
      <c r="H1746" s="15">
        <f>IF(D1746="Uso único",'Hoja 4 - Cálculo'!I87,IF(D1746="Uso múltiple",AVERAGE('Hoja 4 - Cálculo'!$I$25:$I$384)+AVERAGE('Hoja 4 - Cálculo'!$J$25:$J$384)+AVERAGE('Hoja 4 - Cálculo'!$K$25:$K$384),IF(D1746="Uso prioritario",'Hoja 4 - Cálculo'!I87+'Hoja 4 - Cálculo'!K87,'Hoja 4 - Cálculo'!I87+'Hoja 4 - Cálculo'!J87+'Hoja 4 - Cálculo'!K87)))</f>
        <v>16</v>
      </c>
      <c r="I1746" s="15">
        <f t="shared" si="394"/>
        <v>20</v>
      </c>
      <c r="J1746" s="15">
        <f t="shared" si="391"/>
        <v>0</v>
      </c>
      <c r="K1746" s="15">
        <f>MIN(J1746+G1746,(J1746+G1746)*'Hoja 4 - Cálculo'!$B$15)</f>
        <v>0.41692500000000005</v>
      </c>
      <c r="L1746" s="15">
        <f t="shared" si="395"/>
        <v>20.429325000000002</v>
      </c>
      <c r="M1746" s="15">
        <f t="shared" si="396"/>
        <v>20</v>
      </c>
      <c r="N1746" s="15">
        <f t="shared" si="397"/>
        <v>0.42932500000000218</v>
      </c>
      <c r="O1746" s="15">
        <f t="shared" si="398"/>
        <v>0</v>
      </c>
      <c r="P1746" s="15">
        <f t="shared" si="399"/>
        <v>0</v>
      </c>
      <c r="Q1746" s="14" t="str">
        <f>IF(M1746&gt;=I1746*'Hoja 4 - Cálculo'!$B$16,"Satisfactorio","Falla")</f>
        <v>Satisfactorio</v>
      </c>
      <c r="R1746" s="14">
        <f t="shared" si="392"/>
        <v>1</v>
      </c>
      <c r="S1746" s="14">
        <f t="shared" si="393"/>
        <v>0</v>
      </c>
    </row>
    <row r="1747" spans="1:19">
      <c r="A1747" s="14" t="str">
        <f t="shared" si="390"/>
        <v>SRY-5-3</v>
      </c>
      <c r="B1747" s="15">
        <f>'Curvas SRY'!$B$12</f>
        <v>10</v>
      </c>
      <c r="C1747" s="15">
        <f>'Curvas SRY'!$E$10</f>
        <v>1.25</v>
      </c>
      <c r="D1747" s="14" t="str">
        <f>'Curvas SRY'!$B$14</f>
        <v>Uso variable</v>
      </c>
      <c r="E1747" s="14">
        <f>64</f>
        <v>64</v>
      </c>
      <c r="F1747" s="21">
        <f>'Hoja 4 - Cálculo'!A88</f>
        <v>31503</v>
      </c>
      <c r="G1747" s="15">
        <f>'Hoja 4 - Cálculo'!H88</f>
        <v>30.638249999999999</v>
      </c>
      <c r="H1747" s="15">
        <f>IF(D1747="Uso único",'Hoja 4 - Cálculo'!I88,IF(D1747="Uso múltiple",AVERAGE('Hoja 4 - Cálculo'!$I$25:$I$384)+AVERAGE('Hoja 4 - Cálculo'!$J$25:$J$384)+AVERAGE('Hoja 4 - Cálculo'!$K$25:$K$384),IF(D1747="Uso prioritario",'Hoja 4 - Cálculo'!I88+'Hoja 4 - Cálculo'!K88,'Hoja 4 - Cálculo'!I88+'Hoja 4 - Cálculo'!J88+'Hoja 4 - Cálculo'!K88)))</f>
        <v>11.5</v>
      </c>
      <c r="I1747" s="15">
        <f t="shared" si="394"/>
        <v>14.375</v>
      </c>
      <c r="J1747" s="15">
        <f t="shared" si="391"/>
        <v>0.42932500000000218</v>
      </c>
      <c r="K1747" s="15">
        <f>MIN(J1747+G1747,(J1747+G1747)*'Hoja 4 - Cálculo'!$B$15)</f>
        <v>0.62135150000000006</v>
      </c>
      <c r="L1747" s="15">
        <f t="shared" si="395"/>
        <v>30.446223500000002</v>
      </c>
      <c r="M1747" s="15">
        <f t="shared" si="396"/>
        <v>14.375</v>
      </c>
      <c r="N1747" s="15">
        <f t="shared" si="397"/>
        <v>10</v>
      </c>
      <c r="O1747" s="15">
        <f t="shared" si="398"/>
        <v>6.0712235000000021</v>
      </c>
      <c r="P1747" s="15">
        <f t="shared" si="399"/>
        <v>0</v>
      </c>
      <c r="Q1747" s="14" t="str">
        <f>IF(M1747&gt;=I1747*'Hoja 4 - Cálculo'!$B$16,"Satisfactorio","Falla")</f>
        <v>Satisfactorio</v>
      </c>
      <c r="R1747" s="14">
        <f t="shared" si="392"/>
        <v>0</v>
      </c>
      <c r="S1747" s="14">
        <f t="shared" si="393"/>
        <v>0</v>
      </c>
    </row>
    <row r="1748" spans="1:19">
      <c r="A1748" s="14" t="str">
        <f t="shared" ref="A1748:A1779" si="400">"SRY-5-3"</f>
        <v>SRY-5-3</v>
      </c>
      <c r="B1748" s="15">
        <f>'Curvas SRY'!$B$12</f>
        <v>10</v>
      </c>
      <c r="C1748" s="15">
        <f>'Curvas SRY'!$E$10</f>
        <v>1.25</v>
      </c>
      <c r="D1748" s="14" t="str">
        <f>'Curvas SRY'!$B$14</f>
        <v>Uso variable</v>
      </c>
      <c r="E1748" s="14">
        <f>65</f>
        <v>65</v>
      </c>
      <c r="F1748" s="21">
        <f>'Hoja 4 - Cálculo'!A89</f>
        <v>31533</v>
      </c>
      <c r="G1748" s="15">
        <f>'Hoja 4 - Cálculo'!H89</f>
        <v>28.438874999999999</v>
      </c>
      <c r="H1748" s="15">
        <f>IF(D1748="Uso único",'Hoja 4 - Cálculo'!I89,IF(D1748="Uso múltiple",AVERAGE('Hoja 4 - Cálculo'!$I$25:$I$384)+AVERAGE('Hoja 4 - Cálculo'!$J$25:$J$384)+AVERAGE('Hoja 4 - Cálculo'!$K$25:$K$384),IF(D1748="Uso prioritario",'Hoja 4 - Cálculo'!I89+'Hoja 4 - Cálculo'!K89,'Hoja 4 - Cálculo'!I89+'Hoja 4 - Cálculo'!J89+'Hoja 4 - Cálculo'!K89)))</f>
        <v>11.5</v>
      </c>
      <c r="I1748" s="15">
        <f t="shared" si="394"/>
        <v>14.375</v>
      </c>
      <c r="J1748" s="15">
        <f t="shared" si="391"/>
        <v>10</v>
      </c>
      <c r="K1748" s="15">
        <f>MIN(J1748+G1748,(J1748+G1748)*'Hoja 4 - Cálculo'!$B$15)</f>
        <v>0.76877749999999989</v>
      </c>
      <c r="L1748" s="15">
        <f t="shared" si="395"/>
        <v>37.670097499999997</v>
      </c>
      <c r="M1748" s="15">
        <f t="shared" si="396"/>
        <v>14.375</v>
      </c>
      <c r="N1748" s="15">
        <f t="shared" si="397"/>
        <v>10</v>
      </c>
      <c r="O1748" s="15">
        <f t="shared" si="398"/>
        <v>13.295097499999997</v>
      </c>
      <c r="P1748" s="15">
        <f t="shared" si="399"/>
        <v>0</v>
      </c>
      <c r="Q1748" s="14" t="str">
        <f>IF(M1748&gt;=I1748*'Hoja 4 - Cálculo'!$B$16,"Satisfactorio","Falla")</f>
        <v>Satisfactorio</v>
      </c>
      <c r="R1748" s="14">
        <f t="shared" si="392"/>
        <v>0</v>
      </c>
      <c r="S1748" s="14">
        <f t="shared" si="393"/>
        <v>0</v>
      </c>
    </row>
    <row r="1749" spans="1:19">
      <c r="A1749" s="14" t="str">
        <f t="shared" si="400"/>
        <v>SRY-5-3</v>
      </c>
      <c r="B1749" s="15">
        <f>'Curvas SRY'!$B$12</f>
        <v>10</v>
      </c>
      <c r="C1749" s="15">
        <f>'Curvas SRY'!$E$10</f>
        <v>1.25</v>
      </c>
      <c r="D1749" s="14" t="str">
        <f>'Curvas SRY'!$B$14</f>
        <v>Uso variable</v>
      </c>
      <c r="E1749" s="14">
        <f>66</f>
        <v>66</v>
      </c>
      <c r="F1749" s="21">
        <f>'Hoja 4 - Cálculo'!A90</f>
        <v>31564</v>
      </c>
      <c r="G1749" s="15">
        <f>'Hoja 4 - Cálculo'!H90</f>
        <v>16.007625000000001</v>
      </c>
      <c r="H1749" s="15">
        <f>IF(D1749="Uso único",'Hoja 4 - Cálculo'!I90,IF(D1749="Uso múltiple",AVERAGE('Hoja 4 - Cálculo'!$I$25:$I$384)+AVERAGE('Hoja 4 - Cálculo'!$J$25:$J$384)+AVERAGE('Hoja 4 - Cálculo'!$K$25:$K$384),IF(D1749="Uso prioritario",'Hoja 4 - Cálculo'!I90+'Hoja 4 - Cálculo'!K90,'Hoja 4 - Cálculo'!I90+'Hoja 4 - Cálculo'!J90+'Hoja 4 - Cálculo'!K90)))</f>
        <v>11.5</v>
      </c>
      <c r="I1749" s="15">
        <f t="shared" si="394"/>
        <v>14.375</v>
      </c>
      <c r="J1749" s="15">
        <f t="shared" ref="J1749:J1780" si="401">N1748</f>
        <v>10</v>
      </c>
      <c r="K1749" s="15">
        <f>MIN(J1749+G1749,(J1749+G1749)*'Hoja 4 - Cálculo'!$B$15)</f>
        <v>0.52015250000000002</v>
      </c>
      <c r="L1749" s="15">
        <f t="shared" si="395"/>
        <v>25.487472500000003</v>
      </c>
      <c r="M1749" s="15">
        <f t="shared" si="396"/>
        <v>14.375</v>
      </c>
      <c r="N1749" s="15">
        <f t="shared" si="397"/>
        <v>10</v>
      </c>
      <c r="O1749" s="15">
        <f t="shared" si="398"/>
        <v>1.1124725000000026</v>
      </c>
      <c r="P1749" s="15">
        <f t="shared" si="399"/>
        <v>0</v>
      </c>
      <c r="Q1749" s="14" t="str">
        <f>IF(M1749&gt;=I1749*'Hoja 4 - Cálculo'!$B$16,"Satisfactorio","Falla")</f>
        <v>Satisfactorio</v>
      </c>
      <c r="R1749" s="14">
        <f t="shared" ref="R1749:R1780" si="402">IF(AND(Q1748="Falla",Q1749="Satisfactorio"),1,0)</f>
        <v>0</v>
      </c>
      <c r="S1749" s="14">
        <f t="shared" ref="S1749:S1780" si="403">IF(AND(Q1749="Falla",Q1748&lt;&gt;"Falla"),1,0)</f>
        <v>0</v>
      </c>
    </row>
    <row r="1750" spans="1:19">
      <c r="A1750" s="14" t="str">
        <f t="shared" si="400"/>
        <v>SRY-5-3</v>
      </c>
      <c r="B1750" s="15">
        <f>'Curvas SRY'!$B$12</f>
        <v>10</v>
      </c>
      <c r="C1750" s="15">
        <f>'Curvas SRY'!$E$10</f>
        <v>1.25</v>
      </c>
      <c r="D1750" s="14" t="str">
        <f>'Curvas SRY'!$B$14</f>
        <v>Uso variable</v>
      </c>
      <c r="E1750" s="14">
        <f>67</f>
        <v>67</v>
      </c>
      <c r="F1750" s="21">
        <f>'Hoja 4 - Cálculo'!A91</f>
        <v>31594</v>
      </c>
      <c r="G1750" s="15">
        <f>'Hoja 4 - Cálculo'!H91</f>
        <v>14.056875</v>
      </c>
      <c r="H1750" s="15">
        <f>IF(D1750="Uso único",'Hoja 4 - Cálculo'!I91,IF(D1750="Uso múltiple",AVERAGE('Hoja 4 - Cálculo'!$I$25:$I$384)+AVERAGE('Hoja 4 - Cálculo'!$J$25:$J$384)+AVERAGE('Hoja 4 - Cálculo'!$K$25:$K$384),IF(D1750="Uso prioritario",'Hoja 4 - Cálculo'!I91+'Hoja 4 - Cálculo'!K91,'Hoja 4 - Cálculo'!I91+'Hoja 4 - Cálculo'!J91+'Hoja 4 - Cálculo'!K91)))</f>
        <v>16</v>
      </c>
      <c r="I1750" s="15">
        <f t="shared" si="394"/>
        <v>20</v>
      </c>
      <c r="J1750" s="15">
        <f t="shared" si="401"/>
        <v>10</v>
      </c>
      <c r="K1750" s="15">
        <f>MIN(J1750+G1750,(J1750+G1750)*'Hoja 4 - Cálculo'!$B$15)</f>
        <v>0.4811375</v>
      </c>
      <c r="L1750" s="15">
        <f t="shared" si="395"/>
        <v>23.575737499999999</v>
      </c>
      <c r="M1750" s="15">
        <f t="shared" si="396"/>
        <v>20</v>
      </c>
      <c r="N1750" s="15">
        <f t="shared" si="397"/>
        <v>3.5757374999999989</v>
      </c>
      <c r="O1750" s="15">
        <f t="shared" si="398"/>
        <v>0</v>
      </c>
      <c r="P1750" s="15">
        <f t="shared" si="399"/>
        <v>0</v>
      </c>
      <c r="Q1750" s="14" t="str">
        <f>IF(M1750&gt;=I1750*'Hoja 4 - Cálculo'!$B$16,"Satisfactorio","Falla")</f>
        <v>Satisfactorio</v>
      </c>
      <c r="R1750" s="14">
        <f t="shared" si="402"/>
        <v>0</v>
      </c>
      <c r="S1750" s="14">
        <f t="shared" si="403"/>
        <v>0</v>
      </c>
    </row>
    <row r="1751" spans="1:19">
      <c r="A1751" s="14" t="str">
        <f t="shared" si="400"/>
        <v>SRY-5-3</v>
      </c>
      <c r="B1751" s="15">
        <f>'Curvas SRY'!$B$12</f>
        <v>10</v>
      </c>
      <c r="C1751" s="15">
        <f>'Curvas SRY'!$E$10</f>
        <v>1.25</v>
      </c>
      <c r="D1751" s="14" t="str">
        <f>'Curvas SRY'!$B$14</f>
        <v>Uso variable</v>
      </c>
      <c r="E1751" s="14">
        <f>68</f>
        <v>68</v>
      </c>
      <c r="F1751" s="21">
        <f>'Hoja 4 - Cálculo'!A92</f>
        <v>31625</v>
      </c>
      <c r="G1751" s="15">
        <f>'Hoja 4 - Cálculo'!H92</f>
        <v>15.032249999999999</v>
      </c>
      <c r="H1751" s="15">
        <f>IF(D1751="Uso único",'Hoja 4 - Cálculo'!I92,IF(D1751="Uso múltiple",AVERAGE('Hoja 4 - Cálculo'!$I$25:$I$384)+AVERAGE('Hoja 4 - Cálculo'!$J$25:$J$384)+AVERAGE('Hoja 4 - Cálculo'!$K$25:$K$384),IF(D1751="Uso prioritario",'Hoja 4 - Cálculo'!I92+'Hoja 4 - Cálculo'!K92,'Hoja 4 - Cálculo'!I92+'Hoja 4 - Cálculo'!J92+'Hoja 4 - Cálculo'!K92)))</f>
        <v>16</v>
      </c>
      <c r="I1751" s="15">
        <f t="shared" si="394"/>
        <v>20</v>
      </c>
      <c r="J1751" s="15">
        <f t="shared" si="401"/>
        <v>3.5757374999999989</v>
      </c>
      <c r="K1751" s="15">
        <f>MIN(J1751+G1751,(J1751+G1751)*'Hoja 4 - Cálculo'!$B$15)</f>
        <v>0.37215975000000001</v>
      </c>
      <c r="L1751" s="15">
        <f t="shared" si="395"/>
        <v>18.235827749999999</v>
      </c>
      <c r="M1751" s="15">
        <f t="shared" si="396"/>
        <v>18.235827749999999</v>
      </c>
      <c r="N1751" s="15">
        <f t="shared" si="397"/>
        <v>0</v>
      </c>
      <c r="O1751" s="15">
        <f t="shared" si="398"/>
        <v>0</v>
      </c>
      <c r="P1751" s="15">
        <f t="shared" si="399"/>
        <v>1.7641722500000014</v>
      </c>
      <c r="Q1751" s="14" t="str">
        <f>IF(M1751&gt;=I1751*'Hoja 4 - Cálculo'!$B$16,"Satisfactorio","Falla")</f>
        <v>Falla</v>
      </c>
      <c r="R1751" s="14">
        <f t="shared" si="402"/>
        <v>0</v>
      </c>
      <c r="S1751" s="14">
        <f t="shared" si="403"/>
        <v>1</v>
      </c>
    </row>
    <row r="1752" spans="1:19">
      <c r="A1752" s="14" t="str">
        <f t="shared" si="400"/>
        <v>SRY-5-3</v>
      </c>
      <c r="B1752" s="15">
        <f>'Curvas SRY'!$B$12</f>
        <v>10</v>
      </c>
      <c r="C1752" s="15">
        <f>'Curvas SRY'!$E$10</f>
        <v>1.25</v>
      </c>
      <c r="D1752" s="14" t="str">
        <f>'Curvas SRY'!$B$14</f>
        <v>Uso variable</v>
      </c>
      <c r="E1752" s="14">
        <f>69</f>
        <v>69</v>
      </c>
      <c r="F1752" s="21">
        <f>'Hoja 4 - Cálculo'!A93</f>
        <v>31656</v>
      </c>
      <c r="G1752" s="15">
        <f>'Hoja 4 - Cálculo'!H93</f>
        <v>22.60575</v>
      </c>
      <c r="H1752" s="15">
        <f>IF(D1752="Uso único",'Hoja 4 - Cálculo'!I93,IF(D1752="Uso múltiple",AVERAGE('Hoja 4 - Cálculo'!$I$25:$I$384)+AVERAGE('Hoja 4 - Cálculo'!$J$25:$J$384)+AVERAGE('Hoja 4 - Cálculo'!$K$25:$K$384),IF(D1752="Uso prioritario",'Hoja 4 - Cálculo'!I93+'Hoja 4 - Cálculo'!K93,'Hoja 4 - Cálculo'!I93+'Hoja 4 - Cálculo'!J93+'Hoja 4 - Cálculo'!K93)))</f>
        <v>11.5</v>
      </c>
      <c r="I1752" s="15">
        <f t="shared" si="394"/>
        <v>14.375</v>
      </c>
      <c r="J1752" s="15">
        <f t="shared" si="401"/>
        <v>0</v>
      </c>
      <c r="K1752" s="15">
        <f>MIN(J1752+G1752,(J1752+G1752)*'Hoja 4 - Cálculo'!$B$15)</f>
        <v>0.45211500000000004</v>
      </c>
      <c r="L1752" s="15">
        <f t="shared" si="395"/>
        <v>22.153635000000001</v>
      </c>
      <c r="M1752" s="15">
        <f t="shared" si="396"/>
        <v>14.375</v>
      </c>
      <c r="N1752" s="15">
        <f t="shared" si="397"/>
        <v>7.7786350000000013</v>
      </c>
      <c r="O1752" s="15">
        <f t="shared" si="398"/>
        <v>0</v>
      </c>
      <c r="P1752" s="15">
        <f t="shared" si="399"/>
        <v>0</v>
      </c>
      <c r="Q1752" s="14" t="str">
        <f>IF(M1752&gt;=I1752*'Hoja 4 - Cálculo'!$B$16,"Satisfactorio","Falla")</f>
        <v>Satisfactorio</v>
      </c>
      <c r="R1752" s="14">
        <f t="shared" si="402"/>
        <v>1</v>
      </c>
      <c r="S1752" s="14">
        <f t="shared" si="403"/>
        <v>0</v>
      </c>
    </row>
    <row r="1753" spans="1:19">
      <c r="A1753" s="14" t="str">
        <f t="shared" si="400"/>
        <v>SRY-5-3</v>
      </c>
      <c r="B1753" s="15">
        <f>'Curvas SRY'!$B$12</f>
        <v>10</v>
      </c>
      <c r="C1753" s="15">
        <f>'Curvas SRY'!$E$10</f>
        <v>1.25</v>
      </c>
      <c r="D1753" s="14" t="str">
        <f>'Curvas SRY'!$B$14</f>
        <v>Uso variable</v>
      </c>
      <c r="E1753" s="14">
        <f>70</f>
        <v>70</v>
      </c>
      <c r="F1753" s="21">
        <f>'Hoja 4 - Cálculo'!A94</f>
        <v>31686</v>
      </c>
      <c r="G1753" s="15">
        <f>'Hoja 4 - Cálculo'!H94</f>
        <v>32.531624999999998</v>
      </c>
      <c r="H1753" s="15">
        <f>IF(D1753="Uso único",'Hoja 4 - Cálculo'!I94,IF(D1753="Uso múltiple",AVERAGE('Hoja 4 - Cálculo'!$I$25:$I$384)+AVERAGE('Hoja 4 - Cálculo'!$J$25:$J$384)+AVERAGE('Hoja 4 - Cálculo'!$K$25:$K$384),IF(D1753="Uso prioritario",'Hoja 4 - Cálculo'!I94+'Hoja 4 - Cálculo'!K94,'Hoja 4 - Cálculo'!I94+'Hoja 4 - Cálculo'!J94+'Hoja 4 - Cálculo'!K94)))</f>
        <v>11.5</v>
      </c>
      <c r="I1753" s="15">
        <f t="shared" si="394"/>
        <v>14.375</v>
      </c>
      <c r="J1753" s="15">
        <f t="shared" si="401"/>
        <v>7.7786350000000013</v>
      </c>
      <c r="K1753" s="15">
        <f>MIN(J1753+G1753,(J1753+G1753)*'Hoja 4 - Cálculo'!$B$15)</f>
        <v>0.80620519999999996</v>
      </c>
      <c r="L1753" s="15">
        <f t="shared" si="395"/>
        <v>39.504054799999999</v>
      </c>
      <c r="M1753" s="15">
        <f t="shared" si="396"/>
        <v>14.375</v>
      </c>
      <c r="N1753" s="15">
        <f t="shared" si="397"/>
        <v>10</v>
      </c>
      <c r="O1753" s="15">
        <f t="shared" si="398"/>
        <v>15.129054799999999</v>
      </c>
      <c r="P1753" s="15">
        <f t="shared" si="399"/>
        <v>0</v>
      </c>
      <c r="Q1753" s="14" t="str">
        <f>IF(M1753&gt;=I1753*'Hoja 4 - Cálculo'!$B$16,"Satisfactorio","Falla")</f>
        <v>Satisfactorio</v>
      </c>
      <c r="R1753" s="14">
        <f t="shared" si="402"/>
        <v>0</v>
      </c>
      <c r="S1753" s="14">
        <f t="shared" si="403"/>
        <v>0</v>
      </c>
    </row>
    <row r="1754" spans="1:19">
      <c r="A1754" s="14" t="str">
        <f t="shared" si="400"/>
        <v>SRY-5-3</v>
      </c>
      <c r="B1754" s="15">
        <f>'Curvas SRY'!$B$12</f>
        <v>10</v>
      </c>
      <c r="C1754" s="15">
        <f>'Curvas SRY'!$E$10</f>
        <v>1.25</v>
      </c>
      <c r="D1754" s="14" t="str">
        <f>'Curvas SRY'!$B$14</f>
        <v>Uso variable</v>
      </c>
      <c r="E1754" s="14">
        <f>71</f>
        <v>71</v>
      </c>
      <c r="F1754" s="21">
        <f>'Hoja 4 - Cálculo'!A95</f>
        <v>31717</v>
      </c>
      <c r="G1754" s="15">
        <f>'Hoja 4 - Cálculo'!H95</f>
        <v>26.641124999999999</v>
      </c>
      <c r="H1754" s="15">
        <f>IF(D1754="Uso único",'Hoja 4 - Cálculo'!I95,IF(D1754="Uso múltiple",AVERAGE('Hoja 4 - Cálculo'!$I$25:$I$384)+AVERAGE('Hoja 4 - Cálculo'!$J$25:$J$384)+AVERAGE('Hoja 4 - Cálculo'!$K$25:$K$384),IF(D1754="Uso prioritario",'Hoja 4 - Cálculo'!I95+'Hoja 4 - Cálculo'!K95,'Hoja 4 - Cálculo'!I95+'Hoja 4 - Cálculo'!J95+'Hoja 4 - Cálculo'!K95)))</f>
        <v>11.5</v>
      </c>
      <c r="I1754" s="15">
        <f t="shared" si="394"/>
        <v>14.375</v>
      </c>
      <c r="J1754" s="15">
        <f t="shared" si="401"/>
        <v>10</v>
      </c>
      <c r="K1754" s="15">
        <f>MIN(J1754+G1754,(J1754+G1754)*'Hoja 4 - Cálculo'!$B$15)</f>
        <v>0.73282250000000004</v>
      </c>
      <c r="L1754" s="15">
        <f t="shared" si="395"/>
        <v>35.908302500000005</v>
      </c>
      <c r="M1754" s="15">
        <f t="shared" si="396"/>
        <v>14.375</v>
      </c>
      <c r="N1754" s="15">
        <f t="shared" si="397"/>
        <v>10</v>
      </c>
      <c r="O1754" s="15">
        <f t="shared" si="398"/>
        <v>11.533302500000005</v>
      </c>
      <c r="P1754" s="15">
        <f t="shared" si="399"/>
        <v>0</v>
      </c>
      <c r="Q1754" s="14" t="str">
        <f>IF(M1754&gt;=I1754*'Hoja 4 - Cálculo'!$B$16,"Satisfactorio","Falla")</f>
        <v>Satisfactorio</v>
      </c>
      <c r="R1754" s="14">
        <f t="shared" si="402"/>
        <v>0</v>
      </c>
      <c r="S1754" s="14">
        <f t="shared" si="403"/>
        <v>0</v>
      </c>
    </row>
    <row r="1755" spans="1:19">
      <c r="A1755" s="14" t="str">
        <f t="shared" si="400"/>
        <v>SRY-5-3</v>
      </c>
      <c r="B1755" s="15">
        <f>'Curvas SRY'!$B$12</f>
        <v>10</v>
      </c>
      <c r="C1755" s="15">
        <f>'Curvas SRY'!$E$10</f>
        <v>1.25</v>
      </c>
      <c r="D1755" s="14" t="str">
        <f>'Curvas SRY'!$B$14</f>
        <v>Uso variable</v>
      </c>
      <c r="E1755" s="14">
        <f>72</f>
        <v>72</v>
      </c>
      <c r="F1755" s="21">
        <f>'Hoja 4 - Cálculo'!A96</f>
        <v>31747</v>
      </c>
      <c r="G1755" s="15">
        <f>'Hoja 4 - Cálculo'!H96</f>
        <v>15.166124999999999</v>
      </c>
      <c r="H1755" s="15">
        <f>IF(D1755="Uso único",'Hoja 4 - Cálculo'!I96,IF(D1755="Uso múltiple",AVERAGE('Hoja 4 - Cálculo'!$I$25:$I$384)+AVERAGE('Hoja 4 - Cálculo'!$J$25:$J$384)+AVERAGE('Hoja 4 - Cálculo'!$K$25:$K$384),IF(D1755="Uso prioritario",'Hoja 4 - Cálculo'!I96+'Hoja 4 - Cálculo'!K96,'Hoja 4 - Cálculo'!I96+'Hoja 4 - Cálculo'!J96+'Hoja 4 - Cálculo'!K96)))</f>
        <v>16</v>
      </c>
      <c r="I1755" s="15">
        <f t="shared" si="394"/>
        <v>20</v>
      </c>
      <c r="J1755" s="15">
        <f t="shared" si="401"/>
        <v>10</v>
      </c>
      <c r="K1755" s="15">
        <f>MIN(J1755+G1755,(J1755+G1755)*'Hoja 4 - Cálculo'!$B$15)</f>
        <v>0.50332250000000001</v>
      </c>
      <c r="L1755" s="15">
        <f t="shared" si="395"/>
        <v>24.662802500000002</v>
      </c>
      <c r="M1755" s="15">
        <f t="shared" si="396"/>
        <v>20</v>
      </c>
      <c r="N1755" s="15">
        <f t="shared" si="397"/>
        <v>4.6628025000000015</v>
      </c>
      <c r="O1755" s="15">
        <f t="shared" si="398"/>
        <v>0</v>
      </c>
      <c r="P1755" s="15">
        <f t="shared" si="399"/>
        <v>0</v>
      </c>
      <c r="Q1755" s="14" t="str">
        <f>IF(M1755&gt;=I1755*'Hoja 4 - Cálculo'!$B$16,"Satisfactorio","Falla")</f>
        <v>Satisfactorio</v>
      </c>
      <c r="R1755" s="14">
        <f t="shared" si="402"/>
        <v>0</v>
      </c>
      <c r="S1755" s="14">
        <f t="shared" si="403"/>
        <v>0</v>
      </c>
    </row>
    <row r="1756" spans="1:19">
      <c r="A1756" s="14" t="str">
        <f t="shared" si="400"/>
        <v>SRY-5-3</v>
      </c>
      <c r="B1756" s="15">
        <f>'Curvas SRY'!$B$12</f>
        <v>10</v>
      </c>
      <c r="C1756" s="15">
        <f>'Curvas SRY'!$E$10</f>
        <v>1.25</v>
      </c>
      <c r="D1756" s="14" t="str">
        <f>'Curvas SRY'!$B$14</f>
        <v>Uso variable</v>
      </c>
      <c r="E1756" s="14">
        <f>73</f>
        <v>73</v>
      </c>
      <c r="F1756" s="21">
        <f>'Hoja 4 - Cálculo'!A97</f>
        <v>31778</v>
      </c>
      <c r="G1756" s="15">
        <f>'Hoja 4 - Cálculo'!H97</f>
        <v>14.056875</v>
      </c>
      <c r="H1756" s="15">
        <f>IF(D1756="Uso único",'Hoja 4 - Cálculo'!I97,IF(D1756="Uso múltiple",AVERAGE('Hoja 4 - Cálculo'!$I$25:$I$384)+AVERAGE('Hoja 4 - Cálculo'!$J$25:$J$384)+AVERAGE('Hoja 4 - Cálculo'!$K$25:$K$384),IF(D1756="Uso prioritario",'Hoja 4 - Cálculo'!I97+'Hoja 4 - Cálculo'!K97,'Hoja 4 - Cálculo'!I97+'Hoja 4 - Cálculo'!J97+'Hoja 4 - Cálculo'!K97)))</f>
        <v>16</v>
      </c>
      <c r="I1756" s="15">
        <f t="shared" si="394"/>
        <v>20</v>
      </c>
      <c r="J1756" s="15">
        <f t="shared" si="401"/>
        <v>4.6628025000000015</v>
      </c>
      <c r="K1756" s="15">
        <f>MIN(J1756+G1756,(J1756+G1756)*'Hoja 4 - Cálculo'!$B$15)</f>
        <v>0.37439355000000007</v>
      </c>
      <c r="L1756" s="15">
        <f t="shared" si="395"/>
        <v>18.345283950000002</v>
      </c>
      <c r="M1756" s="15">
        <f t="shared" si="396"/>
        <v>18.345283950000002</v>
      </c>
      <c r="N1756" s="15">
        <f t="shared" si="397"/>
        <v>0</v>
      </c>
      <c r="O1756" s="15">
        <f t="shared" si="398"/>
        <v>0</v>
      </c>
      <c r="P1756" s="15">
        <f t="shared" si="399"/>
        <v>1.6547160499999976</v>
      </c>
      <c r="Q1756" s="14" t="str">
        <f>IF(M1756&gt;=I1756*'Hoja 4 - Cálculo'!$B$16,"Satisfactorio","Falla")</f>
        <v>Falla</v>
      </c>
      <c r="R1756" s="14">
        <f t="shared" si="402"/>
        <v>0</v>
      </c>
      <c r="S1756" s="14">
        <f t="shared" si="403"/>
        <v>1</v>
      </c>
    </row>
    <row r="1757" spans="1:19">
      <c r="A1757" s="14" t="str">
        <f t="shared" si="400"/>
        <v>SRY-5-3</v>
      </c>
      <c r="B1757" s="15">
        <f>'Curvas SRY'!$B$12</f>
        <v>10</v>
      </c>
      <c r="C1757" s="15">
        <f>'Curvas SRY'!$E$10</f>
        <v>1.25</v>
      </c>
      <c r="D1757" s="14" t="str">
        <f>'Curvas SRY'!$B$14</f>
        <v>Uso variable</v>
      </c>
      <c r="E1757" s="14">
        <f>74</f>
        <v>74</v>
      </c>
      <c r="F1757" s="21">
        <f>'Hoja 4 - Cálculo'!A98</f>
        <v>31809</v>
      </c>
      <c r="G1757" s="15">
        <f>'Hoja 4 - Cálculo'!H98</f>
        <v>15.969374999999999</v>
      </c>
      <c r="H1757" s="15">
        <f>IF(D1757="Uso único",'Hoja 4 - Cálculo'!I98,IF(D1757="Uso múltiple",AVERAGE('Hoja 4 - Cálculo'!$I$25:$I$384)+AVERAGE('Hoja 4 - Cálculo'!$J$25:$J$384)+AVERAGE('Hoja 4 - Cálculo'!$K$25:$K$384),IF(D1757="Uso prioritario",'Hoja 4 - Cálculo'!I98+'Hoja 4 - Cálculo'!K98,'Hoja 4 - Cálculo'!I98+'Hoja 4 - Cálculo'!J98+'Hoja 4 - Cálculo'!K98)))</f>
        <v>16</v>
      </c>
      <c r="I1757" s="15">
        <f t="shared" si="394"/>
        <v>20</v>
      </c>
      <c r="J1757" s="15">
        <f t="shared" si="401"/>
        <v>0</v>
      </c>
      <c r="K1757" s="15">
        <f>MIN(J1757+G1757,(J1757+G1757)*'Hoja 4 - Cálculo'!$B$15)</f>
        <v>0.31938749999999999</v>
      </c>
      <c r="L1757" s="15">
        <f t="shared" si="395"/>
        <v>15.6499875</v>
      </c>
      <c r="M1757" s="15">
        <f t="shared" si="396"/>
        <v>15.6499875</v>
      </c>
      <c r="N1757" s="15">
        <f t="shared" si="397"/>
        <v>0</v>
      </c>
      <c r="O1757" s="15">
        <f t="shared" si="398"/>
        <v>0</v>
      </c>
      <c r="P1757" s="15">
        <f t="shared" si="399"/>
        <v>4.3500125000000001</v>
      </c>
      <c r="Q1757" s="14" t="str">
        <f>IF(M1757&gt;=I1757*'Hoja 4 - Cálculo'!$B$16,"Satisfactorio","Falla")</f>
        <v>Falla</v>
      </c>
      <c r="R1757" s="14">
        <f t="shared" si="402"/>
        <v>0</v>
      </c>
      <c r="S1757" s="14">
        <f t="shared" si="403"/>
        <v>0</v>
      </c>
    </row>
    <row r="1758" spans="1:19">
      <c r="A1758" s="14" t="str">
        <f t="shared" si="400"/>
        <v>SRY-5-3</v>
      </c>
      <c r="B1758" s="15">
        <f>'Curvas SRY'!$B$12</f>
        <v>10</v>
      </c>
      <c r="C1758" s="15">
        <f>'Curvas SRY'!$E$10</f>
        <v>1.25</v>
      </c>
      <c r="D1758" s="14" t="str">
        <f>'Curvas SRY'!$B$14</f>
        <v>Uso variable</v>
      </c>
      <c r="E1758" s="14">
        <f>75</f>
        <v>75</v>
      </c>
      <c r="F1758" s="21">
        <f>'Hoja 4 - Cálculo'!A99</f>
        <v>31837</v>
      </c>
      <c r="G1758" s="15">
        <f>'Hoja 4 - Cálculo'!H99</f>
        <v>22.797000000000001</v>
      </c>
      <c r="H1758" s="15">
        <f>IF(D1758="Uso único",'Hoja 4 - Cálculo'!I99,IF(D1758="Uso múltiple",AVERAGE('Hoja 4 - Cálculo'!$I$25:$I$384)+AVERAGE('Hoja 4 - Cálculo'!$J$25:$J$384)+AVERAGE('Hoja 4 - Cálculo'!$K$25:$K$384),IF(D1758="Uso prioritario",'Hoja 4 - Cálculo'!I99+'Hoja 4 - Cálculo'!K99,'Hoja 4 - Cálculo'!I99+'Hoja 4 - Cálculo'!J99+'Hoja 4 - Cálculo'!K99)))</f>
        <v>16</v>
      </c>
      <c r="I1758" s="15">
        <f t="shared" si="394"/>
        <v>20</v>
      </c>
      <c r="J1758" s="15">
        <f t="shared" si="401"/>
        <v>0</v>
      </c>
      <c r="K1758" s="15">
        <f>MIN(J1758+G1758,(J1758+G1758)*'Hoja 4 - Cálculo'!$B$15)</f>
        <v>0.45594000000000001</v>
      </c>
      <c r="L1758" s="15">
        <f t="shared" si="395"/>
        <v>22.341059999999999</v>
      </c>
      <c r="M1758" s="15">
        <f t="shared" si="396"/>
        <v>20</v>
      </c>
      <c r="N1758" s="15">
        <f t="shared" si="397"/>
        <v>2.3410599999999988</v>
      </c>
      <c r="O1758" s="15">
        <f t="shared" si="398"/>
        <v>0</v>
      </c>
      <c r="P1758" s="15">
        <f t="shared" si="399"/>
        <v>0</v>
      </c>
      <c r="Q1758" s="14" t="str">
        <f>IF(M1758&gt;=I1758*'Hoja 4 - Cálculo'!$B$16,"Satisfactorio","Falla")</f>
        <v>Satisfactorio</v>
      </c>
      <c r="R1758" s="14">
        <f t="shared" si="402"/>
        <v>1</v>
      </c>
      <c r="S1758" s="14">
        <f t="shared" si="403"/>
        <v>0</v>
      </c>
    </row>
    <row r="1759" spans="1:19">
      <c r="A1759" s="14" t="str">
        <f t="shared" si="400"/>
        <v>SRY-5-3</v>
      </c>
      <c r="B1759" s="15">
        <f>'Curvas SRY'!$B$12</f>
        <v>10</v>
      </c>
      <c r="C1759" s="15">
        <f>'Curvas SRY'!$E$10</f>
        <v>1.25</v>
      </c>
      <c r="D1759" s="14" t="str">
        <f>'Curvas SRY'!$B$14</f>
        <v>Uso variable</v>
      </c>
      <c r="E1759" s="14">
        <f>76</f>
        <v>76</v>
      </c>
      <c r="F1759" s="21">
        <f>'Hoja 4 - Cálculo'!A100</f>
        <v>31868</v>
      </c>
      <c r="G1759" s="15">
        <f>'Hoja 4 - Cálculo'!H100</f>
        <v>34.138125000000002</v>
      </c>
      <c r="H1759" s="15">
        <f>IF(D1759="Uso único",'Hoja 4 - Cálculo'!I100,IF(D1759="Uso múltiple",AVERAGE('Hoja 4 - Cálculo'!$I$25:$I$384)+AVERAGE('Hoja 4 - Cálculo'!$J$25:$J$384)+AVERAGE('Hoja 4 - Cálculo'!$K$25:$K$384),IF(D1759="Uso prioritario",'Hoja 4 - Cálculo'!I100+'Hoja 4 - Cálculo'!K100,'Hoja 4 - Cálculo'!I100+'Hoja 4 - Cálculo'!J100+'Hoja 4 - Cálculo'!K100)))</f>
        <v>11.5</v>
      </c>
      <c r="I1759" s="15">
        <f t="shared" si="394"/>
        <v>14.375</v>
      </c>
      <c r="J1759" s="15">
        <f t="shared" si="401"/>
        <v>2.3410599999999988</v>
      </c>
      <c r="K1759" s="15">
        <f>MIN(J1759+G1759,(J1759+G1759)*'Hoja 4 - Cálculo'!$B$15)</f>
        <v>0.72958370000000006</v>
      </c>
      <c r="L1759" s="15">
        <f t="shared" si="395"/>
        <v>35.749601300000002</v>
      </c>
      <c r="M1759" s="15">
        <f t="shared" si="396"/>
        <v>14.375</v>
      </c>
      <c r="N1759" s="15">
        <f t="shared" si="397"/>
        <v>10</v>
      </c>
      <c r="O1759" s="15">
        <f t="shared" si="398"/>
        <v>11.374601300000002</v>
      </c>
      <c r="P1759" s="15">
        <f t="shared" si="399"/>
        <v>0</v>
      </c>
      <c r="Q1759" s="14" t="str">
        <f>IF(M1759&gt;=I1759*'Hoja 4 - Cálculo'!$B$16,"Satisfactorio","Falla")</f>
        <v>Satisfactorio</v>
      </c>
      <c r="R1759" s="14">
        <f t="shared" si="402"/>
        <v>0</v>
      </c>
      <c r="S1759" s="14">
        <f t="shared" si="403"/>
        <v>0</v>
      </c>
    </row>
    <row r="1760" spans="1:19">
      <c r="A1760" s="14" t="str">
        <f t="shared" si="400"/>
        <v>SRY-5-3</v>
      </c>
      <c r="B1760" s="15">
        <f>'Curvas SRY'!$B$12</f>
        <v>10</v>
      </c>
      <c r="C1760" s="15">
        <f>'Curvas SRY'!$E$10</f>
        <v>1.25</v>
      </c>
      <c r="D1760" s="14" t="str">
        <f>'Curvas SRY'!$B$14</f>
        <v>Uso variable</v>
      </c>
      <c r="E1760" s="14">
        <f>77</f>
        <v>77</v>
      </c>
      <c r="F1760" s="21">
        <f>'Hoja 4 - Cálculo'!A101</f>
        <v>31898</v>
      </c>
      <c r="G1760" s="15">
        <f>'Hoja 4 - Cálculo'!H101</f>
        <v>28.534500000000001</v>
      </c>
      <c r="H1760" s="15">
        <f>IF(D1760="Uso único",'Hoja 4 - Cálculo'!I101,IF(D1760="Uso múltiple",AVERAGE('Hoja 4 - Cálculo'!$I$25:$I$384)+AVERAGE('Hoja 4 - Cálculo'!$J$25:$J$384)+AVERAGE('Hoja 4 - Cálculo'!$K$25:$K$384),IF(D1760="Uso prioritario",'Hoja 4 - Cálculo'!I101+'Hoja 4 - Cálculo'!K101,'Hoja 4 - Cálculo'!I101+'Hoja 4 - Cálculo'!J101+'Hoja 4 - Cálculo'!K101)))</f>
        <v>11.5</v>
      </c>
      <c r="I1760" s="15">
        <f t="shared" si="394"/>
        <v>14.375</v>
      </c>
      <c r="J1760" s="15">
        <f t="shared" si="401"/>
        <v>10</v>
      </c>
      <c r="K1760" s="15">
        <f>MIN(J1760+G1760,(J1760+G1760)*'Hoja 4 - Cálculo'!$B$15)</f>
        <v>0.7706900000000001</v>
      </c>
      <c r="L1760" s="15">
        <f t="shared" si="395"/>
        <v>37.763809999999999</v>
      </c>
      <c r="M1760" s="15">
        <f t="shared" si="396"/>
        <v>14.375</v>
      </c>
      <c r="N1760" s="15">
        <f t="shared" si="397"/>
        <v>10</v>
      </c>
      <c r="O1760" s="15">
        <f t="shared" si="398"/>
        <v>13.388809999999999</v>
      </c>
      <c r="P1760" s="15">
        <f t="shared" si="399"/>
        <v>0</v>
      </c>
      <c r="Q1760" s="14" t="str">
        <f>IF(M1760&gt;=I1760*'Hoja 4 - Cálculo'!$B$16,"Satisfactorio","Falla")</f>
        <v>Satisfactorio</v>
      </c>
      <c r="R1760" s="14">
        <f t="shared" si="402"/>
        <v>0</v>
      </c>
      <c r="S1760" s="14">
        <f t="shared" si="403"/>
        <v>0</v>
      </c>
    </row>
    <row r="1761" spans="1:19">
      <c r="A1761" s="14" t="str">
        <f t="shared" si="400"/>
        <v>SRY-5-3</v>
      </c>
      <c r="B1761" s="15">
        <f>'Curvas SRY'!$B$12</f>
        <v>10</v>
      </c>
      <c r="C1761" s="15">
        <f>'Curvas SRY'!$E$10</f>
        <v>1.25</v>
      </c>
      <c r="D1761" s="14" t="str">
        <f>'Curvas SRY'!$B$14</f>
        <v>Uso variable</v>
      </c>
      <c r="E1761" s="14">
        <f>78</f>
        <v>78</v>
      </c>
      <c r="F1761" s="21">
        <f>'Hoja 4 - Cálculo'!A102</f>
        <v>31929</v>
      </c>
      <c r="G1761" s="15">
        <f>'Hoja 4 - Cálculo'!H102</f>
        <v>18.589500000000001</v>
      </c>
      <c r="H1761" s="15">
        <f>IF(D1761="Uso único",'Hoja 4 - Cálculo'!I102,IF(D1761="Uso múltiple",AVERAGE('Hoja 4 - Cálculo'!$I$25:$I$384)+AVERAGE('Hoja 4 - Cálculo'!$J$25:$J$384)+AVERAGE('Hoja 4 - Cálculo'!$K$25:$K$384),IF(D1761="Uso prioritario",'Hoja 4 - Cálculo'!I102+'Hoja 4 - Cálculo'!K102,'Hoja 4 - Cálculo'!I102+'Hoja 4 - Cálculo'!J102+'Hoja 4 - Cálculo'!K102)))</f>
        <v>11.5</v>
      </c>
      <c r="I1761" s="15">
        <f t="shared" si="394"/>
        <v>14.375</v>
      </c>
      <c r="J1761" s="15">
        <f t="shared" si="401"/>
        <v>10</v>
      </c>
      <c r="K1761" s="15">
        <f>MIN(J1761+G1761,(J1761+G1761)*'Hoja 4 - Cálculo'!$B$15)</f>
        <v>0.57179000000000002</v>
      </c>
      <c r="L1761" s="15">
        <f t="shared" si="395"/>
        <v>28.017710000000001</v>
      </c>
      <c r="M1761" s="15">
        <f t="shared" si="396"/>
        <v>14.375</v>
      </c>
      <c r="N1761" s="15">
        <f t="shared" si="397"/>
        <v>10</v>
      </c>
      <c r="O1761" s="15">
        <f t="shared" si="398"/>
        <v>3.642710000000001</v>
      </c>
      <c r="P1761" s="15">
        <f t="shared" si="399"/>
        <v>0</v>
      </c>
      <c r="Q1761" s="14" t="str">
        <f>IF(M1761&gt;=I1761*'Hoja 4 - Cálculo'!$B$16,"Satisfactorio","Falla")</f>
        <v>Satisfactorio</v>
      </c>
      <c r="R1761" s="14">
        <f t="shared" si="402"/>
        <v>0</v>
      </c>
      <c r="S1761" s="14">
        <f t="shared" si="403"/>
        <v>0</v>
      </c>
    </row>
    <row r="1762" spans="1:19">
      <c r="A1762" s="14" t="str">
        <f t="shared" si="400"/>
        <v>SRY-5-3</v>
      </c>
      <c r="B1762" s="15">
        <f>'Curvas SRY'!$B$12</f>
        <v>10</v>
      </c>
      <c r="C1762" s="15">
        <f>'Curvas SRY'!$E$10</f>
        <v>1.25</v>
      </c>
      <c r="D1762" s="14" t="str">
        <f>'Curvas SRY'!$B$14</f>
        <v>Uso variable</v>
      </c>
      <c r="E1762" s="14">
        <f>79</f>
        <v>79</v>
      </c>
      <c r="F1762" s="21">
        <f>'Hoja 4 - Cálculo'!A103</f>
        <v>31959</v>
      </c>
      <c r="G1762" s="15">
        <f>'Hoja 4 - Cálculo'!H103</f>
        <v>14.688000000000001</v>
      </c>
      <c r="H1762" s="15">
        <f>IF(D1762="Uso único",'Hoja 4 - Cálculo'!I103,IF(D1762="Uso múltiple",AVERAGE('Hoja 4 - Cálculo'!$I$25:$I$384)+AVERAGE('Hoja 4 - Cálculo'!$J$25:$J$384)+AVERAGE('Hoja 4 - Cálculo'!$K$25:$K$384),IF(D1762="Uso prioritario",'Hoja 4 - Cálculo'!I103+'Hoja 4 - Cálculo'!K103,'Hoja 4 - Cálculo'!I103+'Hoja 4 - Cálculo'!J103+'Hoja 4 - Cálculo'!K103)))</f>
        <v>16</v>
      </c>
      <c r="I1762" s="15">
        <f t="shared" si="394"/>
        <v>20</v>
      </c>
      <c r="J1762" s="15">
        <f t="shared" si="401"/>
        <v>10</v>
      </c>
      <c r="K1762" s="15">
        <f>MIN(J1762+G1762,(J1762+G1762)*'Hoja 4 - Cálculo'!$B$15)</f>
        <v>0.49376000000000003</v>
      </c>
      <c r="L1762" s="15">
        <f t="shared" si="395"/>
        <v>24.194240000000001</v>
      </c>
      <c r="M1762" s="15">
        <f t="shared" si="396"/>
        <v>20</v>
      </c>
      <c r="N1762" s="15">
        <f t="shared" si="397"/>
        <v>4.1942400000000006</v>
      </c>
      <c r="O1762" s="15">
        <f t="shared" si="398"/>
        <v>0</v>
      </c>
      <c r="P1762" s="15">
        <f t="shared" si="399"/>
        <v>0</v>
      </c>
      <c r="Q1762" s="14" t="str">
        <f>IF(M1762&gt;=I1762*'Hoja 4 - Cálculo'!$B$16,"Satisfactorio","Falla")</f>
        <v>Satisfactorio</v>
      </c>
      <c r="R1762" s="14">
        <f t="shared" si="402"/>
        <v>0</v>
      </c>
      <c r="S1762" s="14">
        <f t="shared" si="403"/>
        <v>0</v>
      </c>
    </row>
    <row r="1763" spans="1:19">
      <c r="A1763" s="14" t="str">
        <f t="shared" si="400"/>
        <v>SRY-5-3</v>
      </c>
      <c r="B1763" s="15">
        <f>'Curvas SRY'!$B$12</f>
        <v>10</v>
      </c>
      <c r="C1763" s="15">
        <f>'Curvas SRY'!$E$10</f>
        <v>1.25</v>
      </c>
      <c r="D1763" s="14" t="str">
        <f>'Curvas SRY'!$B$14</f>
        <v>Uso variable</v>
      </c>
      <c r="E1763" s="14">
        <f>80</f>
        <v>80</v>
      </c>
      <c r="F1763" s="21">
        <f>'Hoja 4 - Cálculo'!A104</f>
        <v>31990</v>
      </c>
      <c r="G1763" s="15">
        <f>'Hoja 4 - Cálculo'!H104</f>
        <v>15.759</v>
      </c>
      <c r="H1763" s="15">
        <f>IF(D1763="Uso único",'Hoja 4 - Cálculo'!I104,IF(D1763="Uso múltiple",AVERAGE('Hoja 4 - Cálculo'!$I$25:$I$384)+AVERAGE('Hoja 4 - Cálculo'!$J$25:$J$384)+AVERAGE('Hoja 4 - Cálculo'!$K$25:$K$384),IF(D1763="Uso prioritario",'Hoja 4 - Cálculo'!I104+'Hoja 4 - Cálculo'!K104,'Hoja 4 - Cálculo'!I104+'Hoja 4 - Cálculo'!J104+'Hoja 4 - Cálculo'!K104)))</f>
        <v>16</v>
      </c>
      <c r="I1763" s="15">
        <f t="shared" si="394"/>
        <v>20</v>
      </c>
      <c r="J1763" s="15">
        <f t="shared" si="401"/>
        <v>4.1942400000000006</v>
      </c>
      <c r="K1763" s="15">
        <f>MIN(J1763+G1763,(J1763+G1763)*'Hoja 4 - Cálculo'!$B$15)</f>
        <v>0.39906480000000005</v>
      </c>
      <c r="L1763" s="15">
        <f t="shared" si="395"/>
        <v>19.5541752</v>
      </c>
      <c r="M1763" s="15">
        <f t="shared" si="396"/>
        <v>19.5541752</v>
      </c>
      <c r="N1763" s="15">
        <f t="shared" si="397"/>
        <v>0</v>
      </c>
      <c r="O1763" s="15">
        <f t="shared" si="398"/>
        <v>0</v>
      </c>
      <c r="P1763" s="15">
        <f t="shared" si="399"/>
        <v>0.44582480000000047</v>
      </c>
      <c r="Q1763" s="14" t="str">
        <f>IF(M1763&gt;=I1763*'Hoja 4 - Cálculo'!$B$16,"Satisfactorio","Falla")</f>
        <v>Falla</v>
      </c>
      <c r="R1763" s="14">
        <f t="shared" si="402"/>
        <v>0</v>
      </c>
      <c r="S1763" s="14">
        <f t="shared" si="403"/>
        <v>1</v>
      </c>
    </row>
    <row r="1764" spans="1:19">
      <c r="A1764" s="14" t="str">
        <f t="shared" si="400"/>
        <v>SRY-5-3</v>
      </c>
      <c r="B1764" s="15">
        <f>'Curvas SRY'!$B$12</f>
        <v>10</v>
      </c>
      <c r="C1764" s="15">
        <f>'Curvas SRY'!$E$10</f>
        <v>1.25</v>
      </c>
      <c r="D1764" s="14" t="str">
        <f>'Curvas SRY'!$B$14</f>
        <v>Uso variable</v>
      </c>
      <c r="E1764" s="14">
        <f>81</f>
        <v>81</v>
      </c>
      <c r="F1764" s="21">
        <f>'Hoja 4 - Cálculo'!A105</f>
        <v>32021</v>
      </c>
      <c r="G1764" s="15">
        <f>'Hoja 4 - Cálculo'!H105</f>
        <v>26.220375000000001</v>
      </c>
      <c r="H1764" s="15">
        <f>IF(D1764="Uso único",'Hoja 4 - Cálculo'!I105,IF(D1764="Uso múltiple",AVERAGE('Hoja 4 - Cálculo'!$I$25:$I$384)+AVERAGE('Hoja 4 - Cálculo'!$J$25:$J$384)+AVERAGE('Hoja 4 - Cálculo'!$K$25:$K$384),IF(D1764="Uso prioritario",'Hoja 4 - Cálculo'!I105+'Hoja 4 - Cálculo'!K105,'Hoja 4 - Cálculo'!I105+'Hoja 4 - Cálculo'!J105+'Hoja 4 - Cálculo'!K105)))</f>
        <v>11.5</v>
      </c>
      <c r="I1764" s="15">
        <f t="shared" si="394"/>
        <v>14.375</v>
      </c>
      <c r="J1764" s="15">
        <f t="shared" si="401"/>
        <v>0</v>
      </c>
      <c r="K1764" s="15">
        <f>MIN(J1764+G1764,(J1764+G1764)*'Hoja 4 - Cálculo'!$B$15)</f>
        <v>0.52440750000000003</v>
      </c>
      <c r="L1764" s="15">
        <f t="shared" si="395"/>
        <v>25.695967500000002</v>
      </c>
      <c r="M1764" s="15">
        <f t="shared" si="396"/>
        <v>14.375</v>
      </c>
      <c r="N1764" s="15">
        <f t="shared" si="397"/>
        <v>10</v>
      </c>
      <c r="O1764" s="15">
        <f t="shared" si="398"/>
        <v>1.3209675000000018</v>
      </c>
      <c r="P1764" s="15">
        <f t="shared" si="399"/>
        <v>0</v>
      </c>
      <c r="Q1764" s="14" t="str">
        <f>IF(M1764&gt;=I1764*'Hoja 4 - Cálculo'!$B$16,"Satisfactorio","Falla")</f>
        <v>Satisfactorio</v>
      </c>
      <c r="R1764" s="14">
        <f t="shared" si="402"/>
        <v>1</v>
      </c>
      <c r="S1764" s="14">
        <f t="shared" si="403"/>
        <v>0</v>
      </c>
    </row>
    <row r="1765" spans="1:19">
      <c r="A1765" s="14" t="str">
        <f t="shared" si="400"/>
        <v>SRY-5-3</v>
      </c>
      <c r="B1765" s="15">
        <f>'Curvas SRY'!$B$12</f>
        <v>10</v>
      </c>
      <c r="C1765" s="15">
        <f>'Curvas SRY'!$E$10</f>
        <v>1.25</v>
      </c>
      <c r="D1765" s="14" t="str">
        <f>'Curvas SRY'!$B$14</f>
        <v>Uso variable</v>
      </c>
      <c r="E1765" s="14">
        <f>82</f>
        <v>82</v>
      </c>
      <c r="F1765" s="21">
        <f>'Hoja 4 - Cálculo'!A106</f>
        <v>32051</v>
      </c>
      <c r="G1765" s="15">
        <f>'Hoja 4 - Cálculo'!H106</f>
        <v>32.627249999999997</v>
      </c>
      <c r="H1765" s="15">
        <f>IF(D1765="Uso único",'Hoja 4 - Cálculo'!I106,IF(D1765="Uso múltiple",AVERAGE('Hoja 4 - Cálculo'!$I$25:$I$384)+AVERAGE('Hoja 4 - Cálculo'!$J$25:$J$384)+AVERAGE('Hoja 4 - Cálculo'!$K$25:$K$384),IF(D1765="Uso prioritario",'Hoja 4 - Cálculo'!I106+'Hoja 4 - Cálculo'!K106,'Hoja 4 - Cálculo'!I106+'Hoja 4 - Cálculo'!J106+'Hoja 4 - Cálculo'!K106)))</f>
        <v>11.5</v>
      </c>
      <c r="I1765" s="15">
        <f t="shared" si="394"/>
        <v>14.375</v>
      </c>
      <c r="J1765" s="15">
        <f t="shared" si="401"/>
        <v>10</v>
      </c>
      <c r="K1765" s="15">
        <f>MIN(J1765+G1765,(J1765+G1765)*'Hoja 4 - Cálculo'!$B$15)</f>
        <v>0.852545</v>
      </c>
      <c r="L1765" s="15">
        <f t="shared" si="395"/>
        <v>41.774704999999997</v>
      </c>
      <c r="M1765" s="15">
        <f t="shared" si="396"/>
        <v>14.375</v>
      </c>
      <c r="N1765" s="15">
        <f t="shared" si="397"/>
        <v>10</v>
      </c>
      <c r="O1765" s="15">
        <f t="shared" si="398"/>
        <v>17.399704999999997</v>
      </c>
      <c r="P1765" s="15">
        <f t="shared" si="399"/>
        <v>0</v>
      </c>
      <c r="Q1765" s="14" t="str">
        <f>IF(M1765&gt;=I1765*'Hoja 4 - Cálculo'!$B$16,"Satisfactorio","Falla")</f>
        <v>Satisfactorio</v>
      </c>
      <c r="R1765" s="14">
        <f t="shared" si="402"/>
        <v>0</v>
      </c>
      <c r="S1765" s="14">
        <f t="shared" si="403"/>
        <v>0</v>
      </c>
    </row>
    <row r="1766" spans="1:19">
      <c r="A1766" s="14" t="str">
        <f t="shared" si="400"/>
        <v>SRY-5-3</v>
      </c>
      <c r="B1766" s="15">
        <f>'Curvas SRY'!$B$12</f>
        <v>10</v>
      </c>
      <c r="C1766" s="15">
        <f>'Curvas SRY'!$E$10</f>
        <v>1.25</v>
      </c>
      <c r="D1766" s="14" t="str">
        <f>'Curvas SRY'!$B$14</f>
        <v>Uso variable</v>
      </c>
      <c r="E1766" s="14">
        <f>83</f>
        <v>83</v>
      </c>
      <c r="F1766" s="21">
        <f>'Hoja 4 - Cálculo'!A107</f>
        <v>32082</v>
      </c>
      <c r="G1766" s="15">
        <f>'Hoja 4 - Cálculo'!H107</f>
        <v>29.758500000000002</v>
      </c>
      <c r="H1766" s="15">
        <f>IF(D1766="Uso único",'Hoja 4 - Cálculo'!I107,IF(D1766="Uso múltiple",AVERAGE('Hoja 4 - Cálculo'!$I$25:$I$384)+AVERAGE('Hoja 4 - Cálculo'!$J$25:$J$384)+AVERAGE('Hoja 4 - Cálculo'!$K$25:$K$384),IF(D1766="Uso prioritario",'Hoja 4 - Cálculo'!I107+'Hoja 4 - Cálculo'!K107,'Hoja 4 - Cálculo'!I107+'Hoja 4 - Cálculo'!J107+'Hoja 4 - Cálculo'!K107)))</f>
        <v>11.5</v>
      </c>
      <c r="I1766" s="15">
        <f t="shared" si="394"/>
        <v>14.375</v>
      </c>
      <c r="J1766" s="15">
        <f t="shared" si="401"/>
        <v>10</v>
      </c>
      <c r="K1766" s="15">
        <f>MIN(J1766+G1766,(J1766+G1766)*'Hoja 4 - Cálculo'!$B$15)</f>
        <v>0.79516999999999993</v>
      </c>
      <c r="L1766" s="15">
        <f t="shared" si="395"/>
        <v>38.963329999999999</v>
      </c>
      <c r="M1766" s="15">
        <f t="shared" si="396"/>
        <v>14.375</v>
      </c>
      <c r="N1766" s="15">
        <f t="shared" si="397"/>
        <v>10</v>
      </c>
      <c r="O1766" s="15">
        <f t="shared" si="398"/>
        <v>14.588329999999999</v>
      </c>
      <c r="P1766" s="15">
        <f t="shared" si="399"/>
        <v>0</v>
      </c>
      <c r="Q1766" s="14" t="str">
        <f>IF(M1766&gt;=I1766*'Hoja 4 - Cálculo'!$B$16,"Satisfactorio","Falla")</f>
        <v>Satisfactorio</v>
      </c>
      <c r="R1766" s="14">
        <f t="shared" si="402"/>
        <v>0</v>
      </c>
      <c r="S1766" s="14">
        <f t="shared" si="403"/>
        <v>0</v>
      </c>
    </row>
    <row r="1767" spans="1:19">
      <c r="A1767" s="14" t="str">
        <f t="shared" si="400"/>
        <v>SRY-5-3</v>
      </c>
      <c r="B1767" s="15">
        <f>'Curvas SRY'!$B$12</f>
        <v>10</v>
      </c>
      <c r="C1767" s="15">
        <f>'Curvas SRY'!$E$10</f>
        <v>1.25</v>
      </c>
      <c r="D1767" s="14" t="str">
        <f>'Curvas SRY'!$B$14</f>
        <v>Uso variable</v>
      </c>
      <c r="E1767" s="14">
        <f>84</f>
        <v>84</v>
      </c>
      <c r="F1767" s="21">
        <f>'Hoja 4 - Cálculo'!A108</f>
        <v>32112</v>
      </c>
      <c r="G1767" s="15">
        <f>'Hoja 4 - Cálculo'!H108</f>
        <v>16.543125</v>
      </c>
      <c r="H1767" s="15">
        <f>IF(D1767="Uso único",'Hoja 4 - Cálculo'!I108,IF(D1767="Uso múltiple",AVERAGE('Hoja 4 - Cálculo'!$I$25:$I$384)+AVERAGE('Hoja 4 - Cálculo'!$J$25:$J$384)+AVERAGE('Hoja 4 - Cálculo'!$K$25:$K$384),IF(D1767="Uso prioritario",'Hoja 4 - Cálculo'!I108+'Hoja 4 - Cálculo'!K108,'Hoja 4 - Cálculo'!I108+'Hoja 4 - Cálculo'!J108+'Hoja 4 - Cálculo'!K108)))</f>
        <v>16</v>
      </c>
      <c r="I1767" s="15">
        <f t="shared" si="394"/>
        <v>20</v>
      </c>
      <c r="J1767" s="15">
        <f t="shared" si="401"/>
        <v>10</v>
      </c>
      <c r="K1767" s="15">
        <f>MIN(J1767+G1767,(J1767+G1767)*'Hoja 4 - Cálculo'!$B$15)</f>
        <v>0.53086250000000001</v>
      </c>
      <c r="L1767" s="15">
        <f t="shared" si="395"/>
        <v>26.012262499999999</v>
      </c>
      <c r="M1767" s="15">
        <f t="shared" si="396"/>
        <v>20</v>
      </c>
      <c r="N1767" s="15">
        <f t="shared" si="397"/>
        <v>6.0122624999999985</v>
      </c>
      <c r="O1767" s="15">
        <f t="shared" si="398"/>
        <v>0</v>
      </c>
      <c r="P1767" s="15">
        <f t="shared" si="399"/>
        <v>0</v>
      </c>
      <c r="Q1767" s="14" t="str">
        <f>IF(M1767&gt;=I1767*'Hoja 4 - Cálculo'!$B$16,"Satisfactorio","Falla")</f>
        <v>Satisfactorio</v>
      </c>
      <c r="R1767" s="14">
        <f t="shared" si="402"/>
        <v>0</v>
      </c>
      <c r="S1767" s="14">
        <f t="shared" si="403"/>
        <v>0</v>
      </c>
    </row>
    <row r="1768" spans="1:19">
      <c r="A1768" s="14" t="str">
        <f t="shared" si="400"/>
        <v>SRY-5-3</v>
      </c>
      <c r="B1768" s="15">
        <f>'Curvas SRY'!$B$12</f>
        <v>10</v>
      </c>
      <c r="C1768" s="15">
        <f>'Curvas SRY'!$E$10</f>
        <v>1.25</v>
      </c>
      <c r="D1768" s="14" t="str">
        <f>'Curvas SRY'!$B$14</f>
        <v>Uso variable</v>
      </c>
      <c r="E1768" s="14">
        <f>85</f>
        <v>85</v>
      </c>
      <c r="F1768" s="21">
        <f>'Hoja 4 - Cálculo'!A109</f>
        <v>32143</v>
      </c>
      <c r="G1768" s="15">
        <f>'Hoja 4 - Cálculo'!H109</f>
        <v>13.291874999999999</v>
      </c>
      <c r="H1768" s="15">
        <f>IF(D1768="Uso único",'Hoja 4 - Cálculo'!I109,IF(D1768="Uso múltiple",AVERAGE('Hoja 4 - Cálculo'!$I$25:$I$384)+AVERAGE('Hoja 4 - Cálculo'!$J$25:$J$384)+AVERAGE('Hoja 4 - Cálculo'!$K$25:$K$384),IF(D1768="Uso prioritario",'Hoja 4 - Cálculo'!I109+'Hoja 4 - Cálculo'!K109,'Hoja 4 - Cálculo'!I109+'Hoja 4 - Cálculo'!J109+'Hoja 4 - Cálculo'!K109)))</f>
        <v>16</v>
      </c>
      <c r="I1768" s="15">
        <f t="shared" si="394"/>
        <v>20</v>
      </c>
      <c r="J1768" s="15">
        <f t="shared" si="401"/>
        <v>6.0122624999999985</v>
      </c>
      <c r="K1768" s="15">
        <f>MIN(J1768+G1768,(J1768+G1768)*'Hoja 4 - Cálculo'!$B$15)</f>
        <v>0.38608274999999992</v>
      </c>
      <c r="L1768" s="15">
        <f t="shared" si="395"/>
        <v>18.918054749999996</v>
      </c>
      <c r="M1768" s="15">
        <f t="shared" si="396"/>
        <v>18.918054749999996</v>
      </c>
      <c r="N1768" s="15">
        <f t="shared" si="397"/>
        <v>0</v>
      </c>
      <c r="O1768" s="15">
        <f t="shared" si="398"/>
        <v>0</v>
      </c>
      <c r="P1768" s="15">
        <f t="shared" si="399"/>
        <v>1.081945250000004</v>
      </c>
      <c r="Q1768" s="14" t="str">
        <f>IF(M1768&gt;=I1768*'Hoja 4 - Cálculo'!$B$16,"Satisfactorio","Falla")</f>
        <v>Falla</v>
      </c>
      <c r="R1768" s="14">
        <f t="shared" si="402"/>
        <v>0</v>
      </c>
      <c r="S1768" s="14">
        <f t="shared" si="403"/>
        <v>1</v>
      </c>
    </row>
    <row r="1769" spans="1:19">
      <c r="A1769" s="14" t="str">
        <f t="shared" si="400"/>
        <v>SRY-5-3</v>
      </c>
      <c r="B1769" s="15">
        <f>'Curvas SRY'!$B$12</f>
        <v>10</v>
      </c>
      <c r="C1769" s="15">
        <f>'Curvas SRY'!$E$10</f>
        <v>1.25</v>
      </c>
      <c r="D1769" s="14" t="str">
        <f>'Curvas SRY'!$B$14</f>
        <v>Uso variable</v>
      </c>
      <c r="E1769" s="14">
        <f>86</f>
        <v>86</v>
      </c>
      <c r="F1769" s="21">
        <f>'Hoja 4 - Cálculo'!A110</f>
        <v>32174</v>
      </c>
      <c r="G1769" s="15">
        <f>'Hoja 4 - Cálculo'!H110</f>
        <v>14.19075</v>
      </c>
      <c r="H1769" s="15">
        <f>IF(D1769="Uso único",'Hoja 4 - Cálculo'!I110,IF(D1769="Uso múltiple",AVERAGE('Hoja 4 - Cálculo'!$I$25:$I$384)+AVERAGE('Hoja 4 - Cálculo'!$J$25:$J$384)+AVERAGE('Hoja 4 - Cálculo'!$K$25:$K$384),IF(D1769="Uso prioritario",'Hoja 4 - Cálculo'!I110+'Hoja 4 - Cálculo'!K110,'Hoja 4 - Cálculo'!I110+'Hoja 4 - Cálculo'!J110+'Hoja 4 - Cálculo'!K110)))</f>
        <v>16</v>
      </c>
      <c r="I1769" s="15">
        <f t="shared" si="394"/>
        <v>20</v>
      </c>
      <c r="J1769" s="15">
        <f t="shared" si="401"/>
        <v>0</v>
      </c>
      <c r="K1769" s="15">
        <f>MIN(J1769+G1769,(J1769+G1769)*'Hoja 4 - Cálculo'!$B$15)</f>
        <v>0.28381499999999998</v>
      </c>
      <c r="L1769" s="15">
        <f t="shared" si="395"/>
        <v>13.906934999999999</v>
      </c>
      <c r="M1769" s="15">
        <f t="shared" si="396"/>
        <v>13.906934999999999</v>
      </c>
      <c r="N1769" s="15">
        <f t="shared" si="397"/>
        <v>0</v>
      </c>
      <c r="O1769" s="15">
        <f t="shared" si="398"/>
        <v>0</v>
      </c>
      <c r="P1769" s="15">
        <f t="shared" si="399"/>
        <v>6.0930650000000011</v>
      </c>
      <c r="Q1769" s="14" t="str">
        <f>IF(M1769&gt;=I1769*'Hoja 4 - Cálculo'!$B$16,"Satisfactorio","Falla")</f>
        <v>Falla</v>
      </c>
      <c r="R1769" s="14">
        <f t="shared" si="402"/>
        <v>0</v>
      </c>
      <c r="S1769" s="14">
        <f t="shared" si="403"/>
        <v>0</v>
      </c>
    </row>
    <row r="1770" spans="1:19">
      <c r="A1770" s="14" t="str">
        <f t="shared" si="400"/>
        <v>SRY-5-3</v>
      </c>
      <c r="B1770" s="15">
        <f>'Curvas SRY'!$B$12</f>
        <v>10</v>
      </c>
      <c r="C1770" s="15">
        <f>'Curvas SRY'!$E$10</f>
        <v>1.25</v>
      </c>
      <c r="D1770" s="14" t="str">
        <f>'Curvas SRY'!$B$14</f>
        <v>Uso variable</v>
      </c>
      <c r="E1770" s="14">
        <f>87</f>
        <v>87</v>
      </c>
      <c r="F1770" s="21">
        <f>'Hoja 4 - Cálculo'!A111</f>
        <v>32203</v>
      </c>
      <c r="G1770" s="15">
        <f>'Hoja 4 - Cálculo'!H111</f>
        <v>22.338000000000001</v>
      </c>
      <c r="H1770" s="15">
        <f>IF(D1770="Uso único",'Hoja 4 - Cálculo'!I111,IF(D1770="Uso múltiple",AVERAGE('Hoja 4 - Cálculo'!$I$25:$I$384)+AVERAGE('Hoja 4 - Cálculo'!$J$25:$J$384)+AVERAGE('Hoja 4 - Cálculo'!$K$25:$K$384),IF(D1770="Uso prioritario",'Hoja 4 - Cálculo'!I111+'Hoja 4 - Cálculo'!K111,'Hoja 4 - Cálculo'!I111+'Hoja 4 - Cálculo'!J111+'Hoja 4 - Cálculo'!K111)))</f>
        <v>16</v>
      </c>
      <c r="I1770" s="15">
        <f t="shared" si="394"/>
        <v>20</v>
      </c>
      <c r="J1770" s="15">
        <f t="shared" si="401"/>
        <v>0</v>
      </c>
      <c r="K1770" s="15">
        <f>MIN(J1770+G1770,(J1770+G1770)*'Hoja 4 - Cálculo'!$B$15)</f>
        <v>0.44676000000000005</v>
      </c>
      <c r="L1770" s="15">
        <f t="shared" si="395"/>
        <v>21.89124</v>
      </c>
      <c r="M1770" s="15">
        <f t="shared" si="396"/>
        <v>20</v>
      </c>
      <c r="N1770" s="15">
        <f t="shared" si="397"/>
        <v>1.8912399999999998</v>
      </c>
      <c r="O1770" s="15">
        <f t="shared" si="398"/>
        <v>0</v>
      </c>
      <c r="P1770" s="15">
        <f t="shared" si="399"/>
        <v>0</v>
      </c>
      <c r="Q1770" s="14" t="str">
        <f>IF(M1770&gt;=I1770*'Hoja 4 - Cálculo'!$B$16,"Satisfactorio","Falla")</f>
        <v>Satisfactorio</v>
      </c>
      <c r="R1770" s="14">
        <f t="shared" si="402"/>
        <v>1</v>
      </c>
      <c r="S1770" s="14">
        <f t="shared" si="403"/>
        <v>0</v>
      </c>
    </row>
    <row r="1771" spans="1:19">
      <c r="A1771" s="14" t="str">
        <f t="shared" si="400"/>
        <v>SRY-5-3</v>
      </c>
      <c r="B1771" s="15">
        <f>'Curvas SRY'!$B$12</f>
        <v>10</v>
      </c>
      <c r="C1771" s="15">
        <f>'Curvas SRY'!$E$10</f>
        <v>1.25</v>
      </c>
      <c r="D1771" s="14" t="str">
        <f>'Curvas SRY'!$B$14</f>
        <v>Uso variable</v>
      </c>
      <c r="E1771" s="14">
        <f>88</f>
        <v>88</v>
      </c>
      <c r="F1771" s="21">
        <f>'Hoja 4 - Cálculo'!A112</f>
        <v>32234</v>
      </c>
      <c r="G1771" s="15">
        <f>'Hoja 4 - Cálculo'!H112</f>
        <v>29.643750000000001</v>
      </c>
      <c r="H1771" s="15">
        <f>IF(D1771="Uso único",'Hoja 4 - Cálculo'!I112,IF(D1771="Uso múltiple",AVERAGE('Hoja 4 - Cálculo'!$I$25:$I$384)+AVERAGE('Hoja 4 - Cálculo'!$J$25:$J$384)+AVERAGE('Hoja 4 - Cálculo'!$K$25:$K$384),IF(D1771="Uso prioritario",'Hoja 4 - Cálculo'!I112+'Hoja 4 - Cálculo'!K112,'Hoja 4 - Cálculo'!I112+'Hoja 4 - Cálculo'!J112+'Hoja 4 - Cálculo'!K112)))</f>
        <v>11.5</v>
      </c>
      <c r="I1771" s="15">
        <f t="shared" si="394"/>
        <v>14.375</v>
      </c>
      <c r="J1771" s="15">
        <f t="shared" si="401"/>
        <v>1.8912399999999998</v>
      </c>
      <c r="K1771" s="15">
        <f>MIN(J1771+G1771,(J1771+G1771)*'Hoja 4 - Cálculo'!$B$15)</f>
        <v>0.63069980000000003</v>
      </c>
      <c r="L1771" s="15">
        <f t="shared" si="395"/>
        <v>30.904290200000002</v>
      </c>
      <c r="M1771" s="15">
        <f t="shared" si="396"/>
        <v>14.375</v>
      </c>
      <c r="N1771" s="15">
        <f t="shared" si="397"/>
        <v>10</v>
      </c>
      <c r="O1771" s="15">
        <f t="shared" si="398"/>
        <v>6.5292902000000019</v>
      </c>
      <c r="P1771" s="15">
        <f t="shared" si="399"/>
        <v>0</v>
      </c>
      <c r="Q1771" s="14" t="str">
        <f>IF(M1771&gt;=I1771*'Hoja 4 - Cálculo'!$B$16,"Satisfactorio","Falla")</f>
        <v>Satisfactorio</v>
      </c>
      <c r="R1771" s="14">
        <f t="shared" si="402"/>
        <v>0</v>
      </c>
      <c r="S1771" s="14">
        <f t="shared" si="403"/>
        <v>0</v>
      </c>
    </row>
    <row r="1772" spans="1:19">
      <c r="A1772" s="14" t="str">
        <f t="shared" si="400"/>
        <v>SRY-5-3</v>
      </c>
      <c r="B1772" s="15">
        <f>'Curvas SRY'!$B$12</f>
        <v>10</v>
      </c>
      <c r="C1772" s="15">
        <f>'Curvas SRY'!$E$10</f>
        <v>1.25</v>
      </c>
      <c r="D1772" s="14" t="str">
        <f>'Curvas SRY'!$B$14</f>
        <v>Uso variable</v>
      </c>
      <c r="E1772" s="14">
        <f>89</f>
        <v>89</v>
      </c>
      <c r="F1772" s="21">
        <f>'Hoja 4 - Cálculo'!A113</f>
        <v>32264</v>
      </c>
      <c r="G1772" s="15">
        <f>'Hoja 4 - Cálculo'!H113</f>
        <v>28.075500000000002</v>
      </c>
      <c r="H1772" s="15">
        <f>IF(D1772="Uso único",'Hoja 4 - Cálculo'!I113,IF(D1772="Uso múltiple",AVERAGE('Hoja 4 - Cálculo'!$I$25:$I$384)+AVERAGE('Hoja 4 - Cálculo'!$J$25:$J$384)+AVERAGE('Hoja 4 - Cálculo'!$K$25:$K$384),IF(D1772="Uso prioritario",'Hoja 4 - Cálculo'!I113+'Hoja 4 - Cálculo'!K113,'Hoja 4 - Cálculo'!I113+'Hoja 4 - Cálculo'!J113+'Hoja 4 - Cálculo'!K113)))</f>
        <v>11.5</v>
      </c>
      <c r="I1772" s="15">
        <f t="shared" si="394"/>
        <v>14.375</v>
      </c>
      <c r="J1772" s="15">
        <f t="shared" si="401"/>
        <v>10</v>
      </c>
      <c r="K1772" s="15">
        <f>MIN(J1772+G1772,(J1772+G1772)*'Hoja 4 - Cálculo'!$B$15)</f>
        <v>0.76151000000000013</v>
      </c>
      <c r="L1772" s="15">
        <f t="shared" si="395"/>
        <v>37.313990000000004</v>
      </c>
      <c r="M1772" s="15">
        <f t="shared" si="396"/>
        <v>14.375</v>
      </c>
      <c r="N1772" s="15">
        <f t="shared" si="397"/>
        <v>10</v>
      </c>
      <c r="O1772" s="15">
        <f t="shared" si="398"/>
        <v>12.938990000000004</v>
      </c>
      <c r="P1772" s="15">
        <f t="shared" si="399"/>
        <v>0</v>
      </c>
      <c r="Q1772" s="14" t="str">
        <f>IF(M1772&gt;=I1772*'Hoja 4 - Cálculo'!$B$16,"Satisfactorio","Falla")</f>
        <v>Satisfactorio</v>
      </c>
      <c r="R1772" s="14">
        <f t="shared" si="402"/>
        <v>0</v>
      </c>
      <c r="S1772" s="14">
        <f t="shared" si="403"/>
        <v>0</v>
      </c>
    </row>
    <row r="1773" spans="1:19">
      <c r="A1773" s="14" t="str">
        <f t="shared" si="400"/>
        <v>SRY-5-3</v>
      </c>
      <c r="B1773" s="15">
        <f>'Curvas SRY'!$B$12</f>
        <v>10</v>
      </c>
      <c r="C1773" s="15">
        <f>'Curvas SRY'!$E$10</f>
        <v>1.25</v>
      </c>
      <c r="D1773" s="14" t="str">
        <f>'Curvas SRY'!$B$14</f>
        <v>Uso variable</v>
      </c>
      <c r="E1773" s="14">
        <f>90</f>
        <v>90</v>
      </c>
      <c r="F1773" s="21">
        <f>'Hoja 4 - Cálculo'!A114</f>
        <v>32295</v>
      </c>
      <c r="G1773" s="15">
        <f>'Hoja 4 - Cálculo'!H114</f>
        <v>16.485749999999999</v>
      </c>
      <c r="H1773" s="15">
        <f>IF(D1773="Uso único",'Hoja 4 - Cálculo'!I114,IF(D1773="Uso múltiple",AVERAGE('Hoja 4 - Cálculo'!$I$25:$I$384)+AVERAGE('Hoja 4 - Cálculo'!$J$25:$J$384)+AVERAGE('Hoja 4 - Cálculo'!$K$25:$K$384),IF(D1773="Uso prioritario",'Hoja 4 - Cálculo'!I114+'Hoja 4 - Cálculo'!K114,'Hoja 4 - Cálculo'!I114+'Hoja 4 - Cálculo'!J114+'Hoja 4 - Cálculo'!K114)))</f>
        <v>11.5</v>
      </c>
      <c r="I1773" s="15">
        <f t="shared" si="394"/>
        <v>14.375</v>
      </c>
      <c r="J1773" s="15">
        <f t="shared" si="401"/>
        <v>10</v>
      </c>
      <c r="K1773" s="15">
        <f>MIN(J1773+G1773,(J1773+G1773)*'Hoja 4 - Cálculo'!$B$15)</f>
        <v>0.52971500000000005</v>
      </c>
      <c r="L1773" s="15">
        <f t="shared" si="395"/>
        <v>25.956035</v>
      </c>
      <c r="M1773" s="15">
        <f t="shared" si="396"/>
        <v>14.375</v>
      </c>
      <c r="N1773" s="15">
        <f t="shared" si="397"/>
        <v>10</v>
      </c>
      <c r="O1773" s="15">
        <f t="shared" si="398"/>
        <v>1.581035</v>
      </c>
      <c r="P1773" s="15">
        <f t="shared" si="399"/>
        <v>0</v>
      </c>
      <c r="Q1773" s="14" t="str">
        <f>IF(M1773&gt;=I1773*'Hoja 4 - Cálculo'!$B$16,"Satisfactorio","Falla")</f>
        <v>Satisfactorio</v>
      </c>
      <c r="R1773" s="14">
        <f t="shared" si="402"/>
        <v>0</v>
      </c>
      <c r="S1773" s="14">
        <f t="shared" si="403"/>
        <v>0</v>
      </c>
    </row>
    <row r="1774" spans="1:19">
      <c r="A1774" s="14" t="str">
        <f t="shared" si="400"/>
        <v>SRY-5-3</v>
      </c>
      <c r="B1774" s="15">
        <f>'Curvas SRY'!$B$12</f>
        <v>10</v>
      </c>
      <c r="C1774" s="15">
        <f>'Curvas SRY'!$E$10</f>
        <v>1.25</v>
      </c>
      <c r="D1774" s="14" t="str">
        <f>'Curvas SRY'!$B$14</f>
        <v>Uso variable</v>
      </c>
      <c r="E1774" s="14">
        <f>91</f>
        <v>91</v>
      </c>
      <c r="F1774" s="21">
        <f>'Hoja 4 - Cálculo'!A115</f>
        <v>32325</v>
      </c>
      <c r="G1774" s="15">
        <f>'Hoja 4 - Cálculo'!H115</f>
        <v>13.827375</v>
      </c>
      <c r="H1774" s="15">
        <f>IF(D1774="Uso único",'Hoja 4 - Cálculo'!I115,IF(D1774="Uso múltiple",AVERAGE('Hoja 4 - Cálculo'!$I$25:$I$384)+AVERAGE('Hoja 4 - Cálculo'!$J$25:$J$384)+AVERAGE('Hoja 4 - Cálculo'!$K$25:$K$384),IF(D1774="Uso prioritario",'Hoja 4 - Cálculo'!I115+'Hoja 4 - Cálculo'!K115,'Hoja 4 - Cálculo'!I115+'Hoja 4 - Cálculo'!J115+'Hoja 4 - Cálculo'!K115)))</f>
        <v>16</v>
      </c>
      <c r="I1774" s="15">
        <f t="shared" si="394"/>
        <v>20</v>
      </c>
      <c r="J1774" s="15">
        <f t="shared" si="401"/>
        <v>10</v>
      </c>
      <c r="K1774" s="15">
        <f>MIN(J1774+G1774,(J1774+G1774)*'Hoja 4 - Cálculo'!$B$15)</f>
        <v>0.47654750000000001</v>
      </c>
      <c r="L1774" s="15">
        <f t="shared" si="395"/>
        <v>23.350827500000001</v>
      </c>
      <c r="M1774" s="15">
        <f t="shared" si="396"/>
        <v>20</v>
      </c>
      <c r="N1774" s="15">
        <f t="shared" si="397"/>
        <v>3.3508275000000012</v>
      </c>
      <c r="O1774" s="15">
        <f t="shared" si="398"/>
        <v>0</v>
      </c>
      <c r="P1774" s="15">
        <f t="shared" si="399"/>
        <v>0</v>
      </c>
      <c r="Q1774" s="14" t="str">
        <f>IF(M1774&gt;=I1774*'Hoja 4 - Cálculo'!$B$16,"Satisfactorio","Falla")</f>
        <v>Satisfactorio</v>
      </c>
      <c r="R1774" s="14">
        <f t="shared" si="402"/>
        <v>0</v>
      </c>
      <c r="S1774" s="14">
        <f t="shared" si="403"/>
        <v>0</v>
      </c>
    </row>
    <row r="1775" spans="1:19">
      <c r="A1775" s="14" t="str">
        <f t="shared" si="400"/>
        <v>SRY-5-3</v>
      </c>
      <c r="B1775" s="15">
        <f>'Curvas SRY'!$B$12</f>
        <v>10</v>
      </c>
      <c r="C1775" s="15">
        <f>'Curvas SRY'!$E$10</f>
        <v>1.25</v>
      </c>
      <c r="D1775" s="14" t="str">
        <f>'Curvas SRY'!$B$14</f>
        <v>Uso variable</v>
      </c>
      <c r="E1775" s="14">
        <f>92</f>
        <v>92</v>
      </c>
      <c r="F1775" s="21">
        <f>'Hoja 4 - Cálculo'!A116</f>
        <v>32356</v>
      </c>
      <c r="G1775" s="15">
        <f>'Hoja 4 - Cálculo'!H116</f>
        <v>14.783625000000001</v>
      </c>
      <c r="H1775" s="15">
        <f>IF(D1775="Uso único",'Hoja 4 - Cálculo'!I116,IF(D1775="Uso múltiple",AVERAGE('Hoja 4 - Cálculo'!$I$25:$I$384)+AVERAGE('Hoja 4 - Cálculo'!$J$25:$J$384)+AVERAGE('Hoja 4 - Cálculo'!$K$25:$K$384),IF(D1775="Uso prioritario",'Hoja 4 - Cálculo'!I116+'Hoja 4 - Cálculo'!K116,'Hoja 4 - Cálculo'!I116+'Hoja 4 - Cálculo'!J116+'Hoja 4 - Cálculo'!K116)))</f>
        <v>16</v>
      </c>
      <c r="I1775" s="15">
        <f t="shared" si="394"/>
        <v>20</v>
      </c>
      <c r="J1775" s="15">
        <f t="shared" si="401"/>
        <v>3.3508275000000012</v>
      </c>
      <c r="K1775" s="15">
        <f>MIN(J1775+G1775,(J1775+G1775)*'Hoja 4 - Cálculo'!$B$15)</f>
        <v>0.36268905000000007</v>
      </c>
      <c r="L1775" s="15">
        <f t="shared" si="395"/>
        <v>17.771763450000002</v>
      </c>
      <c r="M1775" s="15">
        <f t="shared" si="396"/>
        <v>17.771763450000002</v>
      </c>
      <c r="N1775" s="15">
        <f t="shared" si="397"/>
        <v>0</v>
      </c>
      <c r="O1775" s="15">
        <f t="shared" si="398"/>
        <v>0</v>
      </c>
      <c r="P1775" s="15">
        <f t="shared" si="399"/>
        <v>2.2282365499999983</v>
      </c>
      <c r="Q1775" s="14" t="str">
        <f>IF(M1775&gt;=I1775*'Hoja 4 - Cálculo'!$B$16,"Satisfactorio","Falla")</f>
        <v>Falla</v>
      </c>
      <c r="R1775" s="14">
        <f t="shared" si="402"/>
        <v>0</v>
      </c>
      <c r="S1775" s="14">
        <f t="shared" si="403"/>
        <v>1</v>
      </c>
    </row>
    <row r="1776" spans="1:19">
      <c r="A1776" s="14" t="str">
        <f t="shared" si="400"/>
        <v>SRY-5-3</v>
      </c>
      <c r="B1776" s="15">
        <f>'Curvas SRY'!$B$12</f>
        <v>10</v>
      </c>
      <c r="C1776" s="15">
        <f>'Curvas SRY'!$E$10</f>
        <v>1.25</v>
      </c>
      <c r="D1776" s="14" t="str">
        <f>'Curvas SRY'!$B$14</f>
        <v>Uso variable</v>
      </c>
      <c r="E1776" s="14">
        <f>93</f>
        <v>93</v>
      </c>
      <c r="F1776" s="21">
        <f>'Hoja 4 - Cálculo'!A117</f>
        <v>32387</v>
      </c>
      <c r="G1776" s="15">
        <f>'Hoja 4 - Cálculo'!H117</f>
        <v>23.3325</v>
      </c>
      <c r="H1776" s="15">
        <f>IF(D1776="Uso único",'Hoja 4 - Cálculo'!I117,IF(D1776="Uso múltiple",AVERAGE('Hoja 4 - Cálculo'!$I$25:$I$384)+AVERAGE('Hoja 4 - Cálculo'!$J$25:$J$384)+AVERAGE('Hoja 4 - Cálculo'!$K$25:$K$384),IF(D1776="Uso prioritario",'Hoja 4 - Cálculo'!I117+'Hoja 4 - Cálculo'!K117,'Hoja 4 - Cálculo'!I117+'Hoja 4 - Cálculo'!J117+'Hoja 4 - Cálculo'!K117)))</f>
        <v>11.5</v>
      </c>
      <c r="I1776" s="15">
        <f t="shared" si="394"/>
        <v>14.375</v>
      </c>
      <c r="J1776" s="15">
        <f t="shared" si="401"/>
        <v>0</v>
      </c>
      <c r="K1776" s="15">
        <f>MIN(J1776+G1776,(J1776+G1776)*'Hoja 4 - Cálculo'!$B$15)</f>
        <v>0.46665000000000001</v>
      </c>
      <c r="L1776" s="15">
        <f t="shared" si="395"/>
        <v>22.865849999999998</v>
      </c>
      <c r="M1776" s="15">
        <f t="shared" si="396"/>
        <v>14.375</v>
      </c>
      <c r="N1776" s="15">
        <f t="shared" si="397"/>
        <v>8.4908499999999982</v>
      </c>
      <c r="O1776" s="15">
        <f t="shared" si="398"/>
        <v>0</v>
      </c>
      <c r="P1776" s="15">
        <f t="shared" si="399"/>
        <v>0</v>
      </c>
      <c r="Q1776" s="14" t="str">
        <f>IF(M1776&gt;=I1776*'Hoja 4 - Cálculo'!$B$16,"Satisfactorio","Falla")</f>
        <v>Satisfactorio</v>
      </c>
      <c r="R1776" s="14">
        <f t="shared" si="402"/>
        <v>1</v>
      </c>
      <c r="S1776" s="14">
        <f t="shared" si="403"/>
        <v>0</v>
      </c>
    </row>
    <row r="1777" spans="1:19">
      <c r="A1777" s="14" t="str">
        <f t="shared" si="400"/>
        <v>SRY-5-3</v>
      </c>
      <c r="B1777" s="15">
        <f>'Curvas SRY'!$B$12</f>
        <v>10</v>
      </c>
      <c r="C1777" s="15">
        <f>'Curvas SRY'!$E$10</f>
        <v>1.25</v>
      </c>
      <c r="D1777" s="14" t="str">
        <f>'Curvas SRY'!$B$14</f>
        <v>Uso variable</v>
      </c>
      <c r="E1777" s="14">
        <f>94</f>
        <v>94</v>
      </c>
      <c r="F1777" s="21">
        <f>'Hoja 4 - Cálculo'!A118</f>
        <v>32417</v>
      </c>
      <c r="G1777" s="15">
        <f>'Hoja 4 - Cálculo'!H118</f>
        <v>32.015250000000002</v>
      </c>
      <c r="H1777" s="15">
        <f>IF(D1777="Uso único",'Hoja 4 - Cálculo'!I118,IF(D1777="Uso múltiple",AVERAGE('Hoja 4 - Cálculo'!$I$25:$I$384)+AVERAGE('Hoja 4 - Cálculo'!$J$25:$J$384)+AVERAGE('Hoja 4 - Cálculo'!$K$25:$K$384),IF(D1777="Uso prioritario",'Hoja 4 - Cálculo'!I118+'Hoja 4 - Cálculo'!K118,'Hoja 4 - Cálculo'!I118+'Hoja 4 - Cálculo'!J118+'Hoja 4 - Cálculo'!K118)))</f>
        <v>11.5</v>
      </c>
      <c r="I1777" s="15">
        <f t="shared" si="394"/>
        <v>14.375</v>
      </c>
      <c r="J1777" s="15">
        <f t="shared" si="401"/>
        <v>8.4908499999999982</v>
      </c>
      <c r="K1777" s="15">
        <f>MIN(J1777+G1777,(J1777+G1777)*'Hoja 4 - Cálculo'!$B$15)</f>
        <v>0.81012200000000012</v>
      </c>
      <c r="L1777" s="15">
        <f t="shared" si="395"/>
        <v>39.695978000000004</v>
      </c>
      <c r="M1777" s="15">
        <f t="shared" si="396"/>
        <v>14.375</v>
      </c>
      <c r="N1777" s="15">
        <f t="shared" si="397"/>
        <v>10</v>
      </c>
      <c r="O1777" s="15">
        <f t="shared" si="398"/>
        <v>15.320978000000004</v>
      </c>
      <c r="P1777" s="15">
        <f t="shared" si="399"/>
        <v>0</v>
      </c>
      <c r="Q1777" s="14" t="str">
        <f>IF(M1777&gt;=I1777*'Hoja 4 - Cálculo'!$B$16,"Satisfactorio","Falla")</f>
        <v>Satisfactorio</v>
      </c>
      <c r="R1777" s="14">
        <f t="shared" si="402"/>
        <v>0</v>
      </c>
      <c r="S1777" s="14">
        <f t="shared" si="403"/>
        <v>0</v>
      </c>
    </row>
    <row r="1778" spans="1:19">
      <c r="A1778" s="14" t="str">
        <f t="shared" si="400"/>
        <v>SRY-5-3</v>
      </c>
      <c r="B1778" s="15">
        <f>'Curvas SRY'!$B$12</f>
        <v>10</v>
      </c>
      <c r="C1778" s="15">
        <f>'Curvas SRY'!$E$10</f>
        <v>1.25</v>
      </c>
      <c r="D1778" s="14" t="str">
        <f>'Curvas SRY'!$B$14</f>
        <v>Uso variable</v>
      </c>
      <c r="E1778" s="14">
        <f>95</f>
        <v>95</v>
      </c>
      <c r="F1778" s="21">
        <f>'Hoja 4 - Cálculo'!A119</f>
        <v>32448</v>
      </c>
      <c r="G1778" s="15">
        <f>'Hoja 4 - Cálculo'!H119</f>
        <v>25.876124999999998</v>
      </c>
      <c r="H1778" s="15">
        <f>IF(D1778="Uso único",'Hoja 4 - Cálculo'!I119,IF(D1778="Uso múltiple",AVERAGE('Hoja 4 - Cálculo'!$I$25:$I$384)+AVERAGE('Hoja 4 - Cálculo'!$J$25:$J$384)+AVERAGE('Hoja 4 - Cálculo'!$K$25:$K$384),IF(D1778="Uso prioritario",'Hoja 4 - Cálculo'!I119+'Hoja 4 - Cálculo'!K119,'Hoja 4 - Cálculo'!I119+'Hoja 4 - Cálculo'!J119+'Hoja 4 - Cálculo'!K119)))</f>
        <v>11.5</v>
      </c>
      <c r="I1778" s="15">
        <f t="shared" si="394"/>
        <v>14.375</v>
      </c>
      <c r="J1778" s="15">
        <f t="shared" si="401"/>
        <v>10</v>
      </c>
      <c r="K1778" s="15">
        <f>MIN(J1778+G1778,(J1778+G1778)*'Hoja 4 - Cálculo'!$B$15)</f>
        <v>0.71752250000000006</v>
      </c>
      <c r="L1778" s="15">
        <f t="shared" si="395"/>
        <v>35.158602500000001</v>
      </c>
      <c r="M1778" s="15">
        <f t="shared" si="396"/>
        <v>14.375</v>
      </c>
      <c r="N1778" s="15">
        <f t="shared" si="397"/>
        <v>10</v>
      </c>
      <c r="O1778" s="15">
        <f t="shared" si="398"/>
        <v>10.783602500000001</v>
      </c>
      <c r="P1778" s="15">
        <f t="shared" si="399"/>
        <v>0</v>
      </c>
      <c r="Q1778" s="14" t="str">
        <f>IF(M1778&gt;=I1778*'Hoja 4 - Cálculo'!$B$16,"Satisfactorio","Falla")</f>
        <v>Satisfactorio</v>
      </c>
      <c r="R1778" s="14">
        <f t="shared" si="402"/>
        <v>0</v>
      </c>
      <c r="S1778" s="14">
        <f t="shared" si="403"/>
        <v>0</v>
      </c>
    </row>
    <row r="1779" spans="1:19">
      <c r="A1779" s="14" t="str">
        <f t="shared" si="400"/>
        <v>SRY-5-3</v>
      </c>
      <c r="B1779" s="15">
        <f>'Curvas SRY'!$B$12</f>
        <v>10</v>
      </c>
      <c r="C1779" s="15">
        <f>'Curvas SRY'!$E$10</f>
        <v>1.25</v>
      </c>
      <c r="D1779" s="14" t="str">
        <f>'Curvas SRY'!$B$14</f>
        <v>Uso variable</v>
      </c>
      <c r="E1779" s="14">
        <f>96</f>
        <v>96</v>
      </c>
      <c r="F1779" s="21">
        <f>'Hoja 4 - Cálculo'!A120</f>
        <v>32478</v>
      </c>
      <c r="G1779" s="15">
        <f>'Hoja 4 - Cálculo'!H120</f>
        <v>16.218</v>
      </c>
      <c r="H1779" s="15">
        <f>IF(D1779="Uso único",'Hoja 4 - Cálculo'!I120,IF(D1779="Uso múltiple",AVERAGE('Hoja 4 - Cálculo'!$I$25:$I$384)+AVERAGE('Hoja 4 - Cálculo'!$J$25:$J$384)+AVERAGE('Hoja 4 - Cálculo'!$K$25:$K$384),IF(D1779="Uso prioritario",'Hoja 4 - Cálculo'!I120+'Hoja 4 - Cálculo'!K120,'Hoja 4 - Cálculo'!I120+'Hoja 4 - Cálculo'!J120+'Hoja 4 - Cálculo'!K120)))</f>
        <v>16</v>
      </c>
      <c r="I1779" s="15">
        <f t="shared" si="394"/>
        <v>20</v>
      </c>
      <c r="J1779" s="15">
        <f t="shared" si="401"/>
        <v>10</v>
      </c>
      <c r="K1779" s="15">
        <f>MIN(J1779+G1779,(J1779+G1779)*'Hoja 4 - Cálculo'!$B$15)</f>
        <v>0.52436000000000005</v>
      </c>
      <c r="L1779" s="15">
        <f t="shared" si="395"/>
        <v>25.693639999999998</v>
      </c>
      <c r="M1779" s="15">
        <f t="shared" si="396"/>
        <v>20</v>
      </c>
      <c r="N1779" s="15">
        <f t="shared" si="397"/>
        <v>5.6936399999999985</v>
      </c>
      <c r="O1779" s="15">
        <f t="shared" si="398"/>
        <v>0</v>
      </c>
      <c r="P1779" s="15">
        <f t="shared" si="399"/>
        <v>0</v>
      </c>
      <c r="Q1779" s="14" t="str">
        <f>IF(M1779&gt;=I1779*'Hoja 4 - Cálculo'!$B$16,"Satisfactorio","Falla")</f>
        <v>Satisfactorio</v>
      </c>
      <c r="R1779" s="14">
        <f t="shared" si="402"/>
        <v>0</v>
      </c>
      <c r="S1779" s="14">
        <f t="shared" si="403"/>
        <v>0</v>
      </c>
    </row>
    <row r="1780" spans="1:19">
      <c r="A1780" s="14" t="str">
        <f t="shared" ref="A1780:A1803" si="404">"SRY-5-3"</f>
        <v>SRY-5-3</v>
      </c>
      <c r="B1780" s="15">
        <f>'Curvas SRY'!$B$12</f>
        <v>10</v>
      </c>
      <c r="C1780" s="15">
        <f>'Curvas SRY'!$E$10</f>
        <v>1.25</v>
      </c>
      <c r="D1780" s="14" t="str">
        <f>'Curvas SRY'!$B$14</f>
        <v>Uso variable</v>
      </c>
      <c r="E1780" s="14">
        <f>97</f>
        <v>97</v>
      </c>
      <c r="F1780" s="21">
        <f>'Hoja 4 - Cálculo'!A121</f>
        <v>32509</v>
      </c>
      <c r="G1780" s="15">
        <f>'Hoja 4 - Cálculo'!H121</f>
        <v>11.761875</v>
      </c>
      <c r="H1780" s="15">
        <f>IF(D1780="Uso único",'Hoja 4 - Cálculo'!I121,IF(D1780="Uso múltiple",AVERAGE('Hoja 4 - Cálculo'!$I$25:$I$384)+AVERAGE('Hoja 4 - Cálculo'!$J$25:$J$384)+AVERAGE('Hoja 4 - Cálculo'!$K$25:$K$384),IF(D1780="Uso prioritario",'Hoja 4 - Cálculo'!I121+'Hoja 4 - Cálculo'!K121,'Hoja 4 - Cálculo'!I121+'Hoja 4 - Cálculo'!J121+'Hoja 4 - Cálculo'!K121)))</f>
        <v>16</v>
      </c>
      <c r="I1780" s="15">
        <f t="shared" si="394"/>
        <v>20</v>
      </c>
      <c r="J1780" s="15">
        <f t="shared" si="401"/>
        <v>5.6936399999999985</v>
      </c>
      <c r="K1780" s="15">
        <f>MIN(J1780+G1780,(J1780+G1780)*'Hoja 4 - Cálculo'!$B$15)</f>
        <v>0.34911029999999998</v>
      </c>
      <c r="L1780" s="15">
        <f t="shared" si="395"/>
        <v>17.106404699999999</v>
      </c>
      <c r="M1780" s="15">
        <f t="shared" si="396"/>
        <v>17.106404699999999</v>
      </c>
      <c r="N1780" s="15">
        <f t="shared" si="397"/>
        <v>0</v>
      </c>
      <c r="O1780" s="15">
        <f t="shared" si="398"/>
        <v>0</v>
      </c>
      <c r="P1780" s="15">
        <f t="shared" si="399"/>
        <v>2.8935953000000012</v>
      </c>
      <c r="Q1780" s="14" t="str">
        <f>IF(M1780&gt;=I1780*'Hoja 4 - Cálculo'!$B$16,"Satisfactorio","Falla")</f>
        <v>Falla</v>
      </c>
      <c r="R1780" s="14">
        <f t="shared" si="402"/>
        <v>0</v>
      </c>
      <c r="S1780" s="14">
        <f t="shared" si="403"/>
        <v>1</v>
      </c>
    </row>
    <row r="1781" spans="1:19">
      <c r="A1781" s="14" t="str">
        <f t="shared" si="404"/>
        <v>SRY-5-3</v>
      </c>
      <c r="B1781" s="15">
        <f>'Curvas SRY'!$B$12</f>
        <v>10</v>
      </c>
      <c r="C1781" s="15">
        <f>'Curvas SRY'!$E$10</f>
        <v>1.25</v>
      </c>
      <c r="D1781" s="14" t="str">
        <f>'Curvas SRY'!$B$14</f>
        <v>Uso variable</v>
      </c>
      <c r="E1781" s="14">
        <f>98</f>
        <v>98</v>
      </c>
      <c r="F1781" s="21">
        <f>'Hoja 4 - Cálculo'!A122</f>
        <v>32540</v>
      </c>
      <c r="G1781" s="15">
        <f>'Hoja 4 - Cálculo'!H122</f>
        <v>12.43125</v>
      </c>
      <c r="H1781" s="15">
        <f>IF(D1781="Uso único",'Hoja 4 - Cálculo'!I122,IF(D1781="Uso múltiple",AVERAGE('Hoja 4 - Cálculo'!$I$25:$I$384)+AVERAGE('Hoja 4 - Cálculo'!$J$25:$J$384)+AVERAGE('Hoja 4 - Cálculo'!$K$25:$K$384),IF(D1781="Uso prioritario",'Hoja 4 - Cálculo'!I122+'Hoja 4 - Cálculo'!K122,'Hoja 4 - Cálculo'!I122+'Hoja 4 - Cálculo'!J122+'Hoja 4 - Cálculo'!K122)))</f>
        <v>16</v>
      </c>
      <c r="I1781" s="15">
        <f t="shared" si="394"/>
        <v>20</v>
      </c>
      <c r="J1781" s="15">
        <f t="shared" ref="J1781:J1803" si="405">N1780</f>
        <v>0</v>
      </c>
      <c r="K1781" s="15">
        <f>MIN(J1781+G1781,(J1781+G1781)*'Hoja 4 - Cálculo'!$B$15)</f>
        <v>0.24862500000000001</v>
      </c>
      <c r="L1781" s="15">
        <f t="shared" si="395"/>
        <v>12.182625</v>
      </c>
      <c r="M1781" s="15">
        <f t="shared" si="396"/>
        <v>12.182625</v>
      </c>
      <c r="N1781" s="15">
        <f t="shared" si="397"/>
        <v>0</v>
      </c>
      <c r="O1781" s="15">
        <f t="shared" si="398"/>
        <v>0</v>
      </c>
      <c r="P1781" s="15">
        <f t="shared" si="399"/>
        <v>7.8173750000000002</v>
      </c>
      <c r="Q1781" s="14" t="str">
        <f>IF(M1781&gt;=I1781*'Hoja 4 - Cálculo'!$B$16,"Satisfactorio","Falla")</f>
        <v>Falla</v>
      </c>
      <c r="R1781" s="14">
        <f t="shared" ref="R1781:R1812" si="406">IF(AND(Q1780="Falla",Q1781="Satisfactorio"),1,0)</f>
        <v>0</v>
      </c>
      <c r="S1781" s="14">
        <f t="shared" ref="S1781:S1803" si="407">IF(AND(Q1781="Falla",Q1780&lt;&gt;"Falla"),1,0)</f>
        <v>0</v>
      </c>
    </row>
    <row r="1782" spans="1:19">
      <c r="A1782" s="14" t="str">
        <f t="shared" si="404"/>
        <v>SRY-5-3</v>
      </c>
      <c r="B1782" s="15">
        <f>'Curvas SRY'!$B$12</f>
        <v>10</v>
      </c>
      <c r="C1782" s="15">
        <f>'Curvas SRY'!$E$10</f>
        <v>1.25</v>
      </c>
      <c r="D1782" s="14" t="str">
        <f>'Curvas SRY'!$B$14</f>
        <v>Uso variable</v>
      </c>
      <c r="E1782" s="14">
        <f>99</f>
        <v>99</v>
      </c>
      <c r="F1782" s="21">
        <f>'Hoja 4 - Cálculo'!A123</f>
        <v>32568</v>
      </c>
      <c r="G1782" s="15">
        <f>'Hoja 4 - Cálculo'!H123</f>
        <v>19.717874999999999</v>
      </c>
      <c r="H1782" s="15">
        <f>IF(D1782="Uso único",'Hoja 4 - Cálculo'!I123,IF(D1782="Uso múltiple",AVERAGE('Hoja 4 - Cálculo'!$I$25:$I$384)+AVERAGE('Hoja 4 - Cálculo'!$J$25:$J$384)+AVERAGE('Hoja 4 - Cálculo'!$K$25:$K$384),IF(D1782="Uso prioritario",'Hoja 4 - Cálculo'!I123+'Hoja 4 - Cálculo'!K123,'Hoja 4 - Cálculo'!I123+'Hoja 4 - Cálculo'!J123+'Hoja 4 - Cálculo'!K123)))</f>
        <v>16</v>
      </c>
      <c r="I1782" s="15">
        <f t="shared" si="394"/>
        <v>20</v>
      </c>
      <c r="J1782" s="15">
        <f t="shared" si="405"/>
        <v>0</v>
      </c>
      <c r="K1782" s="15">
        <f>MIN(J1782+G1782,(J1782+G1782)*'Hoja 4 - Cálculo'!$B$15)</f>
        <v>0.39435749999999997</v>
      </c>
      <c r="L1782" s="15">
        <f t="shared" si="395"/>
        <v>19.323517499999998</v>
      </c>
      <c r="M1782" s="15">
        <f t="shared" si="396"/>
        <v>19.323517499999998</v>
      </c>
      <c r="N1782" s="15">
        <f t="shared" si="397"/>
        <v>0</v>
      </c>
      <c r="O1782" s="15">
        <f t="shared" si="398"/>
        <v>0</v>
      </c>
      <c r="P1782" s="15">
        <f t="shared" si="399"/>
        <v>0.67648250000000232</v>
      </c>
      <c r="Q1782" s="14" t="str">
        <f>IF(M1782&gt;=I1782*'Hoja 4 - Cálculo'!$B$16,"Satisfactorio","Falla")</f>
        <v>Falla</v>
      </c>
      <c r="R1782" s="14">
        <f t="shared" si="406"/>
        <v>0</v>
      </c>
      <c r="S1782" s="14">
        <f t="shared" si="407"/>
        <v>0</v>
      </c>
    </row>
    <row r="1783" spans="1:19">
      <c r="A1783" s="14" t="str">
        <f t="shared" si="404"/>
        <v>SRY-5-3</v>
      </c>
      <c r="B1783" s="15">
        <f>'Curvas SRY'!$B$12</f>
        <v>10</v>
      </c>
      <c r="C1783" s="15">
        <f>'Curvas SRY'!$E$10</f>
        <v>1.25</v>
      </c>
      <c r="D1783" s="14" t="str">
        <f>'Curvas SRY'!$B$14</f>
        <v>Uso variable</v>
      </c>
      <c r="E1783" s="14">
        <f>100</f>
        <v>100</v>
      </c>
      <c r="F1783" s="21">
        <f>'Hoja 4 - Cálculo'!A124</f>
        <v>32599</v>
      </c>
      <c r="G1783" s="15">
        <f>'Hoja 4 - Cálculo'!H124</f>
        <v>26.029125000000001</v>
      </c>
      <c r="H1783" s="15">
        <f>IF(D1783="Uso único",'Hoja 4 - Cálculo'!I124,IF(D1783="Uso múltiple",AVERAGE('Hoja 4 - Cálculo'!$I$25:$I$384)+AVERAGE('Hoja 4 - Cálculo'!$J$25:$J$384)+AVERAGE('Hoja 4 - Cálculo'!$K$25:$K$384),IF(D1783="Uso prioritario",'Hoja 4 - Cálculo'!I124+'Hoja 4 - Cálculo'!K124,'Hoja 4 - Cálculo'!I124+'Hoja 4 - Cálculo'!J124+'Hoja 4 - Cálculo'!K124)))</f>
        <v>11.5</v>
      </c>
      <c r="I1783" s="15">
        <f t="shared" si="394"/>
        <v>14.375</v>
      </c>
      <c r="J1783" s="15">
        <f t="shared" si="405"/>
        <v>0</v>
      </c>
      <c r="K1783" s="15">
        <f>MIN(J1783+G1783,(J1783+G1783)*'Hoja 4 - Cálculo'!$B$15)</f>
        <v>0.52058250000000006</v>
      </c>
      <c r="L1783" s="15">
        <f t="shared" si="395"/>
        <v>25.508542500000001</v>
      </c>
      <c r="M1783" s="15">
        <f t="shared" si="396"/>
        <v>14.375</v>
      </c>
      <c r="N1783" s="15">
        <f t="shared" si="397"/>
        <v>10</v>
      </c>
      <c r="O1783" s="15">
        <f t="shared" si="398"/>
        <v>1.1335425000000008</v>
      </c>
      <c r="P1783" s="15">
        <f t="shared" si="399"/>
        <v>0</v>
      </c>
      <c r="Q1783" s="14" t="str">
        <f>IF(M1783&gt;=I1783*'Hoja 4 - Cálculo'!$B$16,"Satisfactorio","Falla")</f>
        <v>Satisfactorio</v>
      </c>
      <c r="R1783" s="14">
        <f t="shared" si="406"/>
        <v>1</v>
      </c>
      <c r="S1783" s="14">
        <f t="shared" si="407"/>
        <v>0</v>
      </c>
    </row>
    <row r="1784" spans="1:19">
      <c r="A1784" s="14" t="str">
        <f t="shared" si="404"/>
        <v>SRY-5-3</v>
      </c>
      <c r="B1784" s="15">
        <f>'Curvas SRY'!$B$12</f>
        <v>10</v>
      </c>
      <c r="C1784" s="15">
        <f>'Curvas SRY'!$E$10</f>
        <v>1.25</v>
      </c>
      <c r="D1784" s="14" t="str">
        <f>'Curvas SRY'!$B$14</f>
        <v>Uso variable</v>
      </c>
      <c r="E1784" s="14">
        <f>101</f>
        <v>101</v>
      </c>
      <c r="F1784" s="21">
        <f>'Hoja 4 - Cálculo'!A125</f>
        <v>32629</v>
      </c>
      <c r="G1784" s="15">
        <f>'Hoja 4 - Cálculo'!H125</f>
        <v>24.728625000000005</v>
      </c>
      <c r="H1784" s="15">
        <f>IF(D1784="Uso único",'Hoja 4 - Cálculo'!I125,IF(D1784="Uso múltiple",AVERAGE('Hoja 4 - Cálculo'!$I$25:$I$384)+AVERAGE('Hoja 4 - Cálculo'!$J$25:$J$384)+AVERAGE('Hoja 4 - Cálculo'!$K$25:$K$384),IF(D1784="Uso prioritario",'Hoja 4 - Cálculo'!I125+'Hoja 4 - Cálculo'!K125,'Hoja 4 - Cálculo'!I125+'Hoja 4 - Cálculo'!J125+'Hoja 4 - Cálculo'!K125)))</f>
        <v>11.5</v>
      </c>
      <c r="I1784" s="15">
        <f t="shared" si="394"/>
        <v>14.375</v>
      </c>
      <c r="J1784" s="15">
        <f t="shared" si="405"/>
        <v>10</v>
      </c>
      <c r="K1784" s="15">
        <f>MIN(J1784+G1784,(J1784+G1784)*'Hoja 4 - Cálculo'!$B$15)</f>
        <v>0.69457250000000015</v>
      </c>
      <c r="L1784" s="15">
        <f t="shared" si="395"/>
        <v>34.034052500000008</v>
      </c>
      <c r="M1784" s="15">
        <f t="shared" si="396"/>
        <v>14.375</v>
      </c>
      <c r="N1784" s="15">
        <f t="shared" si="397"/>
        <v>10</v>
      </c>
      <c r="O1784" s="15">
        <f t="shared" si="398"/>
        <v>9.6590525000000085</v>
      </c>
      <c r="P1784" s="15">
        <f t="shared" si="399"/>
        <v>0</v>
      </c>
      <c r="Q1784" s="14" t="str">
        <f>IF(M1784&gt;=I1784*'Hoja 4 - Cálculo'!$B$16,"Satisfactorio","Falla")</f>
        <v>Satisfactorio</v>
      </c>
      <c r="R1784" s="14">
        <f t="shared" si="406"/>
        <v>0</v>
      </c>
      <c r="S1784" s="14">
        <f t="shared" si="407"/>
        <v>0</v>
      </c>
    </row>
    <row r="1785" spans="1:19">
      <c r="A1785" s="14" t="str">
        <f t="shared" si="404"/>
        <v>SRY-5-3</v>
      </c>
      <c r="B1785" s="15">
        <f>'Curvas SRY'!$B$12</f>
        <v>10</v>
      </c>
      <c r="C1785" s="15">
        <f>'Curvas SRY'!$E$10</f>
        <v>1.25</v>
      </c>
      <c r="D1785" s="14" t="str">
        <f>'Curvas SRY'!$B$14</f>
        <v>Uso variable</v>
      </c>
      <c r="E1785" s="14">
        <f>102</f>
        <v>102</v>
      </c>
      <c r="F1785" s="21">
        <f>'Hoja 4 - Cálculo'!A126</f>
        <v>32660</v>
      </c>
      <c r="G1785" s="15">
        <f>'Hoja 4 - Cálculo'!H126</f>
        <v>14.515874999999999</v>
      </c>
      <c r="H1785" s="15">
        <f>IF(D1785="Uso único",'Hoja 4 - Cálculo'!I126,IF(D1785="Uso múltiple",AVERAGE('Hoja 4 - Cálculo'!$I$25:$I$384)+AVERAGE('Hoja 4 - Cálculo'!$J$25:$J$384)+AVERAGE('Hoja 4 - Cálculo'!$K$25:$K$384),IF(D1785="Uso prioritario",'Hoja 4 - Cálculo'!I126+'Hoja 4 - Cálculo'!K126,'Hoja 4 - Cálculo'!I126+'Hoja 4 - Cálculo'!J126+'Hoja 4 - Cálculo'!K126)))</f>
        <v>11.5</v>
      </c>
      <c r="I1785" s="15">
        <f t="shared" si="394"/>
        <v>14.375</v>
      </c>
      <c r="J1785" s="15">
        <f t="shared" si="405"/>
        <v>10</v>
      </c>
      <c r="K1785" s="15">
        <f>MIN(J1785+G1785,(J1785+G1785)*'Hoja 4 - Cálculo'!$B$15)</f>
        <v>0.49031750000000002</v>
      </c>
      <c r="L1785" s="15">
        <f t="shared" si="395"/>
        <v>24.025557500000001</v>
      </c>
      <c r="M1785" s="15">
        <f t="shared" si="396"/>
        <v>14.375</v>
      </c>
      <c r="N1785" s="15">
        <f t="shared" si="397"/>
        <v>9.6505575000000015</v>
      </c>
      <c r="O1785" s="15">
        <f t="shared" si="398"/>
        <v>0</v>
      </c>
      <c r="P1785" s="15">
        <f t="shared" si="399"/>
        <v>0</v>
      </c>
      <c r="Q1785" s="14" t="str">
        <f>IF(M1785&gt;=I1785*'Hoja 4 - Cálculo'!$B$16,"Satisfactorio","Falla")</f>
        <v>Satisfactorio</v>
      </c>
      <c r="R1785" s="14">
        <f t="shared" si="406"/>
        <v>0</v>
      </c>
      <c r="S1785" s="14">
        <f t="shared" si="407"/>
        <v>0</v>
      </c>
    </row>
    <row r="1786" spans="1:19">
      <c r="A1786" s="14" t="str">
        <f t="shared" si="404"/>
        <v>SRY-5-3</v>
      </c>
      <c r="B1786" s="15">
        <f>'Curvas SRY'!$B$12</f>
        <v>10</v>
      </c>
      <c r="C1786" s="15">
        <f>'Curvas SRY'!$E$10</f>
        <v>1.25</v>
      </c>
      <c r="D1786" s="14" t="str">
        <f>'Curvas SRY'!$B$14</f>
        <v>Uso variable</v>
      </c>
      <c r="E1786" s="14">
        <f>103</f>
        <v>103</v>
      </c>
      <c r="F1786" s="21">
        <f>'Hoja 4 - Cálculo'!A127</f>
        <v>32690</v>
      </c>
      <c r="G1786" s="15">
        <f>'Hoja 4 - Cálculo'!H127</f>
        <v>12.144375</v>
      </c>
      <c r="H1786" s="15">
        <f>IF(D1786="Uso único",'Hoja 4 - Cálculo'!I127,IF(D1786="Uso múltiple",AVERAGE('Hoja 4 - Cálculo'!$I$25:$I$384)+AVERAGE('Hoja 4 - Cálculo'!$J$25:$J$384)+AVERAGE('Hoja 4 - Cálculo'!$K$25:$K$384),IF(D1786="Uso prioritario",'Hoja 4 - Cálculo'!I127+'Hoja 4 - Cálculo'!K127,'Hoja 4 - Cálculo'!I127+'Hoja 4 - Cálculo'!J127+'Hoja 4 - Cálculo'!K127)))</f>
        <v>16</v>
      </c>
      <c r="I1786" s="15">
        <f t="shared" si="394"/>
        <v>20</v>
      </c>
      <c r="J1786" s="15">
        <f t="shared" si="405"/>
        <v>9.6505575000000015</v>
      </c>
      <c r="K1786" s="15">
        <f>MIN(J1786+G1786,(J1786+G1786)*'Hoja 4 - Cálculo'!$B$15)</f>
        <v>0.43589865000000005</v>
      </c>
      <c r="L1786" s="15">
        <f t="shared" si="395"/>
        <v>21.359033850000003</v>
      </c>
      <c r="M1786" s="15">
        <f t="shared" si="396"/>
        <v>20</v>
      </c>
      <c r="N1786" s="15">
        <f t="shared" si="397"/>
        <v>1.359033850000003</v>
      </c>
      <c r="O1786" s="15">
        <f t="shared" si="398"/>
        <v>0</v>
      </c>
      <c r="P1786" s="15">
        <f t="shared" si="399"/>
        <v>0</v>
      </c>
      <c r="Q1786" s="14" t="str">
        <f>IF(M1786&gt;=I1786*'Hoja 4 - Cálculo'!$B$16,"Satisfactorio","Falla")</f>
        <v>Satisfactorio</v>
      </c>
      <c r="R1786" s="14">
        <f t="shared" si="406"/>
        <v>0</v>
      </c>
      <c r="S1786" s="14">
        <f t="shared" si="407"/>
        <v>0</v>
      </c>
    </row>
    <row r="1787" spans="1:19">
      <c r="A1787" s="14" t="str">
        <f t="shared" si="404"/>
        <v>SRY-5-3</v>
      </c>
      <c r="B1787" s="15">
        <f>'Curvas SRY'!$B$12</f>
        <v>10</v>
      </c>
      <c r="C1787" s="15">
        <f>'Curvas SRY'!$E$10</f>
        <v>1.25</v>
      </c>
      <c r="D1787" s="14" t="str">
        <f>'Curvas SRY'!$B$14</f>
        <v>Uso variable</v>
      </c>
      <c r="E1787" s="14">
        <f>104</f>
        <v>104</v>
      </c>
      <c r="F1787" s="21">
        <f>'Hoja 4 - Cálculo'!A128</f>
        <v>32721</v>
      </c>
      <c r="G1787" s="15">
        <f>'Hoja 4 - Cálculo'!H128</f>
        <v>13.04325</v>
      </c>
      <c r="H1787" s="15">
        <f>IF(D1787="Uso único",'Hoja 4 - Cálculo'!I128,IF(D1787="Uso múltiple",AVERAGE('Hoja 4 - Cálculo'!$I$25:$I$384)+AVERAGE('Hoja 4 - Cálculo'!$J$25:$J$384)+AVERAGE('Hoja 4 - Cálculo'!$K$25:$K$384),IF(D1787="Uso prioritario",'Hoja 4 - Cálculo'!I128+'Hoja 4 - Cálculo'!K128,'Hoja 4 - Cálculo'!I128+'Hoja 4 - Cálculo'!J128+'Hoja 4 - Cálculo'!K128)))</f>
        <v>16</v>
      </c>
      <c r="I1787" s="15">
        <f t="shared" si="394"/>
        <v>20</v>
      </c>
      <c r="J1787" s="15">
        <f t="shared" si="405"/>
        <v>1.359033850000003</v>
      </c>
      <c r="K1787" s="15">
        <f>MIN(J1787+G1787,(J1787+G1787)*'Hoja 4 - Cálculo'!$B$15)</f>
        <v>0.28804567700000006</v>
      </c>
      <c r="L1787" s="15">
        <f t="shared" si="395"/>
        <v>14.114238173000004</v>
      </c>
      <c r="M1787" s="15">
        <f t="shared" si="396"/>
        <v>14.114238173000004</v>
      </c>
      <c r="N1787" s="15">
        <f t="shared" si="397"/>
        <v>0</v>
      </c>
      <c r="O1787" s="15">
        <f t="shared" si="398"/>
        <v>0</v>
      </c>
      <c r="P1787" s="15">
        <f t="shared" si="399"/>
        <v>5.8857618269999961</v>
      </c>
      <c r="Q1787" s="14" t="str">
        <f>IF(M1787&gt;=I1787*'Hoja 4 - Cálculo'!$B$16,"Satisfactorio","Falla")</f>
        <v>Falla</v>
      </c>
      <c r="R1787" s="14">
        <f t="shared" si="406"/>
        <v>0</v>
      </c>
      <c r="S1787" s="14">
        <f t="shared" si="407"/>
        <v>1</v>
      </c>
    </row>
    <row r="1788" spans="1:19">
      <c r="A1788" s="14" t="str">
        <f t="shared" si="404"/>
        <v>SRY-5-3</v>
      </c>
      <c r="B1788" s="15">
        <f>'Curvas SRY'!$B$12</f>
        <v>10</v>
      </c>
      <c r="C1788" s="15">
        <f>'Curvas SRY'!$E$10</f>
        <v>1.25</v>
      </c>
      <c r="D1788" s="14" t="str">
        <f>'Curvas SRY'!$B$14</f>
        <v>Uso variable</v>
      </c>
      <c r="E1788" s="14">
        <f>105</f>
        <v>105</v>
      </c>
      <c r="F1788" s="21">
        <f>'Hoja 4 - Cálculo'!A129</f>
        <v>32752</v>
      </c>
      <c r="G1788" s="15">
        <f>'Hoja 4 - Cálculo'!H129</f>
        <v>20.444624999999998</v>
      </c>
      <c r="H1788" s="15">
        <f>IF(D1788="Uso único",'Hoja 4 - Cálculo'!I129,IF(D1788="Uso múltiple",AVERAGE('Hoja 4 - Cálculo'!$I$25:$I$384)+AVERAGE('Hoja 4 - Cálculo'!$J$25:$J$384)+AVERAGE('Hoja 4 - Cálculo'!$K$25:$K$384),IF(D1788="Uso prioritario",'Hoja 4 - Cálculo'!I129+'Hoja 4 - Cálculo'!K129,'Hoja 4 - Cálculo'!I129+'Hoja 4 - Cálculo'!J129+'Hoja 4 - Cálculo'!K129)))</f>
        <v>11.5</v>
      </c>
      <c r="I1788" s="15">
        <f t="shared" si="394"/>
        <v>14.375</v>
      </c>
      <c r="J1788" s="15">
        <f t="shared" si="405"/>
        <v>0</v>
      </c>
      <c r="K1788" s="15">
        <f>MIN(J1788+G1788,(J1788+G1788)*'Hoja 4 - Cálculo'!$B$15)</f>
        <v>0.40889249999999999</v>
      </c>
      <c r="L1788" s="15">
        <f t="shared" si="395"/>
        <v>20.035732499999998</v>
      </c>
      <c r="M1788" s="15">
        <f t="shared" si="396"/>
        <v>14.375</v>
      </c>
      <c r="N1788" s="15">
        <f t="shared" si="397"/>
        <v>5.6607324999999982</v>
      </c>
      <c r="O1788" s="15">
        <f t="shared" si="398"/>
        <v>0</v>
      </c>
      <c r="P1788" s="15">
        <f t="shared" si="399"/>
        <v>0</v>
      </c>
      <c r="Q1788" s="14" t="str">
        <f>IF(M1788&gt;=I1788*'Hoja 4 - Cálculo'!$B$16,"Satisfactorio","Falla")</f>
        <v>Satisfactorio</v>
      </c>
      <c r="R1788" s="14">
        <f t="shared" si="406"/>
        <v>1</v>
      </c>
      <c r="S1788" s="14">
        <f t="shared" si="407"/>
        <v>0</v>
      </c>
    </row>
    <row r="1789" spans="1:19">
      <c r="A1789" s="14" t="str">
        <f t="shared" si="404"/>
        <v>SRY-5-3</v>
      </c>
      <c r="B1789" s="15">
        <f>'Curvas SRY'!$B$12</f>
        <v>10</v>
      </c>
      <c r="C1789" s="15">
        <f>'Curvas SRY'!$E$10</f>
        <v>1.25</v>
      </c>
      <c r="D1789" s="14" t="str">
        <f>'Curvas SRY'!$B$14</f>
        <v>Uso variable</v>
      </c>
      <c r="E1789" s="14">
        <f>106</f>
        <v>106</v>
      </c>
      <c r="F1789" s="21">
        <f>'Hoja 4 - Cálculo'!A130</f>
        <v>32782</v>
      </c>
      <c r="G1789" s="15">
        <f>'Hoja 4 - Cálculo'!H130</f>
        <v>28.343250000000001</v>
      </c>
      <c r="H1789" s="15">
        <f>IF(D1789="Uso único",'Hoja 4 - Cálculo'!I130,IF(D1789="Uso múltiple",AVERAGE('Hoja 4 - Cálculo'!$I$25:$I$384)+AVERAGE('Hoja 4 - Cálculo'!$J$25:$J$384)+AVERAGE('Hoja 4 - Cálculo'!$K$25:$K$384),IF(D1789="Uso prioritario",'Hoja 4 - Cálculo'!I130+'Hoja 4 - Cálculo'!K130,'Hoja 4 - Cálculo'!I130+'Hoja 4 - Cálculo'!J130+'Hoja 4 - Cálculo'!K130)))</f>
        <v>11.5</v>
      </c>
      <c r="I1789" s="15">
        <f t="shared" si="394"/>
        <v>14.375</v>
      </c>
      <c r="J1789" s="15">
        <f t="shared" si="405"/>
        <v>5.6607324999999982</v>
      </c>
      <c r="K1789" s="15">
        <f>MIN(J1789+G1789,(J1789+G1789)*'Hoja 4 - Cálculo'!$B$15)</f>
        <v>0.68007965000000004</v>
      </c>
      <c r="L1789" s="15">
        <f t="shared" si="395"/>
        <v>33.323902849999996</v>
      </c>
      <c r="M1789" s="15">
        <f t="shared" si="396"/>
        <v>14.375</v>
      </c>
      <c r="N1789" s="15">
        <f t="shared" si="397"/>
        <v>10</v>
      </c>
      <c r="O1789" s="15">
        <f t="shared" si="398"/>
        <v>8.9489028499999961</v>
      </c>
      <c r="P1789" s="15">
        <f t="shared" si="399"/>
        <v>0</v>
      </c>
      <c r="Q1789" s="14" t="str">
        <f>IF(M1789&gt;=I1789*'Hoja 4 - Cálculo'!$B$16,"Satisfactorio","Falla")</f>
        <v>Satisfactorio</v>
      </c>
      <c r="R1789" s="14">
        <f t="shared" si="406"/>
        <v>0</v>
      </c>
      <c r="S1789" s="14">
        <f t="shared" si="407"/>
        <v>0</v>
      </c>
    </row>
    <row r="1790" spans="1:19">
      <c r="A1790" s="14" t="str">
        <f t="shared" si="404"/>
        <v>SRY-5-3</v>
      </c>
      <c r="B1790" s="15">
        <f>'Curvas SRY'!$B$12</f>
        <v>10</v>
      </c>
      <c r="C1790" s="15">
        <f>'Curvas SRY'!$E$10</f>
        <v>1.25</v>
      </c>
      <c r="D1790" s="14" t="str">
        <f>'Curvas SRY'!$B$14</f>
        <v>Uso variable</v>
      </c>
      <c r="E1790" s="14">
        <f>107</f>
        <v>107</v>
      </c>
      <c r="F1790" s="21">
        <f>'Hoja 4 - Cálculo'!A131</f>
        <v>32813</v>
      </c>
      <c r="G1790" s="15">
        <f>'Hoja 4 - Cálculo'!H131</f>
        <v>22.60575</v>
      </c>
      <c r="H1790" s="15">
        <f>IF(D1790="Uso único",'Hoja 4 - Cálculo'!I131,IF(D1790="Uso múltiple",AVERAGE('Hoja 4 - Cálculo'!$I$25:$I$384)+AVERAGE('Hoja 4 - Cálculo'!$J$25:$J$384)+AVERAGE('Hoja 4 - Cálculo'!$K$25:$K$384),IF(D1790="Uso prioritario",'Hoja 4 - Cálculo'!I131+'Hoja 4 - Cálculo'!K131,'Hoja 4 - Cálculo'!I131+'Hoja 4 - Cálculo'!J131+'Hoja 4 - Cálculo'!K131)))</f>
        <v>11.5</v>
      </c>
      <c r="I1790" s="15">
        <f t="shared" si="394"/>
        <v>14.375</v>
      </c>
      <c r="J1790" s="15">
        <f t="shared" si="405"/>
        <v>10</v>
      </c>
      <c r="K1790" s="15">
        <f>MIN(J1790+G1790,(J1790+G1790)*'Hoja 4 - Cálculo'!$B$15)</f>
        <v>0.652115</v>
      </c>
      <c r="L1790" s="15">
        <f t="shared" si="395"/>
        <v>31.953635000000002</v>
      </c>
      <c r="M1790" s="15">
        <f t="shared" si="396"/>
        <v>14.375</v>
      </c>
      <c r="N1790" s="15">
        <f t="shared" si="397"/>
        <v>10</v>
      </c>
      <c r="O1790" s="15">
        <f t="shared" si="398"/>
        <v>7.578635000000002</v>
      </c>
      <c r="P1790" s="15">
        <f t="shared" si="399"/>
        <v>0</v>
      </c>
      <c r="Q1790" s="14" t="str">
        <f>IF(M1790&gt;=I1790*'Hoja 4 - Cálculo'!$B$16,"Satisfactorio","Falla")</f>
        <v>Satisfactorio</v>
      </c>
      <c r="R1790" s="14">
        <f t="shared" si="406"/>
        <v>0</v>
      </c>
      <c r="S1790" s="14">
        <f t="shared" si="407"/>
        <v>0</v>
      </c>
    </row>
    <row r="1791" spans="1:19">
      <c r="A1791" s="14" t="str">
        <f t="shared" si="404"/>
        <v>SRY-5-3</v>
      </c>
      <c r="B1791" s="15">
        <f>'Curvas SRY'!$B$12</f>
        <v>10</v>
      </c>
      <c r="C1791" s="15">
        <f>'Curvas SRY'!$E$10</f>
        <v>1.25</v>
      </c>
      <c r="D1791" s="14" t="str">
        <f>'Curvas SRY'!$B$14</f>
        <v>Uso variable</v>
      </c>
      <c r="E1791" s="14">
        <f>108</f>
        <v>108</v>
      </c>
      <c r="F1791" s="21">
        <f>'Hoja 4 - Cálculo'!A132</f>
        <v>32843</v>
      </c>
      <c r="G1791" s="15">
        <f>'Hoja 4 - Cálculo'!H132</f>
        <v>14.362875000000001</v>
      </c>
      <c r="H1791" s="15">
        <f>IF(D1791="Uso único",'Hoja 4 - Cálculo'!I132,IF(D1791="Uso múltiple",AVERAGE('Hoja 4 - Cálculo'!$I$25:$I$384)+AVERAGE('Hoja 4 - Cálculo'!$J$25:$J$384)+AVERAGE('Hoja 4 - Cálculo'!$K$25:$K$384),IF(D1791="Uso prioritario",'Hoja 4 - Cálculo'!I132+'Hoja 4 - Cálculo'!K132,'Hoja 4 - Cálculo'!I132+'Hoja 4 - Cálculo'!J132+'Hoja 4 - Cálculo'!K132)))</f>
        <v>16</v>
      </c>
      <c r="I1791" s="15">
        <f t="shared" si="394"/>
        <v>20</v>
      </c>
      <c r="J1791" s="15">
        <f t="shared" si="405"/>
        <v>10</v>
      </c>
      <c r="K1791" s="15">
        <f>MIN(J1791+G1791,(J1791+G1791)*'Hoja 4 - Cálculo'!$B$15)</f>
        <v>0.48725750000000007</v>
      </c>
      <c r="L1791" s="15">
        <f t="shared" si="395"/>
        <v>23.875617500000004</v>
      </c>
      <c r="M1791" s="15">
        <f t="shared" si="396"/>
        <v>20</v>
      </c>
      <c r="N1791" s="15">
        <f t="shared" si="397"/>
        <v>3.8756175000000042</v>
      </c>
      <c r="O1791" s="15">
        <f t="shared" si="398"/>
        <v>0</v>
      </c>
      <c r="P1791" s="15">
        <f t="shared" si="399"/>
        <v>0</v>
      </c>
      <c r="Q1791" s="14" t="str">
        <f>IF(M1791&gt;=I1791*'Hoja 4 - Cálculo'!$B$16,"Satisfactorio","Falla")</f>
        <v>Satisfactorio</v>
      </c>
      <c r="R1791" s="14">
        <f t="shared" si="406"/>
        <v>0</v>
      </c>
      <c r="S1791" s="14">
        <f t="shared" si="407"/>
        <v>0</v>
      </c>
    </row>
    <row r="1792" spans="1:19">
      <c r="A1792" s="14" t="str">
        <f t="shared" si="404"/>
        <v>SRY-5-3</v>
      </c>
      <c r="B1792" s="15">
        <f>'Curvas SRY'!$B$12</f>
        <v>10</v>
      </c>
      <c r="C1792" s="15">
        <f>'Curvas SRY'!$E$10</f>
        <v>1.25</v>
      </c>
      <c r="D1792" s="14" t="str">
        <f>'Curvas SRY'!$B$14</f>
        <v>Uso variable</v>
      </c>
      <c r="E1792" s="14">
        <f>109</f>
        <v>109</v>
      </c>
      <c r="F1792" s="21">
        <f>'Hoja 4 - Cálculo'!A133</f>
        <v>32874</v>
      </c>
      <c r="G1792" s="15">
        <f>'Hoja 4 - Cálculo'!H133</f>
        <v>11.723625</v>
      </c>
      <c r="H1792" s="15">
        <f>IF(D1792="Uso único",'Hoja 4 - Cálculo'!I133,IF(D1792="Uso múltiple",AVERAGE('Hoja 4 - Cálculo'!$I$25:$I$384)+AVERAGE('Hoja 4 - Cálculo'!$J$25:$J$384)+AVERAGE('Hoja 4 - Cálculo'!$K$25:$K$384),IF(D1792="Uso prioritario",'Hoja 4 - Cálculo'!I133+'Hoja 4 - Cálculo'!K133,'Hoja 4 - Cálculo'!I133+'Hoja 4 - Cálculo'!J133+'Hoja 4 - Cálculo'!K133)))</f>
        <v>16</v>
      </c>
      <c r="I1792" s="15">
        <f t="shared" si="394"/>
        <v>20</v>
      </c>
      <c r="J1792" s="15">
        <f t="shared" si="405"/>
        <v>3.8756175000000042</v>
      </c>
      <c r="K1792" s="15">
        <f>MIN(J1792+G1792,(J1792+G1792)*'Hoja 4 - Cálculo'!$B$15)</f>
        <v>0.31198485000000009</v>
      </c>
      <c r="L1792" s="15">
        <f t="shared" si="395"/>
        <v>15.287257650000004</v>
      </c>
      <c r="M1792" s="15">
        <f t="shared" si="396"/>
        <v>15.287257650000004</v>
      </c>
      <c r="N1792" s="15">
        <f t="shared" si="397"/>
        <v>0</v>
      </c>
      <c r="O1792" s="15">
        <f t="shared" si="398"/>
        <v>0</v>
      </c>
      <c r="P1792" s="15">
        <f t="shared" si="399"/>
        <v>4.7127423499999956</v>
      </c>
      <c r="Q1792" s="14" t="str">
        <f>IF(M1792&gt;=I1792*'Hoja 4 - Cálculo'!$B$16,"Satisfactorio","Falla")</f>
        <v>Falla</v>
      </c>
      <c r="R1792" s="14">
        <f t="shared" si="406"/>
        <v>0</v>
      </c>
      <c r="S1792" s="14">
        <f t="shared" si="407"/>
        <v>1</v>
      </c>
    </row>
    <row r="1793" spans="1:19">
      <c r="A1793" s="14" t="str">
        <f t="shared" si="404"/>
        <v>SRY-5-3</v>
      </c>
      <c r="B1793" s="15">
        <f>'Curvas SRY'!$B$12</f>
        <v>10</v>
      </c>
      <c r="C1793" s="15">
        <f>'Curvas SRY'!$E$10</f>
        <v>1.25</v>
      </c>
      <c r="D1793" s="14" t="str">
        <f>'Curvas SRY'!$B$14</f>
        <v>Uso variable</v>
      </c>
      <c r="E1793" s="14">
        <f>110</f>
        <v>110</v>
      </c>
      <c r="F1793" s="21">
        <f>'Hoja 4 - Cálculo'!A134</f>
        <v>32905</v>
      </c>
      <c r="G1793" s="15">
        <f>'Hoja 4 - Cálculo'!H134</f>
        <v>13.311</v>
      </c>
      <c r="H1793" s="15">
        <f>IF(D1793="Uso único",'Hoja 4 - Cálculo'!I134,IF(D1793="Uso múltiple",AVERAGE('Hoja 4 - Cálculo'!$I$25:$I$384)+AVERAGE('Hoja 4 - Cálculo'!$J$25:$J$384)+AVERAGE('Hoja 4 - Cálculo'!$K$25:$K$384),IF(D1793="Uso prioritario",'Hoja 4 - Cálculo'!I134+'Hoja 4 - Cálculo'!K134,'Hoja 4 - Cálculo'!I134+'Hoja 4 - Cálculo'!J134+'Hoja 4 - Cálculo'!K134)))</f>
        <v>16</v>
      </c>
      <c r="I1793" s="15">
        <f t="shared" si="394"/>
        <v>20</v>
      </c>
      <c r="J1793" s="15">
        <f t="shared" si="405"/>
        <v>0</v>
      </c>
      <c r="K1793" s="15">
        <f>MIN(J1793+G1793,(J1793+G1793)*'Hoja 4 - Cálculo'!$B$15)</f>
        <v>0.26622000000000001</v>
      </c>
      <c r="L1793" s="15">
        <f t="shared" si="395"/>
        <v>13.044779999999999</v>
      </c>
      <c r="M1793" s="15">
        <f t="shared" si="396"/>
        <v>13.044779999999999</v>
      </c>
      <c r="N1793" s="15">
        <f t="shared" si="397"/>
        <v>0</v>
      </c>
      <c r="O1793" s="15">
        <f t="shared" si="398"/>
        <v>0</v>
      </c>
      <c r="P1793" s="15">
        <f t="shared" si="399"/>
        <v>6.9552200000000006</v>
      </c>
      <c r="Q1793" s="14" t="str">
        <f>IF(M1793&gt;=I1793*'Hoja 4 - Cálculo'!$B$16,"Satisfactorio","Falla")</f>
        <v>Falla</v>
      </c>
      <c r="R1793" s="14">
        <f t="shared" si="406"/>
        <v>0</v>
      </c>
      <c r="S1793" s="14">
        <f t="shared" si="407"/>
        <v>0</v>
      </c>
    </row>
    <row r="1794" spans="1:19">
      <c r="A1794" s="14" t="str">
        <f t="shared" si="404"/>
        <v>SRY-5-3</v>
      </c>
      <c r="B1794" s="15">
        <f>'Curvas SRY'!$B$12</f>
        <v>10</v>
      </c>
      <c r="C1794" s="15">
        <f>'Curvas SRY'!$E$10</f>
        <v>1.25</v>
      </c>
      <c r="D1794" s="14" t="str">
        <f>'Curvas SRY'!$B$14</f>
        <v>Uso variable</v>
      </c>
      <c r="E1794" s="14">
        <f>111</f>
        <v>111</v>
      </c>
      <c r="F1794" s="21">
        <f>'Hoja 4 - Cálculo'!A135</f>
        <v>32933</v>
      </c>
      <c r="G1794" s="15">
        <f>'Hoja 4 - Cálculo'!H135</f>
        <v>18.838125000000002</v>
      </c>
      <c r="H1794" s="15">
        <f>IF(D1794="Uso único",'Hoja 4 - Cálculo'!I135,IF(D1794="Uso múltiple",AVERAGE('Hoja 4 - Cálculo'!$I$25:$I$384)+AVERAGE('Hoja 4 - Cálculo'!$J$25:$J$384)+AVERAGE('Hoja 4 - Cálculo'!$K$25:$K$384),IF(D1794="Uso prioritario",'Hoja 4 - Cálculo'!I135+'Hoja 4 - Cálculo'!K135,'Hoja 4 - Cálculo'!I135+'Hoja 4 - Cálculo'!J135+'Hoja 4 - Cálculo'!K135)))</f>
        <v>16</v>
      </c>
      <c r="I1794" s="15">
        <f t="shared" si="394"/>
        <v>20</v>
      </c>
      <c r="J1794" s="15">
        <f t="shared" si="405"/>
        <v>0</v>
      </c>
      <c r="K1794" s="15">
        <f>MIN(J1794+G1794,(J1794+G1794)*'Hoja 4 - Cálculo'!$B$15)</f>
        <v>0.37676250000000006</v>
      </c>
      <c r="L1794" s="15">
        <f t="shared" si="395"/>
        <v>18.4613625</v>
      </c>
      <c r="M1794" s="15">
        <f t="shared" si="396"/>
        <v>18.4613625</v>
      </c>
      <c r="N1794" s="15">
        <f t="shared" si="397"/>
        <v>0</v>
      </c>
      <c r="O1794" s="15">
        <f t="shared" si="398"/>
        <v>0</v>
      </c>
      <c r="P1794" s="15">
        <f t="shared" si="399"/>
        <v>1.5386375000000001</v>
      </c>
      <c r="Q1794" s="14" t="str">
        <f>IF(M1794&gt;=I1794*'Hoja 4 - Cálculo'!$B$16,"Satisfactorio","Falla")</f>
        <v>Falla</v>
      </c>
      <c r="R1794" s="14">
        <f t="shared" si="406"/>
        <v>0</v>
      </c>
      <c r="S1794" s="14">
        <f t="shared" si="407"/>
        <v>0</v>
      </c>
    </row>
    <row r="1795" spans="1:19">
      <c r="A1795" s="14" t="str">
        <f t="shared" si="404"/>
        <v>SRY-5-3</v>
      </c>
      <c r="B1795" s="15">
        <f>'Curvas SRY'!$B$12</f>
        <v>10</v>
      </c>
      <c r="C1795" s="15">
        <f>'Curvas SRY'!$E$10</f>
        <v>1.25</v>
      </c>
      <c r="D1795" s="14" t="str">
        <f>'Curvas SRY'!$B$14</f>
        <v>Uso variable</v>
      </c>
      <c r="E1795" s="14">
        <f>112</f>
        <v>112</v>
      </c>
      <c r="F1795" s="21">
        <f>'Hoja 4 - Cálculo'!A136</f>
        <v>32964</v>
      </c>
      <c r="G1795" s="15">
        <f>'Hoja 4 - Cálculo'!H136</f>
        <v>28.611000000000001</v>
      </c>
      <c r="H1795" s="15">
        <f>IF(D1795="Uso único",'Hoja 4 - Cálculo'!I136,IF(D1795="Uso múltiple",AVERAGE('Hoja 4 - Cálculo'!$I$25:$I$384)+AVERAGE('Hoja 4 - Cálculo'!$J$25:$J$384)+AVERAGE('Hoja 4 - Cálculo'!$K$25:$K$384),IF(D1795="Uso prioritario",'Hoja 4 - Cálculo'!I136+'Hoja 4 - Cálculo'!K136,'Hoja 4 - Cálculo'!I136+'Hoja 4 - Cálculo'!J136+'Hoja 4 - Cálculo'!K136)))</f>
        <v>11.5</v>
      </c>
      <c r="I1795" s="15">
        <f t="shared" si="394"/>
        <v>14.375</v>
      </c>
      <c r="J1795" s="15">
        <f t="shared" si="405"/>
        <v>0</v>
      </c>
      <c r="K1795" s="15">
        <f>MIN(J1795+G1795,(J1795+G1795)*'Hoja 4 - Cálculo'!$B$15)</f>
        <v>0.57222000000000006</v>
      </c>
      <c r="L1795" s="15">
        <f t="shared" si="395"/>
        <v>28.038779999999999</v>
      </c>
      <c r="M1795" s="15">
        <f t="shared" si="396"/>
        <v>14.375</v>
      </c>
      <c r="N1795" s="15">
        <f t="shared" si="397"/>
        <v>10</v>
      </c>
      <c r="O1795" s="15">
        <f t="shared" si="398"/>
        <v>3.6637799999999991</v>
      </c>
      <c r="P1795" s="15">
        <f t="shared" si="399"/>
        <v>0</v>
      </c>
      <c r="Q1795" s="14" t="str">
        <f>IF(M1795&gt;=I1795*'Hoja 4 - Cálculo'!$B$16,"Satisfactorio","Falla")</f>
        <v>Satisfactorio</v>
      </c>
      <c r="R1795" s="14">
        <f t="shared" si="406"/>
        <v>1</v>
      </c>
      <c r="S1795" s="14">
        <f t="shared" si="407"/>
        <v>0</v>
      </c>
    </row>
    <row r="1796" spans="1:19">
      <c r="A1796" s="14" t="str">
        <f t="shared" si="404"/>
        <v>SRY-5-3</v>
      </c>
      <c r="B1796" s="15">
        <f>'Curvas SRY'!$B$12</f>
        <v>10</v>
      </c>
      <c r="C1796" s="15">
        <f>'Curvas SRY'!$E$10</f>
        <v>1.25</v>
      </c>
      <c r="D1796" s="14" t="str">
        <f>'Curvas SRY'!$B$14</f>
        <v>Uso variable</v>
      </c>
      <c r="E1796" s="14">
        <f>113</f>
        <v>113</v>
      </c>
      <c r="F1796" s="21">
        <f>'Hoja 4 - Cálculo'!A137</f>
        <v>32994</v>
      </c>
      <c r="G1796" s="15">
        <f>'Hoja 4 - Cálculo'!H137</f>
        <v>23.52375</v>
      </c>
      <c r="H1796" s="15">
        <f>IF(D1796="Uso único",'Hoja 4 - Cálculo'!I137,IF(D1796="Uso múltiple",AVERAGE('Hoja 4 - Cálculo'!$I$25:$I$384)+AVERAGE('Hoja 4 - Cálculo'!$J$25:$J$384)+AVERAGE('Hoja 4 - Cálculo'!$K$25:$K$384),IF(D1796="Uso prioritario",'Hoja 4 - Cálculo'!I137+'Hoja 4 - Cálculo'!K137,'Hoja 4 - Cálculo'!I137+'Hoja 4 - Cálculo'!J137+'Hoja 4 - Cálculo'!K137)))</f>
        <v>11.5</v>
      </c>
      <c r="I1796" s="15">
        <f t="shared" ref="I1796:I1859" si="408">H1796*C1796</f>
        <v>14.375</v>
      </c>
      <c r="J1796" s="15">
        <f t="shared" si="405"/>
        <v>10</v>
      </c>
      <c r="K1796" s="15">
        <f>MIN(J1796+G1796,(J1796+G1796)*'Hoja 4 - Cálculo'!$B$15)</f>
        <v>0.67047500000000004</v>
      </c>
      <c r="L1796" s="15">
        <f t="shared" ref="L1796:L1859" si="409">MAX(0,J1796+G1796-K1796)</f>
        <v>32.853274999999996</v>
      </c>
      <c r="M1796" s="15">
        <f t="shared" ref="M1796:M1859" si="410">MIN(I1796,L1796)</f>
        <v>14.375</v>
      </c>
      <c r="N1796" s="15">
        <f t="shared" ref="N1796:N1859" si="411">MIN(B1796,MAX(0,L1796-M1796))</f>
        <v>10</v>
      </c>
      <c r="O1796" s="15">
        <f t="shared" ref="O1796:O1859" si="412">MAX(0,L1796-M1796-B1796)</f>
        <v>8.4782749999999965</v>
      </c>
      <c r="P1796" s="15">
        <f t="shared" ref="P1796:P1859" si="413">MAX(0,I1796-M1796)</f>
        <v>0</v>
      </c>
      <c r="Q1796" s="14" t="str">
        <f>IF(M1796&gt;=I1796*'Hoja 4 - Cálculo'!$B$16,"Satisfactorio","Falla")</f>
        <v>Satisfactorio</v>
      </c>
      <c r="R1796" s="14">
        <f t="shared" si="406"/>
        <v>0</v>
      </c>
      <c r="S1796" s="14">
        <f t="shared" si="407"/>
        <v>0</v>
      </c>
    </row>
    <row r="1797" spans="1:19">
      <c r="A1797" s="14" t="str">
        <f t="shared" si="404"/>
        <v>SRY-5-3</v>
      </c>
      <c r="B1797" s="15">
        <f>'Curvas SRY'!$B$12</f>
        <v>10</v>
      </c>
      <c r="C1797" s="15">
        <f>'Curvas SRY'!$E$10</f>
        <v>1.25</v>
      </c>
      <c r="D1797" s="14" t="str">
        <f>'Curvas SRY'!$B$14</f>
        <v>Uso variable</v>
      </c>
      <c r="E1797" s="14">
        <f>114</f>
        <v>114</v>
      </c>
      <c r="F1797" s="21">
        <f>'Hoja 4 - Cálculo'!A138</f>
        <v>33025</v>
      </c>
      <c r="G1797" s="15">
        <f>'Hoja 4 - Cálculo'!H138</f>
        <v>15.529500000000001</v>
      </c>
      <c r="H1797" s="15">
        <f>IF(D1797="Uso único",'Hoja 4 - Cálculo'!I138,IF(D1797="Uso múltiple",AVERAGE('Hoja 4 - Cálculo'!$I$25:$I$384)+AVERAGE('Hoja 4 - Cálculo'!$J$25:$J$384)+AVERAGE('Hoja 4 - Cálculo'!$K$25:$K$384),IF(D1797="Uso prioritario",'Hoja 4 - Cálculo'!I138+'Hoja 4 - Cálculo'!K138,'Hoja 4 - Cálculo'!I138+'Hoja 4 - Cálculo'!J138+'Hoja 4 - Cálculo'!K138)))</f>
        <v>11.5</v>
      </c>
      <c r="I1797" s="15">
        <f t="shared" si="408"/>
        <v>14.375</v>
      </c>
      <c r="J1797" s="15">
        <f t="shared" si="405"/>
        <v>10</v>
      </c>
      <c r="K1797" s="15">
        <f>MIN(J1797+G1797,(J1797+G1797)*'Hoja 4 - Cálculo'!$B$15)</f>
        <v>0.51058999999999999</v>
      </c>
      <c r="L1797" s="15">
        <f t="shared" si="409"/>
        <v>25.018909999999998</v>
      </c>
      <c r="M1797" s="15">
        <f t="shared" si="410"/>
        <v>14.375</v>
      </c>
      <c r="N1797" s="15">
        <f t="shared" si="411"/>
        <v>10</v>
      </c>
      <c r="O1797" s="15">
        <f t="shared" si="412"/>
        <v>0.64390999999999821</v>
      </c>
      <c r="P1797" s="15">
        <f t="shared" si="413"/>
        <v>0</v>
      </c>
      <c r="Q1797" s="14" t="str">
        <f>IF(M1797&gt;=I1797*'Hoja 4 - Cálculo'!$B$16,"Satisfactorio","Falla")</f>
        <v>Satisfactorio</v>
      </c>
      <c r="R1797" s="14">
        <f t="shared" si="406"/>
        <v>0</v>
      </c>
      <c r="S1797" s="14">
        <f t="shared" si="407"/>
        <v>0</v>
      </c>
    </row>
    <row r="1798" spans="1:19">
      <c r="A1798" s="14" t="str">
        <f t="shared" si="404"/>
        <v>SRY-5-3</v>
      </c>
      <c r="B1798" s="15">
        <f>'Curvas SRY'!$B$12</f>
        <v>10</v>
      </c>
      <c r="C1798" s="15">
        <f>'Curvas SRY'!$E$10</f>
        <v>1.25</v>
      </c>
      <c r="D1798" s="14" t="str">
        <f>'Curvas SRY'!$B$14</f>
        <v>Uso variable</v>
      </c>
      <c r="E1798" s="14">
        <f>115</f>
        <v>115</v>
      </c>
      <c r="F1798" s="21">
        <f>'Hoja 4 - Cálculo'!A139</f>
        <v>33055</v>
      </c>
      <c r="G1798" s="15">
        <f>'Hoja 4 - Cálculo'!H139</f>
        <v>12.201750000000001</v>
      </c>
      <c r="H1798" s="15">
        <f>IF(D1798="Uso único",'Hoja 4 - Cálculo'!I139,IF(D1798="Uso múltiple",AVERAGE('Hoja 4 - Cálculo'!$I$25:$I$384)+AVERAGE('Hoja 4 - Cálculo'!$J$25:$J$384)+AVERAGE('Hoja 4 - Cálculo'!$K$25:$K$384),IF(D1798="Uso prioritario",'Hoja 4 - Cálculo'!I139+'Hoja 4 - Cálculo'!K139,'Hoja 4 - Cálculo'!I139+'Hoja 4 - Cálculo'!J139+'Hoja 4 - Cálculo'!K139)))</f>
        <v>16</v>
      </c>
      <c r="I1798" s="15">
        <f t="shared" si="408"/>
        <v>20</v>
      </c>
      <c r="J1798" s="15">
        <f t="shared" si="405"/>
        <v>10</v>
      </c>
      <c r="K1798" s="15">
        <f>MIN(J1798+G1798,(J1798+G1798)*'Hoja 4 - Cálculo'!$B$15)</f>
        <v>0.44403500000000001</v>
      </c>
      <c r="L1798" s="15">
        <f t="shared" si="409"/>
        <v>21.757715000000001</v>
      </c>
      <c r="M1798" s="15">
        <f t="shared" si="410"/>
        <v>20</v>
      </c>
      <c r="N1798" s="15">
        <f t="shared" si="411"/>
        <v>1.757715000000001</v>
      </c>
      <c r="O1798" s="15">
        <f t="shared" si="412"/>
        <v>0</v>
      </c>
      <c r="P1798" s="15">
        <f t="shared" si="413"/>
        <v>0</v>
      </c>
      <c r="Q1798" s="14" t="str">
        <f>IF(M1798&gt;=I1798*'Hoja 4 - Cálculo'!$B$16,"Satisfactorio","Falla")</f>
        <v>Satisfactorio</v>
      </c>
      <c r="R1798" s="14">
        <f t="shared" si="406"/>
        <v>0</v>
      </c>
      <c r="S1798" s="14">
        <f t="shared" si="407"/>
        <v>0</v>
      </c>
    </row>
    <row r="1799" spans="1:19">
      <c r="A1799" s="14" t="str">
        <f t="shared" si="404"/>
        <v>SRY-5-3</v>
      </c>
      <c r="B1799" s="15">
        <f>'Curvas SRY'!$B$12</f>
        <v>10</v>
      </c>
      <c r="C1799" s="15">
        <f>'Curvas SRY'!$E$10</f>
        <v>1.25</v>
      </c>
      <c r="D1799" s="14" t="str">
        <f>'Curvas SRY'!$B$14</f>
        <v>Uso variable</v>
      </c>
      <c r="E1799" s="14">
        <f>116</f>
        <v>116</v>
      </c>
      <c r="F1799" s="21">
        <f>'Hoja 4 - Cálculo'!A140</f>
        <v>33086</v>
      </c>
      <c r="G1799" s="15">
        <f>'Hoja 4 - Cálculo'!H140</f>
        <v>13.04325</v>
      </c>
      <c r="H1799" s="15">
        <f>IF(D1799="Uso único",'Hoja 4 - Cálculo'!I140,IF(D1799="Uso múltiple",AVERAGE('Hoja 4 - Cálculo'!$I$25:$I$384)+AVERAGE('Hoja 4 - Cálculo'!$J$25:$J$384)+AVERAGE('Hoja 4 - Cálculo'!$K$25:$K$384),IF(D1799="Uso prioritario",'Hoja 4 - Cálculo'!I140+'Hoja 4 - Cálculo'!K140,'Hoja 4 - Cálculo'!I140+'Hoja 4 - Cálculo'!J140+'Hoja 4 - Cálculo'!K140)))</f>
        <v>16</v>
      </c>
      <c r="I1799" s="15">
        <f t="shared" si="408"/>
        <v>20</v>
      </c>
      <c r="J1799" s="15">
        <f t="shared" si="405"/>
        <v>1.757715000000001</v>
      </c>
      <c r="K1799" s="15">
        <f>MIN(J1799+G1799,(J1799+G1799)*'Hoja 4 - Cálculo'!$B$15)</f>
        <v>0.29601930000000004</v>
      </c>
      <c r="L1799" s="15">
        <f t="shared" si="409"/>
        <v>14.504945700000002</v>
      </c>
      <c r="M1799" s="15">
        <f t="shared" si="410"/>
        <v>14.504945700000002</v>
      </c>
      <c r="N1799" s="15">
        <f t="shared" si="411"/>
        <v>0</v>
      </c>
      <c r="O1799" s="15">
        <f t="shared" si="412"/>
        <v>0</v>
      </c>
      <c r="P1799" s="15">
        <f t="shared" si="413"/>
        <v>5.4950542999999978</v>
      </c>
      <c r="Q1799" s="14" t="str">
        <f>IF(M1799&gt;=I1799*'Hoja 4 - Cálculo'!$B$16,"Satisfactorio","Falla")</f>
        <v>Falla</v>
      </c>
      <c r="R1799" s="14">
        <f t="shared" si="406"/>
        <v>0</v>
      </c>
      <c r="S1799" s="14">
        <f t="shared" si="407"/>
        <v>1</v>
      </c>
    </row>
    <row r="1800" spans="1:19">
      <c r="A1800" s="14" t="str">
        <f t="shared" si="404"/>
        <v>SRY-5-3</v>
      </c>
      <c r="B1800" s="15">
        <f>'Curvas SRY'!$B$12</f>
        <v>10</v>
      </c>
      <c r="C1800" s="15">
        <f>'Curvas SRY'!$E$10</f>
        <v>1.25</v>
      </c>
      <c r="D1800" s="14" t="str">
        <f>'Curvas SRY'!$B$14</f>
        <v>Uso variable</v>
      </c>
      <c r="E1800" s="14">
        <f>117</f>
        <v>117</v>
      </c>
      <c r="F1800" s="21">
        <f>'Hoja 4 - Cálculo'!A141</f>
        <v>33117</v>
      </c>
      <c r="G1800" s="15">
        <f>'Hoja 4 - Cálculo'!H141</f>
        <v>21.974625</v>
      </c>
      <c r="H1800" s="15">
        <f>IF(D1800="Uso único",'Hoja 4 - Cálculo'!I141,IF(D1800="Uso múltiple",AVERAGE('Hoja 4 - Cálculo'!$I$25:$I$384)+AVERAGE('Hoja 4 - Cálculo'!$J$25:$J$384)+AVERAGE('Hoja 4 - Cálculo'!$K$25:$K$384),IF(D1800="Uso prioritario",'Hoja 4 - Cálculo'!I141+'Hoja 4 - Cálculo'!K141,'Hoja 4 - Cálculo'!I141+'Hoja 4 - Cálculo'!J141+'Hoja 4 - Cálculo'!K141)))</f>
        <v>11.5</v>
      </c>
      <c r="I1800" s="15">
        <f t="shared" si="408"/>
        <v>14.375</v>
      </c>
      <c r="J1800" s="15">
        <f t="shared" si="405"/>
        <v>0</v>
      </c>
      <c r="K1800" s="15">
        <f>MIN(J1800+G1800,(J1800+G1800)*'Hoja 4 - Cálculo'!$B$15)</f>
        <v>0.43949250000000001</v>
      </c>
      <c r="L1800" s="15">
        <f t="shared" si="409"/>
        <v>21.5351325</v>
      </c>
      <c r="M1800" s="15">
        <f t="shared" si="410"/>
        <v>14.375</v>
      </c>
      <c r="N1800" s="15">
        <f t="shared" si="411"/>
        <v>7.1601324999999996</v>
      </c>
      <c r="O1800" s="15">
        <f t="shared" si="412"/>
        <v>0</v>
      </c>
      <c r="P1800" s="15">
        <f t="shared" si="413"/>
        <v>0</v>
      </c>
      <c r="Q1800" s="14" t="str">
        <f>IF(M1800&gt;=I1800*'Hoja 4 - Cálculo'!$B$16,"Satisfactorio","Falla")</f>
        <v>Satisfactorio</v>
      </c>
      <c r="R1800" s="14">
        <f t="shared" si="406"/>
        <v>1</v>
      </c>
      <c r="S1800" s="14">
        <f t="shared" si="407"/>
        <v>0</v>
      </c>
    </row>
    <row r="1801" spans="1:19">
      <c r="A1801" s="14" t="str">
        <f t="shared" si="404"/>
        <v>SRY-5-3</v>
      </c>
      <c r="B1801" s="15">
        <f>'Curvas SRY'!$B$12</f>
        <v>10</v>
      </c>
      <c r="C1801" s="15">
        <f>'Curvas SRY'!$E$10</f>
        <v>1.25</v>
      </c>
      <c r="D1801" s="14" t="str">
        <f>'Curvas SRY'!$B$14</f>
        <v>Uso variable</v>
      </c>
      <c r="E1801" s="14">
        <f>118</f>
        <v>118</v>
      </c>
      <c r="F1801" s="21">
        <f>'Hoja 4 - Cálculo'!A142</f>
        <v>33147</v>
      </c>
      <c r="G1801" s="15">
        <f>'Hoja 4 - Cálculo'!H142</f>
        <v>26.870625</v>
      </c>
      <c r="H1801" s="15">
        <f>IF(D1801="Uso único",'Hoja 4 - Cálculo'!I142,IF(D1801="Uso múltiple",AVERAGE('Hoja 4 - Cálculo'!$I$25:$I$384)+AVERAGE('Hoja 4 - Cálculo'!$J$25:$J$384)+AVERAGE('Hoja 4 - Cálculo'!$K$25:$K$384),IF(D1801="Uso prioritario",'Hoja 4 - Cálculo'!I142+'Hoja 4 - Cálculo'!K142,'Hoja 4 - Cálculo'!I142+'Hoja 4 - Cálculo'!J142+'Hoja 4 - Cálculo'!K142)))</f>
        <v>11.5</v>
      </c>
      <c r="I1801" s="15">
        <f t="shared" si="408"/>
        <v>14.375</v>
      </c>
      <c r="J1801" s="15">
        <f t="shared" si="405"/>
        <v>7.1601324999999996</v>
      </c>
      <c r="K1801" s="15">
        <f>MIN(J1801+G1801,(J1801+G1801)*'Hoja 4 - Cálculo'!$B$15)</f>
        <v>0.68061515000000006</v>
      </c>
      <c r="L1801" s="15">
        <f t="shared" si="409"/>
        <v>33.350142349999999</v>
      </c>
      <c r="M1801" s="15">
        <f t="shared" si="410"/>
        <v>14.375</v>
      </c>
      <c r="N1801" s="15">
        <f t="shared" si="411"/>
        <v>10</v>
      </c>
      <c r="O1801" s="15">
        <f t="shared" si="412"/>
        <v>8.9751423499999987</v>
      </c>
      <c r="P1801" s="15">
        <f t="shared" si="413"/>
        <v>0</v>
      </c>
      <c r="Q1801" s="14" t="str">
        <f>IF(M1801&gt;=I1801*'Hoja 4 - Cálculo'!$B$16,"Satisfactorio","Falla")</f>
        <v>Satisfactorio</v>
      </c>
      <c r="R1801" s="14">
        <f t="shared" si="406"/>
        <v>0</v>
      </c>
      <c r="S1801" s="14">
        <f t="shared" si="407"/>
        <v>0</v>
      </c>
    </row>
    <row r="1802" spans="1:19">
      <c r="A1802" s="14" t="str">
        <f t="shared" si="404"/>
        <v>SRY-5-3</v>
      </c>
      <c r="B1802" s="15">
        <f>'Curvas SRY'!$B$12</f>
        <v>10</v>
      </c>
      <c r="C1802" s="15">
        <f>'Curvas SRY'!$E$10</f>
        <v>1.25</v>
      </c>
      <c r="D1802" s="14" t="str">
        <f>'Curvas SRY'!$B$14</f>
        <v>Uso variable</v>
      </c>
      <c r="E1802" s="14">
        <f>119</f>
        <v>119</v>
      </c>
      <c r="F1802" s="21">
        <f>'Hoja 4 - Cálculo'!A143</f>
        <v>33178</v>
      </c>
      <c r="G1802" s="15">
        <f>'Hoja 4 - Cálculo'!H143</f>
        <v>24.881625</v>
      </c>
      <c r="H1802" s="15">
        <f>IF(D1802="Uso único",'Hoja 4 - Cálculo'!I143,IF(D1802="Uso múltiple",AVERAGE('Hoja 4 - Cálculo'!$I$25:$I$384)+AVERAGE('Hoja 4 - Cálculo'!$J$25:$J$384)+AVERAGE('Hoja 4 - Cálculo'!$K$25:$K$384),IF(D1802="Uso prioritario",'Hoja 4 - Cálculo'!I143+'Hoja 4 - Cálculo'!K143,'Hoja 4 - Cálculo'!I143+'Hoja 4 - Cálculo'!J143+'Hoja 4 - Cálculo'!K143)))</f>
        <v>11.5</v>
      </c>
      <c r="I1802" s="15">
        <f t="shared" si="408"/>
        <v>14.375</v>
      </c>
      <c r="J1802" s="15">
        <f t="shared" si="405"/>
        <v>10</v>
      </c>
      <c r="K1802" s="15">
        <f>MIN(J1802+G1802,(J1802+G1802)*'Hoja 4 - Cálculo'!$B$15)</f>
        <v>0.69763249999999999</v>
      </c>
      <c r="L1802" s="15">
        <f t="shared" si="409"/>
        <v>34.183992500000002</v>
      </c>
      <c r="M1802" s="15">
        <f t="shared" si="410"/>
        <v>14.375</v>
      </c>
      <c r="N1802" s="15">
        <f t="shared" si="411"/>
        <v>10</v>
      </c>
      <c r="O1802" s="15">
        <f t="shared" si="412"/>
        <v>9.8089925000000022</v>
      </c>
      <c r="P1802" s="15">
        <f t="shared" si="413"/>
        <v>0</v>
      </c>
      <c r="Q1802" s="14" t="str">
        <f>IF(M1802&gt;=I1802*'Hoja 4 - Cálculo'!$B$16,"Satisfactorio","Falla")</f>
        <v>Satisfactorio</v>
      </c>
      <c r="R1802" s="14">
        <f t="shared" si="406"/>
        <v>0</v>
      </c>
      <c r="S1802" s="14">
        <f t="shared" si="407"/>
        <v>0</v>
      </c>
    </row>
    <row r="1803" spans="1:19">
      <c r="A1803" s="14" t="str">
        <f t="shared" si="404"/>
        <v>SRY-5-3</v>
      </c>
      <c r="B1803" s="15">
        <f>'Curvas SRY'!$B$12</f>
        <v>10</v>
      </c>
      <c r="C1803" s="15">
        <f>'Curvas SRY'!$E$10</f>
        <v>1.25</v>
      </c>
      <c r="D1803" s="14" t="str">
        <f>'Curvas SRY'!$B$14</f>
        <v>Uso variable</v>
      </c>
      <c r="E1803" s="14">
        <f>120</f>
        <v>120</v>
      </c>
      <c r="F1803" s="21">
        <f>'Hoja 4 - Cálculo'!A144</f>
        <v>33208</v>
      </c>
      <c r="G1803" s="15">
        <f>'Hoja 4 - Cálculo'!H144</f>
        <v>13.73175</v>
      </c>
      <c r="H1803" s="15">
        <f>IF(D1803="Uso único",'Hoja 4 - Cálculo'!I144,IF(D1803="Uso múltiple",AVERAGE('Hoja 4 - Cálculo'!$I$25:$I$384)+AVERAGE('Hoja 4 - Cálculo'!$J$25:$J$384)+AVERAGE('Hoja 4 - Cálculo'!$K$25:$K$384),IF(D1803="Uso prioritario",'Hoja 4 - Cálculo'!I144+'Hoja 4 - Cálculo'!K144,'Hoja 4 - Cálculo'!I144+'Hoja 4 - Cálculo'!J144+'Hoja 4 - Cálculo'!K144)))</f>
        <v>16</v>
      </c>
      <c r="I1803" s="15">
        <f t="shared" si="408"/>
        <v>20</v>
      </c>
      <c r="J1803" s="15">
        <f t="shared" si="405"/>
        <v>10</v>
      </c>
      <c r="K1803" s="15">
        <f>MIN(J1803+G1803,(J1803+G1803)*'Hoja 4 - Cálculo'!$B$15)</f>
        <v>0.47463499999999997</v>
      </c>
      <c r="L1803" s="15">
        <f t="shared" si="409"/>
        <v>23.257114999999999</v>
      </c>
      <c r="M1803" s="15">
        <f t="shared" si="410"/>
        <v>20</v>
      </c>
      <c r="N1803" s="15">
        <f t="shared" si="411"/>
        <v>3.2571149999999989</v>
      </c>
      <c r="O1803" s="15">
        <f t="shared" si="412"/>
        <v>0</v>
      </c>
      <c r="P1803" s="15">
        <f t="shared" si="413"/>
        <v>0</v>
      </c>
      <c r="Q1803" s="14" t="str">
        <f>IF(M1803&gt;=I1803*'Hoja 4 - Cálculo'!$B$16,"Satisfactorio","Falla")</f>
        <v>Satisfactorio</v>
      </c>
      <c r="R1803" s="14">
        <f t="shared" si="406"/>
        <v>0</v>
      </c>
      <c r="S1803" s="14">
        <f t="shared" si="407"/>
        <v>0</v>
      </c>
    </row>
    <row r="1804" spans="1:19">
      <c r="A1804" s="14" t="str">
        <f t="shared" ref="A1804:A1835" si="414">"SRY-6-1"</f>
        <v>SRY-6-1</v>
      </c>
      <c r="B1804" s="15">
        <f>'Curvas SRY'!$B$13</f>
        <v>15</v>
      </c>
      <c r="C1804" s="15">
        <f>'Curvas SRY'!$E$8</f>
        <v>0.75</v>
      </c>
      <c r="D1804" s="14" t="str">
        <f>'Curvas SRY'!$B$14</f>
        <v>Uso variable</v>
      </c>
      <c r="E1804" s="14">
        <f>1</f>
        <v>1</v>
      </c>
      <c r="F1804" s="21">
        <f>'Hoja 4 - Cálculo'!A25</f>
        <v>29587</v>
      </c>
      <c r="G1804" s="15">
        <f>'Hoja 4 - Cálculo'!H25</f>
        <v>12.852</v>
      </c>
      <c r="H1804" s="15">
        <f>IF(D1804="Uso único",'Hoja 4 - Cálculo'!I25,IF(D1804="Uso múltiple",AVERAGE('Hoja 4 - Cálculo'!$I$25:$I$384)+AVERAGE('Hoja 4 - Cálculo'!$J$25:$J$384)+AVERAGE('Hoja 4 - Cálculo'!$K$25:$K$384),IF(D1804="Uso prioritario",'Hoja 4 - Cálculo'!I25+'Hoja 4 - Cálculo'!K25,'Hoja 4 - Cálculo'!I25+'Hoja 4 - Cálculo'!J25+'Hoja 4 - Cálculo'!K25)))</f>
        <v>16</v>
      </c>
      <c r="I1804" s="15">
        <f t="shared" si="408"/>
        <v>12</v>
      </c>
      <c r="J1804" s="15">
        <f>0</f>
        <v>0</v>
      </c>
      <c r="K1804" s="15">
        <f>MIN(J1804+G1804,(J1804+G1804)*'Hoja 4 - Cálculo'!$B$15)</f>
        <v>0.25703999999999999</v>
      </c>
      <c r="L1804" s="15">
        <f t="shared" si="409"/>
        <v>12.59496</v>
      </c>
      <c r="M1804" s="15">
        <f t="shared" si="410"/>
        <v>12</v>
      </c>
      <c r="N1804" s="15">
        <f t="shared" si="411"/>
        <v>0.59496000000000038</v>
      </c>
      <c r="O1804" s="15">
        <f t="shared" si="412"/>
        <v>0</v>
      </c>
      <c r="P1804" s="15">
        <f t="shared" si="413"/>
        <v>0</v>
      </c>
      <c r="Q1804" s="14" t="str">
        <f>IF(M1804&gt;=I1804*'Hoja 4 - Cálculo'!$B$16,"Satisfactorio","Falla")</f>
        <v>Satisfactorio</v>
      </c>
      <c r="R1804" s="14">
        <f>0</f>
        <v>0</v>
      </c>
      <c r="S1804" s="14">
        <f>IF(Q1804="Falla",1,0)</f>
        <v>0</v>
      </c>
    </row>
    <row r="1805" spans="1:19">
      <c r="A1805" s="14" t="str">
        <f t="shared" si="414"/>
        <v>SRY-6-1</v>
      </c>
      <c r="B1805" s="15">
        <f>'Curvas SRY'!$B$13</f>
        <v>15</v>
      </c>
      <c r="C1805" s="15">
        <f>'Curvas SRY'!$E$8</f>
        <v>0.75</v>
      </c>
      <c r="D1805" s="14" t="str">
        <f>'Curvas SRY'!$B$14</f>
        <v>Uso variable</v>
      </c>
      <c r="E1805" s="14">
        <f>2</f>
        <v>2</v>
      </c>
      <c r="F1805" s="21">
        <f>'Hoja 4 - Cálculo'!A26</f>
        <v>29618</v>
      </c>
      <c r="G1805" s="15">
        <f>'Hoja 4 - Cálculo'!H26</f>
        <v>14.630625</v>
      </c>
      <c r="H1805" s="15">
        <f>IF(D1805="Uso único",'Hoja 4 - Cálculo'!I26,IF(D1805="Uso múltiple",AVERAGE('Hoja 4 - Cálculo'!$I$25:$I$384)+AVERAGE('Hoja 4 - Cálculo'!$J$25:$J$384)+AVERAGE('Hoja 4 - Cálculo'!$K$25:$K$384),IF(D1805="Uso prioritario",'Hoja 4 - Cálculo'!I26+'Hoja 4 - Cálculo'!K26,'Hoja 4 - Cálculo'!I26+'Hoja 4 - Cálculo'!J26+'Hoja 4 - Cálculo'!K26)))</f>
        <v>16</v>
      </c>
      <c r="I1805" s="15">
        <f t="shared" si="408"/>
        <v>12</v>
      </c>
      <c r="J1805" s="15">
        <f t="shared" ref="J1805:J1836" si="415">N1804</f>
        <v>0.59496000000000038</v>
      </c>
      <c r="K1805" s="15">
        <f>MIN(J1805+G1805,(J1805+G1805)*'Hoja 4 - Cálculo'!$B$15)</f>
        <v>0.3045117</v>
      </c>
      <c r="L1805" s="15">
        <f t="shared" si="409"/>
        <v>14.9210733</v>
      </c>
      <c r="M1805" s="15">
        <f t="shared" si="410"/>
        <v>12</v>
      </c>
      <c r="N1805" s="15">
        <f t="shared" si="411"/>
        <v>2.9210732999999998</v>
      </c>
      <c r="O1805" s="15">
        <f t="shared" si="412"/>
        <v>0</v>
      </c>
      <c r="P1805" s="15">
        <f t="shared" si="413"/>
        <v>0</v>
      </c>
      <c r="Q1805" s="14" t="str">
        <f>IF(M1805&gt;=I1805*'Hoja 4 - Cálculo'!$B$16,"Satisfactorio","Falla")</f>
        <v>Satisfactorio</v>
      </c>
      <c r="R1805" s="14">
        <f t="shared" ref="R1805:R1836" si="416">IF(AND(Q1804="Falla",Q1805="Satisfactorio"),1,0)</f>
        <v>0</v>
      </c>
      <c r="S1805" s="14">
        <f t="shared" ref="S1805:S1836" si="417">IF(AND(Q1805="Falla",Q1804&lt;&gt;"Falla"),1,0)</f>
        <v>0</v>
      </c>
    </row>
    <row r="1806" spans="1:19">
      <c r="A1806" s="14" t="str">
        <f t="shared" si="414"/>
        <v>SRY-6-1</v>
      </c>
      <c r="B1806" s="15">
        <f>'Curvas SRY'!$B$13</f>
        <v>15</v>
      </c>
      <c r="C1806" s="15">
        <f>'Curvas SRY'!$E$8</f>
        <v>0.75</v>
      </c>
      <c r="D1806" s="14" t="str">
        <f>'Curvas SRY'!$B$14</f>
        <v>Uso variable</v>
      </c>
      <c r="E1806" s="14">
        <f>3</f>
        <v>3</v>
      </c>
      <c r="F1806" s="21">
        <f>'Hoja 4 - Cálculo'!A27</f>
        <v>29646</v>
      </c>
      <c r="G1806" s="15">
        <f>'Hoja 4 - Cálculo'!H27</f>
        <v>21.114000000000001</v>
      </c>
      <c r="H1806" s="15">
        <f>IF(D1806="Uso único",'Hoja 4 - Cálculo'!I27,IF(D1806="Uso múltiple",AVERAGE('Hoja 4 - Cálculo'!$I$25:$I$384)+AVERAGE('Hoja 4 - Cálculo'!$J$25:$J$384)+AVERAGE('Hoja 4 - Cálculo'!$K$25:$K$384),IF(D1806="Uso prioritario",'Hoja 4 - Cálculo'!I27+'Hoja 4 - Cálculo'!K27,'Hoja 4 - Cálculo'!I27+'Hoja 4 - Cálculo'!J27+'Hoja 4 - Cálculo'!K27)))</f>
        <v>16</v>
      </c>
      <c r="I1806" s="15">
        <f t="shared" si="408"/>
        <v>12</v>
      </c>
      <c r="J1806" s="15">
        <f t="shared" si="415"/>
        <v>2.9210732999999998</v>
      </c>
      <c r="K1806" s="15">
        <f>MIN(J1806+G1806,(J1806+G1806)*'Hoja 4 - Cálculo'!$B$15)</f>
        <v>0.48070146600000002</v>
      </c>
      <c r="L1806" s="15">
        <f t="shared" si="409"/>
        <v>23.554371834000001</v>
      </c>
      <c r="M1806" s="15">
        <f t="shared" si="410"/>
        <v>12</v>
      </c>
      <c r="N1806" s="15">
        <f t="shared" si="411"/>
        <v>11.554371834000001</v>
      </c>
      <c r="O1806" s="15">
        <f t="shared" si="412"/>
        <v>0</v>
      </c>
      <c r="P1806" s="15">
        <f t="shared" si="413"/>
        <v>0</v>
      </c>
      <c r="Q1806" s="14" t="str">
        <f>IF(M1806&gt;=I1806*'Hoja 4 - Cálculo'!$B$16,"Satisfactorio","Falla")</f>
        <v>Satisfactorio</v>
      </c>
      <c r="R1806" s="14">
        <f t="shared" si="416"/>
        <v>0</v>
      </c>
      <c r="S1806" s="14">
        <f t="shared" si="417"/>
        <v>0</v>
      </c>
    </row>
    <row r="1807" spans="1:19">
      <c r="A1807" s="14" t="str">
        <f t="shared" si="414"/>
        <v>SRY-6-1</v>
      </c>
      <c r="B1807" s="15">
        <f>'Curvas SRY'!$B$13</f>
        <v>15</v>
      </c>
      <c r="C1807" s="15">
        <f>'Curvas SRY'!$E$8</f>
        <v>0.75</v>
      </c>
      <c r="D1807" s="14" t="str">
        <f>'Curvas SRY'!$B$14</f>
        <v>Uso variable</v>
      </c>
      <c r="E1807" s="14">
        <f>4</f>
        <v>4</v>
      </c>
      <c r="F1807" s="21">
        <f>'Hoja 4 - Cálculo'!A28</f>
        <v>29677</v>
      </c>
      <c r="G1807" s="15">
        <f>'Hoja 4 - Cálculo'!H28</f>
        <v>29.280374999999999</v>
      </c>
      <c r="H1807" s="15">
        <f>IF(D1807="Uso único",'Hoja 4 - Cálculo'!I28,IF(D1807="Uso múltiple",AVERAGE('Hoja 4 - Cálculo'!$I$25:$I$384)+AVERAGE('Hoja 4 - Cálculo'!$J$25:$J$384)+AVERAGE('Hoja 4 - Cálculo'!$K$25:$K$384),IF(D1807="Uso prioritario",'Hoja 4 - Cálculo'!I28+'Hoja 4 - Cálculo'!K28,'Hoja 4 - Cálculo'!I28+'Hoja 4 - Cálculo'!J28+'Hoja 4 - Cálculo'!K28)))</f>
        <v>11.5</v>
      </c>
      <c r="I1807" s="15">
        <f t="shared" si="408"/>
        <v>8.625</v>
      </c>
      <c r="J1807" s="15">
        <f t="shared" si="415"/>
        <v>11.554371834000001</v>
      </c>
      <c r="K1807" s="15">
        <f>MIN(J1807+G1807,(J1807+G1807)*'Hoja 4 - Cálculo'!$B$15)</f>
        <v>0.81669493668000004</v>
      </c>
      <c r="L1807" s="15">
        <f t="shared" si="409"/>
        <v>40.018051897319999</v>
      </c>
      <c r="M1807" s="15">
        <f t="shared" si="410"/>
        <v>8.625</v>
      </c>
      <c r="N1807" s="15">
        <f t="shared" si="411"/>
        <v>15</v>
      </c>
      <c r="O1807" s="15">
        <f t="shared" si="412"/>
        <v>16.393051897319999</v>
      </c>
      <c r="P1807" s="15">
        <f t="shared" si="413"/>
        <v>0</v>
      </c>
      <c r="Q1807" s="14" t="str">
        <f>IF(M1807&gt;=I1807*'Hoja 4 - Cálculo'!$B$16,"Satisfactorio","Falla")</f>
        <v>Satisfactorio</v>
      </c>
      <c r="R1807" s="14">
        <f t="shared" si="416"/>
        <v>0</v>
      </c>
      <c r="S1807" s="14">
        <f t="shared" si="417"/>
        <v>0</v>
      </c>
    </row>
    <row r="1808" spans="1:19">
      <c r="A1808" s="14" t="str">
        <f t="shared" si="414"/>
        <v>SRY-6-1</v>
      </c>
      <c r="B1808" s="15">
        <f>'Curvas SRY'!$B$13</f>
        <v>15</v>
      </c>
      <c r="C1808" s="15">
        <f>'Curvas SRY'!$E$8</f>
        <v>0.75</v>
      </c>
      <c r="D1808" s="14" t="str">
        <f>'Curvas SRY'!$B$14</f>
        <v>Uso variable</v>
      </c>
      <c r="E1808" s="14">
        <f>5</f>
        <v>5</v>
      </c>
      <c r="F1808" s="21">
        <f>'Hoja 4 - Cálculo'!A29</f>
        <v>29707</v>
      </c>
      <c r="G1808" s="15">
        <f>'Hoja 4 - Cálculo'!H29</f>
        <v>26.048249999999999</v>
      </c>
      <c r="H1808" s="15">
        <f>IF(D1808="Uso único",'Hoja 4 - Cálculo'!I29,IF(D1808="Uso múltiple",AVERAGE('Hoja 4 - Cálculo'!$I$25:$I$384)+AVERAGE('Hoja 4 - Cálculo'!$J$25:$J$384)+AVERAGE('Hoja 4 - Cálculo'!$K$25:$K$384),IF(D1808="Uso prioritario",'Hoja 4 - Cálculo'!I29+'Hoja 4 - Cálculo'!K29,'Hoja 4 - Cálculo'!I29+'Hoja 4 - Cálculo'!J29+'Hoja 4 - Cálculo'!K29)))</f>
        <v>11.5</v>
      </c>
      <c r="I1808" s="15">
        <f t="shared" si="408"/>
        <v>8.625</v>
      </c>
      <c r="J1808" s="15">
        <f t="shared" si="415"/>
        <v>15</v>
      </c>
      <c r="K1808" s="15">
        <f>MIN(J1808+G1808,(J1808+G1808)*'Hoja 4 - Cálculo'!$B$15)</f>
        <v>0.82096499999999994</v>
      </c>
      <c r="L1808" s="15">
        <f t="shared" si="409"/>
        <v>40.227284999999995</v>
      </c>
      <c r="M1808" s="15">
        <f t="shared" si="410"/>
        <v>8.625</v>
      </c>
      <c r="N1808" s="15">
        <f t="shared" si="411"/>
        <v>15</v>
      </c>
      <c r="O1808" s="15">
        <f t="shared" si="412"/>
        <v>16.602284999999995</v>
      </c>
      <c r="P1808" s="15">
        <f t="shared" si="413"/>
        <v>0</v>
      </c>
      <c r="Q1808" s="14" t="str">
        <f>IF(M1808&gt;=I1808*'Hoja 4 - Cálculo'!$B$16,"Satisfactorio","Falla")</f>
        <v>Satisfactorio</v>
      </c>
      <c r="R1808" s="14">
        <f t="shared" si="416"/>
        <v>0</v>
      </c>
      <c r="S1808" s="14">
        <f t="shared" si="417"/>
        <v>0</v>
      </c>
    </row>
    <row r="1809" spans="1:19">
      <c r="A1809" s="14" t="str">
        <f t="shared" si="414"/>
        <v>SRY-6-1</v>
      </c>
      <c r="B1809" s="15">
        <f>'Curvas SRY'!$B$13</f>
        <v>15</v>
      </c>
      <c r="C1809" s="15">
        <f>'Curvas SRY'!$E$8</f>
        <v>0.75</v>
      </c>
      <c r="D1809" s="14" t="str">
        <f>'Curvas SRY'!$B$14</f>
        <v>Uso variable</v>
      </c>
      <c r="E1809" s="14">
        <f>6</f>
        <v>6</v>
      </c>
      <c r="F1809" s="21">
        <f>'Hoja 4 - Cálculo'!A30</f>
        <v>29738</v>
      </c>
      <c r="G1809" s="15">
        <f>'Hoja 4 - Cálculo'!H30</f>
        <v>15.625125000000001</v>
      </c>
      <c r="H1809" s="15">
        <f>IF(D1809="Uso único",'Hoja 4 - Cálculo'!I30,IF(D1809="Uso múltiple",AVERAGE('Hoja 4 - Cálculo'!$I$25:$I$384)+AVERAGE('Hoja 4 - Cálculo'!$J$25:$J$384)+AVERAGE('Hoja 4 - Cálculo'!$K$25:$K$384),IF(D1809="Uso prioritario",'Hoja 4 - Cálculo'!I30+'Hoja 4 - Cálculo'!K30,'Hoja 4 - Cálculo'!I30+'Hoja 4 - Cálculo'!J30+'Hoja 4 - Cálculo'!K30)))</f>
        <v>11.5</v>
      </c>
      <c r="I1809" s="15">
        <f t="shared" si="408"/>
        <v>8.625</v>
      </c>
      <c r="J1809" s="15">
        <f t="shared" si="415"/>
        <v>15</v>
      </c>
      <c r="K1809" s="15">
        <f>MIN(J1809+G1809,(J1809+G1809)*'Hoja 4 - Cálculo'!$B$15)</f>
        <v>0.61250250000000006</v>
      </c>
      <c r="L1809" s="15">
        <f t="shared" si="409"/>
        <v>30.012622499999999</v>
      </c>
      <c r="M1809" s="15">
        <f t="shared" si="410"/>
        <v>8.625</v>
      </c>
      <c r="N1809" s="15">
        <f t="shared" si="411"/>
        <v>15</v>
      </c>
      <c r="O1809" s="15">
        <f t="shared" si="412"/>
        <v>6.3876224999999991</v>
      </c>
      <c r="P1809" s="15">
        <f t="shared" si="413"/>
        <v>0</v>
      </c>
      <c r="Q1809" s="14" t="str">
        <f>IF(M1809&gt;=I1809*'Hoja 4 - Cálculo'!$B$16,"Satisfactorio","Falla")</f>
        <v>Satisfactorio</v>
      </c>
      <c r="R1809" s="14">
        <f t="shared" si="416"/>
        <v>0</v>
      </c>
      <c r="S1809" s="14">
        <f t="shared" si="417"/>
        <v>0</v>
      </c>
    </row>
    <row r="1810" spans="1:19">
      <c r="A1810" s="14" t="str">
        <f t="shared" si="414"/>
        <v>SRY-6-1</v>
      </c>
      <c r="B1810" s="15">
        <f>'Curvas SRY'!$B$13</f>
        <v>15</v>
      </c>
      <c r="C1810" s="15">
        <f>'Curvas SRY'!$E$8</f>
        <v>0.75</v>
      </c>
      <c r="D1810" s="14" t="str">
        <f>'Curvas SRY'!$B$14</f>
        <v>Uso variable</v>
      </c>
      <c r="E1810" s="14">
        <f>7</f>
        <v>7</v>
      </c>
      <c r="F1810" s="21">
        <f>'Hoja 4 - Cálculo'!A31</f>
        <v>29768</v>
      </c>
      <c r="G1810" s="15">
        <f>'Hoja 4 - Cálculo'!H31</f>
        <v>12.794625</v>
      </c>
      <c r="H1810" s="15">
        <f>IF(D1810="Uso único",'Hoja 4 - Cálculo'!I31,IF(D1810="Uso múltiple",AVERAGE('Hoja 4 - Cálculo'!$I$25:$I$384)+AVERAGE('Hoja 4 - Cálculo'!$J$25:$J$384)+AVERAGE('Hoja 4 - Cálculo'!$K$25:$K$384),IF(D1810="Uso prioritario",'Hoja 4 - Cálculo'!I31+'Hoja 4 - Cálculo'!K31,'Hoja 4 - Cálculo'!I31+'Hoja 4 - Cálculo'!J31+'Hoja 4 - Cálculo'!K31)))</f>
        <v>16</v>
      </c>
      <c r="I1810" s="15">
        <f t="shared" si="408"/>
        <v>12</v>
      </c>
      <c r="J1810" s="15">
        <f t="shared" si="415"/>
        <v>15</v>
      </c>
      <c r="K1810" s="15">
        <f>MIN(J1810+G1810,(J1810+G1810)*'Hoja 4 - Cálculo'!$B$15)</f>
        <v>0.55589250000000001</v>
      </c>
      <c r="L1810" s="15">
        <f t="shared" si="409"/>
        <v>27.238732500000001</v>
      </c>
      <c r="M1810" s="15">
        <f t="shared" si="410"/>
        <v>12</v>
      </c>
      <c r="N1810" s="15">
        <f t="shared" si="411"/>
        <v>15</v>
      </c>
      <c r="O1810" s="15">
        <f t="shared" si="412"/>
        <v>0.23873250000000112</v>
      </c>
      <c r="P1810" s="15">
        <f t="shared" si="413"/>
        <v>0</v>
      </c>
      <c r="Q1810" s="14" t="str">
        <f>IF(M1810&gt;=I1810*'Hoja 4 - Cálculo'!$B$16,"Satisfactorio","Falla")</f>
        <v>Satisfactorio</v>
      </c>
      <c r="R1810" s="14">
        <f t="shared" si="416"/>
        <v>0</v>
      </c>
      <c r="S1810" s="14">
        <f t="shared" si="417"/>
        <v>0</v>
      </c>
    </row>
    <row r="1811" spans="1:19">
      <c r="A1811" s="14" t="str">
        <f t="shared" si="414"/>
        <v>SRY-6-1</v>
      </c>
      <c r="B1811" s="15">
        <f>'Curvas SRY'!$B$13</f>
        <v>15</v>
      </c>
      <c r="C1811" s="15">
        <f>'Curvas SRY'!$E$8</f>
        <v>0.75</v>
      </c>
      <c r="D1811" s="14" t="str">
        <f>'Curvas SRY'!$B$14</f>
        <v>Uso variable</v>
      </c>
      <c r="E1811" s="14">
        <f>8</f>
        <v>8</v>
      </c>
      <c r="F1811" s="21">
        <f>'Hoja 4 - Cálculo'!A32</f>
        <v>29799</v>
      </c>
      <c r="G1811" s="15">
        <f>'Hoja 4 - Cálculo'!H32</f>
        <v>13.712624999999999</v>
      </c>
      <c r="H1811" s="15">
        <f>IF(D1811="Uso único",'Hoja 4 - Cálculo'!I32,IF(D1811="Uso múltiple",AVERAGE('Hoja 4 - Cálculo'!$I$25:$I$384)+AVERAGE('Hoja 4 - Cálculo'!$J$25:$J$384)+AVERAGE('Hoja 4 - Cálculo'!$K$25:$K$384),IF(D1811="Uso prioritario",'Hoja 4 - Cálculo'!I32+'Hoja 4 - Cálculo'!K32,'Hoja 4 - Cálculo'!I32+'Hoja 4 - Cálculo'!J32+'Hoja 4 - Cálculo'!K32)))</f>
        <v>16</v>
      </c>
      <c r="I1811" s="15">
        <f t="shared" si="408"/>
        <v>12</v>
      </c>
      <c r="J1811" s="15">
        <f t="shared" si="415"/>
        <v>15</v>
      </c>
      <c r="K1811" s="15">
        <f>MIN(J1811+G1811,(J1811+G1811)*'Hoja 4 - Cálculo'!$B$15)</f>
        <v>0.57425249999999994</v>
      </c>
      <c r="L1811" s="15">
        <f t="shared" si="409"/>
        <v>28.138372499999999</v>
      </c>
      <c r="M1811" s="15">
        <f t="shared" si="410"/>
        <v>12</v>
      </c>
      <c r="N1811" s="15">
        <f t="shared" si="411"/>
        <v>15</v>
      </c>
      <c r="O1811" s="15">
        <f t="shared" si="412"/>
        <v>1.1383724999999991</v>
      </c>
      <c r="P1811" s="15">
        <f t="shared" si="413"/>
        <v>0</v>
      </c>
      <c r="Q1811" s="14" t="str">
        <f>IF(M1811&gt;=I1811*'Hoja 4 - Cálculo'!$B$16,"Satisfactorio","Falla")</f>
        <v>Satisfactorio</v>
      </c>
      <c r="R1811" s="14">
        <f t="shared" si="416"/>
        <v>0</v>
      </c>
      <c r="S1811" s="14">
        <f t="shared" si="417"/>
        <v>0</v>
      </c>
    </row>
    <row r="1812" spans="1:19">
      <c r="A1812" s="14" t="str">
        <f t="shared" si="414"/>
        <v>SRY-6-1</v>
      </c>
      <c r="B1812" s="15">
        <f>'Curvas SRY'!$B$13</f>
        <v>15</v>
      </c>
      <c r="C1812" s="15">
        <f>'Curvas SRY'!$E$8</f>
        <v>0.75</v>
      </c>
      <c r="D1812" s="14" t="str">
        <f>'Curvas SRY'!$B$14</f>
        <v>Uso variable</v>
      </c>
      <c r="E1812" s="14">
        <f>9</f>
        <v>9</v>
      </c>
      <c r="F1812" s="21">
        <f>'Hoja 4 - Cálculo'!A33</f>
        <v>29830</v>
      </c>
      <c r="G1812" s="15">
        <f>'Hoja 4 - Cálculo'!H33</f>
        <v>22.070250000000001</v>
      </c>
      <c r="H1812" s="15">
        <f>IF(D1812="Uso único",'Hoja 4 - Cálculo'!I33,IF(D1812="Uso múltiple",AVERAGE('Hoja 4 - Cálculo'!$I$25:$I$384)+AVERAGE('Hoja 4 - Cálculo'!$J$25:$J$384)+AVERAGE('Hoja 4 - Cálculo'!$K$25:$K$384),IF(D1812="Uso prioritario",'Hoja 4 - Cálculo'!I33+'Hoja 4 - Cálculo'!K33,'Hoja 4 - Cálculo'!I33+'Hoja 4 - Cálculo'!J33+'Hoja 4 - Cálculo'!K33)))</f>
        <v>11.5</v>
      </c>
      <c r="I1812" s="15">
        <f t="shared" si="408"/>
        <v>8.625</v>
      </c>
      <c r="J1812" s="15">
        <f t="shared" si="415"/>
        <v>15</v>
      </c>
      <c r="K1812" s="15">
        <f>MIN(J1812+G1812,(J1812+G1812)*'Hoja 4 - Cálculo'!$B$15)</f>
        <v>0.74140500000000009</v>
      </c>
      <c r="L1812" s="15">
        <f t="shared" si="409"/>
        <v>36.328845000000001</v>
      </c>
      <c r="M1812" s="15">
        <f t="shared" si="410"/>
        <v>8.625</v>
      </c>
      <c r="N1812" s="15">
        <f t="shared" si="411"/>
        <v>15</v>
      </c>
      <c r="O1812" s="15">
        <f t="shared" si="412"/>
        <v>12.703845000000001</v>
      </c>
      <c r="P1812" s="15">
        <f t="shared" si="413"/>
        <v>0</v>
      </c>
      <c r="Q1812" s="14" t="str">
        <f>IF(M1812&gt;=I1812*'Hoja 4 - Cálculo'!$B$16,"Satisfactorio","Falla")</f>
        <v>Satisfactorio</v>
      </c>
      <c r="R1812" s="14">
        <f t="shared" si="416"/>
        <v>0</v>
      </c>
      <c r="S1812" s="14">
        <f t="shared" si="417"/>
        <v>0</v>
      </c>
    </row>
    <row r="1813" spans="1:19">
      <c r="A1813" s="14" t="str">
        <f t="shared" si="414"/>
        <v>SRY-6-1</v>
      </c>
      <c r="B1813" s="15">
        <f>'Curvas SRY'!$B$13</f>
        <v>15</v>
      </c>
      <c r="C1813" s="15">
        <f>'Curvas SRY'!$E$8</f>
        <v>0.75</v>
      </c>
      <c r="D1813" s="14" t="str">
        <f>'Curvas SRY'!$B$14</f>
        <v>Uso variable</v>
      </c>
      <c r="E1813" s="14">
        <f>10</f>
        <v>10</v>
      </c>
      <c r="F1813" s="21">
        <f>'Hoja 4 - Cálculo'!A34</f>
        <v>29860</v>
      </c>
      <c r="G1813" s="15">
        <f>'Hoja 4 - Cálculo'!H34</f>
        <v>29.777625</v>
      </c>
      <c r="H1813" s="15">
        <f>IF(D1813="Uso único",'Hoja 4 - Cálculo'!I34,IF(D1813="Uso múltiple",AVERAGE('Hoja 4 - Cálculo'!$I$25:$I$384)+AVERAGE('Hoja 4 - Cálculo'!$J$25:$J$384)+AVERAGE('Hoja 4 - Cálculo'!$K$25:$K$384),IF(D1813="Uso prioritario",'Hoja 4 - Cálculo'!I34+'Hoja 4 - Cálculo'!K34,'Hoja 4 - Cálculo'!I34+'Hoja 4 - Cálculo'!J34+'Hoja 4 - Cálculo'!K34)))</f>
        <v>11.5</v>
      </c>
      <c r="I1813" s="15">
        <f t="shared" si="408"/>
        <v>8.625</v>
      </c>
      <c r="J1813" s="15">
        <f t="shared" si="415"/>
        <v>15</v>
      </c>
      <c r="K1813" s="15">
        <f>MIN(J1813+G1813,(J1813+G1813)*'Hoja 4 - Cálculo'!$B$15)</f>
        <v>0.89555249999999997</v>
      </c>
      <c r="L1813" s="15">
        <f t="shared" si="409"/>
        <v>43.8820725</v>
      </c>
      <c r="M1813" s="15">
        <f t="shared" si="410"/>
        <v>8.625</v>
      </c>
      <c r="N1813" s="15">
        <f t="shared" si="411"/>
        <v>15</v>
      </c>
      <c r="O1813" s="15">
        <f t="shared" si="412"/>
        <v>20.2570725</v>
      </c>
      <c r="P1813" s="15">
        <f t="shared" si="413"/>
        <v>0</v>
      </c>
      <c r="Q1813" s="14" t="str">
        <f>IF(M1813&gt;=I1813*'Hoja 4 - Cálculo'!$B$16,"Satisfactorio","Falla")</f>
        <v>Satisfactorio</v>
      </c>
      <c r="R1813" s="14">
        <f t="shared" si="416"/>
        <v>0</v>
      </c>
      <c r="S1813" s="14">
        <f t="shared" si="417"/>
        <v>0</v>
      </c>
    </row>
    <row r="1814" spans="1:19">
      <c r="A1814" s="14" t="str">
        <f t="shared" si="414"/>
        <v>SRY-6-1</v>
      </c>
      <c r="B1814" s="15">
        <f>'Curvas SRY'!$B$13</f>
        <v>15</v>
      </c>
      <c r="C1814" s="15">
        <f>'Curvas SRY'!$E$8</f>
        <v>0.75</v>
      </c>
      <c r="D1814" s="14" t="str">
        <f>'Curvas SRY'!$B$14</f>
        <v>Uso variable</v>
      </c>
      <c r="E1814" s="14">
        <f>11</f>
        <v>11</v>
      </c>
      <c r="F1814" s="21">
        <f>'Hoja 4 - Cálculo'!A35</f>
        <v>29891</v>
      </c>
      <c r="G1814" s="15">
        <f>'Hoja 4 - Cálculo'!H35</f>
        <v>25.51275</v>
      </c>
      <c r="H1814" s="15">
        <f>IF(D1814="Uso único",'Hoja 4 - Cálculo'!I35,IF(D1814="Uso múltiple",AVERAGE('Hoja 4 - Cálculo'!$I$25:$I$384)+AVERAGE('Hoja 4 - Cálculo'!$J$25:$J$384)+AVERAGE('Hoja 4 - Cálculo'!$K$25:$K$384),IF(D1814="Uso prioritario",'Hoja 4 - Cálculo'!I35+'Hoja 4 - Cálculo'!K35,'Hoja 4 - Cálculo'!I35+'Hoja 4 - Cálculo'!J35+'Hoja 4 - Cálculo'!K35)))</f>
        <v>11.5</v>
      </c>
      <c r="I1814" s="15">
        <f t="shared" si="408"/>
        <v>8.625</v>
      </c>
      <c r="J1814" s="15">
        <f t="shared" si="415"/>
        <v>15</v>
      </c>
      <c r="K1814" s="15">
        <f>MIN(J1814+G1814,(J1814+G1814)*'Hoja 4 - Cálculo'!$B$15)</f>
        <v>0.81025499999999995</v>
      </c>
      <c r="L1814" s="15">
        <f t="shared" si="409"/>
        <v>39.702494999999999</v>
      </c>
      <c r="M1814" s="15">
        <f t="shared" si="410"/>
        <v>8.625</v>
      </c>
      <c r="N1814" s="15">
        <f t="shared" si="411"/>
        <v>15</v>
      </c>
      <c r="O1814" s="15">
        <f t="shared" si="412"/>
        <v>16.077494999999999</v>
      </c>
      <c r="P1814" s="15">
        <f t="shared" si="413"/>
        <v>0</v>
      </c>
      <c r="Q1814" s="14" t="str">
        <f>IF(M1814&gt;=I1814*'Hoja 4 - Cálculo'!$B$16,"Satisfactorio","Falla")</f>
        <v>Satisfactorio</v>
      </c>
      <c r="R1814" s="14">
        <f t="shared" si="416"/>
        <v>0</v>
      </c>
      <c r="S1814" s="14">
        <f t="shared" si="417"/>
        <v>0</v>
      </c>
    </row>
    <row r="1815" spans="1:19">
      <c r="A1815" s="14" t="str">
        <f t="shared" si="414"/>
        <v>SRY-6-1</v>
      </c>
      <c r="B1815" s="15">
        <f>'Curvas SRY'!$B$13</f>
        <v>15</v>
      </c>
      <c r="C1815" s="15">
        <f>'Curvas SRY'!$E$8</f>
        <v>0.75</v>
      </c>
      <c r="D1815" s="14" t="str">
        <f>'Curvas SRY'!$B$14</f>
        <v>Uso variable</v>
      </c>
      <c r="E1815" s="14">
        <f>12</f>
        <v>12</v>
      </c>
      <c r="F1815" s="21">
        <f>'Hoja 4 - Cálculo'!A36</f>
        <v>29921</v>
      </c>
      <c r="G1815" s="15">
        <f>'Hoja 4 - Cálculo'!H36</f>
        <v>15.3765</v>
      </c>
      <c r="H1815" s="15">
        <f>IF(D1815="Uso único",'Hoja 4 - Cálculo'!I36,IF(D1815="Uso múltiple",AVERAGE('Hoja 4 - Cálculo'!$I$25:$I$384)+AVERAGE('Hoja 4 - Cálculo'!$J$25:$J$384)+AVERAGE('Hoja 4 - Cálculo'!$K$25:$K$384),IF(D1815="Uso prioritario",'Hoja 4 - Cálculo'!I36+'Hoja 4 - Cálculo'!K36,'Hoja 4 - Cálculo'!I36+'Hoja 4 - Cálculo'!J36+'Hoja 4 - Cálculo'!K36)))</f>
        <v>16</v>
      </c>
      <c r="I1815" s="15">
        <f t="shared" si="408"/>
        <v>12</v>
      </c>
      <c r="J1815" s="15">
        <f t="shared" si="415"/>
        <v>15</v>
      </c>
      <c r="K1815" s="15">
        <f>MIN(J1815+G1815,(J1815+G1815)*'Hoja 4 - Cálculo'!$B$15)</f>
        <v>0.60753000000000001</v>
      </c>
      <c r="L1815" s="15">
        <f t="shared" si="409"/>
        <v>29.768969999999999</v>
      </c>
      <c r="M1815" s="15">
        <f t="shared" si="410"/>
        <v>12</v>
      </c>
      <c r="N1815" s="15">
        <f t="shared" si="411"/>
        <v>15</v>
      </c>
      <c r="O1815" s="15">
        <f t="shared" si="412"/>
        <v>2.7689699999999995</v>
      </c>
      <c r="P1815" s="15">
        <f t="shared" si="413"/>
        <v>0</v>
      </c>
      <c r="Q1815" s="14" t="str">
        <f>IF(M1815&gt;=I1815*'Hoja 4 - Cálculo'!$B$16,"Satisfactorio","Falla")</f>
        <v>Satisfactorio</v>
      </c>
      <c r="R1815" s="14">
        <f t="shared" si="416"/>
        <v>0</v>
      </c>
      <c r="S1815" s="14">
        <f t="shared" si="417"/>
        <v>0</v>
      </c>
    </row>
    <row r="1816" spans="1:19">
      <c r="A1816" s="14" t="str">
        <f t="shared" si="414"/>
        <v>SRY-6-1</v>
      </c>
      <c r="B1816" s="15">
        <f>'Curvas SRY'!$B$13</f>
        <v>15</v>
      </c>
      <c r="C1816" s="15">
        <f>'Curvas SRY'!$E$8</f>
        <v>0.75</v>
      </c>
      <c r="D1816" s="14" t="str">
        <f>'Curvas SRY'!$B$14</f>
        <v>Uso variable</v>
      </c>
      <c r="E1816" s="14">
        <f>13</f>
        <v>13</v>
      </c>
      <c r="F1816" s="21">
        <f>'Hoja 4 - Cálculo'!A37</f>
        <v>29952</v>
      </c>
      <c r="G1816" s="15">
        <f>'Hoja 4 - Cálculo'!H37</f>
        <v>13.808249999999999</v>
      </c>
      <c r="H1816" s="15">
        <f>IF(D1816="Uso único",'Hoja 4 - Cálculo'!I37,IF(D1816="Uso múltiple",AVERAGE('Hoja 4 - Cálculo'!$I$25:$I$384)+AVERAGE('Hoja 4 - Cálculo'!$J$25:$J$384)+AVERAGE('Hoja 4 - Cálculo'!$K$25:$K$384),IF(D1816="Uso prioritario",'Hoja 4 - Cálculo'!I37+'Hoja 4 - Cálculo'!K37,'Hoja 4 - Cálculo'!I37+'Hoja 4 - Cálculo'!J37+'Hoja 4 - Cálculo'!K37)))</f>
        <v>16</v>
      </c>
      <c r="I1816" s="15">
        <f t="shared" si="408"/>
        <v>12</v>
      </c>
      <c r="J1816" s="15">
        <f t="shared" si="415"/>
        <v>15</v>
      </c>
      <c r="K1816" s="15">
        <f>MIN(J1816+G1816,(J1816+G1816)*'Hoja 4 - Cálculo'!$B$15)</f>
        <v>0.57616500000000004</v>
      </c>
      <c r="L1816" s="15">
        <f t="shared" si="409"/>
        <v>28.232085000000001</v>
      </c>
      <c r="M1816" s="15">
        <f t="shared" si="410"/>
        <v>12</v>
      </c>
      <c r="N1816" s="15">
        <f t="shared" si="411"/>
        <v>15</v>
      </c>
      <c r="O1816" s="15">
        <f t="shared" si="412"/>
        <v>1.2320850000000014</v>
      </c>
      <c r="P1816" s="15">
        <f t="shared" si="413"/>
        <v>0</v>
      </c>
      <c r="Q1816" s="14" t="str">
        <f>IF(M1816&gt;=I1816*'Hoja 4 - Cálculo'!$B$16,"Satisfactorio","Falla")</f>
        <v>Satisfactorio</v>
      </c>
      <c r="R1816" s="14">
        <f t="shared" si="416"/>
        <v>0</v>
      </c>
      <c r="S1816" s="14">
        <f t="shared" si="417"/>
        <v>0</v>
      </c>
    </row>
    <row r="1817" spans="1:19">
      <c r="A1817" s="14" t="str">
        <f t="shared" si="414"/>
        <v>SRY-6-1</v>
      </c>
      <c r="B1817" s="15">
        <f>'Curvas SRY'!$B$13</f>
        <v>15</v>
      </c>
      <c r="C1817" s="15">
        <f>'Curvas SRY'!$E$8</f>
        <v>0.75</v>
      </c>
      <c r="D1817" s="14" t="str">
        <f>'Curvas SRY'!$B$14</f>
        <v>Uso variable</v>
      </c>
      <c r="E1817" s="14">
        <f>14</f>
        <v>14</v>
      </c>
      <c r="F1817" s="21">
        <f>'Hoja 4 - Cálculo'!A38</f>
        <v>29983</v>
      </c>
      <c r="G1817" s="15">
        <f>'Hoja 4 - Cálculo'!H38</f>
        <v>15.472125</v>
      </c>
      <c r="H1817" s="15">
        <f>IF(D1817="Uso único",'Hoja 4 - Cálculo'!I38,IF(D1817="Uso múltiple",AVERAGE('Hoja 4 - Cálculo'!$I$25:$I$384)+AVERAGE('Hoja 4 - Cálculo'!$J$25:$J$384)+AVERAGE('Hoja 4 - Cálculo'!$K$25:$K$384),IF(D1817="Uso prioritario",'Hoja 4 - Cálculo'!I38+'Hoja 4 - Cálculo'!K38,'Hoja 4 - Cálculo'!I38+'Hoja 4 - Cálculo'!J38+'Hoja 4 - Cálculo'!K38)))</f>
        <v>16</v>
      </c>
      <c r="I1817" s="15">
        <f t="shared" si="408"/>
        <v>12</v>
      </c>
      <c r="J1817" s="15">
        <f t="shared" si="415"/>
        <v>15</v>
      </c>
      <c r="K1817" s="15">
        <f>MIN(J1817+G1817,(J1817+G1817)*'Hoja 4 - Cálculo'!$B$15)</f>
        <v>0.6094425</v>
      </c>
      <c r="L1817" s="15">
        <f t="shared" si="409"/>
        <v>29.862682499999998</v>
      </c>
      <c r="M1817" s="15">
        <f t="shared" si="410"/>
        <v>12</v>
      </c>
      <c r="N1817" s="15">
        <f t="shared" si="411"/>
        <v>15</v>
      </c>
      <c r="O1817" s="15">
        <f t="shared" si="412"/>
        <v>2.8626824999999982</v>
      </c>
      <c r="P1817" s="15">
        <f t="shared" si="413"/>
        <v>0</v>
      </c>
      <c r="Q1817" s="14" t="str">
        <f>IF(M1817&gt;=I1817*'Hoja 4 - Cálculo'!$B$16,"Satisfactorio","Falla")</f>
        <v>Satisfactorio</v>
      </c>
      <c r="R1817" s="14">
        <f t="shared" si="416"/>
        <v>0</v>
      </c>
      <c r="S1817" s="14">
        <f t="shared" si="417"/>
        <v>0</v>
      </c>
    </row>
    <row r="1818" spans="1:19">
      <c r="A1818" s="14" t="str">
        <f t="shared" si="414"/>
        <v>SRY-6-1</v>
      </c>
      <c r="B1818" s="15">
        <f>'Curvas SRY'!$B$13</f>
        <v>15</v>
      </c>
      <c r="C1818" s="15">
        <f>'Curvas SRY'!$E$8</f>
        <v>0.75</v>
      </c>
      <c r="D1818" s="14" t="str">
        <f>'Curvas SRY'!$B$14</f>
        <v>Uso variable</v>
      </c>
      <c r="E1818" s="14">
        <f>15</f>
        <v>15</v>
      </c>
      <c r="F1818" s="21">
        <f>'Hoja 4 - Cálculo'!A39</f>
        <v>30011</v>
      </c>
      <c r="G1818" s="15">
        <f>'Hoja 4 - Cálculo'!H39</f>
        <v>22.338000000000001</v>
      </c>
      <c r="H1818" s="15">
        <f>IF(D1818="Uso único",'Hoja 4 - Cálculo'!I39,IF(D1818="Uso múltiple",AVERAGE('Hoja 4 - Cálculo'!$I$25:$I$384)+AVERAGE('Hoja 4 - Cálculo'!$J$25:$J$384)+AVERAGE('Hoja 4 - Cálculo'!$K$25:$K$384),IF(D1818="Uso prioritario",'Hoja 4 - Cálculo'!I39+'Hoja 4 - Cálculo'!K39,'Hoja 4 - Cálculo'!I39+'Hoja 4 - Cálculo'!J39+'Hoja 4 - Cálculo'!K39)))</f>
        <v>16</v>
      </c>
      <c r="I1818" s="15">
        <f t="shared" si="408"/>
        <v>12</v>
      </c>
      <c r="J1818" s="15">
        <f t="shared" si="415"/>
        <v>15</v>
      </c>
      <c r="K1818" s="15">
        <f>MIN(J1818+G1818,(J1818+G1818)*'Hoja 4 - Cálculo'!$B$15)</f>
        <v>0.74676000000000009</v>
      </c>
      <c r="L1818" s="15">
        <f t="shared" si="409"/>
        <v>36.591239999999999</v>
      </c>
      <c r="M1818" s="15">
        <f t="shared" si="410"/>
        <v>12</v>
      </c>
      <c r="N1818" s="15">
        <f t="shared" si="411"/>
        <v>15</v>
      </c>
      <c r="O1818" s="15">
        <f t="shared" si="412"/>
        <v>9.5912399999999991</v>
      </c>
      <c r="P1818" s="15">
        <f t="shared" si="413"/>
        <v>0</v>
      </c>
      <c r="Q1818" s="14" t="str">
        <f>IF(M1818&gt;=I1818*'Hoja 4 - Cálculo'!$B$16,"Satisfactorio","Falla")</f>
        <v>Satisfactorio</v>
      </c>
      <c r="R1818" s="14">
        <f t="shared" si="416"/>
        <v>0</v>
      </c>
      <c r="S1818" s="14">
        <f t="shared" si="417"/>
        <v>0</v>
      </c>
    </row>
    <row r="1819" spans="1:19">
      <c r="A1819" s="14" t="str">
        <f t="shared" si="414"/>
        <v>SRY-6-1</v>
      </c>
      <c r="B1819" s="15">
        <f>'Curvas SRY'!$B$13</f>
        <v>15</v>
      </c>
      <c r="C1819" s="15">
        <f>'Curvas SRY'!$E$8</f>
        <v>0.75</v>
      </c>
      <c r="D1819" s="14" t="str">
        <f>'Curvas SRY'!$B$14</f>
        <v>Uso variable</v>
      </c>
      <c r="E1819" s="14">
        <f>16</f>
        <v>16</v>
      </c>
      <c r="F1819" s="21">
        <f>'Hoja 4 - Cálculo'!A40</f>
        <v>30042</v>
      </c>
      <c r="G1819" s="15">
        <f>'Hoja 4 - Cálculo'!H40</f>
        <v>31.670999999999999</v>
      </c>
      <c r="H1819" s="15">
        <f>IF(D1819="Uso único",'Hoja 4 - Cálculo'!I40,IF(D1819="Uso múltiple",AVERAGE('Hoja 4 - Cálculo'!$I$25:$I$384)+AVERAGE('Hoja 4 - Cálculo'!$J$25:$J$384)+AVERAGE('Hoja 4 - Cálculo'!$K$25:$K$384),IF(D1819="Uso prioritario",'Hoja 4 - Cálculo'!I40+'Hoja 4 - Cálculo'!K40,'Hoja 4 - Cálculo'!I40+'Hoja 4 - Cálculo'!J40+'Hoja 4 - Cálculo'!K40)))</f>
        <v>11.5</v>
      </c>
      <c r="I1819" s="15">
        <f t="shared" si="408"/>
        <v>8.625</v>
      </c>
      <c r="J1819" s="15">
        <f t="shared" si="415"/>
        <v>15</v>
      </c>
      <c r="K1819" s="15">
        <f>MIN(J1819+G1819,(J1819+G1819)*'Hoja 4 - Cálculo'!$B$15)</f>
        <v>0.93342000000000003</v>
      </c>
      <c r="L1819" s="15">
        <f t="shared" si="409"/>
        <v>45.737580000000001</v>
      </c>
      <c r="M1819" s="15">
        <f t="shared" si="410"/>
        <v>8.625</v>
      </c>
      <c r="N1819" s="15">
        <f t="shared" si="411"/>
        <v>15</v>
      </c>
      <c r="O1819" s="15">
        <f t="shared" si="412"/>
        <v>22.112580000000001</v>
      </c>
      <c r="P1819" s="15">
        <f t="shared" si="413"/>
        <v>0</v>
      </c>
      <c r="Q1819" s="14" t="str">
        <f>IF(M1819&gt;=I1819*'Hoja 4 - Cálculo'!$B$16,"Satisfactorio","Falla")</f>
        <v>Satisfactorio</v>
      </c>
      <c r="R1819" s="14">
        <f t="shared" si="416"/>
        <v>0</v>
      </c>
      <c r="S1819" s="14">
        <f t="shared" si="417"/>
        <v>0</v>
      </c>
    </row>
    <row r="1820" spans="1:19">
      <c r="A1820" s="14" t="str">
        <f t="shared" si="414"/>
        <v>SRY-6-1</v>
      </c>
      <c r="B1820" s="15">
        <f>'Curvas SRY'!$B$13</f>
        <v>15</v>
      </c>
      <c r="C1820" s="15">
        <f>'Curvas SRY'!$E$8</f>
        <v>0.75</v>
      </c>
      <c r="D1820" s="14" t="str">
        <f>'Curvas SRY'!$B$14</f>
        <v>Uso variable</v>
      </c>
      <c r="E1820" s="14">
        <f>17</f>
        <v>17</v>
      </c>
      <c r="F1820" s="21">
        <f>'Hoja 4 - Cálculo'!A41</f>
        <v>30072</v>
      </c>
      <c r="G1820" s="15">
        <f>'Hoja 4 - Cálculo'!H41</f>
        <v>29.299499999999998</v>
      </c>
      <c r="H1820" s="15">
        <f>IF(D1820="Uso único",'Hoja 4 - Cálculo'!I41,IF(D1820="Uso múltiple",AVERAGE('Hoja 4 - Cálculo'!$I$25:$I$384)+AVERAGE('Hoja 4 - Cálculo'!$J$25:$J$384)+AVERAGE('Hoja 4 - Cálculo'!$K$25:$K$384),IF(D1820="Uso prioritario",'Hoja 4 - Cálculo'!I41+'Hoja 4 - Cálculo'!K41,'Hoja 4 - Cálculo'!I41+'Hoja 4 - Cálculo'!J41+'Hoja 4 - Cálculo'!K41)))</f>
        <v>11.5</v>
      </c>
      <c r="I1820" s="15">
        <f t="shared" si="408"/>
        <v>8.625</v>
      </c>
      <c r="J1820" s="15">
        <f t="shared" si="415"/>
        <v>15</v>
      </c>
      <c r="K1820" s="15">
        <f>MIN(J1820+G1820,(J1820+G1820)*'Hoja 4 - Cálculo'!$B$15)</f>
        <v>0.88598999999999994</v>
      </c>
      <c r="L1820" s="15">
        <f t="shared" si="409"/>
        <v>43.413509999999995</v>
      </c>
      <c r="M1820" s="15">
        <f t="shared" si="410"/>
        <v>8.625</v>
      </c>
      <c r="N1820" s="15">
        <f t="shared" si="411"/>
        <v>15</v>
      </c>
      <c r="O1820" s="15">
        <f t="shared" si="412"/>
        <v>19.788509999999995</v>
      </c>
      <c r="P1820" s="15">
        <f t="shared" si="413"/>
        <v>0</v>
      </c>
      <c r="Q1820" s="14" t="str">
        <f>IF(M1820&gt;=I1820*'Hoja 4 - Cálculo'!$B$16,"Satisfactorio","Falla")</f>
        <v>Satisfactorio</v>
      </c>
      <c r="R1820" s="14">
        <f t="shared" si="416"/>
        <v>0</v>
      </c>
      <c r="S1820" s="14">
        <f t="shared" si="417"/>
        <v>0</v>
      </c>
    </row>
    <row r="1821" spans="1:19">
      <c r="A1821" s="14" t="str">
        <f t="shared" si="414"/>
        <v>SRY-6-1</v>
      </c>
      <c r="B1821" s="15">
        <f>'Curvas SRY'!$B$13</f>
        <v>15</v>
      </c>
      <c r="C1821" s="15">
        <f>'Curvas SRY'!$E$8</f>
        <v>0.75</v>
      </c>
      <c r="D1821" s="14" t="str">
        <f>'Curvas SRY'!$B$14</f>
        <v>Uso variable</v>
      </c>
      <c r="E1821" s="14">
        <f>18</f>
        <v>18</v>
      </c>
      <c r="F1821" s="21">
        <f>'Hoja 4 - Cálculo'!A42</f>
        <v>30103</v>
      </c>
      <c r="G1821" s="15">
        <f>'Hoja 4 - Cálculo'!H42</f>
        <v>18.321750000000002</v>
      </c>
      <c r="H1821" s="15">
        <f>IF(D1821="Uso único",'Hoja 4 - Cálculo'!I42,IF(D1821="Uso múltiple",AVERAGE('Hoja 4 - Cálculo'!$I$25:$I$384)+AVERAGE('Hoja 4 - Cálculo'!$J$25:$J$384)+AVERAGE('Hoja 4 - Cálculo'!$K$25:$K$384),IF(D1821="Uso prioritario",'Hoja 4 - Cálculo'!I42+'Hoja 4 - Cálculo'!K42,'Hoja 4 - Cálculo'!I42+'Hoja 4 - Cálculo'!J42+'Hoja 4 - Cálculo'!K42)))</f>
        <v>11.5</v>
      </c>
      <c r="I1821" s="15">
        <f t="shared" si="408"/>
        <v>8.625</v>
      </c>
      <c r="J1821" s="15">
        <f t="shared" si="415"/>
        <v>15</v>
      </c>
      <c r="K1821" s="15">
        <f>MIN(J1821+G1821,(J1821+G1821)*'Hoja 4 - Cálculo'!$B$15)</f>
        <v>0.666435</v>
      </c>
      <c r="L1821" s="15">
        <f t="shared" si="409"/>
        <v>32.655315000000002</v>
      </c>
      <c r="M1821" s="15">
        <f t="shared" si="410"/>
        <v>8.625</v>
      </c>
      <c r="N1821" s="15">
        <f t="shared" si="411"/>
        <v>15</v>
      </c>
      <c r="O1821" s="15">
        <f t="shared" si="412"/>
        <v>9.0303150000000016</v>
      </c>
      <c r="P1821" s="15">
        <f t="shared" si="413"/>
        <v>0</v>
      </c>
      <c r="Q1821" s="14" t="str">
        <f>IF(M1821&gt;=I1821*'Hoja 4 - Cálculo'!$B$16,"Satisfactorio","Falla")</f>
        <v>Satisfactorio</v>
      </c>
      <c r="R1821" s="14">
        <f t="shared" si="416"/>
        <v>0</v>
      </c>
      <c r="S1821" s="14">
        <f t="shared" si="417"/>
        <v>0</v>
      </c>
    </row>
    <row r="1822" spans="1:19">
      <c r="A1822" s="14" t="str">
        <f t="shared" si="414"/>
        <v>SRY-6-1</v>
      </c>
      <c r="B1822" s="15">
        <f>'Curvas SRY'!$B$13</f>
        <v>15</v>
      </c>
      <c r="C1822" s="15">
        <f>'Curvas SRY'!$E$8</f>
        <v>0.75</v>
      </c>
      <c r="D1822" s="14" t="str">
        <f>'Curvas SRY'!$B$14</f>
        <v>Uso variable</v>
      </c>
      <c r="E1822" s="14">
        <f>19</f>
        <v>19</v>
      </c>
      <c r="F1822" s="21">
        <f>'Hoja 4 - Cálculo'!A43</f>
        <v>30133</v>
      </c>
      <c r="G1822" s="15">
        <f>'Hoja 4 - Cálculo'!H43</f>
        <v>15.3765</v>
      </c>
      <c r="H1822" s="15">
        <f>IF(D1822="Uso único",'Hoja 4 - Cálculo'!I43,IF(D1822="Uso múltiple",AVERAGE('Hoja 4 - Cálculo'!$I$25:$I$384)+AVERAGE('Hoja 4 - Cálculo'!$J$25:$J$384)+AVERAGE('Hoja 4 - Cálculo'!$K$25:$K$384),IF(D1822="Uso prioritario",'Hoja 4 - Cálculo'!I43+'Hoja 4 - Cálculo'!K43,'Hoja 4 - Cálculo'!I43+'Hoja 4 - Cálculo'!J43+'Hoja 4 - Cálculo'!K43)))</f>
        <v>16</v>
      </c>
      <c r="I1822" s="15">
        <f t="shared" si="408"/>
        <v>12</v>
      </c>
      <c r="J1822" s="15">
        <f t="shared" si="415"/>
        <v>15</v>
      </c>
      <c r="K1822" s="15">
        <f>MIN(J1822+G1822,(J1822+G1822)*'Hoja 4 - Cálculo'!$B$15)</f>
        <v>0.60753000000000001</v>
      </c>
      <c r="L1822" s="15">
        <f t="shared" si="409"/>
        <v>29.768969999999999</v>
      </c>
      <c r="M1822" s="15">
        <f t="shared" si="410"/>
        <v>12</v>
      </c>
      <c r="N1822" s="15">
        <f t="shared" si="411"/>
        <v>15</v>
      </c>
      <c r="O1822" s="15">
        <f t="shared" si="412"/>
        <v>2.7689699999999995</v>
      </c>
      <c r="P1822" s="15">
        <f t="shared" si="413"/>
        <v>0</v>
      </c>
      <c r="Q1822" s="14" t="str">
        <f>IF(M1822&gt;=I1822*'Hoja 4 - Cálculo'!$B$16,"Satisfactorio","Falla")</f>
        <v>Satisfactorio</v>
      </c>
      <c r="R1822" s="14">
        <f t="shared" si="416"/>
        <v>0</v>
      </c>
      <c r="S1822" s="14">
        <f t="shared" si="417"/>
        <v>0</v>
      </c>
    </row>
    <row r="1823" spans="1:19">
      <c r="A1823" s="14" t="str">
        <f t="shared" si="414"/>
        <v>SRY-6-1</v>
      </c>
      <c r="B1823" s="15">
        <f>'Curvas SRY'!$B$13</f>
        <v>15</v>
      </c>
      <c r="C1823" s="15">
        <f>'Curvas SRY'!$E$8</f>
        <v>0.75</v>
      </c>
      <c r="D1823" s="14" t="str">
        <f>'Curvas SRY'!$B$14</f>
        <v>Uso variable</v>
      </c>
      <c r="E1823" s="14">
        <f>20</f>
        <v>20</v>
      </c>
      <c r="F1823" s="21">
        <f>'Hoja 4 - Cálculo'!A44</f>
        <v>30164</v>
      </c>
      <c r="G1823" s="15">
        <f>'Hoja 4 - Cálculo'!H44</f>
        <v>16.466625000000001</v>
      </c>
      <c r="H1823" s="15">
        <f>IF(D1823="Uso único",'Hoja 4 - Cálculo'!I44,IF(D1823="Uso múltiple",AVERAGE('Hoja 4 - Cálculo'!$I$25:$I$384)+AVERAGE('Hoja 4 - Cálculo'!$J$25:$J$384)+AVERAGE('Hoja 4 - Cálculo'!$K$25:$K$384),IF(D1823="Uso prioritario",'Hoja 4 - Cálculo'!I44+'Hoja 4 - Cálculo'!K44,'Hoja 4 - Cálculo'!I44+'Hoja 4 - Cálculo'!J44+'Hoja 4 - Cálculo'!K44)))</f>
        <v>16</v>
      </c>
      <c r="I1823" s="15">
        <f t="shared" si="408"/>
        <v>12</v>
      </c>
      <c r="J1823" s="15">
        <f t="shared" si="415"/>
        <v>15</v>
      </c>
      <c r="K1823" s="15">
        <f>MIN(J1823+G1823,(J1823+G1823)*'Hoja 4 - Cálculo'!$B$15)</f>
        <v>0.62933250000000007</v>
      </c>
      <c r="L1823" s="15">
        <f t="shared" si="409"/>
        <v>30.8372925</v>
      </c>
      <c r="M1823" s="15">
        <f t="shared" si="410"/>
        <v>12</v>
      </c>
      <c r="N1823" s="15">
        <f t="shared" si="411"/>
        <v>15</v>
      </c>
      <c r="O1823" s="15">
        <f t="shared" si="412"/>
        <v>3.8372925000000002</v>
      </c>
      <c r="P1823" s="15">
        <f t="shared" si="413"/>
        <v>0</v>
      </c>
      <c r="Q1823" s="14" t="str">
        <f>IF(M1823&gt;=I1823*'Hoja 4 - Cálculo'!$B$16,"Satisfactorio","Falla")</f>
        <v>Satisfactorio</v>
      </c>
      <c r="R1823" s="14">
        <f t="shared" si="416"/>
        <v>0</v>
      </c>
      <c r="S1823" s="14">
        <f t="shared" si="417"/>
        <v>0</v>
      </c>
    </row>
    <row r="1824" spans="1:19">
      <c r="A1824" s="14" t="str">
        <f t="shared" si="414"/>
        <v>SRY-6-1</v>
      </c>
      <c r="B1824" s="15">
        <f>'Curvas SRY'!$B$13</f>
        <v>15</v>
      </c>
      <c r="C1824" s="15">
        <f>'Curvas SRY'!$E$8</f>
        <v>0.75</v>
      </c>
      <c r="D1824" s="14" t="str">
        <f>'Curvas SRY'!$B$14</f>
        <v>Uso variable</v>
      </c>
      <c r="E1824" s="14">
        <f>21</f>
        <v>21</v>
      </c>
      <c r="F1824" s="21">
        <f>'Hoja 4 - Cálculo'!A45</f>
        <v>30195</v>
      </c>
      <c r="G1824" s="15">
        <f>'Hoja 4 - Cálculo'!H45</f>
        <v>25.837875</v>
      </c>
      <c r="H1824" s="15">
        <f>IF(D1824="Uso único",'Hoja 4 - Cálculo'!I45,IF(D1824="Uso múltiple",AVERAGE('Hoja 4 - Cálculo'!$I$25:$I$384)+AVERAGE('Hoja 4 - Cálculo'!$J$25:$J$384)+AVERAGE('Hoja 4 - Cálculo'!$K$25:$K$384),IF(D1824="Uso prioritario",'Hoja 4 - Cálculo'!I45+'Hoja 4 - Cálculo'!K45,'Hoja 4 - Cálculo'!I45+'Hoja 4 - Cálculo'!J45+'Hoja 4 - Cálculo'!K45)))</f>
        <v>11.5</v>
      </c>
      <c r="I1824" s="15">
        <f t="shared" si="408"/>
        <v>8.625</v>
      </c>
      <c r="J1824" s="15">
        <f t="shared" si="415"/>
        <v>15</v>
      </c>
      <c r="K1824" s="15">
        <f>MIN(J1824+G1824,(J1824+G1824)*'Hoja 4 - Cálculo'!$B$15)</f>
        <v>0.81675749999999991</v>
      </c>
      <c r="L1824" s="15">
        <f t="shared" si="409"/>
        <v>40.021117499999995</v>
      </c>
      <c r="M1824" s="15">
        <f t="shared" si="410"/>
        <v>8.625</v>
      </c>
      <c r="N1824" s="15">
        <f t="shared" si="411"/>
        <v>15</v>
      </c>
      <c r="O1824" s="15">
        <f t="shared" si="412"/>
        <v>16.396117499999995</v>
      </c>
      <c r="P1824" s="15">
        <f t="shared" si="413"/>
        <v>0</v>
      </c>
      <c r="Q1824" s="14" t="str">
        <f>IF(M1824&gt;=I1824*'Hoja 4 - Cálculo'!$B$16,"Satisfactorio","Falla")</f>
        <v>Satisfactorio</v>
      </c>
      <c r="R1824" s="14">
        <f t="shared" si="416"/>
        <v>0</v>
      </c>
      <c r="S1824" s="14">
        <f t="shared" si="417"/>
        <v>0</v>
      </c>
    </row>
    <row r="1825" spans="1:19">
      <c r="A1825" s="14" t="str">
        <f t="shared" si="414"/>
        <v>SRY-6-1</v>
      </c>
      <c r="B1825" s="15">
        <f>'Curvas SRY'!$B$13</f>
        <v>15</v>
      </c>
      <c r="C1825" s="15">
        <f>'Curvas SRY'!$E$8</f>
        <v>0.75</v>
      </c>
      <c r="D1825" s="14" t="str">
        <f>'Curvas SRY'!$B$14</f>
        <v>Uso variable</v>
      </c>
      <c r="E1825" s="14">
        <f>22</f>
        <v>22</v>
      </c>
      <c r="F1825" s="21">
        <f>'Hoja 4 - Cálculo'!A46</f>
        <v>30225</v>
      </c>
      <c r="G1825" s="15">
        <f>'Hoja 4 - Cálculo'!H46</f>
        <v>33.46875</v>
      </c>
      <c r="H1825" s="15">
        <f>IF(D1825="Uso único",'Hoja 4 - Cálculo'!I46,IF(D1825="Uso múltiple",AVERAGE('Hoja 4 - Cálculo'!$I$25:$I$384)+AVERAGE('Hoja 4 - Cálculo'!$J$25:$J$384)+AVERAGE('Hoja 4 - Cálculo'!$K$25:$K$384),IF(D1825="Uso prioritario",'Hoja 4 - Cálculo'!I46+'Hoja 4 - Cálculo'!K46,'Hoja 4 - Cálculo'!I46+'Hoja 4 - Cálculo'!J46+'Hoja 4 - Cálculo'!K46)))</f>
        <v>11.5</v>
      </c>
      <c r="I1825" s="15">
        <f t="shared" si="408"/>
        <v>8.625</v>
      </c>
      <c r="J1825" s="15">
        <f t="shared" si="415"/>
        <v>15</v>
      </c>
      <c r="K1825" s="15">
        <f>MIN(J1825+G1825,(J1825+G1825)*'Hoja 4 - Cálculo'!$B$15)</f>
        <v>0.96937499999999999</v>
      </c>
      <c r="L1825" s="15">
        <f t="shared" si="409"/>
        <v>47.499375000000001</v>
      </c>
      <c r="M1825" s="15">
        <f t="shared" si="410"/>
        <v>8.625</v>
      </c>
      <c r="N1825" s="15">
        <f t="shared" si="411"/>
        <v>15</v>
      </c>
      <c r="O1825" s="15">
        <f t="shared" si="412"/>
        <v>23.874375000000001</v>
      </c>
      <c r="P1825" s="15">
        <f t="shared" si="413"/>
        <v>0</v>
      </c>
      <c r="Q1825" s="14" t="str">
        <f>IF(M1825&gt;=I1825*'Hoja 4 - Cálculo'!$B$16,"Satisfactorio","Falla")</f>
        <v>Satisfactorio</v>
      </c>
      <c r="R1825" s="14">
        <f t="shared" si="416"/>
        <v>0</v>
      </c>
      <c r="S1825" s="14">
        <f t="shared" si="417"/>
        <v>0</v>
      </c>
    </row>
    <row r="1826" spans="1:19">
      <c r="A1826" s="14" t="str">
        <f t="shared" si="414"/>
        <v>SRY-6-1</v>
      </c>
      <c r="B1826" s="15">
        <f>'Curvas SRY'!$B$13</f>
        <v>15</v>
      </c>
      <c r="C1826" s="15">
        <f>'Curvas SRY'!$E$8</f>
        <v>0.75</v>
      </c>
      <c r="D1826" s="14" t="str">
        <f>'Curvas SRY'!$B$14</f>
        <v>Uso variable</v>
      </c>
      <c r="E1826" s="14">
        <f>23</f>
        <v>23</v>
      </c>
      <c r="F1826" s="21">
        <f>'Hoja 4 - Cálculo'!A47</f>
        <v>30256</v>
      </c>
      <c r="G1826" s="15">
        <f>'Hoja 4 - Cálculo'!H47</f>
        <v>27.578250000000001</v>
      </c>
      <c r="H1826" s="15">
        <f>IF(D1826="Uso único",'Hoja 4 - Cálculo'!I47,IF(D1826="Uso múltiple",AVERAGE('Hoja 4 - Cálculo'!$I$25:$I$384)+AVERAGE('Hoja 4 - Cálculo'!$J$25:$J$384)+AVERAGE('Hoja 4 - Cálculo'!$K$25:$K$384),IF(D1826="Uso prioritario",'Hoja 4 - Cálculo'!I47+'Hoja 4 - Cálculo'!K47,'Hoja 4 - Cálculo'!I47+'Hoja 4 - Cálculo'!J47+'Hoja 4 - Cálculo'!K47)))</f>
        <v>11.5</v>
      </c>
      <c r="I1826" s="15">
        <f t="shared" si="408"/>
        <v>8.625</v>
      </c>
      <c r="J1826" s="15">
        <f t="shared" si="415"/>
        <v>15</v>
      </c>
      <c r="K1826" s="15">
        <f>MIN(J1826+G1826,(J1826+G1826)*'Hoja 4 - Cálculo'!$B$15)</f>
        <v>0.85156499999999991</v>
      </c>
      <c r="L1826" s="15">
        <f t="shared" si="409"/>
        <v>41.726684999999996</v>
      </c>
      <c r="M1826" s="15">
        <f t="shared" si="410"/>
        <v>8.625</v>
      </c>
      <c r="N1826" s="15">
        <f t="shared" si="411"/>
        <v>15</v>
      </c>
      <c r="O1826" s="15">
        <f t="shared" si="412"/>
        <v>18.101684999999996</v>
      </c>
      <c r="P1826" s="15">
        <f t="shared" si="413"/>
        <v>0</v>
      </c>
      <c r="Q1826" s="14" t="str">
        <f>IF(M1826&gt;=I1826*'Hoja 4 - Cálculo'!$B$16,"Satisfactorio","Falla")</f>
        <v>Satisfactorio</v>
      </c>
      <c r="R1826" s="14">
        <f t="shared" si="416"/>
        <v>0</v>
      </c>
      <c r="S1826" s="14">
        <f t="shared" si="417"/>
        <v>0</v>
      </c>
    </row>
    <row r="1827" spans="1:19">
      <c r="A1827" s="14" t="str">
        <f t="shared" si="414"/>
        <v>SRY-6-1</v>
      </c>
      <c r="B1827" s="15">
        <f>'Curvas SRY'!$B$13</f>
        <v>15</v>
      </c>
      <c r="C1827" s="15">
        <f>'Curvas SRY'!$E$8</f>
        <v>0.75</v>
      </c>
      <c r="D1827" s="14" t="str">
        <f>'Curvas SRY'!$B$14</f>
        <v>Uso variable</v>
      </c>
      <c r="E1827" s="14">
        <f>24</f>
        <v>24</v>
      </c>
      <c r="F1827" s="21">
        <f>'Hoja 4 - Cálculo'!A48</f>
        <v>30286</v>
      </c>
      <c r="G1827" s="15">
        <f>'Hoja 4 - Cálculo'!H48</f>
        <v>16.256250000000001</v>
      </c>
      <c r="H1827" s="15">
        <f>IF(D1827="Uso único",'Hoja 4 - Cálculo'!I48,IF(D1827="Uso múltiple",AVERAGE('Hoja 4 - Cálculo'!$I$25:$I$384)+AVERAGE('Hoja 4 - Cálculo'!$J$25:$J$384)+AVERAGE('Hoja 4 - Cálculo'!$K$25:$K$384),IF(D1827="Uso prioritario",'Hoja 4 - Cálculo'!I48+'Hoja 4 - Cálculo'!K48,'Hoja 4 - Cálculo'!I48+'Hoja 4 - Cálculo'!J48+'Hoja 4 - Cálculo'!K48)))</f>
        <v>16</v>
      </c>
      <c r="I1827" s="15">
        <f t="shared" si="408"/>
        <v>12</v>
      </c>
      <c r="J1827" s="15">
        <f t="shared" si="415"/>
        <v>15</v>
      </c>
      <c r="K1827" s="15">
        <f>MIN(J1827+G1827,(J1827+G1827)*'Hoja 4 - Cálculo'!$B$15)</f>
        <v>0.62512500000000004</v>
      </c>
      <c r="L1827" s="15">
        <f t="shared" si="409"/>
        <v>30.631125000000001</v>
      </c>
      <c r="M1827" s="15">
        <f t="shared" si="410"/>
        <v>12</v>
      </c>
      <c r="N1827" s="15">
        <f t="shared" si="411"/>
        <v>15</v>
      </c>
      <c r="O1827" s="15">
        <f t="shared" si="412"/>
        <v>3.6311250000000008</v>
      </c>
      <c r="P1827" s="15">
        <f t="shared" si="413"/>
        <v>0</v>
      </c>
      <c r="Q1827" s="14" t="str">
        <f>IF(M1827&gt;=I1827*'Hoja 4 - Cálculo'!$B$16,"Satisfactorio","Falla")</f>
        <v>Satisfactorio</v>
      </c>
      <c r="R1827" s="14">
        <f t="shared" si="416"/>
        <v>0</v>
      </c>
      <c r="S1827" s="14">
        <f t="shared" si="417"/>
        <v>0</v>
      </c>
    </row>
    <row r="1828" spans="1:19">
      <c r="A1828" s="14" t="str">
        <f t="shared" si="414"/>
        <v>SRY-6-1</v>
      </c>
      <c r="B1828" s="15">
        <f>'Curvas SRY'!$B$13</f>
        <v>15</v>
      </c>
      <c r="C1828" s="15">
        <f>'Curvas SRY'!$E$8</f>
        <v>0.75</v>
      </c>
      <c r="D1828" s="14" t="str">
        <f>'Curvas SRY'!$B$14</f>
        <v>Uso variable</v>
      </c>
      <c r="E1828" s="14">
        <f>25</f>
        <v>25</v>
      </c>
      <c r="F1828" s="21">
        <f>'Hoja 4 - Cálculo'!A49</f>
        <v>30317</v>
      </c>
      <c r="G1828" s="15">
        <f>'Hoja 4 - Cálculo'!H49</f>
        <v>12.775499999999999</v>
      </c>
      <c r="H1828" s="15">
        <f>IF(D1828="Uso único",'Hoja 4 - Cálculo'!I49,IF(D1828="Uso múltiple",AVERAGE('Hoja 4 - Cálculo'!$I$25:$I$384)+AVERAGE('Hoja 4 - Cálculo'!$J$25:$J$384)+AVERAGE('Hoja 4 - Cálculo'!$K$25:$K$384),IF(D1828="Uso prioritario",'Hoja 4 - Cálculo'!I49+'Hoja 4 - Cálculo'!K49,'Hoja 4 - Cálculo'!I49+'Hoja 4 - Cálculo'!J49+'Hoja 4 - Cálculo'!K49)))</f>
        <v>16</v>
      </c>
      <c r="I1828" s="15">
        <f t="shared" si="408"/>
        <v>12</v>
      </c>
      <c r="J1828" s="15">
        <f t="shared" si="415"/>
        <v>15</v>
      </c>
      <c r="K1828" s="15">
        <f>MIN(J1828+G1828,(J1828+G1828)*'Hoja 4 - Cálculo'!$B$15)</f>
        <v>0.55551000000000006</v>
      </c>
      <c r="L1828" s="15">
        <f t="shared" si="409"/>
        <v>27.219989999999999</v>
      </c>
      <c r="M1828" s="15">
        <f t="shared" si="410"/>
        <v>12</v>
      </c>
      <c r="N1828" s="15">
        <f t="shared" si="411"/>
        <v>15</v>
      </c>
      <c r="O1828" s="15">
        <f t="shared" si="412"/>
        <v>0.21998999999999924</v>
      </c>
      <c r="P1828" s="15">
        <f t="shared" si="413"/>
        <v>0</v>
      </c>
      <c r="Q1828" s="14" t="str">
        <f>IF(M1828&gt;=I1828*'Hoja 4 - Cálculo'!$B$16,"Satisfactorio","Falla")</f>
        <v>Satisfactorio</v>
      </c>
      <c r="R1828" s="14">
        <f t="shared" si="416"/>
        <v>0</v>
      </c>
      <c r="S1828" s="14">
        <f t="shared" si="417"/>
        <v>0</v>
      </c>
    </row>
    <row r="1829" spans="1:19">
      <c r="A1829" s="14" t="str">
        <f t="shared" si="414"/>
        <v>SRY-6-1</v>
      </c>
      <c r="B1829" s="15">
        <f>'Curvas SRY'!$B$13</f>
        <v>15</v>
      </c>
      <c r="C1829" s="15">
        <f>'Curvas SRY'!$E$8</f>
        <v>0.75</v>
      </c>
      <c r="D1829" s="14" t="str">
        <f>'Curvas SRY'!$B$14</f>
        <v>Uso variable</v>
      </c>
      <c r="E1829" s="14">
        <f>26</f>
        <v>26</v>
      </c>
      <c r="F1829" s="21">
        <f>'Hoja 4 - Cálculo'!A50</f>
        <v>30348</v>
      </c>
      <c r="G1829" s="15">
        <f>'Hoja 4 - Cálculo'!H50</f>
        <v>14.49675</v>
      </c>
      <c r="H1829" s="15">
        <f>IF(D1829="Uso único",'Hoja 4 - Cálculo'!I50,IF(D1829="Uso múltiple",AVERAGE('Hoja 4 - Cálculo'!$I$25:$I$384)+AVERAGE('Hoja 4 - Cálculo'!$J$25:$J$384)+AVERAGE('Hoja 4 - Cálculo'!$K$25:$K$384),IF(D1829="Uso prioritario",'Hoja 4 - Cálculo'!I50+'Hoja 4 - Cálculo'!K50,'Hoja 4 - Cálculo'!I50+'Hoja 4 - Cálculo'!J50+'Hoja 4 - Cálculo'!K50)))</f>
        <v>16</v>
      </c>
      <c r="I1829" s="15">
        <f t="shared" si="408"/>
        <v>12</v>
      </c>
      <c r="J1829" s="15">
        <f t="shared" si="415"/>
        <v>15</v>
      </c>
      <c r="K1829" s="15">
        <f>MIN(J1829+G1829,(J1829+G1829)*'Hoja 4 - Cálculo'!$B$15)</f>
        <v>0.58993499999999999</v>
      </c>
      <c r="L1829" s="15">
        <f t="shared" si="409"/>
        <v>28.906814999999998</v>
      </c>
      <c r="M1829" s="15">
        <f t="shared" si="410"/>
        <v>12</v>
      </c>
      <c r="N1829" s="15">
        <f t="shared" si="411"/>
        <v>15</v>
      </c>
      <c r="O1829" s="15">
        <f t="shared" si="412"/>
        <v>1.9068149999999982</v>
      </c>
      <c r="P1829" s="15">
        <f t="shared" si="413"/>
        <v>0</v>
      </c>
      <c r="Q1829" s="14" t="str">
        <f>IF(M1829&gt;=I1829*'Hoja 4 - Cálculo'!$B$16,"Satisfactorio","Falla")</f>
        <v>Satisfactorio</v>
      </c>
      <c r="R1829" s="14">
        <f t="shared" si="416"/>
        <v>0</v>
      </c>
      <c r="S1829" s="14">
        <f t="shared" si="417"/>
        <v>0</v>
      </c>
    </row>
    <row r="1830" spans="1:19">
      <c r="A1830" s="14" t="str">
        <f t="shared" si="414"/>
        <v>SRY-6-1</v>
      </c>
      <c r="B1830" s="15">
        <f>'Curvas SRY'!$B$13</f>
        <v>15</v>
      </c>
      <c r="C1830" s="15">
        <f>'Curvas SRY'!$E$8</f>
        <v>0.75</v>
      </c>
      <c r="D1830" s="14" t="str">
        <f>'Curvas SRY'!$B$14</f>
        <v>Uso variable</v>
      </c>
      <c r="E1830" s="14">
        <f>27</f>
        <v>27</v>
      </c>
      <c r="F1830" s="21">
        <f>'Hoja 4 - Cálculo'!A51</f>
        <v>30376</v>
      </c>
      <c r="G1830" s="15">
        <f>'Hoja 4 - Cálculo'!H51</f>
        <v>21.936375000000002</v>
      </c>
      <c r="H1830" s="15">
        <f>IF(D1830="Uso único",'Hoja 4 - Cálculo'!I51,IF(D1830="Uso múltiple",AVERAGE('Hoja 4 - Cálculo'!$I$25:$I$384)+AVERAGE('Hoja 4 - Cálculo'!$J$25:$J$384)+AVERAGE('Hoja 4 - Cálculo'!$K$25:$K$384),IF(D1830="Uso prioritario",'Hoja 4 - Cálculo'!I51+'Hoja 4 - Cálculo'!K51,'Hoja 4 - Cálculo'!I51+'Hoja 4 - Cálculo'!J51+'Hoja 4 - Cálculo'!K51)))</f>
        <v>16</v>
      </c>
      <c r="I1830" s="15">
        <f t="shared" si="408"/>
        <v>12</v>
      </c>
      <c r="J1830" s="15">
        <f t="shared" si="415"/>
        <v>15</v>
      </c>
      <c r="K1830" s="15">
        <f>MIN(J1830+G1830,(J1830+G1830)*'Hoja 4 - Cálculo'!$B$15)</f>
        <v>0.73872749999999998</v>
      </c>
      <c r="L1830" s="15">
        <f t="shared" si="409"/>
        <v>36.197647499999995</v>
      </c>
      <c r="M1830" s="15">
        <f t="shared" si="410"/>
        <v>12</v>
      </c>
      <c r="N1830" s="15">
        <f t="shared" si="411"/>
        <v>15</v>
      </c>
      <c r="O1830" s="15">
        <f t="shared" si="412"/>
        <v>9.1976474999999951</v>
      </c>
      <c r="P1830" s="15">
        <f t="shared" si="413"/>
        <v>0</v>
      </c>
      <c r="Q1830" s="14" t="str">
        <f>IF(M1830&gt;=I1830*'Hoja 4 - Cálculo'!$B$16,"Satisfactorio","Falla")</f>
        <v>Satisfactorio</v>
      </c>
      <c r="R1830" s="14">
        <f t="shared" si="416"/>
        <v>0</v>
      </c>
      <c r="S1830" s="14">
        <f t="shared" si="417"/>
        <v>0</v>
      </c>
    </row>
    <row r="1831" spans="1:19">
      <c r="A1831" s="14" t="str">
        <f t="shared" si="414"/>
        <v>SRY-6-1</v>
      </c>
      <c r="B1831" s="15">
        <f>'Curvas SRY'!$B$13</f>
        <v>15</v>
      </c>
      <c r="C1831" s="15">
        <f>'Curvas SRY'!$E$8</f>
        <v>0.75</v>
      </c>
      <c r="D1831" s="14" t="str">
        <f>'Curvas SRY'!$B$14</f>
        <v>Uso variable</v>
      </c>
      <c r="E1831" s="14">
        <f>28</f>
        <v>28</v>
      </c>
      <c r="F1831" s="21">
        <f>'Hoja 4 - Cálculo'!A52</f>
        <v>30407</v>
      </c>
      <c r="G1831" s="15">
        <f>'Hoja 4 - Cálculo'!H52</f>
        <v>32.263874999999999</v>
      </c>
      <c r="H1831" s="15">
        <f>IF(D1831="Uso único",'Hoja 4 - Cálculo'!I52,IF(D1831="Uso múltiple",AVERAGE('Hoja 4 - Cálculo'!$I$25:$I$384)+AVERAGE('Hoja 4 - Cálculo'!$J$25:$J$384)+AVERAGE('Hoja 4 - Cálculo'!$K$25:$K$384),IF(D1831="Uso prioritario",'Hoja 4 - Cálculo'!I52+'Hoja 4 - Cálculo'!K52,'Hoja 4 - Cálculo'!I52+'Hoja 4 - Cálculo'!J52+'Hoja 4 - Cálculo'!K52)))</f>
        <v>11.5</v>
      </c>
      <c r="I1831" s="15">
        <f t="shared" si="408"/>
        <v>8.625</v>
      </c>
      <c r="J1831" s="15">
        <f t="shared" si="415"/>
        <v>15</v>
      </c>
      <c r="K1831" s="15">
        <f>MIN(J1831+G1831,(J1831+G1831)*'Hoja 4 - Cálculo'!$B$15)</f>
        <v>0.94527749999999999</v>
      </c>
      <c r="L1831" s="15">
        <f t="shared" si="409"/>
        <v>46.318597499999996</v>
      </c>
      <c r="M1831" s="15">
        <f t="shared" si="410"/>
        <v>8.625</v>
      </c>
      <c r="N1831" s="15">
        <f t="shared" si="411"/>
        <v>15</v>
      </c>
      <c r="O1831" s="15">
        <f t="shared" si="412"/>
        <v>22.693597499999996</v>
      </c>
      <c r="P1831" s="15">
        <f t="shared" si="413"/>
        <v>0</v>
      </c>
      <c r="Q1831" s="14" t="str">
        <f>IF(M1831&gt;=I1831*'Hoja 4 - Cálculo'!$B$16,"Satisfactorio","Falla")</f>
        <v>Satisfactorio</v>
      </c>
      <c r="R1831" s="14">
        <f t="shared" si="416"/>
        <v>0</v>
      </c>
      <c r="S1831" s="14">
        <f t="shared" si="417"/>
        <v>0</v>
      </c>
    </row>
    <row r="1832" spans="1:19">
      <c r="A1832" s="14" t="str">
        <f t="shared" si="414"/>
        <v>SRY-6-1</v>
      </c>
      <c r="B1832" s="15">
        <f>'Curvas SRY'!$B$13</f>
        <v>15</v>
      </c>
      <c r="C1832" s="15">
        <f>'Curvas SRY'!$E$8</f>
        <v>0.75</v>
      </c>
      <c r="D1832" s="14" t="str">
        <f>'Curvas SRY'!$B$14</f>
        <v>Uso variable</v>
      </c>
      <c r="E1832" s="14">
        <f>29</f>
        <v>29</v>
      </c>
      <c r="F1832" s="21">
        <f>'Hoja 4 - Cálculo'!A53</f>
        <v>30437</v>
      </c>
      <c r="G1832" s="15">
        <f>'Hoja 4 - Cálculo'!H53</f>
        <v>29.356874999999999</v>
      </c>
      <c r="H1832" s="15">
        <f>IF(D1832="Uso único",'Hoja 4 - Cálculo'!I53,IF(D1832="Uso múltiple",AVERAGE('Hoja 4 - Cálculo'!$I$25:$I$384)+AVERAGE('Hoja 4 - Cálculo'!$J$25:$J$384)+AVERAGE('Hoja 4 - Cálculo'!$K$25:$K$384),IF(D1832="Uso prioritario",'Hoja 4 - Cálculo'!I53+'Hoja 4 - Cálculo'!K53,'Hoja 4 - Cálculo'!I53+'Hoja 4 - Cálculo'!J53+'Hoja 4 - Cálculo'!K53)))</f>
        <v>11.5</v>
      </c>
      <c r="I1832" s="15">
        <f t="shared" si="408"/>
        <v>8.625</v>
      </c>
      <c r="J1832" s="15">
        <f t="shared" si="415"/>
        <v>15</v>
      </c>
      <c r="K1832" s="15">
        <f>MIN(J1832+G1832,(J1832+G1832)*'Hoja 4 - Cálculo'!$B$15)</f>
        <v>0.88713750000000002</v>
      </c>
      <c r="L1832" s="15">
        <f t="shared" si="409"/>
        <v>43.469737500000001</v>
      </c>
      <c r="M1832" s="15">
        <f t="shared" si="410"/>
        <v>8.625</v>
      </c>
      <c r="N1832" s="15">
        <f t="shared" si="411"/>
        <v>15</v>
      </c>
      <c r="O1832" s="15">
        <f t="shared" si="412"/>
        <v>19.844737500000001</v>
      </c>
      <c r="P1832" s="15">
        <f t="shared" si="413"/>
        <v>0</v>
      </c>
      <c r="Q1832" s="14" t="str">
        <f>IF(M1832&gt;=I1832*'Hoja 4 - Cálculo'!$B$16,"Satisfactorio","Falla")</f>
        <v>Satisfactorio</v>
      </c>
      <c r="R1832" s="14">
        <f t="shared" si="416"/>
        <v>0</v>
      </c>
      <c r="S1832" s="14">
        <f t="shared" si="417"/>
        <v>0</v>
      </c>
    </row>
    <row r="1833" spans="1:19">
      <c r="A1833" s="14" t="str">
        <f t="shared" si="414"/>
        <v>SRY-6-1</v>
      </c>
      <c r="B1833" s="15">
        <f>'Curvas SRY'!$B$13</f>
        <v>15</v>
      </c>
      <c r="C1833" s="15">
        <f>'Curvas SRY'!$E$8</f>
        <v>0.75</v>
      </c>
      <c r="D1833" s="14" t="str">
        <f>'Curvas SRY'!$B$14</f>
        <v>Uso variable</v>
      </c>
      <c r="E1833" s="14">
        <f>30</f>
        <v>30</v>
      </c>
      <c r="F1833" s="21">
        <f>'Hoja 4 - Cálculo'!A54</f>
        <v>30468</v>
      </c>
      <c r="G1833" s="15">
        <f>'Hoja 4 - Cálculo'!H54</f>
        <v>17.212499999999999</v>
      </c>
      <c r="H1833" s="15">
        <f>IF(D1833="Uso único",'Hoja 4 - Cálculo'!I54,IF(D1833="Uso múltiple",AVERAGE('Hoja 4 - Cálculo'!$I$25:$I$384)+AVERAGE('Hoja 4 - Cálculo'!$J$25:$J$384)+AVERAGE('Hoja 4 - Cálculo'!$K$25:$K$384),IF(D1833="Uso prioritario",'Hoja 4 - Cálculo'!I54+'Hoja 4 - Cálculo'!K54,'Hoja 4 - Cálculo'!I54+'Hoja 4 - Cálculo'!J54+'Hoja 4 - Cálculo'!K54)))</f>
        <v>11.5</v>
      </c>
      <c r="I1833" s="15">
        <f t="shared" si="408"/>
        <v>8.625</v>
      </c>
      <c r="J1833" s="15">
        <f t="shared" si="415"/>
        <v>15</v>
      </c>
      <c r="K1833" s="15">
        <f>MIN(J1833+G1833,(J1833+G1833)*'Hoja 4 - Cálculo'!$B$15)</f>
        <v>0.64424999999999999</v>
      </c>
      <c r="L1833" s="15">
        <f t="shared" si="409"/>
        <v>31.568249999999999</v>
      </c>
      <c r="M1833" s="15">
        <f t="shared" si="410"/>
        <v>8.625</v>
      </c>
      <c r="N1833" s="15">
        <f t="shared" si="411"/>
        <v>15</v>
      </c>
      <c r="O1833" s="15">
        <f t="shared" si="412"/>
        <v>7.943249999999999</v>
      </c>
      <c r="P1833" s="15">
        <f t="shared" si="413"/>
        <v>0</v>
      </c>
      <c r="Q1833" s="14" t="str">
        <f>IF(M1833&gt;=I1833*'Hoja 4 - Cálculo'!$B$16,"Satisfactorio","Falla")</f>
        <v>Satisfactorio</v>
      </c>
      <c r="R1833" s="14">
        <f t="shared" si="416"/>
        <v>0</v>
      </c>
      <c r="S1833" s="14">
        <f t="shared" si="417"/>
        <v>0</v>
      </c>
    </row>
    <row r="1834" spans="1:19">
      <c r="A1834" s="14" t="str">
        <f t="shared" si="414"/>
        <v>SRY-6-1</v>
      </c>
      <c r="B1834" s="15">
        <f>'Curvas SRY'!$B$13</f>
        <v>15</v>
      </c>
      <c r="C1834" s="15">
        <f>'Curvas SRY'!$E$8</f>
        <v>0.75</v>
      </c>
      <c r="D1834" s="14" t="str">
        <f>'Curvas SRY'!$B$14</f>
        <v>Uso variable</v>
      </c>
      <c r="E1834" s="14">
        <f>31</f>
        <v>31</v>
      </c>
      <c r="F1834" s="21">
        <f>'Hoja 4 - Cálculo'!A55</f>
        <v>30498</v>
      </c>
      <c r="G1834" s="15">
        <f>'Hoja 4 - Cálculo'!H55</f>
        <v>13.597875</v>
      </c>
      <c r="H1834" s="15">
        <f>IF(D1834="Uso único",'Hoja 4 - Cálculo'!I55,IF(D1834="Uso múltiple",AVERAGE('Hoja 4 - Cálculo'!$I$25:$I$384)+AVERAGE('Hoja 4 - Cálculo'!$J$25:$J$384)+AVERAGE('Hoja 4 - Cálculo'!$K$25:$K$384),IF(D1834="Uso prioritario",'Hoja 4 - Cálculo'!I55+'Hoja 4 - Cálculo'!K55,'Hoja 4 - Cálculo'!I55+'Hoja 4 - Cálculo'!J55+'Hoja 4 - Cálculo'!K55)))</f>
        <v>16</v>
      </c>
      <c r="I1834" s="15">
        <f t="shared" si="408"/>
        <v>12</v>
      </c>
      <c r="J1834" s="15">
        <f t="shared" si="415"/>
        <v>15</v>
      </c>
      <c r="K1834" s="15">
        <f>MIN(J1834+G1834,(J1834+G1834)*'Hoja 4 - Cálculo'!$B$15)</f>
        <v>0.57195750000000001</v>
      </c>
      <c r="L1834" s="15">
        <f t="shared" si="409"/>
        <v>28.025917500000002</v>
      </c>
      <c r="M1834" s="15">
        <f t="shared" si="410"/>
        <v>12</v>
      </c>
      <c r="N1834" s="15">
        <f t="shared" si="411"/>
        <v>15</v>
      </c>
      <c r="O1834" s="15">
        <f t="shared" si="412"/>
        <v>1.025917500000002</v>
      </c>
      <c r="P1834" s="15">
        <f t="shared" si="413"/>
        <v>0</v>
      </c>
      <c r="Q1834" s="14" t="str">
        <f>IF(M1834&gt;=I1834*'Hoja 4 - Cálculo'!$B$16,"Satisfactorio","Falla")</f>
        <v>Satisfactorio</v>
      </c>
      <c r="R1834" s="14">
        <f t="shared" si="416"/>
        <v>0</v>
      </c>
      <c r="S1834" s="14">
        <f t="shared" si="417"/>
        <v>0</v>
      </c>
    </row>
    <row r="1835" spans="1:19">
      <c r="A1835" s="14" t="str">
        <f t="shared" si="414"/>
        <v>SRY-6-1</v>
      </c>
      <c r="B1835" s="15">
        <f>'Curvas SRY'!$B$13</f>
        <v>15</v>
      </c>
      <c r="C1835" s="15">
        <f>'Curvas SRY'!$E$8</f>
        <v>0.75</v>
      </c>
      <c r="D1835" s="14" t="str">
        <f>'Curvas SRY'!$B$14</f>
        <v>Uso variable</v>
      </c>
      <c r="E1835" s="14">
        <f>32</f>
        <v>32</v>
      </c>
      <c r="F1835" s="21">
        <f>'Hoja 4 - Cálculo'!A56</f>
        <v>30529</v>
      </c>
      <c r="G1835" s="15">
        <f>'Hoja 4 - Cálculo'!H56</f>
        <v>14.592375000000001</v>
      </c>
      <c r="H1835" s="15">
        <f>IF(D1835="Uso único",'Hoja 4 - Cálculo'!I56,IF(D1835="Uso múltiple",AVERAGE('Hoja 4 - Cálculo'!$I$25:$I$384)+AVERAGE('Hoja 4 - Cálculo'!$J$25:$J$384)+AVERAGE('Hoja 4 - Cálculo'!$K$25:$K$384),IF(D1835="Uso prioritario",'Hoja 4 - Cálculo'!I56+'Hoja 4 - Cálculo'!K56,'Hoja 4 - Cálculo'!I56+'Hoja 4 - Cálculo'!J56+'Hoja 4 - Cálculo'!K56)))</f>
        <v>16</v>
      </c>
      <c r="I1835" s="15">
        <f t="shared" si="408"/>
        <v>12</v>
      </c>
      <c r="J1835" s="15">
        <f t="shared" si="415"/>
        <v>15</v>
      </c>
      <c r="K1835" s="15">
        <f>MIN(J1835+G1835,(J1835+G1835)*'Hoja 4 - Cálculo'!$B$15)</f>
        <v>0.59184749999999997</v>
      </c>
      <c r="L1835" s="15">
        <f t="shared" si="409"/>
        <v>29.0005275</v>
      </c>
      <c r="M1835" s="15">
        <f t="shared" si="410"/>
        <v>12</v>
      </c>
      <c r="N1835" s="15">
        <f t="shared" si="411"/>
        <v>15</v>
      </c>
      <c r="O1835" s="15">
        <f t="shared" si="412"/>
        <v>2.0005275000000005</v>
      </c>
      <c r="P1835" s="15">
        <f t="shared" si="413"/>
        <v>0</v>
      </c>
      <c r="Q1835" s="14" t="str">
        <f>IF(M1835&gt;=I1835*'Hoja 4 - Cálculo'!$B$16,"Satisfactorio","Falla")</f>
        <v>Satisfactorio</v>
      </c>
      <c r="R1835" s="14">
        <f t="shared" si="416"/>
        <v>0</v>
      </c>
      <c r="S1835" s="14">
        <f t="shared" si="417"/>
        <v>0</v>
      </c>
    </row>
    <row r="1836" spans="1:19">
      <c r="A1836" s="14" t="str">
        <f t="shared" ref="A1836:A1867" si="418">"SRY-6-1"</f>
        <v>SRY-6-1</v>
      </c>
      <c r="B1836" s="15">
        <f>'Curvas SRY'!$B$13</f>
        <v>15</v>
      </c>
      <c r="C1836" s="15">
        <f>'Curvas SRY'!$E$8</f>
        <v>0.75</v>
      </c>
      <c r="D1836" s="14" t="str">
        <f>'Curvas SRY'!$B$14</f>
        <v>Uso variable</v>
      </c>
      <c r="E1836" s="14">
        <f>33</f>
        <v>33</v>
      </c>
      <c r="F1836" s="21">
        <f>'Hoja 4 - Cálculo'!A57</f>
        <v>30560</v>
      </c>
      <c r="G1836" s="15">
        <f>'Hoja 4 - Cálculo'!H57</f>
        <v>24.307874999999999</v>
      </c>
      <c r="H1836" s="15">
        <f>IF(D1836="Uso único",'Hoja 4 - Cálculo'!I57,IF(D1836="Uso múltiple",AVERAGE('Hoja 4 - Cálculo'!$I$25:$I$384)+AVERAGE('Hoja 4 - Cálculo'!$J$25:$J$384)+AVERAGE('Hoja 4 - Cálculo'!$K$25:$K$384),IF(D1836="Uso prioritario",'Hoja 4 - Cálculo'!I57+'Hoja 4 - Cálculo'!K57,'Hoja 4 - Cálculo'!I57+'Hoja 4 - Cálculo'!J57+'Hoja 4 - Cálculo'!K57)))</f>
        <v>11.5</v>
      </c>
      <c r="I1836" s="15">
        <f t="shared" si="408"/>
        <v>8.625</v>
      </c>
      <c r="J1836" s="15">
        <f t="shared" si="415"/>
        <v>15</v>
      </c>
      <c r="K1836" s="15">
        <f>MIN(J1836+G1836,(J1836+G1836)*'Hoja 4 - Cálculo'!$B$15)</f>
        <v>0.78615749999999995</v>
      </c>
      <c r="L1836" s="15">
        <f t="shared" si="409"/>
        <v>38.521717499999994</v>
      </c>
      <c r="M1836" s="15">
        <f t="shared" si="410"/>
        <v>8.625</v>
      </c>
      <c r="N1836" s="15">
        <f t="shared" si="411"/>
        <v>15</v>
      </c>
      <c r="O1836" s="15">
        <f t="shared" si="412"/>
        <v>14.896717499999994</v>
      </c>
      <c r="P1836" s="15">
        <f t="shared" si="413"/>
        <v>0</v>
      </c>
      <c r="Q1836" s="14" t="str">
        <f>IF(M1836&gt;=I1836*'Hoja 4 - Cálculo'!$B$16,"Satisfactorio","Falla")</f>
        <v>Satisfactorio</v>
      </c>
      <c r="R1836" s="14">
        <f t="shared" si="416"/>
        <v>0</v>
      </c>
      <c r="S1836" s="14">
        <f t="shared" si="417"/>
        <v>0</v>
      </c>
    </row>
    <row r="1837" spans="1:19">
      <c r="A1837" s="14" t="str">
        <f t="shared" si="418"/>
        <v>SRY-6-1</v>
      </c>
      <c r="B1837" s="15">
        <f>'Curvas SRY'!$B$13</f>
        <v>15</v>
      </c>
      <c r="C1837" s="15">
        <f>'Curvas SRY'!$E$8</f>
        <v>0.75</v>
      </c>
      <c r="D1837" s="14" t="str">
        <f>'Curvas SRY'!$B$14</f>
        <v>Uso variable</v>
      </c>
      <c r="E1837" s="14">
        <f>34</f>
        <v>34</v>
      </c>
      <c r="F1837" s="21">
        <f>'Hoja 4 - Cálculo'!A58</f>
        <v>30590</v>
      </c>
      <c r="G1837" s="15">
        <f>'Hoja 4 - Cálculo'!H58</f>
        <v>33.564374999999998</v>
      </c>
      <c r="H1837" s="15">
        <f>IF(D1837="Uso único",'Hoja 4 - Cálculo'!I58,IF(D1837="Uso múltiple",AVERAGE('Hoja 4 - Cálculo'!$I$25:$I$384)+AVERAGE('Hoja 4 - Cálculo'!$J$25:$J$384)+AVERAGE('Hoja 4 - Cálculo'!$K$25:$K$384),IF(D1837="Uso prioritario",'Hoja 4 - Cálculo'!I58+'Hoja 4 - Cálculo'!K58,'Hoja 4 - Cálculo'!I58+'Hoja 4 - Cálculo'!J58+'Hoja 4 - Cálculo'!K58)))</f>
        <v>11.5</v>
      </c>
      <c r="I1837" s="15">
        <f t="shared" si="408"/>
        <v>8.625</v>
      </c>
      <c r="J1837" s="15">
        <f t="shared" ref="J1837:J1868" si="419">N1836</f>
        <v>15</v>
      </c>
      <c r="K1837" s="15">
        <f>MIN(J1837+G1837,(J1837+G1837)*'Hoja 4 - Cálculo'!$B$15)</f>
        <v>0.97128749999999997</v>
      </c>
      <c r="L1837" s="15">
        <f t="shared" si="409"/>
        <v>47.593087499999996</v>
      </c>
      <c r="M1837" s="15">
        <f t="shared" si="410"/>
        <v>8.625</v>
      </c>
      <c r="N1837" s="15">
        <f t="shared" si="411"/>
        <v>15</v>
      </c>
      <c r="O1837" s="15">
        <f t="shared" si="412"/>
        <v>23.968087499999996</v>
      </c>
      <c r="P1837" s="15">
        <f t="shared" si="413"/>
        <v>0</v>
      </c>
      <c r="Q1837" s="14" t="str">
        <f>IF(M1837&gt;=I1837*'Hoja 4 - Cálculo'!$B$16,"Satisfactorio","Falla")</f>
        <v>Satisfactorio</v>
      </c>
      <c r="R1837" s="14">
        <f t="shared" ref="R1837:R1868" si="420">IF(AND(Q1836="Falla",Q1837="Satisfactorio"),1,0)</f>
        <v>0</v>
      </c>
      <c r="S1837" s="14">
        <f t="shared" ref="S1837:S1868" si="421">IF(AND(Q1837="Falla",Q1836&lt;&gt;"Falla"),1,0)</f>
        <v>0</v>
      </c>
    </row>
    <row r="1838" spans="1:19">
      <c r="A1838" s="14" t="str">
        <f t="shared" si="418"/>
        <v>SRY-6-1</v>
      </c>
      <c r="B1838" s="15">
        <f>'Curvas SRY'!$B$13</f>
        <v>15</v>
      </c>
      <c r="C1838" s="15">
        <f>'Curvas SRY'!$E$8</f>
        <v>0.75</v>
      </c>
      <c r="D1838" s="14" t="str">
        <f>'Curvas SRY'!$B$14</f>
        <v>Uso variable</v>
      </c>
      <c r="E1838" s="14">
        <f>35</f>
        <v>35</v>
      </c>
      <c r="F1838" s="21">
        <f>'Hoja 4 - Cálculo'!A59</f>
        <v>30621</v>
      </c>
      <c r="G1838" s="15">
        <f>'Hoja 4 - Cálculo'!H59</f>
        <v>28.075500000000002</v>
      </c>
      <c r="H1838" s="15">
        <f>IF(D1838="Uso único",'Hoja 4 - Cálculo'!I59,IF(D1838="Uso múltiple",AVERAGE('Hoja 4 - Cálculo'!$I$25:$I$384)+AVERAGE('Hoja 4 - Cálculo'!$J$25:$J$384)+AVERAGE('Hoja 4 - Cálculo'!$K$25:$K$384),IF(D1838="Uso prioritario",'Hoja 4 - Cálculo'!I59+'Hoja 4 - Cálculo'!K59,'Hoja 4 - Cálculo'!I59+'Hoja 4 - Cálculo'!J59+'Hoja 4 - Cálculo'!K59)))</f>
        <v>11.5</v>
      </c>
      <c r="I1838" s="15">
        <f t="shared" si="408"/>
        <v>8.625</v>
      </c>
      <c r="J1838" s="15">
        <f t="shared" si="419"/>
        <v>15</v>
      </c>
      <c r="K1838" s="15">
        <f>MIN(J1838+G1838,(J1838+G1838)*'Hoja 4 - Cálculo'!$B$15)</f>
        <v>0.86151000000000011</v>
      </c>
      <c r="L1838" s="15">
        <f t="shared" si="409"/>
        <v>42.213990000000003</v>
      </c>
      <c r="M1838" s="15">
        <f t="shared" si="410"/>
        <v>8.625</v>
      </c>
      <c r="N1838" s="15">
        <f t="shared" si="411"/>
        <v>15</v>
      </c>
      <c r="O1838" s="15">
        <f t="shared" si="412"/>
        <v>18.588990000000003</v>
      </c>
      <c r="P1838" s="15">
        <f t="shared" si="413"/>
        <v>0</v>
      </c>
      <c r="Q1838" s="14" t="str">
        <f>IF(M1838&gt;=I1838*'Hoja 4 - Cálculo'!$B$16,"Satisfactorio","Falla")</f>
        <v>Satisfactorio</v>
      </c>
      <c r="R1838" s="14">
        <f t="shared" si="420"/>
        <v>0</v>
      </c>
      <c r="S1838" s="14">
        <f t="shared" si="421"/>
        <v>0</v>
      </c>
    </row>
    <row r="1839" spans="1:19">
      <c r="A1839" s="14" t="str">
        <f t="shared" si="418"/>
        <v>SRY-6-1</v>
      </c>
      <c r="B1839" s="15">
        <f>'Curvas SRY'!$B$13</f>
        <v>15</v>
      </c>
      <c r="C1839" s="15">
        <f>'Curvas SRY'!$E$8</f>
        <v>0.75</v>
      </c>
      <c r="D1839" s="14" t="str">
        <f>'Curvas SRY'!$B$14</f>
        <v>Uso variable</v>
      </c>
      <c r="E1839" s="14">
        <f>36</f>
        <v>36</v>
      </c>
      <c r="F1839" s="21">
        <f>'Hoja 4 - Cálculo'!A60</f>
        <v>30651</v>
      </c>
      <c r="G1839" s="15">
        <f>'Hoja 4 - Cálculo'!H60</f>
        <v>15.931125</v>
      </c>
      <c r="H1839" s="15">
        <f>IF(D1839="Uso único",'Hoja 4 - Cálculo'!I60,IF(D1839="Uso múltiple",AVERAGE('Hoja 4 - Cálculo'!$I$25:$I$384)+AVERAGE('Hoja 4 - Cálculo'!$J$25:$J$384)+AVERAGE('Hoja 4 - Cálculo'!$K$25:$K$384),IF(D1839="Uso prioritario",'Hoja 4 - Cálculo'!I60+'Hoja 4 - Cálculo'!K60,'Hoja 4 - Cálculo'!I60+'Hoja 4 - Cálculo'!J60+'Hoja 4 - Cálculo'!K60)))</f>
        <v>16</v>
      </c>
      <c r="I1839" s="15">
        <f t="shared" si="408"/>
        <v>12</v>
      </c>
      <c r="J1839" s="15">
        <f t="shared" si="419"/>
        <v>15</v>
      </c>
      <c r="K1839" s="15">
        <f>MIN(J1839+G1839,(J1839+G1839)*'Hoja 4 - Cálculo'!$B$15)</f>
        <v>0.61862250000000008</v>
      </c>
      <c r="L1839" s="15">
        <f t="shared" si="409"/>
        <v>30.312502500000001</v>
      </c>
      <c r="M1839" s="15">
        <f t="shared" si="410"/>
        <v>12</v>
      </c>
      <c r="N1839" s="15">
        <f t="shared" si="411"/>
        <v>15</v>
      </c>
      <c r="O1839" s="15">
        <f t="shared" si="412"/>
        <v>3.3125025000000008</v>
      </c>
      <c r="P1839" s="15">
        <f t="shared" si="413"/>
        <v>0</v>
      </c>
      <c r="Q1839" s="14" t="str">
        <f>IF(M1839&gt;=I1839*'Hoja 4 - Cálculo'!$B$16,"Satisfactorio","Falla")</f>
        <v>Satisfactorio</v>
      </c>
      <c r="R1839" s="14">
        <f t="shared" si="420"/>
        <v>0</v>
      </c>
      <c r="S1839" s="14">
        <f t="shared" si="421"/>
        <v>0</v>
      </c>
    </row>
    <row r="1840" spans="1:19">
      <c r="A1840" s="14" t="str">
        <f t="shared" si="418"/>
        <v>SRY-6-1</v>
      </c>
      <c r="B1840" s="15">
        <f>'Curvas SRY'!$B$13</f>
        <v>15</v>
      </c>
      <c r="C1840" s="15">
        <f>'Curvas SRY'!$E$8</f>
        <v>0.75</v>
      </c>
      <c r="D1840" s="14" t="str">
        <f>'Curvas SRY'!$B$14</f>
        <v>Uso variable</v>
      </c>
      <c r="E1840" s="14">
        <f>37</f>
        <v>37</v>
      </c>
      <c r="F1840" s="21">
        <f>'Hoja 4 - Cálculo'!A61</f>
        <v>30682</v>
      </c>
      <c r="G1840" s="15">
        <f>'Hoja 4 - Cálculo'!H61</f>
        <v>10.920375</v>
      </c>
      <c r="H1840" s="15">
        <f>IF(D1840="Uso único",'Hoja 4 - Cálculo'!I61,IF(D1840="Uso múltiple",AVERAGE('Hoja 4 - Cálculo'!$I$25:$I$384)+AVERAGE('Hoja 4 - Cálculo'!$J$25:$J$384)+AVERAGE('Hoja 4 - Cálculo'!$K$25:$K$384),IF(D1840="Uso prioritario",'Hoja 4 - Cálculo'!I61+'Hoja 4 - Cálculo'!K61,'Hoja 4 - Cálculo'!I61+'Hoja 4 - Cálculo'!J61+'Hoja 4 - Cálculo'!K61)))</f>
        <v>16</v>
      </c>
      <c r="I1840" s="15">
        <f t="shared" si="408"/>
        <v>12</v>
      </c>
      <c r="J1840" s="15">
        <f t="shared" si="419"/>
        <v>15</v>
      </c>
      <c r="K1840" s="15">
        <f>MIN(J1840+G1840,(J1840+G1840)*'Hoja 4 - Cálculo'!$B$15)</f>
        <v>0.51840750000000002</v>
      </c>
      <c r="L1840" s="15">
        <f t="shared" si="409"/>
        <v>25.401967500000001</v>
      </c>
      <c r="M1840" s="15">
        <f t="shared" si="410"/>
        <v>12</v>
      </c>
      <c r="N1840" s="15">
        <f t="shared" si="411"/>
        <v>13.401967500000001</v>
      </c>
      <c r="O1840" s="15">
        <f t="shared" si="412"/>
        <v>0</v>
      </c>
      <c r="P1840" s="15">
        <f t="shared" si="413"/>
        <v>0</v>
      </c>
      <c r="Q1840" s="14" t="str">
        <f>IF(M1840&gt;=I1840*'Hoja 4 - Cálculo'!$B$16,"Satisfactorio","Falla")</f>
        <v>Satisfactorio</v>
      </c>
      <c r="R1840" s="14">
        <f t="shared" si="420"/>
        <v>0</v>
      </c>
      <c r="S1840" s="14">
        <f t="shared" si="421"/>
        <v>0</v>
      </c>
    </row>
    <row r="1841" spans="1:19">
      <c r="A1841" s="14" t="str">
        <f t="shared" si="418"/>
        <v>SRY-6-1</v>
      </c>
      <c r="B1841" s="15">
        <f>'Curvas SRY'!$B$13</f>
        <v>15</v>
      </c>
      <c r="C1841" s="15">
        <f>'Curvas SRY'!$E$8</f>
        <v>0.75</v>
      </c>
      <c r="D1841" s="14" t="str">
        <f>'Curvas SRY'!$B$14</f>
        <v>Uso variable</v>
      </c>
      <c r="E1841" s="14">
        <f>38</f>
        <v>38</v>
      </c>
      <c r="F1841" s="21">
        <f>'Hoja 4 - Cálculo'!A62</f>
        <v>30713</v>
      </c>
      <c r="G1841" s="15">
        <f>'Hoja 4 - Cálculo'!H62</f>
        <v>13.04325</v>
      </c>
      <c r="H1841" s="15">
        <f>IF(D1841="Uso único",'Hoja 4 - Cálculo'!I62,IF(D1841="Uso múltiple",AVERAGE('Hoja 4 - Cálculo'!$I$25:$I$384)+AVERAGE('Hoja 4 - Cálculo'!$J$25:$J$384)+AVERAGE('Hoja 4 - Cálculo'!$K$25:$K$384),IF(D1841="Uso prioritario",'Hoja 4 - Cálculo'!I62+'Hoja 4 - Cálculo'!K62,'Hoja 4 - Cálculo'!I62+'Hoja 4 - Cálculo'!J62+'Hoja 4 - Cálculo'!K62)))</f>
        <v>16</v>
      </c>
      <c r="I1841" s="15">
        <f t="shared" si="408"/>
        <v>12</v>
      </c>
      <c r="J1841" s="15">
        <f t="shared" si="419"/>
        <v>13.401967500000001</v>
      </c>
      <c r="K1841" s="15">
        <f>MIN(J1841+G1841,(J1841+G1841)*'Hoja 4 - Cálculo'!$B$15)</f>
        <v>0.52890435000000002</v>
      </c>
      <c r="L1841" s="15">
        <f t="shared" si="409"/>
        <v>25.916313150000001</v>
      </c>
      <c r="M1841" s="15">
        <f t="shared" si="410"/>
        <v>12</v>
      </c>
      <c r="N1841" s="15">
        <f t="shared" si="411"/>
        <v>13.916313150000001</v>
      </c>
      <c r="O1841" s="15">
        <f t="shared" si="412"/>
        <v>0</v>
      </c>
      <c r="P1841" s="15">
        <f t="shared" si="413"/>
        <v>0</v>
      </c>
      <c r="Q1841" s="14" t="str">
        <f>IF(M1841&gt;=I1841*'Hoja 4 - Cálculo'!$B$16,"Satisfactorio","Falla")</f>
        <v>Satisfactorio</v>
      </c>
      <c r="R1841" s="14">
        <f t="shared" si="420"/>
        <v>0</v>
      </c>
      <c r="S1841" s="14">
        <f t="shared" si="421"/>
        <v>0</v>
      </c>
    </row>
    <row r="1842" spans="1:19">
      <c r="A1842" s="14" t="str">
        <f t="shared" si="418"/>
        <v>SRY-6-1</v>
      </c>
      <c r="B1842" s="15">
        <f>'Curvas SRY'!$B$13</f>
        <v>15</v>
      </c>
      <c r="C1842" s="15">
        <f>'Curvas SRY'!$E$8</f>
        <v>0.75</v>
      </c>
      <c r="D1842" s="14" t="str">
        <f>'Curvas SRY'!$B$14</f>
        <v>Uso variable</v>
      </c>
      <c r="E1842" s="14">
        <f>39</f>
        <v>39</v>
      </c>
      <c r="F1842" s="21">
        <f>'Hoja 4 - Cálculo'!A63</f>
        <v>30742</v>
      </c>
      <c r="G1842" s="15">
        <f>'Hoja 4 - Cálculo'!H63</f>
        <v>20.272500000000001</v>
      </c>
      <c r="H1842" s="15">
        <f>IF(D1842="Uso único",'Hoja 4 - Cálculo'!I63,IF(D1842="Uso múltiple",AVERAGE('Hoja 4 - Cálculo'!$I$25:$I$384)+AVERAGE('Hoja 4 - Cálculo'!$J$25:$J$384)+AVERAGE('Hoja 4 - Cálculo'!$K$25:$K$384),IF(D1842="Uso prioritario",'Hoja 4 - Cálculo'!I63+'Hoja 4 - Cálculo'!K63,'Hoja 4 - Cálculo'!I63+'Hoja 4 - Cálculo'!J63+'Hoja 4 - Cálculo'!K63)))</f>
        <v>16</v>
      </c>
      <c r="I1842" s="15">
        <f t="shared" si="408"/>
        <v>12</v>
      </c>
      <c r="J1842" s="15">
        <f t="shared" si="419"/>
        <v>13.916313150000001</v>
      </c>
      <c r="K1842" s="15">
        <f>MIN(J1842+G1842,(J1842+G1842)*'Hoja 4 - Cálculo'!$B$15)</f>
        <v>0.68377626300000005</v>
      </c>
      <c r="L1842" s="15">
        <f t="shared" si="409"/>
        <v>33.505036887000003</v>
      </c>
      <c r="M1842" s="15">
        <f t="shared" si="410"/>
        <v>12</v>
      </c>
      <c r="N1842" s="15">
        <f t="shared" si="411"/>
        <v>15</v>
      </c>
      <c r="O1842" s="15">
        <f t="shared" si="412"/>
        <v>6.5050368870000028</v>
      </c>
      <c r="P1842" s="15">
        <f t="shared" si="413"/>
        <v>0</v>
      </c>
      <c r="Q1842" s="14" t="str">
        <f>IF(M1842&gt;=I1842*'Hoja 4 - Cálculo'!$B$16,"Satisfactorio","Falla")</f>
        <v>Satisfactorio</v>
      </c>
      <c r="R1842" s="14">
        <f t="shared" si="420"/>
        <v>0</v>
      </c>
      <c r="S1842" s="14">
        <f t="shared" si="421"/>
        <v>0</v>
      </c>
    </row>
    <row r="1843" spans="1:19">
      <c r="A1843" s="14" t="str">
        <f t="shared" si="418"/>
        <v>SRY-6-1</v>
      </c>
      <c r="B1843" s="15">
        <f>'Curvas SRY'!$B$13</f>
        <v>15</v>
      </c>
      <c r="C1843" s="15">
        <f>'Curvas SRY'!$E$8</f>
        <v>0.75</v>
      </c>
      <c r="D1843" s="14" t="str">
        <f>'Curvas SRY'!$B$14</f>
        <v>Uso variable</v>
      </c>
      <c r="E1843" s="14">
        <f>40</f>
        <v>40</v>
      </c>
      <c r="F1843" s="21">
        <f>'Hoja 4 - Cálculo'!A64</f>
        <v>30773</v>
      </c>
      <c r="G1843" s="15">
        <f>'Hoja 4 - Cálculo'!H64</f>
        <v>27.922499999999999</v>
      </c>
      <c r="H1843" s="15">
        <f>IF(D1843="Uso único",'Hoja 4 - Cálculo'!I64,IF(D1843="Uso múltiple",AVERAGE('Hoja 4 - Cálculo'!$I$25:$I$384)+AVERAGE('Hoja 4 - Cálculo'!$J$25:$J$384)+AVERAGE('Hoja 4 - Cálculo'!$K$25:$K$384),IF(D1843="Uso prioritario",'Hoja 4 - Cálculo'!I64+'Hoja 4 - Cálculo'!K64,'Hoja 4 - Cálculo'!I64+'Hoja 4 - Cálculo'!J64+'Hoja 4 - Cálculo'!K64)))</f>
        <v>11.5</v>
      </c>
      <c r="I1843" s="15">
        <f t="shared" si="408"/>
        <v>8.625</v>
      </c>
      <c r="J1843" s="15">
        <f t="shared" si="419"/>
        <v>15</v>
      </c>
      <c r="K1843" s="15">
        <f>MIN(J1843+G1843,(J1843+G1843)*'Hoja 4 - Cálculo'!$B$15)</f>
        <v>0.85845000000000005</v>
      </c>
      <c r="L1843" s="15">
        <f t="shared" si="409"/>
        <v>42.064050000000002</v>
      </c>
      <c r="M1843" s="15">
        <f t="shared" si="410"/>
        <v>8.625</v>
      </c>
      <c r="N1843" s="15">
        <f t="shared" si="411"/>
        <v>15</v>
      </c>
      <c r="O1843" s="15">
        <f t="shared" si="412"/>
        <v>18.439050000000002</v>
      </c>
      <c r="P1843" s="15">
        <f t="shared" si="413"/>
        <v>0</v>
      </c>
      <c r="Q1843" s="14" t="str">
        <f>IF(M1843&gt;=I1843*'Hoja 4 - Cálculo'!$B$16,"Satisfactorio","Falla")</f>
        <v>Satisfactorio</v>
      </c>
      <c r="R1843" s="14">
        <f t="shared" si="420"/>
        <v>0</v>
      </c>
      <c r="S1843" s="14">
        <f t="shared" si="421"/>
        <v>0</v>
      </c>
    </row>
    <row r="1844" spans="1:19">
      <c r="A1844" s="14" t="str">
        <f t="shared" si="418"/>
        <v>SRY-6-1</v>
      </c>
      <c r="B1844" s="15">
        <f>'Curvas SRY'!$B$13</f>
        <v>15</v>
      </c>
      <c r="C1844" s="15">
        <f>'Curvas SRY'!$E$8</f>
        <v>0.75</v>
      </c>
      <c r="D1844" s="14" t="str">
        <f>'Curvas SRY'!$B$14</f>
        <v>Uso variable</v>
      </c>
      <c r="E1844" s="14">
        <f>41</f>
        <v>41</v>
      </c>
      <c r="F1844" s="21">
        <f>'Hoja 4 - Cálculo'!A65</f>
        <v>30803</v>
      </c>
      <c r="G1844" s="15">
        <f>'Hoja 4 - Cálculo'!H65</f>
        <v>23.657624999999999</v>
      </c>
      <c r="H1844" s="15">
        <f>IF(D1844="Uso único",'Hoja 4 - Cálculo'!I65,IF(D1844="Uso múltiple",AVERAGE('Hoja 4 - Cálculo'!$I$25:$I$384)+AVERAGE('Hoja 4 - Cálculo'!$J$25:$J$384)+AVERAGE('Hoja 4 - Cálculo'!$K$25:$K$384),IF(D1844="Uso prioritario",'Hoja 4 - Cálculo'!I65+'Hoja 4 - Cálculo'!K65,'Hoja 4 - Cálculo'!I65+'Hoja 4 - Cálculo'!J65+'Hoja 4 - Cálculo'!K65)))</f>
        <v>11.5</v>
      </c>
      <c r="I1844" s="15">
        <f t="shared" si="408"/>
        <v>8.625</v>
      </c>
      <c r="J1844" s="15">
        <f t="shared" si="419"/>
        <v>15</v>
      </c>
      <c r="K1844" s="15">
        <f>MIN(J1844+G1844,(J1844+G1844)*'Hoja 4 - Cálculo'!$B$15)</f>
        <v>0.77315249999999991</v>
      </c>
      <c r="L1844" s="15">
        <f t="shared" si="409"/>
        <v>37.884472499999994</v>
      </c>
      <c r="M1844" s="15">
        <f t="shared" si="410"/>
        <v>8.625</v>
      </c>
      <c r="N1844" s="15">
        <f t="shared" si="411"/>
        <v>15</v>
      </c>
      <c r="O1844" s="15">
        <f t="shared" si="412"/>
        <v>14.259472499999994</v>
      </c>
      <c r="P1844" s="15">
        <f t="shared" si="413"/>
        <v>0</v>
      </c>
      <c r="Q1844" s="14" t="str">
        <f>IF(M1844&gt;=I1844*'Hoja 4 - Cálculo'!$B$16,"Satisfactorio","Falla")</f>
        <v>Satisfactorio</v>
      </c>
      <c r="R1844" s="14">
        <f t="shared" si="420"/>
        <v>0</v>
      </c>
      <c r="S1844" s="14">
        <f t="shared" si="421"/>
        <v>0</v>
      </c>
    </row>
    <row r="1845" spans="1:19">
      <c r="A1845" s="14" t="str">
        <f t="shared" si="418"/>
        <v>SRY-6-1</v>
      </c>
      <c r="B1845" s="15">
        <f>'Curvas SRY'!$B$13</f>
        <v>15</v>
      </c>
      <c r="C1845" s="15">
        <f>'Curvas SRY'!$E$8</f>
        <v>0.75</v>
      </c>
      <c r="D1845" s="14" t="str">
        <f>'Curvas SRY'!$B$14</f>
        <v>Uso variable</v>
      </c>
      <c r="E1845" s="14">
        <f>42</f>
        <v>42</v>
      </c>
      <c r="F1845" s="21">
        <f>'Hoja 4 - Cálculo'!A66</f>
        <v>30834</v>
      </c>
      <c r="G1845" s="15">
        <f>'Hoja 4 - Cálculo'!H66</f>
        <v>14.554125000000001</v>
      </c>
      <c r="H1845" s="15">
        <f>IF(D1845="Uso único",'Hoja 4 - Cálculo'!I66,IF(D1845="Uso múltiple",AVERAGE('Hoja 4 - Cálculo'!$I$25:$I$384)+AVERAGE('Hoja 4 - Cálculo'!$J$25:$J$384)+AVERAGE('Hoja 4 - Cálculo'!$K$25:$K$384),IF(D1845="Uso prioritario",'Hoja 4 - Cálculo'!I66+'Hoja 4 - Cálculo'!K66,'Hoja 4 - Cálculo'!I66+'Hoja 4 - Cálculo'!J66+'Hoja 4 - Cálculo'!K66)))</f>
        <v>11.5</v>
      </c>
      <c r="I1845" s="15">
        <f t="shared" si="408"/>
        <v>8.625</v>
      </c>
      <c r="J1845" s="15">
        <f t="shared" si="419"/>
        <v>15</v>
      </c>
      <c r="K1845" s="15">
        <f>MIN(J1845+G1845,(J1845+G1845)*'Hoja 4 - Cálculo'!$B$15)</f>
        <v>0.59108249999999996</v>
      </c>
      <c r="L1845" s="15">
        <f t="shared" si="409"/>
        <v>28.9630425</v>
      </c>
      <c r="M1845" s="15">
        <f t="shared" si="410"/>
        <v>8.625</v>
      </c>
      <c r="N1845" s="15">
        <f t="shared" si="411"/>
        <v>15</v>
      </c>
      <c r="O1845" s="15">
        <f t="shared" si="412"/>
        <v>5.3380425000000002</v>
      </c>
      <c r="P1845" s="15">
        <f t="shared" si="413"/>
        <v>0</v>
      </c>
      <c r="Q1845" s="14" t="str">
        <f>IF(M1845&gt;=I1845*'Hoja 4 - Cálculo'!$B$16,"Satisfactorio","Falla")</f>
        <v>Satisfactorio</v>
      </c>
      <c r="R1845" s="14">
        <f t="shared" si="420"/>
        <v>0</v>
      </c>
      <c r="S1845" s="14">
        <f t="shared" si="421"/>
        <v>0</v>
      </c>
    </row>
    <row r="1846" spans="1:19">
      <c r="A1846" s="14" t="str">
        <f t="shared" si="418"/>
        <v>SRY-6-1</v>
      </c>
      <c r="B1846" s="15">
        <f>'Curvas SRY'!$B$13</f>
        <v>15</v>
      </c>
      <c r="C1846" s="15">
        <f>'Curvas SRY'!$E$8</f>
        <v>0.75</v>
      </c>
      <c r="D1846" s="14" t="str">
        <f>'Curvas SRY'!$B$14</f>
        <v>Uso variable</v>
      </c>
      <c r="E1846" s="14">
        <f>43</f>
        <v>43</v>
      </c>
      <c r="F1846" s="21">
        <f>'Hoja 4 - Cálculo'!A67</f>
        <v>30864</v>
      </c>
      <c r="G1846" s="15">
        <f>'Hoja 4 - Cálculo'!H67</f>
        <v>12.794625</v>
      </c>
      <c r="H1846" s="15">
        <f>IF(D1846="Uso único",'Hoja 4 - Cálculo'!I67,IF(D1846="Uso múltiple",AVERAGE('Hoja 4 - Cálculo'!$I$25:$I$384)+AVERAGE('Hoja 4 - Cálculo'!$J$25:$J$384)+AVERAGE('Hoja 4 - Cálculo'!$K$25:$K$384),IF(D1846="Uso prioritario",'Hoja 4 - Cálculo'!I67+'Hoja 4 - Cálculo'!K67,'Hoja 4 - Cálculo'!I67+'Hoja 4 - Cálculo'!J67+'Hoja 4 - Cálculo'!K67)))</f>
        <v>16</v>
      </c>
      <c r="I1846" s="15">
        <f t="shared" si="408"/>
        <v>12</v>
      </c>
      <c r="J1846" s="15">
        <f t="shared" si="419"/>
        <v>15</v>
      </c>
      <c r="K1846" s="15">
        <f>MIN(J1846+G1846,(J1846+G1846)*'Hoja 4 - Cálculo'!$B$15)</f>
        <v>0.55589250000000001</v>
      </c>
      <c r="L1846" s="15">
        <f t="shared" si="409"/>
        <v>27.238732500000001</v>
      </c>
      <c r="M1846" s="15">
        <f t="shared" si="410"/>
        <v>12</v>
      </c>
      <c r="N1846" s="15">
        <f t="shared" si="411"/>
        <v>15</v>
      </c>
      <c r="O1846" s="15">
        <f t="shared" si="412"/>
        <v>0.23873250000000112</v>
      </c>
      <c r="P1846" s="15">
        <f t="shared" si="413"/>
        <v>0</v>
      </c>
      <c r="Q1846" s="14" t="str">
        <f>IF(M1846&gt;=I1846*'Hoja 4 - Cálculo'!$B$16,"Satisfactorio","Falla")</f>
        <v>Satisfactorio</v>
      </c>
      <c r="R1846" s="14">
        <f t="shared" si="420"/>
        <v>0</v>
      </c>
      <c r="S1846" s="14">
        <f t="shared" si="421"/>
        <v>0</v>
      </c>
    </row>
    <row r="1847" spans="1:19">
      <c r="A1847" s="14" t="str">
        <f t="shared" si="418"/>
        <v>SRY-6-1</v>
      </c>
      <c r="B1847" s="15">
        <f>'Curvas SRY'!$B$13</f>
        <v>15</v>
      </c>
      <c r="C1847" s="15">
        <f>'Curvas SRY'!$E$8</f>
        <v>0.75</v>
      </c>
      <c r="D1847" s="14" t="str">
        <f>'Curvas SRY'!$B$14</f>
        <v>Uso variable</v>
      </c>
      <c r="E1847" s="14">
        <f>44</f>
        <v>44</v>
      </c>
      <c r="F1847" s="21">
        <f>'Hoja 4 - Cálculo'!A68</f>
        <v>30895</v>
      </c>
      <c r="G1847" s="15">
        <f>'Hoja 4 - Cálculo'!H68</f>
        <v>13.6935</v>
      </c>
      <c r="H1847" s="15">
        <f>IF(D1847="Uso único",'Hoja 4 - Cálculo'!I68,IF(D1847="Uso múltiple",AVERAGE('Hoja 4 - Cálculo'!$I$25:$I$384)+AVERAGE('Hoja 4 - Cálculo'!$J$25:$J$384)+AVERAGE('Hoja 4 - Cálculo'!$K$25:$K$384),IF(D1847="Uso prioritario",'Hoja 4 - Cálculo'!I68+'Hoja 4 - Cálculo'!K68,'Hoja 4 - Cálculo'!I68+'Hoja 4 - Cálculo'!J68+'Hoja 4 - Cálculo'!K68)))</f>
        <v>16</v>
      </c>
      <c r="I1847" s="15">
        <f t="shared" si="408"/>
        <v>12</v>
      </c>
      <c r="J1847" s="15">
        <f t="shared" si="419"/>
        <v>15</v>
      </c>
      <c r="K1847" s="15">
        <f>MIN(J1847+G1847,(J1847+G1847)*'Hoja 4 - Cálculo'!$B$15)</f>
        <v>0.57386999999999999</v>
      </c>
      <c r="L1847" s="15">
        <f t="shared" si="409"/>
        <v>28.119630000000001</v>
      </c>
      <c r="M1847" s="15">
        <f t="shared" si="410"/>
        <v>12</v>
      </c>
      <c r="N1847" s="15">
        <f t="shared" si="411"/>
        <v>15</v>
      </c>
      <c r="O1847" s="15">
        <f t="shared" si="412"/>
        <v>1.1196300000000008</v>
      </c>
      <c r="P1847" s="15">
        <f t="shared" si="413"/>
        <v>0</v>
      </c>
      <c r="Q1847" s="14" t="str">
        <f>IF(M1847&gt;=I1847*'Hoja 4 - Cálculo'!$B$16,"Satisfactorio","Falla")</f>
        <v>Satisfactorio</v>
      </c>
      <c r="R1847" s="14">
        <f t="shared" si="420"/>
        <v>0</v>
      </c>
      <c r="S1847" s="14">
        <f t="shared" si="421"/>
        <v>0</v>
      </c>
    </row>
    <row r="1848" spans="1:19">
      <c r="A1848" s="14" t="str">
        <f t="shared" si="418"/>
        <v>SRY-6-1</v>
      </c>
      <c r="B1848" s="15">
        <f>'Curvas SRY'!$B$13</f>
        <v>15</v>
      </c>
      <c r="C1848" s="15">
        <f>'Curvas SRY'!$E$8</f>
        <v>0.75</v>
      </c>
      <c r="D1848" s="14" t="str">
        <f>'Curvas SRY'!$B$14</f>
        <v>Uso variable</v>
      </c>
      <c r="E1848" s="14">
        <f>45</f>
        <v>45</v>
      </c>
      <c r="F1848" s="21">
        <f>'Hoja 4 - Cálculo'!A69</f>
        <v>30926</v>
      </c>
      <c r="G1848" s="15">
        <f>'Hoja 4 - Cálculo'!H69</f>
        <v>20.521125000000001</v>
      </c>
      <c r="H1848" s="15">
        <f>IF(D1848="Uso único",'Hoja 4 - Cálculo'!I69,IF(D1848="Uso múltiple",AVERAGE('Hoja 4 - Cálculo'!$I$25:$I$384)+AVERAGE('Hoja 4 - Cálculo'!$J$25:$J$384)+AVERAGE('Hoja 4 - Cálculo'!$K$25:$K$384),IF(D1848="Uso prioritario",'Hoja 4 - Cálculo'!I69+'Hoja 4 - Cálculo'!K69,'Hoja 4 - Cálculo'!I69+'Hoja 4 - Cálculo'!J69+'Hoja 4 - Cálculo'!K69)))</f>
        <v>11.5</v>
      </c>
      <c r="I1848" s="15">
        <f t="shared" si="408"/>
        <v>8.625</v>
      </c>
      <c r="J1848" s="15">
        <f t="shared" si="419"/>
        <v>15</v>
      </c>
      <c r="K1848" s="15">
        <f>MIN(J1848+G1848,(J1848+G1848)*'Hoja 4 - Cálculo'!$B$15)</f>
        <v>0.71042249999999996</v>
      </c>
      <c r="L1848" s="15">
        <f t="shared" si="409"/>
        <v>34.810702499999998</v>
      </c>
      <c r="M1848" s="15">
        <f t="shared" si="410"/>
        <v>8.625</v>
      </c>
      <c r="N1848" s="15">
        <f t="shared" si="411"/>
        <v>15</v>
      </c>
      <c r="O1848" s="15">
        <f t="shared" si="412"/>
        <v>11.185702499999998</v>
      </c>
      <c r="P1848" s="15">
        <f t="shared" si="413"/>
        <v>0</v>
      </c>
      <c r="Q1848" s="14" t="str">
        <f>IF(M1848&gt;=I1848*'Hoja 4 - Cálculo'!$B$16,"Satisfactorio","Falla")</f>
        <v>Satisfactorio</v>
      </c>
      <c r="R1848" s="14">
        <f t="shared" si="420"/>
        <v>0</v>
      </c>
      <c r="S1848" s="14">
        <f t="shared" si="421"/>
        <v>0</v>
      </c>
    </row>
    <row r="1849" spans="1:19">
      <c r="A1849" s="14" t="str">
        <f t="shared" si="418"/>
        <v>SRY-6-1</v>
      </c>
      <c r="B1849" s="15">
        <f>'Curvas SRY'!$B$13</f>
        <v>15</v>
      </c>
      <c r="C1849" s="15">
        <f>'Curvas SRY'!$E$8</f>
        <v>0.75</v>
      </c>
      <c r="D1849" s="14" t="str">
        <f>'Curvas SRY'!$B$14</f>
        <v>Uso variable</v>
      </c>
      <c r="E1849" s="14">
        <f>46</f>
        <v>46</v>
      </c>
      <c r="F1849" s="21">
        <f>'Hoja 4 - Cálculo'!A70</f>
        <v>30956</v>
      </c>
      <c r="G1849" s="15">
        <f>'Hoja 4 - Cálculo'!H70</f>
        <v>27.061875000000001</v>
      </c>
      <c r="H1849" s="15">
        <f>IF(D1849="Uso único",'Hoja 4 - Cálculo'!I70,IF(D1849="Uso múltiple",AVERAGE('Hoja 4 - Cálculo'!$I$25:$I$384)+AVERAGE('Hoja 4 - Cálculo'!$J$25:$J$384)+AVERAGE('Hoja 4 - Cálculo'!$K$25:$K$384),IF(D1849="Uso prioritario",'Hoja 4 - Cálculo'!I70+'Hoja 4 - Cálculo'!K70,'Hoja 4 - Cálculo'!I70+'Hoja 4 - Cálculo'!J70+'Hoja 4 - Cálculo'!K70)))</f>
        <v>11.5</v>
      </c>
      <c r="I1849" s="15">
        <f t="shared" si="408"/>
        <v>8.625</v>
      </c>
      <c r="J1849" s="15">
        <f t="shared" si="419"/>
        <v>15</v>
      </c>
      <c r="K1849" s="15">
        <f>MIN(J1849+G1849,(J1849+G1849)*'Hoja 4 - Cálculo'!$B$15)</f>
        <v>0.84123750000000008</v>
      </c>
      <c r="L1849" s="15">
        <f t="shared" si="409"/>
        <v>41.220637500000002</v>
      </c>
      <c r="M1849" s="15">
        <f t="shared" si="410"/>
        <v>8.625</v>
      </c>
      <c r="N1849" s="15">
        <f t="shared" si="411"/>
        <v>15</v>
      </c>
      <c r="O1849" s="15">
        <f t="shared" si="412"/>
        <v>17.595637500000002</v>
      </c>
      <c r="P1849" s="15">
        <f t="shared" si="413"/>
        <v>0</v>
      </c>
      <c r="Q1849" s="14" t="str">
        <f>IF(M1849&gt;=I1849*'Hoja 4 - Cálculo'!$B$16,"Satisfactorio","Falla")</f>
        <v>Satisfactorio</v>
      </c>
      <c r="R1849" s="14">
        <f t="shared" si="420"/>
        <v>0</v>
      </c>
      <c r="S1849" s="14">
        <f t="shared" si="421"/>
        <v>0</v>
      </c>
    </row>
    <row r="1850" spans="1:19">
      <c r="A1850" s="14" t="str">
        <f t="shared" si="418"/>
        <v>SRY-6-1</v>
      </c>
      <c r="B1850" s="15">
        <f>'Curvas SRY'!$B$13</f>
        <v>15</v>
      </c>
      <c r="C1850" s="15">
        <f>'Curvas SRY'!$E$8</f>
        <v>0.75</v>
      </c>
      <c r="D1850" s="14" t="str">
        <f>'Curvas SRY'!$B$14</f>
        <v>Uso variable</v>
      </c>
      <c r="E1850" s="14">
        <f>47</f>
        <v>47</v>
      </c>
      <c r="F1850" s="21">
        <f>'Hoja 4 - Cálculo'!A71</f>
        <v>30987</v>
      </c>
      <c r="G1850" s="15">
        <f>'Hoja 4 - Cálculo'!H71</f>
        <v>24.346125000000001</v>
      </c>
      <c r="H1850" s="15">
        <f>IF(D1850="Uso único",'Hoja 4 - Cálculo'!I71,IF(D1850="Uso múltiple",AVERAGE('Hoja 4 - Cálculo'!$I$25:$I$384)+AVERAGE('Hoja 4 - Cálculo'!$J$25:$J$384)+AVERAGE('Hoja 4 - Cálculo'!$K$25:$K$384),IF(D1850="Uso prioritario",'Hoja 4 - Cálculo'!I71+'Hoja 4 - Cálculo'!K71,'Hoja 4 - Cálculo'!I71+'Hoja 4 - Cálculo'!J71+'Hoja 4 - Cálculo'!K71)))</f>
        <v>11.5</v>
      </c>
      <c r="I1850" s="15">
        <f t="shared" si="408"/>
        <v>8.625</v>
      </c>
      <c r="J1850" s="15">
        <f t="shared" si="419"/>
        <v>15</v>
      </c>
      <c r="K1850" s="15">
        <f>MIN(J1850+G1850,(J1850+G1850)*'Hoja 4 - Cálculo'!$B$15)</f>
        <v>0.78692250000000008</v>
      </c>
      <c r="L1850" s="15">
        <f t="shared" si="409"/>
        <v>38.559202499999998</v>
      </c>
      <c r="M1850" s="15">
        <f t="shared" si="410"/>
        <v>8.625</v>
      </c>
      <c r="N1850" s="15">
        <f t="shared" si="411"/>
        <v>15</v>
      </c>
      <c r="O1850" s="15">
        <f t="shared" si="412"/>
        <v>14.934202499999998</v>
      </c>
      <c r="P1850" s="15">
        <f t="shared" si="413"/>
        <v>0</v>
      </c>
      <c r="Q1850" s="14" t="str">
        <f>IF(M1850&gt;=I1850*'Hoja 4 - Cálculo'!$B$16,"Satisfactorio","Falla")</f>
        <v>Satisfactorio</v>
      </c>
      <c r="R1850" s="14">
        <f t="shared" si="420"/>
        <v>0</v>
      </c>
      <c r="S1850" s="14">
        <f t="shared" si="421"/>
        <v>0</v>
      </c>
    </row>
    <row r="1851" spans="1:19">
      <c r="A1851" s="14" t="str">
        <f t="shared" si="418"/>
        <v>SRY-6-1</v>
      </c>
      <c r="B1851" s="15">
        <f>'Curvas SRY'!$B$13</f>
        <v>15</v>
      </c>
      <c r="C1851" s="15">
        <f>'Curvas SRY'!$E$8</f>
        <v>0.75</v>
      </c>
      <c r="D1851" s="14" t="str">
        <f>'Curvas SRY'!$B$14</f>
        <v>Uso variable</v>
      </c>
      <c r="E1851" s="14">
        <f>48</f>
        <v>48</v>
      </c>
      <c r="F1851" s="21">
        <f>'Hoja 4 - Cálculo'!A72</f>
        <v>31017</v>
      </c>
      <c r="G1851" s="15">
        <f>'Hoja 4 - Cálculo'!H72</f>
        <v>14.745374999999999</v>
      </c>
      <c r="H1851" s="15">
        <f>IF(D1851="Uso único",'Hoja 4 - Cálculo'!I72,IF(D1851="Uso múltiple",AVERAGE('Hoja 4 - Cálculo'!$I$25:$I$384)+AVERAGE('Hoja 4 - Cálculo'!$J$25:$J$384)+AVERAGE('Hoja 4 - Cálculo'!$K$25:$K$384),IF(D1851="Uso prioritario",'Hoja 4 - Cálculo'!I72+'Hoja 4 - Cálculo'!K72,'Hoja 4 - Cálculo'!I72+'Hoja 4 - Cálculo'!J72+'Hoja 4 - Cálculo'!K72)))</f>
        <v>16</v>
      </c>
      <c r="I1851" s="15">
        <f t="shared" si="408"/>
        <v>12</v>
      </c>
      <c r="J1851" s="15">
        <f t="shared" si="419"/>
        <v>15</v>
      </c>
      <c r="K1851" s="15">
        <f>MIN(J1851+G1851,(J1851+G1851)*'Hoja 4 - Cálculo'!$B$15)</f>
        <v>0.59490750000000003</v>
      </c>
      <c r="L1851" s="15">
        <f t="shared" si="409"/>
        <v>29.150467499999998</v>
      </c>
      <c r="M1851" s="15">
        <f t="shared" si="410"/>
        <v>12</v>
      </c>
      <c r="N1851" s="15">
        <f t="shared" si="411"/>
        <v>15</v>
      </c>
      <c r="O1851" s="15">
        <f t="shared" si="412"/>
        <v>2.1504674999999978</v>
      </c>
      <c r="P1851" s="15">
        <f t="shared" si="413"/>
        <v>0</v>
      </c>
      <c r="Q1851" s="14" t="str">
        <f>IF(M1851&gt;=I1851*'Hoja 4 - Cálculo'!$B$16,"Satisfactorio","Falla")</f>
        <v>Satisfactorio</v>
      </c>
      <c r="R1851" s="14">
        <f t="shared" si="420"/>
        <v>0</v>
      </c>
      <c r="S1851" s="14">
        <f t="shared" si="421"/>
        <v>0</v>
      </c>
    </row>
    <row r="1852" spans="1:19">
      <c r="A1852" s="14" t="str">
        <f t="shared" si="418"/>
        <v>SRY-6-1</v>
      </c>
      <c r="B1852" s="15">
        <f>'Curvas SRY'!$B$13</f>
        <v>15</v>
      </c>
      <c r="C1852" s="15">
        <f>'Curvas SRY'!$E$8</f>
        <v>0.75</v>
      </c>
      <c r="D1852" s="14" t="str">
        <f>'Curvas SRY'!$B$14</f>
        <v>Uso variable</v>
      </c>
      <c r="E1852" s="14">
        <f>49</f>
        <v>49</v>
      </c>
      <c r="F1852" s="21">
        <f>'Hoja 4 - Cálculo'!A73</f>
        <v>31048</v>
      </c>
      <c r="G1852" s="15">
        <f>'Hoja 4 - Cálculo'!H73</f>
        <v>10.767374999999999</v>
      </c>
      <c r="H1852" s="15">
        <f>IF(D1852="Uso único",'Hoja 4 - Cálculo'!I73,IF(D1852="Uso múltiple",AVERAGE('Hoja 4 - Cálculo'!$I$25:$I$384)+AVERAGE('Hoja 4 - Cálculo'!$J$25:$J$384)+AVERAGE('Hoja 4 - Cálculo'!$K$25:$K$384),IF(D1852="Uso prioritario",'Hoja 4 - Cálculo'!I73+'Hoja 4 - Cálculo'!K73,'Hoja 4 - Cálculo'!I73+'Hoja 4 - Cálculo'!J73+'Hoja 4 - Cálculo'!K73)))</f>
        <v>16</v>
      </c>
      <c r="I1852" s="15">
        <f t="shared" si="408"/>
        <v>12</v>
      </c>
      <c r="J1852" s="15">
        <f t="shared" si="419"/>
        <v>15</v>
      </c>
      <c r="K1852" s="15">
        <f>MIN(J1852+G1852,(J1852+G1852)*'Hoja 4 - Cálculo'!$B$15)</f>
        <v>0.51534750000000007</v>
      </c>
      <c r="L1852" s="15">
        <f t="shared" si="409"/>
        <v>25.252027500000001</v>
      </c>
      <c r="M1852" s="15">
        <f t="shared" si="410"/>
        <v>12</v>
      </c>
      <c r="N1852" s="15">
        <f t="shared" si="411"/>
        <v>13.252027500000001</v>
      </c>
      <c r="O1852" s="15">
        <f t="shared" si="412"/>
        <v>0</v>
      </c>
      <c r="P1852" s="15">
        <f t="shared" si="413"/>
        <v>0</v>
      </c>
      <c r="Q1852" s="14" t="str">
        <f>IF(M1852&gt;=I1852*'Hoja 4 - Cálculo'!$B$16,"Satisfactorio","Falla")</f>
        <v>Satisfactorio</v>
      </c>
      <c r="R1852" s="14">
        <f t="shared" si="420"/>
        <v>0</v>
      </c>
      <c r="S1852" s="14">
        <f t="shared" si="421"/>
        <v>0</v>
      </c>
    </row>
    <row r="1853" spans="1:19">
      <c r="A1853" s="14" t="str">
        <f t="shared" si="418"/>
        <v>SRY-6-1</v>
      </c>
      <c r="B1853" s="15">
        <f>'Curvas SRY'!$B$13</f>
        <v>15</v>
      </c>
      <c r="C1853" s="15">
        <f>'Curvas SRY'!$E$8</f>
        <v>0.75</v>
      </c>
      <c r="D1853" s="14" t="str">
        <f>'Curvas SRY'!$B$14</f>
        <v>Uso variable</v>
      </c>
      <c r="E1853" s="14">
        <f>50</f>
        <v>50</v>
      </c>
      <c r="F1853" s="21">
        <f>'Hoja 4 - Cálculo'!A74</f>
        <v>31079</v>
      </c>
      <c r="G1853" s="15">
        <f>'Hoja 4 - Cálculo'!H74</f>
        <v>13.464</v>
      </c>
      <c r="H1853" s="15">
        <f>IF(D1853="Uso único",'Hoja 4 - Cálculo'!I74,IF(D1853="Uso múltiple",AVERAGE('Hoja 4 - Cálculo'!$I$25:$I$384)+AVERAGE('Hoja 4 - Cálculo'!$J$25:$J$384)+AVERAGE('Hoja 4 - Cálculo'!$K$25:$K$384),IF(D1853="Uso prioritario",'Hoja 4 - Cálculo'!I74+'Hoja 4 - Cálculo'!K74,'Hoja 4 - Cálculo'!I74+'Hoja 4 - Cálculo'!J74+'Hoja 4 - Cálculo'!K74)))</f>
        <v>16</v>
      </c>
      <c r="I1853" s="15">
        <f t="shared" si="408"/>
        <v>12</v>
      </c>
      <c r="J1853" s="15">
        <f t="shared" si="419"/>
        <v>13.252027500000001</v>
      </c>
      <c r="K1853" s="15">
        <f>MIN(J1853+G1853,(J1853+G1853)*'Hoja 4 - Cálculo'!$B$15)</f>
        <v>0.53432055000000012</v>
      </c>
      <c r="L1853" s="15">
        <f t="shared" si="409"/>
        <v>26.181706950000002</v>
      </c>
      <c r="M1853" s="15">
        <f t="shared" si="410"/>
        <v>12</v>
      </c>
      <c r="N1853" s="15">
        <f t="shared" si="411"/>
        <v>14.181706950000002</v>
      </c>
      <c r="O1853" s="15">
        <f t="shared" si="412"/>
        <v>0</v>
      </c>
      <c r="P1853" s="15">
        <f t="shared" si="413"/>
        <v>0</v>
      </c>
      <c r="Q1853" s="14" t="str">
        <f>IF(M1853&gt;=I1853*'Hoja 4 - Cálculo'!$B$16,"Satisfactorio","Falla")</f>
        <v>Satisfactorio</v>
      </c>
      <c r="R1853" s="14">
        <f t="shared" si="420"/>
        <v>0</v>
      </c>
      <c r="S1853" s="14">
        <f t="shared" si="421"/>
        <v>0</v>
      </c>
    </row>
    <row r="1854" spans="1:19">
      <c r="A1854" s="14" t="str">
        <f t="shared" si="418"/>
        <v>SRY-6-1</v>
      </c>
      <c r="B1854" s="15">
        <f>'Curvas SRY'!$B$13</f>
        <v>15</v>
      </c>
      <c r="C1854" s="15">
        <f>'Curvas SRY'!$E$8</f>
        <v>0.75</v>
      </c>
      <c r="D1854" s="14" t="str">
        <f>'Curvas SRY'!$B$14</f>
        <v>Uso variable</v>
      </c>
      <c r="E1854" s="14">
        <f>51</f>
        <v>51</v>
      </c>
      <c r="F1854" s="21">
        <f>'Hoja 4 - Cálculo'!A75</f>
        <v>31107</v>
      </c>
      <c r="G1854" s="15">
        <f>'Hoja 4 - Cálculo'!H75</f>
        <v>19.450125</v>
      </c>
      <c r="H1854" s="15">
        <f>IF(D1854="Uso único",'Hoja 4 - Cálculo'!I75,IF(D1854="Uso múltiple",AVERAGE('Hoja 4 - Cálculo'!$I$25:$I$384)+AVERAGE('Hoja 4 - Cálculo'!$J$25:$J$384)+AVERAGE('Hoja 4 - Cálculo'!$K$25:$K$384),IF(D1854="Uso prioritario",'Hoja 4 - Cálculo'!I75+'Hoja 4 - Cálculo'!K75,'Hoja 4 - Cálculo'!I75+'Hoja 4 - Cálculo'!J75+'Hoja 4 - Cálculo'!K75)))</f>
        <v>16</v>
      </c>
      <c r="I1854" s="15">
        <f t="shared" si="408"/>
        <v>12</v>
      </c>
      <c r="J1854" s="15">
        <f t="shared" si="419"/>
        <v>14.181706950000002</v>
      </c>
      <c r="K1854" s="15">
        <f>MIN(J1854+G1854,(J1854+G1854)*'Hoja 4 - Cálculo'!$B$15)</f>
        <v>0.67263663900000015</v>
      </c>
      <c r="L1854" s="15">
        <f t="shared" si="409"/>
        <v>32.959195311000009</v>
      </c>
      <c r="M1854" s="15">
        <f t="shared" si="410"/>
        <v>12</v>
      </c>
      <c r="N1854" s="15">
        <f t="shared" si="411"/>
        <v>15</v>
      </c>
      <c r="O1854" s="15">
        <f t="shared" si="412"/>
        <v>5.9591953110000091</v>
      </c>
      <c r="P1854" s="15">
        <f t="shared" si="413"/>
        <v>0</v>
      </c>
      <c r="Q1854" s="14" t="str">
        <f>IF(M1854&gt;=I1854*'Hoja 4 - Cálculo'!$B$16,"Satisfactorio","Falla")</f>
        <v>Satisfactorio</v>
      </c>
      <c r="R1854" s="14">
        <f t="shared" si="420"/>
        <v>0</v>
      </c>
      <c r="S1854" s="14">
        <f t="shared" si="421"/>
        <v>0</v>
      </c>
    </row>
    <row r="1855" spans="1:19">
      <c r="A1855" s="14" t="str">
        <f t="shared" si="418"/>
        <v>SRY-6-1</v>
      </c>
      <c r="B1855" s="15">
        <f>'Curvas SRY'!$B$13</f>
        <v>15</v>
      </c>
      <c r="C1855" s="15">
        <f>'Curvas SRY'!$E$8</f>
        <v>0.75</v>
      </c>
      <c r="D1855" s="14" t="str">
        <f>'Curvas SRY'!$B$14</f>
        <v>Uso variable</v>
      </c>
      <c r="E1855" s="14">
        <f>52</f>
        <v>52</v>
      </c>
      <c r="F1855" s="21">
        <f>'Hoja 4 - Cálculo'!A76</f>
        <v>31138</v>
      </c>
      <c r="G1855" s="15">
        <f>'Hoja 4 - Cálculo'!H76</f>
        <v>25.51275</v>
      </c>
      <c r="H1855" s="15">
        <f>IF(D1855="Uso único",'Hoja 4 - Cálculo'!I76,IF(D1855="Uso múltiple",AVERAGE('Hoja 4 - Cálculo'!$I$25:$I$384)+AVERAGE('Hoja 4 - Cálculo'!$J$25:$J$384)+AVERAGE('Hoja 4 - Cálculo'!$K$25:$K$384),IF(D1855="Uso prioritario",'Hoja 4 - Cálculo'!I76+'Hoja 4 - Cálculo'!K76,'Hoja 4 - Cálculo'!I76+'Hoja 4 - Cálculo'!J76+'Hoja 4 - Cálculo'!K76)))</f>
        <v>11.5</v>
      </c>
      <c r="I1855" s="15">
        <f t="shared" si="408"/>
        <v>8.625</v>
      </c>
      <c r="J1855" s="15">
        <f t="shared" si="419"/>
        <v>15</v>
      </c>
      <c r="K1855" s="15">
        <f>MIN(J1855+G1855,(J1855+G1855)*'Hoja 4 - Cálculo'!$B$15)</f>
        <v>0.81025499999999995</v>
      </c>
      <c r="L1855" s="15">
        <f t="shared" si="409"/>
        <v>39.702494999999999</v>
      </c>
      <c r="M1855" s="15">
        <f t="shared" si="410"/>
        <v>8.625</v>
      </c>
      <c r="N1855" s="15">
        <f t="shared" si="411"/>
        <v>15</v>
      </c>
      <c r="O1855" s="15">
        <f t="shared" si="412"/>
        <v>16.077494999999999</v>
      </c>
      <c r="P1855" s="15">
        <f t="shared" si="413"/>
        <v>0</v>
      </c>
      <c r="Q1855" s="14" t="str">
        <f>IF(M1855&gt;=I1855*'Hoja 4 - Cálculo'!$B$16,"Satisfactorio","Falla")</f>
        <v>Satisfactorio</v>
      </c>
      <c r="R1855" s="14">
        <f t="shared" si="420"/>
        <v>0</v>
      </c>
      <c r="S1855" s="14">
        <f t="shared" si="421"/>
        <v>0</v>
      </c>
    </row>
    <row r="1856" spans="1:19">
      <c r="A1856" s="14" t="str">
        <f t="shared" si="418"/>
        <v>SRY-6-1</v>
      </c>
      <c r="B1856" s="15">
        <f>'Curvas SRY'!$B$13</f>
        <v>15</v>
      </c>
      <c r="C1856" s="15">
        <f>'Curvas SRY'!$E$8</f>
        <v>0.75</v>
      </c>
      <c r="D1856" s="14" t="str">
        <f>'Curvas SRY'!$B$14</f>
        <v>Uso variable</v>
      </c>
      <c r="E1856" s="14">
        <f>53</f>
        <v>53</v>
      </c>
      <c r="F1856" s="21">
        <f>'Hoja 4 - Cálculo'!A77</f>
        <v>31168</v>
      </c>
      <c r="G1856" s="15">
        <f>'Hoja 4 - Cálculo'!H77</f>
        <v>24.36525</v>
      </c>
      <c r="H1856" s="15">
        <f>IF(D1856="Uso único",'Hoja 4 - Cálculo'!I77,IF(D1856="Uso múltiple",AVERAGE('Hoja 4 - Cálculo'!$I$25:$I$384)+AVERAGE('Hoja 4 - Cálculo'!$J$25:$J$384)+AVERAGE('Hoja 4 - Cálculo'!$K$25:$K$384),IF(D1856="Uso prioritario",'Hoja 4 - Cálculo'!I77+'Hoja 4 - Cálculo'!K77,'Hoja 4 - Cálculo'!I77+'Hoja 4 - Cálculo'!J77+'Hoja 4 - Cálculo'!K77)))</f>
        <v>11.5</v>
      </c>
      <c r="I1856" s="15">
        <f t="shared" si="408"/>
        <v>8.625</v>
      </c>
      <c r="J1856" s="15">
        <f t="shared" si="419"/>
        <v>15</v>
      </c>
      <c r="K1856" s="15">
        <f>MIN(J1856+G1856,(J1856+G1856)*'Hoja 4 - Cálculo'!$B$15)</f>
        <v>0.78730500000000003</v>
      </c>
      <c r="L1856" s="15">
        <f t="shared" si="409"/>
        <v>38.577945</v>
      </c>
      <c r="M1856" s="15">
        <f t="shared" si="410"/>
        <v>8.625</v>
      </c>
      <c r="N1856" s="15">
        <f t="shared" si="411"/>
        <v>15</v>
      </c>
      <c r="O1856" s="15">
        <f t="shared" si="412"/>
        <v>14.952945</v>
      </c>
      <c r="P1856" s="15">
        <f t="shared" si="413"/>
        <v>0</v>
      </c>
      <c r="Q1856" s="14" t="str">
        <f>IF(M1856&gt;=I1856*'Hoja 4 - Cálculo'!$B$16,"Satisfactorio","Falla")</f>
        <v>Satisfactorio</v>
      </c>
      <c r="R1856" s="14">
        <f t="shared" si="420"/>
        <v>0</v>
      </c>
      <c r="S1856" s="14">
        <f t="shared" si="421"/>
        <v>0</v>
      </c>
    </row>
    <row r="1857" spans="1:19">
      <c r="A1857" s="14" t="str">
        <f t="shared" si="418"/>
        <v>SRY-6-1</v>
      </c>
      <c r="B1857" s="15">
        <f>'Curvas SRY'!$B$13</f>
        <v>15</v>
      </c>
      <c r="C1857" s="15">
        <f>'Curvas SRY'!$E$8</f>
        <v>0.75</v>
      </c>
      <c r="D1857" s="14" t="str">
        <f>'Curvas SRY'!$B$14</f>
        <v>Uso variable</v>
      </c>
      <c r="E1857" s="14">
        <f>54</f>
        <v>54</v>
      </c>
      <c r="F1857" s="21">
        <f>'Hoja 4 - Cálculo'!A78</f>
        <v>31199</v>
      </c>
      <c r="G1857" s="15">
        <f>'Hoja 4 - Cálculo'!H78</f>
        <v>15.395625000000001</v>
      </c>
      <c r="H1857" s="15">
        <f>IF(D1857="Uso único",'Hoja 4 - Cálculo'!I78,IF(D1857="Uso múltiple",AVERAGE('Hoja 4 - Cálculo'!$I$25:$I$384)+AVERAGE('Hoja 4 - Cálculo'!$J$25:$J$384)+AVERAGE('Hoja 4 - Cálculo'!$K$25:$K$384),IF(D1857="Uso prioritario",'Hoja 4 - Cálculo'!I78+'Hoja 4 - Cálculo'!K78,'Hoja 4 - Cálculo'!I78+'Hoja 4 - Cálculo'!J78+'Hoja 4 - Cálculo'!K78)))</f>
        <v>11.5</v>
      </c>
      <c r="I1857" s="15">
        <f t="shared" si="408"/>
        <v>8.625</v>
      </c>
      <c r="J1857" s="15">
        <f t="shared" si="419"/>
        <v>15</v>
      </c>
      <c r="K1857" s="15">
        <f>MIN(J1857+G1857,(J1857+G1857)*'Hoja 4 - Cálculo'!$B$15)</f>
        <v>0.60791250000000008</v>
      </c>
      <c r="L1857" s="15">
        <f t="shared" si="409"/>
        <v>29.787712500000001</v>
      </c>
      <c r="M1857" s="15">
        <f t="shared" si="410"/>
        <v>8.625</v>
      </c>
      <c r="N1857" s="15">
        <f t="shared" si="411"/>
        <v>15</v>
      </c>
      <c r="O1857" s="15">
        <f t="shared" si="412"/>
        <v>6.1627125000000014</v>
      </c>
      <c r="P1857" s="15">
        <f t="shared" si="413"/>
        <v>0</v>
      </c>
      <c r="Q1857" s="14" t="str">
        <f>IF(M1857&gt;=I1857*'Hoja 4 - Cálculo'!$B$16,"Satisfactorio","Falla")</f>
        <v>Satisfactorio</v>
      </c>
      <c r="R1857" s="14">
        <f t="shared" si="420"/>
        <v>0</v>
      </c>
      <c r="S1857" s="14">
        <f t="shared" si="421"/>
        <v>0</v>
      </c>
    </row>
    <row r="1858" spans="1:19">
      <c r="A1858" s="14" t="str">
        <f t="shared" si="418"/>
        <v>SRY-6-1</v>
      </c>
      <c r="B1858" s="15">
        <f>'Curvas SRY'!$B$13</f>
        <v>15</v>
      </c>
      <c r="C1858" s="15">
        <f>'Curvas SRY'!$E$8</f>
        <v>0.75</v>
      </c>
      <c r="D1858" s="14" t="str">
        <f>'Curvas SRY'!$B$14</f>
        <v>Uso variable</v>
      </c>
      <c r="E1858" s="14">
        <f>55</f>
        <v>55</v>
      </c>
      <c r="F1858" s="21">
        <f>'Hoja 4 - Cálculo'!A79</f>
        <v>31229</v>
      </c>
      <c r="G1858" s="15">
        <f>'Hoja 4 - Cálculo'!H79</f>
        <v>11.742749999999999</v>
      </c>
      <c r="H1858" s="15">
        <f>IF(D1858="Uso único",'Hoja 4 - Cálculo'!I79,IF(D1858="Uso múltiple",AVERAGE('Hoja 4 - Cálculo'!$I$25:$I$384)+AVERAGE('Hoja 4 - Cálculo'!$J$25:$J$384)+AVERAGE('Hoja 4 - Cálculo'!$K$25:$K$384),IF(D1858="Uso prioritario",'Hoja 4 - Cálculo'!I79+'Hoja 4 - Cálculo'!K79,'Hoja 4 - Cálculo'!I79+'Hoja 4 - Cálculo'!J79+'Hoja 4 - Cálculo'!K79)))</f>
        <v>16</v>
      </c>
      <c r="I1858" s="15">
        <f t="shared" si="408"/>
        <v>12</v>
      </c>
      <c r="J1858" s="15">
        <f t="shared" si="419"/>
        <v>15</v>
      </c>
      <c r="K1858" s="15">
        <f>MIN(J1858+G1858,(J1858+G1858)*'Hoja 4 - Cálculo'!$B$15)</f>
        <v>0.53485500000000008</v>
      </c>
      <c r="L1858" s="15">
        <f t="shared" si="409"/>
        <v>26.207895000000001</v>
      </c>
      <c r="M1858" s="15">
        <f t="shared" si="410"/>
        <v>12</v>
      </c>
      <c r="N1858" s="15">
        <f t="shared" si="411"/>
        <v>14.207895000000001</v>
      </c>
      <c r="O1858" s="15">
        <f t="shared" si="412"/>
        <v>0</v>
      </c>
      <c r="P1858" s="15">
        <f t="shared" si="413"/>
        <v>0</v>
      </c>
      <c r="Q1858" s="14" t="str">
        <f>IF(M1858&gt;=I1858*'Hoja 4 - Cálculo'!$B$16,"Satisfactorio","Falla")</f>
        <v>Satisfactorio</v>
      </c>
      <c r="R1858" s="14">
        <f t="shared" si="420"/>
        <v>0</v>
      </c>
      <c r="S1858" s="14">
        <f t="shared" si="421"/>
        <v>0</v>
      </c>
    </row>
    <row r="1859" spans="1:19">
      <c r="A1859" s="14" t="str">
        <f t="shared" si="418"/>
        <v>SRY-6-1</v>
      </c>
      <c r="B1859" s="15">
        <f>'Curvas SRY'!$B$13</f>
        <v>15</v>
      </c>
      <c r="C1859" s="15">
        <f>'Curvas SRY'!$E$8</f>
        <v>0.75</v>
      </c>
      <c r="D1859" s="14" t="str">
        <f>'Curvas SRY'!$B$14</f>
        <v>Uso variable</v>
      </c>
      <c r="E1859" s="14">
        <f>56</f>
        <v>56</v>
      </c>
      <c r="F1859" s="21">
        <f>'Hoja 4 - Cálculo'!A80</f>
        <v>31260</v>
      </c>
      <c r="G1859" s="15">
        <f>'Hoja 4 - Cálculo'!H80</f>
        <v>12.603375</v>
      </c>
      <c r="H1859" s="15">
        <f>IF(D1859="Uso único",'Hoja 4 - Cálculo'!I80,IF(D1859="Uso múltiple",AVERAGE('Hoja 4 - Cálculo'!$I$25:$I$384)+AVERAGE('Hoja 4 - Cálculo'!$J$25:$J$384)+AVERAGE('Hoja 4 - Cálculo'!$K$25:$K$384),IF(D1859="Uso prioritario",'Hoja 4 - Cálculo'!I80+'Hoja 4 - Cálculo'!K80,'Hoja 4 - Cálculo'!I80+'Hoja 4 - Cálculo'!J80+'Hoja 4 - Cálculo'!K80)))</f>
        <v>16</v>
      </c>
      <c r="I1859" s="15">
        <f t="shared" si="408"/>
        <v>12</v>
      </c>
      <c r="J1859" s="15">
        <f t="shared" si="419"/>
        <v>14.207895000000001</v>
      </c>
      <c r="K1859" s="15">
        <f>MIN(J1859+G1859,(J1859+G1859)*'Hoja 4 - Cálculo'!$B$15)</f>
        <v>0.53622540000000007</v>
      </c>
      <c r="L1859" s="15">
        <f t="shared" si="409"/>
        <v>26.275044600000001</v>
      </c>
      <c r="M1859" s="15">
        <f t="shared" si="410"/>
        <v>12</v>
      </c>
      <c r="N1859" s="15">
        <f t="shared" si="411"/>
        <v>14.275044600000001</v>
      </c>
      <c r="O1859" s="15">
        <f t="shared" si="412"/>
        <v>0</v>
      </c>
      <c r="P1859" s="15">
        <f t="shared" si="413"/>
        <v>0</v>
      </c>
      <c r="Q1859" s="14" t="str">
        <f>IF(M1859&gt;=I1859*'Hoja 4 - Cálculo'!$B$16,"Satisfactorio","Falla")</f>
        <v>Satisfactorio</v>
      </c>
      <c r="R1859" s="14">
        <f t="shared" si="420"/>
        <v>0</v>
      </c>
      <c r="S1859" s="14">
        <f t="shared" si="421"/>
        <v>0</v>
      </c>
    </row>
    <row r="1860" spans="1:19">
      <c r="A1860" s="14" t="str">
        <f t="shared" si="418"/>
        <v>SRY-6-1</v>
      </c>
      <c r="B1860" s="15">
        <f>'Curvas SRY'!$B$13</f>
        <v>15</v>
      </c>
      <c r="C1860" s="15">
        <f>'Curvas SRY'!$E$8</f>
        <v>0.75</v>
      </c>
      <c r="D1860" s="14" t="str">
        <f>'Curvas SRY'!$B$14</f>
        <v>Uso variable</v>
      </c>
      <c r="E1860" s="14">
        <f>57</f>
        <v>57</v>
      </c>
      <c r="F1860" s="21">
        <f>'Hoja 4 - Cálculo'!A81</f>
        <v>31291</v>
      </c>
      <c r="G1860" s="15">
        <f>'Hoja 4 - Cálculo'!H81</f>
        <v>21.745125000000002</v>
      </c>
      <c r="H1860" s="15">
        <f>IF(D1860="Uso único",'Hoja 4 - Cálculo'!I81,IF(D1860="Uso múltiple",AVERAGE('Hoja 4 - Cálculo'!$I$25:$I$384)+AVERAGE('Hoja 4 - Cálculo'!$J$25:$J$384)+AVERAGE('Hoja 4 - Cálculo'!$K$25:$K$384),IF(D1860="Uso prioritario",'Hoja 4 - Cálculo'!I81+'Hoja 4 - Cálculo'!K81,'Hoja 4 - Cálculo'!I81+'Hoja 4 - Cálculo'!J81+'Hoja 4 - Cálculo'!K81)))</f>
        <v>11.5</v>
      </c>
      <c r="I1860" s="15">
        <f t="shared" ref="I1860:I1923" si="422">H1860*C1860</f>
        <v>8.625</v>
      </c>
      <c r="J1860" s="15">
        <f t="shared" si="419"/>
        <v>14.275044600000001</v>
      </c>
      <c r="K1860" s="15">
        <f>MIN(J1860+G1860,(J1860+G1860)*'Hoja 4 - Cálculo'!$B$15)</f>
        <v>0.72040339200000003</v>
      </c>
      <c r="L1860" s="15">
        <f t="shared" ref="L1860:L1923" si="423">MAX(0,J1860+G1860-K1860)</f>
        <v>35.299766208000001</v>
      </c>
      <c r="M1860" s="15">
        <f t="shared" ref="M1860:M1923" si="424">MIN(I1860,L1860)</f>
        <v>8.625</v>
      </c>
      <c r="N1860" s="15">
        <f t="shared" ref="N1860:N1923" si="425">MIN(B1860,MAX(0,L1860-M1860))</f>
        <v>15</v>
      </c>
      <c r="O1860" s="15">
        <f t="shared" ref="O1860:O1923" si="426">MAX(0,L1860-M1860-B1860)</f>
        <v>11.674766208000001</v>
      </c>
      <c r="P1860" s="15">
        <f t="shared" ref="P1860:P1923" si="427">MAX(0,I1860-M1860)</f>
        <v>0</v>
      </c>
      <c r="Q1860" s="14" t="str">
        <f>IF(M1860&gt;=I1860*'Hoja 4 - Cálculo'!$B$16,"Satisfactorio","Falla")</f>
        <v>Satisfactorio</v>
      </c>
      <c r="R1860" s="14">
        <f t="shared" si="420"/>
        <v>0</v>
      </c>
      <c r="S1860" s="14">
        <f t="shared" si="421"/>
        <v>0</v>
      </c>
    </row>
    <row r="1861" spans="1:19">
      <c r="A1861" s="14" t="str">
        <f t="shared" si="418"/>
        <v>SRY-6-1</v>
      </c>
      <c r="B1861" s="15">
        <f>'Curvas SRY'!$B$13</f>
        <v>15</v>
      </c>
      <c r="C1861" s="15">
        <f>'Curvas SRY'!$E$8</f>
        <v>0.75</v>
      </c>
      <c r="D1861" s="14" t="str">
        <f>'Curvas SRY'!$B$14</f>
        <v>Uso variable</v>
      </c>
      <c r="E1861" s="14">
        <f>58</f>
        <v>58</v>
      </c>
      <c r="F1861" s="21">
        <f>'Hoja 4 - Cálculo'!A82</f>
        <v>31321</v>
      </c>
      <c r="G1861" s="15">
        <f>'Hoja 4 - Cálculo'!H82</f>
        <v>27.788625</v>
      </c>
      <c r="H1861" s="15">
        <f>IF(D1861="Uso único",'Hoja 4 - Cálculo'!I82,IF(D1861="Uso múltiple",AVERAGE('Hoja 4 - Cálculo'!$I$25:$I$384)+AVERAGE('Hoja 4 - Cálculo'!$J$25:$J$384)+AVERAGE('Hoja 4 - Cálculo'!$K$25:$K$384),IF(D1861="Uso prioritario",'Hoja 4 - Cálculo'!I82+'Hoja 4 - Cálculo'!K82,'Hoja 4 - Cálculo'!I82+'Hoja 4 - Cálculo'!J82+'Hoja 4 - Cálculo'!K82)))</f>
        <v>11.5</v>
      </c>
      <c r="I1861" s="15">
        <f t="shared" si="422"/>
        <v>8.625</v>
      </c>
      <c r="J1861" s="15">
        <f t="shared" si="419"/>
        <v>15</v>
      </c>
      <c r="K1861" s="15">
        <f>MIN(J1861+G1861,(J1861+G1861)*'Hoja 4 - Cálculo'!$B$15)</f>
        <v>0.85577249999999994</v>
      </c>
      <c r="L1861" s="15">
        <f t="shared" si="423"/>
        <v>41.932852499999996</v>
      </c>
      <c r="M1861" s="15">
        <f t="shared" si="424"/>
        <v>8.625</v>
      </c>
      <c r="N1861" s="15">
        <f t="shared" si="425"/>
        <v>15</v>
      </c>
      <c r="O1861" s="15">
        <f t="shared" si="426"/>
        <v>18.307852499999996</v>
      </c>
      <c r="P1861" s="15">
        <f t="shared" si="427"/>
        <v>0</v>
      </c>
      <c r="Q1861" s="14" t="str">
        <f>IF(M1861&gt;=I1861*'Hoja 4 - Cálculo'!$B$16,"Satisfactorio","Falla")</f>
        <v>Satisfactorio</v>
      </c>
      <c r="R1861" s="14">
        <f t="shared" si="420"/>
        <v>0</v>
      </c>
      <c r="S1861" s="14">
        <f t="shared" si="421"/>
        <v>0</v>
      </c>
    </row>
    <row r="1862" spans="1:19">
      <c r="A1862" s="14" t="str">
        <f t="shared" si="418"/>
        <v>SRY-6-1</v>
      </c>
      <c r="B1862" s="15">
        <f>'Curvas SRY'!$B$13</f>
        <v>15</v>
      </c>
      <c r="C1862" s="15">
        <f>'Curvas SRY'!$E$8</f>
        <v>0.75</v>
      </c>
      <c r="D1862" s="14" t="str">
        <f>'Curvas SRY'!$B$14</f>
        <v>Uso variable</v>
      </c>
      <c r="E1862" s="14">
        <f>59</f>
        <v>59</v>
      </c>
      <c r="F1862" s="21">
        <f>'Hoja 4 - Cálculo'!A83</f>
        <v>31352</v>
      </c>
      <c r="G1862" s="15">
        <f>'Hoja 4 - Cálculo'!H83</f>
        <v>22.22325</v>
      </c>
      <c r="H1862" s="15">
        <f>IF(D1862="Uso único",'Hoja 4 - Cálculo'!I83,IF(D1862="Uso múltiple",AVERAGE('Hoja 4 - Cálculo'!$I$25:$I$384)+AVERAGE('Hoja 4 - Cálculo'!$J$25:$J$384)+AVERAGE('Hoja 4 - Cálculo'!$K$25:$K$384),IF(D1862="Uso prioritario",'Hoja 4 - Cálculo'!I83+'Hoja 4 - Cálculo'!K83,'Hoja 4 - Cálculo'!I83+'Hoja 4 - Cálculo'!J83+'Hoja 4 - Cálculo'!K83)))</f>
        <v>11.5</v>
      </c>
      <c r="I1862" s="15">
        <f t="shared" si="422"/>
        <v>8.625</v>
      </c>
      <c r="J1862" s="15">
        <f t="shared" si="419"/>
        <v>15</v>
      </c>
      <c r="K1862" s="15">
        <f>MIN(J1862+G1862,(J1862+G1862)*'Hoja 4 - Cálculo'!$B$15)</f>
        <v>0.74446500000000004</v>
      </c>
      <c r="L1862" s="15">
        <f t="shared" si="423"/>
        <v>36.478785000000002</v>
      </c>
      <c r="M1862" s="15">
        <f t="shared" si="424"/>
        <v>8.625</v>
      </c>
      <c r="N1862" s="15">
        <f t="shared" si="425"/>
        <v>15</v>
      </c>
      <c r="O1862" s="15">
        <f t="shared" si="426"/>
        <v>12.853785000000002</v>
      </c>
      <c r="P1862" s="15">
        <f t="shared" si="427"/>
        <v>0</v>
      </c>
      <c r="Q1862" s="14" t="str">
        <f>IF(M1862&gt;=I1862*'Hoja 4 - Cálculo'!$B$16,"Satisfactorio","Falla")</f>
        <v>Satisfactorio</v>
      </c>
      <c r="R1862" s="14">
        <f t="shared" si="420"/>
        <v>0</v>
      </c>
      <c r="S1862" s="14">
        <f t="shared" si="421"/>
        <v>0</v>
      </c>
    </row>
    <row r="1863" spans="1:19">
      <c r="A1863" s="14" t="str">
        <f t="shared" si="418"/>
        <v>SRY-6-1</v>
      </c>
      <c r="B1863" s="15">
        <f>'Curvas SRY'!$B$13</f>
        <v>15</v>
      </c>
      <c r="C1863" s="15">
        <f>'Curvas SRY'!$E$8</f>
        <v>0.75</v>
      </c>
      <c r="D1863" s="14" t="str">
        <f>'Curvas SRY'!$B$14</f>
        <v>Uso variable</v>
      </c>
      <c r="E1863" s="14">
        <f>60</f>
        <v>60</v>
      </c>
      <c r="F1863" s="21">
        <f>'Hoja 4 - Cálculo'!A84</f>
        <v>31382</v>
      </c>
      <c r="G1863" s="15">
        <f>'Hoja 4 - Cálculo'!H84</f>
        <v>14.171625000000001</v>
      </c>
      <c r="H1863" s="15">
        <f>IF(D1863="Uso único",'Hoja 4 - Cálculo'!I84,IF(D1863="Uso múltiple",AVERAGE('Hoja 4 - Cálculo'!$I$25:$I$384)+AVERAGE('Hoja 4 - Cálculo'!$J$25:$J$384)+AVERAGE('Hoja 4 - Cálculo'!$K$25:$K$384),IF(D1863="Uso prioritario",'Hoja 4 - Cálculo'!I84+'Hoja 4 - Cálculo'!K84,'Hoja 4 - Cálculo'!I84+'Hoja 4 - Cálculo'!J84+'Hoja 4 - Cálculo'!K84)))</f>
        <v>16</v>
      </c>
      <c r="I1863" s="15">
        <f t="shared" si="422"/>
        <v>12</v>
      </c>
      <c r="J1863" s="15">
        <f t="shared" si="419"/>
        <v>15</v>
      </c>
      <c r="K1863" s="15">
        <f>MIN(J1863+G1863,(J1863+G1863)*'Hoja 4 - Cálculo'!$B$15)</f>
        <v>0.58343250000000002</v>
      </c>
      <c r="L1863" s="15">
        <f t="shared" si="423"/>
        <v>28.588192499999998</v>
      </c>
      <c r="M1863" s="15">
        <f t="shared" si="424"/>
        <v>12</v>
      </c>
      <c r="N1863" s="15">
        <f t="shared" si="425"/>
        <v>15</v>
      </c>
      <c r="O1863" s="15">
        <f t="shared" si="426"/>
        <v>1.5881924999999981</v>
      </c>
      <c r="P1863" s="15">
        <f t="shared" si="427"/>
        <v>0</v>
      </c>
      <c r="Q1863" s="14" t="str">
        <f>IF(M1863&gt;=I1863*'Hoja 4 - Cálculo'!$B$16,"Satisfactorio","Falla")</f>
        <v>Satisfactorio</v>
      </c>
      <c r="R1863" s="14">
        <f t="shared" si="420"/>
        <v>0</v>
      </c>
      <c r="S1863" s="14">
        <f t="shared" si="421"/>
        <v>0</v>
      </c>
    </row>
    <row r="1864" spans="1:19">
      <c r="A1864" s="14" t="str">
        <f t="shared" si="418"/>
        <v>SRY-6-1</v>
      </c>
      <c r="B1864" s="15">
        <f>'Curvas SRY'!$B$13</f>
        <v>15</v>
      </c>
      <c r="C1864" s="15">
        <f>'Curvas SRY'!$E$8</f>
        <v>0.75</v>
      </c>
      <c r="D1864" s="14" t="str">
        <f>'Curvas SRY'!$B$14</f>
        <v>Uso variable</v>
      </c>
      <c r="E1864" s="14">
        <f>61</f>
        <v>61</v>
      </c>
      <c r="F1864" s="21">
        <f>'Hoja 4 - Cálculo'!A85</f>
        <v>31413</v>
      </c>
      <c r="G1864" s="15">
        <f>'Hoja 4 - Cálculo'!H85</f>
        <v>12.641624999999999</v>
      </c>
      <c r="H1864" s="15">
        <f>IF(D1864="Uso único",'Hoja 4 - Cálculo'!I85,IF(D1864="Uso múltiple",AVERAGE('Hoja 4 - Cálculo'!$I$25:$I$384)+AVERAGE('Hoja 4 - Cálculo'!$J$25:$J$384)+AVERAGE('Hoja 4 - Cálculo'!$K$25:$K$384),IF(D1864="Uso prioritario",'Hoja 4 - Cálculo'!I85+'Hoja 4 - Cálculo'!K85,'Hoja 4 - Cálculo'!I85+'Hoja 4 - Cálculo'!J85+'Hoja 4 - Cálculo'!K85)))</f>
        <v>16</v>
      </c>
      <c r="I1864" s="15">
        <f t="shared" si="422"/>
        <v>12</v>
      </c>
      <c r="J1864" s="15">
        <f t="shared" si="419"/>
        <v>15</v>
      </c>
      <c r="K1864" s="15">
        <f>MIN(J1864+G1864,(J1864+G1864)*'Hoja 4 - Cálculo'!$B$15)</f>
        <v>0.55283249999999995</v>
      </c>
      <c r="L1864" s="15">
        <f t="shared" si="423"/>
        <v>27.088792499999997</v>
      </c>
      <c r="M1864" s="15">
        <f t="shared" si="424"/>
        <v>12</v>
      </c>
      <c r="N1864" s="15">
        <f t="shared" si="425"/>
        <v>15</v>
      </c>
      <c r="O1864" s="15">
        <f t="shared" si="426"/>
        <v>8.8792499999996721E-2</v>
      </c>
      <c r="P1864" s="15">
        <f t="shared" si="427"/>
        <v>0</v>
      </c>
      <c r="Q1864" s="14" t="str">
        <f>IF(M1864&gt;=I1864*'Hoja 4 - Cálculo'!$B$16,"Satisfactorio","Falla")</f>
        <v>Satisfactorio</v>
      </c>
      <c r="R1864" s="14">
        <f t="shared" si="420"/>
        <v>0</v>
      </c>
      <c r="S1864" s="14">
        <f t="shared" si="421"/>
        <v>0</v>
      </c>
    </row>
    <row r="1865" spans="1:19">
      <c r="A1865" s="14" t="str">
        <f t="shared" si="418"/>
        <v>SRY-6-1</v>
      </c>
      <c r="B1865" s="15">
        <f>'Curvas SRY'!$B$13</f>
        <v>15</v>
      </c>
      <c r="C1865" s="15">
        <f>'Curvas SRY'!$E$8</f>
        <v>0.75</v>
      </c>
      <c r="D1865" s="14" t="str">
        <f>'Curvas SRY'!$B$14</f>
        <v>Uso variable</v>
      </c>
      <c r="E1865" s="14">
        <f>62</f>
        <v>62</v>
      </c>
      <c r="F1865" s="21">
        <f>'Hoja 4 - Cálculo'!A86</f>
        <v>31444</v>
      </c>
      <c r="G1865" s="15">
        <f>'Hoja 4 - Cálculo'!H86</f>
        <v>15.357374999999999</v>
      </c>
      <c r="H1865" s="15">
        <f>IF(D1865="Uso único",'Hoja 4 - Cálculo'!I86,IF(D1865="Uso múltiple",AVERAGE('Hoja 4 - Cálculo'!$I$25:$I$384)+AVERAGE('Hoja 4 - Cálculo'!$J$25:$J$384)+AVERAGE('Hoja 4 - Cálculo'!$K$25:$K$384),IF(D1865="Uso prioritario",'Hoja 4 - Cálculo'!I86+'Hoja 4 - Cálculo'!K86,'Hoja 4 - Cálculo'!I86+'Hoja 4 - Cálculo'!J86+'Hoja 4 - Cálculo'!K86)))</f>
        <v>16</v>
      </c>
      <c r="I1865" s="15">
        <f t="shared" si="422"/>
        <v>12</v>
      </c>
      <c r="J1865" s="15">
        <f t="shared" si="419"/>
        <v>15</v>
      </c>
      <c r="K1865" s="15">
        <f>MIN(J1865+G1865,(J1865+G1865)*'Hoja 4 - Cálculo'!$B$15)</f>
        <v>0.60714749999999995</v>
      </c>
      <c r="L1865" s="15">
        <f t="shared" si="423"/>
        <v>29.750227499999998</v>
      </c>
      <c r="M1865" s="15">
        <f t="shared" si="424"/>
        <v>12</v>
      </c>
      <c r="N1865" s="15">
        <f t="shared" si="425"/>
        <v>15</v>
      </c>
      <c r="O1865" s="15">
        <f t="shared" si="426"/>
        <v>2.7502274999999976</v>
      </c>
      <c r="P1865" s="15">
        <f t="shared" si="427"/>
        <v>0</v>
      </c>
      <c r="Q1865" s="14" t="str">
        <f>IF(M1865&gt;=I1865*'Hoja 4 - Cálculo'!$B$16,"Satisfactorio","Falla")</f>
        <v>Satisfactorio</v>
      </c>
      <c r="R1865" s="14">
        <f t="shared" si="420"/>
        <v>0</v>
      </c>
      <c r="S1865" s="14">
        <f t="shared" si="421"/>
        <v>0</v>
      </c>
    </row>
    <row r="1866" spans="1:19">
      <c r="A1866" s="14" t="str">
        <f t="shared" si="418"/>
        <v>SRY-6-1</v>
      </c>
      <c r="B1866" s="15">
        <f>'Curvas SRY'!$B$13</f>
        <v>15</v>
      </c>
      <c r="C1866" s="15">
        <f>'Curvas SRY'!$E$8</f>
        <v>0.75</v>
      </c>
      <c r="D1866" s="14" t="str">
        <f>'Curvas SRY'!$B$14</f>
        <v>Uso variable</v>
      </c>
      <c r="E1866" s="14">
        <f>63</f>
        <v>63</v>
      </c>
      <c r="F1866" s="21">
        <f>'Hoja 4 - Cálculo'!A87</f>
        <v>31472</v>
      </c>
      <c r="G1866" s="15">
        <f>'Hoja 4 - Cálculo'!H87</f>
        <v>20.846250000000001</v>
      </c>
      <c r="H1866" s="15">
        <f>IF(D1866="Uso único",'Hoja 4 - Cálculo'!I87,IF(D1866="Uso múltiple",AVERAGE('Hoja 4 - Cálculo'!$I$25:$I$384)+AVERAGE('Hoja 4 - Cálculo'!$J$25:$J$384)+AVERAGE('Hoja 4 - Cálculo'!$K$25:$K$384),IF(D1866="Uso prioritario",'Hoja 4 - Cálculo'!I87+'Hoja 4 - Cálculo'!K87,'Hoja 4 - Cálculo'!I87+'Hoja 4 - Cálculo'!J87+'Hoja 4 - Cálculo'!K87)))</f>
        <v>16</v>
      </c>
      <c r="I1866" s="15">
        <f t="shared" si="422"/>
        <v>12</v>
      </c>
      <c r="J1866" s="15">
        <f t="shared" si="419"/>
        <v>15</v>
      </c>
      <c r="K1866" s="15">
        <f>MIN(J1866+G1866,(J1866+G1866)*'Hoja 4 - Cálculo'!$B$15)</f>
        <v>0.71692499999999992</v>
      </c>
      <c r="L1866" s="15">
        <f t="shared" si="423"/>
        <v>35.129324999999994</v>
      </c>
      <c r="M1866" s="15">
        <f t="shared" si="424"/>
        <v>12</v>
      </c>
      <c r="N1866" s="15">
        <f t="shared" si="425"/>
        <v>15</v>
      </c>
      <c r="O1866" s="15">
        <f t="shared" si="426"/>
        <v>8.1293249999999944</v>
      </c>
      <c r="P1866" s="15">
        <f t="shared" si="427"/>
        <v>0</v>
      </c>
      <c r="Q1866" s="14" t="str">
        <f>IF(M1866&gt;=I1866*'Hoja 4 - Cálculo'!$B$16,"Satisfactorio","Falla")</f>
        <v>Satisfactorio</v>
      </c>
      <c r="R1866" s="14">
        <f t="shared" si="420"/>
        <v>0</v>
      </c>
      <c r="S1866" s="14">
        <f t="shared" si="421"/>
        <v>0</v>
      </c>
    </row>
    <row r="1867" spans="1:19">
      <c r="A1867" s="14" t="str">
        <f t="shared" si="418"/>
        <v>SRY-6-1</v>
      </c>
      <c r="B1867" s="15">
        <f>'Curvas SRY'!$B$13</f>
        <v>15</v>
      </c>
      <c r="C1867" s="15">
        <f>'Curvas SRY'!$E$8</f>
        <v>0.75</v>
      </c>
      <c r="D1867" s="14" t="str">
        <f>'Curvas SRY'!$B$14</f>
        <v>Uso variable</v>
      </c>
      <c r="E1867" s="14">
        <f>64</f>
        <v>64</v>
      </c>
      <c r="F1867" s="21">
        <f>'Hoja 4 - Cálculo'!A88</f>
        <v>31503</v>
      </c>
      <c r="G1867" s="15">
        <f>'Hoja 4 - Cálculo'!H88</f>
        <v>30.638249999999999</v>
      </c>
      <c r="H1867" s="15">
        <f>IF(D1867="Uso único",'Hoja 4 - Cálculo'!I88,IF(D1867="Uso múltiple",AVERAGE('Hoja 4 - Cálculo'!$I$25:$I$384)+AVERAGE('Hoja 4 - Cálculo'!$J$25:$J$384)+AVERAGE('Hoja 4 - Cálculo'!$K$25:$K$384),IF(D1867="Uso prioritario",'Hoja 4 - Cálculo'!I88+'Hoja 4 - Cálculo'!K88,'Hoja 4 - Cálculo'!I88+'Hoja 4 - Cálculo'!J88+'Hoja 4 - Cálculo'!K88)))</f>
        <v>11.5</v>
      </c>
      <c r="I1867" s="15">
        <f t="shared" si="422"/>
        <v>8.625</v>
      </c>
      <c r="J1867" s="15">
        <f t="shared" si="419"/>
        <v>15</v>
      </c>
      <c r="K1867" s="15">
        <f>MIN(J1867+G1867,(J1867+G1867)*'Hoja 4 - Cálculo'!$B$15)</f>
        <v>0.91276500000000005</v>
      </c>
      <c r="L1867" s="15">
        <f t="shared" si="423"/>
        <v>44.725484999999999</v>
      </c>
      <c r="M1867" s="15">
        <f t="shared" si="424"/>
        <v>8.625</v>
      </c>
      <c r="N1867" s="15">
        <f t="shared" si="425"/>
        <v>15</v>
      </c>
      <c r="O1867" s="15">
        <f t="shared" si="426"/>
        <v>21.100484999999999</v>
      </c>
      <c r="P1867" s="15">
        <f t="shared" si="427"/>
        <v>0</v>
      </c>
      <c r="Q1867" s="14" t="str">
        <f>IF(M1867&gt;=I1867*'Hoja 4 - Cálculo'!$B$16,"Satisfactorio","Falla")</f>
        <v>Satisfactorio</v>
      </c>
      <c r="R1867" s="14">
        <f t="shared" si="420"/>
        <v>0</v>
      </c>
      <c r="S1867" s="14">
        <f t="shared" si="421"/>
        <v>0</v>
      </c>
    </row>
    <row r="1868" spans="1:19">
      <c r="A1868" s="14" t="str">
        <f t="shared" ref="A1868:A1899" si="428">"SRY-6-1"</f>
        <v>SRY-6-1</v>
      </c>
      <c r="B1868" s="15">
        <f>'Curvas SRY'!$B$13</f>
        <v>15</v>
      </c>
      <c r="C1868" s="15">
        <f>'Curvas SRY'!$E$8</f>
        <v>0.75</v>
      </c>
      <c r="D1868" s="14" t="str">
        <f>'Curvas SRY'!$B$14</f>
        <v>Uso variable</v>
      </c>
      <c r="E1868" s="14">
        <f>65</f>
        <v>65</v>
      </c>
      <c r="F1868" s="21">
        <f>'Hoja 4 - Cálculo'!A89</f>
        <v>31533</v>
      </c>
      <c r="G1868" s="15">
        <f>'Hoja 4 - Cálculo'!H89</f>
        <v>28.438874999999999</v>
      </c>
      <c r="H1868" s="15">
        <f>IF(D1868="Uso único",'Hoja 4 - Cálculo'!I89,IF(D1868="Uso múltiple",AVERAGE('Hoja 4 - Cálculo'!$I$25:$I$384)+AVERAGE('Hoja 4 - Cálculo'!$J$25:$J$384)+AVERAGE('Hoja 4 - Cálculo'!$K$25:$K$384),IF(D1868="Uso prioritario",'Hoja 4 - Cálculo'!I89+'Hoja 4 - Cálculo'!K89,'Hoja 4 - Cálculo'!I89+'Hoja 4 - Cálculo'!J89+'Hoja 4 - Cálculo'!K89)))</f>
        <v>11.5</v>
      </c>
      <c r="I1868" s="15">
        <f t="shared" si="422"/>
        <v>8.625</v>
      </c>
      <c r="J1868" s="15">
        <f t="shared" si="419"/>
        <v>15</v>
      </c>
      <c r="K1868" s="15">
        <f>MIN(J1868+G1868,(J1868+G1868)*'Hoja 4 - Cálculo'!$B$15)</f>
        <v>0.86877749999999998</v>
      </c>
      <c r="L1868" s="15">
        <f t="shared" si="423"/>
        <v>42.570097499999996</v>
      </c>
      <c r="M1868" s="15">
        <f t="shared" si="424"/>
        <v>8.625</v>
      </c>
      <c r="N1868" s="15">
        <f t="shared" si="425"/>
        <v>15</v>
      </c>
      <c r="O1868" s="15">
        <f t="shared" si="426"/>
        <v>18.945097499999996</v>
      </c>
      <c r="P1868" s="15">
        <f t="shared" si="427"/>
        <v>0</v>
      </c>
      <c r="Q1868" s="14" t="str">
        <f>IF(M1868&gt;=I1868*'Hoja 4 - Cálculo'!$B$16,"Satisfactorio","Falla")</f>
        <v>Satisfactorio</v>
      </c>
      <c r="R1868" s="14">
        <f t="shared" si="420"/>
        <v>0</v>
      </c>
      <c r="S1868" s="14">
        <f t="shared" si="421"/>
        <v>0</v>
      </c>
    </row>
    <row r="1869" spans="1:19">
      <c r="A1869" s="14" t="str">
        <f t="shared" si="428"/>
        <v>SRY-6-1</v>
      </c>
      <c r="B1869" s="15">
        <f>'Curvas SRY'!$B$13</f>
        <v>15</v>
      </c>
      <c r="C1869" s="15">
        <f>'Curvas SRY'!$E$8</f>
        <v>0.75</v>
      </c>
      <c r="D1869" s="14" t="str">
        <f>'Curvas SRY'!$B$14</f>
        <v>Uso variable</v>
      </c>
      <c r="E1869" s="14">
        <f>66</f>
        <v>66</v>
      </c>
      <c r="F1869" s="21">
        <f>'Hoja 4 - Cálculo'!A90</f>
        <v>31564</v>
      </c>
      <c r="G1869" s="15">
        <f>'Hoja 4 - Cálculo'!H90</f>
        <v>16.007625000000001</v>
      </c>
      <c r="H1869" s="15">
        <f>IF(D1869="Uso único",'Hoja 4 - Cálculo'!I90,IF(D1869="Uso múltiple",AVERAGE('Hoja 4 - Cálculo'!$I$25:$I$384)+AVERAGE('Hoja 4 - Cálculo'!$J$25:$J$384)+AVERAGE('Hoja 4 - Cálculo'!$K$25:$K$384),IF(D1869="Uso prioritario",'Hoja 4 - Cálculo'!I90+'Hoja 4 - Cálculo'!K90,'Hoja 4 - Cálculo'!I90+'Hoja 4 - Cálculo'!J90+'Hoja 4 - Cálculo'!K90)))</f>
        <v>11.5</v>
      </c>
      <c r="I1869" s="15">
        <f t="shared" si="422"/>
        <v>8.625</v>
      </c>
      <c r="J1869" s="15">
        <f t="shared" ref="J1869:J1900" si="429">N1868</f>
        <v>15</v>
      </c>
      <c r="K1869" s="15">
        <f>MIN(J1869+G1869,(J1869+G1869)*'Hoja 4 - Cálculo'!$B$15)</f>
        <v>0.6201525</v>
      </c>
      <c r="L1869" s="15">
        <f t="shared" si="423"/>
        <v>30.387472500000001</v>
      </c>
      <c r="M1869" s="15">
        <f t="shared" si="424"/>
        <v>8.625</v>
      </c>
      <c r="N1869" s="15">
        <f t="shared" si="425"/>
        <v>15</v>
      </c>
      <c r="O1869" s="15">
        <f t="shared" si="426"/>
        <v>6.7624725000000012</v>
      </c>
      <c r="P1869" s="15">
        <f t="shared" si="427"/>
        <v>0</v>
      </c>
      <c r="Q1869" s="14" t="str">
        <f>IF(M1869&gt;=I1869*'Hoja 4 - Cálculo'!$B$16,"Satisfactorio","Falla")</f>
        <v>Satisfactorio</v>
      </c>
      <c r="R1869" s="14">
        <f t="shared" ref="R1869:R1900" si="430">IF(AND(Q1868="Falla",Q1869="Satisfactorio"),1,0)</f>
        <v>0</v>
      </c>
      <c r="S1869" s="14">
        <f t="shared" ref="S1869:S1900" si="431">IF(AND(Q1869="Falla",Q1868&lt;&gt;"Falla"),1,0)</f>
        <v>0</v>
      </c>
    </row>
    <row r="1870" spans="1:19">
      <c r="A1870" s="14" t="str">
        <f t="shared" si="428"/>
        <v>SRY-6-1</v>
      </c>
      <c r="B1870" s="15">
        <f>'Curvas SRY'!$B$13</f>
        <v>15</v>
      </c>
      <c r="C1870" s="15">
        <f>'Curvas SRY'!$E$8</f>
        <v>0.75</v>
      </c>
      <c r="D1870" s="14" t="str">
        <f>'Curvas SRY'!$B$14</f>
        <v>Uso variable</v>
      </c>
      <c r="E1870" s="14">
        <f>67</f>
        <v>67</v>
      </c>
      <c r="F1870" s="21">
        <f>'Hoja 4 - Cálculo'!A91</f>
        <v>31594</v>
      </c>
      <c r="G1870" s="15">
        <f>'Hoja 4 - Cálculo'!H91</f>
        <v>14.056875</v>
      </c>
      <c r="H1870" s="15">
        <f>IF(D1870="Uso único",'Hoja 4 - Cálculo'!I91,IF(D1870="Uso múltiple",AVERAGE('Hoja 4 - Cálculo'!$I$25:$I$384)+AVERAGE('Hoja 4 - Cálculo'!$J$25:$J$384)+AVERAGE('Hoja 4 - Cálculo'!$K$25:$K$384),IF(D1870="Uso prioritario",'Hoja 4 - Cálculo'!I91+'Hoja 4 - Cálculo'!K91,'Hoja 4 - Cálculo'!I91+'Hoja 4 - Cálculo'!J91+'Hoja 4 - Cálculo'!K91)))</f>
        <v>16</v>
      </c>
      <c r="I1870" s="15">
        <f t="shared" si="422"/>
        <v>12</v>
      </c>
      <c r="J1870" s="15">
        <f t="shared" si="429"/>
        <v>15</v>
      </c>
      <c r="K1870" s="15">
        <f>MIN(J1870+G1870,(J1870+G1870)*'Hoja 4 - Cálculo'!$B$15)</f>
        <v>0.58113749999999997</v>
      </c>
      <c r="L1870" s="15">
        <f t="shared" si="423"/>
        <v>28.475737499999997</v>
      </c>
      <c r="M1870" s="15">
        <f t="shared" si="424"/>
        <v>12</v>
      </c>
      <c r="N1870" s="15">
        <f t="shared" si="425"/>
        <v>15</v>
      </c>
      <c r="O1870" s="15">
        <f t="shared" si="426"/>
        <v>1.4757374999999975</v>
      </c>
      <c r="P1870" s="15">
        <f t="shared" si="427"/>
        <v>0</v>
      </c>
      <c r="Q1870" s="14" t="str">
        <f>IF(M1870&gt;=I1870*'Hoja 4 - Cálculo'!$B$16,"Satisfactorio","Falla")</f>
        <v>Satisfactorio</v>
      </c>
      <c r="R1870" s="14">
        <f t="shared" si="430"/>
        <v>0</v>
      </c>
      <c r="S1870" s="14">
        <f t="shared" si="431"/>
        <v>0</v>
      </c>
    </row>
    <row r="1871" spans="1:19">
      <c r="A1871" s="14" t="str">
        <f t="shared" si="428"/>
        <v>SRY-6-1</v>
      </c>
      <c r="B1871" s="15">
        <f>'Curvas SRY'!$B$13</f>
        <v>15</v>
      </c>
      <c r="C1871" s="15">
        <f>'Curvas SRY'!$E$8</f>
        <v>0.75</v>
      </c>
      <c r="D1871" s="14" t="str">
        <f>'Curvas SRY'!$B$14</f>
        <v>Uso variable</v>
      </c>
      <c r="E1871" s="14">
        <f>68</f>
        <v>68</v>
      </c>
      <c r="F1871" s="21">
        <f>'Hoja 4 - Cálculo'!A92</f>
        <v>31625</v>
      </c>
      <c r="G1871" s="15">
        <f>'Hoja 4 - Cálculo'!H92</f>
        <v>15.032249999999999</v>
      </c>
      <c r="H1871" s="15">
        <f>IF(D1871="Uso único",'Hoja 4 - Cálculo'!I92,IF(D1871="Uso múltiple",AVERAGE('Hoja 4 - Cálculo'!$I$25:$I$384)+AVERAGE('Hoja 4 - Cálculo'!$J$25:$J$384)+AVERAGE('Hoja 4 - Cálculo'!$K$25:$K$384),IF(D1871="Uso prioritario",'Hoja 4 - Cálculo'!I92+'Hoja 4 - Cálculo'!K92,'Hoja 4 - Cálculo'!I92+'Hoja 4 - Cálculo'!J92+'Hoja 4 - Cálculo'!K92)))</f>
        <v>16</v>
      </c>
      <c r="I1871" s="15">
        <f t="shared" si="422"/>
        <v>12</v>
      </c>
      <c r="J1871" s="15">
        <f t="shared" si="429"/>
        <v>15</v>
      </c>
      <c r="K1871" s="15">
        <f>MIN(J1871+G1871,(J1871+G1871)*'Hoja 4 - Cálculo'!$B$15)</f>
        <v>0.60064499999999998</v>
      </c>
      <c r="L1871" s="15">
        <f t="shared" si="423"/>
        <v>29.431604999999998</v>
      </c>
      <c r="M1871" s="15">
        <f t="shared" si="424"/>
        <v>12</v>
      </c>
      <c r="N1871" s="15">
        <f t="shared" si="425"/>
        <v>15</v>
      </c>
      <c r="O1871" s="15">
        <f t="shared" si="426"/>
        <v>2.4316049999999976</v>
      </c>
      <c r="P1871" s="15">
        <f t="shared" si="427"/>
        <v>0</v>
      </c>
      <c r="Q1871" s="14" t="str">
        <f>IF(M1871&gt;=I1871*'Hoja 4 - Cálculo'!$B$16,"Satisfactorio","Falla")</f>
        <v>Satisfactorio</v>
      </c>
      <c r="R1871" s="14">
        <f t="shared" si="430"/>
        <v>0</v>
      </c>
      <c r="S1871" s="14">
        <f t="shared" si="431"/>
        <v>0</v>
      </c>
    </row>
    <row r="1872" spans="1:19">
      <c r="A1872" s="14" t="str">
        <f t="shared" si="428"/>
        <v>SRY-6-1</v>
      </c>
      <c r="B1872" s="15">
        <f>'Curvas SRY'!$B$13</f>
        <v>15</v>
      </c>
      <c r="C1872" s="15">
        <f>'Curvas SRY'!$E$8</f>
        <v>0.75</v>
      </c>
      <c r="D1872" s="14" t="str">
        <f>'Curvas SRY'!$B$14</f>
        <v>Uso variable</v>
      </c>
      <c r="E1872" s="14">
        <f>69</f>
        <v>69</v>
      </c>
      <c r="F1872" s="21">
        <f>'Hoja 4 - Cálculo'!A93</f>
        <v>31656</v>
      </c>
      <c r="G1872" s="15">
        <f>'Hoja 4 - Cálculo'!H93</f>
        <v>22.60575</v>
      </c>
      <c r="H1872" s="15">
        <f>IF(D1872="Uso único",'Hoja 4 - Cálculo'!I93,IF(D1872="Uso múltiple",AVERAGE('Hoja 4 - Cálculo'!$I$25:$I$384)+AVERAGE('Hoja 4 - Cálculo'!$J$25:$J$384)+AVERAGE('Hoja 4 - Cálculo'!$K$25:$K$384),IF(D1872="Uso prioritario",'Hoja 4 - Cálculo'!I93+'Hoja 4 - Cálculo'!K93,'Hoja 4 - Cálculo'!I93+'Hoja 4 - Cálculo'!J93+'Hoja 4 - Cálculo'!K93)))</f>
        <v>11.5</v>
      </c>
      <c r="I1872" s="15">
        <f t="shared" si="422"/>
        <v>8.625</v>
      </c>
      <c r="J1872" s="15">
        <f t="shared" si="429"/>
        <v>15</v>
      </c>
      <c r="K1872" s="15">
        <f>MIN(J1872+G1872,(J1872+G1872)*'Hoja 4 - Cálculo'!$B$15)</f>
        <v>0.75211499999999998</v>
      </c>
      <c r="L1872" s="15">
        <f t="shared" si="423"/>
        <v>36.853634999999997</v>
      </c>
      <c r="M1872" s="15">
        <f t="shared" si="424"/>
        <v>8.625</v>
      </c>
      <c r="N1872" s="15">
        <f t="shared" si="425"/>
        <v>15</v>
      </c>
      <c r="O1872" s="15">
        <f t="shared" si="426"/>
        <v>13.228634999999997</v>
      </c>
      <c r="P1872" s="15">
        <f t="shared" si="427"/>
        <v>0</v>
      </c>
      <c r="Q1872" s="14" t="str">
        <f>IF(M1872&gt;=I1872*'Hoja 4 - Cálculo'!$B$16,"Satisfactorio","Falla")</f>
        <v>Satisfactorio</v>
      </c>
      <c r="R1872" s="14">
        <f t="shared" si="430"/>
        <v>0</v>
      </c>
      <c r="S1872" s="14">
        <f t="shared" si="431"/>
        <v>0</v>
      </c>
    </row>
    <row r="1873" spans="1:19">
      <c r="A1873" s="14" t="str">
        <f t="shared" si="428"/>
        <v>SRY-6-1</v>
      </c>
      <c r="B1873" s="15">
        <f>'Curvas SRY'!$B$13</f>
        <v>15</v>
      </c>
      <c r="C1873" s="15">
        <f>'Curvas SRY'!$E$8</f>
        <v>0.75</v>
      </c>
      <c r="D1873" s="14" t="str">
        <f>'Curvas SRY'!$B$14</f>
        <v>Uso variable</v>
      </c>
      <c r="E1873" s="14">
        <f>70</f>
        <v>70</v>
      </c>
      <c r="F1873" s="21">
        <f>'Hoja 4 - Cálculo'!A94</f>
        <v>31686</v>
      </c>
      <c r="G1873" s="15">
        <f>'Hoja 4 - Cálculo'!H94</f>
        <v>32.531624999999998</v>
      </c>
      <c r="H1873" s="15">
        <f>IF(D1873="Uso único",'Hoja 4 - Cálculo'!I94,IF(D1873="Uso múltiple",AVERAGE('Hoja 4 - Cálculo'!$I$25:$I$384)+AVERAGE('Hoja 4 - Cálculo'!$J$25:$J$384)+AVERAGE('Hoja 4 - Cálculo'!$K$25:$K$384),IF(D1873="Uso prioritario",'Hoja 4 - Cálculo'!I94+'Hoja 4 - Cálculo'!K94,'Hoja 4 - Cálculo'!I94+'Hoja 4 - Cálculo'!J94+'Hoja 4 - Cálculo'!K94)))</f>
        <v>11.5</v>
      </c>
      <c r="I1873" s="15">
        <f t="shared" si="422"/>
        <v>8.625</v>
      </c>
      <c r="J1873" s="15">
        <f t="shared" si="429"/>
        <v>15</v>
      </c>
      <c r="K1873" s="15">
        <f>MIN(J1873+G1873,(J1873+G1873)*'Hoja 4 - Cálculo'!$B$15)</f>
        <v>0.95063249999999999</v>
      </c>
      <c r="L1873" s="15">
        <f t="shared" si="423"/>
        <v>46.580992500000001</v>
      </c>
      <c r="M1873" s="15">
        <f t="shared" si="424"/>
        <v>8.625</v>
      </c>
      <c r="N1873" s="15">
        <f t="shared" si="425"/>
        <v>15</v>
      </c>
      <c r="O1873" s="15">
        <f t="shared" si="426"/>
        <v>22.955992500000001</v>
      </c>
      <c r="P1873" s="15">
        <f t="shared" si="427"/>
        <v>0</v>
      </c>
      <c r="Q1873" s="14" t="str">
        <f>IF(M1873&gt;=I1873*'Hoja 4 - Cálculo'!$B$16,"Satisfactorio","Falla")</f>
        <v>Satisfactorio</v>
      </c>
      <c r="R1873" s="14">
        <f t="shared" si="430"/>
        <v>0</v>
      </c>
      <c r="S1873" s="14">
        <f t="shared" si="431"/>
        <v>0</v>
      </c>
    </row>
    <row r="1874" spans="1:19">
      <c r="A1874" s="14" t="str">
        <f t="shared" si="428"/>
        <v>SRY-6-1</v>
      </c>
      <c r="B1874" s="15">
        <f>'Curvas SRY'!$B$13</f>
        <v>15</v>
      </c>
      <c r="C1874" s="15">
        <f>'Curvas SRY'!$E$8</f>
        <v>0.75</v>
      </c>
      <c r="D1874" s="14" t="str">
        <f>'Curvas SRY'!$B$14</f>
        <v>Uso variable</v>
      </c>
      <c r="E1874" s="14">
        <f>71</f>
        <v>71</v>
      </c>
      <c r="F1874" s="21">
        <f>'Hoja 4 - Cálculo'!A95</f>
        <v>31717</v>
      </c>
      <c r="G1874" s="15">
        <f>'Hoja 4 - Cálculo'!H95</f>
        <v>26.641124999999999</v>
      </c>
      <c r="H1874" s="15">
        <f>IF(D1874="Uso único",'Hoja 4 - Cálculo'!I95,IF(D1874="Uso múltiple",AVERAGE('Hoja 4 - Cálculo'!$I$25:$I$384)+AVERAGE('Hoja 4 - Cálculo'!$J$25:$J$384)+AVERAGE('Hoja 4 - Cálculo'!$K$25:$K$384),IF(D1874="Uso prioritario",'Hoja 4 - Cálculo'!I95+'Hoja 4 - Cálculo'!K95,'Hoja 4 - Cálculo'!I95+'Hoja 4 - Cálculo'!J95+'Hoja 4 - Cálculo'!K95)))</f>
        <v>11.5</v>
      </c>
      <c r="I1874" s="15">
        <f t="shared" si="422"/>
        <v>8.625</v>
      </c>
      <c r="J1874" s="15">
        <f t="shared" si="429"/>
        <v>15</v>
      </c>
      <c r="K1874" s="15">
        <f>MIN(J1874+G1874,(J1874+G1874)*'Hoja 4 - Cálculo'!$B$15)</f>
        <v>0.83282250000000002</v>
      </c>
      <c r="L1874" s="15">
        <f t="shared" si="423"/>
        <v>40.808302500000003</v>
      </c>
      <c r="M1874" s="15">
        <f t="shared" si="424"/>
        <v>8.625</v>
      </c>
      <c r="N1874" s="15">
        <f t="shared" si="425"/>
        <v>15</v>
      </c>
      <c r="O1874" s="15">
        <f t="shared" si="426"/>
        <v>17.183302500000003</v>
      </c>
      <c r="P1874" s="15">
        <f t="shared" si="427"/>
        <v>0</v>
      </c>
      <c r="Q1874" s="14" t="str">
        <f>IF(M1874&gt;=I1874*'Hoja 4 - Cálculo'!$B$16,"Satisfactorio","Falla")</f>
        <v>Satisfactorio</v>
      </c>
      <c r="R1874" s="14">
        <f t="shared" si="430"/>
        <v>0</v>
      </c>
      <c r="S1874" s="14">
        <f t="shared" si="431"/>
        <v>0</v>
      </c>
    </row>
    <row r="1875" spans="1:19">
      <c r="A1875" s="14" t="str">
        <f t="shared" si="428"/>
        <v>SRY-6-1</v>
      </c>
      <c r="B1875" s="15">
        <f>'Curvas SRY'!$B$13</f>
        <v>15</v>
      </c>
      <c r="C1875" s="15">
        <f>'Curvas SRY'!$E$8</f>
        <v>0.75</v>
      </c>
      <c r="D1875" s="14" t="str">
        <f>'Curvas SRY'!$B$14</f>
        <v>Uso variable</v>
      </c>
      <c r="E1875" s="14">
        <f>72</f>
        <v>72</v>
      </c>
      <c r="F1875" s="21">
        <f>'Hoja 4 - Cálculo'!A96</f>
        <v>31747</v>
      </c>
      <c r="G1875" s="15">
        <f>'Hoja 4 - Cálculo'!H96</f>
        <v>15.166124999999999</v>
      </c>
      <c r="H1875" s="15">
        <f>IF(D1875="Uso único",'Hoja 4 - Cálculo'!I96,IF(D1875="Uso múltiple",AVERAGE('Hoja 4 - Cálculo'!$I$25:$I$384)+AVERAGE('Hoja 4 - Cálculo'!$J$25:$J$384)+AVERAGE('Hoja 4 - Cálculo'!$K$25:$K$384),IF(D1875="Uso prioritario",'Hoja 4 - Cálculo'!I96+'Hoja 4 - Cálculo'!K96,'Hoja 4 - Cálculo'!I96+'Hoja 4 - Cálculo'!J96+'Hoja 4 - Cálculo'!K96)))</f>
        <v>16</v>
      </c>
      <c r="I1875" s="15">
        <f t="shared" si="422"/>
        <v>12</v>
      </c>
      <c r="J1875" s="15">
        <f t="shared" si="429"/>
        <v>15</v>
      </c>
      <c r="K1875" s="15">
        <f>MIN(J1875+G1875,(J1875+G1875)*'Hoja 4 - Cálculo'!$B$15)</f>
        <v>0.60332249999999998</v>
      </c>
      <c r="L1875" s="15">
        <f t="shared" si="423"/>
        <v>29.5628025</v>
      </c>
      <c r="M1875" s="15">
        <f t="shared" si="424"/>
        <v>12</v>
      </c>
      <c r="N1875" s="15">
        <f t="shared" si="425"/>
        <v>15</v>
      </c>
      <c r="O1875" s="15">
        <f t="shared" si="426"/>
        <v>2.5628025000000001</v>
      </c>
      <c r="P1875" s="15">
        <f t="shared" si="427"/>
        <v>0</v>
      </c>
      <c r="Q1875" s="14" t="str">
        <f>IF(M1875&gt;=I1875*'Hoja 4 - Cálculo'!$B$16,"Satisfactorio","Falla")</f>
        <v>Satisfactorio</v>
      </c>
      <c r="R1875" s="14">
        <f t="shared" si="430"/>
        <v>0</v>
      </c>
      <c r="S1875" s="14">
        <f t="shared" si="431"/>
        <v>0</v>
      </c>
    </row>
    <row r="1876" spans="1:19">
      <c r="A1876" s="14" t="str">
        <f t="shared" si="428"/>
        <v>SRY-6-1</v>
      </c>
      <c r="B1876" s="15">
        <f>'Curvas SRY'!$B$13</f>
        <v>15</v>
      </c>
      <c r="C1876" s="15">
        <f>'Curvas SRY'!$E$8</f>
        <v>0.75</v>
      </c>
      <c r="D1876" s="14" t="str">
        <f>'Curvas SRY'!$B$14</f>
        <v>Uso variable</v>
      </c>
      <c r="E1876" s="14">
        <f>73</f>
        <v>73</v>
      </c>
      <c r="F1876" s="21">
        <f>'Hoja 4 - Cálculo'!A97</f>
        <v>31778</v>
      </c>
      <c r="G1876" s="15">
        <f>'Hoja 4 - Cálculo'!H97</f>
        <v>14.056875</v>
      </c>
      <c r="H1876" s="15">
        <f>IF(D1876="Uso único",'Hoja 4 - Cálculo'!I97,IF(D1876="Uso múltiple",AVERAGE('Hoja 4 - Cálculo'!$I$25:$I$384)+AVERAGE('Hoja 4 - Cálculo'!$J$25:$J$384)+AVERAGE('Hoja 4 - Cálculo'!$K$25:$K$384),IF(D1876="Uso prioritario",'Hoja 4 - Cálculo'!I97+'Hoja 4 - Cálculo'!K97,'Hoja 4 - Cálculo'!I97+'Hoja 4 - Cálculo'!J97+'Hoja 4 - Cálculo'!K97)))</f>
        <v>16</v>
      </c>
      <c r="I1876" s="15">
        <f t="shared" si="422"/>
        <v>12</v>
      </c>
      <c r="J1876" s="15">
        <f t="shared" si="429"/>
        <v>15</v>
      </c>
      <c r="K1876" s="15">
        <f>MIN(J1876+G1876,(J1876+G1876)*'Hoja 4 - Cálculo'!$B$15)</f>
        <v>0.58113749999999997</v>
      </c>
      <c r="L1876" s="15">
        <f t="shared" si="423"/>
        <v>28.475737499999997</v>
      </c>
      <c r="M1876" s="15">
        <f t="shared" si="424"/>
        <v>12</v>
      </c>
      <c r="N1876" s="15">
        <f t="shared" si="425"/>
        <v>15</v>
      </c>
      <c r="O1876" s="15">
        <f t="shared" si="426"/>
        <v>1.4757374999999975</v>
      </c>
      <c r="P1876" s="15">
        <f t="shared" si="427"/>
        <v>0</v>
      </c>
      <c r="Q1876" s="14" t="str">
        <f>IF(M1876&gt;=I1876*'Hoja 4 - Cálculo'!$B$16,"Satisfactorio","Falla")</f>
        <v>Satisfactorio</v>
      </c>
      <c r="R1876" s="14">
        <f t="shared" si="430"/>
        <v>0</v>
      </c>
      <c r="S1876" s="14">
        <f t="shared" si="431"/>
        <v>0</v>
      </c>
    </row>
    <row r="1877" spans="1:19">
      <c r="A1877" s="14" t="str">
        <f t="shared" si="428"/>
        <v>SRY-6-1</v>
      </c>
      <c r="B1877" s="15">
        <f>'Curvas SRY'!$B$13</f>
        <v>15</v>
      </c>
      <c r="C1877" s="15">
        <f>'Curvas SRY'!$E$8</f>
        <v>0.75</v>
      </c>
      <c r="D1877" s="14" t="str">
        <f>'Curvas SRY'!$B$14</f>
        <v>Uso variable</v>
      </c>
      <c r="E1877" s="14">
        <f>74</f>
        <v>74</v>
      </c>
      <c r="F1877" s="21">
        <f>'Hoja 4 - Cálculo'!A98</f>
        <v>31809</v>
      </c>
      <c r="G1877" s="15">
        <f>'Hoja 4 - Cálculo'!H98</f>
        <v>15.969374999999999</v>
      </c>
      <c r="H1877" s="15">
        <f>IF(D1877="Uso único",'Hoja 4 - Cálculo'!I98,IF(D1877="Uso múltiple",AVERAGE('Hoja 4 - Cálculo'!$I$25:$I$384)+AVERAGE('Hoja 4 - Cálculo'!$J$25:$J$384)+AVERAGE('Hoja 4 - Cálculo'!$K$25:$K$384),IF(D1877="Uso prioritario",'Hoja 4 - Cálculo'!I98+'Hoja 4 - Cálculo'!K98,'Hoja 4 - Cálculo'!I98+'Hoja 4 - Cálculo'!J98+'Hoja 4 - Cálculo'!K98)))</f>
        <v>16</v>
      </c>
      <c r="I1877" s="15">
        <f t="shared" si="422"/>
        <v>12</v>
      </c>
      <c r="J1877" s="15">
        <f t="shared" si="429"/>
        <v>15</v>
      </c>
      <c r="K1877" s="15">
        <f>MIN(J1877+G1877,(J1877+G1877)*'Hoja 4 - Cálculo'!$B$15)</f>
        <v>0.61938749999999998</v>
      </c>
      <c r="L1877" s="15">
        <f t="shared" si="423"/>
        <v>30.349987500000001</v>
      </c>
      <c r="M1877" s="15">
        <f t="shared" si="424"/>
        <v>12</v>
      </c>
      <c r="N1877" s="15">
        <f t="shared" si="425"/>
        <v>15</v>
      </c>
      <c r="O1877" s="15">
        <f t="shared" si="426"/>
        <v>3.349987500000001</v>
      </c>
      <c r="P1877" s="15">
        <f t="shared" si="427"/>
        <v>0</v>
      </c>
      <c r="Q1877" s="14" t="str">
        <f>IF(M1877&gt;=I1877*'Hoja 4 - Cálculo'!$B$16,"Satisfactorio","Falla")</f>
        <v>Satisfactorio</v>
      </c>
      <c r="R1877" s="14">
        <f t="shared" si="430"/>
        <v>0</v>
      </c>
      <c r="S1877" s="14">
        <f t="shared" si="431"/>
        <v>0</v>
      </c>
    </row>
    <row r="1878" spans="1:19">
      <c r="A1878" s="14" t="str">
        <f t="shared" si="428"/>
        <v>SRY-6-1</v>
      </c>
      <c r="B1878" s="15">
        <f>'Curvas SRY'!$B$13</f>
        <v>15</v>
      </c>
      <c r="C1878" s="15">
        <f>'Curvas SRY'!$E$8</f>
        <v>0.75</v>
      </c>
      <c r="D1878" s="14" t="str">
        <f>'Curvas SRY'!$B$14</f>
        <v>Uso variable</v>
      </c>
      <c r="E1878" s="14">
        <f>75</f>
        <v>75</v>
      </c>
      <c r="F1878" s="21">
        <f>'Hoja 4 - Cálculo'!A99</f>
        <v>31837</v>
      </c>
      <c r="G1878" s="15">
        <f>'Hoja 4 - Cálculo'!H99</f>
        <v>22.797000000000001</v>
      </c>
      <c r="H1878" s="15">
        <f>IF(D1878="Uso único",'Hoja 4 - Cálculo'!I99,IF(D1878="Uso múltiple",AVERAGE('Hoja 4 - Cálculo'!$I$25:$I$384)+AVERAGE('Hoja 4 - Cálculo'!$J$25:$J$384)+AVERAGE('Hoja 4 - Cálculo'!$K$25:$K$384),IF(D1878="Uso prioritario",'Hoja 4 - Cálculo'!I99+'Hoja 4 - Cálculo'!K99,'Hoja 4 - Cálculo'!I99+'Hoja 4 - Cálculo'!J99+'Hoja 4 - Cálculo'!K99)))</f>
        <v>16</v>
      </c>
      <c r="I1878" s="15">
        <f t="shared" si="422"/>
        <v>12</v>
      </c>
      <c r="J1878" s="15">
        <f t="shared" si="429"/>
        <v>15</v>
      </c>
      <c r="K1878" s="15">
        <f>MIN(J1878+G1878,(J1878+G1878)*'Hoja 4 - Cálculo'!$B$15)</f>
        <v>0.75593999999999995</v>
      </c>
      <c r="L1878" s="15">
        <f t="shared" si="423"/>
        <v>37.041059999999995</v>
      </c>
      <c r="M1878" s="15">
        <f t="shared" si="424"/>
        <v>12</v>
      </c>
      <c r="N1878" s="15">
        <f t="shared" si="425"/>
        <v>15</v>
      </c>
      <c r="O1878" s="15">
        <f t="shared" si="426"/>
        <v>10.041059999999995</v>
      </c>
      <c r="P1878" s="15">
        <f t="shared" si="427"/>
        <v>0</v>
      </c>
      <c r="Q1878" s="14" t="str">
        <f>IF(M1878&gt;=I1878*'Hoja 4 - Cálculo'!$B$16,"Satisfactorio","Falla")</f>
        <v>Satisfactorio</v>
      </c>
      <c r="R1878" s="14">
        <f t="shared" si="430"/>
        <v>0</v>
      </c>
      <c r="S1878" s="14">
        <f t="shared" si="431"/>
        <v>0</v>
      </c>
    </row>
    <row r="1879" spans="1:19">
      <c r="A1879" s="14" t="str">
        <f t="shared" si="428"/>
        <v>SRY-6-1</v>
      </c>
      <c r="B1879" s="15">
        <f>'Curvas SRY'!$B$13</f>
        <v>15</v>
      </c>
      <c r="C1879" s="15">
        <f>'Curvas SRY'!$E$8</f>
        <v>0.75</v>
      </c>
      <c r="D1879" s="14" t="str">
        <f>'Curvas SRY'!$B$14</f>
        <v>Uso variable</v>
      </c>
      <c r="E1879" s="14">
        <f>76</f>
        <v>76</v>
      </c>
      <c r="F1879" s="21">
        <f>'Hoja 4 - Cálculo'!A100</f>
        <v>31868</v>
      </c>
      <c r="G1879" s="15">
        <f>'Hoja 4 - Cálculo'!H100</f>
        <v>34.138125000000002</v>
      </c>
      <c r="H1879" s="15">
        <f>IF(D1879="Uso único",'Hoja 4 - Cálculo'!I100,IF(D1879="Uso múltiple",AVERAGE('Hoja 4 - Cálculo'!$I$25:$I$384)+AVERAGE('Hoja 4 - Cálculo'!$J$25:$J$384)+AVERAGE('Hoja 4 - Cálculo'!$K$25:$K$384),IF(D1879="Uso prioritario",'Hoja 4 - Cálculo'!I100+'Hoja 4 - Cálculo'!K100,'Hoja 4 - Cálculo'!I100+'Hoja 4 - Cálculo'!J100+'Hoja 4 - Cálculo'!K100)))</f>
        <v>11.5</v>
      </c>
      <c r="I1879" s="15">
        <f t="shared" si="422"/>
        <v>8.625</v>
      </c>
      <c r="J1879" s="15">
        <f t="shared" si="429"/>
        <v>15</v>
      </c>
      <c r="K1879" s="15">
        <f>MIN(J1879+G1879,(J1879+G1879)*'Hoja 4 - Cálculo'!$B$15)</f>
        <v>0.98276250000000009</v>
      </c>
      <c r="L1879" s="15">
        <f t="shared" si="423"/>
        <v>48.155362500000003</v>
      </c>
      <c r="M1879" s="15">
        <f t="shared" si="424"/>
        <v>8.625</v>
      </c>
      <c r="N1879" s="15">
        <f t="shared" si="425"/>
        <v>15</v>
      </c>
      <c r="O1879" s="15">
        <f t="shared" si="426"/>
        <v>24.530362500000003</v>
      </c>
      <c r="P1879" s="15">
        <f t="shared" si="427"/>
        <v>0</v>
      </c>
      <c r="Q1879" s="14" t="str">
        <f>IF(M1879&gt;=I1879*'Hoja 4 - Cálculo'!$B$16,"Satisfactorio","Falla")</f>
        <v>Satisfactorio</v>
      </c>
      <c r="R1879" s="14">
        <f t="shared" si="430"/>
        <v>0</v>
      </c>
      <c r="S1879" s="14">
        <f t="shared" si="431"/>
        <v>0</v>
      </c>
    </row>
    <row r="1880" spans="1:19">
      <c r="A1880" s="14" t="str">
        <f t="shared" si="428"/>
        <v>SRY-6-1</v>
      </c>
      <c r="B1880" s="15">
        <f>'Curvas SRY'!$B$13</f>
        <v>15</v>
      </c>
      <c r="C1880" s="15">
        <f>'Curvas SRY'!$E$8</f>
        <v>0.75</v>
      </c>
      <c r="D1880" s="14" t="str">
        <f>'Curvas SRY'!$B$14</f>
        <v>Uso variable</v>
      </c>
      <c r="E1880" s="14">
        <f>77</f>
        <v>77</v>
      </c>
      <c r="F1880" s="21">
        <f>'Hoja 4 - Cálculo'!A101</f>
        <v>31898</v>
      </c>
      <c r="G1880" s="15">
        <f>'Hoja 4 - Cálculo'!H101</f>
        <v>28.534500000000001</v>
      </c>
      <c r="H1880" s="15">
        <f>IF(D1880="Uso único",'Hoja 4 - Cálculo'!I101,IF(D1880="Uso múltiple",AVERAGE('Hoja 4 - Cálculo'!$I$25:$I$384)+AVERAGE('Hoja 4 - Cálculo'!$J$25:$J$384)+AVERAGE('Hoja 4 - Cálculo'!$K$25:$K$384),IF(D1880="Uso prioritario",'Hoja 4 - Cálculo'!I101+'Hoja 4 - Cálculo'!K101,'Hoja 4 - Cálculo'!I101+'Hoja 4 - Cálculo'!J101+'Hoja 4 - Cálculo'!K101)))</f>
        <v>11.5</v>
      </c>
      <c r="I1880" s="15">
        <f t="shared" si="422"/>
        <v>8.625</v>
      </c>
      <c r="J1880" s="15">
        <f t="shared" si="429"/>
        <v>15</v>
      </c>
      <c r="K1880" s="15">
        <f>MIN(J1880+G1880,(J1880+G1880)*'Hoja 4 - Cálculo'!$B$15)</f>
        <v>0.87069000000000007</v>
      </c>
      <c r="L1880" s="15">
        <f t="shared" si="423"/>
        <v>42.663809999999998</v>
      </c>
      <c r="M1880" s="15">
        <f t="shared" si="424"/>
        <v>8.625</v>
      </c>
      <c r="N1880" s="15">
        <f t="shared" si="425"/>
        <v>15</v>
      </c>
      <c r="O1880" s="15">
        <f t="shared" si="426"/>
        <v>19.038809999999998</v>
      </c>
      <c r="P1880" s="15">
        <f t="shared" si="427"/>
        <v>0</v>
      </c>
      <c r="Q1880" s="14" t="str">
        <f>IF(M1880&gt;=I1880*'Hoja 4 - Cálculo'!$B$16,"Satisfactorio","Falla")</f>
        <v>Satisfactorio</v>
      </c>
      <c r="R1880" s="14">
        <f t="shared" si="430"/>
        <v>0</v>
      </c>
      <c r="S1880" s="14">
        <f t="shared" si="431"/>
        <v>0</v>
      </c>
    </row>
    <row r="1881" spans="1:19">
      <c r="A1881" s="14" t="str">
        <f t="shared" si="428"/>
        <v>SRY-6-1</v>
      </c>
      <c r="B1881" s="15">
        <f>'Curvas SRY'!$B$13</f>
        <v>15</v>
      </c>
      <c r="C1881" s="15">
        <f>'Curvas SRY'!$E$8</f>
        <v>0.75</v>
      </c>
      <c r="D1881" s="14" t="str">
        <f>'Curvas SRY'!$B$14</f>
        <v>Uso variable</v>
      </c>
      <c r="E1881" s="14">
        <f>78</f>
        <v>78</v>
      </c>
      <c r="F1881" s="21">
        <f>'Hoja 4 - Cálculo'!A102</f>
        <v>31929</v>
      </c>
      <c r="G1881" s="15">
        <f>'Hoja 4 - Cálculo'!H102</f>
        <v>18.589500000000001</v>
      </c>
      <c r="H1881" s="15">
        <f>IF(D1881="Uso único",'Hoja 4 - Cálculo'!I102,IF(D1881="Uso múltiple",AVERAGE('Hoja 4 - Cálculo'!$I$25:$I$384)+AVERAGE('Hoja 4 - Cálculo'!$J$25:$J$384)+AVERAGE('Hoja 4 - Cálculo'!$K$25:$K$384),IF(D1881="Uso prioritario",'Hoja 4 - Cálculo'!I102+'Hoja 4 - Cálculo'!K102,'Hoja 4 - Cálculo'!I102+'Hoja 4 - Cálculo'!J102+'Hoja 4 - Cálculo'!K102)))</f>
        <v>11.5</v>
      </c>
      <c r="I1881" s="15">
        <f t="shared" si="422"/>
        <v>8.625</v>
      </c>
      <c r="J1881" s="15">
        <f t="shared" si="429"/>
        <v>15</v>
      </c>
      <c r="K1881" s="15">
        <f>MIN(J1881+G1881,(J1881+G1881)*'Hoja 4 - Cálculo'!$B$15)</f>
        <v>0.67179</v>
      </c>
      <c r="L1881" s="15">
        <f t="shared" si="423"/>
        <v>32.91771</v>
      </c>
      <c r="M1881" s="15">
        <f t="shared" si="424"/>
        <v>8.625</v>
      </c>
      <c r="N1881" s="15">
        <f t="shared" si="425"/>
        <v>15</v>
      </c>
      <c r="O1881" s="15">
        <f t="shared" si="426"/>
        <v>9.2927099999999996</v>
      </c>
      <c r="P1881" s="15">
        <f t="shared" si="427"/>
        <v>0</v>
      </c>
      <c r="Q1881" s="14" t="str">
        <f>IF(M1881&gt;=I1881*'Hoja 4 - Cálculo'!$B$16,"Satisfactorio","Falla")</f>
        <v>Satisfactorio</v>
      </c>
      <c r="R1881" s="14">
        <f t="shared" si="430"/>
        <v>0</v>
      </c>
      <c r="S1881" s="14">
        <f t="shared" si="431"/>
        <v>0</v>
      </c>
    </row>
    <row r="1882" spans="1:19">
      <c r="A1882" s="14" t="str">
        <f t="shared" si="428"/>
        <v>SRY-6-1</v>
      </c>
      <c r="B1882" s="15">
        <f>'Curvas SRY'!$B$13</f>
        <v>15</v>
      </c>
      <c r="C1882" s="15">
        <f>'Curvas SRY'!$E$8</f>
        <v>0.75</v>
      </c>
      <c r="D1882" s="14" t="str">
        <f>'Curvas SRY'!$B$14</f>
        <v>Uso variable</v>
      </c>
      <c r="E1882" s="14">
        <f>79</f>
        <v>79</v>
      </c>
      <c r="F1882" s="21">
        <f>'Hoja 4 - Cálculo'!A103</f>
        <v>31959</v>
      </c>
      <c r="G1882" s="15">
        <f>'Hoja 4 - Cálculo'!H103</f>
        <v>14.688000000000001</v>
      </c>
      <c r="H1882" s="15">
        <f>IF(D1882="Uso único",'Hoja 4 - Cálculo'!I103,IF(D1882="Uso múltiple",AVERAGE('Hoja 4 - Cálculo'!$I$25:$I$384)+AVERAGE('Hoja 4 - Cálculo'!$J$25:$J$384)+AVERAGE('Hoja 4 - Cálculo'!$K$25:$K$384),IF(D1882="Uso prioritario",'Hoja 4 - Cálculo'!I103+'Hoja 4 - Cálculo'!K103,'Hoja 4 - Cálculo'!I103+'Hoja 4 - Cálculo'!J103+'Hoja 4 - Cálculo'!K103)))</f>
        <v>16</v>
      </c>
      <c r="I1882" s="15">
        <f t="shared" si="422"/>
        <v>12</v>
      </c>
      <c r="J1882" s="15">
        <f t="shared" si="429"/>
        <v>15</v>
      </c>
      <c r="K1882" s="15">
        <f>MIN(J1882+G1882,(J1882+G1882)*'Hoja 4 - Cálculo'!$B$15)</f>
        <v>0.59376000000000007</v>
      </c>
      <c r="L1882" s="15">
        <f t="shared" si="423"/>
        <v>29.094240000000003</v>
      </c>
      <c r="M1882" s="15">
        <f t="shared" si="424"/>
        <v>12</v>
      </c>
      <c r="N1882" s="15">
        <f t="shared" si="425"/>
        <v>15</v>
      </c>
      <c r="O1882" s="15">
        <f t="shared" si="426"/>
        <v>2.0942400000000028</v>
      </c>
      <c r="P1882" s="15">
        <f t="shared" si="427"/>
        <v>0</v>
      </c>
      <c r="Q1882" s="14" t="str">
        <f>IF(M1882&gt;=I1882*'Hoja 4 - Cálculo'!$B$16,"Satisfactorio","Falla")</f>
        <v>Satisfactorio</v>
      </c>
      <c r="R1882" s="14">
        <f t="shared" si="430"/>
        <v>0</v>
      </c>
      <c r="S1882" s="14">
        <f t="shared" si="431"/>
        <v>0</v>
      </c>
    </row>
    <row r="1883" spans="1:19">
      <c r="A1883" s="14" t="str">
        <f t="shared" si="428"/>
        <v>SRY-6-1</v>
      </c>
      <c r="B1883" s="15">
        <f>'Curvas SRY'!$B$13</f>
        <v>15</v>
      </c>
      <c r="C1883" s="15">
        <f>'Curvas SRY'!$E$8</f>
        <v>0.75</v>
      </c>
      <c r="D1883" s="14" t="str">
        <f>'Curvas SRY'!$B$14</f>
        <v>Uso variable</v>
      </c>
      <c r="E1883" s="14">
        <f>80</f>
        <v>80</v>
      </c>
      <c r="F1883" s="21">
        <f>'Hoja 4 - Cálculo'!A104</f>
        <v>31990</v>
      </c>
      <c r="G1883" s="15">
        <f>'Hoja 4 - Cálculo'!H104</f>
        <v>15.759</v>
      </c>
      <c r="H1883" s="15">
        <f>IF(D1883="Uso único",'Hoja 4 - Cálculo'!I104,IF(D1883="Uso múltiple",AVERAGE('Hoja 4 - Cálculo'!$I$25:$I$384)+AVERAGE('Hoja 4 - Cálculo'!$J$25:$J$384)+AVERAGE('Hoja 4 - Cálculo'!$K$25:$K$384),IF(D1883="Uso prioritario",'Hoja 4 - Cálculo'!I104+'Hoja 4 - Cálculo'!K104,'Hoja 4 - Cálculo'!I104+'Hoja 4 - Cálculo'!J104+'Hoja 4 - Cálculo'!K104)))</f>
        <v>16</v>
      </c>
      <c r="I1883" s="15">
        <f t="shared" si="422"/>
        <v>12</v>
      </c>
      <c r="J1883" s="15">
        <f t="shared" si="429"/>
        <v>15</v>
      </c>
      <c r="K1883" s="15">
        <f>MIN(J1883+G1883,(J1883+G1883)*'Hoja 4 - Cálculo'!$B$15)</f>
        <v>0.61518000000000006</v>
      </c>
      <c r="L1883" s="15">
        <f t="shared" si="423"/>
        <v>30.143820000000002</v>
      </c>
      <c r="M1883" s="15">
        <f t="shared" si="424"/>
        <v>12</v>
      </c>
      <c r="N1883" s="15">
        <f t="shared" si="425"/>
        <v>15</v>
      </c>
      <c r="O1883" s="15">
        <f t="shared" si="426"/>
        <v>3.1438200000000016</v>
      </c>
      <c r="P1883" s="15">
        <f t="shared" si="427"/>
        <v>0</v>
      </c>
      <c r="Q1883" s="14" t="str">
        <f>IF(M1883&gt;=I1883*'Hoja 4 - Cálculo'!$B$16,"Satisfactorio","Falla")</f>
        <v>Satisfactorio</v>
      </c>
      <c r="R1883" s="14">
        <f t="shared" si="430"/>
        <v>0</v>
      </c>
      <c r="S1883" s="14">
        <f t="shared" si="431"/>
        <v>0</v>
      </c>
    </row>
    <row r="1884" spans="1:19">
      <c r="A1884" s="14" t="str">
        <f t="shared" si="428"/>
        <v>SRY-6-1</v>
      </c>
      <c r="B1884" s="15">
        <f>'Curvas SRY'!$B$13</f>
        <v>15</v>
      </c>
      <c r="C1884" s="15">
        <f>'Curvas SRY'!$E$8</f>
        <v>0.75</v>
      </c>
      <c r="D1884" s="14" t="str">
        <f>'Curvas SRY'!$B$14</f>
        <v>Uso variable</v>
      </c>
      <c r="E1884" s="14">
        <f>81</f>
        <v>81</v>
      </c>
      <c r="F1884" s="21">
        <f>'Hoja 4 - Cálculo'!A105</f>
        <v>32021</v>
      </c>
      <c r="G1884" s="15">
        <f>'Hoja 4 - Cálculo'!H105</f>
        <v>26.220375000000001</v>
      </c>
      <c r="H1884" s="15">
        <f>IF(D1884="Uso único",'Hoja 4 - Cálculo'!I105,IF(D1884="Uso múltiple",AVERAGE('Hoja 4 - Cálculo'!$I$25:$I$384)+AVERAGE('Hoja 4 - Cálculo'!$J$25:$J$384)+AVERAGE('Hoja 4 - Cálculo'!$K$25:$K$384),IF(D1884="Uso prioritario",'Hoja 4 - Cálculo'!I105+'Hoja 4 - Cálculo'!K105,'Hoja 4 - Cálculo'!I105+'Hoja 4 - Cálculo'!J105+'Hoja 4 - Cálculo'!K105)))</f>
        <v>11.5</v>
      </c>
      <c r="I1884" s="15">
        <f t="shared" si="422"/>
        <v>8.625</v>
      </c>
      <c r="J1884" s="15">
        <f t="shared" si="429"/>
        <v>15</v>
      </c>
      <c r="K1884" s="15">
        <f>MIN(J1884+G1884,(J1884+G1884)*'Hoja 4 - Cálculo'!$B$15)</f>
        <v>0.82440750000000007</v>
      </c>
      <c r="L1884" s="15">
        <f t="shared" si="423"/>
        <v>40.395967500000005</v>
      </c>
      <c r="M1884" s="15">
        <f t="shared" si="424"/>
        <v>8.625</v>
      </c>
      <c r="N1884" s="15">
        <f t="shared" si="425"/>
        <v>15</v>
      </c>
      <c r="O1884" s="15">
        <f t="shared" si="426"/>
        <v>16.770967500000005</v>
      </c>
      <c r="P1884" s="15">
        <f t="shared" si="427"/>
        <v>0</v>
      </c>
      <c r="Q1884" s="14" t="str">
        <f>IF(M1884&gt;=I1884*'Hoja 4 - Cálculo'!$B$16,"Satisfactorio","Falla")</f>
        <v>Satisfactorio</v>
      </c>
      <c r="R1884" s="14">
        <f t="shared" si="430"/>
        <v>0</v>
      </c>
      <c r="S1884" s="14">
        <f t="shared" si="431"/>
        <v>0</v>
      </c>
    </row>
    <row r="1885" spans="1:19">
      <c r="A1885" s="14" t="str">
        <f t="shared" si="428"/>
        <v>SRY-6-1</v>
      </c>
      <c r="B1885" s="15">
        <f>'Curvas SRY'!$B$13</f>
        <v>15</v>
      </c>
      <c r="C1885" s="15">
        <f>'Curvas SRY'!$E$8</f>
        <v>0.75</v>
      </c>
      <c r="D1885" s="14" t="str">
        <f>'Curvas SRY'!$B$14</f>
        <v>Uso variable</v>
      </c>
      <c r="E1885" s="14">
        <f>82</f>
        <v>82</v>
      </c>
      <c r="F1885" s="21">
        <f>'Hoja 4 - Cálculo'!A106</f>
        <v>32051</v>
      </c>
      <c r="G1885" s="15">
        <f>'Hoja 4 - Cálculo'!H106</f>
        <v>32.627249999999997</v>
      </c>
      <c r="H1885" s="15">
        <f>IF(D1885="Uso único",'Hoja 4 - Cálculo'!I106,IF(D1885="Uso múltiple",AVERAGE('Hoja 4 - Cálculo'!$I$25:$I$384)+AVERAGE('Hoja 4 - Cálculo'!$J$25:$J$384)+AVERAGE('Hoja 4 - Cálculo'!$K$25:$K$384),IF(D1885="Uso prioritario",'Hoja 4 - Cálculo'!I106+'Hoja 4 - Cálculo'!K106,'Hoja 4 - Cálculo'!I106+'Hoja 4 - Cálculo'!J106+'Hoja 4 - Cálculo'!K106)))</f>
        <v>11.5</v>
      </c>
      <c r="I1885" s="15">
        <f t="shared" si="422"/>
        <v>8.625</v>
      </c>
      <c r="J1885" s="15">
        <f t="shared" si="429"/>
        <v>15</v>
      </c>
      <c r="K1885" s="15">
        <f>MIN(J1885+G1885,(J1885+G1885)*'Hoja 4 - Cálculo'!$B$15)</f>
        <v>0.95254499999999998</v>
      </c>
      <c r="L1885" s="15">
        <f t="shared" si="423"/>
        <v>46.674704999999996</v>
      </c>
      <c r="M1885" s="15">
        <f t="shared" si="424"/>
        <v>8.625</v>
      </c>
      <c r="N1885" s="15">
        <f t="shared" si="425"/>
        <v>15</v>
      </c>
      <c r="O1885" s="15">
        <f t="shared" si="426"/>
        <v>23.049704999999996</v>
      </c>
      <c r="P1885" s="15">
        <f t="shared" si="427"/>
        <v>0</v>
      </c>
      <c r="Q1885" s="14" t="str">
        <f>IF(M1885&gt;=I1885*'Hoja 4 - Cálculo'!$B$16,"Satisfactorio","Falla")</f>
        <v>Satisfactorio</v>
      </c>
      <c r="R1885" s="14">
        <f t="shared" si="430"/>
        <v>0</v>
      </c>
      <c r="S1885" s="14">
        <f t="shared" si="431"/>
        <v>0</v>
      </c>
    </row>
    <row r="1886" spans="1:19">
      <c r="A1886" s="14" t="str">
        <f t="shared" si="428"/>
        <v>SRY-6-1</v>
      </c>
      <c r="B1886" s="15">
        <f>'Curvas SRY'!$B$13</f>
        <v>15</v>
      </c>
      <c r="C1886" s="15">
        <f>'Curvas SRY'!$E$8</f>
        <v>0.75</v>
      </c>
      <c r="D1886" s="14" t="str">
        <f>'Curvas SRY'!$B$14</f>
        <v>Uso variable</v>
      </c>
      <c r="E1886" s="14">
        <f>83</f>
        <v>83</v>
      </c>
      <c r="F1886" s="21">
        <f>'Hoja 4 - Cálculo'!A107</f>
        <v>32082</v>
      </c>
      <c r="G1886" s="15">
        <f>'Hoja 4 - Cálculo'!H107</f>
        <v>29.758500000000002</v>
      </c>
      <c r="H1886" s="15">
        <f>IF(D1886="Uso único",'Hoja 4 - Cálculo'!I107,IF(D1886="Uso múltiple",AVERAGE('Hoja 4 - Cálculo'!$I$25:$I$384)+AVERAGE('Hoja 4 - Cálculo'!$J$25:$J$384)+AVERAGE('Hoja 4 - Cálculo'!$K$25:$K$384),IF(D1886="Uso prioritario",'Hoja 4 - Cálculo'!I107+'Hoja 4 - Cálculo'!K107,'Hoja 4 - Cálculo'!I107+'Hoja 4 - Cálculo'!J107+'Hoja 4 - Cálculo'!K107)))</f>
        <v>11.5</v>
      </c>
      <c r="I1886" s="15">
        <f t="shared" si="422"/>
        <v>8.625</v>
      </c>
      <c r="J1886" s="15">
        <f t="shared" si="429"/>
        <v>15</v>
      </c>
      <c r="K1886" s="15">
        <f>MIN(J1886+G1886,(J1886+G1886)*'Hoja 4 - Cálculo'!$B$15)</f>
        <v>0.89517000000000002</v>
      </c>
      <c r="L1886" s="15">
        <f t="shared" si="423"/>
        <v>43.863329999999998</v>
      </c>
      <c r="M1886" s="15">
        <f t="shared" si="424"/>
        <v>8.625</v>
      </c>
      <c r="N1886" s="15">
        <f t="shared" si="425"/>
        <v>15</v>
      </c>
      <c r="O1886" s="15">
        <f t="shared" si="426"/>
        <v>20.238329999999998</v>
      </c>
      <c r="P1886" s="15">
        <f t="shared" si="427"/>
        <v>0</v>
      </c>
      <c r="Q1886" s="14" t="str">
        <f>IF(M1886&gt;=I1886*'Hoja 4 - Cálculo'!$B$16,"Satisfactorio","Falla")</f>
        <v>Satisfactorio</v>
      </c>
      <c r="R1886" s="14">
        <f t="shared" si="430"/>
        <v>0</v>
      </c>
      <c r="S1886" s="14">
        <f t="shared" si="431"/>
        <v>0</v>
      </c>
    </row>
    <row r="1887" spans="1:19">
      <c r="A1887" s="14" t="str">
        <f t="shared" si="428"/>
        <v>SRY-6-1</v>
      </c>
      <c r="B1887" s="15">
        <f>'Curvas SRY'!$B$13</f>
        <v>15</v>
      </c>
      <c r="C1887" s="15">
        <f>'Curvas SRY'!$E$8</f>
        <v>0.75</v>
      </c>
      <c r="D1887" s="14" t="str">
        <f>'Curvas SRY'!$B$14</f>
        <v>Uso variable</v>
      </c>
      <c r="E1887" s="14">
        <f>84</f>
        <v>84</v>
      </c>
      <c r="F1887" s="21">
        <f>'Hoja 4 - Cálculo'!A108</f>
        <v>32112</v>
      </c>
      <c r="G1887" s="15">
        <f>'Hoja 4 - Cálculo'!H108</f>
        <v>16.543125</v>
      </c>
      <c r="H1887" s="15">
        <f>IF(D1887="Uso único",'Hoja 4 - Cálculo'!I108,IF(D1887="Uso múltiple",AVERAGE('Hoja 4 - Cálculo'!$I$25:$I$384)+AVERAGE('Hoja 4 - Cálculo'!$J$25:$J$384)+AVERAGE('Hoja 4 - Cálculo'!$K$25:$K$384),IF(D1887="Uso prioritario",'Hoja 4 - Cálculo'!I108+'Hoja 4 - Cálculo'!K108,'Hoja 4 - Cálculo'!I108+'Hoja 4 - Cálculo'!J108+'Hoja 4 - Cálculo'!K108)))</f>
        <v>16</v>
      </c>
      <c r="I1887" s="15">
        <f t="shared" si="422"/>
        <v>12</v>
      </c>
      <c r="J1887" s="15">
        <f t="shared" si="429"/>
        <v>15</v>
      </c>
      <c r="K1887" s="15">
        <f>MIN(J1887+G1887,(J1887+G1887)*'Hoja 4 - Cálculo'!$B$15)</f>
        <v>0.63086249999999999</v>
      </c>
      <c r="L1887" s="15">
        <f t="shared" si="423"/>
        <v>30.912262500000001</v>
      </c>
      <c r="M1887" s="15">
        <f t="shared" si="424"/>
        <v>12</v>
      </c>
      <c r="N1887" s="15">
        <f t="shared" si="425"/>
        <v>15</v>
      </c>
      <c r="O1887" s="15">
        <f t="shared" si="426"/>
        <v>3.9122625000000006</v>
      </c>
      <c r="P1887" s="15">
        <f t="shared" si="427"/>
        <v>0</v>
      </c>
      <c r="Q1887" s="14" t="str">
        <f>IF(M1887&gt;=I1887*'Hoja 4 - Cálculo'!$B$16,"Satisfactorio","Falla")</f>
        <v>Satisfactorio</v>
      </c>
      <c r="R1887" s="14">
        <f t="shared" si="430"/>
        <v>0</v>
      </c>
      <c r="S1887" s="14">
        <f t="shared" si="431"/>
        <v>0</v>
      </c>
    </row>
    <row r="1888" spans="1:19">
      <c r="A1888" s="14" t="str">
        <f t="shared" si="428"/>
        <v>SRY-6-1</v>
      </c>
      <c r="B1888" s="15">
        <f>'Curvas SRY'!$B$13</f>
        <v>15</v>
      </c>
      <c r="C1888" s="15">
        <f>'Curvas SRY'!$E$8</f>
        <v>0.75</v>
      </c>
      <c r="D1888" s="14" t="str">
        <f>'Curvas SRY'!$B$14</f>
        <v>Uso variable</v>
      </c>
      <c r="E1888" s="14">
        <f>85</f>
        <v>85</v>
      </c>
      <c r="F1888" s="21">
        <f>'Hoja 4 - Cálculo'!A109</f>
        <v>32143</v>
      </c>
      <c r="G1888" s="15">
        <f>'Hoja 4 - Cálculo'!H109</f>
        <v>13.291874999999999</v>
      </c>
      <c r="H1888" s="15">
        <f>IF(D1888="Uso único",'Hoja 4 - Cálculo'!I109,IF(D1888="Uso múltiple",AVERAGE('Hoja 4 - Cálculo'!$I$25:$I$384)+AVERAGE('Hoja 4 - Cálculo'!$J$25:$J$384)+AVERAGE('Hoja 4 - Cálculo'!$K$25:$K$384),IF(D1888="Uso prioritario",'Hoja 4 - Cálculo'!I109+'Hoja 4 - Cálculo'!K109,'Hoja 4 - Cálculo'!I109+'Hoja 4 - Cálculo'!J109+'Hoja 4 - Cálculo'!K109)))</f>
        <v>16</v>
      </c>
      <c r="I1888" s="15">
        <f t="shared" si="422"/>
        <v>12</v>
      </c>
      <c r="J1888" s="15">
        <f t="shared" si="429"/>
        <v>15</v>
      </c>
      <c r="K1888" s="15">
        <f>MIN(J1888+G1888,(J1888+G1888)*'Hoja 4 - Cálculo'!$B$15)</f>
        <v>0.56583749999999999</v>
      </c>
      <c r="L1888" s="15">
        <f t="shared" si="423"/>
        <v>27.726037499999997</v>
      </c>
      <c r="M1888" s="15">
        <f t="shared" si="424"/>
        <v>12</v>
      </c>
      <c r="N1888" s="15">
        <f t="shared" si="425"/>
        <v>15</v>
      </c>
      <c r="O1888" s="15">
        <f t="shared" si="426"/>
        <v>0.72603749999999678</v>
      </c>
      <c r="P1888" s="15">
        <f t="shared" si="427"/>
        <v>0</v>
      </c>
      <c r="Q1888" s="14" t="str">
        <f>IF(M1888&gt;=I1888*'Hoja 4 - Cálculo'!$B$16,"Satisfactorio","Falla")</f>
        <v>Satisfactorio</v>
      </c>
      <c r="R1888" s="14">
        <f t="shared" si="430"/>
        <v>0</v>
      </c>
      <c r="S1888" s="14">
        <f t="shared" si="431"/>
        <v>0</v>
      </c>
    </row>
    <row r="1889" spans="1:19">
      <c r="A1889" s="14" t="str">
        <f t="shared" si="428"/>
        <v>SRY-6-1</v>
      </c>
      <c r="B1889" s="15">
        <f>'Curvas SRY'!$B$13</f>
        <v>15</v>
      </c>
      <c r="C1889" s="15">
        <f>'Curvas SRY'!$E$8</f>
        <v>0.75</v>
      </c>
      <c r="D1889" s="14" t="str">
        <f>'Curvas SRY'!$B$14</f>
        <v>Uso variable</v>
      </c>
      <c r="E1889" s="14">
        <f>86</f>
        <v>86</v>
      </c>
      <c r="F1889" s="21">
        <f>'Hoja 4 - Cálculo'!A110</f>
        <v>32174</v>
      </c>
      <c r="G1889" s="15">
        <f>'Hoja 4 - Cálculo'!H110</f>
        <v>14.19075</v>
      </c>
      <c r="H1889" s="15">
        <f>IF(D1889="Uso único",'Hoja 4 - Cálculo'!I110,IF(D1889="Uso múltiple",AVERAGE('Hoja 4 - Cálculo'!$I$25:$I$384)+AVERAGE('Hoja 4 - Cálculo'!$J$25:$J$384)+AVERAGE('Hoja 4 - Cálculo'!$K$25:$K$384),IF(D1889="Uso prioritario",'Hoja 4 - Cálculo'!I110+'Hoja 4 - Cálculo'!K110,'Hoja 4 - Cálculo'!I110+'Hoja 4 - Cálculo'!J110+'Hoja 4 - Cálculo'!K110)))</f>
        <v>16</v>
      </c>
      <c r="I1889" s="15">
        <f t="shared" si="422"/>
        <v>12</v>
      </c>
      <c r="J1889" s="15">
        <f t="shared" si="429"/>
        <v>15</v>
      </c>
      <c r="K1889" s="15">
        <f>MIN(J1889+G1889,(J1889+G1889)*'Hoja 4 - Cálculo'!$B$15)</f>
        <v>0.58381500000000008</v>
      </c>
      <c r="L1889" s="15">
        <f t="shared" si="423"/>
        <v>28.606935</v>
      </c>
      <c r="M1889" s="15">
        <f t="shared" si="424"/>
        <v>12</v>
      </c>
      <c r="N1889" s="15">
        <f t="shared" si="425"/>
        <v>15</v>
      </c>
      <c r="O1889" s="15">
        <f t="shared" si="426"/>
        <v>1.606935</v>
      </c>
      <c r="P1889" s="15">
        <f t="shared" si="427"/>
        <v>0</v>
      </c>
      <c r="Q1889" s="14" t="str">
        <f>IF(M1889&gt;=I1889*'Hoja 4 - Cálculo'!$B$16,"Satisfactorio","Falla")</f>
        <v>Satisfactorio</v>
      </c>
      <c r="R1889" s="14">
        <f t="shared" si="430"/>
        <v>0</v>
      </c>
      <c r="S1889" s="14">
        <f t="shared" si="431"/>
        <v>0</v>
      </c>
    </row>
    <row r="1890" spans="1:19">
      <c r="A1890" s="14" t="str">
        <f t="shared" si="428"/>
        <v>SRY-6-1</v>
      </c>
      <c r="B1890" s="15">
        <f>'Curvas SRY'!$B$13</f>
        <v>15</v>
      </c>
      <c r="C1890" s="15">
        <f>'Curvas SRY'!$E$8</f>
        <v>0.75</v>
      </c>
      <c r="D1890" s="14" t="str">
        <f>'Curvas SRY'!$B$14</f>
        <v>Uso variable</v>
      </c>
      <c r="E1890" s="14">
        <f>87</f>
        <v>87</v>
      </c>
      <c r="F1890" s="21">
        <f>'Hoja 4 - Cálculo'!A111</f>
        <v>32203</v>
      </c>
      <c r="G1890" s="15">
        <f>'Hoja 4 - Cálculo'!H111</f>
        <v>22.338000000000001</v>
      </c>
      <c r="H1890" s="15">
        <f>IF(D1890="Uso único",'Hoja 4 - Cálculo'!I111,IF(D1890="Uso múltiple",AVERAGE('Hoja 4 - Cálculo'!$I$25:$I$384)+AVERAGE('Hoja 4 - Cálculo'!$J$25:$J$384)+AVERAGE('Hoja 4 - Cálculo'!$K$25:$K$384),IF(D1890="Uso prioritario",'Hoja 4 - Cálculo'!I111+'Hoja 4 - Cálculo'!K111,'Hoja 4 - Cálculo'!I111+'Hoja 4 - Cálculo'!J111+'Hoja 4 - Cálculo'!K111)))</f>
        <v>16</v>
      </c>
      <c r="I1890" s="15">
        <f t="shared" si="422"/>
        <v>12</v>
      </c>
      <c r="J1890" s="15">
        <f t="shared" si="429"/>
        <v>15</v>
      </c>
      <c r="K1890" s="15">
        <f>MIN(J1890+G1890,(J1890+G1890)*'Hoja 4 - Cálculo'!$B$15)</f>
        <v>0.74676000000000009</v>
      </c>
      <c r="L1890" s="15">
        <f t="shared" si="423"/>
        <v>36.591239999999999</v>
      </c>
      <c r="M1890" s="15">
        <f t="shared" si="424"/>
        <v>12</v>
      </c>
      <c r="N1890" s="15">
        <f t="shared" si="425"/>
        <v>15</v>
      </c>
      <c r="O1890" s="15">
        <f t="shared" si="426"/>
        <v>9.5912399999999991</v>
      </c>
      <c r="P1890" s="15">
        <f t="shared" si="427"/>
        <v>0</v>
      </c>
      <c r="Q1890" s="14" t="str">
        <f>IF(M1890&gt;=I1890*'Hoja 4 - Cálculo'!$B$16,"Satisfactorio","Falla")</f>
        <v>Satisfactorio</v>
      </c>
      <c r="R1890" s="14">
        <f t="shared" si="430"/>
        <v>0</v>
      </c>
      <c r="S1890" s="14">
        <f t="shared" si="431"/>
        <v>0</v>
      </c>
    </row>
    <row r="1891" spans="1:19">
      <c r="A1891" s="14" t="str">
        <f t="shared" si="428"/>
        <v>SRY-6-1</v>
      </c>
      <c r="B1891" s="15">
        <f>'Curvas SRY'!$B$13</f>
        <v>15</v>
      </c>
      <c r="C1891" s="15">
        <f>'Curvas SRY'!$E$8</f>
        <v>0.75</v>
      </c>
      <c r="D1891" s="14" t="str">
        <f>'Curvas SRY'!$B$14</f>
        <v>Uso variable</v>
      </c>
      <c r="E1891" s="14">
        <f>88</f>
        <v>88</v>
      </c>
      <c r="F1891" s="21">
        <f>'Hoja 4 - Cálculo'!A112</f>
        <v>32234</v>
      </c>
      <c r="G1891" s="15">
        <f>'Hoja 4 - Cálculo'!H112</f>
        <v>29.643750000000001</v>
      </c>
      <c r="H1891" s="15">
        <f>IF(D1891="Uso único",'Hoja 4 - Cálculo'!I112,IF(D1891="Uso múltiple",AVERAGE('Hoja 4 - Cálculo'!$I$25:$I$384)+AVERAGE('Hoja 4 - Cálculo'!$J$25:$J$384)+AVERAGE('Hoja 4 - Cálculo'!$K$25:$K$384),IF(D1891="Uso prioritario",'Hoja 4 - Cálculo'!I112+'Hoja 4 - Cálculo'!K112,'Hoja 4 - Cálculo'!I112+'Hoja 4 - Cálculo'!J112+'Hoja 4 - Cálculo'!K112)))</f>
        <v>11.5</v>
      </c>
      <c r="I1891" s="15">
        <f t="shared" si="422"/>
        <v>8.625</v>
      </c>
      <c r="J1891" s="15">
        <f t="shared" si="429"/>
        <v>15</v>
      </c>
      <c r="K1891" s="15">
        <f>MIN(J1891+G1891,(J1891+G1891)*'Hoja 4 - Cálculo'!$B$15)</f>
        <v>0.89287499999999997</v>
      </c>
      <c r="L1891" s="15">
        <f t="shared" si="423"/>
        <v>43.750875000000001</v>
      </c>
      <c r="M1891" s="15">
        <f t="shared" si="424"/>
        <v>8.625</v>
      </c>
      <c r="N1891" s="15">
        <f t="shared" si="425"/>
        <v>15</v>
      </c>
      <c r="O1891" s="15">
        <f t="shared" si="426"/>
        <v>20.125875000000001</v>
      </c>
      <c r="P1891" s="15">
        <f t="shared" si="427"/>
        <v>0</v>
      </c>
      <c r="Q1891" s="14" t="str">
        <f>IF(M1891&gt;=I1891*'Hoja 4 - Cálculo'!$B$16,"Satisfactorio","Falla")</f>
        <v>Satisfactorio</v>
      </c>
      <c r="R1891" s="14">
        <f t="shared" si="430"/>
        <v>0</v>
      </c>
      <c r="S1891" s="14">
        <f t="shared" si="431"/>
        <v>0</v>
      </c>
    </row>
    <row r="1892" spans="1:19">
      <c r="A1892" s="14" t="str">
        <f t="shared" si="428"/>
        <v>SRY-6-1</v>
      </c>
      <c r="B1892" s="15">
        <f>'Curvas SRY'!$B$13</f>
        <v>15</v>
      </c>
      <c r="C1892" s="15">
        <f>'Curvas SRY'!$E$8</f>
        <v>0.75</v>
      </c>
      <c r="D1892" s="14" t="str">
        <f>'Curvas SRY'!$B$14</f>
        <v>Uso variable</v>
      </c>
      <c r="E1892" s="14">
        <f>89</f>
        <v>89</v>
      </c>
      <c r="F1892" s="21">
        <f>'Hoja 4 - Cálculo'!A113</f>
        <v>32264</v>
      </c>
      <c r="G1892" s="15">
        <f>'Hoja 4 - Cálculo'!H113</f>
        <v>28.075500000000002</v>
      </c>
      <c r="H1892" s="15">
        <f>IF(D1892="Uso único",'Hoja 4 - Cálculo'!I113,IF(D1892="Uso múltiple",AVERAGE('Hoja 4 - Cálculo'!$I$25:$I$384)+AVERAGE('Hoja 4 - Cálculo'!$J$25:$J$384)+AVERAGE('Hoja 4 - Cálculo'!$K$25:$K$384),IF(D1892="Uso prioritario",'Hoja 4 - Cálculo'!I113+'Hoja 4 - Cálculo'!K113,'Hoja 4 - Cálculo'!I113+'Hoja 4 - Cálculo'!J113+'Hoja 4 - Cálculo'!K113)))</f>
        <v>11.5</v>
      </c>
      <c r="I1892" s="15">
        <f t="shared" si="422"/>
        <v>8.625</v>
      </c>
      <c r="J1892" s="15">
        <f t="shared" si="429"/>
        <v>15</v>
      </c>
      <c r="K1892" s="15">
        <f>MIN(J1892+G1892,(J1892+G1892)*'Hoja 4 - Cálculo'!$B$15)</f>
        <v>0.86151000000000011</v>
      </c>
      <c r="L1892" s="15">
        <f t="shared" si="423"/>
        <v>42.213990000000003</v>
      </c>
      <c r="M1892" s="15">
        <f t="shared" si="424"/>
        <v>8.625</v>
      </c>
      <c r="N1892" s="15">
        <f t="shared" si="425"/>
        <v>15</v>
      </c>
      <c r="O1892" s="15">
        <f t="shared" si="426"/>
        <v>18.588990000000003</v>
      </c>
      <c r="P1892" s="15">
        <f t="shared" si="427"/>
        <v>0</v>
      </c>
      <c r="Q1892" s="14" t="str">
        <f>IF(M1892&gt;=I1892*'Hoja 4 - Cálculo'!$B$16,"Satisfactorio","Falla")</f>
        <v>Satisfactorio</v>
      </c>
      <c r="R1892" s="14">
        <f t="shared" si="430"/>
        <v>0</v>
      </c>
      <c r="S1892" s="14">
        <f t="shared" si="431"/>
        <v>0</v>
      </c>
    </row>
    <row r="1893" spans="1:19">
      <c r="A1893" s="14" t="str">
        <f t="shared" si="428"/>
        <v>SRY-6-1</v>
      </c>
      <c r="B1893" s="15">
        <f>'Curvas SRY'!$B$13</f>
        <v>15</v>
      </c>
      <c r="C1893" s="15">
        <f>'Curvas SRY'!$E$8</f>
        <v>0.75</v>
      </c>
      <c r="D1893" s="14" t="str">
        <f>'Curvas SRY'!$B$14</f>
        <v>Uso variable</v>
      </c>
      <c r="E1893" s="14">
        <f>90</f>
        <v>90</v>
      </c>
      <c r="F1893" s="21">
        <f>'Hoja 4 - Cálculo'!A114</f>
        <v>32295</v>
      </c>
      <c r="G1893" s="15">
        <f>'Hoja 4 - Cálculo'!H114</f>
        <v>16.485749999999999</v>
      </c>
      <c r="H1893" s="15">
        <f>IF(D1893="Uso único",'Hoja 4 - Cálculo'!I114,IF(D1893="Uso múltiple",AVERAGE('Hoja 4 - Cálculo'!$I$25:$I$384)+AVERAGE('Hoja 4 - Cálculo'!$J$25:$J$384)+AVERAGE('Hoja 4 - Cálculo'!$K$25:$K$384),IF(D1893="Uso prioritario",'Hoja 4 - Cálculo'!I114+'Hoja 4 - Cálculo'!K114,'Hoja 4 - Cálculo'!I114+'Hoja 4 - Cálculo'!J114+'Hoja 4 - Cálculo'!K114)))</f>
        <v>11.5</v>
      </c>
      <c r="I1893" s="15">
        <f t="shared" si="422"/>
        <v>8.625</v>
      </c>
      <c r="J1893" s="15">
        <f t="shared" si="429"/>
        <v>15</v>
      </c>
      <c r="K1893" s="15">
        <f>MIN(J1893+G1893,(J1893+G1893)*'Hoja 4 - Cálculo'!$B$15)</f>
        <v>0.62971500000000002</v>
      </c>
      <c r="L1893" s="15">
        <f t="shared" si="423"/>
        <v>30.856034999999999</v>
      </c>
      <c r="M1893" s="15">
        <f t="shared" si="424"/>
        <v>8.625</v>
      </c>
      <c r="N1893" s="15">
        <f t="shared" si="425"/>
        <v>15</v>
      </c>
      <c r="O1893" s="15">
        <f t="shared" si="426"/>
        <v>7.2310349999999985</v>
      </c>
      <c r="P1893" s="15">
        <f t="shared" si="427"/>
        <v>0</v>
      </c>
      <c r="Q1893" s="14" t="str">
        <f>IF(M1893&gt;=I1893*'Hoja 4 - Cálculo'!$B$16,"Satisfactorio","Falla")</f>
        <v>Satisfactorio</v>
      </c>
      <c r="R1893" s="14">
        <f t="shared" si="430"/>
        <v>0</v>
      </c>
      <c r="S1893" s="14">
        <f t="shared" si="431"/>
        <v>0</v>
      </c>
    </row>
    <row r="1894" spans="1:19">
      <c r="A1894" s="14" t="str">
        <f t="shared" si="428"/>
        <v>SRY-6-1</v>
      </c>
      <c r="B1894" s="15">
        <f>'Curvas SRY'!$B$13</f>
        <v>15</v>
      </c>
      <c r="C1894" s="15">
        <f>'Curvas SRY'!$E$8</f>
        <v>0.75</v>
      </c>
      <c r="D1894" s="14" t="str">
        <f>'Curvas SRY'!$B$14</f>
        <v>Uso variable</v>
      </c>
      <c r="E1894" s="14">
        <f>91</f>
        <v>91</v>
      </c>
      <c r="F1894" s="21">
        <f>'Hoja 4 - Cálculo'!A115</f>
        <v>32325</v>
      </c>
      <c r="G1894" s="15">
        <f>'Hoja 4 - Cálculo'!H115</f>
        <v>13.827375</v>
      </c>
      <c r="H1894" s="15">
        <f>IF(D1894="Uso único",'Hoja 4 - Cálculo'!I115,IF(D1894="Uso múltiple",AVERAGE('Hoja 4 - Cálculo'!$I$25:$I$384)+AVERAGE('Hoja 4 - Cálculo'!$J$25:$J$384)+AVERAGE('Hoja 4 - Cálculo'!$K$25:$K$384),IF(D1894="Uso prioritario",'Hoja 4 - Cálculo'!I115+'Hoja 4 - Cálculo'!K115,'Hoja 4 - Cálculo'!I115+'Hoja 4 - Cálculo'!J115+'Hoja 4 - Cálculo'!K115)))</f>
        <v>16</v>
      </c>
      <c r="I1894" s="15">
        <f t="shared" si="422"/>
        <v>12</v>
      </c>
      <c r="J1894" s="15">
        <f t="shared" si="429"/>
        <v>15</v>
      </c>
      <c r="K1894" s="15">
        <f>MIN(J1894+G1894,(J1894+G1894)*'Hoja 4 - Cálculo'!$B$15)</f>
        <v>0.57654749999999999</v>
      </c>
      <c r="L1894" s="15">
        <f t="shared" si="423"/>
        <v>28.2508275</v>
      </c>
      <c r="M1894" s="15">
        <f t="shared" si="424"/>
        <v>12</v>
      </c>
      <c r="N1894" s="15">
        <f t="shared" si="425"/>
        <v>15</v>
      </c>
      <c r="O1894" s="15">
        <f t="shared" si="426"/>
        <v>1.2508274999999998</v>
      </c>
      <c r="P1894" s="15">
        <f t="shared" si="427"/>
        <v>0</v>
      </c>
      <c r="Q1894" s="14" t="str">
        <f>IF(M1894&gt;=I1894*'Hoja 4 - Cálculo'!$B$16,"Satisfactorio","Falla")</f>
        <v>Satisfactorio</v>
      </c>
      <c r="R1894" s="14">
        <f t="shared" si="430"/>
        <v>0</v>
      </c>
      <c r="S1894" s="14">
        <f t="shared" si="431"/>
        <v>0</v>
      </c>
    </row>
    <row r="1895" spans="1:19">
      <c r="A1895" s="14" t="str">
        <f t="shared" si="428"/>
        <v>SRY-6-1</v>
      </c>
      <c r="B1895" s="15">
        <f>'Curvas SRY'!$B$13</f>
        <v>15</v>
      </c>
      <c r="C1895" s="15">
        <f>'Curvas SRY'!$E$8</f>
        <v>0.75</v>
      </c>
      <c r="D1895" s="14" t="str">
        <f>'Curvas SRY'!$B$14</f>
        <v>Uso variable</v>
      </c>
      <c r="E1895" s="14">
        <f>92</f>
        <v>92</v>
      </c>
      <c r="F1895" s="21">
        <f>'Hoja 4 - Cálculo'!A116</f>
        <v>32356</v>
      </c>
      <c r="G1895" s="15">
        <f>'Hoja 4 - Cálculo'!H116</f>
        <v>14.783625000000001</v>
      </c>
      <c r="H1895" s="15">
        <f>IF(D1895="Uso único",'Hoja 4 - Cálculo'!I116,IF(D1895="Uso múltiple",AVERAGE('Hoja 4 - Cálculo'!$I$25:$I$384)+AVERAGE('Hoja 4 - Cálculo'!$J$25:$J$384)+AVERAGE('Hoja 4 - Cálculo'!$K$25:$K$384),IF(D1895="Uso prioritario",'Hoja 4 - Cálculo'!I116+'Hoja 4 - Cálculo'!K116,'Hoja 4 - Cálculo'!I116+'Hoja 4 - Cálculo'!J116+'Hoja 4 - Cálculo'!K116)))</f>
        <v>16</v>
      </c>
      <c r="I1895" s="15">
        <f t="shared" si="422"/>
        <v>12</v>
      </c>
      <c r="J1895" s="15">
        <f t="shared" si="429"/>
        <v>15</v>
      </c>
      <c r="K1895" s="15">
        <f>MIN(J1895+G1895,(J1895+G1895)*'Hoja 4 - Cálculo'!$B$15)</f>
        <v>0.59567250000000005</v>
      </c>
      <c r="L1895" s="15">
        <f t="shared" si="423"/>
        <v>29.187952500000002</v>
      </c>
      <c r="M1895" s="15">
        <f t="shared" si="424"/>
        <v>12</v>
      </c>
      <c r="N1895" s="15">
        <f t="shared" si="425"/>
        <v>15</v>
      </c>
      <c r="O1895" s="15">
        <f t="shared" si="426"/>
        <v>2.1879525000000015</v>
      </c>
      <c r="P1895" s="15">
        <f t="shared" si="427"/>
        <v>0</v>
      </c>
      <c r="Q1895" s="14" t="str">
        <f>IF(M1895&gt;=I1895*'Hoja 4 - Cálculo'!$B$16,"Satisfactorio","Falla")</f>
        <v>Satisfactorio</v>
      </c>
      <c r="R1895" s="14">
        <f t="shared" si="430"/>
        <v>0</v>
      </c>
      <c r="S1895" s="14">
        <f t="shared" si="431"/>
        <v>0</v>
      </c>
    </row>
    <row r="1896" spans="1:19">
      <c r="A1896" s="14" t="str">
        <f t="shared" si="428"/>
        <v>SRY-6-1</v>
      </c>
      <c r="B1896" s="15">
        <f>'Curvas SRY'!$B$13</f>
        <v>15</v>
      </c>
      <c r="C1896" s="15">
        <f>'Curvas SRY'!$E$8</f>
        <v>0.75</v>
      </c>
      <c r="D1896" s="14" t="str">
        <f>'Curvas SRY'!$B$14</f>
        <v>Uso variable</v>
      </c>
      <c r="E1896" s="14">
        <f>93</f>
        <v>93</v>
      </c>
      <c r="F1896" s="21">
        <f>'Hoja 4 - Cálculo'!A117</f>
        <v>32387</v>
      </c>
      <c r="G1896" s="15">
        <f>'Hoja 4 - Cálculo'!H117</f>
        <v>23.3325</v>
      </c>
      <c r="H1896" s="15">
        <f>IF(D1896="Uso único",'Hoja 4 - Cálculo'!I117,IF(D1896="Uso múltiple",AVERAGE('Hoja 4 - Cálculo'!$I$25:$I$384)+AVERAGE('Hoja 4 - Cálculo'!$J$25:$J$384)+AVERAGE('Hoja 4 - Cálculo'!$K$25:$K$384),IF(D1896="Uso prioritario",'Hoja 4 - Cálculo'!I117+'Hoja 4 - Cálculo'!K117,'Hoja 4 - Cálculo'!I117+'Hoja 4 - Cálculo'!J117+'Hoja 4 - Cálculo'!K117)))</f>
        <v>11.5</v>
      </c>
      <c r="I1896" s="15">
        <f t="shared" si="422"/>
        <v>8.625</v>
      </c>
      <c r="J1896" s="15">
        <f t="shared" si="429"/>
        <v>15</v>
      </c>
      <c r="K1896" s="15">
        <f>MIN(J1896+G1896,(J1896+G1896)*'Hoja 4 - Cálculo'!$B$15)</f>
        <v>0.76664999999999994</v>
      </c>
      <c r="L1896" s="15">
        <f t="shared" si="423"/>
        <v>37.565849999999998</v>
      </c>
      <c r="M1896" s="15">
        <f t="shared" si="424"/>
        <v>8.625</v>
      </c>
      <c r="N1896" s="15">
        <f t="shared" si="425"/>
        <v>15</v>
      </c>
      <c r="O1896" s="15">
        <f t="shared" si="426"/>
        <v>13.940849999999998</v>
      </c>
      <c r="P1896" s="15">
        <f t="shared" si="427"/>
        <v>0</v>
      </c>
      <c r="Q1896" s="14" t="str">
        <f>IF(M1896&gt;=I1896*'Hoja 4 - Cálculo'!$B$16,"Satisfactorio","Falla")</f>
        <v>Satisfactorio</v>
      </c>
      <c r="R1896" s="14">
        <f t="shared" si="430"/>
        <v>0</v>
      </c>
      <c r="S1896" s="14">
        <f t="shared" si="431"/>
        <v>0</v>
      </c>
    </row>
    <row r="1897" spans="1:19">
      <c r="A1897" s="14" t="str">
        <f t="shared" si="428"/>
        <v>SRY-6-1</v>
      </c>
      <c r="B1897" s="15">
        <f>'Curvas SRY'!$B$13</f>
        <v>15</v>
      </c>
      <c r="C1897" s="15">
        <f>'Curvas SRY'!$E$8</f>
        <v>0.75</v>
      </c>
      <c r="D1897" s="14" t="str">
        <f>'Curvas SRY'!$B$14</f>
        <v>Uso variable</v>
      </c>
      <c r="E1897" s="14">
        <f>94</f>
        <v>94</v>
      </c>
      <c r="F1897" s="21">
        <f>'Hoja 4 - Cálculo'!A118</f>
        <v>32417</v>
      </c>
      <c r="G1897" s="15">
        <f>'Hoja 4 - Cálculo'!H118</f>
        <v>32.015250000000002</v>
      </c>
      <c r="H1897" s="15">
        <f>IF(D1897="Uso único",'Hoja 4 - Cálculo'!I118,IF(D1897="Uso múltiple",AVERAGE('Hoja 4 - Cálculo'!$I$25:$I$384)+AVERAGE('Hoja 4 - Cálculo'!$J$25:$J$384)+AVERAGE('Hoja 4 - Cálculo'!$K$25:$K$384),IF(D1897="Uso prioritario",'Hoja 4 - Cálculo'!I118+'Hoja 4 - Cálculo'!K118,'Hoja 4 - Cálculo'!I118+'Hoja 4 - Cálculo'!J118+'Hoja 4 - Cálculo'!K118)))</f>
        <v>11.5</v>
      </c>
      <c r="I1897" s="15">
        <f t="shared" si="422"/>
        <v>8.625</v>
      </c>
      <c r="J1897" s="15">
        <f t="shared" si="429"/>
        <v>15</v>
      </c>
      <c r="K1897" s="15">
        <f>MIN(J1897+G1897,(J1897+G1897)*'Hoja 4 - Cálculo'!$B$15)</f>
        <v>0.94030500000000006</v>
      </c>
      <c r="L1897" s="15">
        <f t="shared" si="423"/>
        <v>46.074945</v>
      </c>
      <c r="M1897" s="15">
        <f t="shared" si="424"/>
        <v>8.625</v>
      </c>
      <c r="N1897" s="15">
        <f t="shared" si="425"/>
        <v>15</v>
      </c>
      <c r="O1897" s="15">
        <f t="shared" si="426"/>
        <v>22.449945</v>
      </c>
      <c r="P1897" s="15">
        <f t="shared" si="427"/>
        <v>0</v>
      </c>
      <c r="Q1897" s="14" t="str">
        <f>IF(M1897&gt;=I1897*'Hoja 4 - Cálculo'!$B$16,"Satisfactorio","Falla")</f>
        <v>Satisfactorio</v>
      </c>
      <c r="R1897" s="14">
        <f t="shared" si="430"/>
        <v>0</v>
      </c>
      <c r="S1897" s="14">
        <f t="shared" si="431"/>
        <v>0</v>
      </c>
    </row>
    <row r="1898" spans="1:19">
      <c r="A1898" s="14" t="str">
        <f t="shared" si="428"/>
        <v>SRY-6-1</v>
      </c>
      <c r="B1898" s="15">
        <f>'Curvas SRY'!$B$13</f>
        <v>15</v>
      </c>
      <c r="C1898" s="15">
        <f>'Curvas SRY'!$E$8</f>
        <v>0.75</v>
      </c>
      <c r="D1898" s="14" t="str">
        <f>'Curvas SRY'!$B$14</f>
        <v>Uso variable</v>
      </c>
      <c r="E1898" s="14">
        <f>95</f>
        <v>95</v>
      </c>
      <c r="F1898" s="21">
        <f>'Hoja 4 - Cálculo'!A119</f>
        <v>32448</v>
      </c>
      <c r="G1898" s="15">
        <f>'Hoja 4 - Cálculo'!H119</f>
        <v>25.876124999999998</v>
      </c>
      <c r="H1898" s="15">
        <f>IF(D1898="Uso único",'Hoja 4 - Cálculo'!I119,IF(D1898="Uso múltiple",AVERAGE('Hoja 4 - Cálculo'!$I$25:$I$384)+AVERAGE('Hoja 4 - Cálculo'!$J$25:$J$384)+AVERAGE('Hoja 4 - Cálculo'!$K$25:$K$384),IF(D1898="Uso prioritario",'Hoja 4 - Cálculo'!I119+'Hoja 4 - Cálculo'!K119,'Hoja 4 - Cálculo'!I119+'Hoja 4 - Cálculo'!J119+'Hoja 4 - Cálculo'!K119)))</f>
        <v>11.5</v>
      </c>
      <c r="I1898" s="15">
        <f t="shared" si="422"/>
        <v>8.625</v>
      </c>
      <c r="J1898" s="15">
        <f t="shared" si="429"/>
        <v>15</v>
      </c>
      <c r="K1898" s="15">
        <f>MIN(J1898+G1898,(J1898+G1898)*'Hoja 4 - Cálculo'!$B$15)</f>
        <v>0.81752250000000004</v>
      </c>
      <c r="L1898" s="15">
        <f t="shared" si="423"/>
        <v>40.058602499999999</v>
      </c>
      <c r="M1898" s="15">
        <f t="shared" si="424"/>
        <v>8.625</v>
      </c>
      <c r="N1898" s="15">
        <f t="shared" si="425"/>
        <v>15</v>
      </c>
      <c r="O1898" s="15">
        <f t="shared" si="426"/>
        <v>16.433602499999999</v>
      </c>
      <c r="P1898" s="15">
        <f t="shared" si="427"/>
        <v>0</v>
      </c>
      <c r="Q1898" s="14" t="str">
        <f>IF(M1898&gt;=I1898*'Hoja 4 - Cálculo'!$B$16,"Satisfactorio","Falla")</f>
        <v>Satisfactorio</v>
      </c>
      <c r="R1898" s="14">
        <f t="shared" si="430"/>
        <v>0</v>
      </c>
      <c r="S1898" s="14">
        <f t="shared" si="431"/>
        <v>0</v>
      </c>
    </row>
    <row r="1899" spans="1:19">
      <c r="A1899" s="14" t="str">
        <f t="shared" si="428"/>
        <v>SRY-6-1</v>
      </c>
      <c r="B1899" s="15">
        <f>'Curvas SRY'!$B$13</f>
        <v>15</v>
      </c>
      <c r="C1899" s="15">
        <f>'Curvas SRY'!$E$8</f>
        <v>0.75</v>
      </c>
      <c r="D1899" s="14" t="str">
        <f>'Curvas SRY'!$B$14</f>
        <v>Uso variable</v>
      </c>
      <c r="E1899" s="14">
        <f>96</f>
        <v>96</v>
      </c>
      <c r="F1899" s="21">
        <f>'Hoja 4 - Cálculo'!A120</f>
        <v>32478</v>
      </c>
      <c r="G1899" s="15">
        <f>'Hoja 4 - Cálculo'!H120</f>
        <v>16.218</v>
      </c>
      <c r="H1899" s="15">
        <f>IF(D1899="Uso único",'Hoja 4 - Cálculo'!I120,IF(D1899="Uso múltiple",AVERAGE('Hoja 4 - Cálculo'!$I$25:$I$384)+AVERAGE('Hoja 4 - Cálculo'!$J$25:$J$384)+AVERAGE('Hoja 4 - Cálculo'!$K$25:$K$384),IF(D1899="Uso prioritario",'Hoja 4 - Cálculo'!I120+'Hoja 4 - Cálculo'!K120,'Hoja 4 - Cálculo'!I120+'Hoja 4 - Cálculo'!J120+'Hoja 4 - Cálculo'!K120)))</f>
        <v>16</v>
      </c>
      <c r="I1899" s="15">
        <f t="shared" si="422"/>
        <v>12</v>
      </c>
      <c r="J1899" s="15">
        <f t="shared" si="429"/>
        <v>15</v>
      </c>
      <c r="K1899" s="15">
        <f>MIN(J1899+G1899,(J1899+G1899)*'Hoja 4 - Cálculo'!$B$15)</f>
        <v>0.62436000000000003</v>
      </c>
      <c r="L1899" s="15">
        <f t="shared" si="423"/>
        <v>30.593640000000001</v>
      </c>
      <c r="M1899" s="15">
        <f t="shared" si="424"/>
        <v>12</v>
      </c>
      <c r="N1899" s="15">
        <f t="shared" si="425"/>
        <v>15</v>
      </c>
      <c r="O1899" s="15">
        <f t="shared" si="426"/>
        <v>3.5936400000000006</v>
      </c>
      <c r="P1899" s="15">
        <f t="shared" si="427"/>
        <v>0</v>
      </c>
      <c r="Q1899" s="14" t="str">
        <f>IF(M1899&gt;=I1899*'Hoja 4 - Cálculo'!$B$16,"Satisfactorio","Falla")</f>
        <v>Satisfactorio</v>
      </c>
      <c r="R1899" s="14">
        <f t="shared" si="430"/>
        <v>0</v>
      </c>
      <c r="S1899" s="14">
        <f t="shared" si="431"/>
        <v>0</v>
      </c>
    </row>
    <row r="1900" spans="1:19">
      <c r="A1900" s="14" t="str">
        <f t="shared" ref="A1900:A1923" si="432">"SRY-6-1"</f>
        <v>SRY-6-1</v>
      </c>
      <c r="B1900" s="15">
        <f>'Curvas SRY'!$B$13</f>
        <v>15</v>
      </c>
      <c r="C1900" s="15">
        <f>'Curvas SRY'!$E$8</f>
        <v>0.75</v>
      </c>
      <c r="D1900" s="14" t="str">
        <f>'Curvas SRY'!$B$14</f>
        <v>Uso variable</v>
      </c>
      <c r="E1900" s="14">
        <f>97</f>
        <v>97</v>
      </c>
      <c r="F1900" s="21">
        <f>'Hoja 4 - Cálculo'!A121</f>
        <v>32509</v>
      </c>
      <c r="G1900" s="15">
        <f>'Hoja 4 - Cálculo'!H121</f>
        <v>11.761875</v>
      </c>
      <c r="H1900" s="15">
        <f>IF(D1900="Uso único",'Hoja 4 - Cálculo'!I121,IF(D1900="Uso múltiple",AVERAGE('Hoja 4 - Cálculo'!$I$25:$I$384)+AVERAGE('Hoja 4 - Cálculo'!$J$25:$J$384)+AVERAGE('Hoja 4 - Cálculo'!$K$25:$K$384),IF(D1900="Uso prioritario",'Hoja 4 - Cálculo'!I121+'Hoja 4 - Cálculo'!K121,'Hoja 4 - Cálculo'!I121+'Hoja 4 - Cálculo'!J121+'Hoja 4 - Cálculo'!K121)))</f>
        <v>16</v>
      </c>
      <c r="I1900" s="15">
        <f t="shared" si="422"/>
        <v>12</v>
      </c>
      <c r="J1900" s="15">
        <f t="shared" si="429"/>
        <v>15</v>
      </c>
      <c r="K1900" s="15">
        <f>MIN(J1900+G1900,(J1900+G1900)*'Hoja 4 - Cálculo'!$B$15)</f>
        <v>0.53523750000000003</v>
      </c>
      <c r="L1900" s="15">
        <f t="shared" si="423"/>
        <v>26.226637499999999</v>
      </c>
      <c r="M1900" s="15">
        <f t="shared" si="424"/>
        <v>12</v>
      </c>
      <c r="N1900" s="15">
        <f t="shared" si="425"/>
        <v>14.226637499999999</v>
      </c>
      <c r="O1900" s="15">
        <f t="shared" si="426"/>
        <v>0</v>
      </c>
      <c r="P1900" s="15">
        <f t="shared" si="427"/>
        <v>0</v>
      </c>
      <c r="Q1900" s="14" t="str">
        <f>IF(M1900&gt;=I1900*'Hoja 4 - Cálculo'!$B$16,"Satisfactorio","Falla")</f>
        <v>Satisfactorio</v>
      </c>
      <c r="R1900" s="14">
        <f t="shared" si="430"/>
        <v>0</v>
      </c>
      <c r="S1900" s="14">
        <f t="shared" si="431"/>
        <v>0</v>
      </c>
    </row>
    <row r="1901" spans="1:19">
      <c r="A1901" s="14" t="str">
        <f t="shared" si="432"/>
        <v>SRY-6-1</v>
      </c>
      <c r="B1901" s="15">
        <f>'Curvas SRY'!$B$13</f>
        <v>15</v>
      </c>
      <c r="C1901" s="15">
        <f>'Curvas SRY'!$E$8</f>
        <v>0.75</v>
      </c>
      <c r="D1901" s="14" t="str">
        <f>'Curvas SRY'!$B$14</f>
        <v>Uso variable</v>
      </c>
      <c r="E1901" s="14">
        <f>98</f>
        <v>98</v>
      </c>
      <c r="F1901" s="21">
        <f>'Hoja 4 - Cálculo'!A122</f>
        <v>32540</v>
      </c>
      <c r="G1901" s="15">
        <f>'Hoja 4 - Cálculo'!H122</f>
        <v>12.43125</v>
      </c>
      <c r="H1901" s="15">
        <f>IF(D1901="Uso único",'Hoja 4 - Cálculo'!I122,IF(D1901="Uso múltiple",AVERAGE('Hoja 4 - Cálculo'!$I$25:$I$384)+AVERAGE('Hoja 4 - Cálculo'!$J$25:$J$384)+AVERAGE('Hoja 4 - Cálculo'!$K$25:$K$384),IF(D1901="Uso prioritario",'Hoja 4 - Cálculo'!I122+'Hoja 4 - Cálculo'!K122,'Hoja 4 - Cálculo'!I122+'Hoja 4 - Cálculo'!J122+'Hoja 4 - Cálculo'!K122)))</f>
        <v>16</v>
      </c>
      <c r="I1901" s="15">
        <f t="shared" si="422"/>
        <v>12</v>
      </c>
      <c r="J1901" s="15">
        <f t="shared" ref="J1901:J1923" si="433">N1900</f>
        <v>14.226637499999999</v>
      </c>
      <c r="K1901" s="15">
        <f>MIN(J1901+G1901,(J1901+G1901)*'Hoja 4 - Cálculo'!$B$15)</f>
        <v>0.53315774999999999</v>
      </c>
      <c r="L1901" s="15">
        <f t="shared" si="423"/>
        <v>26.12472975</v>
      </c>
      <c r="M1901" s="15">
        <f t="shared" si="424"/>
        <v>12</v>
      </c>
      <c r="N1901" s="15">
        <f t="shared" si="425"/>
        <v>14.12472975</v>
      </c>
      <c r="O1901" s="15">
        <f t="shared" si="426"/>
        <v>0</v>
      </c>
      <c r="P1901" s="15">
        <f t="shared" si="427"/>
        <v>0</v>
      </c>
      <c r="Q1901" s="14" t="str">
        <f>IF(M1901&gt;=I1901*'Hoja 4 - Cálculo'!$B$16,"Satisfactorio","Falla")</f>
        <v>Satisfactorio</v>
      </c>
      <c r="R1901" s="14">
        <f t="shared" ref="R1901:R1932" si="434">IF(AND(Q1900="Falla",Q1901="Satisfactorio"),1,0)</f>
        <v>0</v>
      </c>
      <c r="S1901" s="14">
        <f t="shared" ref="S1901:S1923" si="435">IF(AND(Q1901="Falla",Q1900&lt;&gt;"Falla"),1,0)</f>
        <v>0</v>
      </c>
    </row>
    <row r="1902" spans="1:19">
      <c r="A1902" s="14" t="str">
        <f t="shared" si="432"/>
        <v>SRY-6-1</v>
      </c>
      <c r="B1902" s="15">
        <f>'Curvas SRY'!$B$13</f>
        <v>15</v>
      </c>
      <c r="C1902" s="15">
        <f>'Curvas SRY'!$E$8</f>
        <v>0.75</v>
      </c>
      <c r="D1902" s="14" t="str">
        <f>'Curvas SRY'!$B$14</f>
        <v>Uso variable</v>
      </c>
      <c r="E1902" s="14">
        <f>99</f>
        <v>99</v>
      </c>
      <c r="F1902" s="21">
        <f>'Hoja 4 - Cálculo'!A123</f>
        <v>32568</v>
      </c>
      <c r="G1902" s="15">
        <f>'Hoja 4 - Cálculo'!H123</f>
        <v>19.717874999999999</v>
      </c>
      <c r="H1902" s="15">
        <f>IF(D1902="Uso único",'Hoja 4 - Cálculo'!I123,IF(D1902="Uso múltiple",AVERAGE('Hoja 4 - Cálculo'!$I$25:$I$384)+AVERAGE('Hoja 4 - Cálculo'!$J$25:$J$384)+AVERAGE('Hoja 4 - Cálculo'!$K$25:$K$384),IF(D1902="Uso prioritario",'Hoja 4 - Cálculo'!I123+'Hoja 4 - Cálculo'!K123,'Hoja 4 - Cálculo'!I123+'Hoja 4 - Cálculo'!J123+'Hoja 4 - Cálculo'!K123)))</f>
        <v>16</v>
      </c>
      <c r="I1902" s="15">
        <f t="shared" si="422"/>
        <v>12</v>
      </c>
      <c r="J1902" s="15">
        <f t="shared" si="433"/>
        <v>14.12472975</v>
      </c>
      <c r="K1902" s="15">
        <f>MIN(J1902+G1902,(J1902+G1902)*'Hoja 4 - Cálculo'!$B$15)</f>
        <v>0.67685209499999999</v>
      </c>
      <c r="L1902" s="15">
        <f t="shared" si="423"/>
        <v>33.165752654999999</v>
      </c>
      <c r="M1902" s="15">
        <f t="shared" si="424"/>
        <v>12</v>
      </c>
      <c r="N1902" s="15">
        <f t="shared" si="425"/>
        <v>15</v>
      </c>
      <c r="O1902" s="15">
        <f t="shared" si="426"/>
        <v>6.1657526549999986</v>
      </c>
      <c r="P1902" s="15">
        <f t="shared" si="427"/>
        <v>0</v>
      </c>
      <c r="Q1902" s="14" t="str">
        <f>IF(M1902&gt;=I1902*'Hoja 4 - Cálculo'!$B$16,"Satisfactorio","Falla")</f>
        <v>Satisfactorio</v>
      </c>
      <c r="R1902" s="14">
        <f t="shared" si="434"/>
        <v>0</v>
      </c>
      <c r="S1902" s="14">
        <f t="shared" si="435"/>
        <v>0</v>
      </c>
    </row>
    <row r="1903" spans="1:19">
      <c r="A1903" s="14" t="str">
        <f t="shared" si="432"/>
        <v>SRY-6-1</v>
      </c>
      <c r="B1903" s="15">
        <f>'Curvas SRY'!$B$13</f>
        <v>15</v>
      </c>
      <c r="C1903" s="15">
        <f>'Curvas SRY'!$E$8</f>
        <v>0.75</v>
      </c>
      <c r="D1903" s="14" t="str">
        <f>'Curvas SRY'!$B$14</f>
        <v>Uso variable</v>
      </c>
      <c r="E1903" s="14">
        <f>100</f>
        <v>100</v>
      </c>
      <c r="F1903" s="21">
        <f>'Hoja 4 - Cálculo'!A124</f>
        <v>32599</v>
      </c>
      <c r="G1903" s="15">
        <f>'Hoja 4 - Cálculo'!H124</f>
        <v>26.029125000000001</v>
      </c>
      <c r="H1903" s="15">
        <f>IF(D1903="Uso único",'Hoja 4 - Cálculo'!I124,IF(D1903="Uso múltiple",AVERAGE('Hoja 4 - Cálculo'!$I$25:$I$384)+AVERAGE('Hoja 4 - Cálculo'!$J$25:$J$384)+AVERAGE('Hoja 4 - Cálculo'!$K$25:$K$384),IF(D1903="Uso prioritario",'Hoja 4 - Cálculo'!I124+'Hoja 4 - Cálculo'!K124,'Hoja 4 - Cálculo'!I124+'Hoja 4 - Cálculo'!J124+'Hoja 4 - Cálculo'!K124)))</f>
        <v>11.5</v>
      </c>
      <c r="I1903" s="15">
        <f t="shared" si="422"/>
        <v>8.625</v>
      </c>
      <c r="J1903" s="15">
        <f t="shared" si="433"/>
        <v>15</v>
      </c>
      <c r="K1903" s="15">
        <f>MIN(J1903+G1903,(J1903+G1903)*'Hoja 4 - Cálculo'!$B$15)</f>
        <v>0.82058249999999999</v>
      </c>
      <c r="L1903" s="15">
        <f t="shared" si="423"/>
        <v>40.2085425</v>
      </c>
      <c r="M1903" s="15">
        <f t="shared" si="424"/>
        <v>8.625</v>
      </c>
      <c r="N1903" s="15">
        <f t="shared" si="425"/>
        <v>15</v>
      </c>
      <c r="O1903" s="15">
        <f t="shared" si="426"/>
        <v>16.5835425</v>
      </c>
      <c r="P1903" s="15">
        <f t="shared" si="427"/>
        <v>0</v>
      </c>
      <c r="Q1903" s="14" t="str">
        <f>IF(M1903&gt;=I1903*'Hoja 4 - Cálculo'!$B$16,"Satisfactorio","Falla")</f>
        <v>Satisfactorio</v>
      </c>
      <c r="R1903" s="14">
        <f t="shared" si="434"/>
        <v>0</v>
      </c>
      <c r="S1903" s="14">
        <f t="shared" si="435"/>
        <v>0</v>
      </c>
    </row>
    <row r="1904" spans="1:19">
      <c r="A1904" s="14" t="str">
        <f t="shared" si="432"/>
        <v>SRY-6-1</v>
      </c>
      <c r="B1904" s="15">
        <f>'Curvas SRY'!$B$13</f>
        <v>15</v>
      </c>
      <c r="C1904" s="15">
        <f>'Curvas SRY'!$E$8</f>
        <v>0.75</v>
      </c>
      <c r="D1904" s="14" t="str">
        <f>'Curvas SRY'!$B$14</f>
        <v>Uso variable</v>
      </c>
      <c r="E1904" s="14">
        <f>101</f>
        <v>101</v>
      </c>
      <c r="F1904" s="21">
        <f>'Hoja 4 - Cálculo'!A125</f>
        <v>32629</v>
      </c>
      <c r="G1904" s="15">
        <f>'Hoja 4 - Cálculo'!H125</f>
        <v>24.728625000000005</v>
      </c>
      <c r="H1904" s="15">
        <f>IF(D1904="Uso único",'Hoja 4 - Cálculo'!I125,IF(D1904="Uso múltiple",AVERAGE('Hoja 4 - Cálculo'!$I$25:$I$384)+AVERAGE('Hoja 4 - Cálculo'!$J$25:$J$384)+AVERAGE('Hoja 4 - Cálculo'!$K$25:$K$384),IF(D1904="Uso prioritario",'Hoja 4 - Cálculo'!I125+'Hoja 4 - Cálculo'!K125,'Hoja 4 - Cálculo'!I125+'Hoja 4 - Cálculo'!J125+'Hoja 4 - Cálculo'!K125)))</f>
        <v>11.5</v>
      </c>
      <c r="I1904" s="15">
        <f t="shared" si="422"/>
        <v>8.625</v>
      </c>
      <c r="J1904" s="15">
        <f t="shared" si="433"/>
        <v>15</v>
      </c>
      <c r="K1904" s="15">
        <f>MIN(J1904+G1904,(J1904+G1904)*'Hoja 4 - Cálculo'!$B$15)</f>
        <v>0.79457250000000013</v>
      </c>
      <c r="L1904" s="15">
        <f t="shared" si="423"/>
        <v>38.934052500000007</v>
      </c>
      <c r="M1904" s="15">
        <f t="shared" si="424"/>
        <v>8.625</v>
      </c>
      <c r="N1904" s="15">
        <f t="shared" si="425"/>
        <v>15</v>
      </c>
      <c r="O1904" s="15">
        <f t="shared" si="426"/>
        <v>15.309052500000007</v>
      </c>
      <c r="P1904" s="15">
        <f t="shared" si="427"/>
        <v>0</v>
      </c>
      <c r="Q1904" s="14" t="str">
        <f>IF(M1904&gt;=I1904*'Hoja 4 - Cálculo'!$B$16,"Satisfactorio","Falla")</f>
        <v>Satisfactorio</v>
      </c>
      <c r="R1904" s="14">
        <f t="shared" si="434"/>
        <v>0</v>
      </c>
      <c r="S1904" s="14">
        <f t="shared" si="435"/>
        <v>0</v>
      </c>
    </row>
    <row r="1905" spans="1:19">
      <c r="A1905" s="14" t="str">
        <f t="shared" si="432"/>
        <v>SRY-6-1</v>
      </c>
      <c r="B1905" s="15">
        <f>'Curvas SRY'!$B$13</f>
        <v>15</v>
      </c>
      <c r="C1905" s="15">
        <f>'Curvas SRY'!$E$8</f>
        <v>0.75</v>
      </c>
      <c r="D1905" s="14" t="str">
        <f>'Curvas SRY'!$B$14</f>
        <v>Uso variable</v>
      </c>
      <c r="E1905" s="14">
        <f>102</f>
        <v>102</v>
      </c>
      <c r="F1905" s="21">
        <f>'Hoja 4 - Cálculo'!A126</f>
        <v>32660</v>
      </c>
      <c r="G1905" s="15">
        <f>'Hoja 4 - Cálculo'!H126</f>
        <v>14.515874999999999</v>
      </c>
      <c r="H1905" s="15">
        <f>IF(D1905="Uso único",'Hoja 4 - Cálculo'!I126,IF(D1905="Uso múltiple",AVERAGE('Hoja 4 - Cálculo'!$I$25:$I$384)+AVERAGE('Hoja 4 - Cálculo'!$J$25:$J$384)+AVERAGE('Hoja 4 - Cálculo'!$K$25:$K$384),IF(D1905="Uso prioritario",'Hoja 4 - Cálculo'!I126+'Hoja 4 - Cálculo'!K126,'Hoja 4 - Cálculo'!I126+'Hoja 4 - Cálculo'!J126+'Hoja 4 - Cálculo'!K126)))</f>
        <v>11.5</v>
      </c>
      <c r="I1905" s="15">
        <f t="shared" si="422"/>
        <v>8.625</v>
      </c>
      <c r="J1905" s="15">
        <f t="shared" si="433"/>
        <v>15</v>
      </c>
      <c r="K1905" s="15">
        <f>MIN(J1905+G1905,(J1905+G1905)*'Hoja 4 - Cálculo'!$B$15)</f>
        <v>0.59031750000000005</v>
      </c>
      <c r="L1905" s="15">
        <f t="shared" si="423"/>
        <v>28.9255575</v>
      </c>
      <c r="M1905" s="15">
        <f t="shared" si="424"/>
        <v>8.625</v>
      </c>
      <c r="N1905" s="15">
        <f t="shared" si="425"/>
        <v>15</v>
      </c>
      <c r="O1905" s="15">
        <f t="shared" si="426"/>
        <v>5.3005575</v>
      </c>
      <c r="P1905" s="15">
        <f t="shared" si="427"/>
        <v>0</v>
      </c>
      <c r="Q1905" s="14" t="str">
        <f>IF(M1905&gt;=I1905*'Hoja 4 - Cálculo'!$B$16,"Satisfactorio","Falla")</f>
        <v>Satisfactorio</v>
      </c>
      <c r="R1905" s="14">
        <f t="shared" si="434"/>
        <v>0</v>
      </c>
      <c r="S1905" s="14">
        <f t="shared" si="435"/>
        <v>0</v>
      </c>
    </row>
    <row r="1906" spans="1:19">
      <c r="A1906" s="14" t="str">
        <f t="shared" si="432"/>
        <v>SRY-6-1</v>
      </c>
      <c r="B1906" s="15">
        <f>'Curvas SRY'!$B$13</f>
        <v>15</v>
      </c>
      <c r="C1906" s="15">
        <f>'Curvas SRY'!$E$8</f>
        <v>0.75</v>
      </c>
      <c r="D1906" s="14" t="str">
        <f>'Curvas SRY'!$B$14</f>
        <v>Uso variable</v>
      </c>
      <c r="E1906" s="14">
        <f>103</f>
        <v>103</v>
      </c>
      <c r="F1906" s="21">
        <f>'Hoja 4 - Cálculo'!A127</f>
        <v>32690</v>
      </c>
      <c r="G1906" s="15">
        <f>'Hoja 4 - Cálculo'!H127</f>
        <v>12.144375</v>
      </c>
      <c r="H1906" s="15">
        <f>IF(D1906="Uso único",'Hoja 4 - Cálculo'!I127,IF(D1906="Uso múltiple",AVERAGE('Hoja 4 - Cálculo'!$I$25:$I$384)+AVERAGE('Hoja 4 - Cálculo'!$J$25:$J$384)+AVERAGE('Hoja 4 - Cálculo'!$K$25:$K$384),IF(D1906="Uso prioritario",'Hoja 4 - Cálculo'!I127+'Hoja 4 - Cálculo'!K127,'Hoja 4 - Cálculo'!I127+'Hoja 4 - Cálculo'!J127+'Hoja 4 - Cálculo'!K127)))</f>
        <v>16</v>
      </c>
      <c r="I1906" s="15">
        <f t="shared" si="422"/>
        <v>12</v>
      </c>
      <c r="J1906" s="15">
        <f t="shared" si="433"/>
        <v>15</v>
      </c>
      <c r="K1906" s="15">
        <f>MIN(J1906+G1906,(J1906+G1906)*'Hoja 4 - Cálculo'!$B$15)</f>
        <v>0.54288749999999997</v>
      </c>
      <c r="L1906" s="15">
        <f t="shared" si="423"/>
        <v>26.601487500000001</v>
      </c>
      <c r="M1906" s="15">
        <f t="shared" si="424"/>
        <v>12</v>
      </c>
      <c r="N1906" s="15">
        <f t="shared" si="425"/>
        <v>14.601487500000001</v>
      </c>
      <c r="O1906" s="15">
        <f t="shared" si="426"/>
        <v>0</v>
      </c>
      <c r="P1906" s="15">
        <f t="shared" si="427"/>
        <v>0</v>
      </c>
      <c r="Q1906" s="14" t="str">
        <f>IF(M1906&gt;=I1906*'Hoja 4 - Cálculo'!$B$16,"Satisfactorio","Falla")</f>
        <v>Satisfactorio</v>
      </c>
      <c r="R1906" s="14">
        <f t="shared" si="434"/>
        <v>0</v>
      </c>
      <c r="S1906" s="14">
        <f t="shared" si="435"/>
        <v>0</v>
      </c>
    </row>
    <row r="1907" spans="1:19">
      <c r="A1907" s="14" t="str">
        <f t="shared" si="432"/>
        <v>SRY-6-1</v>
      </c>
      <c r="B1907" s="15">
        <f>'Curvas SRY'!$B$13</f>
        <v>15</v>
      </c>
      <c r="C1907" s="15">
        <f>'Curvas SRY'!$E$8</f>
        <v>0.75</v>
      </c>
      <c r="D1907" s="14" t="str">
        <f>'Curvas SRY'!$B$14</f>
        <v>Uso variable</v>
      </c>
      <c r="E1907" s="14">
        <f>104</f>
        <v>104</v>
      </c>
      <c r="F1907" s="21">
        <f>'Hoja 4 - Cálculo'!A128</f>
        <v>32721</v>
      </c>
      <c r="G1907" s="15">
        <f>'Hoja 4 - Cálculo'!H128</f>
        <v>13.04325</v>
      </c>
      <c r="H1907" s="15">
        <f>IF(D1907="Uso único",'Hoja 4 - Cálculo'!I128,IF(D1907="Uso múltiple",AVERAGE('Hoja 4 - Cálculo'!$I$25:$I$384)+AVERAGE('Hoja 4 - Cálculo'!$J$25:$J$384)+AVERAGE('Hoja 4 - Cálculo'!$K$25:$K$384),IF(D1907="Uso prioritario",'Hoja 4 - Cálculo'!I128+'Hoja 4 - Cálculo'!K128,'Hoja 4 - Cálculo'!I128+'Hoja 4 - Cálculo'!J128+'Hoja 4 - Cálculo'!K128)))</f>
        <v>16</v>
      </c>
      <c r="I1907" s="15">
        <f t="shared" si="422"/>
        <v>12</v>
      </c>
      <c r="J1907" s="15">
        <f t="shared" si="433"/>
        <v>14.601487500000001</v>
      </c>
      <c r="K1907" s="15">
        <f>MIN(J1907+G1907,(J1907+G1907)*'Hoja 4 - Cálculo'!$B$15)</f>
        <v>0.55289474999999999</v>
      </c>
      <c r="L1907" s="15">
        <f t="shared" si="423"/>
        <v>27.091842750000001</v>
      </c>
      <c r="M1907" s="15">
        <f t="shared" si="424"/>
        <v>12</v>
      </c>
      <c r="N1907" s="15">
        <f t="shared" si="425"/>
        <v>15</v>
      </c>
      <c r="O1907" s="15">
        <f t="shared" si="426"/>
        <v>9.1842750000001416E-2</v>
      </c>
      <c r="P1907" s="15">
        <f t="shared" si="427"/>
        <v>0</v>
      </c>
      <c r="Q1907" s="14" t="str">
        <f>IF(M1907&gt;=I1907*'Hoja 4 - Cálculo'!$B$16,"Satisfactorio","Falla")</f>
        <v>Satisfactorio</v>
      </c>
      <c r="R1907" s="14">
        <f t="shared" si="434"/>
        <v>0</v>
      </c>
      <c r="S1907" s="14">
        <f t="shared" si="435"/>
        <v>0</v>
      </c>
    </row>
    <row r="1908" spans="1:19">
      <c r="A1908" s="14" t="str">
        <f t="shared" si="432"/>
        <v>SRY-6-1</v>
      </c>
      <c r="B1908" s="15">
        <f>'Curvas SRY'!$B$13</f>
        <v>15</v>
      </c>
      <c r="C1908" s="15">
        <f>'Curvas SRY'!$E$8</f>
        <v>0.75</v>
      </c>
      <c r="D1908" s="14" t="str">
        <f>'Curvas SRY'!$B$14</f>
        <v>Uso variable</v>
      </c>
      <c r="E1908" s="14">
        <f>105</f>
        <v>105</v>
      </c>
      <c r="F1908" s="21">
        <f>'Hoja 4 - Cálculo'!A129</f>
        <v>32752</v>
      </c>
      <c r="G1908" s="15">
        <f>'Hoja 4 - Cálculo'!H129</f>
        <v>20.444624999999998</v>
      </c>
      <c r="H1908" s="15">
        <f>IF(D1908="Uso único",'Hoja 4 - Cálculo'!I129,IF(D1908="Uso múltiple",AVERAGE('Hoja 4 - Cálculo'!$I$25:$I$384)+AVERAGE('Hoja 4 - Cálculo'!$J$25:$J$384)+AVERAGE('Hoja 4 - Cálculo'!$K$25:$K$384),IF(D1908="Uso prioritario",'Hoja 4 - Cálculo'!I129+'Hoja 4 - Cálculo'!K129,'Hoja 4 - Cálculo'!I129+'Hoja 4 - Cálculo'!J129+'Hoja 4 - Cálculo'!K129)))</f>
        <v>11.5</v>
      </c>
      <c r="I1908" s="15">
        <f t="shared" si="422"/>
        <v>8.625</v>
      </c>
      <c r="J1908" s="15">
        <f t="shared" si="433"/>
        <v>15</v>
      </c>
      <c r="K1908" s="15">
        <f>MIN(J1908+G1908,(J1908+G1908)*'Hoja 4 - Cálculo'!$B$15)</f>
        <v>0.70889250000000004</v>
      </c>
      <c r="L1908" s="15">
        <f t="shared" si="423"/>
        <v>34.735732500000005</v>
      </c>
      <c r="M1908" s="15">
        <f t="shared" si="424"/>
        <v>8.625</v>
      </c>
      <c r="N1908" s="15">
        <f t="shared" si="425"/>
        <v>15</v>
      </c>
      <c r="O1908" s="15">
        <f t="shared" si="426"/>
        <v>11.110732500000005</v>
      </c>
      <c r="P1908" s="15">
        <f t="shared" si="427"/>
        <v>0</v>
      </c>
      <c r="Q1908" s="14" t="str">
        <f>IF(M1908&gt;=I1908*'Hoja 4 - Cálculo'!$B$16,"Satisfactorio","Falla")</f>
        <v>Satisfactorio</v>
      </c>
      <c r="R1908" s="14">
        <f t="shared" si="434"/>
        <v>0</v>
      </c>
      <c r="S1908" s="14">
        <f t="shared" si="435"/>
        <v>0</v>
      </c>
    </row>
    <row r="1909" spans="1:19">
      <c r="A1909" s="14" t="str">
        <f t="shared" si="432"/>
        <v>SRY-6-1</v>
      </c>
      <c r="B1909" s="15">
        <f>'Curvas SRY'!$B$13</f>
        <v>15</v>
      </c>
      <c r="C1909" s="15">
        <f>'Curvas SRY'!$E$8</f>
        <v>0.75</v>
      </c>
      <c r="D1909" s="14" t="str">
        <f>'Curvas SRY'!$B$14</f>
        <v>Uso variable</v>
      </c>
      <c r="E1909" s="14">
        <f>106</f>
        <v>106</v>
      </c>
      <c r="F1909" s="21">
        <f>'Hoja 4 - Cálculo'!A130</f>
        <v>32782</v>
      </c>
      <c r="G1909" s="15">
        <f>'Hoja 4 - Cálculo'!H130</f>
        <v>28.343250000000001</v>
      </c>
      <c r="H1909" s="15">
        <f>IF(D1909="Uso único",'Hoja 4 - Cálculo'!I130,IF(D1909="Uso múltiple",AVERAGE('Hoja 4 - Cálculo'!$I$25:$I$384)+AVERAGE('Hoja 4 - Cálculo'!$J$25:$J$384)+AVERAGE('Hoja 4 - Cálculo'!$K$25:$K$384),IF(D1909="Uso prioritario",'Hoja 4 - Cálculo'!I130+'Hoja 4 - Cálculo'!K130,'Hoja 4 - Cálculo'!I130+'Hoja 4 - Cálculo'!J130+'Hoja 4 - Cálculo'!K130)))</f>
        <v>11.5</v>
      </c>
      <c r="I1909" s="15">
        <f t="shared" si="422"/>
        <v>8.625</v>
      </c>
      <c r="J1909" s="15">
        <f t="shared" si="433"/>
        <v>15</v>
      </c>
      <c r="K1909" s="15">
        <f>MIN(J1909+G1909,(J1909+G1909)*'Hoja 4 - Cálculo'!$B$15)</f>
        <v>0.866865</v>
      </c>
      <c r="L1909" s="15">
        <f t="shared" si="423"/>
        <v>42.476385000000001</v>
      </c>
      <c r="M1909" s="15">
        <f t="shared" si="424"/>
        <v>8.625</v>
      </c>
      <c r="N1909" s="15">
        <f t="shared" si="425"/>
        <v>15</v>
      </c>
      <c r="O1909" s="15">
        <f t="shared" si="426"/>
        <v>18.851385000000001</v>
      </c>
      <c r="P1909" s="15">
        <f t="shared" si="427"/>
        <v>0</v>
      </c>
      <c r="Q1909" s="14" t="str">
        <f>IF(M1909&gt;=I1909*'Hoja 4 - Cálculo'!$B$16,"Satisfactorio","Falla")</f>
        <v>Satisfactorio</v>
      </c>
      <c r="R1909" s="14">
        <f t="shared" si="434"/>
        <v>0</v>
      </c>
      <c r="S1909" s="14">
        <f t="shared" si="435"/>
        <v>0</v>
      </c>
    </row>
    <row r="1910" spans="1:19">
      <c r="A1910" s="14" t="str">
        <f t="shared" si="432"/>
        <v>SRY-6-1</v>
      </c>
      <c r="B1910" s="15">
        <f>'Curvas SRY'!$B$13</f>
        <v>15</v>
      </c>
      <c r="C1910" s="15">
        <f>'Curvas SRY'!$E$8</f>
        <v>0.75</v>
      </c>
      <c r="D1910" s="14" t="str">
        <f>'Curvas SRY'!$B$14</f>
        <v>Uso variable</v>
      </c>
      <c r="E1910" s="14">
        <f>107</f>
        <v>107</v>
      </c>
      <c r="F1910" s="21">
        <f>'Hoja 4 - Cálculo'!A131</f>
        <v>32813</v>
      </c>
      <c r="G1910" s="15">
        <f>'Hoja 4 - Cálculo'!H131</f>
        <v>22.60575</v>
      </c>
      <c r="H1910" s="15">
        <f>IF(D1910="Uso único",'Hoja 4 - Cálculo'!I131,IF(D1910="Uso múltiple",AVERAGE('Hoja 4 - Cálculo'!$I$25:$I$384)+AVERAGE('Hoja 4 - Cálculo'!$J$25:$J$384)+AVERAGE('Hoja 4 - Cálculo'!$K$25:$K$384),IF(D1910="Uso prioritario",'Hoja 4 - Cálculo'!I131+'Hoja 4 - Cálculo'!K131,'Hoja 4 - Cálculo'!I131+'Hoja 4 - Cálculo'!J131+'Hoja 4 - Cálculo'!K131)))</f>
        <v>11.5</v>
      </c>
      <c r="I1910" s="15">
        <f t="shared" si="422"/>
        <v>8.625</v>
      </c>
      <c r="J1910" s="15">
        <f t="shared" si="433"/>
        <v>15</v>
      </c>
      <c r="K1910" s="15">
        <f>MIN(J1910+G1910,(J1910+G1910)*'Hoja 4 - Cálculo'!$B$15)</f>
        <v>0.75211499999999998</v>
      </c>
      <c r="L1910" s="15">
        <f t="shared" si="423"/>
        <v>36.853634999999997</v>
      </c>
      <c r="M1910" s="15">
        <f t="shared" si="424"/>
        <v>8.625</v>
      </c>
      <c r="N1910" s="15">
        <f t="shared" si="425"/>
        <v>15</v>
      </c>
      <c r="O1910" s="15">
        <f t="shared" si="426"/>
        <v>13.228634999999997</v>
      </c>
      <c r="P1910" s="15">
        <f t="shared" si="427"/>
        <v>0</v>
      </c>
      <c r="Q1910" s="14" t="str">
        <f>IF(M1910&gt;=I1910*'Hoja 4 - Cálculo'!$B$16,"Satisfactorio","Falla")</f>
        <v>Satisfactorio</v>
      </c>
      <c r="R1910" s="14">
        <f t="shared" si="434"/>
        <v>0</v>
      </c>
      <c r="S1910" s="14">
        <f t="shared" si="435"/>
        <v>0</v>
      </c>
    </row>
    <row r="1911" spans="1:19">
      <c r="A1911" s="14" t="str">
        <f t="shared" si="432"/>
        <v>SRY-6-1</v>
      </c>
      <c r="B1911" s="15">
        <f>'Curvas SRY'!$B$13</f>
        <v>15</v>
      </c>
      <c r="C1911" s="15">
        <f>'Curvas SRY'!$E$8</f>
        <v>0.75</v>
      </c>
      <c r="D1911" s="14" t="str">
        <f>'Curvas SRY'!$B$14</f>
        <v>Uso variable</v>
      </c>
      <c r="E1911" s="14">
        <f>108</f>
        <v>108</v>
      </c>
      <c r="F1911" s="21">
        <f>'Hoja 4 - Cálculo'!A132</f>
        <v>32843</v>
      </c>
      <c r="G1911" s="15">
        <f>'Hoja 4 - Cálculo'!H132</f>
        <v>14.362875000000001</v>
      </c>
      <c r="H1911" s="15">
        <f>IF(D1911="Uso único",'Hoja 4 - Cálculo'!I132,IF(D1911="Uso múltiple",AVERAGE('Hoja 4 - Cálculo'!$I$25:$I$384)+AVERAGE('Hoja 4 - Cálculo'!$J$25:$J$384)+AVERAGE('Hoja 4 - Cálculo'!$K$25:$K$384),IF(D1911="Uso prioritario",'Hoja 4 - Cálculo'!I132+'Hoja 4 - Cálculo'!K132,'Hoja 4 - Cálculo'!I132+'Hoja 4 - Cálculo'!J132+'Hoja 4 - Cálculo'!K132)))</f>
        <v>16</v>
      </c>
      <c r="I1911" s="15">
        <f t="shared" si="422"/>
        <v>12</v>
      </c>
      <c r="J1911" s="15">
        <f t="shared" si="433"/>
        <v>15</v>
      </c>
      <c r="K1911" s="15">
        <f>MIN(J1911+G1911,(J1911+G1911)*'Hoja 4 - Cálculo'!$B$15)</f>
        <v>0.5872575000000001</v>
      </c>
      <c r="L1911" s="15">
        <f t="shared" si="423"/>
        <v>28.775617500000003</v>
      </c>
      <c r="M1911" s="15">
        <f t="shared" si="424"/>
        <v>12</v>
      </c>
      <c r="N1911" s="15">
        <f t="shared" si="425"/>
        <v>15</v>
      </c>
      <c r="O1911" s="15">
        <f t="shared" si="426"/>
        <v>1.7756175000000027</v>
      </c>
      <c r="P1911" s="15">
        <f t="shared" si="427"/>
        <v>0</v>
      </c>
      <c r="Q1911" s="14" t="str">
        <f>IF(M1911&gt;=I1911*'Hoja 4 - Cálculo'!$B$16,"Satisfactorio","Falla")</f>
        <v>Satisfactorio</v>
      </c>
      <c r="R1911" s="14">
        <f t="shared" si="434"/>
        <v>0</v>
      </c>
      <c r="S1911" s="14">
        <f t="shared" si="435"/>
        <v>0</v>
      </c>
    </row>
    <row r="1912" spans="1:19">
      <c r="A1912" s="14" t="str">
        <f t="shared" si="432"/>
        <v>SRY-6-1</v>
      </c>
      <c r="B1912" s="15">
        <f>'Curvas SRY'!$B$13</f>
        <v>15</v>
      </c>
      <c r="C1912" s="15">
        <f>'Curvas SRY'!$E$8</f>
        <v>0.75</v>
      </c>
      <c r="D1912" s="14" t="str">
        <f>'Curvas SRY'!$B$14</f>
        <v>Uso variable</v>
      </c>
      <c r="E1912" s="14">
        <f>109</f>
        <v>109</v>
      </c>
      <c r="F1912" s="21">
        <f>'Hoja 4 - Cálculo'!A133</f>
        <v>32874</v>
      </c>
      <c r="G1912" s="15">
        <f>'Hoja 4 - Cálculo'!H133</f>
        <v>11.723625</v>
      </c>
      <c r="H1912" s="15">
        <f>IF(D1912="Uso único",'Hoja 4 - Cálculo'!I133,IF(D1912="Uso múltiple",AVERAGE('Hoja 4 - Cálculo'!$I$25:$I$384)+AVERAGE('Hoja 4 - Cálculo'!$J$25:$J$384)+AVERAGE('Hoja 4 - Cálculo'!$K$25:$K$384),IF(D1912="Uso prioritario",'Hoja 4 - Cálculo'!I133+'Hoja 4 - Cálculo'!K133,'Hoja 4 - Cálculo'!I133+'Hoja 4 - Cálculo'!J133+'Hoja 4 - Cálculo'!K133)))</f>
        <v>16</v>
      </c>
      <c r="I1912" s="15">
        <f t="shared" si="422"/>
        <v>12</v>
      </c>
      <c r="J1912" s="15">
        <f t="shared" si="433"/>
        <v>15</v>
      </c>
      <c r="K1912" s="15">
        <f>MIN(J1912+G1912,(J1912+G1912)*'Hoja 4 - Cálculo'!$B$15)</f>
        <v>0.53447250000000002</v>
      </c>
      <c r="L1912" s="15">
        <f t="shared" si="423"/>
        <v>26.189152499999999</v>
      </c>
      <c r="M1912" s="15">
        <f t="shared" si="424"/>
        <v>12</v>
      </c>
      <c r="N1912" s="15">
        <f t="shared" si="425"/>
        <v>14.189152499999999</v>
      </c>
      <c r="O1912" s="15">
        <f t="shared" si="426"/>
        <v>0</v>
      </c>
      <c r="P1912" s="15">
        <f t="shared" si="427"/>
        <v>0</v>
      </c>
      <c r="Q1912" s="14" t="str">
        <f>IF(M1912&gt;=I1912*'Hoja 4 - Cálculo'!$B$16,"Satisfactorio","Falla")</f>
        <v>Satisfactorio</v>
      </c>
      <c r="R1912" s="14">
        <f t="shared" si="434"/>
        <v>0</v>
      </c>
      <c r="S1912" s="14">
        <f t="shared" si="435"/>
        <v>0</v>
      </c>
    </row>
    <row r="1913" spans="1:19">
      <c r="A1913" s="14" t="str">
        <f t="shared" si="432"/>
        <v>SRY-6-1</v>
      </c>
      <c r="B1913" s="15">
        <f>'Curvas SRY'!$B$13</f>
        <v>15</v>
      </c>
      <c r="C1913" s="15">
        <f>'Curvas SRY'!$E$8</f>
        <v>0.75</v>
      </c>
      <c r="D1913" s="14" t="str">
        <f>'Curvas SRY'!$B$14</f>
        <v>Uso variable</v>
      </c>
      <c r="E1913" s="14">
        <f>110</f>
        <v>110</v>
      </c>
      <c r="F1913" s="21">
        <f>'Hoja 4 - Cálculo'!A134</f>
        <v>32905</v>
      </c>
      <c r="G1913" s="15">
        <f>'Hoja 4 - Cálculo'!H134</f>
        <v>13.311</v>
      </c>
      <c r="H1913" s="15">
        <f>IF(D1913="Uso único",'Hoja 4 - Cálculo'!I134,IF(D1913="Uso múltiple",AVERAGE('Hoja 4 - Cálculo'!$I$25:$I$384)+AVERAGE('Hoja 4 - Cálculo'!$J$25:$J$384)+AVERAGE('Hoja 4 - Cálculo'!$K$25:$K$384),IF(D1913="Uso prioritario",'Hoja 4 - Cálculo'!I134+'Hoja 4 - Cálculo'!K134,'Hoja 4 - Cálculo'!I134+'Hoja 4 - Cálculo'!J134+'Hoja 4 - Cálculo'!K134)))</f>
        <v>16</v>
      </c>
      <c r="I1913" s="15">
        <f t="shared" si="422"/>
        <v>12</v>
      </c>
      <c r="J1913" s="15">
        <f t="shared" si="433"/>
        <v>14.189152499999999</v>
      </c>
      <c r="K1913" s="15">
        <f>MIN(J1913+G1913,(J1913+G1913)*'Hoja 4 - Cálculo'!$B$15)</f>
        <v>0.55000304999999994</v>
      </c>
      <c r="L1913" s="15">
        <f t="shared" si="423"/>
        <v>26.950149449999998</v>
      </c>
      <c r="M1913" s="15">
        <f t="shared" si="424"/>
        <v>12</v>
      </c>
      <c r="N1913" s="15">
        <f t="shared" si="425"/>
        <v>14.950149449999998</v>
      </c>
      <c r="O1913" s="15">
        <f t="shared" si="426"/>
        <v>0</v>
      </c>
      <c r="P1913" s="15">
        <f t="shared" si="427"/>
        <v>0</v>
      </c>
      <c r="Q1913" s="14" t="str">
        <f>IF(M1913&gt;=I1913*'Hoja 4 - Cálculo'!$B$16,"Satisfactorio","Falla")</f>
        <v>Satisfactorio</v>
      </c>
      <c r="R1913" s="14">
        <f t="shared" si="434"/>
        <v>0</v>
      </c>
      <c r="S1913" s="14">
        <f t="shared" si="435"/>
        <v>0</v>
      </c>
    </row>
    <row r="1914" spans="1:19">
      <c r="A1914" s="14" t="str">
        <f t="shared" si="432"/>
        <v>SRY-6-1</v>
      </c>
      <c r="B1914" s="15">
        <f>'Curvas SRY'!$B$13</f>
        <v>15</v>
      </c>
      <c r="C1914" s="15">
        <f>'Curvas SRY'!$E$8</f>
        <v>0.75</v>
      </c>
      <c r="D1914" s="14" t="str">
        <f>'Curvas SRY'!$B$14</f>
        <v>Uso variable</v>
      </c>
      <c r="E1914" s="14">
        <f>111</f>
        <v>111</v>
      </c>
      <c r="F1914" s="21">
        <f>'Hoja 4 - Cálculo'!A135</f>
        <v>32933</v>
      </c>
      <c r="G1914" s="15">
        <f>'Hoja 4 - Cálculo'!H135</f>
        <v>18.838125000000002</v>
      </c>
      <c r="H1914" s="15">
        <f>IF(D1914="Uso único",'Hoja 4 - Cálculo'!I135,IF(D1914="Uso múltiple",AVERAGE('Hoja 4 - Cálculo'!$I$25:$I$384)+AVERAGE('Hoja 4 - Cálculo'!$J$25:$J$384)+AVERAGE('Hoja 4 - Cálculo'!$K$25:$K$384),IF(D1914="Uso prioritario",'Hoja 4 - Cálculo'!I135+'Hoja 4 - Cálculo'!K135,'Hoja 4 - Cálculo'!I135+'Hoja 4 - Cálculo'!J135+'Hoja 4 - Cálculo'!K135)))</f>
        <v>16</v>
      </c>
      <c r="I1914" s="15">
        <f t="shared" si="422"/>
        <v>12</v>
      </c>
      <c r="J1914" s="15">
        <f t="shared" si="433"/>
        <v>14.950149449999998</v>
      </c>
      <c r="K1914" s="15">
        <f>MIN(J1914+G1914,(J1914+G1914)*'Hoja 4 - Cálculo'!$B$15)</f>
        <v>0.67576548900000011</v>
      </c>
      <c r="L1914" s="15">
        <f t="shared" si="423"/>
        <v>33.112508961000003</v>
      </c>
      <c r="M1914" s="15">
        <f t="shared" si="424"/>
        <v>12</v>
      </c>
      <c r="N1914" s="15">
        <f t="shared" si="425"/>
        <v>15</v>
      </c>
      <c r="O1914" s="15">
        <f t="shared" si="426"/>
        <v>6.1125089610000032</v>
      </c>
      <c r="P1914" s="15">
        <f t="shared" si="427"/>
        <v>0</v>
      </c>
      <c r="Q1914" s="14" t="str">
        <f>IF(M1914&gt;=I1914*'Hoja 4 - Cálculo'!$B$16,"Satisfactorio","Falla")</f>
        <v>Satisfactorio</v>
      </c>
      <c r="R1914" s="14">
        <f t="shared" si="434"/>
        <v>0</v>
      </c>
      <c r="S1914" s="14">
        <f t="shared" si="435"/>
        <v>0</v>
      </c>
    </row>
    <row r="1915" spans="1:19">
      <c r="A1915" s="14" t="str">
        <f t="shared" si="432"/>
        <v>SRY-6-1</v>
      </c>
      <c r="B1915" s="15">
        <f>'Curvas SRY'!$B$13</f>
        <v>15</v>
      </c>
      <c r="C1915" s="15">
        <f>'Curvas SRY'!$E$8</f>
        <v>0.75</v>
      </c>
      <c r="D1915" s="14" t="str">
        <f>'Curvas SRY'!$B$14</f>
        <v>Uso variable</v>
      </c>
      <c r="E1915" s="14">
        <f>112</f>
        <v>112</v>
      </c>
      <c r="F1915" s="21">
        <f>'Hoja 4 - Cálculo'!A136</f>
        <v>32964</v>
      </c>
      <c r="G1915" s="15">
        <f>'Hoja 4 - Cálculo'!H136</f>
        <v>28.611000000000001</v>
      </c>
      <c r="H1915" s="15">
        <f>IF(D1915="Uso único",'Hoja 4 - Cálculo'!I136,IF(D1915="Uso múltiple",AVERAGE('Hoja 4 - Cálculo'!$I$25:$I$384)+AVERAGE('Hoja 4 - Cálculo'!$J$25:$J$384)+AVERAGE('Hoja 4 - Cálculo'!$K$25:$K$384),IF(D1915="Uso prioritario",'Hoja 4 - Cálculo'!I136+'Hoja 4 - Cálculo'!K136,'Hoja 4 - Cálculo'!I136+'Hoja 4 - Cálculo'!J136+'Hoja 4 - Cálculo'!K136)))</f>
        <v>11.5</v>
      </c>
      <c r="I1915" s="15">
        <f t="shared" si="422"/>
        <v>8.625</v>
      </c>
      <c r="J1915" s="15">
        <f t="shared" si="433"/>
        <v>15</v>
      </c>
      <c r="K1915" s="15">
        <f>MIN(J1915+G1915,(J1915+G1915)*'Hoja 4 - Cálculo'!$B$15)</f>
        <v>0.87222000000000011</v>
      </c>
      <c r="L1915" s="15">
        <f t="shared" si="423"/>
        <v>42.738780000000006</v>
      </c>
      <c r="M1915" s="15">
        <f t="shared" si="424"/>
        <v>8.625</v>
      </c>
      <c r="N1915" s="15">
        <f t="shared" si="425"/>
        <v>15</v>
      </c>
      <c r="O1915" s="15">
        <f t="shared" si="426"/>
        <v>19.113780000000006</v>
      </c>
      <c r="P1915" s="15">
        <f t="shared" si="427"/>
        <v>0</v>
      </c>
      <c r="Q1915" s="14" t="str">
        <f>IF(M1915&gt;=I1915*'Hoja 4 - Cálculo'!$B$16,"Satisfactorio","Falla")</f>
        <v>Satisfactorio</v>
      </c>
      <c r="R1915" s="14">
        <f t="shared" si="434"/>
        <v>0</v>
      </c>
      <c r="S1915" s="14">
        <f t="shared" si="435"/>
        <v>0</v>
      </c>
    </row>
    <row r="1916" spans="1:19">
      <c r="A1916" s="14" t="str">
        <f t="shared" si="432"/>
        <v>SRY-6-1</v>
      </c>
      <c r="B1916" s="15">
        <f>'Curvas SRY'!$B$13</f>
        <v>15</v>
      </c>
      <c r="C1916" s="15">
        <f>'Curvas SRY'!$E$8</f>
        <v>0.75</v>
      </c>
      <c r="D1916" s="14" t="str">
        <f>'Curvas SRY'!$B$14</f>
        <v>Uso variable</v>
      </c>
      <c r="E1916" s="14">
        <f>113</f>
        <v>113</v>
      </c>
      <c r="F1916" s="21">
        <f>'Hoja 4 - Cálculo'!A137</f>
        <v>32994</v>
      </c>
      <c r="G1916" s="15">
        <f>'Hoja 4 - Cálculo'!H137</f>
        <v>23.52375</v>
      </c>
      <c r="H1916" s="15">
        <f>IF(D1916="Uso único",'Hoja 4 - Cálculo'!I137,IF(D1916="Uso múltiple",AVERAGE('Hoja 4 - Cálculo'!$I$25:$I$384)+AVERAGE('Hoja 4 - Cálculo'!$J$25:$J$384)+AVERAGE('Hoja 4 - Cálculo'!$K$25:$K$384),IF(D1916="Uso prioritario",'Hoja 4 - Cálculo'!I137+'Hoja 4 - Cálculo'!K137,'Hoja 4 - Cálculo'!I137+'Hoja 4 - Cálculo'!J137+'Hoja 4 - Cálculo'!K137)))</f>
        <v>11.5</v>
      </c>
      <c r="I1916" s="15">
        <f t="shared" si="422"/>
        <v>8.625</v>
      </c>
      <c r="J1916" s="15">
        <f t="shared" si="433"/>
        <v>15</v>
      </c>
      <c r="K1916" s="15">
        <f>MIN(J1916+G1916,(J1916+G1916)*'Hoja 4 - Cálculo'!$B$15)</f>
        <v>0.77047500000000002</v>
      </c>
      <c r="L1916" s="15">
        <f t="shared" si="423"/>
        <v>37.753275000000002</v>
      </c>
      <c r="M1916" s="15">
        <f t="shared" si="424"/>
        <v>8.625</v>
      </c>
      <c r="N1916" s="15">
        <f t="shared" si="425"/>
        <v>15</v>
      </c>
      <c r="O1916" s="15">
        <f t="shared" si="426"/>
        <v>14.128275000000002</v>
      </c>
      <c r="P1916" s="15">
        <f t="shared" si="427"/>
        <v>0</v>
      </c>
      <c r="Q1916" s="14" t="str">
        <f>IF(M1916&gt;=I1916*'Hoja 4 - Cálculo'!$B$16,"Satisfactorio","Falla")</f>
        <v>Satisfactorio</v>
      </c>
      <c r="R1916" s="14">
        <f t="shared" si="434"/>
        <v>0</v>
      </c>
      <c r="S1916" s="14">
        <f t="shared" si="435"/>
        <v>0</v>
      </c>
    </row>
    <row r="1917" spans="1:19">
      <c r="A1917" s="14" t="str">
        <f t="shared" si="432"/>
        <v>SRY-6-1</v>
      </c>
      <c r="B1917" s="15">
        <f>'Curvas SRY'!$B$13</f>
        <v>15</v>
      </c>
      <c r="C1917" s="15">
        <f>'Curvas SRY'!$E$8</f>
        <v>0.75</v>
      </c>
      <c r="D1917" s="14" t="str">
        <f>'Curvas SRY'!$B$14</f>
        <v>Uso variable</v>
      </c>
      <c r="E1917" s="14">
        <f>114</f>
        <v>114</v>
      </c>
      <c r="F1917" s="21">
        <f>'Hoja 4 - Cálculo'!A138</f>
        <v>33025</v>
      </c>
      <c r="G1917" s="15">
        <f>'Hoja 4 - Cálculo'!H138</f>
        <v>15.529500000000001</v>
      </c>
      <c r="H1917" s="15">
        <f>IF(D1917="Uso único",'Hoja 4 - Cálculo'!I138,IF(D1917="Uso múltiple",AVERAGE('Hoja 4 - Cálculo'!$I$25:$I$384)+AVERAGE('Hoja 4 - Cálculo'!$J$25:$J$384)+AVERAGE('Hoja 4 - Cálculo'!$K$25:$K$384),IF(D1917="Uso prioritario",'Hoja 4 - Cálculo'!I138+'Hoja 4 - Cálculo'!K138,'Hoja 4 - Cálculo'!I138+'Hoja 4 - Cálculo'!J138+'Hoja 4 - Cálculo'!K138)))</f>
        <v>11.5</v>
      </c>
      <c r="I1917" s="15">
        <f t="shared" si="422"/>
        <v>8.625</v>
      </c>
      <c r="J1917" s="15">
        <f t="shared" si="433"/>
        <v>15</v>
      </c>
      <c r="K1917" s="15">
        <f>MIN(J1917+G1917,(J1917+G1917)*'Hoja 4 - Cálculo'!$B$15)</f>
        <v>0.61058999999999997</v>
      </c>
      <c r="L1917" s="15">
        <f t="shared" si="423"/>
        <v>29.91891</v>
      </c>
      <c r="M1917" s="15">
        <f t="shared" si="424"/>
        <v>8.625</v>
      </c>
      <c r="N1917" s="15">
        <f t="shared" si="425"/>
        <v>15</v>
      </c>
      <c r="O1917" s="15">
        <f t="shared" si="426"/>
        <v>6.2939100000000003</v>
      </c>
      <c r="P1917" s="15">
        <f t="shared" si="427"/>
        <v>0</v>
      </c>
      <c r="Q1917" s="14" t="str">
        <f>IF(M1917&gt;=I1917*'Hoja 4 - Cálculo'!$B$16,"Satisfactorio","Falla")</f>
        <v>Satisfactorio</v>
      </c>
      <c r="R1917" s="14">
        <f t="shared" si="434"/>
        <v>0</v>
      </c>
      <c r="S1917" s="14">
        <f t="shared" si="435"/>
        <v>0</v>
      </c>
    </row>
    <row r="1918" spans="1:19">
      <c r="A1918" s="14" t="str">
        <f t="shared" si="432"/>
        <v>SRY-6-1</v>
      </c>
      <c r="B1918" s="15">
        <f>'Curvas SRY'!$B$13</f>
        <v>15</v>
      </c>
      <c r="C1918" s="15">
        <f>'Curvas SRY'!$E$8</f>
        <v>0.75</v>
      </c>
      <c r="D1918" s="14" t="str">
        <f>'Curvas SRY'!$B$14</f>
        <v>Uso variable</v>
      </c>
      <c r="E1918" s="14">
        <f>115</f>
        <v>115</v>
      </c>
      <c r="F1918" s="21">
        <f>'Hoja 4 - Cálculo'!A139</f>
        <v>33055</v>
      </c>
      <c r="G1918" s="15">
        <f>'Hoja 4 - Cálculo'!H139</f>
        <v>12.201750000000001</v>
      </c>
      <c r="H1918" s="15">
        <f>IF(D1918="Uso único",'Hoja 4 - Cálculo'!I139,IF(D1918="Uso múltiple",AVERAGE('Hoja 4 - Cálculo'!$I$25:$I$384)+AVERAGE('Hoja 4 - Cálculo'!$J$25:$J$384)+AVERAGE('Hoja 4 - Cálculo'!$K$25:$K$384),IF(D1918="Uso prioritario",'Hoja 4 - Cálculo'!I139+'Hoja 4 - Cálculo'!K139,'Hoja 4 - Cálculo'!I139+'Hoja 4 - Cálculo'!J139+'Hoja 4 - Cálculo'!K139)))</f>
        <v>16</v>
      </c>
      <c r="I1918" s="15">
        <f t="shared" si="422"/>
        <v>12</v>
      </c>
      <c r="J1918" s="15">
        <f t="shared" si="433"/>
        <v>15</v>
      </c>
      <c r="K1918" s="15">
        <f>MIN(J1918+G1918,(J1918+G1918)*'Hoja 4 - Cálculo'!$B$15)</f>
        <v>0.54403500000000005</v>
      </c>
      <c r="L1918" s="15">
        <f t="shared" si="423"/>
        <v>26.657715</v>
      </c>
      <c r="M1918" s="15">
        <f t="shared" si="424"/>
        <v>12</v>
      </c>
      <c r="N1918" s="15">
        <f t="shared" si="425"/>
        <v>14.657715</v>
      </c>
      <c r="O1918" s="15">
        <f t="shared" si="426"/>
        <v>0</v>
      </c>
      <c r="P1918" s="15">
        <f t="shared" si="427"/>
        <v>0</v>
      </c>
      <c r="Q1918" s="14" t="str">
        <f>IF(M1918&gt;=I1918*'Hoja 4 - Cálculo'!$B$16,"Satisfactorio","Falla")</f>
        <v>Satisfactorio</v>
      </c>
      <c r="R1918" s="14">
        <f t="shared" si="434"/>
        <v>0</v>
      </c>
      <c r="S1918" s="14">
        <f t="shared" si="435"/>
        <v>0</v>
      </c>
    </row>
    <row r="1919" spans="1:19">
      <c r="A1919" s="14" t="str">
        <f t="shared" si="432"/>
        <v>SRY-6-1</v>
      </c>
      <c r="B1919" s="15">
        <f>'Curvas SRY'!$B$13</f>
        <v>15</v>
      </c>
      <c r="C1919" s="15">
        <f>'Curvas SRY'!$E$8</f>
        <v>0.75</v>
      </c>
      <c r="D1919" s="14" t="str">
        <f>'Curvas SRY'!$B$14</f>
        <v>Uso variable</v>
      </c>
      <c r="E1919" s="14">
        <f>116</f>
        <v>116</v>
      </c>
      <c r="F1919" s="21">
        <f>'Hoja 4 - Cálculo'!A140</f>
        <v>33086</v>
      </c>
      <c r="G1919" s="15">
        <f>'Hoja 4 - Cálculo'!H140</f>
        <v>13.04325</v>
      </c>
      <c r="H1919" s="15">
        <f>IF(D1919="Uso único",'Hoja 4 - Cálculo'!I140,IF(D1919="Uso múltiple",AVERAGE('Hoja 4 - Cálculo'!$I$25:$I$384)+AVERAGE('Hoja 4 - Cálculo'!$J$25:$J$384)+AVERAGE('Hoja 4 - Cálculo'!$K$25:$K$384),IF(D1919="Uso prioritario",'Hoja 4 - Cálculo'!I140+'Hoja 4 - Cálculo'!K140,'Hoja 4 - Cálculo'!I140+'Hoja 4 - Cálculo'!J140+'Hoja 4 - Cálculo'!K140)))</f>
        <v>16</v>
      </c>
      <c r="I1919" s="15">
        <f t="shared" si="422"/>
        <v>12</v>
      </c>
      <c r="J1919" s="15">
        <f t="shared" si="433"/>
        <v>14.657715</v>
      </c>
      <c r="K1919" s="15">
        <f>MIN(J1919+G1919,(J1919+G1919)*'Hoja 4 - Cálculo'!$B$15)</f>
        <v>0.55401929999999999</v>
      </c>
      <c r="L1919" s="15">
        <f t="shared" si="423"/>
        <v>27.1469457</v>
      </c>
      <c r="M1919" s="15">
        <f t="shared" si="424"/>
        <v>12</v>
      </c>
      <c r="N1919" s="15">
        <f t="shared" si="425"/>
        <v>15</v>
      </c>
      <c r="O1919" s="15">
        <f t="shared" si="426"/>
        <v>0.14694569999999985</v>
      </c>
      <c r="P1919" s="15">
        <f t="shared" si="427"/>
        <v>0</v>
      </c>
      <c r="Q1919" s="14" t="str">
        <f>IF(M1919&gt;=I1919*'Hoja 4 - Cálculo'!$B$16,"Satisfactorio","Falla")</f>
        <v>Satisfactorio</v>
      </c>
      <c r="R1919" s="14">
        <f t="shared" si="434"/>
        <v>0</v>
      </c>
      <c r="S1919" s="14">
        <f t="shared" si="435"/>
        <v>0</v>
      </c>
    </row>
    <row r="1920" spans="1:19">
      <c r="A1920" s="14" t="str">
        <f t="shared" si="432"/>
        <v>SRY-6-1</v>
      </c>
      <c r="B1920" s="15">
        <f>'Curvas SRY'!$B$13</f>
        <v>15</v>
      </c>
      <c r="C1920" s="15">
        <f>'Curvas SRY'!$E$8</f>
        <v>0.75</v>
      </c>
      <c r="D1920" s="14" t="str">
        <f>'Curvas SRY'!$B$14</f>
        <v>Uso variable</v>
      </c>
      <c r="E1920" s="14">
        <f>117</f>
        <v>117</v>
      </c>
      <c r="F1920" s="21">
        <f>'Hoja 4 - Cálculo'!A141</f>
        <v>33117</v>
      </c>
      <c r="G1920" s="15">
        <f>'Hoja 4 - Cálculo'!H141</f>
        <v>21.974625</v>
      </c>
      <c r="H1920" s="15">
        <f>IF(D1920="Uso único",'Hoja 4 - Cálculo'!I141,IF(D1920="Uso múltiple",AVERAGE('Hoja 4 - Cálculo'!$I$25:$I$384)+AVERAGE('Hoja 4 - Cálculo'!$J$25:$J$384)+AVERAGE('Hoja 4 - Cálculo'!$K$25:$K$384),IF(D1920="Uso prioritario",'Hoja 4 - Cálculo'!I141+'Hoja 4 - Cálculo'!K141,'Hoja 4 - Cálculo'!I141+'Hoja 4 - Cálculo'!J141+'Hoja 4 - Cálculo'!K141)))</f>
        <v>11.5</v>
      </c>
      <c r="I1920" s="15">
        <f t="shared" si="422"/>
        <v>8.625</v>
      </c>
      <c r="J1920" s="15">
        <f t="shared" si="433"/>
        <v>15</v>
      </c>
      <c r="K1920" s="15">
        <f>MIN(J1920+G1920,(J1920+G1920)*'Hoja 4 - Cálculo'!$B$15)</f>
        <v>0.73949250000000011</v>
      </c>
      <c r="L1920" s="15">
        <f t="shared" si="423"/>
        <v>36.235132500000006</v>
      </c>
      <c r="M1920" s="15">
        <f t="shared" si="424"/>
        <v>8.625</v>
      </c>
      <c r="N1920" s="15">
        <f t="shared" si="425"/>
        <v>15</v>
      </c>
      <c r="O1920" s="15">
        <f t="shared" si="426"/>
        <v>12.610132500000006</v>
      </c>
      <c r="P1920" s="15">
        <f t="shared" si="427"/>
        <v>0</v>
      </c>
      <c r="Q1920" s="14" t="str">
        <f>IF(M1920&gt;=I1920*'Hoja 4 - Cálculo'!$B$16,"Satisfactorio","Falla")</f>
        <v>Satisfactorio</v>
      </c>
      <c r="R1920" s="14">
        <f t="shared" si="434"/>
        <v>0</v>
      </c>
      <c r="S1920" s="14">
        <f t="shared" si="435"/>
        <v>0</v>
      </c>
    </row>
    <row r="1921" spans="1:19">
      <c r="A1921" s="14" t="str">
        <f t="shared" si="432"/>
        <v>SRY-6-1</v>
      </c>
      <c r="B1921" s="15">
        <f>'Curvas SRY'!$B$13</f>
        <v>15</v>
      </c>
      <c r="C1921" s="15">
        <f>'Curvas SRY'!$E$8</f>
        <v>0.75</v>
      </c>
      <c r="D1921" s="14" t="str">
        <f>'Curvas SRY'!$B$14</f>
        <v>Uso variable</v>
      </c>
      <c r="E1921" s="14">
        <f>118</f>
        <v>118</v>
      </c>
      <c r="F1921" s="21">
        <f>'Hoja 4 - Cálculo'!A142</f>
        <v>33147</v>
      </c>
      <c r="G1921" s="15">
        <f>'Hoja 4 - Cálculo'!H142</f>
        <v>26.870625</v>
      </c>
      <c r="H1921" s="15">
        <f>IF(D1921="Uso único",'Hoja 4 - Cálculo'!I142,IF(D1921="Uso múltiple",AVERAGE('Hoja 4 - Cálculo'!$I$25:$I$384)+AVERAGE('Hoja 4 - Cálculo'!$J$25:$J$384)+AVERAGE('Hoja 4 - Cálculo'!$K$25:$K$384),IF(D1921="Uso prioritario",'Hoja 4 - Cálculo'!I142+'Hoja 4 - Cálculo'!K142,'Hoja 4 - Cálculo'!I142+'Hoja 4 - Cálculo'!J142+'Hoja 4 - Cálculo'!K142)))</f>
        <v>11.5</v>
      </c>
      <c r="I1921" s="15">
        <f t="shared" si="422"/>
        <v>8.625</v>
      </c>
      <c r="J1921" s="15">
        <f t="shared" si="433"/>
        <v>15</v>
      </c>
      <c r="K1921" s="15">
        <f>MIN(J1921+G1921,(J1921+G1921)*'Hoja 4 - Cálculo'!$B$15)</f>
        <v>0.83741250000000012</v>
      </c>
      <c r="L1921" s="15">
        <f t="shared" si="423"/>
        <v>41.033212500000005</v>
      </c>
      <c r="M1921" s="15">
        <f t="shared" si="424"/>
        <v>8.625</v>
      </c>
      <c r="N1921" s="15">
        <f t="shared" si="425"/>
        <v>15</v>
      </c>
      <c r="O1921" s="15">
        <f t="shared" si="426"/>
        <v>17.408212500000005</v>
      </c>
      <c r="P1921" s="15">
        <f t="shared" si="427"/>
        <v>0</v>
      </c>
      <c r="Q1921" s="14" t="str">
        <f>IF(M1921&gt;=I1921*'Hoja 4 - Cálculo'!$B$16,"Satisfactorio","Falla")</f>
        <v>Satisfactorio</v>
      </c>
      <c r="R1921" s="14">
        <f t="shared" si="434"/>
        <v>0</v>
      </c>
      <c r="S1921" s="14">
        <f t="shared" si="435"/>
        <v>0</v>
      </c>
    </row>
    <row r="1922" spans="1:19">
      <c r="A1922" s="14" t="str">
        <f t="shared" si="432"/>
        <v>SRY-6-1</v>
      </c>
      <c r="B1922" s="15">
        <f>'Curvas SRY'!$B$13</f>
        <v>15</v>
      </c>
      <c r="C1922" s="15">
        <f>'Curvas SRY'!$E$8</f>
        <v>0.75</v>
      </c>
      <c r="D1922" s="14" t="str">
        <f>'Curvas SRY'!$B$14</f>
        <v>Uso variable</v>
      </c>
      <c r="E1922" s="14">
        <f>119</f>
        <v>119</v>
      </c>
      <c r="F1922" s="21">
        <f>'Hoja 4 - Cálculo'!A143</f>
        <v>33178</v>
      </c>
      <c r="G1922" s="15">
        <f>'Hoja 4 - Cálculo'!H143</f>
        <v>24.881625</v>
      </c>
      <c r="H1922" s="15">
        <f>IF(D1922="Uso único",'Hoja 4 - Cálculo'!I143,IF(D1922="Uso múltiple",AVERAGE('Hoja 4 - Cálculo'!$I$25:$I$384)+AVERAGE('Hoja 4 - Cálculo'!$J$25:$J$384)+AVERAGE('Hoja 4 - Cálculo'!$K$25:$K$384),IF(D1922="Uso prioritario",'Hoja 4 - Cálculo'!I143+'Hoja 4 - Cálculo'!K143,'Hoja 4 - Cálculo'!I143+'Hoja 4 - Cálculo'!J143+'Hoja 4 - Cálculo'!K143)))</f>
        <v>11.5</v>
      </c>
      <c r="I1922" s="15">
        <f t="shared" si="422"/>
        <v>8.625</v>
      </c>
      <c r="J1922" s="15">
        <f t="shared" si="433"/>
        <v>15</v>
      </c>
      <c r="K1922" s="15">
        <f>MIN(J1922+G1922,(J1922+G1922)*'Hoja 4 - Cálculo'!$B$15)</f>
        <v>0.79763249999999997</v>
      </c>
      <c r="L1922" s="15">
        <f t="shared" si="423"/>
        <v>39.083992500000001</v>
      </c>
      <c r="M1922" s="15">
        <f t="shared" si="424"/>
        <v>8.625</v>
      </c>
      <c r="N1922" s="15">
        <f t="shared" si="425"/>
        <v>15</v>
      </c>
      <c r="O1922" s="15">
        <f t="shared" si="426"/>
        <v>15.458992500000001</v>
      </c>
      <c r="P1922" s="15">
        <f t="shared" si="427"/>
        <v>0</v>
      </c>
      <c r="Q1922" s="14" t="str">
        <f>IF(M1922&gt;=I1922*'Hoja 4 - Cálculo'!$B$16,"Satisfactorio","Falla")</f>
        <v>Satisfactorio</v>
      </c>
      <c r="R1922" s="14">
        <f t="shared" si="434"/>
        <v>0</v>
      </c>
      <c r="S1922" s="14">
        <f t="shared" si="435"/>
        <v>0</v>
      </c>
    </row>
    <row r="1923" spans="1:19">
      <c r="A1923" s="14" t="str">
        <f t="shared" si="432"/>
        <v>SRY-6-1</v>
      </c>
      <c r="B1923" s="15">
        <f>'Curvas SRY'!$B$13</f>
        <v>15</v>
      </c>
      <c r="C1923" s="15">
        <f>'Curvas SRY'!$E$8</f>
        <v>0.75</v>
      </c>
      <c r="D1923" s="14" t="str">
        <f>'Curvas SRY'!$B$14</f>
        <v>Uso variable</v>
      </c>
      <c r="E1923" s="14">
        <f>120</f>
        <v>120</v>
      </c>
      <c r="F1923" s="21">
        <f>'Hoja 4 - Cálculo'!A144</f>
        <v>33208</v>
      </c>
      <c r="G1923" s="15">
        <f>'Hoja 4 - Cálculo'!H144</f>
        <v>13.73175</v>
      </c>
      <c r="H1923" s="15">
        <f>IF(D1923="Uso único",'Hoja 4 - Cálculo'!I144,IF(D1923="Uso múltiple",AVERAGE('Hoja 4 - Cálculo'!$I$25:$I$384)+AVERAGE('Hoja 4 - Cálculo'!$J$25:$J$384)+AVERAGE('Hoja 4 - Cálculo'!$K$25:$K$384),IF(D1923="Uso prioritario",'Hoja 4 - Cálculo'!I144+'Hoja 4 - Cálculo'!K144,'Hoja 4 - Cálculo'!I144+'Hoja 4 - Cálculo'!J144+'Hoja 4 - Cálculo'!K144)))</f>
        <v>16</v>
      </c>
      <c r="I1923" s="15">
        <f t="shared" si="422"/>
        <v>12</v>
      </c>
      <c r="J1923" s="15">
        <f t="shared" si="433"/>
        <v>15</v>
      </c>
      <c r="K1923" s="15">
        <f>MIN(J1923+G1923,(J1923+G1923)*'Hoja 4 - Cálculo'!$B$15)</f>
        <v>0.57463500000000001</v>
      </c>
      <c r="L1923" s="15">
        <f t="shared" si="423"/>
        <v>28.157114999999997</v>
      </c>
      <c r="M1923" s="15">
        <f t="shared" si="424"/>
        <v>12</v>
      </c>
      <c r="N1923" s="15">
        <f t="shared" si="425"/>
        <v>15</v>
      </c>
      <c r="O1923" s="15">
        <f t="shared" si="426"/>
        <v>1.1571149999999975</v>
      </c>
      <c r="P1923" s="15">
        <f t="shared" si="427"/>
        <v>0</v>
      </c>
      <c r="Q1923" s="14" t="str">
        <f>IF(M1923&gt;=I1923*'Hoja 4 - Cálculo'!$B$16,"Satisfactorio","Falla")</f>
        <v>Satisfactorio</v>
      </c>
      <c r="R1923" s="14">
        <f t="shared" si="434"/>
        <v>0</v>
      </c>
      <c r="S1923" s="14">
        <f t="shared" si="435"/>
        <v>0</v>
      </c>
    </row>
    <row r="1924" spans="1:19">
      <c r="A1924" s="14" t="str">
        <f t="shared" ref="A1924:A1955" si="436">"SRY-6-2"</f>
        <v>SRY-6-2</v>
      </c>
      <c r="B1924" s="15">
        <f>'Curvas SRY'!$B$13</f>
        <v>15</v>
      </c>
      <c r="C1924" s="15">
        <f>'Curvas SRY'!$E$9</f>
        <v>1</v>
      </c>
      <c r="D1924" s="14" t="str">
        <f>'Curvas SRY'!$B$14</f>
        <v>Uso variable</v>
      </c>
      <c r="E1924" s="14">
        <f>1</f>
        <v>1</v>
      </c>
      <c r="F1924" s="21">
        <f>'Hoja 4 - Cálculo'!A25</f>
        <v>29587</v>
      </c>
      <c r="G1924" s="15">
        <f>'Hoja 4 - Cálculo'!H25</f>
        <v>12.852</v>
      </c>
      <c r="H1924" s="15">
        <f>IF(D1924="Uso único",'Hoja 4 - Cálculo'!I25,IF(D1924="Uso múltiple",AVERAGE('Hoja 4 - Cálculo'!$I$25:$I$384)+AVERAGE('Hoja 4 - Cálculo'!$J$25:$J$384)+AVERAGE('Hoja 4 - Cálculo'!$K$25:$K$384),IF(D1924="Uso prioritario",'Hoja 4 - Cálculo'!I25+'Hoja 4 - Cálculo'!K25,'Hoja 4 - Cálculo'!I25+'Hoja 4 - Cálculo'!J25+'Hoja 4 - Cálculo'!K25)))</f>
        <v>16</v>
      </c>
      <c r="I1924" s="15">
        <f t="shared" ref="I1924:I1987" si="437">H1924*C1924</f>
        <v>16</v>
      </c>
      <c r="J1924" s="15">
        <f>0</f>
        <v>0</v>
      </c>
      <c r="K1924" s="15">
        <f>MIN(J1924+G1924,(J1924+G1924)*'Hoja 4 - Cálculo'!$B$15)</f>
        <v>0.25703999999999999</v>
      </c>
      <c r="L1924" s="15">
        <f t="shared" ref="L1924:L1987" si="438">MAX(0,J1924+G1924-K1924)</f>
        <v>12.59496</v>
      </c>
      <c r="M1924" s="15">
        <f t="shared" ref="M1924:M1987" si="439">MIN(I1924,L1924)</f>
        <v>12.59496</v>
      </c>
      <c r="N1924" s="15">
        <f t="shared" ref="N1924:N1987" si="440">MIN(B1924,MAX(0,L1924-M1924))</f>
        <v>0</v>
      </c>
      <c r="O1924" s="15">
        <f t="shared" ref="O1924:O1987" si="441">MAX(0,L1924-M1924-B1924)</f>
        <v>0</v>
      </c>
      <c r="P1924" s="15">
        <f t="shared" ref="P1924:P1987" si="442">MAX(0,I1924-M1924)</f>
        <v>3.4050399999999996</v>
      </c>
      <c r="Q1924" s="14" t="str">
        <f>IF(M1924&gt;=I1924*'Hoja 4 - Cálculo'!$B$16,"Satisfactorio","Falla")</f>
        <v>Falla</v>
      </c>
      <c r="R1924" s="14">
        <f>0</f>
        <v>0</v>
      </c>
      <c r="S1924" s="14">
        <f>IF(Q1924="Falla",1,0)</f>
        <v>1</v>
      </c>
    </row>
    <row r="1925" spans="1:19">
      <c r="A1925" s="14" t="str">
        <f t="shared" si="436"/>
        <v>SRY-6-2</v>
      </c>
      <c r="B1925" s="15">
        <f>'Curvas SRY'!$B$13</f>
        <v>15</v>
      </c>
      <c r="C1925" s="15">
        <f>'Curvas SRY'!$E$9</f>
        <v>1</v>
      </c>
      <c r="D1925" s="14" t="str">
        <f>'Curvas SRY'!$B$14</f>
        <v>Uso variable</v>
      </c>
      <c r="E1925" s="14">
        <f>2</f>
        <v>2</v>
      </c>
      <c r="F1925" s="21">
        <f>'Hoja 4 - Cálculo'!A26</f>
        <v>29618</v>
      </c>
      <c r="G1925" s="15">
        <f>'Hoja 4 - Cálculo'!H26</f>
        <v>14.630625</v>
      </c>
      <c r="H1925" s="15">
        <f>IF(D1925="Uso único",'Hoja 4 - Cálculo'!I26,IF(D1925="Uso múltiple",AVERAGE('Hoja 4 - Cálculo'!$I$25:$I$384)+AVERAGE('Hoja 4 - Cálculo'!$J$25:$J$384)+AVERAGE('Hoja 4 - Cálculo'!$K$25:$K$384),IF(D1925="Uso prioritario",'Hoja 4 - Cálculo'!I26+'Hoja 4 - Cálculo'!K26,'Hoja 4 - Cálculo'!I26+'Hoja 4 - Cálculo'!J26+'Hoja 4 - Cálculo'!K26)))</f>
        <v>16</v>
      </c>
      <c r="I1925" s="15">
        <f t="shared" si="437"/>
        <v>16</v>
      </c>
      <c r="J1925" s="15">
        <f t="shared" ref="J1925:J1956" si="443">N1924</f>
        <v>0</v>
      </c>
      <c r="K1925" s="15">
        <f>MIN(J1925+G1925,(J1925+G1925)*'Hoja 4 - Cálculo'!$B$15)</f>
        <v>0.2926125</v>
      </c>
      <c r="L1925" s="15">
        <f t="shared" si="438"/>
        <v>14.3380125</v>
      </c>
      <c r="M1925" s="15">
        <f t="shared" si="439"/>
        <v>14.3380125</v>
      </c>
      <c r="N1925" s="15">
        <f t="shared" si="440"/>
        <v>0</v>
      </c>
      <c r="O1925" s="15">
        <f t="shared" si="441"/>
        <v>0</v>
      </c>
      <c r="P1925" s="15">
        <f t="shared" si="442"/>
        <v>1.6619875000000004</v>
      </c>
      <c r="Q1925" s="14" t="str">
        <f>IF(M1925&gt;=I1925*'Hoja 4 - Cálculo'!$B$16,"Satisfactorio","Falla")</f>
        <v>Falla</v>
      </c>
      <c r="R1925" s="14">
        <f t="shared" ref="R1925:R1956" si="444">IF(AND(Q1924="Falla",Q1925="Satisfactorio"),1,0)</f>
        <v>0</v>
      </c>
      <c r="S1925" s="14">
        <f t="shared" ref="S1925:S1956" si="445">IF(AND(Q1925="Falla",Q1924&lt;&gt;"Falla"),1,0)</f>
        <v>0</v>
      </c>
    </row>
    <row r="1926" spans="1:19">
      <c r="A1926" s="14" t="str">
        <f t="shared" si="436"/>
        <v>SRY-6-2</v>
      </c>
      <c r="B1926" s="15">
        <f>'Curvas SRY'!$B$13</f>
        <v>15</v>
      </c>
      <c r="C1926" s="15">
        <f>'Curvas SRY'!$E$9</f>
        <v>1</v>
      </c>
      <c r="D1926" s="14" t="str">
        <f>'Curvas SRY'!$B$14</f>
        <v>Uso variable</v>
      </c>
      <c r="E1926" s="14">
        <f>3</f>
        <v>3</v>
      </c>
      <c r="F1926" s="21">
        <f>'Hoja 4 - Cálculo'!A27</f>
        <v>29646</v>
      </c>
      <c r="G1926" s="15">
        <f>'Hoja 4 - Cálculo'!H27</f>
        <v>21.114000000000001</v>
      </c>
      <c r="H1926" s="15">
        <f>IF(D1926="Uso único",'Hoja 4 - Cálculo'!I27,IF(D1926="Uso múltiple",AVERAGE('Hoja 4 - Cálculo'!$I$25:$I$384)+AVERAGE('Hoja 4 - Cálculo'!$J$25:$J$384)+AVERAGE('Hoja 4 - Cálculo'!$K$25:$K$384),IF(D1926="Uso prioritario",'Hoja 4 - Cálculo'!I27+'Hoja 4 - Cálculo'!K27,'Hoja 4 - Cálculo'!I27+'Hoja 4 - Cálculo'!J27+'Hoja 4 - Cálculo'!K27)))</f>
        <v>16</v>
      </c>
      <c r="I1926" s="15">
        <f t="shared" si="437"/>
        <v>16</v>
      </c>
      <c r="J1926" s="15">
        <f t="shared" si="443"/>
        <v>0</v>
      </c>
      <c r="K1926" s="15">
        <f>MIN(J1926+G1926,(J1926+G1926)*'Hoja 4 - Cálculo'!$B$15)</f>
        <v>0.42228000000000004</v>
      </c>
      <c r="L1926" s="15">
        <f t="shared" si="438"/>
        <v>20.69172</v>
      </c>
      <c r="M1926" s="15">
        <f t="shared" si="439"/>
        <v>16</v>
      </c>
      <c r="N1926" s="15">
        <f t="shared" si="440"/>
        <v>4.6917200000000001</v>
      </c>
      <c r="O1926" s="15">
        <f t="shared" si="441"/>
        <v>0</v>
      </c>
      <c r="P1926" s="15">
        <f t="shared" si="442"/>
        <v>0</v>
      </c>
      <c r="Q1926" s="14" t="str">
        <f>IF(M1926&gt;=I1926*'Hoja 4 - Cálculo'!$B$16,"Satisfactorio","Falla")</f>
        <v>Satisfactorio</v>
      </c>
      <c r="R1926" s="14">
        <f t="shared" si="444"/>
        <v>1</v>
      </c>
      <c r="S1926" s="14">
        <f t="shared" si="445"/>
        <v>0</v>
      </c>
    </row>
    <row r="1927" spans="1:19">
      <c r="A1927" s="14" t="str">
        <f t="shared" si="436"/>
        <v>SRY-6-2</v>
      </c>
      <c r="B1927" s="15">
        <f>'Curvas SRY'!$B$13</f>
        <v>15</v>
      </c>
      <c r="C1927" s="15">
        <f>'Curvas SRY'!$E$9</f>
        <v>1</v>
      </c>
      <c r="D1927" s="14" t="str">
        <f>'Curvas SRY'!$B$14</f>
        <v>Uso variable</v>
      </c>
      <c r="E1927" s="14">
        <f>4</f>
        <v>4</v>
      </c>
      <c r="F1927" s="21">
        <f>'Hoja 4 - Cálculo'!A28</f>
        <v>29677</v>
      </c>
      <c r="G1927" s="15">
        <f>'Hoja 4 - Cálculo'!H28</f>
        <v>29.280374999999999</v>
      </c>
      <c r="H1927" s="15">
        <f>IF(D1927="Uso único",'Hoja 4 - Cálculo'!I28,IF(D1927="Uso múltiple",AVERAGE('Hoja 4 - Cálculo'!$I$25:$I$384)+AVERAGE('Hoja 4 - Cálculo'!$J$25:$J$384)+AVERAGE('Hoja 4 - Cálculo'!$K$25:$K$384),IF(D1927="Uso prioritario",'Hoja 4 - Cálculo'!I28+'Hoja 4 - Cálculo'!K28,'Hoja 4 - Cálculo'!I28+'Hoja 4 - Cálculo'!J28+'Hoja 4 - Cálculo'!K28)))</f>
        <v>11.5</v>
      </c>
      <c r="I1927" s="15">
        <f t="shared" si="437"/>
        <v>11.5</v>
      </c>
      <c r="J1927" s="15">
        <f t="shared" si="443"/>
        <v>4.6917200000000001</v>
      </c>
      <c r="K1927" s="15">
        <f>MIN(J1927+G1927,(J1927+G1927)*'Hoja 4 - Cálculo'!$B$15)</f>
        <v>0.67944189999999993</v>
      </c>
      <c r="L1927" s="15">
        <f t="shared" si="438"/>
        <v>33.292653099999995</v>
      </c>
      <c r="M1927" s="15">
        <f t="shared" si="439"/>
        <v>11.5</v>
      </c>
      <c r="N1927" s="15">
        <f t="shared" si="440"/>
        <v>15</v>
      </c>
      <c r="O1927" s="15">
        <f t="shared" si="441"/>
        <v>6.7926530999999954</v>
      </c>
      <c r="P1927" s="15">
        <f t="shared" si="442"/>
        <v>0</v>
      </c>
      <c r="Q1927" s="14" t="str">
        <f>IF(M1927&gt;=I1927*'Hoja 4 - Cálculo'!$B$16,"Satisfactorio","Falla")</f>
        <v>Satisfactorio</v>
      </c>
      <c r="R1927" s="14">
        <f t="shared" si="444"/>
        <v>0</v>
      </c>
      <c r="S1927" s="14">
        <f t="shared" si="445"/>
        <v>0</v>
      </c>
    </row>
    <row r="1928" spans="1:19">
      <c r="A1928" s="14" t="str">
        <f t="shared" si="436"/>
        <v>SRY-6-2</v>
      </c>
      <c r="B1928" s="15">
        <f>'Curvas SRY'!$B$13</f>
        <v>15</v>
      </c>
      <c r="C1928" s="15">
        <f>'Curvas SRY'!$E$9</f>
        <v>1</v>
      </c>
      <c r="D1928" s="14" t="str">
        <f>'Curvas SRY'!$B$14</f>
        <v>Uso variable</v>
      </c>
      <c r="E1928" s="14">
        <f>5</f>
        <v>5</v>
      </c>
      <c r="F1928" s="21">
        <f>'Hoja 4 - Cálculo'!A29</f>
        <v>29707</v>
      </c>
      <c r="G1928" s="15">
        <f>'Hoja 4 - Cálculo'!H29</f>
        <v>26.048249999999999</v>
      </c>
      <c r="H1928" s="15">
        <f>IF(D1928="Uso único",'Hoja 4 - Cálculo'!I29,IF(D1928="Uso múltiple",AVERAGE('Hoja 4 - Cálculo'!$I$25:$I$384)+AVERAGE('Hoja 4 - Cálculo'!$J$25:$J$384)+AVERAGE('Hoja 4 - Cálculo'!$K$25:$K$384),IF(D1928="Uso prioritario",'Hoja 4 - Cálculo'!I29+'Hoja 4 - Cálculo'!K29,'Hoja 4 - Cálculo'!I29+'Hoja 4 - Cálculo'!J29+'Hoja 4 - Cálculo'!K29)))</f>
        <v>11.5</v>
      </c>
      <c r="I1928" s="15">
        <f t="shared" si="437"/>
        <v>11.5</v>
      </c>
      <c r="J1928" s="15">
        <f t="shared" si="443"/>
        <v>15</v>
      </c>
      <c r="K1928" s="15">
        <f>MIN(J1928+G1928,(J1928+G1928)*'Hoja 4 - Cálculo'!$B$15)</f>
        <v>0.82096499999999994</v>
      </c>
      <c r="L1928" s="15">
        <f t="shared" si="438"/>
        <v>40.227284999999995</v>
      </c>
      <c r="M1928" s="15">
        <f t="shared" si="439"/>
        <v>11.5</v>
      </c>
      <c r="N1928" s="15">
        <f t="shared" si="440"/>
        <v>15</v>
      </c>
      <c r="O1928" s="15">
        <f t="shared" si="441"/>
        <v>13.727284999999995</v>
      </c>
      <c r="P1928" s="15">
        <f t="shared" si="442"/>
        <v>0</v>
      </c>
      <c r="Q1928" s="14" t="str">
        <f>IF(M1928&gt;=I1928*'Hoja 4 - Cálculo'!$B$16,"Satisfactorio","Falla")</f>
        <v>Satisfactorio</v>
      </c>
      <c r="R1928" s="14">
        <f t="shared" si="444"/>
        <v>0</v>
      </c>
      <c r="S1928" s="14">
        <f t="shared" si="445"/>
        <v>0</v>
      </c>
    </row>
    <row r="1929" spans="1:19">
      <c r="A1929" s="14" t="str">
        <f t="shared" si="436"/>
        <v>SRY-6-2</v>
      </c>
      <c r="B1929" s="15">
        <f>'Curvas SRY'!$B$13</f>
        <v>15</v>
      </c>
      <c r="C1929" s="15">
        <f>'Curvas SRY'!$E$9</f>
        <v>1</v>
      </c>
      <c r="D1929" s="14" t="str">
        <f>'Curvas SRY'!$B$14</f>
        <v>Uso variable</v>
      </c>
      <c r="E1929" s="14">
        <f>6</f>
        <v>6</v>
      </c>
      <c r="F1929" s="21">
        <f>'Hoja 4 - Cálculo'!A30</f>
        <v>29738</v>
      </c>
      <c r="G1929" s="15">
        <f>'Hoja 4 - Cálculo'!H30</f>
        <v>15.625125000000001</v>
      </c>
      <c r="H1929" s="15">
        <f>IF(D1929="Uso único",'Hoja 4 - Cálculo'!I30,IF(D1929="Uso múltiple",AVERAGE('Hoja 4 - Cálculo'!$I$25:$I$384)+AVERAGE('Hoja 4 - Cálculo'!$J$25:$J$384)+AVERAGE('Hoja 4 - Cálculo'!$K$25:$K$384),IF(D1929="Uso prioritario",'Hoja 4 - Cálculo'!I30+'Hoja 4 - Cálculo'!K30,'Hoja 4 - Cálculo'!I30+'Hoja 4 - Cálculo'!J30+'Hoja 4 - Cálculo'!K30)))</f>
        <v>11.5</v>
      </c>
      <c r="I1929" s="15">
        <f t="shared" si="437"/>
        <v>11.5</v>
      </c>
      <c r="J1929" s="15">
        <f t="shared" si="443"/>
        <v>15</v>
      </c>
      <c r="K1929" s="15">
        <f>MIN(J1929+G1929,(J1929+G1929)*'Hoja 4 - Cálculo'!$B$15)</f>
        <v>0.61250250000000006</v>
      </c>
      <c r="L1929" s="15">
        <f t="shared" si="438"/>
        <v>30.012622499999999</v>
      </c>
      <c r="M1929" s="15">
        <f t="shared" si="439"/>
        <v>11.5</v>
      </c>
      <c r="N1929" s="15">
        <f t="shared" si="440"/>
        <v>15</v>
      </c>
      <c r="O1929" s="15">
        <f t="shared" si="441"/>
        <v>3.5126224999999991</v>
      </c>
      <c r="P1929" s="15">
        <f t="shared" si="442"/>
        <v>0</v>
      </c>
      <c r="Q1929" s="14" t="str">
        <f>IF(M1929&gt;=I1929*'Hoja 4 - Cálculo'!$B$16,"Satisfactorio","Falla")</f>
        <v>Satisfactorio</v>
      </c>
      <c r="R1929" s="14">
        <f t="shared" si="444"/>
        <v>0</v>
      </c>
      <c r="S1929" s="14">
        <f t="shared" si="445"/>
        <v>0</v>
      </c>
    </row>
    <row r="1930" spans="1:19">
      <c r="A1930" s="14" t="str">
        <f t="shared" si="436"/>
        <v>SRY-6-2</v>
      </c>
      <c r="B1930" s="15">
        <f>'Curvas SRY'!$B$13</f>
        <v>15</v>
      </c>
      <c r="C1930" s="15">
        <f>'Curvas SRY'!$E$9</f>
        <v>1</v>
      </c>
      <c r="D1930" s="14" t="str">
        <f>'Curvas SRY'!$B$14</f>
        <v>Uso variable</v>
      </c>
      <c r="E1930" s="14">
        <f>7</f>
        <v>7</v>
      </c>
      <c r="F1930" s="21">
        <f>'Hoja 4 - Cálculo'!A31</f>
        <v>29768</v>
      </c>
      <c r="G1930" s="15">
        <f>'Hoja 4 - Cálculo'!H31</f>
        <v>12.794625</v>
      </c>
      <c r="H1930" s="15">
        <f>IF(D1930="Uso único",'Hoja 4 - Cálculo'!I31,IF(D1930="Uso múltiple",AVERAGE('Hoja 4 - Cálculo'!$I$25:$I$384)+AVERAGE('Hoja 4 - Cálculo'!$J$25:$J$384)+AVERAGE('Hoja 4 - Cálculo'!$K$25:$K$384),IF(D1930="Uso prioritario",'Hoja 4 - Cálculo'!I31+'Hoja 4 - Cálculo'!K31,'Hoja 4 - Cálculo'!I31+'Hoja 4 - Cálculo'!J31+'Hoja 4 - Cálculo'!K31)))</f>
        <v>16</v>
      </c>
      <c r="I1930" s="15">
        <f t="shared" si="437"/>
        <v>16</v>
      </c>
      <c r="J1930" s="15">
        <f t="shared" si="443"/>
        <v>15</v>
      </c>
      <c r="K1930" s="15">
        <f>MIN(J1930+G1930,(J1930+G1930)*'Hoja 4 - Cálculo'!$B$15)</f>
        <v>0.55589250000000001</v>
      </c>
      <c r="L1930" s="15">
        <f t="shared" si="438"/>
        <v>27.238732500000001</v>
      </c>
      <c r="M1930" s="15">
        <f t="shared" si="439"/>
        <v>16</v>
      </c>
      <c r="N1930" s="15">
        <f t="shared" si="440"/>
        <v>11.238732500000001</v>
      </c>
      <c r="O1930" s="15">
        <f t="shared" si="441"/>
        <v>0</v>
      </c>
      <c r="P1930" s="15">
        <f t="shared" si="442"/>
        <v>0</v>
      </c>
      <c r="Q1930" s="14" t="str">
        <f>IF(M1930&gt;=I1930*'Hoja 4 - Cálculo'!$B$16,"Satisfactorio","Falla")</f>
        <v>Satisfactorio</v>
      </c>
      <c r="R1930" s="14">
        <f t="shared" si="444"/>
        <v>0</v>
      </c>
      <c r="S1930" s="14">
        <f t="shared" si="445"/>
        <v>0</v>
      </c>
    </row>
    <row r="1931" spans="1:19">
      <c r="A1931" s="14" t="str">
        <f t="shared" si="436"/>
        <v>SRY-6-2</v>
      </c>
      <c r="B1931" s="15">
        <f>'Curvas SRY'!$B$13</f>
        <v>15</v>
      </c>
      <c r="C1931" s="15">
        <f>'Curvas SRY'!$E$9</f>
        <v>1</v>
      </c>
      <c r="D1931" s="14" t="str">
        <f>'Curvas SRY'!$B$14</f>
        <v>Uso variable</v>
      </c>
      <c r="E1931" s="14">
        <f>8</f>
        <v>8</v>
      </c>
      <c r="F1931" s="21">
        <f>'Hoja 4 - Cálculo'!A32</f>
        <v>29799</v>
      </c>
      <c r="G1931" s="15">
        <f>'Hoja 4 - Cálculo'!H32</f>
        <v>13.712624999999999</v>
      </c>
      <c r="H1931" s="15">
        <f>IF(D1931="Uso único",'Hoja 4 - Cálculo'!I32,IF(D1931="Uso múltiple",AVERAGE('Hoja 4 - Cálculo'!$I$25:$I$384)+AVERAGE('Hoja 4 - Cálculo'!$J$25:$J$384)+AVERAGE('Hoja 4 - Cálculo'!$K$25:$K$384),IF(D1931="Uso prioritario",'Hoja 4 - Cálculo'!I32+'Hoja 4 - Cálculo'!K32,'Hoja 4 - Cálculo'!I32+'Hoja 4 - Cálculo'!J32+'Hoja 4 - Cálculo'!K32)))</f>
        <v>16</v>
      </c>
      <c r="I1931" s="15">
        <f t="shared" si="437"/>
        <v>16</v>
      </c>
      <c r="J1931" s="15">
        <f t="shared" si="443"/>
        <v>11.238732500000001</v>
      </c>
      <c r="K1931" s="15">
        <f>MIN(J1931+G1931,(J1931+G1931)*'Hoja 4 - Cálculo'!$B$15)</f>
        <v>0.49902715000000003</v>
      </c>
      <c r="L1931" s="15">
        <f t="shared" si="438"/>
        <v>24.45233035</v>
      </c>
      <c r="M1931" s="15">
        <f t="shared" si="439"/>
        <v>16</v>
      </c>
      <c r="N1931" s="15">
        <f t="shared" si="440"/>
        <v>8.4523303500000004</v>
      </c>
      <c r="O1931" s="15">
        <f t="shared" si="441"/>
        <v>0</v>
      </c>
      <c r="P1931" s="15">
        <f t="shared" si="442"/>
        <v>0</v>
      </c>
      <c r="Q1931" s="14" t="str">
        <f>IF(M1931&gt;=I1931*'Hoja 4 - Cálculo'!$B$16,"Satisfactorio","Falla")</f>
        <v>Satisfactorio</v>
      </c>
      <c r="R1931" s="14">
        <f t="shared" si="444"/>
        <v>0</v>
      </c>
      <c r="S1931" s="14">
        <f t="shared" si="445"/>
        <v>0</v>
      </c>
    </row>
    <row r="1932" spans="1:19">
      <c r="A1932" s="14" t="str">
        <f t="shared" si="436"/>
        <v>SRY-6-2</v>
      </c>
      <c r="B1932" s="15">
        <f>'Curvas SRY'!$B$13</f>
        <v>15</v>
      </c>
      <c r="C1932" s="15">
        <f>'Curvas SRY'!$E$9</f>
        <v>1</v>
      </c>
      <c r="D1932" s="14" t="str">
        <f>'Curvas SRY'!$B$14</f>
        <v>Uso variable</v>
      </c>
      <c r="E1932" s="14">
        <f>9</f>
        <v>9</v>
      </c>
      <c r="F1932" s="21">
        <f>'Hoja 4 - Cálculo'!A33</f>
        <v>29830</v>
      </c>
      <c r="G1932" s="15">
        <f>'Hoja 4 - Cálculo'!H33</f>
        <v>22.070250000000001</v>
      </c>
      <c r="H1932" s="15">
        <f>IF(D1932="Uso único",'Hoja 4 - Cálculo'!I33,IF(D1932="Uso múltiple",AVERAGE('Hoja 4 - Cálculo'!$I$25:$I$384)+AVERAGE('Hoja 4 - Cálculo'!$J$25:$J$384)+AVERAGE('Hoja 4 - Cálculo'!$K$25:$K$384),IF(D1932="Uso prioritario",'Hoja 4 - Cálculo'!I33+'Hoja 4 - Cálculo'!K33,'Hoja 4 - Cálculo'!I33+'Hoja 4 - Cálculo'!J33+'Hoja 4 - Cálculo'!K33)))</f>
        <v>11.5</v>
      </c>
      <c r="I1932" s="15">
        <f t="shared" si="437"/>
        <v>11.5</v>
      </c>
      <c r="J1932" s="15">
        <f t="shared" si="443"/>
        <v>8.4523303500000004</v>
      </c>
      <c r="K1932" s="15">
        <f>MIN(J1932+G1932,(J1932+G1932)*'Hoja 4 - Cálculo'!$B$15)</f>
        <v>0.61045160700000001</v>
      </c>
      <c r="L1932" s="15">
        <f t="shared" si="438"/>
        <v>29.912128743</v>
      </c>
      <c r="M1932" s="15">
        <f t="shared" si="439"/>
        <v>11.5</v>
      </c>
      <c r="N1932" s="15">
        <f t="shared" si="440"/>
        <v>15</v>
      </c>
      <c r="O1932" s="15">
        <f t="shared" si="441"/>
        <v>3.4121287430000002</v>
      </c>
      <c r="P1932" s="15">
        <f t="shared" si="442"/>
        <v>0</v>
      </c>
      <c r="Q1932" s="14" t="str">
        <f>IF(M1932&gt;=I1932*'Hoja 4 - Cálculo'!$B$16,"Satisfactorio","Falla")</f>
        <v>Satisfactorio</v>
      </c>
      <c r="R1932" s="14">
        <f t="shared" si="444"/>
        <v>0</v>
      </c>
      <c r="S1932" s="14">
        <f t="shared" si="445"/>
        <v>0</v>
      </c>
    </row>
    <row r="1933" spans="1:19">
      <c r="A1933" s="14" t="str">
        <f t="shared" si="436"/>
        <v>SRY-6-2</v>
      </c>
      <c r="B1933" s="15">
        <f>'Curvas SRY'!$B$13</f>
        <v>15</v>
      </c>
      <c r="C1933" s="15">
        <f>'Curvas SRY'!$E$9</f>
        <v>1</v>
      </c>
      <c r="D1933" s="14" t="str">
        <f>'Curvas SRY'!$B$14</f>
        <v>Uso variable</v>
      </c>
      <c r="E1933" s="14">
        <f>10</f>
        <v>10</v>
      </c>
      <c r="F1933" s="21">
        <f>'Hoja 4 - Cálculo'!A34</f>
        <v>29860</v>
      </c>
      <c r="G1933" s="15">
        <f>'Hoja 4 - Cálculo'!H34</f>
        <v>29.777625</v>
      </c>
      <c r="H1933" s="15">
        <f>IF(D1933="Uso único",'Hoja 4 - Cálculo'!I34,IF(D1933="Uso múltiple",AVERAGE('Hoja 4 - Cálculo'!$I$25:$I$384)+AVERAGE('Hoja 4 - Cálculo'!$J$25:$J$384)+AVERAGE('Hoja 4 - Cálculo'!$K$25:$K$384),IF(D1933="Uso prioritario",'Hoja 4 - Cálculo'!I34+'Hoja 4 - Cálculo'!K34,'Hoja 4 - Cálculo'!I34+'Hoja 4 - Cálculo'!J34+'Hoja 4 - Cálculo'!K34)))</f>
        <v>11.5</v>
      </c>
      <c r="I1933" s="15">
        <f t="shared" si="437"/>
        <v>11.5</v>
      </c>
      <c r="J1933" s="15">
        <f t="shared" si="443"/>
        <v>15</v>
      </c>
      <c r="K1933" s="15">
        <f>MIN(J1933+G1933,(J1933+G1933)*'Hoja 4 - Cálculo'!$B$15)</f>
        <v>0.89555249999999997</v>
      </c>
      <c r="L1933" s="15">
        <f t="shared" si="438"/>
        <v>43.8820725</v>
      </c>
      <c r="M1933" s="15">
        <f t="shared" si="439"/>
        <v>11.5</v>
      </c>
      <c r="N1933" s="15">
        <f t="shared" si="440"/>
        <v>15</v>
      </c>
      <c r="O1933" s="15">
        <f t="shared" si="441"/>
        <v>17.3820725</v>
      </c>
      <c r="P1933" s="15">
        <f t="shared" si="442"/>
        <v>0</v>
      </c>
      <c r="Q1933" s="14" t="str">
        <f>IF(M1933&gt;=I1933*'Hoja 4 - Cálculo'!$B$16,"Satisfactorio","Falla")</f>
        <v>Satisfactorio</v>
      </c>
      <c r="R1933" s="14">
        <f t="shared" si="444"/>
        <v>0</v>
      </c>
      <c r="S1933" s="14">
        <f t="shared" si="445"/>
        <v>0</v>
      </c>
    </row>
    <row r="1934" spans="1:19">
      <c r="A1934" s="14" t="str">
        <f t="shared" si="436"/>
        <v>SRY-6-2</v>
      </c>
      <c r="B1934" s="15">
        <f>'Curvas SRY'!$B$13</f>
        <v>15</v>
      </c>
      <c r="C1934" s="15">
        <f>'Curvas SRY'!$E$9</f>
        <v>1</v>
      </c>
      <c r="D1934" s="14" t="str">
        <f>'Curvas SRY'!$B$14</f>
        <v>Uso variable</v>
      </c>
      <c r="E1934" s="14">
        <f>11</f>
        <v>11</v>
      </c>
      <c r="F1934" s="21">
        <f>'Hoja 4 - Cálculo'!A35</f>
        <v>29891</v>
      </c>
      <c r="G1934" s="15">
        <f>'Hoja 4 - Cálculo'!H35</f>
        <v>25.51275</v>
      </c>
      <c r="H1934" s="15">
        <f>IF(D1934="Uso único",'Hoja 4 - Cálculo'!I35,IF(D1934="Uso múltiple",AVERAGE('Hoja 4 - Cálculo'!$I$25:$I$384)+AVERAGE('Hoja 4 - Cálculo'!$J$25:$J$384)+AVERAGE('Hoja 4 - Cálculo'!$K$25:$K$384),IF(D1934="Uso prioritario",'Hoja 4 - Cálculo'!I35+'Hoja 4 - Cálculo'!K35,'Hoja 4 - Cálculo'!I35+'Hoja 4 - Cálculo'!J35+'Hoja 4 - Cálculo'!K35)))</f>
        <v>11.5</v>
      </c>
      <c r="I1934" s="15">
        <f t="shared" si="437"/>
        <v>11.5</v>
      </c>
      <c r="J1934" s="15">
        <f t="shared" si="443"/>
        <v>15</v>
      </c>
      <c r="K1934" s="15">
        <f>MIN(J1934+G1934,(J1934+G1934)*'Hoja 4 - Cálculo'!$B$15)</f>
        <v>0.81025499999999995</v>
      </c>
      <c r="L1934" s="15">
        <f t="shared" si="438"/>
        <v>39.702494999999999</v>
      </c>
      <c r="M1934" s="15">
        <f t="shared" si="439"/>
        <v>11.5</v>
      </c>
      <c r="N1934" s="15">
        <f t="shared" si="440"/>
        <v>15</v>
      </c>
      <c r="O1934" s="15">
        <f t="shared" si="441"/>
        <v>13.202494999999999</v>
      </c>
      <c r="P1934" s="15">
        <f t="shared" si="442"/>
        <v>0</v>
      </c>
      <c r="Q1934" s="14" t="str">
        <f>IF(M1934&gt;=I1934*'Hoja 4 - Cálculo'!$B$16,"Satisfactorio","Falla")</f>
        <v>Satisfactorio</v>
      </c>
      <c r="R1934" s="14">
        <f t="shared" si="444"/>
        <v>0</v>
      </c>
      <c r="S1934" s="14">
        <f t="shared" si="445"/>
        <v>0</v>
      </c>
    </row>
    <row r="1935" spans="1:19">
      <c r="A1935" s="14" t="str">
        <f t="shared" si="436"/>
        <v>SRY-6-2</v>
      </c>
      <c r="B1935" s="15">
        <f>'Curvas SRY'!$B$13</f>
        <v>15</v>
      </c>
      <c r="C1935" s="15">
        <f>'Curvas SRY'!$E$9</f>
        <v>1</v>
      </c>
      <c r="D1935" s="14" t="str">
        <f>'Curvas SRY'!$B$14</f>
        <v>Uso variable</v>
      </c>
      <c r="E1935" s="14">
        <f>12</f>
        <v>12</v>
      </c>
      <c r="F1935" s="21">
        <f>'Hoja 4 - Cálculo'!A36</f>
        <v>29921</v>
      </c>
      <c r="G1935" s="15">
        <f>'Hoja 4 - Cálculo'!H36</f>
        <v>15.3765</v>
      </c>
      <c r="H1935" s="15">
        <f>IF(D1935="Uso único",'Hoja 4 - Cálculo'!I36,IF(D1935="Uso múltiple",AVERAGE('Hoja 4 - Cálculo'!$I$25:$I$384)+AVERAGE('Hoja 4 - Cálculo'!$J$25:$J$384)+AVERAGE('Hoja 4 - Cálculo'!$K$25:$K$384),IF(D1935="Uso prioritario",'Hoja 4 - Cálculo'!I36+'Hoja 4 - Cálculo'!K36,'Hoja 4 - Cálculo'!I36+'Hoja 4 - Cálculo'!J36+'Hoja 4 - Cálculo'!K36)))</f>
        <v>16</v>
      </c>
      <c r="I1935" s="15">
        <f t="shared" si="437"/>
        <v>16</v>
      </c>
      <c r="J1935" s="15">
        <f t="shared" si="443"/>
        <v>15</v>
      </c>
      <c r="K1935" s="15">
        <f>MIN(J1935+G1935,(J1935+G1935)*'Hoja 4 - Cálculo'!$B$15)</f>
        <v>0.60753000000000001</v>
      </c>
      <c r="L1935" s="15">
        <f t="shared" si="438"/>
        <v>29.768969999999999</v>
      </c>
      <c r="M1935" s="15">
        <f t="shared" si="439"/>
        <v>16</v>
      </c>
      <c r="N1935" s="15">
        <f t="shared" si="440"/>
        <v>13.768969999999999</v>
      </c>
      <c r="O1935" s="15">
        <f t="shared" si="441"/>
        <v>0</v>
      </c>
      <c r="P1935" s="15">
        <f t="shared" si="442"/>
        <v>0</v>
      </c>
      <c r="Q1935" s="14" t="str">
        <f>IF(M1935&gt;=I1935*'Hoja 4 - Cálculo'!$B$16,"Satisfactorio","Falla")</f>
        <v>Satisfactorio</v>
      </c>
      <c r="R1935" s="14">
        <f t="shared" si="444"/>
        <v>0</v>
      </c>
      <c r="S1935" s="14">
        <f t="shared" si="445"/>
        <v>0</v>
      </c>
    </row>
    <row r="1936" spans="1:19">
      <c r="A1936" s="14" t="str">
        <f t="shared" si="436"/>
        <v>SRY-6-2</v>
      </c>
      <c r="B1936" s="15">
        <f>'Curvas SRY'!$B$13</f>
        <v>15</v>
      </c>
      <c r="C1936" s="15">
        <f>'Curvas SRY'!$E$9</f>
        <v>1</v>
      </c>
      <c r="D1936" s="14" t="str">
        <f>'Curvas SRY'!$B$14</f>
        <v>Uso variable</v>
      </c>
      <c r="E1936" s="14">
        <f>13</f>
        <v>13</v>
      </c>
      <c r="F1936" s="21">
        <f>'Hoja 4 - Cálculo'!A37</f>
        <v>29952</v>
      </c>
      <c r="G1936" s="15">
        <f>'Hoja 4 - Cálculo'!H37</f>
        <v>13.808249999999999</v>
      </c>
      <c r="H1936" s="15">
        <f>IF(D1936="Uso único",'Hoja 4 - Cálculo'!I37,IF(D1936="Uso múltiple",AVERAGE('Hoja 4 - Cálculo'!$I$25:$I$384)+AVERAGE('Hoja 4 - Cálculo'!$J$25:$J$384)+AVERAGE('Hoja 4 - Cálculo'!$K$25:$K$384),IF(D1936="Uso prioritario",'Hoja 4 - Cálculo'!I37+'Hoja 4 - Cálculo'!K37,'Hoja 4 - Cálculo'!I37+'Hoja 4 - Cálculo'!J37+'Hoja 4 - Cálculo'!K37)))</f>
        <v>16</v>
      </c>
      <c r="I1936" s="15">
        <f t="shared" si="437"/>
        <v>16</v>
      </c>
      <c r="J1936" s="15">
        <f t="shared" si="443"/>
        <v>13.768969999999999</v>
      </c>
      <c r="K1936" s="15">
        <f>MIN(J1936+G1936,(J1936+G1936)*'Hoja 4 - Cálculo'!$B$15)</f>
        <v>0.55154439999999993</v>
      </c>
      <c r="L1936" s="15">
        <f t="shared" si="438"/>
        <v>27.025675599999996</v>
      </c>
      <c r="M1936" s="15">
        <f t="shared" si="439"/>
        <v>16</v>
      </c>
      <c r="N1936" s="15">
        <f t="shared" si="440"/>
        <v>11.025675599999996</v>
      </c>
      <c r="O1936" s="15">
        <f t="shared" si="441"/>
        <v>0</v>
      </c>
      <c r="P1936" s="15">
        <f t="shared" si="442"/>
        <v>0</v>
      </c>
      <c r="Q1936" s="14" t="str">
        <f>IF(M1936&gt;=I1936*'Hoja 4 - Cálculo'!$B$16,"Satisfactorio","Falla")</f>
        <v>Satisfactorio</v>
      </c>
      <c r="R1936" s="14">
        <f t="shared" si="444"/>
        <v>0</v>
      </c>
      <c r="S1936" s="14">
        <f t="shared" si="445"/>
        <v>0</v>
      </c>
    </row>
    <row r="1937" spans="1:19">
      <c r="A1937" s="14" t="str">
        <f t="shared" si="436"/>
        <v>SRY-6-2</v>
      </c>
      <c r="B1937" s="15">
        <f>'Curvas SRY'!$B$13</f>
        <v>15</v>
      </c>
      <c r="C1937" s="15">
        <f>'Curvas SRY'!$E$9</f>
        <v>1</v>
      </c>
      <c r="D1937" s="14" t="str">
        <f>'Curvas SRY'!$B$14</f>
        <v>Uso variable</v>
      </c>
      <c r="E1937" s="14">
        <f>14</f>
        <v>14</v>
      </c>
      <c r="F1937" s="21">
        <f>'Hoja 4 - Cálculo'!A38</f>
        <v>29983</v>
      </c>
      <c r="G1937" s="15">
        <f>'Hoja 4 - Cálculo'!H38</f>
        <v>15.472125</v>
      </c>
      <c r="H1937" s="15">
        <f>IF(D1937="Uso único",'Hoja 4 - Cálculo'!I38,IF(D1937="Uso múltiple",AVERAGE('Hoja 4 - Cálculo'!$I$25:$I$384)+AVERAGE('Hoja 4 - Cálculo'!$J$25:$J$384)+AVERAGE('Hoja 4 - Cálculo'!$K$25:$K$384),IF(D1937="Uso prioritario",'Hoja 4 - Cálculo'!I38+'Hoja 4 - Cálculo'!K38,'Hoja 4 - Cálculo'!I38+'Hoja 4 - Cálculo'!J38+'Hoja 4 - Cálculo'!K38)))</f>
        <v>16</v>
      </c>
      <c r="I1937" s="15">
        <f t="shared" si="437"/>
        <v>16</v>
      </c>
      <c r="J1937" s="15">
        <f t="shared" si="443"/>
        <v>11.025675599999996</v>
      </c>
      <c r="K1937" s="15">
        <f>MIN(J1937+G1937,(J1937+G1937)*'Hoja 4 - Cálculo'!$B$15)</f>
        <v>0.52995601199999998</v>
      </c>
      <c r="L1937" s="15">
        <f t="shared" si="438"/>
        <v>25.967844587999998</v>
      </c>
      <c r="M1937" s="15">
        <f t="shared" si="439"/>
        <v>16</v>
      </c>
      <c r="N1937" s="15">
        <f t="shared" si="440"/>
        <v>9.9678445879999984</v>
      </c>
      <c r="O1937" s="15">
        <f t="shared" si="441"/>
        <v>0</v>
      </c>
      <c r="P1937" s="15">
        <f t="shared" si="442"/>
        <v>0</v>
      </c>
      <c r="Q1937" s="14" t="str">
        <f>IF(M1937&gt;=I1937*'Hoja 4 - Cálculo'!$B$16,"Satisfactorio","Falla")</f>
        <v>Satisfactorio</v>
      </c>
      <c r="R1937" s="14">
        <f t="shared" si="444"/>
        <v>0</v>
      </c>
      <c r="S1937" s="14">
        <f t="shared" si="445"/>
        <v>0</v>
      </c>
    </row>
    <row r="1938" spans="1:19">
      <c r="A1938" s="14" t="str">
        <f t="shared" si="436"/>
        <v>SRY-6-2</v>
      </c>
      <c r="B1938" s="15">
        <f>'Curvas SRY'!$B$13</f>
        <v>15</v>
      </c>
      <c r="C1938" s="15">
        <f>'Curvas SRY'!$E$9</f>
        <v>1</v>
      </c>
      <c r="D1938" s="14" t="str">
        <f>'Curvas SRY'!$B$14</f>
        <v>Uso variable</v>
      </c>
      <c r="E1938" s="14">
        <f>15</f>
        <v>15</v>
      </c>
      <c r="F1938" s="21">
        <f>'Hoja 4 - Cálculo'!A39</f>
        <v>30011</v>
      </c>
      <c r="G1938" s="15">
        <f>'Hoja 4 - Cálculo'!H39</f>
        <v>22.338000000000001</v>
      </c>
      <c r="H1938" s="15">
        <f>IF(D1938="Uso único",'Hoja 4 - Cálculo'!I39,IF(D1938="Uso múltiple",AVERAGE('Hoja 4 - Cálculo'!$I$25:$I$384)+AVERAGE('Hoja 4 - Cálculo'!$J$25:$J$384)+AVERAGE('Hoja 4 - Cálculo'!$K$25:$K$384),IF(D1938="Uso prioritario",'Hoja 4 - Cálculo'!I39+'Hoja 4 - Cálculo'!K39,'Hoja 4 - Cálculo'!I39+'Hoja 4 - Cálculo'!J39+'Hoja 4 - Cálculo'!K39)))</f>
        <v>16</v>
      </c>
      <c r="I1938" s="15">
        <f t="shared" si="437"/>
        <v>16</v>
      </c>
      <c r="J1938" s="15">
        <f t="shared" si="443"/>
        <v>9.9678445879999984</v>
      </c>
      <c r="K1938" s="15">
        <f>MIN(J1938+G1938,(J1938+G1938)*'Hoja 4 - Cálculo'!$B$15)</f>
        <v>0.64611689175999998</v>
      </c>
      <c r="L1938" s="15">
        <f t="shared" si="438"/>
        <v>31.659727696240001</v>
      </c>
      <c r="M1938" s="15">
        <f t="shared" si="439"/>
        <v>16</v>
      </c>
      <c r="N1938" s="15">
        <f t="shared" si="440"/>
        <v>15</v>
      </c>
      <c r="O1938" s="15">
        <f t="shared" si="441"/>
        <v>0.65972769624000094</v>
      </c>
      <c r="P1938" s="15">
        <f t="shared" si="442"/>
        <v>0</v>
      </c>
      <c r="Q1938" s="14" t="str">
        <f>IF(M1938&gt;=I1938*'Hoja 4 - Cálculo'!$B$16,"Satisfactorio","Falla")</f>
        <v>Satisfactorio</v>
      </c>
      <c r="R1938" s="14">
        <f t="shared" si="444"/>
        <v>0</v>
      </c>
      <c r="S1938" s="14">
        <f t="shared" si="445"/>
        <v>0</v>
      </c>
    </row>
    <row r="1939" spans="1:19">
      <c r="A1939" s="14" t="str">
        <f t="shared" si="436"/>
        <v>SRY-6-2</v>
      </c>
      <c r="B1939" s="15">
        <f>'Curvas SRY'!$B$13</f>
        <v>15</v>
      </c>
      <c r="C1939" s="15">
        <f>'Curvas SRY'!$E$9</f>
        <v>1</v>
      </c>
      <c r="D1939" s="14" t="str">
        <f>'Curvas SRY'!$B$14</f>
        <v>Uso variable</v>
      </c>
      <c r="E1939" s="14">
        <f>16</f>
        <v>16</v>
      </c>
      <c r="F1939" s="21">
        <f>'Hoja 4 - Cálculo'!A40</f>
        <v>30042</v>
      </c>
      <c r="G1939" s="15">
        <f>'Hoja 4 - Cálculo'!H40</f>
        <v>31.670999999999999</v>
      </c>
      <c r="H1939" s="15">
        <f>IF(D1939="Uso único",'Hoja 4 - Cálculo'!I40,IF(D1939="Uso múltiple",AVERAGE('Hoja 4 - Cálculo'!$I$25:$I$384)+AVERAGE('Hoja 4 - Cálculo'!$J$25:$J$384)+AVERAGE('Hoja 4 - Cálculo'!$K$25:$K$384),IF(D1939="Uso prioritario",'Hoja 4 - Cálculo'!I40+'Hoja 4 - Cálculo'!K40,'Hoja 4 - Cálculo'!I40+'Hoja 4 - Cálculo'!J40+'Hoja 4 - Cálculo'!K40)))</f>
        <v>11.5</v>
      </c>
      <c r="I1939" s="15">
        <f t="shared" si="437"/>
        <v>11.5</v>
      </c>
      <c r="J1939" s="15">
        <f t="shared" si="443"/>
        <v>15</v>
      </c>
      <c r="K1939" s="15">
        <f>MIN(J1939+G1939,(J1939+G1939)*'Hoja 4 - Cálculo'!$B$15)</f>
        <v>0.93342000000000003</v>
      </c>
      <c r="L1939" s="15">
        <f t="shared" si="438"/>
        <v>45.737580000000001</v>
      </c>
      <c r="M1939" s="15">
        <f t="shared" si="439"/>
        <v>11.5</v>
      </c>
      <c r="N1939" s="15">
        <f t="shared" si="440"/>
        <v>15</v>
      </c>
      <c r="O1939" s="15">
        <f t="shared" si="441"/>
        <v>19.237580000000001</v>
      </c>
      <c r="P1939" s="15">
        <f t="shared" si="442"/>
        <v>0</v>
      </c>
      <c r="Q1939" s="14" t="str">
        <f>IF(M1939&gt;=I1939*'Hoja 4 - Cálculo'!$B$16,"Satisfactorio","Falla")</f>
        <v>Satisfactorio</v>
      </c>
      <c r="R1939" s="14">
        <f t="shared" si="444"/>
        <v>0</v>
      </c>
      <c r="S1939" s="14">
        <f t="shared" si="445"/>
        <v>0</v>
      </c>
    </row>
    <row r="1940" spans="1:19">
      <c r="A1940" s="14" t="str">
        <f t="shared" si="436"/>
        <v>SRY-6-2</v>
      </c>
      <c r="B1940" s="15">
        <f>'Curvas SRY'!$B$13</f>
        <v>15</v>
      </c>
      <c r="C1940" s="15">
        <f>'Curvas SRY'!$E$9</f>
        <v>1</v>
      </c>
      <c r="D1940" s="14" t="str">
        <f>'Curvas SRY'!$B$14</f>
        <v>Uso variable</v>
      </c>
      <c r="E1940" s="14">
        <f>17</f>
        <v>17</v>
      </c>
      <c r="F1940" s="21">
        <f>'Hoja 4 - Cálculo'!A41</f>
        <v>30072</v>
      </c>
      <c r="G1940" s="15">
        <f>'Hoja 4 - Cálculo'!H41</f>
        <v>29.299499999999998</v>
      </c>
      <c r="H1940" s="15">
        <f>IF(D1940="Uso único",'Hoja 4 - Cálculo'!I41,IF(D1940="Uso múltiple",AVERAGE('Hoja 4 - Cálculo'!$I$25:$I$384)+AVERAGE('Hoja 4 - Cálculo'!$J$25:$J$384)+AVERAGE('Hoja 4 - Cálculo'!$K$25:$K$384),IF(D1940="Uso prioritario",'Hoja 4 - Cálculo'!I41+'Hoja 4 - Cálculo'!K41,'Hoja 4 - Cálculo'!I41+'Hoja 4 - Cálculo'!J41+'Hoja 4 - Cálculo'!K41)))</f>
        <v>11.5</v>
      </c>
      <c r="I1940" s="15">
        <f t="shared" si="437"/>
        <v>11.5</v>
      </c>
      <c r="J1940" s="15">
        <f t="shared" si="443"/>
        <v>15</v>
      </c>
      <c r="K1940" s="15">
        <f>MIN(J1940+G1940,(J1940+G1940)*'Hoja 4 - Cálculo'!$B$15)</f>
        <v>0.88598999999999994</v>
      </c>
      <c r="L1940" s="15">
        <f t="shared" si="438"/>
        <v>43.413509999999995</v>
      </c>
      <c r="M1940" s="15">
        <f t="shared" si="439"/>
        <v>11.5</v>
      </c>
      <c r="N1940" s="15">
        <f t="shared" si="440"/>
        <v>15</v>
      </c>
      <c r="O1940" s="15">
        <f t="shared" si="441"/>
        <v>16.913509999999995</v>
      </c>
      <c r="P1940" s="15">
        <f t="shared" si="442"/>
        <v>0</v>
      </c>
      <c r="Q1940" s="14" t="str">
        <f>IF(M1940&gt;=I1940*'Hoja 4 - Cálculo'!$B$16,"Satisfactorio","Falla")</f>
        <v>Satisfactorio</v>
      </c>
      <c r="R1940" s="14">
        <f t="shared" si="444"/>
        <v>0</v>
      </c>
      <c r="S1940" s="14">
        <f t="shared" si="445"/>
        <v>0</v>
      </c>
    </row>
    <row r="1941" spans="1:19">
      <c r="A1941" s="14" t="str">
        <f t="shared" si="436"/>
        <v>SRY-6-2</v>
      </c>
      <c r="B1941" s="15">
        <f>'Curvas SRY'!$B$13</f>
        <v>15</v>
      </c>
      <c r="C1941" s="15">
        <f>'Curvas SRY'!$E$9</f>
        <v>1</v>
      </c>
      <c r="D1941" s="14" t="str">
        <f>'Curvas SRY'!$B$14</f>
        <v>Uso variable</v>
      </c>
      <c r="E1941" s="14">
        <f>18</f>
        <v>18</v>
      </c>
      <c r="F1941" s="21">
        <f>'Hoja 4 - Cálculo'!A42</f>
        <v>30103</v>
      </c>
      <c r="G1941" s="15">
        <f>'Hoja 4 - Cálculo'!H42</f>
        <v>18.321750000000002</v>
      </c>
      <c r="H1941" s="15">
        <f>IF(D1941="Uso único",'Hoja 4 - Cálculo'!I42,IF(D1941="Uso múltiple",AVERAGE('Hoja 4 - Cálculo'!$I$25:$I$384)+AVERAGE('Hoja 4 - Cálculo'!$J$25:$J$384)+AVERAGE('Hoja 4 - Cálculo'!$K$25:$K$384),IF(D1941="Uso prioritario",'Hoja 4 - Cálculo'!I42+'Hoja 4 - Cálculo'!K42,'Hoja 4 - Cálculo'!I42+'Hoja 4 - Cálculo'!J42+'Hoja 4 - Cálculo'!K42)))</f>
        <v>11.5</v>
      </c>
      <c r="I1941" s="15">
        <f t="shared" si="437"/>
        <v>11.5</v>
      </c>
      <c r="J1941" s="15">
        <f t="shared" si="443"/>
        <v>15</v>
      </c>
      <c r="K1941" s="15">
        <f>MIN(J1941+G1941,(J1941+G1941)*'Hoja 4 - Cálculo'!$B$15)</f>
        <v>0.666435</v>
      </c>
      <c r="L1941" s="15">
        <f t="shared" si="438"/>
        <v>32.655315000000002</v>
      </c>
      <c r="M1941" s="15">
        <f t="shared" si="439"/>
        <v>11.5</v>
      </c>
      <c r="N1941" s="15">
        <f t="shared" si="440"/>
        <v>15</v>
      </c>
      <c r="O1941" s="15">
        <f t="shared" si="441"/>
        <v>6.1553150000000016</v>
      </c>
      <c r="P1941" s="15">
        <f t="shared" si="442"/>
        <v>0</v>
      </c>
      <c r="Q1941" s="14" t="str">
        <f>IF(M1941&gt;=I1941*'Hoja 4 - Cálculo'!$B$16,"Satisfactorio","Falla")</f>
        <v>Satisfactorio</v>
      </c>
      <c r="R1941" s="14">
        <f t="shared" si="444"/>
        <v>0</v>
      </c>
      <c r="S1941" s="14">
        <f t="shared" si="445"/>
        <v>0</v>
      </c>
    </row>
    <row r="1942" spans="1:19">
      <c r="A1942" s="14" t="str">
        <f t="shared" si="436"/>
        <v>SRY-6-2</v>
      </c>
      <c r="B1942" s="15">
        <f>'Curvas SRY'!$B$13</f>
        <v>15</v>
      </c>
      <c r="C1942" s="15">
        <f>'Curvas SRY'!$E$9</f>
        <v>1</v>
      </c>
      <c r="D1942" s="14" t="str">
        <f>'Curvas SRY'!$B$14</f>
        <v>Uso variable</v>
      </c>
      <c r="E1942" s="14">
        <f>19</f>
        <v>19</v>
      </c>
      <c r="F1942" s="21">
        <f>'Hoja 4 - Cálculo'!A43</f>
        <v>30133</v>
      </c>
      <c r="G1942" s="15">
        <f>'Hoja 4 - Cálculo'!H43</f>
        <v>15.3765</v>
      </c>
      <c r="H1942" s="15">
        <f>IF(D1942="Uso único",'Hoja 4 - Cálculo'!I43,IF(D1942="Uso múltiple",AVERAGE('Hoja 4 - Cálculo'!$I$25:$I$384)+AVERAGE('Hoja 4 - Cálculo'!$J$25:$J$384)+AVERAGE('Hoja 4 - Cálculo'!$K$25:$K$384),IF(D1942="Uso prioritario",'Hoja 4 - Cálculo'!I43+'Hoja 4 - Cálculo'!K43,'Hoja 4 - Cálculo'!I43+'Hoja 4 - Cálculo'!J43+'Hoja 4 - Cálculo'!K43)))</f>
        <v>16</v>
      </c>
      <c r="I1942" s="15">
        <f t="shared" si="437"/>
        <v>16</v>
      </c>
      <c r="J1942" s="15">
        <f t="shared" si="443"/>
        <v>15</v>
      </c>
      <c r="K1942" s="15">
        <f>MIN(J1942+G1942,(J1942+G1942)*'Hoja 4 - Cálculo'!$B$15)</f>
        <v>0.60753000000000001</v>
      </c>
      <c r="L1942" s="15">
        <f t="shared" si="438"/>
        <v>29.768969999999999</v>
      </c>
      <c r="M1942" s="15">
        <f t="shared" si="439"/>
        <v>16</v>
      </c>
      <c r="N1942" s="15">
        <f t="shared" si="440"/>
        <v>13.768969999999999</v>
      </c>
      <c r="O1942" s="15">
        <f t="shared" si="441"/>
        <v>0</v>
      </c>
      <c r="P1942" s="15">
        <f t="shared" si="442"/>
        <v>0</v>
      </c>
      <c r="Q1942" s="14" t="str">
        <f>IF(M1942&gt;=I1942*'Hoja 4 - Cálculo'!$B$16,"Satisfactorio","Falla")</f>
        <v>Satisfactorio</v>
      </c>
      <c r="R1942" s="14">
        <f t="shared" si="444"/>
        <v>0</v>
      </c>
      <c r="S1942" s="14">
        <f t="shared" si="445"/>
        <v>0</v>
      </c>
    </row>
    <row r="1943" spans="1:19">
      <c r="A1943" s="14" t="str">
        <f t="shared" si="436"/>
        <v>SRY-6-2</v>
      </c>
      <c r="B1943" s="15">
        <f>'Curvas SRY'!$B$13</f>
        <v>15</v>
      </c>
      <c r="C1943" s="15">
        <f>'Curvas SRY'!$E$9</f>
        <v>1</v>
      </c>
      <c r="D1943" s="14" t="str">
        <f>'Curvas SRY'!$B$14</f>
        <v>Uso variable</v>
      </c>
      <c r="E1943" s="14">
        <f>20</f>
        <v>20</v>
      </c>
      <c r="F1943" s="21">
        <f>'Hoja 4 - Cálculo'!A44</f>
        <v>30164</v>
      </c>
      <c r="G1943" s="15">
        <f>'Hoja 4 - Cálculo'!H44</f>
        <v>16.466625000000001</v>
      </c>
      <c r="H1943" s="15">
        <f>IF(D1943="Uso único",'Hoja 4 - Cálculo'!I44,IF(D1943="Uso múltiple",AVERAGE('Hoja 4 - Cálculo'!$I$25:$I$384)+AVERAGE('Hoja 4 - Cálculo'!$J$25:$J$384)+AVERAGE('Hoja 4 - Cálculo'!$K$25:$K$384),IF(D1943="Uso prioritario",'Hoja 4 - Cálculo'!I44+'Hoja 4 - Cálculo'!K44,'Hoja 4 - Cálculo'!I44+'Hoja 4 - Cálculo'!J44+'Hoja 4 - Cálculo'!K44)))</f>
        <v>16</v>
      </c>
      <c r="I1943" s="15">
        <f t="shared" si="437"/>
        <v>16</v>
      </c>
      <c r="J1943" s="15">
        <f t="shared" si="443"/>
        <v>13.768969999999999</v>
      </c>
      <c r="K1943" s="15">
        <f>MIN(J1943+G1943,(J1943+G1943)*'Hoja 4 - Cálculo'!$B$15)</f>
        <v>0.60471189999999997</v>
      </c>
      <c r="L1943" s="15">
        <f t="shared" si="438"/>
        <v>29.630883099999998</v>
      </c>
      <c r="M1943" s="15">
        <f t="shared" si="439"/>
        <v>16</v>
      </c>
      <c r="N1943" s="15">
        <f t="shared" si="440"/>
        <v>13.630883099999998</v>
      </c>
      <c r="O1943" s="15">
        <f t="shared" si="441"/>
        <v>0</v>
      </c>
      <c r="P1943" s="15">
        <f t="shared" si="442"/>
        <v>0</v>
      </c>
      <c r="Q1943" s="14" t="str">
        <f>IF(M1943&gt;=I1943*'Hoja 4 - Cálculo'!$B$16,"Satisfactorio","Falla")</f>
        <v>Satisfactorio</v>
      </c>
      <c r="R1943" s="14">
        <f t="shared" si="444"/>
        <v>0</v>
      </c>
      <c r="S1943" s="14">
        <f t="shared" si="445"/>
        <v>0</v>
      </c>
    </row>
    <row r="1944" spans="1:19">
      <c r="A1944" s="14" t="str">
        <f t="shared" si="436"/>
        <v>SRY-6-2</v>
      </c>
      <c r="B1944" s="15">
        <f>'Curvas SRY'!$B$13</f>
        <v>15</v>
      </c>
      <c r="C1944" s="15">
        <f>'Curvas SRY'!$E$9</f>
        <v>1</v>
      </c>
      <c r="D1944" s="14" t="str">
        <f>'Curvas SRY'!$B$14</f>
        <v>Uso variable</v>
      </c>
      <c r="E1944" s="14">
        <f>21</f>
        <v>21</v>
      </c>
      <c r="F1944" s="21">
        <f>'Hoja 4 - Cálculo'!A45</f>
        <v>30195</v>
      </c>
      <c r="G1944" s="15">
        <f>'Hoja 4 - Cálculo'!H45</f>
        <v>25.837875</v>
      </c>
      <c r="H1944" s="15">
        <f>IF(D1944="Uso único",'Hoja 4 - Cálculo'!I45,IF(D1944="Uso múltiple",AVERAGE('Hoja 4 - Cálculo'!$I$25:$I$384)+AVERAGE('Hoja 4 - Cálculo'!$J$25:$J$384)+AVERAGE('Hoja 4 - Cálculo'!$K$25:$K$384),IF(D1944="Uso prioritario",'Hoja 4 - Cálculo'!I45+'Hoja 4 - Cálculo'!K45,'Hoja 4 - Cálculo'!I45+'Hoja 4 - Cálculo'!J45+'Hoja 4 - Cálculo'!K45)))</f>
        <v>11.5</v>
      </c>
      <c r="I1944" s="15">
        <f t="shared" si="437"/>
        <v>11.5</v>
      </c>
      <c r="J1944" s="15">
        <f t="shared" si="443"/>
        <v>13.630883099999998</v>
      </c>
      <c r="K1944" s="15">
        <f>MIN(J1944+G1944,(J1944+G1944)*'Hoja 4 - Cálculo'!$B$15)</f>
        <v>0.78937516200000002</v>
      </c>
      <c r="L1944" s="15">
        <f t="shared" si="438"/>
        <v>38.679382938000003</v>
      </c>
      <c r="M1944" s="15">
        <f t="shared" si="439"/>
        <v>11.5</v>
      </c>
      <c r="N1944" s="15">
        <f t="shared" si="440"/>
        <v>15</v>
      </c>
      <c r="O1944" s="15">
        <f t="shared" si="441"/>
        <v>12.179382938000003</v>
      </c>
      <c r="P1944" s="15">
        <f t="shared" si="442"/>
        <v>0</v>
      </c>
      <c r="Q1944" s="14" t="str">
        <f>IF(M1944&gt;=I1944*'Hoja 4 - Cálculo'!$B$16,"Satisfactorio","Falla")</f>
        <v>Satisfactorio</v>
      </c>
      <c r="R1944" s="14">
        <f t="shared" si="444"/>
        <v>0</v>
      </c>
      <c r="S1944" s="14">
        <f t="shared" si="445"/>
        <v>0</v>
      </c>
    </row>
    <row r="1945" spans="1:19">
      <c r="A1945" s="14" t="str">
        <f t="shared" si="436"/>
        <v>SRY-6-2</v>
      </c>
      <c r="B1945" s="15">
        <f>'Curvas SRY'!$B$13</f>
        <v>15</v>
      </c>
      <c r="C1945" s="15">
        <f>'Curvas SRY'!$E$9</f>
        <v>1</v>
      </c>
      <c r="D1945" s="14" t="str">
        <f>'Curvas SRY'!$B$14</f>
        <v>Uso variable</v>
      </c>
      <c r="E1945" s="14">
        <f>22</f>
        <v>22</v>
      </c>
      <c r="F1945" s="21">
        <f>'Hoja 4 - Cálculo'!A46</f>
        <v>30225</v>
      </c>
      <c r="G1945" s="15">
        <f>'Hoja 4 - Cálculo'!H46</f>
        <v>33.46875</v>
      </c>
      <c r="H1945" s="15">
        <f>IF(D1945="Uso único",'Hoja 4 - Cálculo'!I46,IF(D1945="Uso múltiple",AVERAGE('Hoja 4 - Cálculo'!$I$25:$I$384)+AVERAGE('Hoja 4 - Cálculo'!$J$25:$J$384)+AVERAGE('Hoja 4 - Cálculo'!$K$25:$K$384),IF(D1945="Uso prioritario",'Hoja 4 - Cálculo'!I46+'Hoja 4 - Cálculo'!K46,'Hoja 4 - Cálculo'!I46+'Hoja 4 - Cálculo'!J46+'Hoja 4 - Cálculo'!K46)))</f>
        <v>11.5</v>
      </c>
      <c r="I1945" s="15">
        <f t="shared" si="437"/>
        <v>11.5</v>
      </c>
      <c r="J1945" s="15">
        <f t="shared" si="443"/>
        <v>15</v>
      </c>
      <c r="K1945" s="15">
        <f>MIN(J1945+G1945,(J1945+G1945)*'Hoja 4 - Cálculo'!$B$15)</f>
        <v>0.96937499999999999</v>
      </c>
      <c r="L1945" s="15">
        <f t="shared" si="438"/>
        <v>47.499375000000001</v>
      </c>
      <c r="M1945" s="15">
        <f t="shared" si="439"/>
        <v>11.5</v>
      </c>
      <c r="N1945" s="15">
        <f t="shared" si="440"/>
        <v>15</v>
      </c>
      <c r="O1945" s="15">
        <f t="shared" si="441"/>
        <v>20.999375000000001</v>
      </c>
      <c r="P1945" s="15">
        <f t="shared" si="442"/>
        <v>0</v>
      </c>
      <c r="Q1945" s="14" t="str">
        <f>IF(M1945&gt;=I1945*'Hoja 4 - Cálculo'!$B$16,"Satisfactorio","Falla")</f>
        <v>Satisfactorio</v>
      </c>
      <c r="R1945" s="14">
        <f t="shared" si="444"/>
        <v>0</v>
      </c>
      <c r="S1945" s="14">
        <f t="shared" si="445"/>
        <v>0</v>
      </c>
    </row>
    <row r="1946" spans="1:19">
      <c r="A1946" s="14" t="str">
        <f t="shared" si="436"/>
        <v>SRY-6-2</v>
      </c>
      <c r="B1946" s="15">
        <f>'Curvas SRY'!$B$13</f>
        <v>15</v>
      </c>
      <c r="C1946" s="15">
        <f>'Curvas SRY'!$E$9</f>
        <v>1</v>
      </c>
      <c r="D1946" s="14" t="str">
        <f>'Curvas SRY'!$B$14</f>
        <v>Uso variable</v>
      </c>
      <c r="E1946" s="14">
        <f>23</f>
        <v>23</v>
      </c>
      <c r="F1946" s="21">
        <f>'Hoja 4 - Cálculo'!A47</f>
        <v>30256</v>
      </c>
      <c r="G1946" s="15">
        <f>'Hoja 4 - Cálculo'!H47</f>
        <v>27.578250000000001</v>
      </c>
      <c r="H1946" s="15">
        <f>IF(D1946="Uso único",'Hoja 4 - Cálculo'!I47,IF(D1946="Uso múltiple",AVERAGE('Hoja 4 - Cálculo'!$I$25:$I$384)+AVERAGE('Hoja 4 - Cálculo'!$J$25:$J$384)+AVERAGE('Hoja 4 - Cálculo'!$K$25:$K$384),IF(D1946="Uso prioritario",'Hoja 4 - Cálculo'!I47+'Hoja 4 - Cálculo'!K47,'Hoja 4 - Cálculo'!I47+'Hoja 4 - Cálculo'!J47+'Hoja 4 - Cálculo'!K47)))</f>
        <v>11.5</v>
      </c>
      <c r="I1946" s="15">
        <f t="shared" si="437"/>
        <v>11.5</v>
      </c>
      <c r="J1946" s="15">
        <f t="shared" si="443"/>
        <v>15</v>
      </c>
      <c r="K1946" s="15">
        <f>MIN(J1946+G1946,(J1946+G1946)*'Hoja 4 - Cálculo'!$B$15)</f>
        <v>0.85156499999999991</v>
      </c>
      <c r="L1946" s="15">
        <f t="shared" si="438"/>
        <v>41.726684999999996</v>
      </c>
      <c r="M1946" s="15">
        <f t="shared" si="439"/>
        <v>11.5</v>
      </c>
      <c r="N1946" s="15">
        <f t="shared" si="440"/>
        <v>15</v>
      </c>
      <c r="O1946" s="15">
        <f t="shared" si="441"/>
        <v>15.226684999999996</v>
      </c>
      <c r="P1946" s="15">
        <f t="shared" si="442"/>
        <v>0</v>
      </c>
      <c r="Q1946" s="14" t="str">
        <f>IF(M1946&gt;=I1946*'Hoja 4 - Cálculo'!$B$16,"Satisfactorio","Falla")</f>
        <v>Satisfactorio</v>
      </c>
      <c r="R1946" s="14">
        <f t="shared" si="444"/>
        <v>0</v>
      </c>
      <c r="S1946" s="14">
        <f t="shared" si="445"/>
        <v>0</v>
      </c>
    </row>
    <row r="1947" spans="1:19">
      <c r="A1947" s="14" t="str">
        <f t="shared" si="436"/>
        <v>SRY-6-2</v>
      </c>
      <c r="B1947" s="15">
        <f>'Curvas SRY'!$B$13</f>
        <v>15</v>
      </c>
      <c r="C1947" s="15">
        <f>'Curvas SRY'!$E$9</f>
        <v>1</v>
      </c>
      <c r="D1947" s="14" t="str">
        <f>'Curvas SRY'!$B$14</f>
        <v>Uso variable</v>
      </c>
      <c r="E1947" s="14">
        <f>24</f>
        <v>24</v>
      </c>
      <c r="F1947" s="21">
        <f>'Hoja 4 - Cálculo'!A48</f>
        <v>30286</v>
      </c>
      <c r="G1947" s="15">
        <f>'Hoja 4 - Cálculo'!H48</f>
        <v>16.256250000000001</v>
      </c>
      <c r="H1947" s="15">
        <f>IF(D1947="Uso único",'Hoja 4 - Cálculo'!I48,IF(D1947="Uso múltiple",AVERAGE('Hoja 4 - Cálculo'!$I$25:$I$384)+AVERAGE('Hoja 4 - Cálculo'!$J$25:$J$384)+AVERAGE('Hoja 4 - Cálculo'!$K$25:$K$384),IF(D1947="Uso prioritario",'Hoja 4 - Cálculo'!I48+'Hoja 4 - Cálculo'!K48,'Hoja 4 - Cálculo'!I48+'Hoja 4 - Cálculo'!J48+'Hoja 4 - Cálculo'!K48)))</f>
        <v>16</v>
      </c>
      <c r="I1947" s="15">
        <f t="shared" si="437"/>
        <v>16</v>
      </c>
      <c r="J1947" s="15">
        <f t="shared" si="443"/>
        <v>15</v>
      </c>
      <c r="K1947" s="15">
        <f>MIN(J1947+G1947,(J1947+G1947)*'Hoja 4 - Cálculo'!$B$15)</f>
        <v>0.62512500000000004</v>
      </c>
      <c r="L1947" s="15">
        <f t="shared" si="438"/>
        <v>30.631125000000001</v>
      </c>
      <c r="M1947" s="15">
        <f t="shared" si="439"/>
        <v>16</v>
      </c>
      <c r="N1947" s="15">
        <f t="shared" si="440"/>
        <v>14.631125000000001</v>
      </c>
      <c r="O1947" s="15">
        <f t="shared" si="441"/>
        <v>0</v>
      </c>
      <c r="P1947" s="15">
        <f t="shared" si="442"/>
        <v>0</v>
      </c>
      <c r="Q1947" s="14" t="str">
        <f>IF(M1947&gt;=I1947*'Hoja 4 - Cálculo'!$B$16,"Satisfactorio","Falla")</f>
        <v>Satisfactorio</v>
      </c>
      <c r="R1947" s="14">
        <f t="shared" si="444"/>
        <v>0</v>
      </c>
      <c r="S1947" s="14">
        <f t="shared" si="445"/>
        <v>0</v>
      </c>
    </row>
    <row r="1948" spans="1:19">
      <c r="A1948" s="14" t="str">
        <f t="shared" si="436"/>
        <v>SRY-6-2</v>
      </c>
      <c r="B1948" s="15">
        <f>'Curvas SRY'!$B$13</f>
        <v>15</v>
      </c>
      <c r="C1948" s="15">
        <f>'Curvas SRY'!$E$9</f>
        <v>1</v>
      </c>
      <c r="D1948" s="14" t="str">
        <f>'Curvas SRY'!$B$14</f>
        <v>Uso variable</v>
      </c>
      <c r="E1948" s="14">
        <f>25</f>
        <v>25</v>
      </c>
      <c r="F1948" s="21">
        <f>'Hoja 4 - Cálculo'!A49</f>
        <v>30317</v>
      </c>
      <c r="G1948" s="15">
        <f>'Hoja 4 - Cálculo'!H49</f>
        <v>12.775499999999999</v>
      </c>
      <c r="H1948" s="15">
        <f>IF(D1948="Uso único",'Hoja 4 - Cálculo'!I49,IF(D1948="Uso múltiple",AVERAGE('Hoja 4 - Cálculo'!$I$25:$I$384)+AVERAGE('Hoja 4 - Cálculo'!$J$25:$J$384)+AVERAGE('Hoja 4 - Cálculo'!$K$25:$K$384),IF(D1948="Uso prioritario",'Hoja 4 - Cálculo'!I49+'Hoja 4 - Cálculo'!K49,'Hoja 4 - Cálculo'!I49+'Hoja 4 - Cálculo'!J49+'Hoja 4 - Cálculo'!K49)))</f>
        <v>16</v>
      </c>
      <c r="I1948" s="15">
        <f t="shared" si="437"/>
        <v>16</v>
      </c>
      <c r="J1948" s="15">
        <f t="shared" si="443"/>
        <v>14.631125000000001</v>
      </c>
      <c r="K1948" s="15">
        <f>MIN(J1948+G1948,(J1948+G1948)*'Hoja 4 - Cálculo'!$B$15)</f>
        <v>0.54813250000000002</v>
      </c>
      <c r="L1948" s="15">
        <f t="shared" si="438"/>
        <v>26.858492499999997</v>
      </c>
      <c r="M1948" s="15">
        <f t="shared" si="439"/>
        <v>16</v>
      </c>
      <c r="N1948" s="15">
        <f t="shared" si="440"/>
        <v>10.858492499999997</v>
      </c>
      <c r="O1948" s="15">
        <f t="shared" si="441"/>
        <v>0</v>
      </c>
      <c r="P1948" s="15">
        <f t="shared" si="442"/>
        <v>0</v>
      </c>
      <c r="Q1948" s="14" t="str">
        <f>IF(M1948&gt;=I1948*'Hoja 4 - Cálculo'!$B$16,"Satisfactorio","Falla")</f>
        <v>Satisfactorio</v>
      </c>
      <c r="R1948" s="14">
        <f t="shared" si="444"/>
        <v>0</v>
      </c>
      <c r="S1948" s="14">
        <f t="shared" si="445"/>
        <v>0</v>
      </c>
    </row>
    <row r="1949" spans="1:19">
      <c r="A1949" s="14" t="str">
        <f t="shared" si="436"/>
        <v>SRY-6-2</v>
      </c>
      <c r="B1949" s="15">
        <f>'Curvas SRY'!$B$13</f>
        <v>15</v>
      </c>
      <c r="C1949" s="15">
        <f>'Curvas SRY'!$E$9</f>
        <v>1</v>
      </c>
      <c r="D1949" s="14" t="str">
        <f>'Curvas SRY'!$B$14</f>
        <v>Uso variable</v>
      </c>
      <c r="E1949" s="14">
        <f>26</f>
        <v>26</v>
      </c>
      <c r="F1949" s="21">
        <f>'Hoja 4 - Cálculo'!A50</f>
        <v>30348</v>
      </c>
      <c r="G1949" s="15">
        <f>'Hoja 4 - Cálculo'!H50</f>
        <v>14.49675</v>
      </c>
      <c r="H1949" s="15">
        <f>IF(D1949="Uso único",'Hoja 4 - Cálculo'!I50,IF(D1949="Uso múltiple",AVERAGE('Hoja 4 - Cálculo'!$I$25:$I$384)+AVERAGE('Hoja 4 - Cálculo'!$J$25:$J$384)+AVERAGE('Hoja 4 - Cálculo'!$K$25:$K$384),IF(D1949="Uso prioritario",'Hoja 4 - Cálculo'!I50+'Hoja 4 - Cálculo'!K50,'Hoja 4 - Cálculo'!I50+'Hoja 4 - Cálculo'!J50+'Hoja 4 - Cálculo'!K50)))</f>
        <v>16</v>
      </c>
      <c r="I1949" s="15">
        <f t="shared" si="437"/>
        <v>16</v>
      </c>
      <c r="J1949" s="15">
        <f t="shared" si="443"/>
        <v>10.858492499999997</v>
      </c>
      <c r="K1949" s="15">
        <f>MIN(J1949+G1949,(J1949+G1949)*'Hoja 4 - Cálculo'!$B$15)</f>
        <v>0.50710484999999994</v>
      </c>
      <c r="L1949" s="15">
        <f t="shared" si="438"/>
        <v>24.848137649999995</v>
      </c>
      <c r="M1949" s="15">
        <f t="shared" si="439"/>
        <v>16</v>
      </c>
      <c r="N1949" s="15">
        <f t="shared" si="440"/>
        <v>8.8481376499999946</v>
      </c>
      <c r="O1949" s="15">
        <f t="shared" si="441"/>
        <v>0</v>
      </c>
      <c r="P1949" s="15">
        <f t="shared" si="442"/>
        <v>0</v>
      </c>
      <c r="Q1949" s="14" t="str">
        <f>IF(M1949&gt;=I1949*'Hoja 4 - Cálculo'!$B$16,"Satisfactorio","Falla")</f>
        <v>Satisfactorio</v>
      </c>
      <c r="R1949" s="14">
        <f t="shared" si="444"/>
        <v>0</v>
      </c>
      <c r="S1949" s="14">
        <f t="shared" si="445"/>
        <v>0</v>
      </c>
    </row>
    <row r="1950" spans="1:19">
      <c r="A1950" s="14" t="str">
        <f t="shared" si="436"/>
        <v>SRY-6-2</v>
      </c>
      <c r="B1950" s="15">
        <f>'Curvas SRY'!$B$13</f>
        <v>15</v>
      </c>
      <c r="C1950" s="15">
        <f>'Curvas SRY'!$E$9</f>
        <v>1</v>
      </c>
      <c r="D1950" s="14" t="str">
        <f>'Curvas SRY'!$B$14</f>
        <v>Uso variable</v>
      </c>
      <c r="E1950" s="14">
        <f>27</f>
        <v>27</v>
      </c>
      <c r="F1950" s="21">
        <f>'Hoja 4 - Cálculo'!A51</f>
        <v>30376</v>
      </c>
      <c r="G1950" s="15">
        <f>'Hoja 4 - Cálculo'!H51</f>
        <v>21.936375000000002</v>
      </c>
      <c r="H1950" s="15">
        <f>IF(D1950="Uso único",'Hoja 4 - Cálculo'!I51,IF(D1950="Uso múltiple",AVERAGE('Hoja 4 - Cálculo'!$I$25:$I$384)+AVERAGE('Hoja 4 - Cálculo'!$J$25:$J$384)+AVERAGE('Hoja 4 - Cálculo'!$K$25:$K$384),IF(D1950="Uso prioritario",'Hoja 4 - Cálculo'!I51+'Hoja 4 - Cálculo'!K51,'Hoja 4 - Cálculo'!I51+'Hoja 4 - Cálculo'!J51+'Hoja 4 - Cálculo'!K51)))</f>
        <v>16</v>
      </c>
      <c r="I1950" s="15">
        <f t="shared" si="437"/>
        <v>16</v>
      </c>
      <c r="J1950" s="15">
        <f t="shared" si="443"/>
        <v>8.8481376499999946</v>
      </c>
      <c r="K1950" s="15">
        <f>MIN(J1950+G1950,(J1950+G1950)*'Hoja 4 - Cálculo'!$B$15)</f>
        <v>0.61569025299999991</v>
      </c>
      <c r="L1950" s="15">
        <f t="shared" si="438"/>
        <v>30.168822396999996</v>
      </c>
      <c r="M1950" s="15">
        <f t="shared" si="439"/>
        <v>16</v>
      </c>
      <c r="N1950" s="15">
        <f t="shared" si="440"/>
        <v>14.168822396999996</v>
      </c>
      <c r="O1950" s="15">
        <f t="shared" si="441"/>
        <v>0</v>
      </c>
      <c r="P1950" s="15">
        <f t="shared" si="442"/>
        <v>0</v>
      </c>
      <c r="Q1950" s="14" t="str">
        <f>IF(M1950&gt;=I1950*'Hoja 4 - Cálculo'!$B$16,"Satisfactorio","Falla")</f>
        <v>Satisfactorio</v>
      </c>
      <c r="R1950" s="14">
        <f t="shared" si="444"/>
        <v>0</v>
      </c>
      <c r="S1950" s="14">
        <f t="shared" si="445"/>
        <v>0</v>
      </c>
    </row>
    <row r="1951" spans="1:19">
      <c r="A1951" s="14" t="str">
        <f t="shared" si="436"/>
        <v>SRY-6-2</v>
      </c>
      <c r="B1951" s="15">
        <f>'Curvas SRY'!$B$13</f>
        <v>15</v>
      </c>
      <c r="C1951" s="15">
        <f>'Curvas SRY'!$E$9</f>
        <v>1</v>
      </c>
      <c r="D1951" s="14" t="str">
        <f>'Curvas SRY'!$B$14</f>
        <v>Uso variable</v>
      </c>
      <c r="E1951" s="14">
        <f>28</f>
        <v>28</v>
      </c>
      <c r="F1951" s="21">
        <f>'Hoja 4 - Cálculo'!A52</f>
        <v>30407</v>
      </c>
      <c r="G1951" s="15">
        <f>'Hoja 4 - Cálculo'!H52</f>
        <v>32.263874999999999</v>
      </c>
      <c r="H1951" s="15">
        <f>IF(D1951="Uso único",'Hoja 4 - Cálculo'!I52,IF(D1951="Uso múltiple",AVERAGE('Hoja 4 - Cálculo'!$I$25:$I$384)+AVERAGE('Hoja 4 - Cálculo'!$J$25:$J$384)+AVERAGE('Hoja 4 - Cálculo'!$K$25:$K$384),IF(D1951="Uso prioritario",'Hoja 4 - Cálculo'!I52+'Hoja 4 - Cálculo'!K52,'Hoja 4 - Cálculo'!I52+'Hoja 4 - Cálculo'!J52+'Hoja 4 - Cálculo'!K52)))</f>
        <v>11.5</v>
      </c>
      <c r="I1951" s="15">
        <f t="shared" si="437"/>
        <v>11.5</v>
      </c>
      <c r="J1951" s="15">
        <f t="shared" si="443"/>
        <v>14.168822396999996</v>
      </c>
      <c r="K1951" s="15">
        <f>MIN(J1951+G1951,(J1951+G1951)*'Hoja 4 - Cálculo'!$B$15)</f>
        <v>0.92865394794</v>
      </c>
      <c r="L1951" s="15">
        <f t="shared" si="438"/>
        <v>45.504043449059999</v>
      </c>
      <c r="M1951" s="15">
        <f t="shared" si="439"/>
        <v>11.5</v>
      </c>
      <c r="N1951" s="15">
        <f t="shared" si="440"/>
        <v>15</v>
      </c>
      <c r="O1951" s="15">
        <f t="shared" si="441"/>
        <v>19.004043449059999</v>
      </c>
      <c r="P1951" s="15">
        <f t="shared" si="442"/>
        <v>0</v>
      </c>
      <c r="Q1951" s="14" t="str">
        <f>IF(M1951&gt;=I1951*'Hoja 4 - Cálculo'!$B$16,"Satisfactorio","Falla")</f>
        <v>Satisfactorio</v>
      </c>
      <c r="R1951" s="14">
        <f t="shared" si="444"/>
        <v>0</v>
      </c>
      <c r="S1951" s="14">
        <f t="shared" si="445"/>
        <v>0</v>
      </c>
    </row>
    <row r="1952" spans="1:19">
      <c r="A1952" s="14" t="str">
        <f t="shared" si="436"/>
        <v>SRY-6-2</v>
      </c>
      <c r="B1952" s="15">
        <f>'Curvas SRY'!$B$13</f>
        <v>15</v>
      </c>
      <c r="C1952" s="15">
        <f>'Curvas SRY'!$E$9</f>
        <v>1</v>
      </c>
      <c r="D1952" s="14" t="str">
        <f>'Curvas SRY'!$B$14</f>
        <v>Uso variable</v>
      </c>
      <c r="E1952" s="14">
        <f>29</f>
        <v>29</v>
      </c>
      <c r="F1952" s="21">
        <f>'Hoja 4 - Cálculo'!A53</f>
        <v>30437</v>
      </c>
      <c r="G1952" s="15">
        <f>'Hoja 4 - Cálculo'!H53</f>
        <v>29.356874999999999</v>
      </c>
      <c r="H1952" s="15">
        <f>IF(D1952="Uso único",'Hoja 4 - Cálculo'!I53,IF(D1952="Uso múltiple",AVERAGE('Hoja 4 - Cálculo'!$I$25:$I$384)+AVERAGE('Hoja 4 - Cálculo'!$J$25:$J$384)+AVERAGE('Hoja 4 - Cálculo'!$K$25:$K$384),IF(D1952="Uso prioritario",'Hoja 4 - Cálculo'!I53+'Hoja 4 - Cálculo'!K53,'Hoja 4 - Cálculo'!I53+'Hoja 4 - Cálculo'!J53+'Hoja 4 - Cálculo'!K53)))</f>
        <v>11.5</v>
      </c>
      <c r="I1952" s="15">
        <f t="shared" si="437"/>
        <v>11.5</v>
      </c>
      <c r="J1952" s="15">
        <f t="shared" si="443"/>
        <v>15</v>
      </c>
      <c r="K1952" s="15">
        <f>MIN(J1952+G1952,(J1952+G1952)*'Hoja 4 - Cálculo'!$B$15)</f>
        <v>0.88713750000000002</v>
      </c>
      <c r="L1952" s="15">
        <f t="shared" si="438"/>
        <v>43.469737500000001</v>
      </c>
      <c r="M1952" s="15">
        <f t="shared" si="439"/>
        <v>11.5</v>
      </c>
      <c r="N1952" s="15">
        <f t="shared" si="440"/>
        <v>15</v>
      </c>
      <c r="O1952" s="15">
        <f t="shared" si="441"/>
        <v>16.969737500000001</v>
      </c>
      <c r="P1952" s="15">
        <f t="shared" si="442"/>
        <v>0</v>
      </c>
      <c r="Q1952" s="14" t="str">
        <f>IF(M1952&gt;=I1952*'Hoja 4 - Cálculo'!$B$16,"Satisfactorio","Falla")</f>
        <v>Satisfactorio</v>
      </c>
      <c r="R1952" s="14">
        <f t="shared" si="444"/>
        <v>0</v>
      </c>
      <c r="S1952" s="14">
        <f t="shared" si="445"/>
        <v>0</v>
      </c>
    </row>
    <row r="1953" spans="1:19">
      <c r="A1953" s="14" t="str">
        <f t="shared" si="436"/>
        <v>SRY-6-2</v>
      </c>
      <c r="B1953" s="15">
        <f>'Curvas SRY'!$B$13</f>
        <v>15</v>
      </c>
      <c r="C1953" s="15">
        <f>'Curvas SRY'!$E$9</f>
        <v>1</v>
      </c>
      <c r="D1953" s="14" t="str">
        <f>'Curvas SRY'!$B$14</f>
        <v>Uso variable</v>
      </c>
      <c r="E1953" s="14">
        <f>30</f>
        <v>30</v>
      </c>
      <c r="F1953" s="21">
        <f>'Hoja 4 - Cálculo'!A54</f>
        <v>30468</v>
      </c>
      <c r="G1953" s="15">
        <f>'Hoja 4 - Cálculo'!H54</f>
        <v>17.212499999999999</v>
      </c>
      <c r="H1953" s="15">
        <f>IF(D1953="Uso único",'Hoja 4 - Cálculo'!I54,IF(D1953="Uso múltiple",AVERAGE('Hoja 4 - Cálculo'!$I$25:$I$384)+AVERAGE('Hoja 4 - Cálculo'!$J$25:$J$384)+AVERAGE('Hoja 4 - Cálculo'!$K$25:$K$384),IF(D1953="Uso prioritario",'Hoja 4 - Cálculo'!I54+'Hoja 4 - Cálculo'!K54,'Hoja 4 - Cálculo'!I54+'Hoja 4 - Cálculo'!J54+'Hoja 4 - Cálculo'!K54)))</f>
        <v>11.5</v>
      </c>
      <c r="I1953" s="15">
        <f t="shared" si="437"/>
        <v>11.5</v>
      </c>
      <c r="J1953" s="15">
        <f t="shared" si="443"/>
        <v>15</v>
      </c>
      <c r="K1953" s="15">
        <f>MIN(J1953+G1953,(J1953+G1953)*'Hoja 4 - Cálculo'!$B$15)</f>
        <v>0.64424999999999999</v>
      </c>
      <c r="L1953" s="15">
        <f t="shared" si="438"/>
        <v>31.568249999999999</v>
      </c>
      <c r="M1953" s="15">
        <f t="shared" si="439"/>
        <v>11.5</v>
      </c>
      <c r="N1953" s="15">
        <f t="shared" si="440"/>
        <v>15</v>
      </c>
      <c r="O1953" s="15">
        <f t="shared" si="441"/>
        <v>5.068249999999999</v>
      </c>
      <c r="P1953" s="15">
        <f t="shared" si="442"/>
        <v>0</v>
      </c>
      <c r="Q1953" s="14" t="str">
        <f>IF(M1953&gt;=I1953*'Hoja 4 - Cálculo'!$B$16,"Satisfactorio","Falla")</f>
        <v>Satisfactorio</v>
      </c>
      <c r="R1953" s="14">
        <f t="shared" si="444"/>
        <v>0</v>
      </c>
      <c r="S1953" s="14">
        <f t="shared" si="445"/>
        <v>0</v>
      </c>
    </row>
    <row r="1954" spans="1:19">
      <c r="A1954" s="14" t="str">
        <f t="shared" si="436"/>
        <v>SRY-6-2</v>
      </c>
      <c r="B1954" s="15">
        <f>'Curvas SRY'!$B$13</f>
        <v>15</v>
      </c>
      <c r="C1954" s="15">
        <f>'Curvas SRY'!$E$9</f>
        <v>1</v>
      </c>
      <c r="D1954" s="14" t="str">
        <f>'Curvas SRY'!$B$14</f>
        <v>Uso variable</v>
      </c>
      <c r="E1954" s="14">
        <f>31</f>
        <v>31</v>
      </c>
      <c r="F1954" s="21">
        <f>'Hoja 4 - Cálculo'!A55</f>
        <v>30498</v>
      </c>
      <c r="G1954" s="15">
        <f>'Hoja 4 - Cálculo'!H55</f>
        <v>13.597875</v>
      </c>
      <c r="H1954" s="15">
        <f>IF(D1954="Uso único",'Hoja 4 - Cálculo'!I55,IF(D1954="Uso múltiple",AVERAGE('Hoja 4 - Cálculo'!$I$25:$I$384)+AVERAGE('Hoja 4 - Cálculo'!$J$25:$J$384)+AVERAGE('Hoja 4 - Cálculo'!$K$25:$K$384),IF(D1954="Uso prioritario",'Hoja 4 - Cálculo'!I55+'Hoja 4 - Cálculo'!K55,'Hoja 4 - Cálculo'!I55+'Hoja 4 - Cálculo'!J55+'Hoja 4 - Cálculo'!K55)))</f>
        <v>16</v>
      </c>
      <c r="I1954" s="15">
        <f t="shared" si="437"/>
        <v>16</v>
      </c>
      <c r="J1954" s="15">
        <f t="shared" si="443"/>
        <v>15</v>
      </c>
      <c r="K1954" s="15">
        <f>MIN(J1954+G1954,(J1954+G1954)*'Hoja 4 - Cálculo'!$B$15)</f>
        <v>0.57195750000000001</v>
      </c>
      <c r="L1954" s="15">
        <f t="shared" si="438"/>
        <v>28.025917500000002</v>
      </c>
      <c r="M1954" s="15">
        <f t="shared" si="439"/>
        <v>16</v>
      </c>
      <c r="N1954" s="15">
        <f t="shared" si="440"/>
        <v>12.025917500000002</v>
      </c>
      <c r="O1954" s="15">
        <f t="shared" si="441"/>
        <v>0</v>
      </c>
      <c r="P1954" s="15">
        <f t="shared" si="442"/>
        <v>0</v>
      </c>
      <c r="Q1954" s="14" t="str">
        <f>IF(M1954&gt;=I1954*'Hoja 4 - Cálculo'!$B$16,"Satisfactorio","Falla")</f>
        <v>Satisfactorio</v>
      </c>
      <c r="R1954" s="14">
        <f t="shared" si="444"/>
        <v>0</v>
      </c>
      <c r="S1954" s="14">
        <f t="shared" si="445"/>
        <v>0</v>
      </c>
    </row>
    <row r="1955" spans="1:19">
      <c r="A1955" s="14" t="str">
        <f t="shared" si="436"/>
        <v>SRY-6-2</v>
      </c>
      <c r="B1955" s="15">
        <f>'Curvas SRY'!$B$13</f>
        <v>15</v>
      </c>
      <c r="C1955" s="15">
        <f>'Curvas SRY'!$E$9</f>
        <v>1</v>
      </c>
      <c r="D1955" s="14" t="str">
        <f>'Curvas SRY'!$B$14</f>
        <v>Uso variable</v>
      </c>
      <c r="E1955" s="14">
        <f>32</f>
        <v>32</v>
      </c>
      <c r="F1955" s="21">
        <f>'Hoja 4 - Cálculo'!A56</f>
        <v>30529</v>
      </c>
      <c r="G1955" s="15">
        <f>'Hoja 4 - Cálculo'!H56</f>
        <v>14.592375000000001</v>
      </c>
      <c r="H1955" s="15">
        <f>IF(D1955="Uso único",'Hoja 4 - Cálculo'!I56,IF(D1955="Uso múltiple",AVERAGE('Hoja 4 - Cálculo'!$I$25:$I$384)+AVERAGE('Hoja 4 - Cálculo'!$J$25:$J$384)+AVERAGE('Hoja 4 - Cálculo'!$K$25:$K$384),IF(D1955="Uso prioritario",'Hoja 4 - Cálculo'!I56+'Hoja 4 - Cálculo'!K56,'Hoja 4 - Cálculo'!I56+'Hoja 4 - Cálculo'!J56+'Hoja 4 - Cálculo'!K56)))</f>
        <v>16</v>
      </c>
      <c r="I1955" s="15">
        <f t="shared" si="437"/>
        <v>16</v>
      </c>
      <c r="J1955" s="15">
        <f t="shared" si="443"/>
        <v>12.025917500000002</v>
      </c>
      <c r="K1955" s="15">
        <f>MIN(J1955+G1955,(J1955+G1955)*'Hoja 4 - Cálculo'!$B$15)</f>
        <v>0.53236585000000003</v>
      </c>
      <c r="L1955" s="15">
        <f t="shared" si="438"/>
        <v>26.085926650000001</v>
      </c>
      <c r="M1955" s="15">
        <f t="shared" si="439"/>
        <v>16</v>
      </c>
      <c r="N1955" s="15">
        <f t="shared" si="440"/>
        <v>10.085926650000001</v>
      </c>
      <c r="O1955" s="15">
        <f t="shared" si="441"/>
        <v>0</v>
      </c>
      <c r="P1955" s="15">
        <f t="shared" si="442"/>
        <v>0</v>
      </c>
      <c r="Q1955" s="14" t="str">
        <f>IF(M1955&gt;=I1955*'Hoja 4 - Cálculo'!$B$16,"Satisfactorio","Falla")</f>
        <v>Satisfactorio</v>
      </c>
      <c r="R1955" s="14">
        <f t="shared" si="444"/>
        <v>0</v>
      </c>
      <c r="S1955" s="14">
        <f t="shared" si="445"/>
        <v>0</v>
      </c>
    </row>
    <row r="1956" spans="1:19">
      <c r="A1956" s="14" t="str">
        <f t="shared" ref="A1956:A1987" si="446">"SRY-6-2"</f>
        <v>SRY-6-2</v>
      </c>
      <c r="B1956" s="15">
        <f>'Curvas SRY'!$B$13</f>
        <v>15</v>
      </c>
      <c r="C1956" s="15">
        <f>'Curvas SRY'!$E$9</f>
        <v>1</v>
      </c>
      <c r="D1956" s="14" t="str">
        <f>'Curvas SRY'!$B$14</f>
        <v>Uso variable</v>
      </c>
      <c r="E1956" s="14">
        <f>33</f>
        <v>33</v>
      </c>
      <c r="F1956" s="21">
        <f>'Hoja 4 - Cálculo'!A57</f>
        <v>30560</v>
      </c>
      <c r="G1956" s="15">
        <f>'Hoja 4 - Cálculo'!H57</f>
        <v>24.307874999999999</v>
      </c>
      <c r="H1956" s="15">
        <f>IF(D1956="Uso único",'Hoja 4 - Cálculo'!I57,IF(D1956="Uso múltiple",AVERAGE('Hoja 4 - Cálculo'!$I$25:$I$384)+AVERAGE('Hoja 4 - Cálculo'!$J$25:$J$384)+AVERAGE('Hoja 4 - Cálculo'!$K$25:$K$384),IF(D1956="Uso prioritario",'Hoja 4 - Cálculo'!I57+'Hoja 4 - Cálculo'!K57,'Hoja 4 - Cálculo'!I57+'Hoja 4 - Cálculo'!J57+'Hoja 4 - Cálculo'!K57)))</f>
        <v>11.5</v>
      </c>
      <c r="I1956" s="15">
        <f t="shared" si="437"/>
        <v>11.5</v>
      </c>
      <c r="J1956" s="15">
        <f t="shared" si="443"/>
        <v>10.085926650000001</v>
      </c>
      <c r="K1956" s="15">
        <f>MIN(J1956+G1956,(J1956+G1956)*'Hoja 4 - Cálculo'!$B$15)</f>
        <v>0.687876033</v>
      </c>
      <c r="L1956" s="15">
        <f t="shared" si="438"/>
        <v>33.705925616999998</v>
      </c>
      <c r="M1956" s="15">
        <f t="shared" si="439"/>
        <v>11.5</v>
      </c>
      <c r="N1956" s="15">
        <f t="shared" si="440"/>
        <v>15</v>
      </c>
      <c r="O1956" s="15">
        <f t="shared" si="441"/>
        <v>7.2059256169999983</v>
      </c>
      <c r="P1956" s="15">
        <f t="shared" si="442"/>
        <v>0</v>
      </c>
      <c r="Q1956" s="14" t="str">
        <f>IF(M1956&gt;=I1956*'Hoja 4 - Cálculo'!$B$16,"Satisfactorio","Falla")</f>
        <v>Satisfactorio</v>
      </c>
      <c r="R1956" s="14">
        <f t="shared" si="444"/>
        <v>0</v>
      </c>
      <c r="S1956" s="14">
        <f t="shared" si="445"/>
        <v>0</v>
      </c>
    </row>
    <row r="1957" spans="1:19">
      <c r="A1957" s="14" t="str">
        <f t="shared" si="446"/>
        <v>SRY-6-2</v>
      </c>
      <c r="B1957" s="15">
        <f>'Curvas SRY'!$B$13</f>
        <v>15</v>
      </c>
      <c r="C1957" s="15">
        <f>'Curvas SRY'!$E$9</f>
        <v>1</v>
      </c>
      <c r="D1957" s="14" t="str">
        <f>'Curvas SRY'!$B$14</f>
        <v>Uso variable</v>
      </c>
      <c r="E1957" s="14">
        <f>34</f>
        <v>34</v>
      </c>
      <c r="F1957" s="21">
        <f>'Hoja 4 - Cálculo'!A58</f>
        <v>30590</v>
      </c>
      <c r="G1957" s="15">
        <f>'Hoja 4 - Cálculo'!H58</f>
        <v>33.564374999999998</v>
      </c>
      <c r="H1957" s="15">
        <f>IF(D1957="Uso único",'Hoja 4 - Cálculo'!I58,IF(D1957="Uso múltiple",AVERAGE('Hoja 4 - Cálculo'!$I$25:$I$384)+AVERAGE('Hoja 4 - Cálculo'!$J$25:$J$384)+AVERAGE('Hoja 4 - Cálculo'!$K$25:$K$384),IF(D1957="Uso prioritario",'Hoja 4 - Cálculo'!I58+'Hoja 4 - Cálculo'!K58,'Hoja 4 - Cálculo'!I58+'Hoja 4 - Cálculo'!J58+'Hoja 4 - Cálculo'!K58)))</f>
        <v>11.5</v>
      </c>
      <c r="I1957" s="15">
        <f t="shared" si="437"/>
        <v>11.5</v>
      </c>
      <c r="J1957" s="15">
        <f t="shared" ref="J1957:J1988" si="447">N1956</f>
        <v>15</v>
      </c>
      <c r="K1957" s="15">
        <f>MIN(J1957+G1957,(J1957+G1957)*'Hoja 4 - Cálculo'!$B$15)</f>
        <v>0.97128749999999997</v>
      </c>
      <c r="L1957" s="15">
        <f t="shared" si="438"/>
        <v>47.593087499999996</v>
      </c>
      <c r="M1957" s="15">
        <f t="shared" si="439"/>
        <v>11.5</v>
      </c>
      <c r="N1957" s="15">
        <f t="shared" si="440"/>
        <v>15</v>
      </c>
      <c r="O1957" s="15">
        <f t="shared" si="441"/>
        <v>21.093087499999996</v>
      </c>
      <c r="P1957" s="15">
        <f t="shared" si="442"/>
        <v>0</v>
      </c>
      <c r="Q1957" s="14" t="str">
        <f>IF(M1957&gt;=I1957*'Hoja 4 - Cálculo'!$B$16,"Satisfactorio","Falla")</f>
        <v>Satisfactorio</v>
      </c>
      <c r="R1957" s="14">
        <f t="shared" ref="R1957:R1988" si="448">IF(AND(Q1956="Falla",Q1957="Satisfactorio"),1,0)</f>
        <v>0</v>
      </c>
      <c r="S1957" s="14">
        <f t="shared" ref="S1957:S1988" si="449">IF(AND(Q1957="Falla",Q1956&lt;&gt;"Falla"),1,0)</f>
        <v>0</v>
      </c>
    </row>
    <row r="1958" spans="1:19">
      <c r="A1958" s="14" t="str">
        <f t="shared" si="446"/>
        <v>SRY-6-2</v>
      </c>
      <c r="B1958" s="15">
        <f>'Curvas SRY'!$B$13</f>
        <v>15</v>
      </c>
      <c r="C1958" s="15">
        <f>'Curvas SRY'!$E$9</f>
        <v>1</v>
      </c>
      <c r="D1958" s="14" t="str">
        <f>'Curvas SRY'!$B$14</f>
        <v>Uso variable</v>
      </c>
      <c r="E1958" s="14">
        <f>35</f>
        <v>35</v>
      </c>
      <c r="F1958" s="21">
        <f>'Hoja 4 - Cálculo'!A59</f>
        <v>30621</v>
      </c>
      <c r="G1958" s="15">
        <f>'Hoja 4 - Cálculo'!H59</f>
        <v>28.075500000000002</v>
      </c>
      <c r="H1958" s="15">
        <f>IF(D1958="Uso único",'Hoja 4 - Cálculo'!I59,IF(D1958="Uso múltiple",AVERAGE('Hoja 4 - Cálculo'!$I$25:$I$384)+AVERAGE('Hoja 4 - Cálculo'!$J$25:$J$384)+AVERAGE('Hoja 4 - Cálculo'!$K$25:$K$384),IF(D1958="Uso prioritario",'Hoja 4 - Cálculo'!I59+'Hoja 4 - Cálculo'!K59,'Hoja 4 - Cálculo'!I59+'Hoja 4 - Cálculo'!J59+'Hoja 4 - Cálculo'!K59)))</f>
        <v>11.5</v>
      </c>
      <c r="I1958" s="15">
        <f t="shared" si="437"/>
        <v>11.5</v>
      </c>
      <c r="J1958" s="15">
        <f t="shared" si="447"/>
        <v>15</v>
      </c>
      <c r="K1958" s="15">
        <f>MIN(J1958+G1958,(J1958+G1958)*'Hoja 4 - Cálculo'!$B$15)</f>
        <v>0.86151000000000011</v>
      </c>
      <c r="L1958" s="15">
        <f t="shared" si="438"/>
        <v>42.213990000000003</v>
      </c>
      <c r="M1958" s="15">
        <f t="shared" si="439"/>
        <v>11.5</v>
      </c>
      <c r="N1958" s="15">
        <f t="shared" si="440"/>
        <v>15</v>
      </c>
      <c r="O1958" s="15">
        <f t="shared" si="441"/>
        <v>15.713990000000003</v>
      </c>
      <c r="P1958" s="15">
        <f t="shared" si="442"/>
        <v>0</v>
      </c>
      <c r="Q1958" s="14" t="str">
        <f>IF(M1958&gt;=I1958*'Hoja 4 - Cálculo'!$B$16,"Satisfactorio","Falla")</f>
        <v>Satisfactorio</v>
      </c>
      <c r="R1958" s="14">
        <f t="shared" si="448"/>
        <v>0</v>
      </c>
      <c r="S1958" s="14">
        <f t="shared" si="449"/>
        <v>0</v>
      </c>
    </row>
    <row r="1959" spans="1:19">
      <c r="A1959" s="14" t="str">
        <f t="shared" si="446"/>
        <v>SRY-6-2</v>
      </c>
      <c r="B1959" s="15">
        <f>'Curvas SRY'!$B$13</f>
        <v>15</v>
      </c>
      <c r="C1959" s="15">
        <f>'Curvas SRY'!$E$9</f>
        <v>1</v>
      </c>
      <c r="D1959" s="14" t="str">
        <f>'Curvas SRY'!$B$14</f>
        <v>Uso variable</v>
      </c>
      <c r="E1959" s="14">
        <f>36</f>
        <v>36</v>
      </c>
      <c r="F1959" s="21">
        <f>'Hoja 4 - Cálculo'!A60</f>
        <v>30651</v>
      </c>
      <c r="G1959" s="15">
        <f>'Hoja 4 - Cálculo'!H60</f>
        <v>15.931125</v>
      </c>
      <c r="H1959" s="15">
        <f>IF(D1959="Uso único",'Hoja 4 - Cálculo'!I60,IF(D1959="Uso múltiple",AVERAGE('Hoja 4 - Cálculo'!$I$25:$I$384)+AVERAGE('Hoja 4 - Cálculo'!$J$25:$J$384)+AVERAGE('Hoja 4 - Cálculo'!$K$25:$K$384),IF(D1959="Uso prioritario",'Hoja 4 - Cálculo'!I60+'Hoja 4 - Cálculo'!K60,'Hoja 4 - Cálculo'!I60+'Hoja 4 - Cálculo'!J60+'Hoja 4 - Cálculo'!K60)))</f>
        <v>16</v>
      </c>
      <c r="I1959" s="15">
        <f t="shared" si="437"/>
        <v>16</v>
      </c>
      <c r="J1959" s="15">
        <f t="shared" si="447"/>
        <v>15</v>
      </c>
      <c r="K1959" s="15">
        <f>MIN(J1959+G1959,(J1959+G1959)*'Hoja 4 - Cálculo'!$B$15)</f>
        <v>0.61862250000000008</v>
      </c>
      <c r="L1959" s="15">
        <f t="shared" si="438"/>
        <v>30.312502500000001</v>
      </c>
      <c r="M1959" s="15">
        <f t="shared" si="439"/>
        <v>16</v>
      </c>
      <c r="N1959" s="15">
        <f t="shared" si="440"/>
        <v>14.312502500000001</v>
      </c>
      <c r="O1959" s="15">
        <f t="shared" si="441"/>
        <v>0</v>
      </c>
      <c r="P1959" s="15">
        <f t="shared" si="442"/>
        <v>0</v>
      </c>
      <c r="Q1959" s="14" t="str">
        <f>IF(M1959&gt;=I1959*'Hoja 4 - Cálculo'!$B$16,"Satisfactorio","Falla")</f>
        <v>Satisfactorio</v>
      </c>
      <c r="R1959" s="14">
        <f t="shared" si="448"/>
        <v>0</v>
      </c>
      <c r="S1959" s="14">
        <f t="shared" si="449"/>
        <v>0</v>
      </c>
    </row>
    <row r="1960" spans="1:19">
      <c r="A1960" s="14" t="str">
        <f t="shared" si="446"/>
        <v>SRY-6-2</v>
      </c>
      <c r="B1960" s="15">
        <f>'Curvas SRY'!$B$13</f>
        <v>15</v>
      </c>
      <c r="C1960" s="15">
        <f>'Curvas SRY'!$E$9</f>
        <v>1</v>
      </c>
      <c r="D1960" s="14" t="str">
        <f>'Curvas SRY'!$B$14</f>
        <v>Uso variable</v>
      </c>
      <c r="E1960" s="14">
        <f>37</f>
        <v>37</v>
      </c>
      <c r="F1960" s="21">
        <f>'Hoja 4 - Cálculo'!A61</f>
        <v>30682</v>
      </c>
      <c r="G1960" s="15">
        <f>'Hoja 4 - Cálculo'!H61</f>
        <v>10.920375</v>
      </c>
      <c r="H1960" s="15">
        <f>IF(D1960="Uso único",'Hoja 4 - Cálculo'!I61,IF(D1960="Uso múltiple",AVERAGE('Hoja 4 - Cálculo'!$I$25:$I$384)+AVERAGE('Hoja 4 - Cálculo'!$J$25:$J$384)+AVERAGE('Hoja 4 - Cálculo'!$K$25:$K$384),IF(D1960="Uso prioritario",'Hoja 4 - Cálculo'!I61+'Hoja 4 - Cálculo'!K61,'Hoja 4 - Cálculo'!I61+'Hoja 4 - Cálculo'!J61+'Hoja 4 - Cálculo'!K61)))</f>
        <v>16</v>
      </c>
      <c r="I1960" s="15">
        <f t="shared" si="437"/>
        <v>16</v>
      </c>
      <c r="J1960" s="15">
        <f t="shared" si="447"/>
        <v>14.312502500000001</v>
      </c>
      <c r="K1960" s="15">
        <f>MIN(J1960+G1960,(J1960+G1960)*'Hoja 4 - Cálculo'!$B$15)</f>
        <v>0.50465755000000001</v>
      </c>
      <c r="L1960" s="15">
        <f t="shared" si="438"/>
        <v>24.72821995</v>
      </c>
      <c r="M1960" s="15">
        <f t="shared" si="439"/>
        <v>16</v>
      </c>
      <c r="N1960" s="15">
        <f t="shared" si="440"/>
        <v>8.7282199499999997</v>
      </c>
      <c r="O1960" s="15">
        <f t="shared" si="441"/>
        <v>0</v>
      </c>
      <c r="P1960" s="15">
        <f t="shared" si="442"/>
        <v>0</v>
      </c>
      <c r="Q1960" s="14" t="str">
        <f>IF(M1960&gt;=I1960*'Hoja 4 - Cálculo'!$B$16,"Satisfactorio","Falla")</f>
        <v>Satisfactorio</v>
      </c>
      <c r="R1960" s="14">
        <f t="shared" si="448"/>
        <v>0</v>
      </c>
      <c r="S1960" s="14">
        <f t="shared" si="449"/>
        <v>0</v>
      </c>
    </row>
    <row r="1961" spans="1:19">
      <c r="A1961" s="14" t="str">
        <f t="shared" si="446"/>
        <v>SRY-6-2</v>
      </c>
      <c r="B1961" s="15">
        <f>'Curvas SRY'!$B$13</f>
        <v>15</v>
      </c>
      <c r="C1961" s="15">
        <f>'Curvas SRY'!$E$9</f>
        <v>1</v>
      </c>
      <c r="D1961" s="14" t="str">
        <f>'Curvas SRY'!$B$14</f>
        <v>Uso variable</v>
      </c>
      <c r="E1961" s="14">
        <f>38</f>
        <v>38</v>
      </c>
      <c r="F1961" s="21">
        <f>'Hoja 4 - Cálculo'!A62</f>
        <v>30713</v>
      </c>
      <c r="G1961" s="15">
        <f>'Hoja 4 - Cálculo'!H62</f>
        <v>13.04325</v>
      </c>
      <c r="H1961" s="15">
        <f>IF(D1961="Uso único",'Hoja 4 - Cálculo'!I62,IF(D1961="Uso múltiple",AVERAGE('Hoja 4 - Cálculo'!$I$25:$I$384)+AVERAGE('Hoja 4 - Cálculo'!$J$25:$J$384)+AVERAGE('Hoja 4 - Cálculo'!$K$25:$K$384),IF(D1961="Uso prioritario",'Hoja 4 - Cálculo'!I62+'Hoja 4 - Cálculo'!K62,'Hoja 4 - Cálculo'!I62+'Hoja 4 - Cálculo'!J62+'Hoja 4 - Cálculo'!K62)))</f>
        <v>16</v>
      </c>
      <c r="I1961" s="15">
        <f t="shared" si="437"/>
        <v>16</v>
      </c>
      <c r="J1961" s="15">
        <f t="shared" si="447"/>
        <v>8.7282199499999997</v>
      </c>
      <c r="K1961" s="15">
        <f>MIN(J1961+G1961,(J1961+G1961)*'Hoja 4 - Cálculo'!$B$15)</f>
        <v>0.43542939899999999</v>
      </c>
      <c r="L1961" s="15">
        <f t="shared" si="438"/>
        <v>21.336040551</v>
      </c>
      <c r="M1961" s="15">
        <f t="shared" si="439"/>
        <v>16</v>
      </c>
      <c r="N1961" s="15">
        <f t="shared" si="440"/>
        <v>5.336040551</v>
      </c>
      <c r="O1961" s="15">
        <f t="shared" si="441"/>
        <v>0</v>
      </c>
      <c r="P1961" s="15">
        <f t="shared" si="442"/>
        <v>0</v>
      </c>
      <c r="Q1961" s="14" t="str">
        <f>IF(M1961&gt;=I1961*'Hoja 4 - Cálculo'!$B$16,"Satisfactorio","Falla")</f>
        <v>Satisfactorio</v>
      </c>
      <c r="R1961" s="14">
        <f t="shared" si="448"/>
        <v>0</v>
      </c>
      <c r="S1961" s="14">
        <f t="shared" si="449"/>
        <v>0</v>
      </c>
    </row>
    <row r="1962" spans="1:19">
      <c r="A1962" s="14" t="str">
        <f t="shared" si="446"/>
        <v>SRY-6-2</v>
      </c>
      <c r="B1962" s="15">
        <f>'Curvas SRY'!$B$13</f>
        <v>15</v>
      </c>
      <c r="C1962" s="15">
        <f>'Curvas SRY'!$E$9</f>
        <v>1</v>
      </c>
      <c r="D1962" s="14" t="str">
        <f>'Curvas SRY'!$B$14</f>
        <v>Uso variable</v>
      </c>
      <c r="E1962" s="14">
        <f>39</f>
        <v>39</v>
      </c>
      <c r="F1962" s="21">
        <f>'Hoja 4 - Cálculo'!A63</f>
        <v>30742</v>
      </c>
      <c r="G1962" s="15">
        <f>'Hoja 4 - Cálculo'!H63</f>
        <v>20.272500000000001</v>
      </c>
      <c r="H1962" s="15">
        <f>IF(D1962="Uso único",'Hoja 4 - Cálculo'!I63,IF(D1962="Uso múltiple",AVERAGE('Hoja 4 - Cálculo'!$I$25:$I$384)+AVERAGE('Hoja 4 - Cálculo'!$J$25:$J$384)+AVERAGE('Hoja 4 - Cálculo'!$K$25:$K$384),IF(D1962="Uso prioritario",'Hoja 4 - Cálculo'!I63+'Hoja 4 - Cálculo'!K63,'Hoja 4 - Cálculo'!I63+'Hoja 4 - Cálculo'!J63+'Hoja 4 - Cálculo'!K63)))</f>
        <v>16</v>
      </c>
      <c r="I1962" s="15">
        <f t="shared" si="437"/>
        <v>16</v>
      </c>
      <c r="J1962" s="15">
        <f t="shared" si="447"/>
        <v>5.336040551</v>
      </c>
      <c r="K1962" s="15">
        <f>MIN(J1962+G1962,(J1962+G1962)*'Hoja 4 - Cálculo'!$B$15)</f>
        <v>0.51217081102000006</v>
      </c>
      <c r="L1962" s="15">
        <f t="shared" si="438"/>
        <v>25.096369739980002</v>
      </c>
      <c r="M1962" s="15">
        <f t="shared" si="439"/>
        <v>16</v>
      </c>
      <c r="N1962" s="15">
        <f t="shared" si="440"/>
        <v>9.0963697399800019</v>
      </c>
      <c r="O1962" s="15">
        <f t="shared" si="441"/>
        <v>0</v>
      </c>
      <c r="P1962" s="15">
        <f t="shared" si="442"/>
        <v>0</v>
      </c>
      <c r="Q1962" s="14" t="str">
        <f>IF(M1962&gt;=I1962*'Hoja 4 - Cálculo'!$B$16,"Satisfactorio","Falla")</f>
        <v>Satisfactorio</v>
      </c>
      <c r="R1962" s="14">
        <f t="shared" si="448"/>
        <v>0</v>
      </c>
      <c r="S1962" s="14">
        <f t="shared" si="449"/>
        <v>0</v>
      </c>
    </row>
    <row r="1963" spans="1:19">
      <c r="A1963" s="14" t="str">
        <f t="shared" si="446"/>
        <v>SRY-6-2</v>
      </c>
      <c r="B1963" s="15">
        <f>'Curvas SRY'!$B$13</f>
        <v>15</v>
      </c>
      <c r="C1963" s="15">
        <f>'Curvas SRY'!$E$9</f>
        <v>1</v>
      </c>
      <c r="D1963" s="14" t="str">
        <f>'Curvas SRY'!$B$14</f>
        <v>Uso variable</v>
      </c>
      <c r="E1963" s="14">
        <f>40</f>
        <v>40</v>
      </c>
      <c r="F1963" s="21">
        <f>'Hoja 4 - Cálculo'!A64</f>
        <v>30773</v>
      </c>
      <c r="G1963" s="15">
        <f>'Hoja 4 - Cálculo'!H64</f>
        <v>27.922499999999999</v>
      </c>
      <c r="H1963" s="15">
        <f>IF(D1963="Uso único",'Hoja 4 - Cálculo'!I64,IF(D1963="Uso múltiple",AVERAGE('Hoja 4 - Cálculo'!$I$25:$I$384)+AVERAGE('Hoja 4 - Cálculo'!$J$25:$J$384)+AVERAGE('Hoja 4 - Cálculo'!$K$25:$K$384),IF(D1963="Uso prioritario",'Hoja 4 - Cálculo'!I64+'Hoja 4 - Cálculo'!K64,'Hoja 4 - Cálculo'!I64+'Hoja 4 - Cálculo'!J64+'Hoja 4 - Cálculo'!K64)))</f>
        <v>11.5</v>
      </c>
      <c r="I1963" s="15">
        <f t="shared" si="437"/>
        <v>11.5</v>
      </c>
      <c r="J1963" s="15">
        <f t="shared" si="447"/>
        <v>9.0963697399800019</v>
      </c>
      <c r="K1963" s="15">
        <f>MIN(J1963+G1963,(J1963+G1963)*'Hoja 4 - Cálculo'!$B$15)</f>
        <v>0.74037739479960007</v>
      </c>
      <c r="L1963" s="15">
        <f t="shared" si="438"/>
        <v>36.278492345180403</v>
      </c>
      <c r="M1963" s="15">
        <f t="shared" si="439"/>
        <v>11.5</v>
      </c>
      <c r="N1963" s="15">
        <f t="shared" si="440"/>
        <v>15</v>
      </c>
      <c r="O1963" s="15">
        <f t="shared" si="441"/>
        <v>9.7784923451804033</v>
      </c>
      <c r="P1963" s="15">
        <f t="shared" si="442"/>
        <v>0</v>
      </c>
      <c r="Q1963" s="14" t="str">
        <f>IF(M1963&gt;=I1963*'Hoja 4 - Cálculo'!$B$16,"Satisfactorio","Falla")</f>
        <v>Satisfactorio</v>
      </c>
      <c r="R1963" s="14">
        <f t="shared" si="448"/>
        <v>0</v>
      </c>
      <c r="S1963" s="14">
        <f t="shared" si="449"/>
        <v>0</v>
      </c>
    </row>
    <row r="1964" spans="1:19">
      <c r="A1964" s="14" t="str">
        <f t="shared" si="446"/>
        <v>SRY-6-2</v>
      </c>
      <c r="B1964" s="15">
        <f>'Curvas SRY'!$B$13</f>
        <v>15</v>
      </c>
      <c r="C1964" s="15">
        <f>'Curvas SRY'!$E$9</f>
        <v>1</v>
      </c>
      <c r="D1964" s="14" t="str">
        <f>'Curvas SRY'!$B$14</f>
        <v>Uso variable</v>
      </c>
      <c r="E1964" s="14">
        <f>41</f>
        <v>41</v>
      </c>
      <c r="F1964" s="21">
        <f>'Hoja 4 - Cálculo'!A65</f>
        <v>30803</v>
      </c>
      <c r="G1964" s="15">
        <f>'Hoja 4 - Cálculo'!H65</f>
        <v>23.657624999999999</v>
      </c>
      <c r="H1964" s="15">
        <f>IF(D1964="Uso único",'Hoja 4 - Cálculo'!I65,IF(D1964="Uso múltiple",AVERAGE('Hoja 4 - Cálculo'!$I$25:$I$384)+AVERAGE('Hoja 4 - Cálculo'!$J$25:$J$384)+AVERAGE('Hoja 4 - Cálculo'!$K$25:$K$384),IF(D1964="Uso prioritario",'Hoja 4 - Cálculo'!I65+'Hoja 4 - Cálculo'!K65,'Hoja 4 - Cálculo'!I65+'Hoja 4 - Cálculo'!J65+'Hoja 4 - Cálculo'!K65)))</f>
        <v>11.5</v>
      </c>
      <c r="I1964" s="15">
        <f t="shared" si="437"/>
        <v>11.5</v>
      </c>
      <c r="J1964" s="15">
        <f t="shared" si="447"/>
        <v>15</v>
      </c>
      <c r="K1964" s="15">
        <f>MIN(J1964+G1964,(J1964+G1964)*'Hoja 4 - Cálculo'!$B$15)</f>
        <v>0.77315249999999991</v>
      </c>
      <c r="L1964" s="15">
        <f t="shared" si="438"/>
        <v>37.884472499999994</v>
      </c>
      <c r="M1964" s="15">
        <f t="shared" si="439"/>
        <v>11.5</v>
      </c>
      <c r="N1964" s="15">
        <f t="shared" si="440"/>
        <v>15</v>
      </c>
      <c r="O1964" s="15">
        <f t="shared" si="441"/>
        <v>11.384472499999994</v>
      </c>
      <c r="P1964" s="15">
        <f t="shared" si="442"/>
        <v>0</v>
      </c>
      <c r="Q1964" s="14" t="str">
        <f>IF(M1964&gt;=I1964*'Hoja 4 - Cálculo'!$B$16,"Satisfactorio","Falla")</f>
        <v>Satisfactorio</v>
      </c>
      <c r="R1964" s="14">
        <f t="shared" si="448"/>
        <v>0</v>
      </c>
      <c r="S1964" s="14">
        <f t="shared" si="449"/>
        <v>0</v>
      </c>
    </row>
    <row r="1965" spans="1:19">
      <c r="A1965" s="14" t="str">
        <f t="shared" si="446"/>
        <v>SRY-6-2</v>
      </c>
      <c r="B1965" s="15">
        <f>'Curvas SRY'!$B$13</f>
        <v>15</v>
      </c>
      <c r="C1965" s="15">
        <f>'Curvas SRY'!$E$9</f>
        <v>1</v>
      </c>
      <c r="D1965" s="14" t="str">
        <f>'Curvas SRY'!$B$14</f>
        <v>Uso variable</v>
      </c>
      <c r="E1965" s="14">
        <f>42</f>
        <v>42</v>
      </c>
      <c r="F1965" s="21">
        <f>'Hoja 4 - Cálculo'!A66</f>
        <v>30834</v>
      </c>
      <c r="G1965" s="15">
        <f>'Hoja 4 - Cálculo'!H66</f>
        <v>14.554125000000001</v>
      </c>
      <c r="H1965" s="15">
        <f>IF(D1965="Uso único",'Hoja 4 - Cálculo'!I66,IF(D1965="Uso múltiple",AVERAGE('Hoja 4 - Cálculo'!$I$25:$I$384)+AVERAGE('Hoja 4 - Cálculo'!$J$25:$J$384)+AVERAGE('Hoja 4 - Cálculo'!$K$25:$K$384),IF(D1965="Uso prioritario",'Hoja 4 - Cálculo'!I66+'Hoja 4 - Cálculo'!K66,'Hoja 4 - Cálculo'!I66+'Hoja 4 - Cálculo'!J66+'Hoja 4 - Cálculo'!K66)))</f>
        <v>11.5</v>
      </c>
      <c r="I1965" s="15">
        <f t="shared" si="437"/>
        <v>11.5</v>
      </c>
      <c r="J1965" s="15">
        <f t="shared" si="447"/>
        <v>15</v>
      </c>
      <c r="K1965" s="15">
        <f>MIN(J1965+G1965,(J1965+G1965)*'Hoja 4 - Cálculo'!$B$15)</f>
        <v>0.59108249999999996</v>
      </c>
      <c r="L1965" s="15">
        <f t="shared" si="438"/>
        <v>28.9630425</v>
      </c>
      <c r="M1965" s="15">
        <f t="shared" si="439"/>
        <v>11.5</v>
      </c>
      <c r="N1965" s="15">
        <f t="shared" si="440"/>
        <v>15</v>
      </c>
      <c r="O1965" s="15">
        <f t="shared" si="441"/>
        <v>2.4630425000000002</v>
      </c>
      <c r="P1965" s="15">
        <f t="shared" si="442"/>
        <v>0</v>
      </c>
      <c r="Q1965" s="14" t="str">
        <f>IF(M1965&gt;=I1965*'Hoja 4 - Cálculo'!$B$16,"Satisfactorio","Falla")</f>
        <v>Satisfactorio</v>
      </c>
      <c r="R1965" s="14">
        <f t="shared" si="448"/>
        <v>0</v>
      </c>
      <c r="S1965" s="14">
        <f t="shared" si="449"/>
        <v>0</v>
      </c>
    </row>
    <row r="1966" spans="1:19">
      <c r="A1966" s="14" t="str">
        <f t="shared" si="446"/>
        <v>SRY-6-2</v>
      </c>
      <c r="B1966" s="15">
        <f>'Curvas SRY'!$B$13</f>
        <v>15</v>
      </c>
      <c r="C1966" s="15">
        <f>'Curvas SRY'!$E$9</f>
        <v>1</v>
      </c>
      <c r="D1966" s="14" t="str">
        <f>'Curvas SRY'!$B$14</f>
        <v>Uso variable</v>
      </c>
      <c r="E1966" s="14">
        <f>43</f>
        <v>43</v>
      </c>
      <c r="F1966" s="21">
        <f>'Hoja 4 - Cálculo'!A67</f>
        <v>30864</v>
      </c>
      <c r="G1966" s="15">
        <f>'Hoja 4 - Cálculo'!H67</f>
        <v>12.794625</v>
      </c>
      <c r="H1966" s="15">
        <f>IF(D1966="Uso único",'Hoja 4 - Cálculo'!I67,IF(D1966="Uso múltiple",AVERAGE('Hoja 4 - Cálculo'!$I$25:$I$384)+AVERAGE('Hoja 4 - Cálculo'!$J$25:$J$384)+AVERAGE('Hoja 4 - Cálculo'!$K$25:$K$384),IF(D1966="Uso prioritario",'Hoja 4 - Cálculo'!I67+'Hoja 4 - Cálculo'!K67,'Hoja 4 - Cálculo'!I67+'Hoja 4 - Cálculo'!J67+'Hoja 4 - Cálculo'!K67)))</f>
        <v>16</v>
      </c>
      <c r="I1966" s="15">
        <f t="shared" si="437"/>
        <v>16</v>
      </c>
      <c r="J1966" s="15">
        <f t="shared" si="447"/>
        <v>15</v>
      </c>
      <c r="K1966" s="15">
        <f>MIN(J1966+G1966,(J1966+G1966)*'Hoja 4 - Cálculo'!$B$15)</f>
        <v>0.55589250000000001</v>
      </c>
      <c r="L1966" s="15">
        <f t="shared" si="438"/>
        <v>27.238732500000001</v>
      </c>
      <c r="M1966" s="15">
        <f t="shared" si="439"/>
        <v>16</v>
      </c>
      <c r="N1966" s="15">
        <f t="shared" si="440"/>
        <v>11.238732500000001</v>
      </c>
      <c r="O1966" s="15">
        <f t="shared" si="441"/>
        <v>0</v>
      </c>
      <c r="P1966" s="15">
        <f t="shared" si="442"/>
        <v>0</v>
      </c>
      <c r="Q1966" s="14" t="str">
        <f>IF(M1966&gt;=I1966*'Hoja 4 - Cálculo'!$B$16,"Satisfactorio","Falla")</f>
        <v>Satisfactorio</v>
      </c>
      <c r="R1966" s="14">
        <f t="shared" si="448"/>
        <v>0</v>
      </c>
      <c r="S1966" s="14">
        <f t="shared" si="449"/>
        <v>0</v>
      </c>
    </row>
    <row r="1967" spans="1:19">
      <c r="A1967" s="14" t="str">
        <f t="shared" si="446"/>
        <v>SRY-6-2</v>
      </c>
      <c r="B1967" s="15">
        <f>'Curvas SRY'!$B$13</f>
        <v>15</v>
      </c>
      <c r="C1967" s="15">
        <f>'Curvas SRY'!$E$9</f>
        <v>1</v>
      </c>
      <c r="D1967" s="14" t="str">
        <f>'Curvas SRY'!$B$14</f>
        <v>Uso variable</v>
      </c>
      <c r="E1967" s="14">
        <f>44</f>
        <v>44</v>
      </c>
      <c r="F1967" s="21">
        <f>'Hoja 4 - Cálculo'!A68</f>
        <v>30895</v>
      </c>
      <c r="G1967" s="15">
        <f>'Hoja 4 - Cálculo'!H68</f>
        <v>13.6935</v>
      </c>
      <c r="H1967" s="15">
        <f>IF(D1967="Uso único",'Hoja 4 - Cálculo'!I68,IF(D1967="Uso múltiple",AVERAGE('Hoja 4 - Cálculo'!$I$25:$I$384)+AVERAGE('Hoja 4 - Cálculo'!$J$25:$J$384)+AVERAGE('Hoja 4 - Cálculo'!$K$25:$K$384),IF(D1967="Uso prioritario",'Hoja 4 - Cálculo'!I68+'Hoja 4 - Cálculo'!K68,'Hoja 4 - Cálculo'!I68+'Hoja 4 - Cálculo'!J68+'Hoja 4 - Cálculo'!K68)))</f>
        <v>16</v>
      </c>
      <c r="I1967" s="15">
        <f t="shared" si="437"/>
        <v>16</v>
      </c>
      <c r="J1967" s="15">
        <f t="shared" si="447"/>
        <v>11.238732500000001</v>
      </c>
      <c r="K1967" s="15">
        <f>MIN(J1967+G1967,(J1967+G1967)*'Hoja 4 - Cálculo'!$B$15)</f>
        <v>0.49864465000000002</v>
      </c>
      <c r="L1967" s="15">
        <f t="shared" si="438"/>
        <v>24.433587850000002</v>
      </c>
      <c r="M1967" s="15">
        <f t="shared" si="439"/>
        <v>16</v>
      </c>
      <c r="N1967" s="15">
        <f t="shared" si="440"/>
        <v>8.4335878500000021</v>
      </c>
      <c r="O1967" s="15">
        <f t="shared" si="441"/>
        <v>0</v>
      </c>
      <c r="P1967" s="15">
        <f t="shared" si="442"/>
        <v>0</v>
      </c>
      <c r="Q1967" s="14" t="str">
        <f>IF(M1967&gt;=I1967*'Hoja 4 - Cálculo'!$B$16,"Satisfactorio","Falla")</f>
        <v>Satisfactorio</v>
      </c>
      <c r="R1967" s="14">
        <f t="shared" si="448"/>
        <v>0</v>
      </c>
      <c r="S1967" s="14">
        <f t="shared" si="449"/>
        <v>0</v>
      </c>
    </row>
    <row r="1968" spans="1:19">
      <c r="A1968" s="14" t="str">
        <f t="shared" si="446"/>
        <v>SRY-6-2</v>
      </c>
      <c r="B1968" s="15">
        <f>'Curvas SRY'!$B$13</f>
        <v>15</v>
      </c>
      <c r="C1968" s="15">
        <f>'Curvas SRY'!$E$9</f>
        <v>1</v>
      </c>
      <c r="D1968" s="14" t="str">
        <f>'Curvas SRY'!$B$14</f>
        <v>Uso variable</v>
      </c>
      <c r="E1968" s="14">
        <f>45</f>
        <v>45</v>
      </c>
      <c r="F1968" s="21">
        <f>'Hoja 4 - Cálculo'!A69</f>
        <v>30926</v>
      </c>
      <c r="G1968" s="15">
        <f>'Hoja 4 - Cálculo'!H69</f>
        <v>20.521125000000001</v>
      </c>
      <c r="H1968" s="15">
        <f>IF(D1968="Uso único",'Hoja 4 - Cálculo'!I69,IF(D1968="Uso múltiple",AVERAGE('Hoja 4 - Cálculo'!$I$25:$I$384)+AVERAGE('Hoja 4 - Cálculo'!$J$25:$J$384)+AVERAGE('Hoja 4 - Cálculo'!$K$25:$K$384),IF(D1968="Uso prioritario",'Hoja 4 - Cálculo'!I69+'Hoja 4 - Cálculo'!K69,'Hoja 4 - Cálculo'!I69+'Hoja 4 - Cálculo'!J69+'Hoja 4 - Cálculo'!K69)))</f>
        <v>11.5</v>
      </c>
      <c r="I1968" s="15">
        <f t="shared" si="437"/>
        <v>11.5</v>
      </c>
      <c r="J1968" s="15">
        <f t="shared" si="447"/>
        <v>8.4335878500000021</v>
      </c>
      <c r="K1968" s="15">
        <f>MIN(J1968+G1968,(J1968+G1968)*'Hoja 4 - Cálculo'!$B$15)</f>
        <v>0.57909425700000006</v>
      </c>
      <c r="L1968" s="15">
        <f t="shared" si="438"/>
        <v>28.375618593000002</v>
      </c>
      <c r="M1968" s="15">
        <f t="shared" si="439"/>
        <v>11.5</v>
      </c>
      <c r="N1968" s="15">
        <f t="shared" si="440"/>
        <v>15</v>
      </c>
      <c r="O1968" s="15">
        <f t="shared" si="441"/>
        <v>1.8756185930000022</v>
      </c>
      <c r="P1968" s="15">
        <f t="shared" si="442"/>
        <v>0</v>
      </c>
      <c r="Q1968" s="14" t="str">
        <f>IF(M1968&gt;=I1968*'Hoja 4 - Cálculo'!$B$16,"Satisfactorio","Falla")</f>
        <v>Satisfactorio</v>
      </c>
      <c r="R1968" s="14">
        <f t="shared" si="448"/>
        <v>0</v>
      </c>
      <c r="S1968" s="14">
        <f t="shared" si="449"/>
        <v>0</v>
      </c>
    </row>
    <row r="1969" spans="1:19">
      <c r="A1969" s="14" t="str">
        <f t="shared" si="446"/>
        <v>SRY-6-2</v>
      </c>
      <c r="B1969" s="15">
        <f>'Curvas SRY'!$B$13</f>
        <v>15</v>
      </c>
      <c r="C1969" s="15">
        <f>'Curvas SRY'!$E$9</f>
        <v>1</v>
      </c>
      <c r="D1969" s="14" t="str">
        <f>'Curvas SRY'!$B$14</f>
        <v>Uso variable</v>
      </c>
      <c r="E1969" s="14">
        <f>46</f>
        <v>46</v>
      </c>
      <c r="F1969" s="21">
        <f>'Hoja 4 - Cálculo'!A70</f>
        <v>30956</v>
      </c>
      <c r="G1969" s="15">
        <f>'Hoja 4 - Cálculo'!H70</f>
        <v>27.061875000000001</v>
      </c>
      <c r="H1969" s="15">
        <f>IF(D1969="Uso único",'Hoja 4 - Cálculo'!I70,IF(D1969="Uso múltiple",AVERAGE('Hoja 4 - Cálculo'!$I$25:$I$384)+AVERAGE('Hoja 4 - Cálculo'!$J$25:$J$384)+AVERAGE('Hoja 4 - Cálculo'!$K$25:$K$384),IF(D1969="Uso prioritario",'Hoja 4 - Cálculo'!I70+'Hoja 4 - Cálculo'!K70,'Hoja 4 - Cálculo'!I70+'Hoja 4 - Cálculo'!J70+'Hoja 4 - Cálculo'!K70)))</f>
        <v>11.5</v>
      </c>
      <c r="I1969" s="15">
        <f t="shared" si="437"/>
        <v>11.5</v>
      </c>
      <c r="J1969" s="15">
        <f t="shared" si="447"/>
        <v>15</v>
      </c>
      <c r="K1969" s="15">
        <f>MIN(J1969+G1969,(J1969+G1969)*'Hoja 4 - Cálculo'!$B$15)</f>
        <v>0.84123750000000008</v>
      </c>
      <c r="L1969" s="15">
        <f t="shared" si="438"/>
        <v>41.220637500000002</v>
      </c>
      <c r="M1969" s="15">
        <f t="shared" si="439"/>
        <v>11.5</v>
      </c>
      <c r="N1969" s="15">
        <f t="shared" si="440"/>
        <v>15</v>
      </c>
      <c r="O1969" s="15">
        <f t="shared" si="441"/>
        <v>14.720637500000002</v>
      </c>
      <c r="P1969" s="15">
        <f t="shared" si="442"/>
        <v>0</v>
      </c>
      <c r="Q1969" s="14" t="str">
        <f>IF(M1969&gt;=I1969*'Hoja 4 - Cálculo'!$B$16,"Satisfactorio","Falla")</f>
        <v>Satisfactorio</v>
      </c>
      <c r="R1969" s="14">
        <f t="shared" si="448"/>
        <v>0</v>
      </c>
      <c r="S1969" s="14">
        <f t="shared" si="449"/>
        <v>0</v>
      </c>
    </row>
    <row r="1970" spans="1:19">
      <c r="A1970" s="14" t="str">
        <f t="shared" si="446"/>
        <v>SRY-6-2</v>
      </c>
      <c r="B1970" s="15">
        <f>'Curvas SRY'!$B$13</f>
        <v>15</v>
      </c>
      <c r="C1970" s="15">
        <f>'Curvas SRY'!$E$9</f>
        <v>1</v>
      </c>
      <c r="D1970" s="14" t="str">
        <f>'Curvas SRY'!$B$14</f>
        <v>Uso variable</v>
      </c>
      <c r="E1970" s="14">
        <f>47</f>
        <v>47</v>
      </c>
      <c r="F1970" s="21">
        <f>'Hoja 4 - Cálculo'!A71</f>
        <v>30987</v>
      </c>
      <c r="G1970" s="15">
        <f>'Hoja 4 - Cálculo'!H71</f>
        <v>24.346125000000001</v>
      </c>
      <c r="H1970" s="15">
        <f>IF(D1970="Uso único",'Hoja 4 - Cálculo'!I71,IF(D1970="Uso múltiple",AVERAGE('Hoja 4 - Cálculo'!$I$25:$I$384)+AVERAGE('Hoja 4 - Cálculo'!$J$25:$J$384)+AVERAGE('Hoja 4 - Cálculo'!$K$25:$K$384),IF(D1970="Uso prioritario",'Hoja 4 - Cálculo'!I71+'Hoja 4 - Cálculo'!K71,'Hoja 4 - Cálculo'!I71+'Hoja 4 - Cálculo'!J71+'Hoja 4 - Cálculo'!K71)))</f>
        <v>11.5</v>
      </c>
      <c r="I1970" s="15">
        <f t="shared" si="437"/>
        <v>11.5</v>
      </c>
      <c r="J1970" s="15">
        <f t="shared" si="447"/>
        <v>15</v>
      </c>
      <c r="K1970" s="15">
        <f>MIN(J1970+G1970,(J1970+G1970)*'Hoja 4 - Cálculo'!$B$15)</f>
        <v>0.78692250000000008</v>
      </c>
      <c r="L1970" s="15">
        <f t="shared" si="438"/>
        <v>38.559202499999998</v>
      </c>
      <c r="M1970" s="15">
        <f t="shared" si="439"/>
        <v>11.5</v>
      </c>
      <c r="N1970" s="15">
        <f t="shared" si="440"/>
        <v>15</v>
      </c>
      <c r="O1970" s="15">
        <f t="shared" si="441"/>
        <v>12.059202499999998</v>
      </c>
      <c r="P1970" s="15">
        <f t="shared" si="442"/>
        <v>0</v>
      </c>
      <c r="Q1970" s="14" t="str">
        <f>IF(M1970&gt;=I1970*'Hoja 4 - Cálculo'!$B$16,"Satisfactorio","Falla")</f>
        <v>Satisfactorio</v>
      </c>
      <c r="R1970" s="14">
        <f t="shared" si="448"/>
        <v>0</v>
      </c>
      <c r="S1970" s="14">
        <f t="shared" si="449"/>
        <v>0</v>
      </c>
    </row>
    <row r="1971" spans="1:19">
      <c r="A1971" s="14" t="str">
        <f t="shared" si="446"/>
        <v>SRY-6-2</v>
      </c>
      <c r="B1971" s="15">
        <f>'Curvas SRY'!$B$13</f>
        <v>15</v>
      </c>
      <c r="C1971" s="15">
        <f>'Curvas SRY'!$E$9</f>
        <v>1</v>
      </c>
      <c r="D1971" s="14" t="str">
        <f>'Curvas SRY'!$B$14</f>
        <v>Uso variable</v>
      </c>
      <c r="E1971" s="14">
        <f>48</f>
        <v>48</v>
      </c>
      <c r="F1971" s="21">
        <f>'Hoja 4 - Cálculo'!A72</f>
        <v>31017</v>
      </c>
      <c r="G1971" s="15">
        <f>'Hoja 4 - Cálculo'!H72</f>
        <v>14.745374999999999</v>
      </c>
      <c r="H1971" s="15">
        <f>IF(D1971="Uso único",'Hoja 4 - Cálculo'!I72,IF(D1971="Uso múltiple",AVERAGE('Hoja 4 - Cálculo'!$I$25:$I$384)+AVERAGE('Hoja 4 - Cálculo'!$J$25:$J$384)+AVERAGE('Hoja 4 - Cálculo'!$K$25:$K$384),IF(D1971="Uso prioritario",'Hoja 4 - Cálculo'!I72+'Hoja 4 - Cálculo'!K72,'Hoja 4 - Cálculo'!I72+'Hoja 4 - Cálculo'!J72+'Hoja 4 - Cálculo'!K72)))</f>
        <v>16</v>
      </c>
      <c r="I1971" s="15">
        <f t="shared" si="437"/>
        <v>16</v>
      </c>
      <c r="J1971" s="15">
        <f t="shared" si="447"/>
        <v>15</v>
      </c>
      <c r="K1971" s="15">
        <f>MIN(J1971+G1971,(J1971+G1971)*'Hoja 4 - Cálculo'!$B$15)</f>
        <v>0.59490750000000003</v>
      </c>
      <c r="L1971" s="15">
        <f t="shared" si="438"/>
        <v>29.150467499999998</v>
      </c>
      <c r="M1971" s="15">
        <f t="shared" si="439"/>
        <v>16</v>
      </c>
      <c r="N1971" s="15">
        <f t="shared" si="440"/>
        <v>13.150467499999998</v>
      </c>
      <c r="O1971" s="15">
        <f t="shared" si="441"/>
        <v>0</v>
      </c>
      <c r="P1971" s="15">
        <f t="shared" si="442"/>
        <v>0</v>
      </c>
      <c r="Q1971" s="14" t="str">
        <f>IF(M1971&gt;=I1971*'Hoja 4 - Cálculo'!$B$16,"Satisfactorio","Falla")</f>
        <v>Satisfactorio</v>
      </c>
      <c r="R1971" s="14">
        <f t="shared" si="448"/>
        <v>0</v>
      </c>
      <c r="S1971" s="14">
        <f t="shared" si="449"/>
        <v>0</v>
      </c>
    </row>
    <row r="1972" spans="1:19">
      <c r="A1972" s="14" t="str">
        <f t="shared" si="446"/>
        <v>SRY-6-2</v>
      </c>
      <c r="B1972" s="15">
        <f>'Curvas SRY'!$B$13</f>
        <v>15</v>
      </c>
      <c r="C1972" s="15">
        <f>'Curvas SRY'!$E$9</f>
        <v>1</v>
      </c>
      <c r="D1972" s="14" t="str">
        <f>'Curvas SRY'!$B$14</f>
        <v>Uso variable</v>
      </c>
      <c r="E1972" s="14">
        <f>49</f>
        <v>49</v>
      </c>
      <c r="F1972" s="21">
        <f>'Hoja 4 - Cálculo'!A73</f>
        <v>31048</v>
      </c>
      <c r="G1972" s="15">
        <f>'Hoja 4 - Cálculo'!H73</f>
        <v>10.767374999999999</v>
      </c>
      <c r="H1972" s="15">
        <f>IF(D1972="Uso único",'Hoja 4 - Cálculo'!I73,IF(D1972="Uso múltiple",AVERAGE('Hoja 4 - Cálculo'!$I$25:$I$384)+AVERAGE('Hoja 4 - Cálculo'!$J$25:$J$384)+AVERAGE('Hoja 4 - Cálculo'!$K$25:$K$384),IF(D1972="Uso prioritario",'Hoja 4 - Cálculo'!I73+'Hoja 4 - Cálculo'!K73,'Hoja 4 - Cálculo'!I73+'Hoja 4 - Cálculo'!J73+'Hoja 4 - Cálculo'!K73)))</f>
        <v>16</v>
      </c>
      <c r="I1972" s="15">
        <f t="shared" si="437"/>
        <v>16</v>
      </c>
      <c r="J1972" s="15">
        <f t="shared" si="447"/>
        <v>13.150467499999998</v>
      </c>
      <c r="K1972" s="15">
        <f>MIN(J1972+G1972,(J1972+G1972)*'Hoja 4 - Cálculo'!$B$15)</f>
        <v>0.47835685</v>
      </c>
      <c r="L1972" s="15">
        <f t="shared" si="438"/>
        <v>23.439485649999998</v>
      </c>
      <c r="M1972" s="15">
        <f t="shared" si="439"/>
        <v>16</v>
      </c>
      <c r="N1972" s="15">
        <f t="shared" si="440"/>
        <v>7.4394856499999982</v>
      </c>
      <c r="O1972" s="15">
        <f t="shared" si="441"/>
        <v>0</v>
      </c>
      <c r="P1972" s="15">
        <f t="shared" si="442"/>
        <v>0</v>
      </c>
      <c r="Q1972" s="14" t="str">
        <f>IF(M1972&gt;=I1972*'Hoja 4 - Cálculo'!$B$16,"Satisfactorio","Falla")</f>
        <v>Satisfactorio</v>
      </c>
      <c r="R1972" s="14">
        <f t="shared" si="448"/>
        <v>0</v>
      </c>
      <c r="S1972" s="14">
        <f t="shared" si="449"/>
        <v>0</v>
      </c>
    </row>
    <row r="1973" spans="1:19">
      <c r="A1973" s="14" t="str">
        <f t="shared" si="446"/>
        <v>SRY-6-2</v>
      </c>
      <c r="B1973" s="15">
        <f>'Curvas SRY'!$B$13</f>
        <v>15</v>
      </c>
      <c r="C1973" s="15">
        <f>'Curvas SRY'!$E$9</f>
        <v>1</v>
      </c>
      <c r="D1973" s="14" t="str">
        <f>'Curvas SRY'!$B$14</f>
        <v>Uso variable</v>
      </c>
      <c r="E1973" s="14">
        <f>50</f>
        <v>50</v>
      </c>
      <c r="F1973" s="21">
        <f>'Hoja 4 - Cálculo'!A74</f>
        <v>31079</v>
      </c>
      <c r="G1973" s="15">
        <f>'Hoja 4 - Cálculo'!H74</f>
        <v>13.464</v>
      </c>
      <c r="H1973" s="15">
        <f>IF(D1973="Uso único",'Hoja 4 - Cálculo'!I74,IF(D1973="Uso múltiple",AVERAGE('Hoja 4 - Cálculo'!$I$25:$I$384)+AVERAGE('Hoja 4 - Cálculo'!$J$25:$J$384)+AVERAGE('Hoja 4 - Cálculo'!$K$25:$K$384),IF(D1973="Uso prioritario",'Hoja 4 - Cálculo'!I74+'Hoja 4 - Cálculo'!K74,'Hoja 4 - Cálculo'!I74+'Hoja 4 - Cálculo'!J74+'Hoja 4 - Cálculo'!K74)))</f>
        <v>16</v>
      </c>
      <c r="I1973" s="15">
        <f t="shared" si="437"/>
        <v>16</v>
      </c>
      <c r="J1973" s="15">
        <f t="shared" si="447"/>
        <v>7.4394856499999982</v>
      </c>
      <c r="K1973" s="15">
        <f>MIN(J1973+G1973,(J1973+G1973)*'Hoja 4 - Cálculo'!$B$15)</f>
        <v>0.41806971300000001</v>
      </c>
      <c r="L1973" s="15">
        <f t="shared" si="438"/>
        <v>20.485415936999999</v>
      </c>
      <c r="M1973" s="15">
        <f t="shared" si="439"/>
        <v>16</v>
      </c>
      <c r="N1973" s="15">
        <f t="shared" si="440"/>
        <v>4.4854159369999991</v>
      </c>
      <c r="O1973" s="15">
        <f t="shared" si="441"/>
        <v>0</v>
      </c>
      <c r="P1973" s="15">
        <f t="shared" si="442"/>
        <v>0</v>
      </c>
      <c r="Q1973" s="14" t="str">
        <f>IF(M1973&gt;=I1973*'Hoja 4 - Cálculo'!$B$16,"Satisfactorio","Falla")</f>
        <v>Satisfactorio</v>
      </c>
      <c r="R1973" s="14">
        <f t="shared" si="448"/>
        <v>0</v>
      </c>
      <c r="S1973" s="14">
        <f t="shared" si="449"/>
        <v>0</v>
      </c>
    </row>
    <row r="1974" spans="1:19">
      <c r="A1974" s="14" t="str">
        <f t="shared" si="446"/>
        <v>SRY-6-2</v>
      </c>
      <c r="B1974" s="15">
        <f>'Curvas SRY'!$B$13</f>
        <v>15</v>
      </c>
      <c r="C1974" s="15">
        <f>'Curvas SRY'!$E$9</f>
        <v>1</v>
      </c>
      <c r="D1974" s="14" t="str">
        <f>'Curvas SRY'!$B$14</f>
        <v>Uso variable</v>
      </c>
      <c r="E1974" s="14">
        <f>51</f>
        <v>51</v>
      </c>
      <c r="F1974" s="21">
        <f>'Hoja 4 - Cálculo'!A75</f>
        <v>31107</v>
      </c>
      <c r="G1974" s="15">
        <f>'Hoja 4 - Cálculo'!H75</f>
        <v>19.450125</v>
      </c>
      <c r="H1974" s="15">
        <f>IF(D1974="Uso único",'Hoja 4 - Cálculo'!I75,IF(D1974="Uso múltiple",AVERAGE('Hoja 4 - Cálculo'!$I$25:$I$384)+AVERAGE('Hoja 4 - Cálculo'!$J$25:$J$384)+AVERAGE('Hoja 4 - Cálculo'!$K$25:$K$384),IF(D1974="Uso prioritario",'Hoja 4 - Cálculo'!I75+'Hoja 4 - Cálculo'!K75,'Hoja 4 - Cálculo'!I75+'Hoja 4 - Cálculo'!J75+'Hoja 4 - Cálculo'!K75)))</f>
        <v>16</v>
      </c>
      <c r="I1974" s="15">
        <f t="shared" si="437"/>
        <v>16</v>
      </c>
      <c r="J1974" s="15">
        <f t="shared" si="447"/>
        <v>4.4854159369999991</v>
      </c>
      <c r="K1974" s="15">
        <f>MIN(J1974+G1974,(J1974+G1974)*'Hoja 4 - Cálculo'!$B$15)</f>
        <v>0.47871081873999999</v>
      </c>
      <c r="L1974" s="15">
        <f t="shared" si="438"/>
        <v>23.456830118259997</v>
      </c>
      <c r="M1974" s="15">
        <f t="shared" si="439"/>
        <v>16</v>
      </c>
      <c r="N1974" s="15">
        <f t="shared" si="440"/>
        <v>7.4568301182599974</v>
      </c>
      <c r="O1974" s="15">
        <f t="shared" si="441"/>
        <v>0</v>
      </c>
      <c r="P1974" s="15">
        <f t="shared" si="442"/>
        <v>0</v>
      </c>
      <c r="Q1974" s="14" t="str">
        <f>IF(M1974&gt;=I1974*'Hoja 4 - Cálculo'!$B$16,"Satisfactorio","Falla")</f>
        <v>Satisfactorio</v>
      </c>
      <c r="R1974" s="14">
        <f t="shared" si="448"/>
        <v>0</v>
      </c>
      <c r="S1974" s="14">
        <f t="shared" si="449"/>
        <v>0</v>
      </c>
    </row>
    <row r="1975" spans="1:19">
      <c r="A1975" s="14" t="str">
        <f t="shared" si="446"/>
        <v>SRY-6-2</v>
      </c>
      <c r="B1975" s="15">
        <f>'Curvas SRY'!$B$13</f>
        <v>15</v>
      </c>
      <c r="C1975" s="15">
        <f>'Curvas SRY'!$E$9</f>
        <v>1</v>
      </c>
      <c r="D1975" s="14" t="str">
        <f>'Curvas SRY'!$B$14</f>
        <v>Uso variable</v>
      </c>
      <c r="E1975" s="14">
        <f>52</f>
        <v>52</v>
      </c>
      <c r="F1975" s="21">
        <f>'Hoja 4 - Cálculo'!A76</f>
        <v>31138</v>
      </c>
      <c r="G1975" s="15">
        <f>'Hoja 4 - Cálculo'!H76</f>
        <v>25.51275</v>
      </c>
      <c r="H1975" s="15">
        <f>IF(D1975="Uso único",'Hoja 4 - Cálculo'!I76,IF(D1975="Uso múltiple",AVERAGE('Hoja 4 - Cálculo'!$I$25:$I$384)+AVERAGE('Hoja 4 - Cálculo'!$J$25:$J$384)+AVERAGE('Hoja 4 - Cálculo'!$K$25:$K$384),IF(D1975="Uso prioritario",'Hoja 4 - Cálculo'!I76+'Hoja 4 - Cálculo'!K76,'Hoja 4 - Cálculo'!I76+'Hoja 4 - Cálculo'!J76+'Hoja 4 - Cálculo'!K76)))</f>
        <v>11.5</v>
      </c>
      <c r="I1975" s="15">
        <f t="shared" si="437"/>
        <v>11.5</v>
      </c>
      <c r="J1975" s="15">
        <f t="shared" si="447"/>
        <v>7.4568301182599974</v>
      </c>
      <c r="K1975" s="15">
        <f>MIN(J1975+G1975,(J1975+G1975)*'Hoja 4 - Cálculo'!$B$15)</f>
        <v>0.6593916023652</v>
      </c>
      <c r="L1975" s="15">
        <f t="shared" si="438"/>
        <v>32.310188515894801</v>
      </c>
      <c r="M1975" s="15">
        <f t="shared" si="439"/>
        <v>11.5</v>
      </c>
      <c r="N1975" s="15">
        <f t="shared" si="440"/>
        <v>15</v>
      </c>
      <c r="O1975" s="15">
        <f t="shared" si="441"/>
        <v>5.8101885158948008</v>
      </c>
      <c r="P1975" s="15">
        <f t="shared" si="442"/>
        <v>0</v>
      </c>
      <c r="Q1975" s="14" t="str">
        <f>IF(M1975&gt;=I1975*'Hoja 4 - Cálculo'!$B$16,"Satisfactorio","Falla")</f>
        <v>Satisfactorio</v>
      </c>
      <c r="R1975" s="14">
        <f t="shared" si="448"/>
        <v>0</v>
      </c>
      <c r="S1975" s="14">
        <f t="shared" si="449"/>
        <v>0</v>
      </c>
    </row>
    <row r="1976" spans="1:19">
      <c r="A1976" s="14" t="str">
        <f t="shared" si="446"/>
        <v>SRY-6-2</v>
      </c>
      <c r="B1976" s="15">
        <f>'Curvas SRY'!$B$13</f>
        <v>15</v>
      </c>
      <c r="C1976" s="15">
        <f>'Curvas SRY'!$E$9</f>
        <v>1</v>
      </c>
      <c r="D1976" s="14" t="str">
        <f>'Curvas SRY'!$B$14</f>
        <v>Uso variable</v>
      </c>
      <c r="E1976" s="14">
        <f>53</f>
        <v>53</v>
      </c>
      <c r="F1976" s="21">
        <f>'Hoja 4 - Cálculo'!A77</f>
        <v>31168</v>
      </c>
      <c r="G1976" s="15">
        <f>'Hoja 4 - Cálculo'!H77</f>
        <v>24.36525</v>
      </c>
      <c r="H1976" s="15">
        <f>IF(D1976="Uso único",'Hoja 4 - Cálculo'!I77,IF(D1976="Uso múltiple",AVERAGE('Hoja 4 - Cálculo'!$I$25:$I$384)+AVERAGE('Hoja 4 - Cálculo'!$J$25:$J$384)+AVERAGE('Hoja 4 - Cálculo'!$K$25:$K$384),IF(D1976="Uso prioritario",'Hoja 4 - Cálculo'!I77+'Hoja 4 - Cálculo'!K77,'Hoja 4 - Cálculo'!I77+'Hoja 4 - Cálculo'!J77+'Hoja 4 - Cálculo'!K77)))</f>
        <v>11.5</v>
      </c>
      <c r="I1976" s="15">
        <f t="shared" si="437"/>
        <v>11.5</v>
      </c>
      <c r="J1976" s="15">
        <f t="shared" si="447"/>
        <v>15</v>
      </c>
      <c r="K1976" s="15">
        <f>MIN(J1976+G1976,(J1976+G1976)*'Hoja 4 - Cálculo'!$B$15)</f>
        <v>0.78730500000000003</v>
      </c>
      <c r="L1976" s="15">
        <f t="shared" si="438"/>
        <v>38.577945</v>
      </c>
      <c r="M1976" s="15">
        <f t="shared" si="439"/>
        <v>11.5</v>
      </c>
      <c r="N1976" s="15">
        <f t="shared" si="440"/>
        <v>15</v>
      </c>
      <c r="O1976" s="15">
        <f t="shared" si="441"/>
        <v>12.077945</v>
      </c>
      <c r="P1976" s="15">
        <f t="shared" si="442"/>
        <v>0</v>
      </c>
      <c r="Q1976" s="14" t="str">
        <f>IF(M1976&gt;=I1976*'Hoja 4 - Cálculo'!$B$16,"Satisfactorio","Falla")</f>
        <v>Satisfactorio</v>
      </c>
      <c r="R1976" s="14">
        <f t="shared" si="448"/>
        <v>0</v>
      </c>
      <c r="S1976" s="14">
        <f t="shared" si="449"/>
        <v>0</v>
      </c>
    </row>
    <row r="1977" spans="1:19">
      <c r="A1977" s="14" t="str">
        <f t="shared" si="446"/>
        <v>SRY-6-2</v>
      </c>
      <c r="B1977" s="15">
        <f>'Curvas SRY'!$B$13</f>
        <v>15</v>
      </c>
      <c r="C1977" s="15">
        <f>'Curvas SRY'!$E$9</f>
        <v>1</v>
      </c>
      <c r="D1977" s="14" t="str">
        <f>'Curvas SRY'!$B$14</f>
        <v>Uso variable</v>
      </c>
      <c r="E1977" s="14">
        <f>54</f>
        <v>54</v>
      </c>
      <c r="F1977" s="21">
        <f>'Hoja 4 - Cálculo'!A78</f>
        <v>31199</v>
      </c>
      <c r="G1977" s="15">
        <f>'Hoja 4 - Cálculo'!H78</f>
        <v>15.395625000000001</v>
      </c>
      <c r="H1977" s="15">
        <f>IF(D1977="Uso único",'Hoja 4 - Cálculo'!I78,IF(D1977="Uso múltiple",AVERAGE('Hoja 4 - Cálculo'!$I$25:$I$384)+AVERAGE('Hoja 4 - Cálculo'!$J$25:$J$384)+AVERAGE('Hoja 4 - Cálculo'!$K$25:$K$384),IF(D1977="Uso prioritario",'Hoja 4 - Cálculo'!I78+'Hoja 4 - Cálculo'!K78,'Hoja 4 - Cálculo'!I78+'Hoja 4 - Cálculo'!J78+'Hoja 4 - Cálculo'!K78)))</f>
        <v>11.5</v>
      </c>
      <c r="I1977" s="15">
        <f t="shared" si="437"/>
        <v>11.5</v>
      </c>
      <c r="J1977" s="15">
        <f t="shared" si="447"/>
        <v>15</v>
      </c>
      <c r="K1977" s="15">
        <f>MIN(J1977+G1977,(J1977+G1977)*'Hoja 4 - Cálculo'!$B$15)</f>
        <v>0.60791250000000008</v>
      </c>
      <c r="L1977" s="15">
        <f t="shared" si="438"/>
        <v>29.787712500000001</v>
      </c>
      <c r="M1977" s="15">
        <f t="shared" si="439"/>
        <v>11.5</v>
      </c>
      <c r="N1977" s="15">
        <f t="shared" si="440"/>
        <v>15</v>
      </c>
      <c r="O1977" s="15">
        <f t="shared" si="441"/>
        <v>3.2877125000000014</v>
      </c>
      <c r="P1977" s="15">
        <f t="shared" si="442"/>
        <v>0</v>
      </c>
      <c r="Q1977" s="14" t="str">
        <f>IF(M1977&gt;=I1977*'Hoja 4 - Cálculo'!$B$16,"Satisfactorio","Falla")</f>
        <v>Satisfactorio</v>
      </c>
      <c r="R1977" s="14">
        <f t="shared" si="448"/>
        <v>0</v>
      </c>
      <c r="S1977" s="14">
        <f t="shared" si="449"/>
        <v>0</v>
      </c>
    </row>
    <row r="1978" spans="1:19">
      <c r="A1978" s="14" t="str">
        <f t="shared" si="446"/>
        <v>SRY-6-2</v>
      </c>
      <c r="B1978" s="15">
        <f>'Curvas SRY'!$B$13</f>
        <v>15</v>
      </c>
      <c r="C1978" s="15">
        <f>'Curvas SRY'!$E$9</f>
        <v>1</v>
      </c>
      <c r="D1978" s="14" t="str">
        <f>'Curvas SRY'!$B$14</f>
        <v>Uso variable</v>
      </c>
      <c r="E1978" s="14">
        <f>55</f>
        <v>55</v>
      </c>
      <c r="F1978" s="21">
        <f>'Hoja 4 - Cálculo'!A79</f>
        <v>31229</v>
      </c>
      <c r="G1978" s="15">
        <f>'Hoja 4 - Cálculo'!H79</f>
        <v>11.742749999999999</v>
      </c>
      <c r="H1978" s="15">
        <f>IF(D1978="Uso único",'Hoja 4 - Cálculo'!I79,IF(D1978="Uso múltiple",AVERAGE('Hoja 4 - Cálculo'!$I$25:$I$384)+AVERAGE('Hoja 4 - Cálculo'!$J$25:$J$384)+AVERAGE('Hoja 4 - Cálculo'!$K$25:$K$384),IF(D1978="Uso prioritario",'Hoja 4 - Cálculo'!I79+'Hoja 4 - Cálculo'!K79,'Hoja 4 - Cálculo'!I79+'Hoja 4 - Cálculo'!J79+'Hoja 4 - Cálculo'!K79)))</f>
        <v>16</v>
      </c>
      <c r="I1978" s="15">
        <f t="shared" si="437"/>
        <v>16</v>
      </c>
      <c r="J1978" s="15">
        <f t="shared" si="447"/>
        <v>15</v>
      </c>
      <c r="K1978" s="15">
        <f>MIN(J1978+G1978,(J1978+G1978)*'Hoja 4 - Cálculo'!$B$15)</f>
        <v>0.53485500000000008</v>
      </c>
      <c r="L1978" s="15">
        <f t="shared" si="438"/>
        <v>26.207895000000001</v>
      </c>
      <c r="M1978" s="15">
        <f t="shared" si="439"/>
        <v>16</v>
      </c>
      <c r="N1978" s="15">
        <f t="shared" si="440"/>
        <v>10.207895000000001</v>
      </c>
      <c r="O1978" s="15">
        <f t="shared" si="441"/>
        <v>0</v>
      </c>
      <c r="P1978" s="15">
        <f t="shared" si="442"/>
        <v>0</v>
      </c>
      <c r="Q1978" s="14" t="str">
        <f>IF(M1978&gt;=I1978*'Hoja 4 - Cálculo'!$B$16,"Satisfactorio","Falla")</f>
        <v>Satisfactorio</v>
      </c>
      <c r="R1978" s="14">
        <f t="shared" si="448"/>
        <v>0</v>
      </c>
      <c r="S1978" s="14">
        <f t="shared" si="449"/>
        <v>0</v>
      </c>
    </row>
    <row r="1979" spans="1:19">
      <c r="A1979" s="14" t="str">
        <f t="shared" si="446"/>
        <v>SRY-6-2</v>
      </c>
      <c r="B1979" s="15">
        <f>'Curvas SRY'!$B$13</f>
        <v>15</v>
      </c>
      <c r="C1979" s="15">
        <f>'Curvas SRY'!$E$9</f>
        <v>1</v>
      </c>
      <c r="D1979" s="14" t="str">
        <f>'Curvas SRY'!$B$14</f>
        <v>Uso variable</v>
      </c>
      <c r="E1979" s="14">
        <f>56</f>
        <v>56</v>
      </c>
      <c r="F1979" s="21">
        <f>'Hoja 4 - Cálculo'!A80</f>
        <v>31260</v>
      </c>
      <c r="G1979" s="15">
        <f>'Hoja 4 - Cálculo'!H80</f>
        <v>12.603375</v>
      </c>
      <c r="H1979" s="15">
        <f>IF(D1979="Uso único",'Hoja 4 - Cálculo'!I80,IF(D1979="Uso múltiple",AVERAGE('Hoja 4 - Cálculo'!$I$25:$I$384)+AVERAGE('Hoja 4 - Cálculo'!$J$25:$J$384)+AVERAGE('Hoja 4 - Cálculo'!$K$25:$K$384),IF(D1979="Uso prioritario",'Hoja 4 - Cálculo'!I80+'Hoja 4 - Cálculo'!K80,'Hoja 4 - Cálculo'!I80+'Hoja 4 - Cálculo'!J80+'Hoja 4 - Cálculo'!K80)))</f>
        <v>16</v>
      </c>
      <c r="I1979" s="15">
        <f t="shared" si="437"/>
        <v>16</v>
      </c>
      <c r="J1979" s="15">
        <f t="shared" si="447"/>
        <v>10.207895000000001</v>
      </c>
      <c r="K1979" s="15">
        <f>MIN(J1979+G1979,(J1979+G1979)*'Hoja 4 - Cálculo'!$B$15)</f>
        <v>0.4562254</v>
      </c>
      <c r="L1979" s="15">
        <f t="shared" si="438"/>
        <v>22.355044599999999</v>
      </c>
      <c r="M1979" s="15">
        <f t="shared" si="439"/>
        <v>16</v>
      </c>
      <c r="N1979" s="15">
        <f t="shared" si="440"/>
        <v>6.3550445999999994</v>
      </c>
      <c r="O1979" s="15">
        <f t="shared" si="441"/>
        <v>0</v>
      </c>
      <c r="P1979" s="15">
        <f t="shared" si="442"/>
        <v>0</v>
      </c>
      <c r="Q1979" s="14" t="str">
        <f>IF(M1979&gt;=I1979*'Hoja 4 - Cálculo'!$B$16,"Satisfactorio","Falla")</f>
        <v>Satisfactorio</v>
      </c>
      <c r="R1979" s="14">
        <f t="shared" si="448"/>
        <v>0</v>
      </c>
      <c r="S1979" s="14">
        <f t="shared" si="449"/>
        <v>0</v>
      </c>
    </row>
    <row r="1980" spans="1:19">
      <c r="A1980" s="14" t="str">
        <f t="shared" si="446"/>
        <v>SRY-6-2</v>
      </c>
      <c r="B1980" s="15">
        <f>'Curvas SRY'!$B$13</f>
        <v>15</v>
      </c>
      <c r="C1980" s="15">
        <f>'Curvas SRY'!$E$9</f>
        <v>1</v>
      </c>
      <c r="D1980" s="14" t="str">
        <f>'Curvas SRY'!$B$14</f>
        <v>Uso variable</v>
      </c>
      <c r="E1980" s="14">
        <f>57</f>
        <v>57</v>
      </c>
      <c r="F1980" s="21">
        <f>'Hoja 4 - Cálculo'!A81</f>
        <v>31291</v>
      </c>
      <c r="G1980" s="15">
        <f>'Hoja 4 - Cálculo'!H81</f>
        <v>21.745125000000002</v>
      </c>
      <c r="H1980" s="15">
        <f>IF(D1980="Uso único",'Hoja 4 - Cálculo'!I81,IF(D1980="Uso múltiple",AVERAGE('Hoja 4 - Cálculo'!$I$25:$I$384)+AVERAGE('Hoja 4 - Cálculo'!$J$25:$J$384)+AVERAGE('Hoja 4 - Cálculo'!$K$25:$K$384),IF(D1980="Uso prioritario",'Hoja 4 - Cálculo'!I81+'Hoja 4 - Cálculo'!K81,'Hoja 4 - Cálculo'!I81+'Hoja 4 - Cálculo'!J81+'Hoja 4 - Cálculo'!K81)))</f>
        <v>11.5</v>
      </c>
      <c r="I1980" s="15">
        <f t="shared" si="437"/>
        <v>11.5</v>
      </c>
      <c r="J1980" s="15">
        <f t="shared" si="447"/>
        <v>6.3550445999999994</v>
      </c>
      <c r="K1980" s="15">
        <f>MIN(J1980+G1980,(J1980+G1980)*'Hoja 4 - Cálculo'!$B$15)</f>
        <v>0.56200339200000005</v>
      </c>
      <c r="L1980" s="15">
        <f t="shared" si="438"/>
        <v>27.538166208</v>
      </c>
      <c r="M1980" s="15">
        <f t="shared" si="439"/>
        <v>11.5</v>
      </c>
      <c r="N1980" s="15">
        <f t="shared" si="440"/>
        <v>15</v>
      </c>
      <c r="O1980" s="15">
        <f t="shared" si="441"/>
        <v>1.0381662079999998</v>
      </c>
      <c r="P1980" s="15">
        <f t="shared" si="442"/>
        <v>0</v>
      </c>
      <c r="Q1980" s="14" t="str">
        <f>IF(M1980&gt;=I1980*'Hoja 4 - Cálculo'!$B$16,"Satisfactorio","Falla")</f>
        <v>Satisfactorio</v>
      </c>
      <c r="R1980" s="14">
        <f t="shared" si="448"/>
        <v>0</v>
      </c>
      <c r="S1980" s="14">
        <f t="shared" si="449"/>
        <v>0</v>
      </c>
    </row>
    <row r="1981" spans="1:19">
      <c r="A1981" s="14" t="str">
        <f t="shared" si="446"/>
        <v>SRY-6-2</v>
      </c>
      <c r="B1981" s="15">
        <f>'Curvas SRY'!$B$13</f>
        <v>15</v>
      </c>
      <c r="C1981" s="15">
        <f>'Curvas SRY'!$E$9</f>
        <v>1</v>
      </c>
      <c r="D1981" s="14" t="str">
        <f>'Curvas SRY'!$B$14</f>
        <v>Uso variable</v>
      </c>
      <c r="E1981" s="14">
        <f>58</f>
        <v>58</v>
      </c>
      <c r="F1981" s="21">
        <f>'Hoja 4 - Cálculo'!A82</f>
        <v>31321</v>
      </c>
      <c r="G1981" s="15">
        <f>'Hoja 4 - Cálculo'!H82</f>
        <v>27.788625</v>
      </c>
      <c r="H1981" s="15">
        <f>IF(D1981="Uso único",'Hoja 4 - Cálculo'!I82,IF(D1981="Uso múltiple",AVERAGE('Hoja 4 - Cálculo'!$I$25:$I$384)+AVERAGE('Hoja 4 - Cálculo'!$J$25:$J$384)+AVERAGE('Hoja 4 - Cálculo'!$K$25:$K$384),IF(D1981="Uso prioritario",'Hoja 4 - Cálculo'!I82+'Hoja 4 - Cálculo'!K82,'Hoja 4 - Cálculo'!I82+'Hoja 4 - Cálculo'!J82+'Hoja 4 - Cálculo'!K82)))</f>
        <v>11.5</v>
      </c>
      <c r="I1981" s="15">
        <f t="shared" si="437"/>
        <v>11.5</v>
      </c>
      <c r="J1981" s="15">
        <f t="shared" si="447"/>
        <v>15</v>
      </c>
      <c r="K1981" s="15">
        <f>MIN(J1981+G1981,(J1981+G1981)*'Hoja 4 - Cálculo'!$B$15)</f>
        <v>0.85577249999999994</v>
      </c>
      <c r="L1981" s="15">
        <f t="shared" si="438"/>
        <v>41.932852499999996</v>
      </c>
      <c r="M1981" s="15">
        <f t="shared" si="439"/>
        <v>11.5</v>
      </c>
      <c r="N1981" s="15">
        <f t="shared" si="440"/>
        <v>15</v>
      </c>
      <c r="O1981" s="15">
        <f t="shared" si="441"/>
        <v>15.432852499999996</v>
      </c>
      <c r="P1981" s="15">
        <f t="shared" si="442"/>
        <v>0</v>
      </c>
      <c r="Q1981" s="14" t="str">
        <f>IF(M1981&gt;=I1981*'Hoja 4 - Cálculo'!$B$16,"Satisfactorio","Falla")</f>
        <v>Satisfactorio</v>
      </c>
      <c r="R1981" s="14">
        <f t="shared" si="448"/>
        <v>0</v>
      </c>
      <c r="S1981" s="14">
        <f t="shared" si="449"/>
        <v>0</v>
      </c>
    </row>
    <row r="1982" spans="1:19">
      <c r="A1982" s="14" t="str">
        <f t="shared" si="446"/>
        <v>SRY-6-2</v>
      </c>
      <c r="B1982" s="15">
        <f>'Curvas SRY'!$B$13</f>
        <v>15</v>
      </c>
      <c r="C1982" s="15">
        <f>'Curvas SRY'!$E$9</f>
        <v>1</v>
      </c>
      <c r="D1982" s="14" t="str">
        <f>'Curvas SRY'!$B$14</f>
        <v>Uso variable</v>
      </c>
      <c r="E1982" s="14">
        <f>59</f>
        <v>59</v>
      </c>
      <c r="F1982" s="21">
        <f>'Hoja 4 - Cálculo'!A83</f>
        <v>31352</v>
      </c>
      <c r="G1982" s="15">
        <f>'Hoja 4 - Cálculo'!H83</f>
        <v>22.22325</v>
      </c>
      <c r="H1982" s="15">
        <f>IF(D1982="Uso único",'Hoja 4 - Cálculo'!I83,IF(D1982="Uso múltiple",AVERAGE('Hoja 4 - Cálculo'!$I$25:$I$384)+AVERAGE('Hoja 4 - Cálculo'!$J$25:$J$384)+AVERAGE('Hoja 4 - Cálculo'!$K$25:$K$384),IF(D1982="Uso prioritario",'Hoja 4 - Cálculo'!I83+'Hoja 4 - Cálculo'!K83,'Hoja 4 - Cálculo'!I83+'Hoja 4 - Cálculo'!J83+'Hoja 4 - Cálculo'!K83)))</f>
        <v>11.5</v>
      </c>
      <c r="I1982" s="15">
        <f t="shared" si="437"/>
        <v>11.5</v>
      </c>
      <c r="J1982" s="15">
        <f t="shared" si="447"/>
        <v>15</v>
      </c>
      <c r="K1982" s="15">
        <f>MIN(J1982+G1982,(J1982+G1982)*'Hoja 4 - Cálculo'!$B$15)</f>
        <v>0.74446500000000004</v>
      </c>
      <c r="L1982" s="15">
        <f t="shared" si="438"/>
        <v>36.478785000000002</v>
      </c>
      <c r="M1982" s="15">
        <f t="shared" si="439"/>
        <v>11.5</v>
      </c>
      <c r="N1982" s="15">
        <f t="shared" si="440"/>
        <v>15</v>
      </c>
      <c r="O1982" s="15">
        <f t="shared" si="441"/>
        <v>9.978785000000002</v>
      </c>
      <c r="P1982" s="15">
        <f t="shared" si="442"/>
        <v>0</v>
      </c>
      <c r="Q1982" s="14" t="str">
        <f>IF(M1982&gt;=I1982*'Hoja 4 - Cálculo'!$B$16,"Satisfactorio","Falla")</f>
        <v>Satisfactorio</v>
      </c>
      <c r="R1982" s="14">
        <f t="shared" si="448"/>
        <v>0</v>
      </c>
      <c r="S1982" s="14">
        <f t="shared" si="449"/>
        <v>0</v>
      </c>
    </row>
    <row r="1983" spans="1:19">
      <c r="A1983" s="14" t="str">
        <f t="shared" si="446"/>
        <v>SRY-6-2</v>
      </c>
      <c r="B1983" s="15">
        <f>'Curvas SRY'!$B$13</f>
        <v>15</v>
      </c>
      <c r="C1983" s="15">
        <f>'Curvas SRY'!$E$9</f>
        <v>1</v>
      </c>
      <c r="D1983" s="14" t="str">
        <f>'Curvas SRY'!$B$14</f>
        <v>Uso variable</v>
      </c>
      <c r="E1983" s="14">
        <f>60</f>
        <v>60</v>
      </c>
      <c r="F1983" s="21">
        <f>'Hoja 4 - Cálculo'!A84</f>
        <v>31382</v>
      </c>
      <c r="G1983" s="15">
        <f>'Hoja 4 - Cálculo'!H84</f>
        <v>14.171625000000001</v>
      </c>
      <c r="H1983" s="15">
        <f>IF(D1983="Uso único",'Hoja 4 - Cálculo'!I84,IF(D1983="Uso múltiple",AVERAGE('Hoja 4 - Cálculo'!$I$25:$I$384)+AVERAGE('Hoja 4 - Cálculo'!$J$25:$J$384)+AVERAGE('Hoja 4 - Cálculo'!$K$25:$K$384),IF(D1983="Uso prioritario",'Hoja 4 - Cálculo'!I84+'Hoja 4 - Cálculo'!K84,'Hoja 4 - Cálculo'!I84+'Hoja 4 - Cálculo'!J84+'Hoja 4 - Cálculo'!K84)))</f>
        <v>16</v>
      </c>
      <c r="I1983" s="15">
        <f t="shared" si="437"/>
        <v>16</v>
      </c>
      <c r="J1983" s="15">
        <f t="shared" si="447"/>
        <v>15</v>
      </c>
      <c r="K1983" s="15">
        <f>MIN(J1983+G1983,(J1983+G1983)*'Hoja 4 - Cálculo'!$B$15)</f>
        <v>0.58343250000000002</v>
      </c>
      <c r="L1983" s="15">
        <f t="shared" si="438"/>
        <v>28.588192499999998</v>
      </c>
      <c r="M1983" s="15">
        <f t="shared" si="439"/>
        <v>16</v>
      </c>
      <c r="N1983" s="15">
        <f t="shared" si="440"/>
        <v>12.588192499999998</v>
      </c>
      <c r="O1983" s="15">
        <f t="shared" si="441"/>
        <v>0</v>
      </c>
      <c r="P1983" s="15">
        <f t="shared" si="442"/>
        <v>0</v>
      </c>
      <c r="Q1983" s="14" t="str">
        <f>IF(M1983&gt;=I1983*'Hoja 4 - Cálculo'!$B$16,"Satisfactorio","Falla")</f>
        <v>Satisfactorio</v>
      </c>
      <c r="R1983" s="14">
        <f t="shared" si="448"/>
        <v>0</v>
      </c>
      <c r="S1983" s="14">
        <f t="shared" si="449"/>
        <v>0</v>
      </c>
    </row>
    <row r="1984" spans="1:19">
      <c r="A1984" s="14" t="str">
        <f t="shared" si="446"/>
        <v>SRY-6-2</v>
      </c>
      <c r="B1984" s="15">
        <f>'Curvas SRY'!$B$13</f>
        <v>15</v>
      </c>
      <c r="C1984" s="15">
        <f>'Curvas SRY'!$E$9</f>
        <v>1</v>
      </c>
      <c r="D1984" s="14" t="str">
        <f>'Curvas SRY'!$B$14</f>
        <v>Uso variable</v>
      </c>
      <c r="E1984" s="14">
        <f>61</f>
        <v>61</v>
      </c>
      <c r="F1984" s="21">
        <f>'Hoja 4 - Cálculo'!A85</f>
        <v>31413</v>
      </c>
      <c r="G1984" s="15">
        <f>'Hoja 4 - Cálculo'!H85</f>
        <v>12.641624999999999</v>
      </c>
      <c r="H1984" s="15">
        <f>IF(D1984="Uso único",'Hoja 4 - Cálculo'!I85,IF(D1984="Uso múltiple",AVERAGE('Hoja 4 - Cálculo'!$I$25:$I$384)+AVERAGE('Hoja 4 - Cálculo'!$J$25:$J$384)+AVERAGE('Hoja 4 - Cálculo'!$K$25:$K$384),IF(D1984="Uso prioritario",'Hoja 4 - Cálculo'!I85+'Hoja 4 - Cálculo'!K85,'Hoja 4 - Cálculo'!I85+'Hoja 4 - Cálculo'!J85+'Hoja 4 - Cálculo'!K85)))</f>
        <v>16</v>
      </c>
      <c r="I1984" s="15">
        <f t="shared" si="437"/>
        <v>16</v>
      </c>
      <c r="J1984" s="15">
        <f t="shared" si="447"/>
        <v>12.588192499999998</v>
      </c>
      <c r="K1984" s="15">
        <f>MIN(J1984+G1984,(J1984+G1984)*'Hoja 4 - Cálculo'!$B$15)</f>
        <v>0.50459634999999992</v>
      </c>
      <c r="L1984" s="15">
        <f t="shared" si="438"/>
        <v>24.725221149999996</v>
      </c>
      <c r="M1984" s="15">
        <f t="shared" si="439"/>
        <v>16</v>
      </c>
      <c r="N1984" s="15">
        <f t="shared" si="440"/>
        <v>8.7252211499999959</v>
      </c>
      <c r="O1984" s="15">
        <f t="shared" si="441"/>
        <v>0</v>
      </c>
      <c r="P1984" s="15">
        <f t="shared" si="442"/>
        <v>0</v>
      </c>
      <c r="Q1984" s="14" t="str">
        <f>IF(M1984&gt;=I1984*'Hoja 4 - Cálculo'!$B$16,"Satisfactorio","Falla")</f>
        <v>Satisfactorio</v>
      </c>
      <c r="R1984" s="14">
        <f t="shared" si="448"/>
        <v>0</v>
      </c>
      <c r="S1984" s="14">
        <f t="shared" si="449"/>
        <v>0</v>
      </c>
    </row>
    <row r="1985" spans="1:19">
      <c r="A1985" s="14" t="str">
        <f t="shared" si="446"/>
        <v>SRY-6-2</v>
      </c>
      <c r="B1985" s="15">
        <f>'Curvas SRY'!$B$13</f>
        <v>15</v>
      </c>
      <c r="C1985" s="15">
        <f>'Curvas SRY'!$E$9</f>
        <v>1</v>
      </c>
      <c r="D1985" s="14" t="str">
        <f>'Curvas SRY'!$B$14</f>
        <v>Uso variable</v>
      </c>
      <c r="E1985" s="14">
        <f>62</f>
        <v>62</v>
      </c>
      <c r="F1985" s="21">
        <f>'Hoja 4 - Cálculo'!A86</f>
        <v>31444</v>
      </c>
      <c r="G1985" s="15">
        <f>'Hoja 4 - Cálculo'!H86</f>
        <v>15.357374999999999</v>
      </c>
      <c r="H1985" s="15">
        <f>IF(D1985="Uso único",'Hoja 4 - Cálculo'!I86,IF(D1985="Uso múltiple",AVERAGE('Hoja 4 - Cálculo'!$I$25:$I$384)+AVERAGE('Hoja 4 - Cálculo'!$J$25:$J$384)+AVERAGE('Hoja 4 - Cálculo'!$K$25:$K$384),IF(D1985="Uso prioritario",'Hoja 4 - Cálculo'!I86+'Hoja 4 - Cálculo'!K86,'Hoja 4 - Cálculo'!I86+'Hoja 4 - Cálculo'!J86+'Hoja 4 - Cálculo'!K86)))</f>
        <v>16</v>
      </c>
      <c r="I1985" s="15">
        <f t="shared" si="437"/>
        <v>16</v>
      </c>
      <c r="J1985" s="15">
        <f t="shared" si="447"/>
        <v>8.7252211499999959</v>
      </c>
      <c r="K1985" s="15">
        <f>MIN(J1985+G1985,(J1985+G1985)*'Hoja 4 - Cálculo'!$B$15)</f>
        <v>0.48165192299999987</v>
      </c>
      <c r="L1985" s="15">
        <f t="shared" si="438"/>
        <v>23.600944226999992</v>
      </c>
      <c r="M1985" s="15">
        <f t="shared" si="439"/>
        <v>16</v>
      </c>
      <c r="N1985" s="15">
        <f t="shared" si="440"/>
        <v>7.6009442269999923</v>
      </c>
      <c r="O1985" s="15">
        <f t="shared" si="441"/>
        <v>0</v>
      </c>
      <c r="P1985" s="15">
        <f t="shared" si="442"/>
        <v>0</v>
      </c>
      <c r="Q1985" s="14" t="str">
        <f>IF(M1985&gt;=I1985*'Hoja 4 - Cálculo'!$B$16,"Satisfactorio","Falla")</f>
        <v>Satisfactorio</v>
      </c>
      <c r="R1985" s="14">
        <f t="shared" si="448"/>
        <v>0</v>
      </c>
      <c r="S1985" s="14">
        <f t="shared" si="449"/>
        <v>0</v>
      </c>
    </row>
    <row r="1986" spans="1:19">
      <c r="A1986" s="14" t="str">
        <f t="shared" si="446"/>
        <v>SRY-6-2</v>
      </c>
      <c r="B1986" s="15">
        <f>'Curvas SRY'!$B$13</f>
        <v>15</v>
      </c>
      <c r="C1986" s="15">
        <f>'Curvas SRY'!$E$9</f>
        <v>1</v>
      </c>
      <c r="D1986" s="14" t="str">
        <f>'Curvas SRY'!$B$14</f>
        <v>Uso variable</v>
      </c>
      <c r="E1986" s="14">
        <f>63</f>
        <v>63</v>
      </c>
      <c r="F1986" s="21">
        <f>'Hoja 4 - Cálculo'!A87</f>
        <v>31472</v>
      </c>
      <c r="G1986" s="15">
        <f>'Hoja 4 - Cálculo'!H87</f>
        <v>20.846250000000001</v>
      </c>
      <c r="H1986" s="15">
        <f>IF(D1986="Uso único",'Hoja 4 - Cálculo'!I87,IF(D1986="Uso múltiple",AVERAGE('Hoja 4 - Cálculo'!$I$25:$I$384)+AVERAGE('Hoja 4 - Cálculo'!$J$25:$J$384)+AVERAGE('Hoja 4 - Cálculo'!$K$25:$K$384),IF(D1986="Uso prioritario",'Hoja 4 - Cálculo'!I87+'Hoja 4 - Cálculo'!K87,'Hoja 4 - Cálculo'!I87+'Hoja 4 - Cálculo'!J87+'Hoja 4 - Cálculo'!K87)))</f>
        <v>16</v>
      </c>
      <c r="I1986" s="15">
        <f t="shared" si="437"/>
        <v>16</v>
      </c>
      <c r="J1986" s="15">
        <f t="shared" si="447"/>
        <v>7.6009442269999923</v>
      </c>
      <c r="K1986" s="15">
        <f>MIN(J1986+G1986,(J1986+G1986)*'Hoja 4 - Cálculo'!$B$15)</f>
        <v>0.56894388453999989</v>
      </c>
      <c r="L1986" s="15">
        <f t="shared" si="438"/>
        <v>27.878250342459992</v>
      </c>
      <c r="M1986" s="15">
        <f t="shared" si="439"/>
        <v>16</v>
      </c>
      <c r="N1986" s="15">
        <f t="shared" si="440"/>
        <v>11.878250342459992</v>
      </c>
      <c r="O1986" s="15">
        <f t="shared" si="441"/>
        <v>0</v>
      </c>
      <c r="P1986" s="15">
        <f t="shared" si="442"/>
        <v>0</v>
      </c>
      <c r="Q1986" s="14" t="str">
        <f>IF(M1986&gt;=I1986*'Hoja 4 - Cálculo'!$B$16,"Satisfactorio","Falla")</f>
        <v>Satisfactorio</v>
      </c>
      <c r="R1986" s="14">
        <f t="shared" si="448"/>
        <v>0</v>
      </c>
      <c r="S1986" s="14">
        <f t="shared" si="449"/>
        <v>0</v>
      </c>
    </row>
    <row r="1987" spans="1:19">
      <c r="A1987" s="14" t="str">
        <f t="shared" si="446"/>
        <v>SRY-6-2</v>
      </c>
      <c r="B1987" s="15">
        <f>'Curvas SRY'!$B$13</f>
        <v>15</v>
      </c>
      <c r="C1987" s="15">
        <f>'Curvas SRY'!$E$9</f>
        <v>1</v>
      </c>
      <c r="D1987" s="14" t="str">
        <f>'Curvas SRY'!$B$14</f>
        <v>Uso variable</v>
      </c>
      <c r="E1987" s="14">
        <f>64</f>
        <v>64</v>
      </c>
      <c r="F1987" s="21">
        <f>'Hoja 4 - Cálculo'!A88</f>
        <v>31503</v>
      </c>
      <c r="G1987" s="15">
        <f>'Hoja 4 - Cálculo'!H88</f>
        <v>30.638249999999999</v>
      </c>
      <c r="H1987" s="15">
        <f>IF(D1987="Uso único",'Hoja 4 - Cálculo'!I88,IF(D1987="Uso múltiple",AVERAGE('Hoja 4 - Cálculo'!$I$25:$I$384)+AVERAGE('Hoja 4 - Cálculo'!$J$25:$J$384)+AVERAGE('Hoja 4 - Cálculo'!$K$25:$K$384),IF(D1987="Uso prioritario",'Hoja 4 - Cálculo'!I88+'Hoja 4 - Cálculo'!K88,'Hoja 4 - Cálculo'!I88+'Hoja 4 - Cálculo'!J88+'Hoja 4 - Cálculo'!K88)))</f>
        <v>11.5</v>
      </c>
      <c r="I1987" s="15">
        <f t="shared" si="437"/>
        <v>11.5</v>
      </c>
      <c r="J1987" s="15">
        <f t="shared" si="447"/>
        <v>11.878250342459992</v>
      </c>
      <c r="K1987" s="15">
        <f>MIN(J1987+G1987,(J1987+G1987)*'Hoja 4 - Cálculo'!$B$15)</f>
        <v>0.8503300068491999</v>
      </c>
      <c r="L1987" s="15">
        <f t="shared" si="438"/>
        <v>41.666170335610794</v>
      </c>
      <c r="M1987" s="15">
        <f t="shared" si="439"/>
        <v>11.5</v>
      </c>
      <c r="N1987" s="15">
        <f t="shared" si="440"/>
        <v>15</v>
      </c>
      <c r="O1987" s="15">
        <f t="shared" si="441"/>
        <v>15.166170335610794</v>
      </c>
      <c r="P1987" s="15">
        <f t="shared" si="442"/>
        <v>0</v>
      </c>
      <c r="Q1987" s="14" t="str">
        <f>IF(M1987&gt;=I1987*'Hoja 4 - Cálculo'!$B$16,"Satisfactorio","Falla")</f>
        <v>Satisfactorio</v>
      </c>
      <c r="R1987" s="14">
        <f t="shared" si="448"/>
        <v>0</v>
      </c>
      <c r="S1987" s="14">
        <f t="shared" si="449"/>
        <v>0</v>
      </c>
    </row>
    <row r="1988" spans="1:19">
      <c r="A1988" s="14" t="str">
        <f t="shared" ref="A1988:A2019" si="450">"SRY-6-2"</f>
        <v>SRY-6-2</v>
      </c>
      <c r="B1988" s="15">
        <f>'Curvas SRY'!$B$13</f>
        <v>15</v>
      </c>
      <c r="C1988" s="15">
        <f>'Curvas SRY'!$E$9</f>
        <v>1</v>
      </c>
      <c r="D1988" s="14" t="str">
        <f>'Curvas SRY'!$B$14</f>
        <v>Uso variable</v>
      </c>
      <c r="E1988" s="14">
        <f>65</f>
        <v>65</v>
      </c>
      <c r="F1988" s="21">
        <f>'Hoja 4 - Cálculo'!A89</f>
        <v>31533</v>
      </c>
      <c r="G1988" s="15">
        <f>'Hoja 4 - Cálculo'!H89</f>
        <v>28.438874999999999</v>
      </c>
      <c r="H1988" s="15">
        <f>IF(D1988="Uso único",'Hoja 4 - Cálculo'!I89,IF(D1988="Uso múltiple",AVERAGE('Hoja 4 - Cálculo'!$I$25:$I$384)+AVERAGE('Hoja 4 - Cálculo'!$J$25:$J$384)+AVERAGE('Hoja 4 - Cálculo'!$K$25:$K$384),IF(D1988="Uso prioritario",'Hoja 4 - Cálculo'!I89+'Hoja 4 - Cálculo'!K89,'Hoja 4 - Cálculo'!I89+'Hoja 4 - Cálculo'!J89+'Hoja 4 - Cálculo'!K89)))</f>
        <v>11.5</v>
      </c>
      <c r="I1988" s="15">
        <f t="shared" ref="I1988:I2051" si="451">H1988*C1988</f>
        <v>11.5</v>
      </c>
      <c r="J1988" s="15">
        <f t="shared" si="447"/>
        <v>15</v>
      </c>
      <c r="K1988" s="15">
        <f>MIN(J1988+G1988,(J1988+G1988)*'Hoja 4 - Cálculo'!$B$15)</f>
        <v>0.86877749999999998</v>
      </c>
      <c r="L1988" s="15">
        <f t="shared" ref="L1988:L2051" si="452">MAX(0,J1988+G1988-K1988)</f>
        <v>42.570097499999996</v>
      </c>
      <c r="M1988" s="15">
        <f t="shared" ref="M1988:M2051" si="453">MIN(I1988,L1988)</f>
        <v>11.5</v>
      </c>
      <c r="N1988" s="15">
        <f t="shared" ref="N1988:N2051" si="454">MIN(B1988,MAX(0,L1988-M1988))</f>
        <v>15</v>
      </c>
      <c r="O1988" s="15">
        <f t="shared" ref="O1988:O2051" si="455">MAX(0,L1988-M1988-B1988)</f>
        <v>16.070097499999996</v>
      </c>
      <c r="P1988" s="15">
        <f t="shared" ref="P1988:P2051" si="456">MAX(0,I1988-M1988)</f>
        <v>0</v>
      </c>
      <c r="Q1988" s="14" t="str">
        <f>IF(M1988&gt;=I1988*'Hoja 4 - Cálculo'!$B$16,"Satisfactorio","Falla")</f>
        <v>Satisfactorio</v>
      </c>
      <c r="R1988" s="14">
        <f t="shared" si="448"/>
        <v>0</v>
      </c>
      <c r="S1988" s="14">
        <f t="shared" si="449"/>
        <v>0</v>
      </c>
    </row>
    <row r="1989" spans="1:19">
      <c r="A1989" s="14" t="str">
        <f t="shared" si="450"/>
        <v>SRY-6-2</v>
      </c>
      <c r="B1989" s="15">
        <f>'Curvas SRY'!$B$13</f>
        <v>15</v>
      </c>
      <c r="C1989" s="15">
        <f>'Curvas SRY'!$E$9</f>
        <v>1</v>
      </c>
      <c r="D1989" s="14" t="str">
        <f>'Curvas SRY'!$B$14</f>
        <v>Uso variable</v>
      </c>
      <c r="E1989" s="14">
        <f>66</f>
        <v>66</v>
      </c>
      <c r="F1989" s="21">
        <f>'Hoja 4 - Cálculo'!A90</f>
        <v>31564</v>
      </c>
      <c r="G1989" s="15">
        <f>'Hoja 4 - Cálculo'!H90</f>
        <v>16.007625000000001</v>
      </c>
      <c r="H1989" s="15">
        <f>IF(D1989="Uso único",'Hoja 4 - Cálculo'!I90,IF(D1989="Uso múltiple",AVERAGE('Hoja 4 - Cálculo'!$I$25:$I$384)+AVERAGE('Hoja 4 - Cálculo'!$J$25:$J$384)+AVERAGE('Hoja 4 - Cálculo'!$K$25:$K$384),IF(D1989="Uso prioritario",'Hoja 4 - Cálculo'!I90+'Hoja 4 - Cálculo'!K90,'Hoja 4 - Cálculo'!I90+'Hoja 4 - Cálculo'!J90+'Hoja 4 - Cálculo'!K90)))</f>
        <v>11.5</v>
      </c>
      <c r="I1989" s="15">
        <f t="shared" si="451"/>
        <v>11.5</v>
      </c>
      <c r="J1989" s="15">
        <f t="shared" ref="J1989:J2020" si="457">N1988</f>
        <v>15</v>
      </c>
      <c r="K1989" s="15">
        <f>MIN(J1989+G1989,(J1989+G1989)*'Hoja 4 - Cálculo'!$B$15)</f>
        <v>0.6201525</v>
      </c>
      <c r="L1989" s="15">
        <f t="shared" si="452"/>
        <v>30.387472500000001</v>
      </c>
      <c r="M1989" s="15">
        <f t="shared" si="453"/>
        <v>11.5</v>
      </c>
      <c r="N1989" s="15">
        <f t="shared" si="454"/>
        <v>15</v>
      </c>
      <c r="O1989" s="15">
        <f t="shared" si="455"/>
        <v>3.8874725000000012</v>
      </c>
      <c r="P1989" s="15">
        <f t="shared" si="456"/>
        <v>0</v>
      </c>
      <c r="Q1989" s="14" t="str">
        <f>IF(M1989&gt;=I1989*'Hoja 4 - Cálculo'!$B$16,"Satisfactorio","Falla")</f>
        <v>Satisfactorio</v>
      </c>
      <c r="R1989" s="14">
        <f t="shared" ref="R1989:R2020" si="458">IF(AND(Q1988="Falla",Q1989="Satisfactorio"),1,0)</f>
        <v>0</v>
      </c>
      <c r="S1989" s="14">
        <f t="shared" ref="S1989:S2020" si="459">IF(AND(Q1989="Falla",Q1988&lt;&gt;"Falla"),1,0)</f>
        <v>0</v>
      </c>
    </row>
    <row r="1990" spans="1:19">
      <c r="A1990" s="14" t="str">
        <f t="shared" si="450"/>
        <v>SRY-6-2</v>
      </c>
      <c r="B1990" s="15">
        <f>'Curvas SRY'!$B$13</f>
        <v>15</v>
      </c>
      <c r="C1990" s="15">
        <f>'Curvas SRY'!$E$9</f>
        <v>1</v>
      </c>
      <c r="D1990" s="14" t="str">
        <f>'Curvas SRY'!$B$14</f>
        <v>Uso variable</v>
      </c>
      <c r="E1990" s="14">
        <f>67</f>
        <v>67</v>
      </c>
      <c r="F1990" s="21">
        <f>'Hoja 4 - Cálculo'!A91</f>
        <v>31594</v>
      </c>
      <c r="G1990" s="15">
        <f>'Hoja 4 - Cálculo'!H91</f>
        <v>14.056875</v>
      </c>
      <c r="H1990" s="15">
        <f>IF(D1990="Uso único",'Hoja 4 - Cálculo'!I91,IF(D1990="Uso múltiple",AVERAGE('Hoja 4 - Cálculo'!$I$25:$I$384)+AVERAGE('Hoja 4 - Cálculo'!$J$25:$J$384)+AVERAGE('Hoja 4 - Cálculo'!$K$25:$K$384),IF(D1990="Uso prioritario",'Hoja 4 - Cálculo'!I91+'Hoja 4 - Cálculo'!K91,'Hoja 4 - Cálculo'!I91+'Hoja 4 - Cálculo'!J91+'Hoja 4 - Cálculo'!K91)))</f>
        <v>16</v>
      </c>
      <c r="I1990" s="15">
        <f t="shared" si="451"/>
        <v>16</v>
      </c>
      <c r="J1990" s="15">
        <f t="shared" si="457"/>
        <v>15</v>
      </c>
      <c r="K1990" s="15">
        <f>MIN(J1990+G1990,(J1990+G1990)*'Hoja 4 - Cálculo'!$B$15)</f>
        <v>0.58113749999999997</v>
      </c>
      <c r="L1990" s="15">
        <f t="shared" si="452"/>
        <v>28.475737499999997</v>
      </c>
      <c r="M1990" s="15">
        <f t="shared" si="453"/>
        <v>16</v>
      </c>
      <c r="N1990" s="15">
        <f t="shared" si="454"/>
        <v>12.475737499999997</v>
      </c>
      <c r="O1990" s="15">
        <f t="shared" si="455"/>
        <v>0</v>
      </c>
      <c r="P1990" s="15">
        <f t="shared" si="456"/>
        <v>0</v>
      </c>
      <c r="Q1990" s="14" t="str">
        <f>IF(M1990&gt;=I1990*'Hoja 4 - Cálculo'!$B$16,"Satisfactorio","Falla")</f>
        <v>Satisfactorio</v>
      </c>
      <c r="R1990" s="14">
        <f t="shared" si="458"/>
        <v>0</v>
      </c>
      <c r="S1990" s="14">
        <f t="shared" si="459"/>
        <v>0</v>
      </c>
    </row>
    <row r="1991" spans="1:19">
      <c r="A1991" s="14" t="str">
        <f t="shared" si="450"/>
        <v>SRY-6-2</v>
      </c>
      <c r="B1991" s="15">
        <f>'Curvas SRY'!$B$13</f>
        <v>15</v>
      </c>
      <c r="C1991" s="15">
        <f>'Curvas SRY'!$E$9</f>
        <v>1</v>
      </c>
      <c r="D1991" s="14" t="str">
        <f>'Curvas SRY'!$B$14</f>
        <v>Uso variable</v>
      </c>
      <c r="E1991" s="14">
        <f>68</f>
        <v>68</v>
      </c>
      <c r="F1991" s="21">
        <f>'Hoja 4 - Cálculo'!A92</f>
        <v>31625</v>
      </c>
      <c r="G1991" s="15">
        <f>'Hoja 4 - Cálculo'!H92</f>
        <v>15.032249999999999</v>
      </c>
      <c r="H1991" s="15">
        <f>IF(D1991="Uso único",'Hoja 4 - Cálculo'!I92,IF(D1991="Uso múltiple",AVERAGE('Hoja 4 - Cálculo'!$I$25:$I$384)+AVERAGE('Hoja 4 - Cálculo'!$J$25:$J$384)+AVERAGE('Hoja 4 - Cálculo'!$K$25:$K$384),IF(D1991="Uso prioritario",'Hoja 4 - Cálculo'!I92+'Hoja 4 - Cálculo'!K92,'Hoja 4 - Cálculo'!I92+'Hoja 4 - Cálculo'!J92+'Hoja 4 - Cálculo'!K92)))</f>
        <v>16</v>
      </c>
      <c r="I1991" s="15">
        <f t="shared" si="451"/>
        <v>16</v>
      </c>
      <c r="J1991" s="15">
        <f t="shared" si="457"/>
        <v>12.475737499999997</v>
      </c>
      <c r="K1991" s="15">
        <f>MIN(J1991+G1991,(J1991+G1991)*'Hoja 4 - Cálculo'!$B$15)</f>
        <v>0.55015974999999995</v>
      </c>
      <c r="L1991" s="15">
        <f t="shared" si="452"/>
        <v>26.95782775</v>
      </c>
      <c r="M1991" s="15">
        <f t="shared" si="453"/>
        <v>16</v>
      </c>
      <c r="N1991" s="15">
        <f t="shared" si="454"/>
        <v>10.95782775</v>
      </c>
      <c r="O1991" s="15">
        <f t="shared" si="455"/>
        <v>0</v>
      </c>
      <c r="P1991" s="15">
        <f t="shared" si="456"/>
        <v>0</v>
      </c>
      <c r="Q1991" s="14" t="str">
        <f>IF(M1991&gt;=I1991*'Hoja 4 - Cálculo'!$B$16,"Satisfactorio","Falla")</f>
        <v>Satisfactorio</v>
      </c>
      <c r="R1991" s="14">
        <f t="shared" si="458"/>
        <v>0</v>
      </c>
      <c r="S1991" s="14">
        <f t="shared" si="459"/>
        <v>0</v>
      </c>
    </row>
    <row r="1992" spans="1:19">
      <c r="A1992" s="14" t="str">
        <f t="shared" si="450"/>
        <v>SRY-6-2</v>
      </c>
      <c r="B1992" s="15">
        <f>'Curvas SRY'!$B$13</f>
        <v>15</v>
      </c>
      <c r="C1992" s="15">
        <f>'Curvas SRY'!$E$9</f>
        <v>1</v>
      </c>
      <c r="D1992" s="14" t="str">
        <f>'Curvas SRY'!$B$14</f>
        <v>Uso variable</v>
      </c>
      <c r="E1992" s="14">
        <f>69</f>
        <v>69</v>
      </c>
      <c r="F1992" s="21">
        <f>'Hoja 4 - Cálculo'!A93</f>
        <v>31656</v>
      </c>
      <c r="G1992" s="15">
        <f>'Hoja 4 - Cálculo'!H93</f>
        <v>22.60575</v>
      </c>
      <c r="H1992" s="15">
        <f>IF(D1992="Uso único",'Hoja 4 - Cálculo'!I93,IF(D1992="Uso múltiple",AVERAGE('Hoja 4 - Cálculo'!$I$25:$I$384)+AVERAGE('Hoja 4 - Cálculo'!$J$25:$J$384)+AVERAGE('Hoja 4 - Cálculo'!$K$25:$K$384),IF(D1992="Uso prioritario",'Hoja 4 - Cálculo'!I93+'Hoja 4 - Cálculo'!K93,'Hoja 4 - Cálculo'!I93+'Hoja 4 - Cálculo'!J93+'Hoja 4 - Cálculo'!K93)))</f>
        <v>11.5</v>
      </c>
      <c r="I1992" s="15">
        <f t="shared" si="451"/>
        <v>11.5</v>
      </c>
      <c r="J1992" s="15">
        <f t="shared" si="457"/>
        <v>10.95782775</v>
      </c>
      <c r="K1992" s="15">
        <f>MIN(J1992+G1992,(J1992+G1992)*'Hoja 4 - Cálculo'!$B$15)</f>
        <v>0.67127155500000002</v>
      </c>
      <c r="L1992" s="15">
        <f t="shared" si="452"/>
        <v>32.892306195000003</v>
      </c>
      <c r="M1992" s="15">
        <f t="shared" si="453"/>
        <v>11.5</v>
      </c>
      <c r="N1992" s="15">
        <f t="shared" si="454"/>
        <v>15</v>
      </c>
      <c r="O1992" s="15">
        <f t="shared" si="455"/>
        <v>6.3923061950000033</v>
      </c>
      <c r="P1992" s="15">
        <f t="shared" si="456"/>
        <v>0</v>
      </c>
      <c r="Q1992" s="14" t="str">
        <f>IF(M1992&gt;=I1992*'Hoja 4 - Cálculo'!$B$16,"Satisfactorio","Falla")</f>
        <v>Satisfactorio</v>
      </c>
      <c r="R1992" s="14">
        <f t="shared" si="458"/>
        <v>0</v>
      </c>
      <c r="S1992" s="14">
        <f t="shared" si="459"/>
        <v>0</v>
      </c>
    </row>
    <row r="1993" spans="1:19">
      <c r="A1993" s="14" t="str">
        <f t="shared" si="450"/>
        <v>SRY-6-2</v>
      </c>
      <c r="B1993" s="15">
        <f>'Curvas SRY'!$B$13</f>
        <v>15</v>
      </c>
      <c r="C1993" s="15">
        <f>'Curvas SRY'!$E$9</f>
        <v>1</v>
      </c>
      <c r="D1993" s="14" t="str">
        <f>'Curvas SRY'!$B$14</f>
        <v>Uso variable</v>
      </c>
      <c r="E1993" s="14">
        <f>70</f>
        <v>70</v>
      </c>
      <c r="F1993" s="21">
        <f>'Hoja 4 - Cálculo'!A94</f>
        <v>31686</v>
      </c>
      <c r="G1993" s="15">
        <f>'Hoja 4 - Cálculo'!H94</f>
        <v>32.531624999999998</v>
      </c>
      <c r="H1993" s="15">
        <f>IF(D1993="Uso único",'Hoja 4 - Cálculo'!I94,IF(D1993="Uso múltiple",AVERAGE('Hoja 4 - Cálculo'!$I$25:$I$384)+AVERAGE('Hoja 4 - Cálculo'!$J$25:$J$384)+AVERAGE('Hoja 4 - Cálculo'!$K$25:$K$384),IF(D1993="Uso prioritario",'Hoja 4 - Cálculo'!I94+'Hoja 4 - Cálculo'!K94,'Hoja 4 - Cálculo'!I94+'Hoja 4 - Cálculo'!J94+'Hoja 4 - Cálculo'!K94)))</f>
        <v>11.5</v>
      </c>
      <c r="I1993" s="15">
        <f t="shared" si="451"/>
        <v>11.5</v>
      </c>
      <c r="J1993" s="15">
        <f t="shared" si="457"/>
        <v>15</v>
      </c>
      <c r="K1993" s="15">
        <f>MIN(J1993+G1993,(J1993+G1993)*'Hoja 4 - Cálculo'!$B$15)</f>
        <v>0.95063249999999999</v>
      </c>
      <c r="L1993" s="15">
        <f t="shared" si="452"/>
        <v>46.580992500000001</v>
      </c>
      <c r="M1993" s="15">
        <f t="shared" si="453"/>
        <v>11.5</v>
      </c>
      <c r="N1993" s="15">
        <f t="shared" si="454"/>
        <v>15</v>
      </c>
      <c r="O1993" s="15">
        <f t="shared" si="455"/>
        <v>20.080992500000001</v>
      </c>
      <c r="P1993" s="15">
        <f t="shared" si="456"/>
        <v>0</v>
      </c>
      <c r="Q1993" s="14" t="str">
        <f>IF(M1993&gt;=I1993*'Hoja 4 - Cálculo'!$B$16,"Satisfactorio","Falla")</f>
        <v>Satisfactorio</v>
      </c>
      <c r="R1993" s="14">
        <f t="shared" si="458"/>
        <v>0</v>
      </c>
      <c r="S1993" s="14">
        <f t="shared" si="459"/>
        <v>0</v>
      </c>
    </row>
    <row r="1994" spans="1:19">
      <c r="A1994" s="14" t="str">
        <f t="shared" si="450"/>
        <v>SRY-6-2</v>
      </c>
      <c r="B1994" s="15">
        <f>'Curvas SRY'!$B$13</f>
        <v>15</v>
      </c>
      <c r="C1994" s="15">
        <f>'Curvas SRY'!$E$9</f>
        <v>1</v>
      </c>
      <c r="D1994" s="14" t="str">
        <f>'Curvas SRY'!$B$14</f>
        <v>Uso variable</v>
      </c>
      <c r="E1994" s="14">
        <f>71</f>
        <v>71</v>
      </c>
      <c r="F1994" s="21">
        <f>'Hoja 4 - Cálculo'!A95</f>
        <v>31717</v>
      </c>
      <c r="G1994" s="15">
        <f>'Hoja 4 - Cálculo'!H95</f>
        <v>26.641124999999999</v>
      </c>
      <c r="H1994" s="15">
        <f>IF(D1994="Uso único",'Hoja 4 - Cálculo'!I95,IF(D1994="Uso múltiple",AVERAGE('Hoja 4 - Cálculo'!$I$25:$I$384)+AVERAGE('Hoja 4 - Cálculo'!$J$25:$J$384)+AVERAGE('Hoja 4 - Cálculo'!$K$25:$K$384),IF(D1994="Uso prioritario",'Hoja 4 - Cálculo'!I95+'Hoja 4 - Cálculo'!K95,'Hoja 4 - Cálculo'!I95+'Hoja 4 - Cálculo'!J95+'Hoja 4 - Cálculo'!K95)))</f>
        <v>11.5</v>
      </c>
      <c r="I1994" s="15">
        <f t="shared" si="451"/>
        <v>11.5</v>
      </c>
      <c r="J1994" s="15">
        <f t="shared" si="457"/>
        <v>15</v>
      </c>
      <c r="K1994" s="15">
        <f>MIN(J1994+G1994,(J1994+G1994)*'Hoja 4 - Cálculo'!$B$15)</f>
        <v>0.83282250000000002</v>
      </c>
      <c r="L1994" s="15">
        <f t="shared" si="452"/>
        <v>40.808302500000003</v>
      </c>
      <c r="M1994" s="15">
        <f t="shared" si="453"/>
        <v>11.5</v>
      </c>
      <c r="N1994" s="15">
        <f t="shared" si="454"/>
        <v>15</v>
      </c>
      <c r="O1994" s="15">
        <f t="shared" si="455"/>
        <v>14.308302500000003</v>
      </c>
      <c r="P1994" s="15">
        <f t="shared" si="456"/>
        <v>0</v>
      </c>
      <c r="Q1994" s="14" t="str">
        <f>IF(M1994&gt;=I1994*'Hoja 4 - Cálculo'!$B$16,"Satisfactorio","Falla")</f>
        <v>Satisfactorio</v>
      </c>
      <c r="R1994" s="14">
        <f t="shared" si="458"/>
        <v>0</v>
      </c>
      <c r="S1994" s="14">
        <f t="shared" si="459"/>
        <v>0</v>
      </c>
    </row>
    <row r="1995" spans="1:19">
      <c r="A1995" s="14" t="str">
        <f t="shared" si="450"/>
        <v>SRY-6-2</v>
      </c>
      <c r="B1995" s="15">
        <f>'Curvas SRY'!$B$13</f>
        <v>15</v>
      </c>
      <c r="C1995" s="15">
        <f>'Curvas SRY'!$E$9</f>
        <v>1</v>
      </c>
      <c r="D1995" s="14" t="str">
        <f>'Curvas SRY'!$B$14</f>
        <v>Uso variable</v>
      </c>
      <c r="E1995" s="14">
        <f>72</f>
        <v>72</v>
      </c>
      <c r="F1995" s="21">
        <f>'Hoja 4 - Cálculo'!A96</f>
        <v>31747</v>
      </c>
      <c r="G1995" s="15">
        <f>'Hoja 4 - Cálculo'!H96</f>
        <v>15.166124999999999</v>
      </c>
      <c r="H1995" s="15">
        <f>IF(D1995="Uso único",'Hoja 4 - Cálculo'!I96,IF(D1995="Uso múltiple",AVERAGE('Hoja 4 - Cálculo'!$I$25:$I$384)+AVERAGE('Hoja 4 - Cálculo'!$J$25:$J$384)+AVERAGE('Hoja 4 - Cálculo'!$K$25:$K$384),IF(D1995="Uso prioritario",'Hoja 4 - Cálculo'!I96+'Hoja 4 - Cálculo'!K96,'Hoja 4 - Cálculo'!I96+'Hoja 4 - Cálculo'!J96+'Hoja 4 - Cálculo'!K96)))</f>
        <v>16</v>
      </c>
      <c r="I1995" s="15">
        <f t="shared" si="451"/>
        <v>16</v>
      </c>
      <c r="J1995" s="15">
        <f t="shared" si="457"/>
        <v>15</v>
      </c>
      <c r="K1995" s="15">
        <f>MIN(J1995+G1995,(J1995+G1995)*'Hoja 4 - Cálculo'!$B$15)</f>
        <v>0.60332249999999998</v>
      </c>
      <c r="L1995" s="15">
        <f t="shared" si="452"/>
        <v>29.5628025</v>
      </c>
      <c r="M1995" s="15">
        <f t="shared" si="453"/>
        <v>16</v>
      </c>
      <c r="N1995" s="15">
        <f t="shared" si="454"/>
        <v>13.5628025</v>
      </c>
      <c r="O1995" s="15">
        <f t="shared" si="455"/>
        <v>0</v>
      </c>
      <c r="P1995" s="15">
        <f t="shared" si="456"/>
        <v>0</v>
      </c>
      <c r="Q1995" s="14" t="str">
        <f>IF(M1995&gt;=I1995*'Hoja 4 - Cálculo'!$B$16,"Satisfactorio","Falla")</f>
        <v>Satisfactorio</v>
      </c>
      <c r="R1995" s="14">
        <f t="shared" si="458"/>
        <v>0</v>
      </c>
      <c r="S1995" s="14">
        <f t="shared" si="459"/>
        <v>0</v>
      </c>
    </row>
    <row r="1996" spans="1:19">
      <c r="A1996" s="14" t="str">
        <f t="shared" si="450"/>
        <v>SRY-6-2</v>
      </c>
      <c r="B1996" s="15">
        <f>'Curvas SRY'!$B$13</f>
        <v>15</v>
      </c>
      <c r="C1996" s="15">
        <f>'Curvas SRY'!$E$9</f>
        <v>1</v>
      </c>
      <c r="D1996" s="14" t="str">
        <f>'Curvas SRY'!$B$14</f>
        <v>Uso variable</v>
      </c>
      <c r="E1996" s="14">
        <f>73</f>
        <v>73</v>
      </c>
      <c r="F1996" s="21">
        <f>'Hoja 4 - Cálculo'!A97</f>
        <v>31778</v>
      </c>
      <c r="G1996" s="15">
        <f>'Hoja 4 - Cálculo'!H97</f>
        <v>14.056875</v>
      </c>
      <c r="H1996" s="15">
        <f>IF(D1996="Uso único",'Hoja 4 - Cálculo'!I97,IF(D1996="Uso múltiple",AVERAGE('Hoja 4 - Cálculo'!$I$25:$I$384)+AVERAGE('Hoja 4 - Cálculo'!$J$25:$J$384)+AVERAGE('Hoja 4 - Cálculo'!$K$25:$K$384),IF(D1996="Uso prioritario",'Hoja 4 - Cálculo'!I97+'Hoja 4 - Cálculo'!K97,'Hoja 4 - Cálculo'!I97+'Hoja 4 - Cálculo'!J97+'Hoja 4 - Cálculo'!K97)))</f>
        <v>16</v>
      </c>
      <c r="I1996" s="15">
        <f t="shared" si="451"/>
        <v>16</v>
      </c>
      <c r="J1996" s="15">
        <f t="shared" si="457"/>
        <v>13.5628025</v>
      </c>
      <c r="K1996" s="15">
        <f>MIN(J1996+G1996,(J1996+G1996)*'Hoja 4 - Cálculo'!$B$15)</f>
        <v>0.55239355000000001</v>
      </c>
      <c r="L1996" s="15">
        <f t="shared" si="452"/>
        <v>27.06728395</v>
      </c>
      <c r="M1996" s="15">
        <f t="shared" si="453"/>
        <v>16</v>
      </c>
      <c r="N1996" s="15">
        <f t="shared" si="454"/>
        <v>11.06728395</v>
      </c>
      <c r="O1996" s="15">
        <f t="shared" si="455"/>
        <v>0</v>
      </c>
      <c r="P1996" s="15">
        <f t="shared" si="456"/>
        <v>0</v>
      </c>
      <c r="Q1996" s="14" t="str">
        <f>IF(M1996&gt;=I1996*'Hoja 4 - Cálculo'!$B$16,"Satisfactorio","Falla")</f>
        <v>Satisfactorio</v>
      </c>
      <c r="R1996" s="14">
        <f t="shared" si="458"/>
        <v>0</v>
      </c>
      <c r="S1996" s="14">
        <f t="shared" si="459"/>
        <v>0</v>
      </c>
    </row>
    <row r="1997" spans="1:19">
      <c r="A1997" s="14" t="str">
        <f t="shared" si="450"/>
        <v>SRY-6-2</v>
      </c>
      <c r="B1997" s="15">
        <f>'Curvas SRY'!$B$13</f>
        <v>15</v>
      </c>
      <c r="C1997" s="15">
        <f>'Curvas SRY'!$E$9</f>
        <v>1</v>
      </c>
      <c r="D1997" s="14" t="str">
        <f>'Curvas SRY'!$B$14</f>
        <v>Uso variable</v>
      </c>
      <c r="E1997" s="14">
        <f>74</f>
        <v>74</v>
      </c>
      <c r="F1997" s="21">
        <f>'Hoja 4 - Cálculo'!A98</f>
        <v>31809</v>
      </c>
      <c r="G1997" s="15">
        <f>'Hoja 4 - Cálculo'!H98</f>
        <v>15.969374999999999</v>
      </c>
      <c r="H1997" s="15">
        <f>IF(D1997="Uso único",'Hoja 4 - Cálculo'!I98,IF(D1997="Uso múltiple",AVERAGE('Hoja 4 - Cálculo'!$I$25:$I$384)+AVERAGE('Hoja 4 - Cálculo'!$J$25:$J$384)+AVERAGE('Hoja 4 - Cálculo'!$K$25:$K$384),IF(D1997="Uso prioritario",'Hoja 4 - Cálculo'!I98+'Hoja 4 - Cálculo'!K98,'Hoja 4 - Cálculo'!I98+'Hoja 4 - Cálculo'!J98+'Hoja 4 - Cálculo'!K98)))</f>
        <v>16</v>
      </c>
      <c r="I1997" s="15">
        <f t="shared" si="451"/>
        <v>16</v>
      </c>
      <c r="J1997" s="15">
        <f t="shared" si="457"/>
        <v>11.06728395</v>
      </c>
      <c r="K1997" s="15">
        <f>MIN(J1997+G1997,(J1997+G1997)*'Hoja 4 - Cálculo'!$B$15)</f>
        <v>0.54073317899999995</v>
      </c>
      <c r="L1997" s="15">
        <f t="shared" si="452"/>
        <v>26.495925771</v>
      </c>
      <c r="M1997" s="15">
        <f t="shared" si="453"/>
        <v>16</v>
      </c>
      <c r="N1997" s="15">
        <f t="shared" si="454"/>
        <v>10.495925771</v>
      </c>
      <c r="O1997" s="15">
        <f t="shared" si="455"/>
        <v>0</v>
      </c>
      <c r="P1997" s="15">
        <f t="shared" si="456"/>
        <v>0</v>
      </c>
      <c r="Q1997" s="14" t="str">
        <f>IF(M1997&gt;=I1997*'Hoja 4 - Cálculo'!$B$16,"Satisfactorio","Falla")</f>
        <v>Satisfactorio</v>
      </c>
      <c r="R1997" s="14">
        <f t="shared" si="458"/>
        <v>0</v>
      </c>
      <c r="S1997" s="14">
        <f t="shared" si="459"/>
        <v>0</v>
      </c>
    </row>
    <row r="1998" spans="1:19">
      <c r="A1998" s="14" t="str">
        <f t="shared" si="450"/>
        <v>SRY-6-2</v>
      </c>
      <c r="B1998" s="15">
        <f>'Curvas SRY'!$B$13</f>
        <v>15</v>
      </c>
      <c r="C1998" s="15">
        <f>'Curvas SRY'!$E$9</f>
        <v>1</v>
      </c>
      <c r="D1998" s="14" t="str">
        <f>'Curvas SRY'!$B$14</f>
        <v>Uso variable</v>
      </c>
      <c r="E1998" s="14">
        <f>75</f>
        <v>75</v>
      </c>
      <c r="F1998" s="21">
        <f>'Hoja 4 - Cálculo'!A99</f>
        <v>31837</v>
      </c>
      <c r="G1998" s="15">
        <f>'Hoja 4 - Cálculo'!H99</f>
        <v>22.797000000000001</v>
      </c>
      <c r="H1998" s="15">
        <f>IF(D1998="Uso único",'Hoja 4 - Cálculo'!I99,IF(D1998="Uso múltiple",AVERAGE('Hoja 4 - Cálculo'!$I$25:$I$384)+AVERAGE('Hoja 4 - Cálculo'!$J$25:$J$384)+AVERAGE('Hoja 4 - Cálculo'!$K$25:$K$384),IF(D1998="Uso prioritario",'Hoja 4 - Cálculo'!I99+'Hoja 4 - Cálculo'!K99,'Hoja 4 - Cálculo'!I99+'Hoja 4 - Cálculo'!J99+'Hoja 4 - Cálculo'!K99)))</f>
        <v>16</v>
      </c>
      <c r="I1998" s="15">
        <f t="shared" si="451"/>
        <v>16</v>
      </c>
      <c r="J1998" s="15">
        <f t="shared" si="457"/>
        <v>10.495925771</v>
      </c>
      <c r="K1998" s="15">
        <f>MIN(J1998+G1998,(J1998+G1998)*'Hoja 4 - Cálculo'!$B$15)</f>
        <v>0.66585851541999996</v>
      </c>
      <c r="L1998" s="15">
        <f t="shared" si="452"/>
        <v>32.627067255580002</v>
      </c>
      <c r="M1998" s="15">
        <f t="shared" si="453"/>
        <v>16</v>
      </c>
      <c r="N1998" s="15">
        <f t="shared" si="454"/>
        <v>15</v>
      </c>
      <c r="O1998" s="15">
        <f t="shared" si="455"/>
        <v>1.6270672555800019</v>
      </c>
      <c r="P1998" s="15">
        <f t="shared" si="456"/>
        <v>0</v>
      </c>
      <c r="Q1998" s="14" t="str">
        <f>IF(M1998&gt;=I1998*'Hoja 4 - Cálculo'!$B$16,"Satisfactorio","Falla")</f>
        <v>Satisfactorio</v>
      </c>
      <c r="R1998" s="14">
        <f t="shared" si="458"/>
        <v>0</v>
      </c>
      <c r="S1998" s="14">
        <f t="shared" si="459"/>
        <v>0</v>
      </c>
    </row>
    <row r="1999" spans="1:19">
      <c r="A1999" s="14" t="str">
        <f t="shared" si="450"/>
        <v>SRY-6-2</v>
      </c>
      <c r="B1999" s="15">
        <f>'Curvas SRY'!$B$13</f>
        <v>15</v>
      </c>
      <c r="C1999" s="15">
        <f>'Curvas SRY'!$E$9</f>
        <v>1</v>
      </c>
      <c r="D1999" s="14" t="str">
        <f>'Curvas SRY'!$B$14</f>
        <v>Uso variable</v>
      </c>
      <c r="E1999" s="14">
        <f>76</f>
        <v>76</v>
      </c>
      <c r="F1999" s="21">
        <f>'Hoja 4 - Cálculo'!A100</f>
        <v>31868</v>
      </c>
      <c r="G1999" s="15">
        <f>'Hoja 4 - Cálculo'!H100</f>
        <v>34.138125000000002</v>
      </c>
      <c r="H1999" s="15">
        <f>IF(D1999="Uso único",'Hoja 4 - Cálculo'!I100,IF(D1999="Uso múltiple",AVERAGE('Hoja 4 - Cálculo'!$I$25:$I$384)+AVERAGE('Hoja 4 - Cálculo'!$J$25:$J$384)+AVERAGE('Hoja 4 - Cálculo'!$K$25:$K$384),IF(D1999="Uso prioritario",'Hoja 4 - Cálculo'!I100+'Hoja 4 - Cálculo'!K100,'Hoja 4 - Cálculo'!I100+'Hoja 4 - Cálculo'!J100+'Hoja 4 - Cálculo'!K100)))</f>
        <v>11.5</v>
      </c>
      <c r="I1999" s="15">
        <f t="shared" si="451"/>
        <v>11.5</v>
      </c>
      <c r="J1999" s="15">
        <f t="shared" si="457"/>
        <v>15</v>
      </c>
      <c r="K1999" s="15">
        <f>MIN(J1999+G1999,(J1999+G1999)*'Hoja 4 - Cálculo'!$B$15)</f>
        <v>0.98276250000000009</v>
      </c>
      <c r="L1999" s="15">
        <f t="shared" si="452"/>
        <v>48.155362500000003</v>
      </c>
      <c r="M1999" s="15">
        <f t="shared" si="453"/>
        <v>11.5</v>
      </c>
      <c r="N1999" s="15">
        <f t="shared" si="454"/>
        <v>15</v>
      </c>
      <c r="O1999" s="15">
        <f t="shared" si="455"/>
        <v>21.655362500000003</v>
      </c>
      <c r="P1999" s="15">
        <f t="shared" si="456"/>
        <v>0</v>
      </c>
      <c r="Q1999" s="14" t="str">
        <f>IF(M1999&gt;=I1999*'Hoja 4 - Cálculo'!$B$16,"Satisfactorio","Falla")</f>
        <v>Satisfactorio</v>
      </c>
      <c r="R1999" s="14">
        <f t="shared" si="458"/>
        <v>0</v>
      </c>
      <c r="S1999" s="14">
        <f t="shared" si="459"/>
        <v>0</v>
      </c>
    </row>
    <row r="2000" spans="1:19">
      <c r="A2000" s="14" t="str">
        <f t="shared" si="450"/>
        <v>SRY-6-2</v>
      </c>
      <c r="B2000" s="15">
        <f>'Curvas SRY'!$B$13</f>
        <v>15</v>
      </c>
      <c r="C2000" s="15">
        <f>'Curvas SRY'!$E$9</f>
        <v>1</v>
      </c>
      <c r="D2000" s="14" t="str">
        <f>'Curvas SRY'!$B$14</f>
        <v>Uso variable</v>
      </c>
      <c r="E2000" s="14">
        <f>77</f>
        <v>77</v>
      </c>
      <c r="F2000" s="21">
        <f>'Hoja 4 - Cálculo'!A101</f>
        <v>31898</v>
      </c>
      <c r="G2000" s="15">
        <f>'Hoja 4 - Cálculo'!H101</f>
        <v>28.534500000000001</v>
      </c>
      <c r="H2000" s="15">
        <f>IF(D2000="Uso único",'Hoja 4 - Cálculo'!I101,IF(D2000="Uso múltiple",AVERAGE('Hoja 4 - Cálculo'!$I$25:$I$384)+AVERAGE('Hoja 4 - Cálculo'!$J$25:$J$384)+AVERAGE('Hoja 4 - Cálculo'!$K$25:$K$384),IF(D2000="Uso prioritario",'Hoja 4 - Cálculo'!I101+'Hoja 4 - Cálculo'!K101,'Hoja 4 - Cálculo'!I101+'Hoja 4 - Cálculo'!J101+'Hoja 4 - Cálculo'!K101)))</f>
        <v>11.5</v>
      </c>
      <c r="I2000" s="15">
        <f t="shared" si="451"/>
        <v>11.5</v>
      </c>
      <c r="J2000" s="15">
        <f t="shared" si="457"/>
        <v>15</v>
      </c>
      <c r="K2000" s="15">
        <f>MIN(J2000+G2000,(J2000+G2000)*'Hoja 4 - Cálculo'!$B$15)</f>
        <v>0.87069000000000007</v>
      </c>
      <c r="L2000" s="15">
        <f t="shared" si="452"/>
        <v>42.663809999999998</v>
      </c>
      <c r="M2000" s="15">
        <f t="shared" si="453"/>
        <v>11.5</v>
      </c>
      <c r="N2000" s="15">
        <f t="shared" si="454"/>
        <v>15</v>
      </c>
      <c r="O2000" s="15">
        <f t="shared" si="455"/>
        <v>16.163809999999998</v>
      </c>
      <c r="P2000" s="15">
        <f t="shared" si="456"/>
        <v>0</v>
      </c>
      <c r="Q2000" s="14" t="str">
        <f>IF(M2000&gt;=I2000*'Hoja 4 - Cálculo'!$B$16,"Satisfactorio","Falla")</f>
        <v>Satisfactorio</v>
      </c>
      <c r="R2000" s="14">
        <f t="shared" si="458"/>
        <v>0</v>
      </c>
      <c r="S2000" s="14">
        <f t="shared" si="459"/>
        <v>0</v>
      </c>
    </row>
    <row r="2001" spans="1:19">
      <c r="A2001" s="14" t="str">
        <f t="shared" si="450"/>
        <v>SRY-6-2</v>
      </c>
      <c r="B2001" s="15">
        <f>'Curvas SRY'!$B$13</f>
        <v>15</v>
      </c>
      <c r="C2001" s="15">
        <f>'Curvas SRY'!$E$9</f>
        <v>1</v>
      </c>
      <c r="D2001" s="14" t="str">
        <f>'Curvas SRY'!$B$14</f>
        <v>Uso variable</v>
      </c>
      <c r="E2001" s="14">
        <f>78</f>
        <v>78</v>
      </c>
      <c r="F2001" s="21">
        <f>'Hoja 4 - Cálculo'!A102</f>
        <v>31929</v>
      </c>
      <c r="G2001" s="15">
        <f>'Hoja 4 - Cálculo'!H102</f>
        <v>18.589500000000001</v>
      </c>
      <c r="H2001" s="15">
        <f>IF(D2001="Uso único",'Hoja 4 - Cálculo'!I102,IF(D2001="Uso múltiple",AVERAGE('Hoja 4 - Cálculo'!$I$25:$I$384)+AVERAGE('Hoja 4 - Cálculo'!$J$25:$J$384)+AVERAGE('Hoja 4 - Cálculo'!$K$25:$K$384),IF(D2001="Uso prioritario",'Hoja 4 - Cálculo'!I102+'Hoja 4 - Cálculo'!K102,'Hoja 4 - Cálculo'!I102+'Hoja 4 - Cálculo'!J102+'Hoja 4 - Cálculo'!K102)))</f>
        <v>11.5</v>
      </c>
      <c r="I2001" s="15">
        <f t="shared" si="451"/>
        <v>11.5</v>
      </c>
      <c r="J2001" s="15">
        <f t="shared" si="457"/>
        <v>15</v>
      </c>
      <c r="K2001" s="15">
        <f>MIN(J2001+G2001,(J2001+G2001)*'Hoja 4 - Cálculo'!$B$15)</f>
        <v>0.67179</v>
      </c>
      <c r="L2001" s="15">
        <f t="shared" si="452"/>
        <v>32.91771</v>
      </c>
      <c r="M2001" s="15">
        <f t="shared" si="453"/>
        <v>11.5</v>
      </c>
      <c r="N2001" s="15">
        <f t="shared" si="454"/>
        <v>15</v>
      </c>
      <c r="O2001" s="15">
        <f t="shared" si="455"/>
        <v>6.4177099999999996</v>
      </c>
      <c r="P2001" s="15">
        <f t="shared" si="456"/>
        <v>0</v>
      </c>
      <c r="Q2001" s="14" t="str">
        <f>IF(M2001&gt;=I2001*'Hoja 4 - Cálculo'!$B$16,"Satisfactorio","Falla")</f>
        <v>Satisfactorio</v>
      </c>
      <c r="R2001" s="14">
        <f t="shared" si="458"/>
        <v>0</v>
      </c>
      <c r="S2001" s="14">
        <f t="shared" si="459"/>
        <v>0</v>
      </c>
    </row>
    <row r="2002" spans="1:19">
      <c r="A2002" s="14" t="str">
        <f t="shared" si="450"/>
        <v>SRY-6-2</v>
      </c>
      <c r="B2002" s="15">
        <f>'Curvas SRY'!$B$13</f>
        <v>15</v>
      </c>
      <c r="C2002" s="15">
        <f>'Curvas SRY'!$E$9</f>
        <v>1</v>
      </c>
      <c r="D2002" s="14" t="str">
        <f>'Curvas SRY'!$B$14</f>
        <v>Uso variable</v>
      </c>
      <c r="E2002" s="14">
        <f>79</f>
        <v>79</v>
      </c>
      <c r="F2002" s="21">
        <f>'Hoja 4 - Cálculo'!A103</f>
        <v>31959</v>
      </c>
      <c r="G2002" s="15">
        <f>'Hoja 4 - Cálculo'!H103</f>
        <v>14.688000000000001</v>
      </c>
      <c r="H2002" s="15">
        <f>IF(D2002="Uso único",'Hoja 4 - Cálculo'!I103,IF(D2002="Uso múltiple",AVERAGE('Hoja 4 - Cálculo'!$I$25:$I$384)+AVERAGE('Hoja 4 - Cálculo'!$J$25:$J$384)+AVERAGE('Hoja 4 - Cálculo'!$K$25:$K$384),IF(D2002="Uso prioritario",'Hoja 4 - Cálculo'!I103+'Hoja 4 - Cálculo'!K103,'Hoja 4 - Cálculo'!I103+'Hoja 4 - Cálculo'!J103+'Hoja 4 - Cálculo'!K103)))</f>
        <v>16</v>
      </c>
      <c r="I2002" s="15">
        <f t="shared" si="451"/>
        <v>16</v>
      </c>
      <c r="J2002" s="15">
        <f t="shared" si="457"/>
        <v>15</v>
      </c>
      <c r="K2002" s="15">
        <f>MIN(J2002+G2002,(J2002+G2002)*'Hoja 4 - Cálculo'!$B$15)</f>
        <v>0.59376000000000007</v>
      </c>
      <c r="L2002" s="15">
        <f t="shared" si="452"/>
        <v>29.094240000000003</v>
      </c>
      <c r="M2002" s="15">
        <f t="shared" si="453"/>
        <v>16</v>
      </c>
      <c r="N2002" s="15">
        <f t="shared" si="454"/>
        <v>13.094240000000003</v>
      </c>
      <c r="O2002" s="15">
        <f t="shared" si="455"/>
        <v>0</v>
      </c>
      <c r="P2002" s="15">
        <f t="shared" si="456"/>
        <v>0</v>
      </c>
      <c r="Q2002" s="14" t="str">
        <f>IF(M2002&gt;=I2002*'Hoja 4 - Cálculo'!$B$16,"Satisfactorio","Falla")</f>
        <v>Satisfactorio</v>
      </c>
      <c r="R2002" s="14">
        <f t="shared" si="458"/>
        <v>0</v>
      </c>
      <c r="S2002" s="14">
        <f t="shared" si="459"/>
        <v>0</v>
      </c>
    </row>
    <row r="2003" spans="1:19">
      <c r="A2003" s="14" t="str">
        <f t="shared" si="450"/>
        <v>SRY-6-2</v>
      </c>
      <c r="B2003" s="15">
        <f>'Curvas SRY'!$B$13</f>
        <v>15</v>
      </c>
      <c r="C2003" s="15">
        <f>'Curvas SRY'!$E$9</f>
        <v>1</v>
      </c>
      <c r="D2003" s="14" t="str">
        <f>'Curvas SRY'!$B$14</f>
        <v>Uso variable</v>
      </c>
      <c r="E2003" s="14">
        <f>80</f>
        <v>80</v>
      </c>
      <c r="F2003" s="21">
        <f>'Hoja 4 - Cálculo'!A104</f>
        <v>31990</v>
      </c>
      <c r="G2003" s="15">
        <f>'Hoja 4 - Cálculo'!H104</f>
        <v>15.759</v>
      </c>
      <c r="H2003" s="15">
        <f>IF(D2003="Uso único",'Hoja 4 - Cálculo'!I104,IF(D2003="Uso múltiple",AVERAGE('Hoja 4 - Cálculo'!$I$25:$I$384)+AVERAGE('Hoja 4 - Cálculo'!$J$25:$J$384)+AVERAGE('Hoja 4 - Cálculo'!$K$25:$K$384),IF(D2003="Uso prioritario",'Hoja 4 - Cálculo'!I104+'Hoja 4 - Cálculo'!K104,'Hoja 4 - Cálculo'!I104+'Hoja 4 - Cálculo'!J104+'Hoja 4 - Cálculo'!K104)))</f>
        <v>16</v>
      </c>
      <c r="I2003" s="15">
        <f t="shared" si="451"/>
        <v>16</v>
      </c>
      <c r="J2003" s="15">
        <f t="shared" si="457"/>
        <v>13.094240000000003</v>
      </c>
      <c r="K2003" s="15">
        <f>MIN(J2003+G2003,(J2003+G2003)*'Hoja 4 - Cálculo'!$B$15)</f>
        <v>0.57706480000000004</v>
      </c>
      <c r="L2003" s="15">
        <f t="shared" si="452"/>
        <v>28.276175200000004</v>
      </c>
      <c r="M2003" s="15">
        <f t="shared" si="453"/>
        <v>16</v>
      </c>
      <c r="N2003" s="15">
        <f t="shared" si="454"/>
        <v>12.276175200000004</v>
      </c>
      <c r="O2003" s="15">
        <f t="shared" si="455"/>
        <v>0</v>
      </c>
      <c r="P2003" s="15">
        <f t="shared" si="456"/>
        <v>0</v>
      </c>
      <c r="Q2003" s="14" t="str">
        <f>IF(M2003&gt;=I2003*'Hoja 4 - Cálculo'!$B$16,"Satisfactorio","Falla")</f>
        <v>Satisfactorio</v>
      </c>
      <c r="R2003" s="14">
        <f t="shared" si="458"/>
        <v>0</v>
      </c>
      <c r="S2003" s="14">
        <f t="shared" si="459"/>
        <v>0</v>
      </c>
    </row>
    <row r="2004" spans="1:19">
      <c r="A2004" s="14" t="str">
        <f t="shared" si="450"/>
        <v>SRY-6-2</v>
      </c>
      <c r="B2004" s="15">
        <f>'Curvas SRY'!$B$13</f>
        <v>15</v>
      </c>
      <c r="C2004" s="15">
        <f>'Curvas SRY'!$E$9</f>
        <v>1</v>
      </c>
      <c r="D2004" s="14" t="str">
        <f>'Curvas SRY'!$B$14</f>
        <v>Uso variable</v>
      </c>
      <c r="E2004" s="14">
        <f>81</f>
        <v>81</v>
      </c>
      <c r="F2004" s="21">
        <f>'Hoja 4 - Cálculo'!A105</f>
        <v>32021</v>
      </c>
      <c r="G2004" s="15">
        <f>'Hoja 4 - Cálculo'!H105</f>
        <v>26.220375000000001</v>
      </c>
      <c r="H2004" s="15">
        <f>IF(D2004="Uso único",'Hoja 4 - Cálculo'!I105,IF(D2004="Uso múltiple",AVERAGE('Hoja 4 - Cálculo'!$I$25:$I$384)+AVERAGE('Hoja 4 - Cálculo'!$J$25:$J$384)+AVERAGE('Hoja 4 - Cálculo'!$K$25:$K$384),IF(D2004="Uso prioritario",'Hoja 4 - Cálculo'!I105+'Hoja 4 - Cálculo'!K105,'Hoja 4 - Cálculo'!I105+'Hoja 4 - Cálculo'!J105+'Hoja 4 - Cálculo'!K105)))</f>
        <v>11.5</v>
      </c>
      <c r="I2004" s="15">
        <f t="shared" si="451"/>
        <v>11.5</v>
      </c>
      <c r="J2004" s="15">
        <f t="shared" si="457"/>
        <v>12.276175200000004</v>
      </c>
      <c r="K2004" s="15">
        <f>MIN(J2004+G2004,(J2004+G2004)*'Hoja 4 - Cálculo'!$B$15)</f>
        <v>0.76993100400000003</v>
      </c>
      <c r="L2004" s="15">
        <f t="shared" si="452"/>
        <v>37.726619196000001</v>
      </c>
      <c r="M2004" s="15">
        <f t="shared" si="453"/>
        <v>11.5</v>
      </c>
      <c r="N2004" s="15">
        <f t="shared" si="454"/>
        <v>15</v>
      </c>
      <c r="O2004" s="15">
        <f t="shared" si="455"/>
        <v>11.226619196000001</v>
      </c>
      <c r="P2004" s="15">
        <f t="shared" si="456"/>
        <v>0</v>
      </c>
      <c r="Q2004" s="14" t="str">
        <f>IF(M2004&gt;=I2004*'Hoja 4 - Cálculo'!$B$16,"Satisfactorio","Falla")</f>
        <v>Satisfactorio</v>
      </c>
      <c r="R2004" s="14">
        <f t="shared" si="458"/>
        <v>0</v>
      </c>
      <c r="S2004" s="14">
        <f t="shared" si="459"/>
        <v>0</v>
      </c>
    </row>
    <row r="2005" spans="1:19">
      <c r="A2005" s="14" t="str">
        <f t="shared" si="450"/>
        <v>SRY-6-2</v>
      </c>
      <c r="B2005" s="15">
        <f>'Curvas SRY'!$B$13</f>
        <v>15</v>
      </c>
      <c r="C2005" s="15">
        <f>'Curvas SRY'!$E$9</f>
        <v>1</v>
      </c>
      <c r="D2005" s="14" t="str">
        <f>'Curvas SRY'!$B$14</f>
        <v>Uso variable</v>
      </c>
      <c r="E2005" s="14">
        <f>82</f>
        <v>82</v>
      </c>
      <c r="F2005" s="21">
        <f>'Hoja 4 - Cálculo'!A106</f>
        <v>32051</v>
      </c>
      <c r="G2005" s="15">
        <f>'Hoja 4 - Cálculo'!H106</f>
        <v>32.627249999999997</v>
      </c>
      <c r="H2005" s="15">
        <f>IF(D2005="Uso único",'Hoja 4 - Cálculo'!I106,IF(D2005="Uso múltiple",AVERAGE('Hoja 4 - Cálculo'!$I$25:$I$384)+AVERAGE('Hoja 4 - Cálculo'!$J$25:$J$384)+AVERAGE('Hoja 4 - Cálculo'!$K$25:$K$384),IF(D2005="Uso prioritario",'Hoja 4 - Cálculo'!I106+'Hoja 4 - Cálculo'!K106,'Hoja 4 - Cálculo'!I106+'Hoja 4 - Cálculo'!J106+'Hoja 4 - Cálculo'!K106)))</f>
        <v>11.5</v>
      </c>
      <c r="I2005" s="15">
        <f t="shared" si="451"/>
        <v>11.5</v>
      </c>
      <c r="J2005" s="15">
        <f t="shared" si="457"/>
        <v>15</v>
      </c>
      <c r="K2005" s="15">
        <f>MIN(J2005+G2005,(J2005+G2005)*'Hoja 4 - Cálculo'!$B$15)</f>
        <v>0.95254499999999998</v>
      </c>
      <c r="L2005" s="15">
        <f t="shared" si="452"/>
        <v>46.674704999999996</v>
      </c>
      <c r="M2005" s="15">
        <f t="shared" si="453"/>
        <v>11.5</v>
      </c>
      <c r="N2005" s="15">
        <f t="shared" si="454"/>
        <v>15</v>
      </c>
      <c r="O2005" s="15">
        <f t="shared" si="455"/>
        <v>20.174704999999996</v>
      </c>
      <c r="P2005" s="15">
        <f t="shared" si="456"/>
        <v>0</v>
      </c>
      <c r="Q2005" s="14" t="str">
        <f>IF(M2005&gt;=I2005*'Hoja 4 - Cálculo'!$B$16,"Satisfactorio","Falla")</f>
        <v>Satisfactorio</v>
      </c>
      <c r="R2005" s="14">
        <f t="shared" si="458"/>
        <v>0</v>
      </c>
      <c r="S2005" s="14">
        <f t="shared" si="459"/>
        <v>0</v>
      </c>
    </row>
    <row r="2006" spans="1:19">
      <c r="A2006" s="14" t="str">
        <f t="shared" si="450"/>
        <v>SRY-6-2</v>
      </c>
      <c r="B2006" s="15">
        <f>'Curvas SRY'!$B$13</f>
        <v>15</v>
      </c>
      <c r="C2006" s="15">
        <f>'Curvas SRY'!$E$9</f>
        <v>1</v>
      </c>
      <c r="D2006" s="14" t="str">
        <f>'Curvas SRY'!$B$14</f>
        <v>Uso variable</v>
      </c>
      <c r="E2006" s="14">
        <f>83</f>
        <v>83</v>
      </c>
      <c r="F2006" s="21">
        <f>'Hoja 4 - Cálculo'!A107</f>
        <v>32082</v>
      </c>
      <c r="G2006" s="15">
        <f>'Hoja 4 - Cálculo'!H107</f>
        <v>29.758500000000002</v>
      </c>
      <c r="H2006" s="15">
        <f>IF(D2006="Uso único",'Hoja 4 - Cálculo'!I107,IF(D2006="Uso múltiple",AVERAGE('Hoja 4 - Cálculo'!$I$25:$I$384)+AVERAGE('Hoja 4 - Cálculo'!$J$25:$J$384)+AVERAGE('Hoja 4 - Cálculo'!$K$25:$K$384),IF(D2006="Uso prioritario",'Hoja 4 - Cálculo'!I107+'Hoja 4 - Cálculo'!K107,'Hoja 4 - Cálculo'!I107+'Hoja 4 - Cálculo'!J107+'Hoja 4 - Cálculo'!K107)))</f>
        <v>11.5</v>
      </c>
      <c r="I2006" s="15">
        <f t="shared" si="451"/>
        <v>11.5</v>
      </c>
      <c r="J2006" s="15">
        <f t="shared" si="457"/>
        <v>15</v>
      </c>
      <c r="K2006" s="15">
        <f>MIN(J2006+G2006,(J2006+G2006)*'Hoja 4 - Cálculo'!$B$15)</f>
        <v>0.89517000000000002</v>
      </c>
      <c r="L2006" s="15">
        <f t="shared" si="452"/>
        <v>43.863329999999998</v>
      </c>
      <c r="M2006" s="15">
        <f t="shared" si="453"/>
        <v>11.5</v>
      </c>
      <c r="N2006" s="15">
        <f t="shared" si="454"/>
        <v>15</v>
      </c>
      <c r="O2006" s="15">
        <f t="shared" si="455"/>
        <v>17.363329999999998</v>
      </c>
      <c r="P2006" s="15">
        <f t="shared" si="456"/>
        <v>0</v>
      </c>
      <c r="Q2006" s="14" t="str">
        <f>IF(M2006&gt;=I2006*'Hoja 4 - Cálculo'!$B$16,"Satisfactorio","Falla")</f>
        <v>Satisfactorio</v>
      </c>
      <c r="R2006" s="14">
        <f t="shared" si="458"/>
        <v>0</v>
      </c>
      <c r="S2006" s="14">
        <f t="shared" si="459"/>
        <v>0</v>
      </c>
    </row>
    <row r="2007" spans="1:19">
      <c r="A2007" s="14" t="str">
        <f t="shared" si="450"/>
        <v>SRY-6-2</v>
      </c>
      <c r="B2007" s="15">
        <f>'Curvas SRY'!$B$13</f>
        <v>15</v>
      </c>
      <c r="C2007" s="15">
        <f>'Curvas SRY'!$E$9</f>
        <v>1</v>
      </c>
      <c r="D2007" s="14" t="str">
        <f>'Curvas SRY'!$B$14</f>
        <v>Uso variable</v>
      </c>
      <c r="E2007" s="14">
        <f>84</f>
        <v>84</v>
      </c>
      <c r="F2007" s="21">
        <f>'Hoja 4 - Cálculo'!A108</f>
        <v>32112</v>
      </c>
      <c r="G2007" s="15">
        <f>'Hoja 4 - Cálculo'!H108</f>
        <v>16.543125</v>
      </c>
      <c r="H2007" s="15">
        <f>IF(D2007="Uso único",'Hoja 4 - Cálculo'!I108,IF(D2007="Uso múltiple",AVERAGE('Hoja 4 - Cálculo'!$I$25:$I$384)+AVERAGE('Hoja 4 - Cálculo'!$J$25:$J$384)+AVERAGE('Hoja 4 - Cálculo'!$K$25:$K$384),IF(D2007="Uso prioritario",'Hoja 4 - Cálculo'!I108+'Hoja 4 - Cálculo'!K108,'Hoja 4 - Cálculo'!I108+'Hoja 4 - Cálculo'!J108+'Hoja 4 - Cálculo'!K108)))</f>
        <v>16</v>
      </c>
      <c r="I2007" s="15">
        <f t="shared" si="451"/>
        <v>16</v>
      </c>
      <c r="J2007" s="15">
        <f t="shared" si="457"/>
        <v>15</v>
      </c>
      <c r="K2007" s="15">
        <f>MIN(J2007+G2007,(J2007+G2007)*'Hoja 4 - Cálculo'!$B$15)</f>
        <v>0.63086249999999999</v>
      </c>
      <c r="L2007" s="15">
        <f t="shared" si="452"/>
        <v>30.912262500000001</v>
      </c>
      <c r="M2007" s="15">
        <f t="shared" si="453"/>
        <v>16</v>
      </c>
      <c r="N2007" s="15">
        <f t="shared" si="454"/>
        <v>14.912262500000001</v>
      </c>
      <c r="O2007" s="15">
        <f t="shared" si="455"/>
        <v>0</v>
      </c>
      <c r="P2007" s="15">
        <f t="shared" si="456"/>
        <v>0</v>
      </c>
      <c r="Q2007" s="14" t="str">
        <f>IF(M2007&gt;=I2007*'Hoja 4 - Cálculo'!$B$16,"Satisfactorio","Falla")</f>
        <v>Satisfactorio</v>
      </c>
      <c r="R2007" s="14">
        <f t="shared" si="458"/>
        <v>0</v>
      </c>
      <c r="S2007" s="14">
        <f t="shared" si="459"/>
        <v>0</v>
      </c>
    </row>
    <row r="2008" spans="1:19">
      <c r="A2008" s="14" t="str">
        <f t="shared" si="450"/>
        <v>SRY-6-2</v>
      </c>
      <c r="B2008" s="15">
        <f>'Curvas SRY'!$B$13</f>
        <v>15</v>
      </c>
      <c r="C2008" s="15">
        <f>'Curvas SRY'!$E$9</f>
        <v>1</v>
      </c>
      <c r="D2008" s="14" t="str">
        <f>'Curvas SRY'!$B$14</f>
        <v>Uso variable</v>
      </c>
      <c r="E2008" s="14">
        <f>85</f>
        <v>85</v>
      </c>
      <c r="F2008" s="21">
        <f>'Hoja 4 - Cálculo'!A109</f>
        <v>32143</v>
      </c>
      <c r="G2008" s="15">
        <f>'Hoja 4 - Cálculo'!H109</f>
        <v>13.291874999999999</v>
      </c>
      <c r="H2008" s="15">
        <f>IF(D2008="Uso único",'Hoja 4 - Cálculo'!I109,IF(D2008="Uso múltiple",AVERAGE('Hoja 4 - Cálculo'!$I$25:$I$384)+AVERAGE('Hoja 4 - Cálculo'!$J$25:$J$384)+AVERAGE('Hoja 4 - Cálculo'!$K$25:$K$384),IF(D2008="Uso prioritario",'Hoja 4 - Cálculo'!I109+'Hoja 4 - Cálculo'!K109,'Hoja 4 - Cálculo'!I109+'Hoja 4 - Cálculo'!J109+'Hoja 4 - Cálculo'!K109)))</f>
        <v>16</v>
      </c>
      <c r="I2008" s="15">
        <f t="shared" si="451"/>
        <v>16</v>
      </c>
      <c r="J2008" s="15">
        <f t="shared" si="457"/>
        <v>14.912262500000001</v>
      </c>
      <c r="K2008" s="15">
        <f>MIN(J2008+G2008,(J2008+G2008)*'Hoja 4 - Cálculo'!$B$15)</f>
        <v>0.56408275000000008</v>
      </c>
      <c r="L2008" s="15">
        <f t="shared" si="452"/>
        <v>27.640054750000001</v>
      </c>
      <c r="M2008" s="15">
        <f t="shared" si="453"/>
        <v>16</v>
      </c>
      <c r="N2008" s="15">
        <f t="shared" si="454"/>
        <v>11.640054750000001</v>
      </c>
      <c r="O2008" s="15">
        <f t="shared" si="455"/>
        <v>0</v>
      </c>
      <c r="P2008" s="15">
        <f t="shared" si="456"/>
        <v>0</v>
      </c>
      <c r="Q2008" s="14" t="str">
        <f>IF(M2008&gt;=I2008*'Hoja 4 - Cálculo'!$B$16,"Satisfactorio","Falla")</f>
        <v>Satisfactorio</v>
      </c>
      <c r="R2008" s="14">
        <f t="shared" si="458"/>
        <v>0</v>
      </c>
      <c r="S2008" s="14">
        <f t="shared" si="459"/>
        <v>0</v>
      </c>
    </row>
    <row r="2009" spans="1:19">
      <c r="A2009" s="14" t="str">
        <f t="shared" si="450"/>
        <v>SRY-6-2</v>
      </c>
      <c r="B2009" s="15">
        <f>'Curvas SRY'!$B$13</f>
        <v>15</v>
      </c>
      <c r="C2009" s="15">
        <f>'Curvas SRY'!$E$9</f>
        <v>1</v>
      </c>
      <c r="D2009" s="14" t="str">
        <f>'Curvas SRY'!$B$14</f>
        <v>Uso variable</v>
      </c>
      <c r="E2009" s="14">
        <f>86</f>
        <v>86</v>
      </c>
      <c r="F2009" s="21">
        <f>'Hoja 4 - Cálculo'!A110</f>
        <v>32174</v>
      </c>
      <c r="G2009" s="15">
        <f>'Hoja 4 - Cálculo'!H110</f>
        <v>14.19075</v>
      </c>
      <c r="H2009" s="15">
        <f>IF(D2009="Uso único",'Hoja 4 - Cálculo'!I110,IF(D2009="Uso múltiple",AVERAGE('Hoja 4 - Cálculo'!$I$25:$I$384)+AVERAGE('Hoja 4 - Cálculo'!$J$25:$J$384)+AVERAGE('Hoja 4 - Cálculo'!$K$25:$K$384),IF(D2009="Uso prioritario",'Hoja 4 - Cálculo'!I110+'Hoja 4 - Cálculo'!K110,'Hoja 4 - Cálculo'!I110+'Hoja 4 - Cálculo'!J110+'Hoja 4 - Cálculo'!K110)))</f>
        <v>16</v>
      </c>
      <c r="I2009" s="15">
        <f t="shared" si="451"/>
        <v>16</v>
      </c>
      <c r="J2009" s="15">
        <f t="shared" si="457"/>
        <v>11.640054750000001</v>
      </c>
      <c r="K2009" s="15">
        <f>MIN(J2009+G2009,(J2009+G2009)*'Hoja 4 - Cálculo'!$B$15)</f>
        <v>0.51661609499999994</v>
      </c>
      <c r="L2009" s="15">
        <f t="shared" si="452"/>
        <v>25.314188654999999</v>
      </c>
      <c r="M2009" s="15">
        <f t="shared" si="453"/>
        <v>16</v>
      </c>
      <c r="N2009" s="15">
        <f t="shared" si="454"/>
        <v>9.3141886549999988</v>
      </c>
      <c r="O2009" s="15">
        <f t="shared" si="455"/>
        <v>0</v>
      </c>
      <c r="P2009" s="15">
        <f t="shared" si="456"/>
        <v>0</v>
      </c>
      <c r="Q2009" s="14" t="str">
        <f>IF(M2009&gt;=I2009*'Hoja 4 - Cálculo'!$B$16,"Satisfactorio","Falla")</f>
        <v>Satisfactorio</v>
      </c>
      <c r="R2009" s="14">
        <f t="shared" si="458"/>
        <v>0</v>
      </c>
      <c r="S2009" s="14">
        <f t="shared" si="459"/>
        <v>0</v>
      </c>
    </row>
    <row r="2010" spans="1:19">
      <c r="A2010" s="14" t="str">
        <f t="shared" si="450"/>
        <v>SRY-6-2</v>
      </c>
      <c r="B2010" s="15">
        <f>'Curvas SRY'!$B$13</f>
        <v>15</v>
      </c>
      <c r="C2010" s="15">
        <f>'Curvas SRY'!$E$9</f>
        <v>1</v>
      </c>
      <c r="D2010" s="14" t="str">
        <f>'Curvas SRY'!$B$14</f>
        <v>Uso variable</v>
      </c>
      <c r="E2010" s="14">
        <f>87</f>
        <v>87</v>
      </c>
      <c r="F2010" s="21">
        <f>'Hoja 4 - Cálculo'!A111</f>
        <v>32203</v>
      </c>
      <c r="G2010" s="15">
        <f>'Hoja 4 - Cálculo'!H111</f>
        <v>22.338000000000001</v>
      </c>
      <c r="H2010" s="15">
        <f>IF(D2010="Uso único",'Hoja 4 - Cálculo'!I111,IF(D2010="Uso múltiple",AVERAGE('Hoja 4 - Cálculo'!$I$25:$I$384)+AVERAGE('Hoja 4 - Cálculo'!$J$25:$J$384)+AVERAGE('Hoja 4 - Cálculo'!$K$25:$K$384),IF(D2010="Uso prioritario",'Hoja 4 - Cálculo'!I111+'Hoja 4 - Cálculo'!K111,'Hoja 4 - Cálculo'!I111+'Hoja 4 - Cálculo'!J111+'Hoja 4 - Cálculo'!K111)))</f>
        <v>16</v>
      </c>
      <c r="I2010" s="15">
        <f t="shared" si="451"/>
        <v>16</v>
      </c>
      <c r="J2010" s="15">
        <f t="shared" si="457"/>
        <v>9.3141886549999988</v>
      </c>
      <c r="K2010" s="15">
        <f>MIN(J2010+G2010,(J2010+G2010)*'Hoja 4 - Cálculo'!$B$15)</f>
        <v>0.63304377310000004</v>
      </c>
      <c r="L2010" s="15">
        <f t="shared" si="452"/>
        <v>31.019144881900001</v>
      </c>
      <c r="M2010" s="15">
        <f t="shared" si="453"/>
        <v>16</v>
      </c>
      <c r="N2010" s="15">
        <f t="shared" si="454"/>
        <v>15</v>
      </c>
      <c r="O2010" s="15">
        <f t="shared" si="455"/>
        <v>1.9144881900000854E-2</v>
      </c>
      <c r="P2010" s="15">
        <f t="shared" si="456"/>
        <v>0</v>
      </c>
      <c r="Q2010" s="14" t="str">
        <f>IF(M2010&gt;=I2010*'Hoja 4 - Cálculo'!$B$16,"Satisfactorio","Falla")</f>
        <v>Satisfactorio</v>
      </c>
      <c r="R2010" s="14">
        <f t="shared" si="458"/>
        <v>0</v>
      </c>
      <c r="S2010" s="14">
        <f t="shared" si="459"/>
        <v>0</v>
      </c>
    </row>
    <row r="2011" spans="1:19">
      <c r="A2011" s="14" t="str">
        <f t="shared" si="450"/>
        <v>SRY-6-2</v>
      </c>
      <c r="B2011" s="15">
        <f>'Curvas SRY'!$B$13</f>
        <v>15</v>
      </c>
      <c r="C2011" s="15">
        <f>'Curvas SRY'!$E$9</f>
        <v>1</v>
      </c>
      <c r="D2011" s="14" t="str">
        <f>'Curvas SRY'!$B$14</f>
        <v>Uso variable</v>
      </c>
      <c r="E2011" s="14">
        <f>88</f>
        <v>88</v>
      </c>
      <c r="F2011" s="21">
        <f>'Hoja 4 - Cálculo'!A112</f>
        <v>32234</v>
      </c>
      <c r="G2011" s="15">
        <f>'Hoja 4 - Cálculo'!H112</f>
        <v>29.643750000000001</v>
      </c>
      <c r="H2011" s="15">
        <f>IF(D2011="Uso único",'Hoja 4 - Cálculo'!I112,IF(D2011="Uso múltiple",AVERAGE('Hoja 4 - Cálculo'!$I$25:$I$384)+AVERAGE('Hoja 4 - Cálculo'!$J$25:$J$384)+AVERAGE('Hoja 4 - Cálculo'!$K$25:$K$384),IF(D2011="Uso prioritario",'Hoja 4 - Cálculo'!I112+'Hoja 4 - Cálculo'!K112,'Hoja 4 - Cálculo'!I112+'Hoja 4 - Cálculo'!J112+'Hoja 4 - Cálculo'!K112)))</f>
        <v>11.5</v>
      </c>
      <c r="I2011" s="15">
        <f t="shared" si="451"/>
        <v>11.5</v>
      </c>
      <c r="J2011" s="15">
        <f t="shared" si="457"/>
        <v>15</v>
      </c>
      <c r="K2011" s="15">
        <f>MIN(J2011+G2011,(J2011+G2011)*'Hoja 4 - Cálculo'!$B$15)</f>
        <v>0.89287499999999997</v>
      </c>
      <c r="L2011" s="15">
        <f t="shared" si="452"/>
        <v>43.750875000000001</v>
      </c>
      <c r="M2011" s="15">
        <f t="shared" si="453"/>
        <v>11.5</v>
      </c>
      <c r="N2011" s="15">
        <f t="shared" si="454"/>
        <v>15</v>
      </c>
      <c r="O2011" s="15">
        <f t="shared" si="455"/>
        <v>17.250875000000001</v>
      </c>
      <c r="P2011" s="15">
        <f t="shared" si="456"/>
        <v>0</v>
      </c>
      <c r="Q2011" s="14" t="str">
        <f>IF(M2011&gt;=I2011*'Hoja 4 - Cálculo'!$B$16,"Satisfactorio","Falla")</f>
        <v>Satisfactorio</v>
      </c>
      <c r="R2011" s="14">
        <f t="shared" si="458"/>
        <v>0</v>
      </c>
      <c r="S2011" s="14">
        <f t="shared" si="459"/>
        <v>0</v>
      </c>
    </row>
    <row r="2012" spans="1:19">
      <c r="A2012" s="14" t="str">
        <f t="shared" si="450"/>
        <v>SRY-6-2</v>
      </c>
      <c r="B2012" s="15">
        <f>'Curvas SRY'!$B$13</f>
        <v>15</v>
      </c>
      <c r="C2012" s="15">
        <f>'Curvas SRY'!$E$9</f>
        <v>1</v>
      </c>
      <c r="D2012" s="14" t="str">
        <f>'Curvas SRY'!$B$14</f>
        <v>Uso variable</v>
      </c>
      <c r="E2012" s="14">
        <f>89</f>
        <v>89</v>
      </c>
      <c r="F2012" s="21">
        <f>'Hoja 4 - Cálculo'!A113</f>
        <v>32264</v>
      </c>
      <c r="G2012" s="15">
        <f>'Hoja 4 - Cálculo'!H113</f>
        <v>28.075500000000002</v>
      </c>
      <c r="H2012" s="15">
        <f>IF(D2012="Uso único",'Hoja 4 - Cálculo'!I113,IF(D2012="Uso múltiple",AVERAGE('Hoja 4 - Cálculo'!$I$25:$I$384)+AVERAGE('Hoja 4 - Cálculo'!$J$25:$J$384)+AVERAGE('Hoja 4 - Cálculo'!$K$25:$K$384),IF(D2012="Uso prioritario",'Hoja 4 - Cálculo'!I113+'Hoja 4 - Cálculo'!K113,'Hoja 4 - Cálculo'!I113+'Hoja 4 - Cálculo'!J113+'Hoja 4 - Cálculo'!K113)))</f>
        <v>11.5</v>
      </c>
      <c r="I2012" s="15">
        <f t="shared" si="451"/>
        <v>11.5</v>
      </c>
      <c r="J2012" s="15">
        <f t="shared" si="457"/>
        <v>15</v>
      </c>
      <c r="K2012" s="15">
        <f>MIN(J2012+G2012,(J2012+G2012)*'Hoja 4 - Cálculo'!$B$15)</f>
        <v>0.86151000000000011</v>
      </c>
      <c r="L2012" s="15">
        <f t="shared" si="452"/>
        <v>42.213990000000003</v>
      </c>
      <c r="M2012" s="15">
        <f t="shared" si="453"/>
        <v>11.5</v>
      </c>
      <c r="N2012" s="15">
        <f t="shared" si="454"/>
        <v>15</v>
      </c>
      <c r="O2012" s="15">
        <f t="shared" si="455"/>
        <v>15.713990000000003</v>
      </c>
      <c r="P2012" s="15">
        <f t="shared" si="456"/>
        <v>0</v>
      </c>
      <c r="Q2012" s="14" t="str">
        <f>IF(M2012&gt;=I2012*'Hoja 4 - Cálculo'!$B$16,"Satisfactorio","Falla")</f>
        <v>Satisfactorio</v>
      </c>
      <c r="R2012" s="14">
        <f t="shared" si="458"/>
        <v>0</v>
      </c>
      <c r="S2012" s="14">
        <f t="shared" si="459"/>
        <v>0</v>
      </c>
    </row>
    <row r="2013" spans="1:19">
      <c r="A2013" s="14" t="str">
        <f t="shared" si="450"/>
        <v>SRY-6-2</v>
      </c>
      <c r="B2013" s="15">
        <f>'Curvas SRY'!$B$13</f>
        <v>15</v>
      </c>
      <c r="C2013" s="15">
        <f>'Curvas SRY'!$E$9</f>
        <v>1</v>
      </c>
      <c r="D2013" s="14" t="str">
        <f>'Curvas SRY'!$B$14</f>
        <v>Uso variable</v>
      </c>
      <c r="E2013" s="14">
        <f>90</f>
        <v>90</v>
      </c>
      <c r="F2013" s="21">
        <f>'Hoja 4 - Cálculo'!A114</f>
        <v>32295</v>
      </c>
      <c r="G2013" s="15">
        <f>'Hoja 4 - Cálculo'!H114</f>
        <v>16.485749999999999</v>
      </c>
      <c r="H2013" s="15">
        <f>IF(D2013="Uso único",'Hoja 4 - Cálculo'!I114,IF(D2013="Uso múltiple",AVERAGE('Hoja 4 - Cálculo'!$I$25:$I$384)+AVERAGE('Hoja 4 - Cálculo'!$J$25:$J$384)+AVERAGE('Hoja 4 - Cálculo'!$K$25:$K$384),IF(D2013="Uso prioritario",'Hoja 4 - Cálculo'!I114+'Hoja 4 - Cálculo'!K114,'Hoja 4 - Cálculo'!I114+'Hoja 4 - Cálculo'!J114+'Hoja 4 - Cálculo'!K114)))</f>
        <v>11.5</v>
      </c>
      <c r="I2013" s="15">
        <f t="shared" si="451"/>
        <v>11.5</v>
      </c>
      <c r="J2013" s="15">
        <f t="shared" si="457"/>
        <v>15</v>
      </c>
      <c r="K2013" s="15">
        <f>MIN(J2013+G2013,(J2013+G2013)*'Hoja 4 - Cálculo'!$B$15)</f>
        <v>0.62971500000000002</v>
      </c>
      <c r="L2013" s="15">
        <f t="shared" si="452"/>
        <v>30.856034999999999</v>
      </c>
      <c r="M2013" s="15">
        <f t="shared" si="453"/>
        <v>11.5</v>
      </c>
      <c r="N2013" s="15">
        <f t="shared" si="454"/>
        <v>15</v>
      </c>
      <c r="O2013" s="15">
        <f t="shared" si="455"/>
        <v>4.3560349999999985</v>
      </c>
      <c r="P2013" s="15">
        <f t="shared" si="456"/>
        <v>0</v>
      </c>
      <c r="Q2013" s="14" t="str">
        <f>IF(M2013&gt;=I2013*'Hoja 4 - Cálculo'!$B$16,"Satisfactorio","Falla")</f>
        <v>Satisfactorio</v>
      </c>
      <c r="R2013" s="14">
        <f t="shared" si="458"/>
        <v>0</v>
      </c>
      <c r="S2013" s="14">
        <f t="shared" si="459"/>
        <v>0</v>
      </c>
    </row>
    <row r="2014" spans="1:19">
      <c r="A2014" s="14" t="str">
        <f t="shared" si="450"/>
        <v>SRY-6-2</v>
      </c>
      <c r="B2014" s="15">
        <f>'Curvas SRY'!$B$13</f>
        <v>15</v>
      </c>
      <c r="C2014" s="15">
        <f>'Curvas SRY'!$E$9</f>
        <v>1</v>
      </c>
      <c r="D2014" s="14" t="str">
        <f>'Curvas SRY'!$B$14</f>
        <v>Uso variable</v>
      </c>
      <c r="E2014" s="14">
        <f>91</f>
        <v>91</v>
      </c>
      <c r="F2014" s="21">
        <f>'Hoja 4 - Cálculo'!A115</f>
        <v>32325</v>
      </c>
      <c r="G2014" s="15">
        <f>'Hoja 4 - Cálculo'!H115</f>
        <v>13.827375</v>
      </c>
      <c r="H2014" s="15">
        <f>IF(D2014="Uso único",'Hoja 4 - Cálculo'!I115,IF(D2014="Uso múltiple",AVERAGE('Hoja 4 - Cálculo'!$I$25:$I$384)+AVERAGE('Hoja 4 - Cálculo'!$J$25:$J$384)+AVERAGE('Hoja 4 - Cálculo'!$K$25:$K$384),IF(D2014="Uso prioritario",'Hoja 4 - Cálculo'!I115+'Hoja 4 - Cálculo'!K115,'Hoja 4 - Cálculo'!I115+'Hoja 4 - Cálculo'!J115+'Hoja 4 - Cálculo'!K115)))</f>
        <v>16</v>
      </c>
      <c r="I2014" s="15">
        <f t="shared" si="451"/>
        <v>16</v>
      </c>
      <c r="J2014" s="15">
        <f t="shared" si="457"/>
        <v>15</v>
      </c>
      <c r="K2014" s="15">
        <f>MIN(J2014+G2014,(J2014+G2014)*'Hoja 4 - Cálculo'!$B$15)</f>
        <v>0.57654749999999999</v>
      </c>
      <c r="L2014" s="15">
        <f t="shared" si="452"/>
        <v>28.2508275</v>
      </c>
      <c r="M2014" s="15">
        <f t="shared" si="453"/>
        <v>16</v>
      </c>
      <c r="N2014" s="15">
        <f t="shared" si="454"/>
        <v>12.2508275</v>
      </c>
      <c r="O2014" s="15">
        <f t="shared" si="455"/>
        <v>0</v>
      </c>
      <c r="P2014" s="15">
        <f t="shared" si="456"/>
        <v>0</v>
      </c>
      <c r="Q2014" s="14" t="str">
        <f>IF(M2014&gt;=I2014*'Hoja 4 - Cálculo'!$B$16,"Satisfactorio","Falla")</f>
        <v>Satisfactorio</v>
      </c>
      <c r="R2014" s="14">
        <f t="shared" si="458"/>
        <v>0</v>
      </c>
      <c r="S2014" s="14">
        <f t="shared" si="459"/>
        <v>0</v>
      </c>
    </row>
    <row r="2015" spans="1:19">
      <c r="A2015" s="14" t="str">
        <f t="shared" si="450"/>
        <v>SRY-6-2</v>
      </c>
      <c r="B2015" s="15">
        <f>'Curvas SRY'!$B$13</f>
        <v>15</v>
      </c>
      <c r="C2015" s="15">
        <f>'Curvas SRY'!$E$9</f>
        <v>1</v>
      </c>
      <c r="D2015" s="14" t="str">
        <f>'Curvas SRY'!$B$14</f>
        <v>Uso variable</v>
      </c>
      <c r="E2015" s="14">
        <f>92</f>
        <v>92</v>
      </c>
      <c r="F2015" s="21">
        <f>'Hoja 4 - Cálculo'!A116</f>
        <v>32356</v>
      </c>
      <c r="G2015" s="15">
        <f>'Hoja 4 - Cálculo'!H116</f>
        <v>14.783625000000001</v>
      </c>
      <c r="H2015" s="15">
        <f>IF(D2015="Uso único",'Hoja 4 - Cálculo'!I116,IF(D2015="Uso múltiple",AVERAGE('Hoja 4 - Cálculo'!$I$25:$I$384)+AVERAGE('Hoja 4 - Cálculo'!$J$25:$J$384)+AVERAGE('Hoja 4 - Cálculo'!$K$25:$K$384),IF(D2015="Uso prioritario",'Hoja 4 - Cálculo'!I116+'Hoja 4 - Cálculo'!K116,'Hoja 4 - Cálculo'!I116+'Hoja 4 - Cálculo'!J116+'Hoja 4 - Cálculo'!K116)))</f>
        <v>16</v>
      </c>
      <c r="I2015" s="15">
        <f t="shared" si="451"/>
        <v>16</v>
      </c>
      <c r="J2015" s="15">
        <f t="shared" si="457"/>
        <v>12.2508275</v>
      </c>
      <c r="K2015" s="15">
        <f>MIN(J2015+G2015,(J2015+G2015)*'Hoja 4 - Cálculo'!$B$15)</f>
        <v>0.54068905</v>
      </c>
      <c r="L2015" s="15">
        <f t="shared" si="452"/>
        <v>26.493763449999999</v>
      </c>
      <c r="M2015" s="15">
        <f t="shared" si="453"/>
        <v>16</v>
      </c>
      <c r="N2015" s="15">
        <f t="shared" si="454"/>
        <v>10.493763449999999</v>
      </c>
      <c r="O2015" s="15">
        <f t="shared" si="455"/>
        <v>0</v>
      </c>
      <c r="P2015" s="15">
        <f t="shared" si="456"/>
        <v>0</v>
      </c>
      <c r="Q2015" s="14" t="str">
        <f>IF(M2015&gt;=I2015*'Hoja 4 - Cálculo'!$B$16,"Satisfactorio","Falla")</f>
        <v>Satisfactorio</v>
      </c>
      <c r="R2015" s="14">
        <f t="shared" si="458"/>
        <v>0</v>
      </c>
      <c r="S2015" s="14">
        <f t="shared" si="459"/>
        <v>0</v>
      </c>
    </row>
    <row r="2016" spans="1:19">
      <c r="A2016" s="14" t="str">
        <f t="shared" si="450"/>
        <v>SRY-6-2</v>
      </c>
      <c r="B2016" s="15">
        <f>'Curvas SRY'!$B$13</f>
        <v>15</v>
      </c>
      <c r="C2016" s="15">
        <f>'Curvas SRY'!$E$9</f>
        <v>1</v>
      </c>
      <c r="D2016" s="14" t="str">
        <f>'Curvas SRY'!$B$14</f>
        <v>Uso variable</v>
      </c>
      <c r="E2016" s="14">
        <f>93</f>
        <v>93</v>
      </c>
      <c r="F2016" s="21">
        <f>'Hoja 4 - Cálculo'!A117</f>
        <v>32387</v>
      </c>
      <c r="G2016" s="15">
        <f>'Hoja 4 - Cálculo'!H117</f>
        <v>23.3325</v>
      </c>
      <c r="H2016" s="15">
        <f>IF(D2016="Uso único",'Hoja 4 - Cálculo'!I117,IF(D2016="Uso múltiple",AVERAGE('Hoja 4 - Cálculo'!$I$25:$I$384)+AVERAGE('Hoja 4 - Cálculo'!$J$25:$J$384)+AVERAGE('Hoja 4 - Cálculo'!$K$25:$K$384),IF(D2016="Uso prioritario",'Hoja 4 - Cálculo'!I117+'Hoja 4 - Cálculo'!K117,'Hoja 4 - Cálculo'!I117+'Hoja 4 - Cálculo'!J117+'Hoja 4 - Cálculo'!K117)))</f>
        <v>11.5</v>
      </c>
      <c r="I2016" s="15">
        <f t="shared" si="451"/>
        <v>11.5</v>
      </c>
      <c r="J2016" s="15">
        <f t="shared" si="457"/>
        <v>10.493763449999999</v>
      </c>
      <c r="K2016" s="15">
        <f>MIN(J2016+G2016,(J2016+G2016)*'Hoja 4 - Cálculo'!$B$15)</f>
        <v>0.67652526899999998</v>
      </c>
      <c r="L2016" s="15">
        <f t="shared" si="452"/>
        <v>33.149738180999996</v>
      </c>
      <c r="M2016" s="15">
        <f t="shared" si="453"/>
        <v>11.5</v>
      </c>
      <c r="N2016" s="15">
        <f t="shared" si="454"/>
        <v>15</v>
      </c>
      <c r="O2016" s="15">
        <f t="shared" si="455"/>
        <v>6.6497381809999965</v>
      </c>
      <c r="P2016" s="15">
        <f t="shared" si="456"/>
        <v>0</v>
      </c>
      <c r="Q2016" s="14" t="str">
        <f>IF(M2016&gt;=I2016*'Hoja 4 - Cálculo'!$B$16,"Satisfactorio","Falla")</f>
        <v>Satisfactorio</v>
      </c>
      <c r="R2016" s="14">
        <f t="shared" si="458"/>
        <v>0</v>
      </c>
      <c r="S2016" s="14">
        <f t="shared" si="459"/>
        <v>0</v>
      </c>
    </row>
    <row r="2017" spans="1:19">
      <c r="A2017" s="14" t="str">
        <f t="shared" si="450"/>
        <v>SRY-6-2</v>
      </c>
      <c r="B2017" s="15">
        <f>'Curvas SRY'!$B$13</f>
        <v>15</v>
      </c>
      <c r="C2017" s="15">
        <f>'Curvas SRY'!$E$9</f>
        <v>1</v>
      </c>
      <c r="D2017" s="14" t="str">
        <f>'Curvas SRY'!$B$14</f>
        <v>Uso variable</v>
      </c>
      <c r="E2017" s="14">
        <f>94</f>
        <v>94</v>
      </c>
      <c r="F2017" s="21">
        <f>'Hoja 4 - Cálculo'!A118</f>
        <v>32417</v>
      </c>
      <c r="G2017" s="15">
        <f>'Hoja 4 - Cálculo'!H118</f>
        <v>32.015250000000002</v>
      </c>
      <c r="H2017" s="15">
        <f>IF(D2017="Uso único",'Hoja 4 - Cálculo'!I118,IF(D2017="Uso múltiple",AVERAGE('Hoja 4 - Cálculo'!$I$25:$I$384)+AVERAGE('Hoja 4 - Cálculo'!$J$25:$J$384)+AVERAGE('Hoja 4 - Cálculo'!$K$25:$K$384),IF(D2017="Uso prioritario",'Hoja 4 - Cálculo'!I118+'Hoja 4 - Cálculo'!K118,'Hoja 4 - Cálculo'!I118+'Hoja 4 - Cálculo'!J118+'Hoja 4 - Cálculo'!K118)))</f>
        <v>11.5</v>
      </c>
      <c r="I2017" s="15">
        <f t="shared" si="451"/>
        <v>11.5</v>
      </c>
      <c r="J2017" s="15">
        <f t="shared" si="457"/>
        <v>15</v>
      </c>
      <c r="K2017" s="15">
        <f>MIN(J2017+G2017,(J2017+G2017)*'Hoja 4 - Cálculo'!$B$15)</f>
        <v>0.94030500000000006</v>
      </c>
      <c r="L2017" s="15">
        <f t="shared" si="452"/>
        <v>46.074945</v>
      </c>
      <c r="M2017" s="15">
        <f t="shared" si="453"/>
        <v>11.5</v>
      </c>
      <c r="N2017" s="15">
        <f t="shared" si="454"/>
        <v>15</v>
      </c>
      <c r="O2017" s="15">
        <f t="shared" si="455"/>
        <v>19.574945</v>
      </c>
      <c r="P2017" s="15">
        <f t="shared" si="456"/>
        <v>0</v>
      </c>
      <c r="Q2017" s="14" t="str">
        <f>IF(M2017&gt;=I2017*'Hoja 4 - Cálculo'!$B$16,"Satisfactorio","Falla")</f>
        <v>Satisfactorio</v>
      </c>
      <c r="R2017" s="14">
        <f t="shared" si="458"/>
        <v>0</v>
      </c>
      <c r="S2017" s="14">
        <f t="shared" si="459"/>
        <v>0</v>
      </c>
    </row>
    <row r="2018" spans="1:19">
      <c r="A2018" s="14" t="str">
        <f t="shared" si="450"/>
        <v>SRY-6-2</v>
      </c>
      <c r="B2018" s="15">
        <f>'Curvas SRY'!$B$13</f>
        <v>15</v>
      </c>
      <c r="C2018" s="15">
        <f>'Curvas SRY'!$E$9</f>
        <v>1</v>
      </c>
      <c r="D2018" s="14" t="str">
        <f>'Curvas SRY'!$B$14</f>
        <v>Uso variable</v>
      </c>
      <c r="E2018" s="14">
        <f>95</f>
        <v>95</v>
      </c>
      <c r="F2018" s="21">
        <f>'Hoja 4 - Cálculo'!A119</f>
        <v>32448</v>
      </c>
      <c r="G2018" s="15">
        <f>'Hoja 4 - Cálculo'!H119</f>
        <v>25.876124999999998</v>
      </c>
      <c r="H2018" s="15">
        <f>IF(D2018="Uso único",'Hoja 4 - Cálculo'!I119,IF(D2018="Uso múltiple",AVERAGE('Hoja 4 - Cálculo'!$I$25:$I$384)+AVERAGE('Hoja 4 - Cálculo'!$J$25:$J$384)+AVERAGE('Hoja 4 - Cálculo'!$K$25:$K$384),IF(D2018="Uso prioritario",'Hoja 4 - Cálculo'!I119+'Hoja 4 - Cálculo'!K119,'Hoja 4 - Cálculo'!I119+'Hoja 4 - Cálculo'!J119+'Hoja 4 - Cálculo'!K119)))</f>
        <v>11.5</v>
      </c>
      <c r="I2018" s="15">
        <f t="shared" si="451"/>
        <v>11.5</v>
      </c>
      <c r="J2018" s="15">
        <f t="shared" si="457"/>
        <v>15</v>
      </c>
      <c r="K2018" s="15">
        <f>MIN(J2018+G2018,(J2018+G2018)*'Hoja 4 - Cálculo'!$B$15)</f>
        <v>0.81752250000000004</v>
      </c>
      <c r="L2018" s="15">
        <f t="shared" si="452"/>
        <v>40.058602499999999</v>
      </c>
      <c r="M2018" s="15">
        <f t="shared" si="453"/>
        <v>11.5</v>
      </c>
      <c r="N2018" s="15">
        <f t="shared" si="454"/>
        <v>15</v>
      </c>
      <c r="O2018" s="15">
        <f t="shared" si="455"/>
        <v>13.558602499999999</v>
      </c>
      <c r="P2018" s="15">
        <f t="shared" si="456"/>
        <v>0</v>
      </c>
      <c r="Q2018" s="14" t="str">
        <f>IF(M2018&gt;=I2018*'Hoja 4 - Cálculo'!$B$16,"Satisfactorio","Falla")</f>
        <v>Satisfactorio</v>
      </c>
      <c r="R2018" s="14">
        <f t="shared" si="458"/>
        <v>0</v>
      </c>
      <c r="S2018" s="14">
        <f t="shared" si="459"/>
        <v>0</v>
      </c>
    </row>
    <row r="2019" spans="1:19">
      <c r="A2019" s="14" t="str">
        <f t="shared" si="450"/>
        <v>SRY-6-2</v>
      </c>
      <c r="B2019" s="15">
        <f>'Curvas SRY'!$B$13</f>
        <v>15</v>
      </c>
      <c r="C2019" s="15">
        <f>'Curvas SRY'!$E$9</f>
        <v>1</v>
      </c>
      <c r="D2019" s="14" t="str">
        <f>'Curvas SRY'!$B$14</f>
        <v>Uso variable</v>
      </c>
      <c r="E2019" s="14">
        <f>96</f>
        <v>96</v>
      </c>
      <c r="F2019" s="21">
        <f>'Hoja 4 - Cálculo'!A120</f>
        <v>32478</v>
      </c>
      <c r="G2019" s="15">
        <f>'Hoja 4 - Cálculo'!H120</f>
        <v>16.218</v>
      </c>
      <c r="H2019" s="15">
        <f>IF(D2019="Uso único",'Hoja 4 - Cálculo'!I120,IF(D2019="Uso múltiple",AVERAGE('Hoja 4 - Cálculo'!$I$25:$I$384)+AVERAGE('Hoja 4 - Cálculo'!$J$25:$J$384)+AVERAGE('Hoja 4 - Cálculo'!$K$25:$K$384),IF(D2019="Uso prioritario",'Hoja 4 - Cálculo'!I120+'Hoja 4 - Cálculo'!K120,'Hoja 4 - Cálculo'!I120+'Hoja 4 - Cálculo'!J120+'Hoja 4 - Cálculo'!K120)))</f>
        <v>16</v>
      </c>
      <c r="I2019" s="15">
        <f t="shared" si="451"/>
        <v>16</v>
      </c>
      <c r="J2019" s="15">
        <f t="shared" si="457"/>
        <v>15</v>
      </c>
      <c r="K2019" s="15">
        <f>MIN(J2019+G2019,(J2019+G2019)*'Hoja 4 - Cálculo'!$B$15)</f>
        <v>0.62436000000000003</v>
      </c>
      <c r="L2019" s="15">
        <f t="shared" si="452"/>
        <v>30.593640000000001</v>
      </c>
      <c r="M2019" s="15">
        <f t="shared" si="453"/>
        <v>16</v>
      </c>
      <c r="N2019" s="15">
        <f t="shared" si="454"/>
        <v>14.593640000000001</v>
      </c>
      <c r="O2019" s="15">
        <f t="shared" si="455"/>
        <v>0</v>
      </c>
      <c r="P2019" s="15">
        <f t="shared" si="456"/>
        <v>0</v>
      </c>
      <c r="Q2019" s="14" t="str">
        <f>IF(M2019&gt;=I2019*'Hoja 4 - Cálculo'!$B$16,"Satisfactorio","Falla")</f>
        <v>Satisfactorio</v>
      </c>
      <c r="R2019" s="14">
        <f t="shared" si="458"/>
        <v>0</v>
      </c>
      <c r="S2019" s="14">
        <f t="shared" si="459"/>
        <v>0</v>
      </c>
    </row>
    <row r="2020" spans="1:19">
      <c r="A2020" s="14" t="str">
        <f t="shared" ref="A2020:A2043" si="460">"SRY-6-2"</f>
        <v>SRY-6-2</v>
      </c>
      <c r="B2020" s="15">
        <f>'Curvas SRY'!$B$13</f>
        <v>15</v>
      </c>
      <c r="C2020" s="15">
        <f>'Curvas SRY'!$E$9</f>
        <v>1</v>
      </c>
      <c r="D2020" s="14" t="str">
        <f>'Curvas SRY'!$B$14</f>
        <v>Uso variable</v>
      </c>
      <c r="E2020" s="14">
        <f>97</f>
        <v>97</v>
      </c>
      <c r="F2020" s="21">
        <f>'Hoja 4 - Cálculo'!A121</f>
        <v>32509</v>
      </c>
      <c r="G2020" s="15">
        <f>'Hoja 4 - Cálculo'!H121</f>
        <v>11.761875</v>
      </c>
      <c r="H2020" s="15">
        <f>IF(D2020="Uso único",'Hoja 4 - Cálculo'!I121,IF(D2020="Uso múltiple",AVERAGE('Hoja 4 - Cálculo'!$I$25:$I$384)+AVERAGE('Hoja 4 - Cálculo'!$J$25:$J$384)+AVERAGE('Hoja 4 - Cálculo'!$K$25:$K$384),IF(D2020="Uso prioritario",'Hoja 4 - Cálculo'!I121+'Hoja 4 - Cálculo'!K121,'Hoja 4 - Cálculo'!I121+'Hoja 4 - Cálculo'!J121+'Hoja 4 - Cálculo'!K121)))</f>
        <v>16</v>
      </c>
      <c r="I2020" s="15">
        <f t="shared" si="451"/>
        <v>16</v>
      </c>
      <c r="J2020" s="15">
        <f t="shared" si="457"/>
        <v>14.593640000000001</v>
      </c>
      <c r="K2020" s="15">
        <f>MIN(J2020+G2020,(J2020+G2020)*'Hoja 4 - Cálculo'!$B$15)</f>
        <v>0.52711030000000003</v>
      </c>
      <c r="L2020" s="15">
        <f t="shared" si="452"/>
        <v>25.8284047</v>
      </c>
      <c r="M2020" s="15">
        <f t="shared" si="453"/>
        <v>16</v>
      </c>
      <c r="N2020" s="15">
        <f t="shared" si="454"/>
        <v>9.8284047000000001</v>
      </c>
      <c r="O2020" s="15">
        <f t="shared" si="455"/>
        <v>0</v>
      </c>
      <c r="P2020" s="15">
        <f t="shared" si="456"/>
        <v>0</v>
      </c>
      <c r="Q2020" s="14" t="str">
        <f>IF(M2020&gt;=I2020*'Hoja 4 - Cálculo'!$B$16,"Satisfactorio","Falla")</f>
        <v>Satisfactorio</v>
      </c>
      <c r="R2020" s="14">
        <f t="shared" si="458"/>
        <v>0</v>
      </c>
      <c r="S2020" s="14">
        <f t="shared" si="459"/>
        <v>0</v>
      </c>
    </row>
    <row r="2021" spans="1:19">
      <c r="A2021" s="14" t="str">
        <f t="shared" si="460"/>
        <v>SRY-6-2</v>
      </c>
      <c r="B2021" s="15">
        <f>'Curvas SRY'!$B$13</f>
        <v>15</v>
      </c>
      <c r="C2021" s="15">
        <f>'Curvas SRY'!$E$9</f>
        <v>1</v>
      </c>
      <c r="D2021" s="14" t="str">
        <f>'Curvas SRY'!$B$14</f>
        <v>Uso variable</v>
      </c>
      <c r="E2021" s="14">
        <f>98</f>
        <v>98</v>
      </c>
      <c r="F2021" s="21">
        <f>'Hoja 4 - Cálculo'!A122</f>
        <v>32540</v>
      </c>
      <c r="G2021" s="15">
        <f>'Hoja 4 - Cálculo'!H122</f>
        <v>12.43125</v>
      </c>
      <c r="H2021" s="15">
        <f>IF(D2021="Uso único",'Hoja 4 - Cálculo'!I122,IF(D2021="Uso múltiple",AVERAGE('Hoja 4 - Cálculo'!$I$25:$I$384)+AVERAGE('Hoja 4 - Cálculo'!$J$25:$J$384)+AVERAGE('Hoja 4 - Cálculo'!$K$25:$K$384),IF(D2021="Uso prioritario",'Hoja 4 - Cálculo'!I122+'Hoja 4 - Cálculo'!K122,'Hoja 4 - Cálculo'!I122+'Hoja 4 - Cálculo'!J122+'Hoja 4 - Cálculo'!K122)))</f>
        <v>16</v>
      </c>
      <c r="I2021" s="15">
        <f t="shared" si="451"/>
        <v>16</v>
      </c>
      <c r="J2021" s="15">
        <f t="shared" ref="J2021:J2043" si="461">N2020</f>
        <v>9.8284047000000001</v>
      </c>
      <c r="K2021" s="15">
        <f>MIN(J2021+G2021,(J2021+G2021)*'Hoja 4 - Cálculo'!$B$15)</f>
        <v>0.44519309399999996</v>
      </c>
      <c r="L2021" s="15">
        <f t="shared" si="452"/>
        <v>21.814461605999998</v>
      </c>
      <c r="M2021" s="15">
        <f t="shared" si="453"/>
        <v>16</v>
      </c>
      <c r="N2021" s="15">
        <f t="shared" si="454"/>
        <v>5.8144616059999983</v>
      </c>
      <c r="O2021" s="15">
        <f t="shared" si="455"/>
        <v>0</v>
      </c>
      <c r="P2021" s="15">
        <f t="shared" si="456"/>
        <v>0</v>
      </c>
      <c r="Q2021" s="14" t="str">
        <f>IF(M2021&gt;=I2021*'Hoja 4 - Cálculo'!$B$16,"Satisfactorio","Falla")</f>
        <v>Satisfactorio</v>
      </c>
      <c r="R2021" s="14">
        <f t="shared" ref="R2021:R2052" si="462">IF(AND(Q2020="Falla",Q2021="Satisfactorio"),1,0)</f>
        <v>0</v>
      </c>
      <c r="S2021" s="14">
        <f t="shared" ref="S2021:S2043" si="463">IF(AND(Q2021="Falla",Q2020&lt;&gt;"Falla"),1,0)</f>
        <v>0</v>
      </c>
    </row>
    <row r="2022" spans="1:19">
      <c r="A2022" s="14" t="str">
        <f t="shared" si="460"/>
        <v>SRY-6-2</v>
      </c>
      <c r="B2022" s="15">
        <f>'Curvas SRY'!$B$13</f>
        <v>15</v>
      </c>
      <c r="C2022" s="15">
        <f>'Curvas SRY'!$E$9</f>
        <v>1</v>
      </c>
      <c r="D2022" s="14" t="str">
        <f>'Curvas SRY'!$B$14</f>
        <v>Uso variable</v>
      </c>
      <c r="E2022" s="14">
        <f>99</f>
        <v>99</v>
      </c>
      <c r="F2022" s="21">
        <f>'Hoja 4 - Cálculo'!A123</f>
        <v>32568</v>
      </c>
      <c r="G2022" s="15">
        <f>'Hoja 4 - Cálculo'!H123</f>
        <v>19.717874999999999</v>
      </c>
      <c r="H2022" s="15">
        <f>IF(D2022="Uso único",'Hoja 4 - Cálculo'!I123,IF(D2022="Uso múltiple",AVERAGE('Hoja 4 - Cálculo'!$I$25:$I$384)+AVERAGE('Hoja 4 - Cálculo'!$J$25:$J$384)+AVERAGE('Hoja 4 - Cálculo'!$K$25:$K$384),IF(D2022="Uso prioritario",'Hoja 4 - Cálculo'!I123+'Hoja 4 - Cálculo'!K123,'Hoja 4 - Cálculo'!I123+'Hoja 4 - Cálculo'!J123+'Hoja 4 - Cálculo'!K123)))</f>
        <v>16</v>
      </c>
      <c r="I2022" s="15">
        <f t="shared" si="451"/>
        <v>16</v>
      </c>
      <c r="J2022" s="15">
        <f t="shared" si="461"/>
        <v>5.8144616059999983</v>
      </c>
      <c r="K2022" s="15">
        <f>MIN(J2022+G2022,(J2022+G2022)*'Hoja 4 - Cálculo'!$B$15)</f>
        <v>0.51064673212</v>
      </c>
      <c r="L2022" s="15">
        <f t="shared" si="452"/>
        <v>25.021689873879996</v>
      </c>
      <c r="M2022" s="15">
        <f t="shared" si="453"/>
        <v>16</v>
      </c>
      <c r="N2022" s="15">
        <f t="shared" si="454"/>
        <v>9.0216898738799962</v>
      </c>
      <c r="O2022" s="15">
        <f t="shared" si="455"/>
        <v>0</v>
      </c>
      <c r="P2022" s="15">
        <f t="shared" si="456"/>
        <v>0</v>
      </c>
      <c r="Q2022" s="14" t="str">
        <f>IF(M2022&gt;=I2022*'Hoja 4 - Cálculo'!$B$16,"Satisfactorio","Falla")</f>
        <v>Satisfactorio</v>
      </c>
      <c r="R2022" s="14">
        <f t="shared" si="462"/>
        <v>0</v>
      </c>
      <c r="S2022" s="14">
        <f t="shared" si="463"/>
        <v>0</v>
      </c>
    </row>
    <row r="2023" spans="1:19">
      <c r="A2023" s="14" t="str">
        <f t="shared" si="460"/>
        <v>SRY-6-2</v>
      </c>
      <c r="B2023" s="15">
        <f>'Curvas SRY'!$B$13</f>
        <v>15</v>
      </c>
      <c r="C2023" s="15">
        <f>'Curvas SRY'!$E$9</f>
        <v>1</v>
      </c>
      <c r="D2023" s="14" t="str">
        <f>'Curvas SRY'!$B$14</f>
        <v>Uso variable</v>
      </c>
      <c r="E2023" s="14">
        <f>100</f>
        <v>100</v>
      </c>
      <c r="F2023" s="21">
        <f>'Hoja 4 - Cálculo'!A124</f>
        <v>32599</v>
      </c>
      <c r="G2023" s="15">
        <f>'Hoja 4 - Cálculo'!H124</f>
        <v>26.029125000000001</v>
      </c>
      <c r="H2023" s="15">
        <f>IF(D2023="Uso único",'Hoja 4 - Cálculo'!I124,IF(D2023="Uso múltiple",AVERAGE('Hoja 4 - Cálculo'!$I$25:$I$384)+AVERAGE('Hoja 4 - Cálculo'!$J$25:$J$384)+AVERAGE('Hoja 4 - Cálculo'!$K$25:$K$384),IF(D2023="Uso prioritario",'Hoja 4 - Cálculo'!I124+'Hoja 4 - Cálculo'!K124,'Hoja 4 - Cálculo'!I124+'Hoja 4 - Cálculo'!J124+'Hoja 4 - Cálculo'!K124)))</f>
        <v>11.5</v>
      </c>
      <c r="I2023" s="15">
        <f t="shared" si="451"/>
        <v>11.5</v>
      </c>
      <c r="J2023" s="15">
        <f t="shared" si="461"/>
        <v>9.0216898738799962</v>
      </c>
      <c r="K2023" s="15">
        <f>MIN(J2023+G2023,(J2023+G2023)*'Hoja 4 - Cálculo'!$B$15)</f>
        <v>0.70101629747759997</v>
      </c>
      <c r="L2023" s="15">
        <f t="shared" si="452"/>
        <v>34.349798576402399</v>
      </c>
      <c r="M2023" s="15">
        <f t="shared" si="453"/>
        <v>11.5</v>
      </c>
      <c r="N2023" s="15">
        <f t="shared" si="454"/>
        <v>15</v>
      </c>
      <c r="O2023" s="15">
        <f t="shared" si="455"/>
        <v>7.8497985764023994</v>
      </c>
      <c r="P2023" s="15">
        <f t="shared" si="456"/>
        <v>0</v>
      </c>
      <c r="Q2023" s="14" t="str">
        <f>IF(M2023&gt;=I2023*'Hoja 4 - Cálculo'!$B$16,"Satisfactorio","Falla")</f>
        <v>Satisfactorio</v>
      </c>
      <c r="R2023" s="14">
        <f t="shared" si="462"/>
        <v>0</v>
      </c>
      <c r="S2023" s="14">
        <f t="shared" si="463"/>
        <v>0</v>
      </c>
    </row>
    <row r="2024" spans="1:19">
      <c r="A2024" s="14" t="str">
        <f t="shared" si="460"/>
        <v>SRY-6-2</v>
      </c>
      <c r="B2024" s="15">
        <f>'Curvas SRY'!$B$13</f>
        <v>15</v>
      </c>
      <c r="C2024" s="15">
        <f>'Curvas SRY'!$E$9</f>
        <v>1</v>
      </c>
      <c r="D2024" s="14" t="str">
        <f>'Curvas SRY'!$B$14</f>
        <v>Uso variable</v>
      </c>
      <c r="E2024" s="14">
        <f>101</f>
        <v>101</v>
      </c>
      <c r="F2024" s="21">
        <f>'Hoja 4 - Cálculo'!A125</f>
        <v>32629</v>
      </c>
      <c r="G2024" s="15">
        <f>'Hoja 4 - Cálculo'!H125</f>
        <v>24.728625000000005</v>
      </c>
      <c r="H2024" s="15">
        <f>IF(D2024="Uso único",'Hoja 4 - Cálculo'!I125,IF(D2024="Uso múltiple",AVERAGE('Hoja 4 - Cálculo'!$I$25:$I$384)+AVERAGE('Hoja 4 - Cálculo'!$J$25:$J$384)+AVERAGE('Hoja 4 - Cálculo'!$K$25:$K$384),IF(D2024="Uso prioritario",'Hoja 4 - Cálculo'!I125+'Hoja 4 - Cálculo'!K125,'Hoja 4 - Cálculo'!I125+'Hoja 4 - Cálculo'!J125+'Hoja 4 - Cálculo'!K125)))</f>
        <v>11.5</v>
      </c>
      <c r="I2024" s="15">
        <f t="shared" si="451"/>
        <v>11.5</v>
      </c>
      <c r="J2024" s="15">
        <f t="shared" si="461"/>
        <v>15</v>
      </c>
      <c r="K2024" s="15">
        <f>MIN(J2024+G2024,(J2024+G2024)*'Hoja 4 - Cálculo'!$B$15)</f>
        <v>0.79457250000000013</v>
      </c>
      <c r="L2024" s="15">
        <f t="shared" si="452"/>
        <v>38.934052500000007</v>
      </c>
      <c r="M2024" s="15">
        <f t="shared" si="453"/>
        <v>11.5</v>
      </c>
      <c r="N2024" s="15">
        <f t="shared" si="454"/>
        <v>15</v>
      </c>
      <c r="O2024" s="15">
        <f t="shared" si="455"/>
        <v>12.434052500000007</v>
      </c>
      <c r="P2024" s="15">
        <f t="shared" si="456"/>
        <v>0</v>
      </c>
      <c r="Q2024" s="14" t="str">
        <f>IF(M2024&gt;=I2024*'Hoja 4 - Cálculo'!$B$16,"Satisfactorio","Falla")</f>
        <v>Satisfactorio</v>
      </c>
      <c r="R2024" s="14">
        <f t="shared" si="462"/>
        <v>0</v>
      </c>
      <c r="S2024" s="14">
        <f t="shared" si="463"/>
        <v>0</v>
      </c>
    </row>
    <row r="2025" spans="1:19">
      <c r="A2025" s="14" t="str">
        <f t="shared" si="460"/>
        <v>SRY-6-2</v>
      </c>
      <c r="B2025" s="15">
        <f>'Curvas SRY'!$B$13</f>
        <v>15</v>
      </c>
      <c r="C2025" s="15">
        <f>'Curvas SRY'!$E$9</f>
        <v>1</v>
      </c>
      <c r="D2025" s="14" t="str">
        <f>'Curvas SRY'!$B$14</f>
        <v>Uso variable</v>
      </c>
      <c r="E2025" s="14">
        <f>102</f>
        <v>102</v>
      </c>
      <c r="F2025" s="21">
        <f>'Hoja 4 - Cálculo'!A126</f>
        <v>32660</v>
      </c>
      <c r="G2025" s="15">
        <f>'Hoja 4 - Cálculo'!H126</f>
        <v>14.515874999999999</v>
      </c>
      <c r="H2025" s="15">
        <f>IF(D2025="Uso único",'Hoja 4 - Cálculo'!I126,IF(D2025="Uso múltiple",AVERAGE('Hoja 4 - Cálculo'!$I$25:$I$384)+AVERAGE('Hoja 4 - Cálculo'!$J$25:$J$384)+AVERAGE('Hoja 4 - Cálculo'!$K$25:$K$384),IF(D2025="Uso prioritario",'Hoja 4 - Cálculo'!I126+'Hoja 4 - Cálculo'!K126,'Hoja 4 - Cálculo'!I126+'Hoja 4 - Cálculo'!J126+'Hoja 4 - Cálculo'!K126)))</f>
        <v>11.5</v>
      </c>
      <c r="I2025" s="15">
        <f t="shared" si="451"/>
        <v>11.5</v>
      </c>
      <c r="J2025" s="15">
        <f t="shared" si="461"/>
        <v>15</v>
      </c>
      <c r="K2025" s="15">
        <f>MIN(J2025+G2025,(J2025+G2025)*'Hoja 4 - Cálculo'!$B$15)</f>
        <v>0.59031750000000005</v>
      </c>
      <c r="L2025" s="15">
        <f t="shared" si="452"/>
        <v>28.9255575</v>
      </c>
      <c r="M2025" s="15">
        <f t="shared" si="453"/>
        <v>11.5</v>
      </c>
      <c r="N2025" s="15">
        <f t="shared" si="454"/>
        <v>15</v>
      </c>
      <c r="O2025" s="15">
        <f t="shared" si="455"/>
        <v>2.4255575</v>
      </c>
      <c r="P2025" s="15">
        <f t="shared" si="456"/>
        <v>0</v>
      </c>
      <c r="Q2025" s="14" t="str">
        <f>IF(M2025&gt;=I2025*'Hoja 4 - Cálculo'!$B$16,"Satisfactorio","Falla")</f>
        <v>Satisfactorio</v>
      </c>
      <c r="R2025" s="14">
        <f t="shared" si="462"/>
        <v>0</v>
      </c>
      <c r="S2025" s="14">
        <f t="shared" si="463"/>
        <v>0</v>
      </c>
    </row>
    <row r="2026" spans="1:19">
      <c r="A2026" s="14" t="str">
        <f t="shared" si="460"/>
        <v>SRY-6-2</v>
      </c>
      <c r="B2026" s="15">
        <f>'Curvas SRY'!$B$13</f>
        <v>15</v>
      </c>
      <c r="C2026" s="15">
        <f>'Curvas SRY'!$E$9</f>
        <v>1</v>
      </c>
      <c r="D2026" s="14" t="str">
        <f>'Curvas SRY'!$B$14</f>
        <v>Uso variable</v>
      </c>
      <c r="E2026" s="14">
        <f>103</f>
        <v>103</v>
      </c>
      <c r="F2026" s="21">
        <f>'Hoja 4 - Cálculo'!A127</f>
        <v>32690</v>
      </c>
      <c r="G2026" s="15">
        <f>'Hoja 4 - Cálculo'!H127</f>
        <v>12.144375</v>
      </c>
      <c r="H2026" s="15">
        <f>IF(D2026="Uso único",'Hoja 4 - Cálculo'!I127,IF(D2026="Uso múltiple",AVERAGE('Hoja 4 - Cálculo'!$I$25:$I$384)+AVERAGE('Hoja 4 - Cálculo'!$J$25:$J$384)+AVERAGE('Hoja 4 - Cálculo'!$K$25:$K$384),IF(D2026="Uso prioritario",'Hoja 4 - Cálculo'!I127+'Hoja 4 - Cálculo'!K127,'Hoja 4 - Cálculo'!I127+'Hoja 4 - Cálculo'!J127+'Hoja 4 - Cálculo'!K127)))</f>
        <v>16</v>
      </c>
      <c r="I2026" s="15">
        <f t="shared" si="451"/>
        <v>16</v>
      </c>
      <c r="J2026" s="15">
        <f t="shared" si="461"/>
        <v>15</v>
      </c>
      <c r="K2026" s="15">
        <f>MIN(J2026+G2026,(J2026+G2026)*'Hoja 4 - Cálculo'!$B$15)</f>
        <v>0.54288749999999997</v>
      </c>
      <c r="L2026" s="15">
        <f t="shared" si="452"/>
        <v>26.601487500000001</v>
      </c>
      <c r="M2026" s="15">
        <f t="shared" si="453"/>
        <v>16</v>
      </c>
      <c r="N2026" s="15">
        <f t="shared" si="454"/>
        <v>10.601487500000001</v>
      </c>
      <c r="O2026" s="15">
        <f t="shared" si="455"/>
        <v>0</v>
      </c>
      <c r="P2026" s="15">
        <f t="shared" si="456"/>
        <v>0</v>
      </c>
      <c r="Q2026" s="14" t="str">
        <f>IF(M2026&gt;=I2026*'Hoja 4 - Cálculo'!$B$16,"Satisfactorio","Falla")</f>
        <v>Satisfactorio</v>
      </c>
      <c r="R2026" s="14">
        <f t="shared" si="462"/>
        <v>0</v>
      </c>
      <c r="S2026" s="14">
        <f t="shared" si="463"/>
        <v>0</v>
      </c>
    </row>
    <row r="2027" spans="1:19">
      <c r="A2027" s="14" t="str">
        <f t="shared" si="460"/>
        <v>SRY-6-2</v>
      </c>
      <c r="B2027" s="15">
        <f>'Curvas SRY'!$B$13</f>
        <v>15</v>
      </c>
      <c r="C2027" s="15">
        <f>'Curvas SRY'!$E$9</f>
        <v>1</v>
      </c>
      <c r="D2027" s="14" t="str">
        <f>'Curvas SRY'!$B$14</f>
        <v>Uso variable</v>
      </c>
      <c r="E2027" s="14">
        <f>104</f>
        <v>104</v>
      </c>
      <c r="F2027" s="21">
        <f>'Hoja 4 - Cálculo'!A128</f>
        <v>32721</v>
      </c>
      <c r="G2027" s="15">
        <f>'Hoja 4 - Cálculo'!H128</f>
        <v>13.04325</v>
      </c>
      <c r="H2027" s="15">
        <f>IF(D2027="Uso único",'Hoja 4 - Cálculo'!I128,IF(D2027="Uso múltiple",AVERAGE('Hoja 4 - Cálculo'!$I$25:$I$384)+AVERAGE('Hoja 4 - Cálculo'!$J$25:$J$384)+AVERAGE('Hoja 4 - Cálculo'!$K$25:$K$384),IF(D2027="Uso prioritario",'Hoja 4 - Cálculo'!I128+'Hoja 4 - Cálculo'!K128,'Hoja 4 - Cálculo'!I128+'Hoja 4 - Cálculo'!J128+'Hoja 4 - Cálculo'!K128)))</f>
        <v>16</v>
      </c>
      <c r="I2027" s="15">
        <f t="shared" si="451"/>
        <v>16</v>
      </c>
      <c r="J2027" s="15">
        <f t="shared" si="461"/>
        <v>10.601487500000001</v>
      </c>
      <c r="K2027" s="15">
        <f>MIN(J2027+G2027,(J2027+G2027)*'Hoja 4 - Cálculo'!$B$15)</f>
        <v>0.47289475000000003</v>
      </c>
      <c r="L2027" s="15">
        <f t="shared" si="452"/>
        <v>23.171842750000003</v>
      </c>
      <c r="M2027" s="15">
        <f t="shared" si="453"/>
        <v>16</v>
      </c>
      <c r="N2027" s="15">
        <f t="shared" si="454"/>
        <v>7.1718427500000033</v>
      </c>
      <c r="O2027" s="15">
        <f t="shared" si="455"/>
        <v>0</v>
      </c>
      <c r="P2027" s="15">
        <f t="shared" si="456"/>
        <v>0</v>
      </c>
      <c r="Q2027" s="14" t="str">
        <f>IF(M2027&gt;=I2027*'Hoja 4 - Cálculo'!$B$16,"Satisfactorio","Falla")</f>
        <v>Satisfactorio</v>
      </c>
      <c r="R2027" s="14">
        <f t="shared" si="462"/>
        <v>0</v>
      </c>
      <c r="S2027" s="14">
        <f t="shared" si="463"/>
        <v>0</v>
      </c>
    </row>
    <row r="2028" spans="1:19">
      <c r="A2028" s="14" t="str">
        <f t="shared" si="460"/>
        <v>SRY-6-2</v>
      </c>
      <c r="B2028" s="15">
        <f>'Curvas SRY'!$B$13</f>
        <v>15</v>
      </c>
      <c r="C2028" s="15">
        <f>'Curvas SRY'!$E$9</f>
        <v>1</v>
      </c>
      <c r="D2028" s="14" t="str">
        <f>'Curvas SRY'!$B$14</f>
        <v>Uso variable</v>
      </c>
      <c r="E2028" s="14">
        <f>105</f>
        <v>105</v>
      </c>
      <c r="F2028" s="21">
        <f>'Hoja 4 - Cálculo'!A129</f>
        <v>32752</v>
      </c>
      <c r="G2028" s="15">
        <f>'Hoja 4 - Cálculo'!H129</f>
        <v>20.444624999999998</v>
      </c>
      <c r="H2028" s="15">
        <f>IF(D2028="Uso único",'Hoja 4 - Cálculo'!I129,IF(D2028="Uso múltiple",AVERAGE('Hoja 4 - Cálculo'!$I$25:$I$384)+AVERAGE('Hoja 4 - Cálculo'!$J$25:$J$384)+AVERAGE('Hoja 4 - Cálculo'!$K$25:$K$384),IF(D2028="Uso prioritario",'Hoja 4 - Cálculo'!I129+'Hoja 4 - Cálculo'!K129,'Hoja 4 - Cálculo'!I129+'Hoja 4 - Cálculo'!J129+'Hoja 4 - Cálculo'!K129)))</f>
        <v>11.5</v>
      </c>
      <c r="I2028" s="15">
        <f t="shared" si="451"/>
        <v>11.5</v>
      </c>
      <c r="J2028" s="15">
        <f t="shared" si="461"/>
        <v>7.1718427500000033</v>
      </c>
      <c r="K2028" s="15">
        <f>MIN(J2028+G2028,(J2028+G2028)*'Hoja 4 - Cálculo'!$B$15)</f>
        <v>0.55232935500000002</v>
      </c>
      <c r="L2028" s="15">
        <f t="shared" si="452"/>
        <v>27.064138395000001</v>
      </c>
      <c r="M2028" s="15">
        <f t="shared" si="453"/>
        <v>11.5</v>
      </c>
      <c r="N2028" s="15">
        <f t="shared" si="454"/>
        <v>15</v>
      </c>
      <c r="O2028" s="15">
        <f t="shared" si="455"/>
        <v>0.56413839500000051</v>
      </c>
      <c r="P2028" s="15">
        <f t="shared" si="456"/>
        <v>0</v>
      </c>
      <c r="Q2028" s="14" t="str">
        <f>IF(M2028&gt;=I2028*'Hoja 4 - Cálculo'!$B$16,"Satisfactorio","Falla")</f>
        <v>Satisfactorio</v>
      </c>
      <c r="R2028" s="14">
        <f t="shared" si="462"/>
        <v>0</v>
      </c>
      <c r="S2028" s="14">
        <f t="shared" si="463"/>
        <v>0</v>
      </c>
    </row>
    <row r="2029" spans="1:19">
      <c r="A2029" s="14" t="str">
        <f t="shared" si="460"/>
        <v>SRY-6-2</v>
      </c>
      <c r="B2029" s="15">
        <f>'Curvas SRY'!$B$13</f>
        <v>15</v>
      </c>
      <c r="C2029" s="15">
        <f>'Curvas SRY'!$E$9</f>
        <v>1</v>
      </c>
      <c r="D2029" s="14" t="str">
        <f>'Curvas SRY'!$B$14</f>
        <v>Uso variable</v>
      </c>
      <c r="E2029" s="14">
        <f>106</f>
        <v>106</v>
      </c>
      <c r="F2029" s="21">
        <f>'Hoja 4 - Cálculo'!A130</f>
        <v>32782</v>
      </c>
      <c r="G2029" s="15">
        <f>'Hoja 4 - Cálculo'!H130</f>
        <v>28.343250000000001</v>
      </c>
      <c r="H2029" s="15">
        <f>IF(D2029="Uso único",'Hoja 4 - Cálculo'!I130,IF(D2029="Uso múltiple",AVERAGE('Hoja 4 - Cálculo'!$I$25:$I$384)+AVERAGE('Hoja 4 - Cálculo'!$J$25:$J$384)+AVERAGE('Hoja 4 - Cálculo'!$K$25:$K$384),IF(D2029="Uso prioritario",'Hoja 4 - Cálculo'!I130+'Hoja 4 - Cálculo'!K130,'Hoja 4 - Cálculo'!I130+'Hoja 4 - Cálculo'!J130+'Hoja 4 - Cálculo'!K130)))</f>
        <v>11.5</v>
      </c>
      <c r="I2029" s="15">
        <f t="shared" si="451"/>
        <v>11.5</v>
      </c>
      <c r="J2029" s="15">
        <f t="shared" si="461"/>
        <v>15</v>
      </c>
      <c r="K2029" s="15">
        <f>MIN(J2029+G2029,(J2029+G2029)*'Hoja 4 - Cálculo'!$B$15)</f>
        <v>0.866865</v>
      </c>
      <c r="L2029" s="15">
        <f t="shared" si="452"/>
        <v>42.476385000000001</v>
      </c>
      <c r="M2029" s="15">
        <f t="shared" si="453"/>
        <v>11.5</v>
      </c>
      <c r="N2029" s="15">
        <f t="shared" si="454"/>
        <v>15</v>
      </c>
      <c r="O2029" s="15">
        <f t="shared" si="455"/>
        <v>15.976385000000001</v>
      </c>
      <c r="P2029" s="15">
        <f t="shared" si="456"/>
        <v>0</v>
      </c>
      <c r="Q2029" s="14" t="str">
        <f>IF(M2029&gt;=I2029*'Hoja 4 - Cálculo'!$B$16,"Satisfactorio","Falla")</f>
        <v>Satisfactorio</v>
      </c>
      <c r="R2029" s="14">
        <f t="shared" si="462"/>
        <v>0</v>
      </c>
      <c r="S2029" s="14">
        <f t="shared" si="463"/>
        <v>0</v>
      </c>
    </row>
    <row r="2030" spans="1:19">
      <c r="A2030" s="14" t="str">
        <f t="shared" si="460"/>
        <v>SRY-6-2</v>
      </c>
      <c r="B2030" s="15">
        <f>'Curvas SRY'!$B$13</f>
        <v>15</v>
      </c>
      <c r="C2030" s="15">
        <f>'Curvas SRY'!$E$9</f>
        <v>1</v>
      </c>
      <c r="D2030" s="14" t="str">
        <f>'Curvas SRY'!$B$14</f>
        <v>Uso variable</v>
      </c>
      <c r="E2030" s="14">
        <f>107</f>
        <v>107</v>
      </c>
      <c r="F2030" s="21">
        <f>'Hoja 4 - Cálculo'!A131</f>
        <v>32813</v>
      </c>
      <c r="G2030" s="15">
        <f>'Hoja 4 - Cálculo'!H131</f>
        <v>22.60575</v>
      </c>
      <c r="H2030" s="15">
        <f>IF(D2030="Uso único",'Hoja 4 - Cálculo'!I131,IF(D2030="Uso múltiple",AVERAGE('Hoja 4 - Cálculo'!$I$25:$I$384)+AVERAGE('Hoja 4 - Cálculo'!$J$25:$J$384)+AVERAGE('Hoja 4 - Cálculo'!$K$25:$K$384),IF(D2030="Uso prioritario",'Hoja 4 - Cálculo'!I131+'Hoja 4 - Cálculo'!K131,'Hoja 4 - Cálculo'!I131+'Hoja 4 - Cálculo'!J131+'Hoja 4 - Cálculo'!K131)))</f>
        <v>11.5</v>
      </c>
      <c r="I2030" s="15">
        <f t="shared" si="451"/>
        <v>11.5</v>
      </c>
      <c r="J2030" s="15">
        <f t="shared" si="461"/>
        <v>15</v>
      </c>
      <c r="K2030" s="15">
        <f>MIN(J2030+G2030,(J2030+G2030)*'Hoja 4 - Cálculo'!$B$15)</f>
        <v>0.75211499999999998</v>
      </c>
      <c r="L2030" s="15">
        <f t="shared" si="452"/>
        <v>36.853634999999997</v>
      </c>
      <c r="M2030" s="15">
        <f t="shared" si="453"/>
        <v>11.5</v>
      </c>
      <c r="N2030" s="15">
        <f t="shared" si="454"/>
        <v>15</v>
      </c>
      <c r="O2030" s="15">
        <f t="shared" si="455"/>
        <v>10.353634999999997</v>
      </c>
      <c r="P2030" s="15">
        <f t="shared" si="456"/>
        <v>0</v>
      </c>
      <c r="Q2030" s="14" t="str">
        <f>IF(M2030&gt;=I2030*'Hoja 4 - Cálculo'!$B$16,"Satisfactorio","Falla")</f>
        <v>Satisfactorio</v>
      </c>
      <c r="R2030" s="14">
        <f t="shared" si="462"/>
        <v>0</v>
      </c>
      <c r="S2030" s="14">
        <f t="shared" si="463"/>
        <v>0</v>
      </c>
    </row>
    <row r="2031" spans="1:19">
      <c r="A2031" s="14" t="str">
        <f t="shared" si="460"/>
        <v>SRY-6-2</v>
      </c>
      <c r="B2031" s="15">
        <f>'Curvas SRY'!$B$13</f>
        <v>15</v>
      </c>
      <c r="C2031" s="15">
        <f>'Curvas SRY'!$E$9</f>
        <v>1</v>
      </c>
      <c r="D2031" s="14" t="str">
        <f>'Curvas SRY'!$B$14</f>
        <v>Uso variable</v>
      </c>
      <c r="E2031" s="14">
        <f>108</f>
        <v>108</v>
      </c>
      <c r="F2031" s="21">
        <f>'Hoja 4 - Cálculo'!A132</f>
        <v>32843</v>
      </c>
      <c r="G2031" s="15">
        <f>'Hoja 4 - Cálculo'!H132</f>
        <v>14.362875000000001</v>
      </c>
      <c r="H2031" s="15">
        <f>IF(D2031="Uso único",'Hoja 4 - Cálculo'!I132,IF(D2031="Uso múltiple",AVERAGE('Hoja 4 - Cálculo'!$I$25:$I$384)+AVERAGE('Hoja 4 - Cálculo'!$J$25:$J$384)+AVERAGE('Hoja 4 - Cálculo'!$K$25:$K$384),IF(D2031="Uso prioritario",'Hoja 4 - Cálculo'!I132+'Hoja 4 - Cálculo'!K132,'Hoja 4 - Cálculo'!I132+'Hoja 4 - Cálculo'!J132+'Hoja 4 - Cálculo'!K132)))</f>
        <v>16</v>
      </c>
      <c r="I2031" s="15">
        <f t="shared" si="451"/>
        <v>16</v>
      </c>
      <c r="J2031" s="15">
        <f t="shared" si="461"/>
        <v>15</v>
      </c>
      <c r="K2031" s="15">
        <f>MIN(J2031+G2031,(J2031+G2031)*'Hoja 4 - Cálculo'!$B$15)</f>
        <v>0.5872575000000001</v>
      </c>
      <c r="L2031" s="15">
        <f t="shared" si="452"/>
        <v>28.775617500000003</v>
      </c>
      <c r="M2031" s="15">
        <f t="shared" si="453"/>
        <v>16</v>
      </c>
      <c r="N2031" s="15">
        <f t="shared" si="454"/>
        <v>12.775617500000003</v>
      </c>
      <c r="O2031" s="15">
        <f t="shared" si="455"/>
        <v>0</v>
      </c>
      <c r="P2031" s="15">
        <f t="shared" si="456"/>
        <v>0</v>
      </c>
      <c r="Q2031" s="14" t="str">
        <f>IF(M2031&gt;=I2031*'Hoja 4 - Cálculo'!$B$16,"Satisfactorio","Falla")</f>
        <v>Satisfactorio</v>
      </c>
      <c r="R2031" s="14">
        <f t="shared" si="462"/>
        <v>0</v>
      </c>
      <c r="S2031" s="14">
        <f t="shared" si="463"/>
        <v>0</v>
      </c>
    </row>
    <row r="2032" spans="1:19">
      <c r="A2032" s="14" t="str">
        <f t="shared" si="460"/>
        <v>SRY-6-2</v>
      </c>
      <c r="B2032" s="15">
        <f>'Curvas SRY'!$B$13</f>
        <v>15</v>
      </c>
      <c r="C2032" s="15">
        <f>'Curvas SRY'!$E$9</f>
        <v>1</v>
      </c>
      <c r="D2032" s="14" t="str">
        <f>'Curvas SRY'!$B$14</f>
        <v>Uso variable</v>
      </c>
      <c r="E2032" s="14">
        <f>109</f>
        <v>109</v>
      </c>
      <c r="F2032" s="21">
        <f>'Hoja 4 - Cálculo'!A133</f>
        <v>32874</v>
      </c>
      <c r="G2032" s="15">
        <f>'Hoja 4 - Cálculo'!H133</f>
        <v>11.723625</v>
      </c>
      <c r="H2032" s="15">
        <f>IF(D2032="Uso único",'Hoja 4 - Cálculo'!I133,IF(D2032="Uso múltiple",AVERAGE('Hoja 4 - Cálculo'!$I$25:$I$384)+AVERAGE('Hoja 4 - Cálculo'!$J$25:$J$384)+AVERAGE('Hoja 4 - Cálculo'!$K$25:$K$384),IF(D2032="Uso prioritario",'Hoja 4 - Cálculo'!I133+'Hoja 4 - Cálculo'!K133,'Hoja 4 - Cálculo'!I133+'Hoja 4 - Cálculo'!J133+'Hoja 4 - Cálculo'!K133)))</f>
        <v>16</v>
      </c>
      <c r="I2032" s="15">
        <f t="shared" si="451"/>
        <v>16</v>
      </c>
      <c r="J2032" s="15">
        <f t="shared" si="461"/>
        <v>12.775617500000003</v>
      </c>
      <c r="K2032" s="15">
        <f>MIN(J2032+G2032,(J2032+G2032)*'Hoja 4 - Cálculo'!$B$15)</f>
        <v>0.48998485000000003</v>
      </c>
      <c r="L2032" s="15">
        <f t="shared" si="452"/>
        <v>24.009257650000002</v>
      </c>
      <c r="M2032" s="15">
        <f t="shared" si="453"/>
        <v>16</v>
      </c>
      <c r="N2032" s="15">
        <f t="shared" si="454"/>
        <v>8.0092576500000021</v>
      </c>
      <c r="O2032" s="15">
        <f t="shared" si="455"/>
        <v>0</v>
      </c>
      <c r="P2032" s="15">
        <f t="shared" si="456"/>
        <v>0</v>
      </c>
      <c r="Q2032" s="14" t="str">
        <f>IF(M2032&gt;=I2032*'Hoja 4 - Cálculo'!$B$16,"Satisfactorio","Falla")</f>
        <v>Satisfactorio</v>
      </c>
      <c r="R2032" s="14">
        <f t="shared" si="462"/>
        <v>0</v>
      </c>
      <c r="S2032" s="14">
        <f t="shared" si="463"/>
        <v>0</v>
      </c>
    </row>
    <row r="2033" spans="1:19">
      <c r="A2033" s="14" t="str">
        <f t="shared" si="460"/>
        <v>SRY-6-2</v>
      </c>
      <c r="B2033" s="15">
        <f>'Curvas SRY'!$B$13</f>
        <v>15</v>
      </c>
      <c r="C2033" s="15">
        <f>'Curvas SRY'!$E$9</f>
        <v>1</v>
      </c>
      <c r="D2033" s="14" t="str">
        <f>'Curvas SRY'!$B$14</f>
        <v>Uso variable</v>
      </c>
      <c r="E2033" s="14">
        <f>110</f>
        <v>110</v>
      </c>
      <c r="F2033" s="21">
        <f>'Hoja 4 - Cálculo'!A134</f>
        <v>32905</v>
      </c>
      <c r="G2033" s="15">
        <f>'Hoja 4 - Cálculo'!H134</f>
        <v>13.311</v>
      </c>
      <c r="H2033" s="15">
        <f>IF(D2033="Uso único",'Hoja 4 - Cálculo'!I134,IF(D2033="Uso múltiple",AVERAGE('Hoja 4 - Cálculo'!$I$25:$I$384)+AVERAGE('Hoja 4 - Cálculo'!$J$25:$J$384)+AVERAGE('Hoja 4 - Cálculo'!$K$25:$K$384),IF(D2033="Uso prioritario",'Hoja 4 - Cálculo'!I134+'Hoja 4 - Cálculo'!K134,'Hoja 4 - Cálculo'!I134+'Hoja 4 - Cálculo'!J134+'Hoja 4 - Cálculo'!K134)))</f>
        <v>16</v>
      </c>
      <c r="I2033" s="15">
        <f t="shared" si="451"/>
        <v>16</v>
      </c>
      <c r="J2033" s="15">
        <f t="shared" si="461"/>
        <v>8.0092576500000021</v>
      </c>
      <c r="K2033" s="15">
        <f>MIN(J2033+G2033,(J2033+G2033)*'Hoja 4 - Cálculo'!$B$15)</f>
        <v>0.42640515300000004</v>
      </c>
      <c r="L2033" s="15">
        <f t="shared" si="452"/>
        <v>20.893852497000001</v>
      </c>
      <c r="M2033" s="15">
        <f t="shared" si="453"/>
        <v>16</v>
      </c>
      <c r="N2033" s="15">
        <f t="shared" si="454"/>
        <v>4.893852497000001</v>
      </c>
      <c r="O2033" s="15">
        <f t="shared" si="455"/>
        <v>0</v>
      </c>
      <c r="P2033" s="15">
        <f t="shared" si="456"/>
        <v>0</v>
      </c>
      <c r="Q2033" s="14" t="str">
        <f>IF(M2033&gt;=I2033*'Hoja 4 - Cálculo'!$B$16,"Satisfactorio","Falla")</f>
        <v>Satisfactorio</v>
      </c>
      <c r="R2033" s="14">
        <f t="shared" si="462"/>
        <v>0</v>
      </c>
      <c r="S2033" s="14">
        <f t="shared" si="463"/>
        <v>0</v>
      </c>
    </row>
    <row r="2034" spans="1:19">
      <c r="A2034" s="14" t="str">
        <f t="shared" si="460"/>
        <v>SRY-6-2</v>
      </c>
      <c r="B2034" s="15">
        <f>'Curvas SRY'!$B$13</f>
        <v>15</v>
      </c>
      <c r="C2034" s="15">
        <f>'Curvas SRY'!$E$9</f>
        <v>1</v>
      </c>
      <c r="D2034" s="14" t="str">
        <f>'Curvas SRY'!$B$14</f>
        <v>Uso variable</v>
      </c>
      <c r="E2034" s="14">
        <f>111</f>
        <v>111</v>
      </c>
      <c r="F2034" s="21">
        <f>'Hoja 4 - Cálculo'!A135</f>
        <v>32933</v>
      </c>
      <c r="G2034" s="15">
        <f>'Hoja 4 - Cálculo'!H135</f>
        <v>18.838125000000002</v>
      </c>
      <c r="H2034" s="15">
        <f>IF(D2034="Uso único",'Hoja 4 - Cálculo'!I135,IF(D2034="Uso múltiple",AVERAGE('Hoja 4 - Cálculo'!$I$25:$I$384)+AVERAGE('Hoja 4 - Cálculo'!$J$25:$J$384)+AVERAGE('Hoja 4 - Cálculo'!$K$25:$K$384),IF(D2034="Uso prioritario",'Hoja 4 - Cálculo'!I135+'Hoja 4 - Cálculo'!K135,'Hoja 4 - Cálculo'!I135+'Hoja 4 - Cálculo'!J135+'Hoja 4 - Cálculo'!K135)))</f>
        <v>16</v>
      </c>
      <c r="I2034" s="15">
        <f t="shared" si="451"/>
        <v>16</v>
      </c>
      <c r="J2034" s="15">
        <f t="shared" si="461"/>
        <v>4.893852497000001</v>
      </c>
      <c r="K2034" s="15">
        <f>MIN(J2034+G2034,(J2034+G2034)*'Hoja 4 - Cálculo'!$B$15)</f>
        <v>0.47463954994000007</v>
      </c>
      <c r="L2034" s="15">
        <f t="shared" si="452"/>
        <v>23.257337947060002</v>
      </c>
      <c r="M2034" s="15">
        <f t="shared" si="453"/>
        <v>16</v>
      </c>
      <c r="N2034" s="15">
        <f t="shared" si="454"/>
        <v>7.2573379470600017</v>
      </c>
      <c r="O2034" s="15">
        <f t="shared" si="455"/>
        <v>0</v>
      </c>
      <c r="P2034" s="15">
        <f t="shared" si="456"/>
        <v>0</v>
      </c>
      <c r="Q2034" s="14" t="str">
        <f>IF(M2034&gt;=I2034*'Hoja 4 - Cálculo'!$B$16,"Satisfactorio","Falla")</f>
        <v>Satisfactorio</v>
      </c>
      <c r="R2034" s="14">
        <f t="shared" si="462"/>
        <v>0</v>
      </c>
      <c r="S2034" s="14">
        <f t="shared" si="463"/>
        <v>0</v>
      </c>
    </row>
    <row r="2035" spans="1:19">
      <c r="A2035" s="14" t="str">
        <f t="shared" si="460"/>
        <v>SRY-6-2</v>
      </c>
      <c r="B2035" s="15">
        <f>'Curvas SRY'!$B$13</f>
        <v>15</v>
      </c>
      <c r="C2035" s="15">
        <f>'Curvas SRY'!$E$9</f>
        <v>1</v>
      </c>
      <c r="D2035" s="14" t="str">
        <f>'Curvas SRY'!$B$14</f>
        <v>Uso variable</v>
      </c>
      <c r="E2035" s="14">
        <f>112</f>
        <v>112</v>
      </c>
      <c r="F2035" s="21">
        <f>'Hoja 4 - Cálculo'!A136</f>
        <v>32964</v>
      </c>
      <c r="G2035" s="15">
        <f>'Hoja 4 - Cálculo'!H136</f>
        <v>28.611000000000001</v>
      </c>
      <c r="H2035" s="15">
        <f>IF(D2035="Uso único",'Hoja 4 - Cálculo'!I136,IF(D2035="Uso múltiple",AVERAGE('Hoja 4 - Cálculo'!$I$25:$I$384)+AVERAGE('Hoja 4 - Cálculo'!$J$25:$J$384)+AVERAGE('Hoja 4 - Cálculo'!$K$25:$K$384),IF(D2035="Uso prioritario",'Hoja 4 - Cálculo'!I136+'Hoja 4 - Cálculo'!K136,'Hoja 4 - Cálculo'!I136+'Hoja 4 - Cálculo'!J136+'Hoja 4 - Cálculo'!K136)))</f>
        <v>11.5</v>
      </c>
      <c r="I2035" s="15">
        <f t="shared" si="451"/>
        <v>11.5</v>
      </c>
      <c r="J2035" s="15">
        <f t="shared" si="461"/>
        <v>7.2573379470600017</v>
      </c>
      <c r="K2035" s="15">
        <f>MIN(J2035+G2035,(J2035+G2035)*'Hoja 4 - Cálculo'!$B$15)</f>
        <v>0.71736675894119994</v>
      </c>
      <c r="L2035" s="15">
        <f t="shared" si="452"/>
        <v>35.150971188118795</v>
      </c>
      <c r="M2035" s="15">
        <f t="shared" si="453"/>
        <v>11.5</v>
      </c>
      <c r="N2035" s="15">
        <f t="shared" si="454"/>
        <v>15</v>
      </c>
      <c r="O2035" s="15">
        <f t="shared" si="455"/>
        <v>8.6509711881187954</v>
      </c>
      <c r="P2035" s="15">
        <f t="shared" si="456"/>
        <v>0</v>
      </c>
      <c r="Q2035" s="14" t="str">
        <f>IF(M2035&gt;=I2035*'Hoja 4 - Cálculo'!$B$16,"Satisfactorio","Falla")</f>
        <v>Satisfactorio</v>
      </c>
      <c r="R2035" s="14">
        <f t="shared" si="462"/>
        <v>0</v>
      </c>
      <c r="S2035" s="14">
        <f t="shared" si="463"/>
        <v>0</v>
      </c>
    </row>
    <row r="2036" spans="1:19">
      <c r="A2036" s="14" t="str">
        <f t="shared" si="460"/>
        <v>SRY-6-2</v>
      </c>
      <c r="B2036" s="15">
        <f>'Curvas SRY'!$B$13</f>
        <v>15</v>
      </c>
      <c r="C2036" s="15">
        <f>'Curvas SRY'!$E$9</f>
        <v>1</v>
      </c>
      <c r="D2036" s="14" t="str">
        <f>'Curvas SRY'!$B$14</f>
        <v>Uso variable</v>
      </c>
      <c r="E2036" s="14">
        <f>113</f>
        <v>113</v>
      </c>
      <c r="F2036" s="21">
        <f>'Hoja 4 - Cálculo'!A137</f>
        <v>32994</v>
      </c>
      <c r="G2036" s="15">
        <f>'Hoja 4 - Cálculo'!H137</f>
        <v>23.52375</v>
      </c>
      <c r="H2036" s="15">
        <f>IF(D2036="Uso único",'Hoja 4 - Cálculo'!I137,IF(D2036="Uso múltiple",AVERAGE('Hoja 4 - Cálculo'!$I$25:$I$384)+AVERAGE('Hoja 4 - Cálculo'!$J$25:$J$384)+AVERAGE('Hoja 4 - Cálculo'!$K$25:$K$384),IF(D2036="Uso prioritario",'Hoja 4 - Cálculo'!I137+'Hoja 4 - Cálculo'!K137,'Hoja 4 - Cálculo'!I137+'Hoja 4 - Cálculo'!J137+'Hoja 4 - Cálculo'!K137)))</f>
        <v>11.5</v>
      </c>
      <c r="I2036" s="15">
        <f t="shared" si="451"/>
        <v>11.5</v>
      </c>
      <c r="J2036" s="15">
        <f t="shared" si="461"/>
        <v>15</v>
      </c>
      <c r="K2036" s="15">
        <f>MIN(J2036+G2036,(J2036+G2036)*'Hoja 4 - Cálculo'!$B$15)</f>
        <v>0.77047500000000002</v>
      </c>
      <c r="L2036" s="15">
        <f t="shared" si="452"/>
        <v>37.753275000000002</v>
      </c>
      <c r="M2036" s="15">
        <f t="shared" si="453"/>
        <v>11.5</v>
      </c>
      <c r="N2036" s="15">
        <f t="shared" si="454"/>
        <v>15</v>
      </c>
      <c r="O2036" s="15">
        <f t="shared" si="455"/>
        <v>11.253275000000002</v>
      </c>
      <c r="P2036" s="15">
        <f t="shared" si="456"/>
        <v>0</v>
      </c>
      <c r="Q2036" s="14" t="str">
        <f>IF(M2036&gt;=I2036*'Hoja 4 - Cálculo'!$B$16,"Satisfactorio","Falla")</f>
        <v>Satisfactorio</v>
      </c>
      <c r="R2036" s="14">
        <f t="shared" si="462"/>
        <v>0</v>
      </c>
      <c r="S2036" s="14">
        <f t="shared" si="463"/>
        <v>0</v>
      </c>
    </row>
    <row r="2037" spans="1:19">
      <c r="A2037" s="14" t="str">
        <f t="shared" si="460"/>
        <v>SRY-6-2</v>
      </c>
      <c r="B2037" s="15">
        <f>'Curvas SRY'!$B$13</f>
        <v>15</v>
      </c>
      <c r="C2037" s="15">
        <f>'Curvas SRY'!$E$9</f>
        <v>1</v>
      </c>
      <c r="D2037" s="14" t="str">
        <f>'Curvas SRY'!$B$14</f>
        <v>Uso variable</v>
      </c>
      <c r="E2037" s="14">
        <f>114</f>
        <v>114</v>
      </c>
      <c r="F2037" s="21">
        <f>'Hoja 4 - Cálculo'!A138</f>
        <v>33025</v>
      </c>
      <c r="G2037" s="15">
        <f>'Hoja 4 - Cálculo'!H138</f>
        <v>15.529500000000001</v>
      </c>
      <c r="H2037" s="15">
        <f>IF(D2037="Uso único",'Hoja 4 - Cálculo'!I138,IF(D2037="Uso múltiple",AVERAGE('Hoja 4 - Cálculo'!$I$25:$I$384)+AVERAGE('Hoja 4 - Cálculo'!$J$25:$J$384)+AVERAGE('Hoja 4 - Cálculo'!$K$25:$K$384),IF(D2037="Uso prioritario",'Hoja 4 - Cálculo'!I138+'Hoja 4 - Cálculo'!K138,'Hoja 4 - Cálculo'!I138+'Hoja 4 - Cálculo'!J138+'Hoja 4 - Cálculo'!K138)))</f>
        <v>11.5</v>
      </c>
      <c r="I2037" s="15">
        <f t="shared" si="451"/>
        <v>11.5</v>
      </c>
      <c r="J2037" s="15">
        <f t="shared" si="461"/>
        <v>15</v>
      </c>
      <c r="K2037" s="15">
        <f>MIN(J2037+G2037,(J2037+G2037)*'Hoja 4 - Cálculo'!$B$15)</f>
        <v>0.61058999999999997</v>
      </c>
      <c r="L2037" s="15">
        <f t="shared" si="452"/>
        <v>29.91891</v>
      </c>
      <c r="M2037" s="15">
        <f t="shared" si="453"/>
        <v>11.5</v>
      </c>
      <c r="N2037" s="15">
        <f t="shared" si="454"/>
        <v>15</v>
      </c>
      <c r="O2037" s="15">
        <f t="shared" si="455"/>
        <v>3.4189100000000003</v>
      </c>
      <c r="P2037" s="15">
        <f t="shared" si="456"/>
        <v>0</v>
      </c>
      <c r="Q2037" s="14" t="str">
        <f>IF(M2037&gt;=I2037*'Hoja 4 - Cálculo'!$B$16,"Satisfactorio","Falla")</f>
        <v>Satisfactorio</v>
      </c>
      <c r="R2037" s="14">
        <f t="shared" si="462"/>
        <v>0</v>
      </c>
      <c r="S2037" s="14">
        <f t="shared" si="463"/>
        <v>0</v>
      </c>
    </row>
    <row r="2038" spans="1:19">
      <c r="A2038" s="14" t="str">
        <f t="shared" si="460"/>
        <v>SRY-6-2</v>
      </c>
      <c r="B2038" s="15">
        <f>'Curvas SRY'!$B$13</f>
        <v>15</v>
      </c>
      <c r="C2038" s="15">
        <f>'Curvas SRY'!$E$9</f>
        <v>1</v>
      </c>
      <c r="D2038" s="14" t="str">
        <f>'Curvas SRY'!$B$14</f>
        <v>Uso variable</v>
      </c>
      <c r="E2038" s="14">
        <f>115</f>
        <v>115</v>
      </c>
      <c r="F2038" s="21">
        <f>'Hoja 4 - Cálculo'!A139</f>
        <v>33055</v>
      </c>
      <c r="G2038" s="15">
        <f>'Hoja 4 - Cálculo'!H139</f>
        <v>12.201750000000001</v>
      </c>
      <c r="H2038" s="15">
        <f>IF(D2038="Uso único",'Hoja 4 - Cálculo'!I139,IF(D2038="Uso múltiple",AVERAGE('Hoja 4 - Cálculo'!$I$25:$I$384)+AVERAGE('Hoja 4 - Cálculo'!$J$25:$J$384)+AVERAGE('Hoja 4 - Cálculo'!$K$25:$K$384),IF(D2038="Uso prioritario",'Hoja 4 - Cálculo'!I139+'Hoja 4 - Cálculo'!K139,'Hoja 4 - Cálculo'!I139+'Hoja 4 - Cálculo'!J139+'Hoja 4 - Cálculo'!K139)))</f>
        <v>16</v>
      </c>
      <c r="I2038" s="15">
        <f t="shared" si="451"/>
        <v>16</v>
      </c>
      <c r="J2038" s="15">
        <f t="shared" si="461"/>
        <v>15</v>
      </c>
      <c r="K2038" s="15">
        <f>MIN(J2038+G2038,(J2038+G2038)*'Hoja 4 - Cálculo'!$B$15)</f>
        <v>0.54403500000000005</v>
      </c>
      <c r="L2038" s="15">
        <f t="shared" si="452"/>
        <v>26.657715</v>
      </c>
      <c r="M2038" s="15">
        <f t="shared" si="453"/>
        <v>16</v>
      </c>
      <c r="N2038" s="15">
        <f t="shared" si="454"/>
        <v>10.657715</v>
      </c>
      <c r="O2038" s="15">
        <f t="shared" si="455"/>
        <v>0</v>
      </c>
      <c r="P2038" s="15">
        <f t="shared" si="456"/>
        <v>0</v>
      </c>
      <c r="Q2038" s="14" t="str">
        <f>IF(M2038&gt;=I2038*'Hoja 4 - Cálculo'!$B$16,"Satisfactorio","Falla")</f>
        <v>Satisfactorio</v>
      </c>
      <c r="R2038" s="14">
        <f t="shared" si="462"/>
        <v>0</v>
      </c>
      <c r="S2038" s="14">
        <f t="shared" si="463"/>
        <v>0</v>
      </c>
    </row>
    <row r="2039" spans="1:19">
      <c r="A2039" s="14" t="str">
        <f t="shared" si="460"/>
        <v>SRY-6-2</v>
      </c>
      <c r="B2039" s="15">
        <f>'Curvas SRY'!$B$13</f>
        <v>15</v>
      </c>
      <c r="C2039" s="15">
        <f>'Curvas SRY'!$E$9</f>
        <v>1</v>
      </c>
      <c r="D2039" s="14" t="str">
        <f>'Curvas SRY'!$B$14</f>
        <v>Uso variable</v>
      </c>
      <c r="E2039" s="14">
        <f>116</f>
        <v>116</v>
      </c>
      <c r="F2039" s="21">
        <f>'Hoja 4 - Cálculo'!A140</f>
        <v>33086</v>
      </c>
      <c r="G2039" s="15">
        <f>'Hoja 4 - Cálculo'!H140</f>
        <v>13.04325</v>
      </c>
      <c r="H2039" s="15">
        <f>IF(D2039="Uso único",'Hoja 4 - Cálculo'!I140,IF(D2039="Uso múltiple",AVERAGE('Hoja 4 - Cálculo'!$I$25:$I$384)+AVERAGE('Hoja 4 - Cálculo'!$J$25:$J$384)+AVERAGE('Hoja 4 - Cálculo'!$K$25:$K$384),IF(D2039="Uso prioritario",'Hoja 4 - Cálculo'!I140+'Hoja 4 - Cálculo'!K140,'Hoja 4 - Cálculo'!I140+'Hoja 4 - Cálculo'!J140+'Hoja 4 - Cálculo'!K140)))</f>
        <v>16</v>
      </c>
      <c r="I2039" s="15">
        <f t="shared" si="451"/>
        <v>16</v>
      </c>
      <c r="J2039" s="15">
        <f t="shared" si="461"/>
        <v>10.657715</v>
      </c>
      <c r="K2039" s="15">
        <f>MIN(J2039+G2039,(J2039+G2039)*'Hoja 4 - Cálculo'!$B$15)</f>
        <v>0.47401930000000003</v>
      </c>
      <c r="L2039" s="15">
        <f t="shared" si="452"/>
        <v>23.226945700000002</v>
      </c>
      <c r="M2039" s="15">
        <f t="shared" si="453"/>
        <v>16</v>
      </c>
      <c r="N2039" s="15">
        <f t="shared" si="454"/>
        <v>7.2269457000000017</v>
      </c>
      <c r="O2039" s="15">
        <f t="shared" si="455"/>
        <v>0</v>
      </c>
      <c r="P2039" s="15">
        <f t="shared" si="456"/>
        <v>0</v>
      </c>
      <c r="Q2039" s="14" t="str">
        <f>IF(M2039&gt;=I2039*'Hoja 4 - Cálculo'!$B$16,"Satisfactorio","Falla")</f>
        <v>Satisfactorio</v>
      </c>
      <c r="R2039" s="14">
        <f t="shared" si="462"/>
        <v>0</v>
      </c>
      <c r="S2039" s="14">
        <f t="shared" si="463"/>
        <v>0</v>
      </c>
    </row>
    <row r="2040" spans="1:19">
      <c r="A2040" s="14" t="str">
        <f t="shared" si="460"/>
        <v>SRY-6-2</v>
      </c>
      <c r="B2040" s="15">
        <f>'Curvas SRY'!$B$13</f>
        <v>15</v>
      </c>
      <c r="C2040" s="15">
        <f>'Curvas SRY'!$E$9</f>
        <v>1</v>
      </c>
      <c r="D2040" s="14" t="str">
        <f>'Curvas SRY'!$B$14</f>
        <v>Uso variable</v>
      </c>
      <c r="E2040" s="14">
        <f>117</f>
        <v>117</v>
      </c>
      <c r="F2040" s="21">
        <f>'Hoja 4 - Cálculo'!A141</f>
        <v>33117</v>
      </c>
      <c r="G2040" s="15">
        <f>'Hoja 4 - Cálculo'!H141</f>
        <v>21.974625</v>
      </c>
      <c r="H2040" s="15">
        <f>IF(D2040="Uso único",'Hoja 4 - Cálculo'!I141,IF(D2040="Uso múltiple",AVERAGE('Hoja 4 - Cálculo'!$I$25:$I$384)+AVERAGE('Hoja 4 - Cálculo'!$J$25:$J$384)+AVERAGE('Hoja 4 - Cálculo'!$K$25:$K$384),IF(D2040="Uso prioritario",'Hoja 4 - Cálculo'!I141+'Hoja 4 - Cálculo'!K141,'Hoja 4 - Cálculo'!I141+'Hoja 4 - Cálculo'!J141+'Hoja 4 - Cálculo'!K141)))</f>
        <v>11.5</v>
      </c>
      <c r="I2040" s="15">
        <f t="shared" si="451"/>
        <v>11.5</v>
      </c>
      <c r="J2040" s="15">
        <f t="shared" si="461"/>
        <v>7.2269457000000017</v>
      </c>
      <c r="K2040" s="15">
        <f>MIN(J2040+G2040,(J2040+G2040)*'Hoja 4 - Cálculo'!$B$15)</f>
        <v>0.58403141400000003</v>
      </c>
      <c r="L2040" s="15">
        <f t="shared" si="452"/>
        <v>28.617539286000003</v>
      </c>
      <c r="M2040" s="15">
        <f t="shared" si="453"/>
        <v>11.5</v>
      </c>
      <c r="N2040" s="15">
        <f t="shared" si="454"/>
        <v>15</v>
      </c>
      <c r="O2040" s="15">
        <f t="shared" si="455"/>
        <v>2.1175392860000031</v>
      </c>
      <c r="P2040" s="15">
        <f t="shared" si="456"/>
        <v>0</v>
      </c>
      <c r="Q2040" s="14" t="str">
        <f>IF(M2040&gt;=I2040*'Hoja 4 - Cálculo'!$B$16,"Satisfactorio","Falla")</f>
        <v>Satisfactorio</v>
      </c>
      <c r="R2040" s="14">
        <f t="shared" si="462"/>
        <v>0</v>
      </c>
      <c r="S2040" s="14">
        <f t="shared" si="463"/>
        <v>0</v>
      </c>
    </row>
    <row r="2041" spans="1:19">
      <c r="A2041" s="14" t="str">
        <f t="shared" si="460"/>
        <v>SRY-6-2</v>
      </c>
      <c r="B2041" s="15">
        <f>'Curvas SRY'!$B$13</f>
        <v>15</v>
      </c>
      <c r="C2041" s="15">
        <f>'Curvas SRY'!$E$9</f>
        <v>1</v>
      </c>
      <c r="D2041" s="14" t="str">
        <f>'Curvas SRY'!$B$14</f>
        <v>Uso variable</v>
      </c>
      <c r="E2041" s="14">
        <f>118</f>
        <v>118</v>
      </c>
      <c r="F2041" s="21">
        <f>'Hoja 4 - Cálculo'!A142</f>
        <v>33147</v>
      </c>
      <c r="G2041" s="15">
        <f>'Hoja 4 - Cálculo'!H142</f>
        <v>26.870625</v>
      </c>
      <c r="H2041" s="15">
        <f>IF(D2041="Uso único",'Hoja 4 - Cálculo'!I142,IF(D2041="Uso múltiple",AVERAGE('Hoja 4 - Cálculo'!$I$25:$I$384)+AVERAGE('Hoja 4 - Cálculo'!$J$25:$J$384)+AVERAGE('Hoja 4 - Cálculo'!$K$25:$K$384),IF(D2041="Uso prioritario",'Hoja 4 - Cálculo'!I142+'Hoja 4 - Cálculo'!K142,'Hoja 4 - Cálculo'!I142+'Hoja 4 - Cálculo'!J142+'Hoja 4 - Cálculo'!K142)))</f>
        <v>11.5</v>
      </c>
      <c r="I2041" s="15">
        <f t="shared" si="451"/>
        <v>11.5</v>
      </c>
      <c r="J2041" s="15">
        <f t="shared" si="461"/>
        <v>15</v>
      </c>
      <c r="K2041" s="15">
        <f>MIN(J2041+G2041,(J2041+G2041)*'Hoja 4 - Cálculo'!$B$15)</f>
        <v>0.83741250000000012</v>
      </c>
      <c r="L2041" s="15">
        <f t="shared" si="452"/>
        <v>41.033212500000005</v>
      </c>
      <c r="M2041" s="15">
        <f t="shared" si="453"/>
        <v>11.5</v>
      </c>
      <c r="N2041" s="15">
        <f t="shared" si="454"/>
        <v>15</v>
      </c>
      <c r="O2041" s="15">
        <f t="shared" si="455"/>
        <v>14.533212500000005</v>
      </c>
      <c r="P2041" s="15">
        <f t="shared" si="456"/>
        <v>0</v>
      </c>
      <c r="Q2041" s="14" t="str">
        <f>IF(M2041&gt;=I2041*'Hoja 4 - Cálculo'!$B$16,"Satisfactorio","Falla")</f>
        <v>Satisfactorio</v>
      </c>
      <c r="R2041" s="14">
        <f t="shared" si="462"/>
        <v>0</v>
      </c>
      <c r="S2041" s="14">
        <f t="shared" si="463"/>
        <v>0</v>
      </c>
    </row>
    <row r="2042" spans="1:19">
      <c r="A2042" s="14" t="str">
        <f t="shared" si="460"/>
        <v>SRY-6-2</v>
      </c>
      <c r="B2042" s="15">
        <f>'Curvas SRY'!$B$13</f>
        <v>15</v>
      </c>
      <c r="C2042" s="15">
        <f>'Curvas SRY'!$E$9</f>
        <v>1</v>
      </c>
      <c r="D2042" s="14" t="str">
        <f>'Curvas SRY'!$B$14</f>
        <v>Uso variable</v>
      </c>
      <c r="E2042" s="14">
        <f>119</f>
        <v>119</v>
      </c>
      <c r="F2042" s="21">
        <f>'Hoja 4 - Cálculo'!A143</f>
        <v>33178</v>
      </c>
      <c r="G2042" s="15">
        <f>'Hoja 4 - Cálculo'!H143</f>
        <v>24.881625</v>
      </c>
      <c r="H2042" s="15">
        <f>IF(D2042="Uso único",'Hoja 4 - Cálculo'!I143,IF(D2042="Uso múltiple",AVERAGE('Hoja 4 - Cálculo'!$I$25:$I$384)+AVERAGE('Hoja 4 - Cálculo'!$J$25:$J$384)+AVERAGE('Hoja 4 - Cálculo'!$K$25:$K$384),IF(D2042="Uso prioritario",'Hoja 4 - Cálculo'!I143+'Hoja 4 - Cálculo'!K143,'Hoja 4 - Cálculo'!I143+'Hoja 4 - Cálculo'!J143+'Hoja 4 - Cálculo'!K143)))</f>
        <v>11.5</v>
      </c>
      <c r="I2042" s="15">
        <f t="shared" si="451"/>
        <v>11.5</v>
      </c>
      <c r="J2042" s="15">
        <f t="shared" si="461"/>
        <v>15</v>
      </c>
      <c r="K2042" s="15">
        <f>MIN(J2042+G2042,(J2042+G2042)*'Hoja 4 - Cálculo'!$B$15)</f>
        <v>0.79763249999999997</v>
      </c>
      <c r="L2042" s="15">
        <f t="shared" si="452"/>
        <v>39.083992500000001</v>
      </c>
      <c r="M2042" s="15">
        <f t="shared" si="453"/>
        <v>11.5</v>
      </c>
      <c r="N2042" s="15">
        <f t="shared" si="454"/>
        <v>15</v>
      </c>
      <c r="O2042" s="15">
        <f t="shared" si="455"/>
        <v>12.583992500000001</v>
      </c>
      <c r="P2042" s="15">
        <f t="shared" si="456"/>
        <v>0</v>
      </c>
      <c r="Q2042" s="14" t="str">
        <f>IF(M2042&gt;=I2042*'Hoja 4 - Cálculo'!$B$16,"Satisfactorio","Falla")</f>
        <v>Satisfactorio</v>
      </c>
      <c r="R2042" s="14">
        <f t="shared" si="462"/>
        <v>0</v>
      </c>
      <c r="S2042" s="14">
        <f t="shared" si="463"/>
        <v>0</v>
      </c>
    </row>
    <row r="2043" spans="1:19">
      <c r="A2043" s="14" t="str">
        <f t="shared" si="460"/>
        <v>SRY-6-2</v>
      </c>
      <c r="B2043" s="15">
        <f>'Curvas SRY'!$B$13</f>
        <v>15</v>
      </c>
      <c r="C2043" s="15">
        <f>'Curvas SRY'!$E$9</f>
        <v>1</v>
      </c>
      <c r="D2043" s="14" t="str">
        <f>'Curvas SRY'!$B$14</f>
        <v>Uso variable</v>
      </c>
      <c r="E2043" s="14">
        <f>120</f>
        <v>120</v>
      </c>
      <c r="F2043" s="21">
        <f>'Hoja 4 - Cálculo'!A144</f>
        <v>33208</v>
      </c>
      <c r="G2043" s="15">
        <f>'Hoja 4 - Cálculo'!H144</f>
        <v>13.73175</v>
      </c>
      <c r="H2043" s="15">
        <f>IF(D2043="Uso único",'Hoja 4 - Cálculo'!I144,IF(D2043="Uso múltiple",AVERAGE('Hoja 4 - Cálculo'!$I$25:$I$384)+AVERAGE('Hoja 4 - Cálculo'!$J$25:$J$384)+AVERAGE('Hoja 4 - Cálculo'!$K$25:$K$384),IF(D2043="Uso prioritario",'Hoja 4 - Cálculo'!I144+'Hoja 4 - Cálculo'!K144,'Hoja 4 - Cálculo'!I144+'Hoja 4 - Cálculo'!J144+'Hoja 4 - Cálculo'!K144)))</f>
        <v>16</v>
      </c>
      <c r="I2043" s="15">
        <f t="shared" si="451"/>
        <v>16</v>
      </c>
      <c r="J2043" s="15">
        <f t="shared" si="461"/>
        <v>15</v>
      </c>
      <c r="K2043" s="15">
        <f>MIN(J2043+G2043,(J2043+G2043)*'Hoja 4 - Cálculo'!$B$15)</f>
        <v>0.57463500000000001</v>
      </c>
      <c r="L2043" s="15">
        <f t="shared" si="452"/>
        <v>28.157114999999997</v>
      </c>
      <c r="M2043" s="15">
        <f t="shared" si="453"/>
        <v>16</v>
      </c>
      <c r="N2043" s="15">
        <f t="shared" si="454"/>
        <v>12.157114999999997</v>
      </c>
      <c r="O2043" s="15">
        <f t="shared" si="455"/>
        <v>0</v>
      </c>
      <c r="P2043" s="15">
        <f t="shared" si="456"/>
        <v>0</v>
      </c>
      <c r="Q2043" s="14" t="str">
        <f>IF(M2043&gt;=I2043*'Hoja 4 - Cálculo'!$B$16,"Satisfactorio","Falla")</f>
        <v>Satisfactorio</v>
      </c>
      <c r="R2043" s="14">
        <f t="shared" si="462"/>
        <v>0</v>
      </c>
      <c r="S2043" s="14">
        <f t="shared" si="463"/>
        <v>0</v>
      </c>
    </row>
    <row r="2044" spans="1:19">
      <c r="A2044" s="14" t="str">
        <f t="shared" ref="A2044:A2075" si="464">"SRY-6-3"</f>
        <v>SRY-6-3</v>
      </c>
      <c r="B2044" s="15">
        <f>'Curvas SRY'!$B$13</f>
        <v>15</v>
      </c>
      <c r="C2044" s="15">
        <f>'Curvas SRY'!$E$10</f>
        <v>1.25</v>
      </c>
      <c r="D2044" s="14" t="str">
        <f>'Curvas SRY'!$B$14</f>
        <v>Uso variable</v>
      </c>
      <c r="E2044" s="14">
        <f>1</f>
        <v>1</v>
      </c>
      <c r="F2044" s="21">
        <f>'Hoja 4 - Cálculo'!A25</f>
        <v>29587</v>
      </c>
      <c r="G2044" s="15">
        <f>'Hoja 4 - Cálculo'!H25</f>
        <v>12.852</v>
      </c>
      <c r="H2044" s="15">
        <f>IF(D2044="Uso único",'Hoja 4 - Cálculo'!I25,IF(D2044="Uso múltiple",AVERAGE('Hoja 4 - Cálculo'!$I$25:$I$384)+AVERAGE('Hoja 4 - Cálculo'!$J$25:$J$384)+AVERAGE('Hoja 4 - Cálculo'!$K$25:$K$384),IF(D2044="Uso prioritario",'Hoja 4 - Cálculo'!I25+'Hoja 4 - Cálculo'!K25,'Hoja 4 - Cálculo'!I25+'Hoja 4 - Cálculo'!J25+'Hoja 4 - Cálculo'!K25)))</f>
        <v>16</v>
      </c>
      <c r="I2044" s="15">
        <f t="shared" si="451"/>
        <v>20</v>
      </c>
      <c r="J2044" s="15">
        <f>0</f>
        <v>0</v>
      </c>
      <c r="K2044" s="15">
        <f>MIN(J2044+G2044,(J2044+G2044)*'Hoja 4 - Cálculo'!$B$15)</f>
        <v>0.25703999999999999</v>
      </c>
      <c r="L2044" s="15">
        <f t="shared" si="452"/>
        <v>12.59496</v>
      </c>
      <c r="M2044" s="15">
        <f t="shared" si="453"/>
        <v>12.59496</v>
      </c>
      <c r="N2044" s="15">
        <f t="shared" si="454"/>
        <v>0</v>
      </c>
      <c r="O2044" s="15">
        <f t="shared" si="455"/>
        <v>0</v>
      </c>
      <c r="P2044" s="15">
        <f t="shared" si="456"/>
        <v>7.4050399999999996</v>
      </c>
      <c r="Q2044" s="14" t="str">
        <f>IF(M2044&gt;=I2044*'Hoja 4 - Cálculo'!$B$16,"Satisfactorio","Falla")</f>
        <v>Falla</v>
      </c>
      <c r="R2044" s="14">
        <f>0</f>
        <v>0</v>
      </c>
      <c r="S2044" s="14">
        <f>IF(Q2044="Falla",1,0)</f>
        <v>1</v>
      </c>
    </row>
    <row r="2045" spans="1:19">
      <c r="A2045" s="14" t="str">
        <f t="shared" si="464"/>
        <v>SRY-6-3</v>
      </c>
      <c r="B2045" s="15">
        <f>'Curvas SRY'!$B$13</f>
        <v>15</v>
      </c>
      <c r="C2045" s="15">
        <f>'Curvas SRY'!$E$10</f>
        <v>1.25</v>
      </c>
      <c r="D2045" s="14" t="str">
        <f>'Curvas SRY'!$B$14</f>
        <v>Uso variable</v>
      </c>
      <c r="E2045" s="14">
        <f>2</f>
        <v>2</v>
      </c>
      <c r="F2045" s="21">
        <f>'Hoja 4 - Cálculo'!A26</f>
        <v>29618</v>
      </c>
      <c r="G2045" s="15">
        <f>'Hoja 4 - Cálculo'!H26</f>
        <v>14.630625</v>
      </c>
      <c r="H2045" s="15">
        <f>IF(D2045="Uso único",'Hoja 4 - Cálculo'!I26,IF(D2045="Uso múltiple",AVERAGE('Hoja 4 - Cálculo'!$I$25:$I$384)+AVERAGE('Hoja 4 - Cálculo'!$J$25:$J$384)+AVERAGE('Hoja 4 - Cálculo'!$K$25:$K$384),IF(D2045="Uso prioritario",'Hoja 4 - Cálculo'!I26+'Hoja 4 - Cálculo'!K26,'Hoja 4 - Cálculo'!I26+'Hoja 4 - Cálculo'!J26+'Hoja 4 - Cálculo'!K26)))</f>
        <v>16</v>
      </c>
      <c r="I2045" s="15">
        <f t="shared" si="451"/>
        <v>20</v>
      </c>
      <c r="J2045" s="15">
        <f t="shared" ref="J2045:J2076" si="465">N2044</f>
        <v>0</v>
      </c>
      <c r="K2045" s="15">
        <f>MIN(J2045+G2045,(J2045+G2045)*'Hoja 4 - Cálculo'!$B$15)</f>
        <v>0.2926125</v>
      </c>
      <c r="L2045" s="15">
        <f t="shared" si="452"/>
        <v>14.3380125</v>
      </c>
      <c r="M2045" s="15">
        <f t="shared" si="453"/>
        <v>14.3380125</v>
      </c>
      <c r="N2045" s="15">
        <f t="shared" si="454"/>
        <v>0</v>
      </c>
      <c r="O2045" s="15">
        <f t="shared" si="455"/>
        <v>0</v>
      </c>
      <c r="P2045" s="15">
        <f t="shared" si="456"/>
        <v>5.6619875000000004</v>
      </c>
      <c r="Q2045" s="14" t="str">
        <f>IF(M2045&gt;=I2045*'Hoja 4 - Cálculo'!$B$16,"Satisfactorio","Falla")</f>
        <v>Falla</v>
      </c>
      <c r="R2045" s="14">
        <f t="shared" ref="R2045:R2076" si="466">IF(AND(Q2044="Falla",Q2045="Satisfactorio"),1,0)</f>
        <v>0</v>
      </c>
      <c r="S2045" s="14">
        <f t="shared" ref="S2045:S2076" si="467">IF(AND(Q2045="Falla",Q2044&lt;&gt;"Falla"),1,0)</f>
        <v>0</v>
      </c>
    </row>
    <row r="2046" spans="1:19">
      <c r="A2046" s="14" t="str">
        <f t="shared" si="464"/>
        <v>SRY-6-3</v>
      </c>
      <c r="B2046" s="15">
        <f>'Curvas SRY'!$B$13</f>
        <v>15</v>
      </c>
      <c r="C2046" s="15">
        <f>'Curvas SRY'!$E$10</f>
        <v>1.25</v>
      </c>
      <c r="D2046" s="14" t="str">
        <f>'Curvas SRY'!$B$14</f>
        <v>Uso variable</v>
      </c>
      <c r="E2046" s="14">
        <f>3</f>
        <v>3</v>
      </c>
      <c r="F2046" s="21">
        <f>'Hoja 4 - Cálculo'!A27</f>
        <v>29646</v>
      </c>
      <c r="G2046" s="15">
        <f>'Hoja 4 - Cálculo'!H27</f>
        <v>21.114000000000001</v>
      </c>
      <c r="H2046" s="15">
        <f>IF(D2046="Uso único",'Hoja 4 - Cálculo'!I27,IF(D2046="Uso múltiple",AVERAGE('Hoja 4 - Cálculo'!$I$25:$I$384)+AVERAGE('Hoja 4 - Cálculo'!$J$25:$J$384)+AVERAGE('Hoja 4 - Cálculo'!$K$25:$K$384),IF(D2046="Uso prioritario",'Hoja 4 - Cálculo'!I27+'Hoja 4 - Cálculo'!K27,'Hoja 4 - Cálculo'!I27+'Hoja 4 - Cálculo'!J27+'Hoja 4 - Cálculo'!K27)))</f>
        <v>16</v>
      </c>
      <c r="I2046" s="15">
        <f t="shared" si="451"/>
        <v>20</v>
      </c>
      <c r="J2046" s="15">
        <f t="shared" si="465"/>
        <v>0</v>
      </c>
      <c r="K2046" s="15">
        <f>MIN(J2046+G2046,(J2046+G2046)*'Hoja 4 - Cálculo'!$B$15)</f>
        <v>0.42228000000000004</v>
      </c>
      <c r="L2046" s="15">
        <f t="shared" si="452"/>
        <v>20.69172</v>
      </c>
      <c r="M2046" s="15">
        <f t="shared" si="453"/>
        <v>20</v>
      </c>
      <c r="N2046" s="15">
        <f t="shared" si="454"/>
        <v>0.69172000000000011</v>
      </c>
      <c r="O2046" s="15">
        <f t="shared" si="455"/>
        <v>0</v>
      </c>
      <c r="P2046" s="15">
        <f t="shared" si="456"/>
        <v>0</v>
      </c>
      <c r="Q2046" s="14" t="str">
        <f>IF(M2046&gt;=I2046*'Hoja 4 - Cálculo'!$B$16,"Satisfactorio","Falla")</f>
        <v>Satisfactorio</v>
      </c>
      <c r="R2046" s="14">
        <f t="shared" si="466"/>
        <v>1</v>
      </c>
      <c r="S2046" s="14">
        <f t="shared" si="467"/>
        <v>0</v>
      </c>
    </row>
    <row r="2047" spans="1:19">
      <c r="A2047" s="14" t="str">
        <f t="shared" si="464"/>
        <v>SRY-6-3</v>
      </c>
      <c r="B2047" s="15">
        <f>'Curvas SRY'!$B$13</f>
        <v>15</v>
      </c>
      <c r="C2047" s="15">
        <f>'Curvas SRY'!$E$10</f>
        <v>1.25</v>
      </c>
      <c r="D2047" s="14" t="str">
        <f>'Curvas SRY'!$B$14</f>
        <v>Uso variable</v>
      </c>
      <c r="E2047" s="14">
        <f>4</f>
        <v>4</v>
      </c>
      <c r="F2047" s="21">
        <f>'Hoja 4 - Cálculo'!A28</f>
        <v>29677</v>
      </c>
      <c r="G2047" s="15">
        <f>'Hoja 4 - Cálculo'!H28</f>
        <v>29.280374999999999</v>
      </c>
      <c r="H2047" s="15">
        <f>IF(D2047="Uso único",'Hoja 4 - Cálculo'!I28,IF(D2047="Uso múltiple",AVERAGE('Hoja 4 - Cálculo'!$I$25:$I$384)+AVERAGE('Hoja 4 - Cálculo'!$J$25:$J$384)+AVERAGE('Hoja 4 - Cálculo'!$K$25:$K$384),IF(D2047="Uso prioritario",'Hoja 4 - Cálculo'!I28+'Hoja 4 - Cálculo'!K28,'Hoja 4 - Cálculo'!I28+'Hoja 4 - Cálculo'!J28+'Hoja 4 - Cálculo'!K28)))</f>
        <v>11.5</v>
      </c>
      <c r="I2047" s="15">
        <f t="shared" si="451"/>
        <v>14.375</v>
      </c>
      <c r="J2047" s="15">
        <f t="shared" si="465"/>
        <v>0.69172000000000011</v>
      </c>
      <c r="K2047" s="15">
        <f>MIN(J2047+G2047,(J2047+G2047)*'Hoja 4 - Cálculo'!$B$15)</f>
        <v>0.59944189999999997</v>
      </c>
      <c r="L2047" s="15">
        <f t="shared" si="452"/>
        <v>29.372653100000001</v>
      </c>
      <c r="M2047" s="15">
        <f t="shared" si="453"/>
        <v>14.375</v>
      </c>
      <c r="N2047" s="15">
        <f t="shared" si="454"/>
        <v>14.997653100000001</v>
      </c>
      <c r="O2047" s="15">
        <f t="shared" si="455"/>
        <v>0</v>
      </c>
      <c r="P2047" s="15">
        <f t="shared" si="456"/>
        <v>0</v>
      </c>
      <c r="Q2047" s="14" t="str">
        <f>IF(M2047&gt;=I2047*'Hoja 4 - Cálculo'!$B$16,"Satisfactorio","Falla")</f>
        <v>Satisfactorio</v>
      </c>
      <c r="R2047" s="14">
        <f t="shared" si="466"/>
        <v>0</v>
      </c>
      <c r="S2047" s="14">
        <f t="shared" si="467"/>
        <v>0</v>
      </c>
    </row>
    <row r="2048" spans="1:19">
      <c r="A2048" s="14" t="str">
        <f t="shared" si="464"/>
        <v>SRY-6-3</v>
      </c>
      <c r="B2048" s="15">
        <f>'Curvas SRY'!$B$13</f>
        <v>15</v>
      </c>
      <c r="C2048" s="15">
        <f>'Curvas SRY'!$E$10</f>
        <v>1.25</v>
      </c>
      <c r="D2048" s="14" t="str">
        <f>'Curvas SRY'!$B$14</f>
        <v>Uso variable</v>
      </c>
      <c r="E2048" s="14">
        <f>5</f>
        <v>5</v>
      </c>
      <c r="F2048" s="21">
        <f>'Hoja 4 - Cálculo'!A29</f>
        <v>29707</v>
      </c>
      <c r="G2048" s="15">
        <f>'Hoja 4 - Cálculo'!H29</f>
        <v>26.048249999999999</v>
      </c>
      <c r="H2048" s="15">
        <f>IF(D2048="Uso único",'Hoja 4 - Cálculo'!I29,IF(D2048="Uso múltiple",AVERAGE('Hoja 4 - Cálculo'!$I$25:$I$384)+AVERAGE('Hoja 4 - Cálculo'!$J$25:$J$384)+AVERAGE('Hoja 4 - Cálculo'!$K$25:$K$384),IF(D2048="Uso prioritario",'Hoja 4 - Cálculo'!I29+'Hoja 4 - Cálculo'!K29,'Hoja 4 - Cálculo'!I29+'Hoja 4 - Cálculo'!J29+'Hoja 4 - Cálculo'!K29)))</f>
        <v>11.5</v>
      </c>
      <c r="I2048" s="15">
        <f t="shared" si="451"/>
        <v>14.375</v>
      </c>
      <c r="J2048" s="15">
        <f t="shared" si="465"/>
        <v>14.997653100000001</v>
      </c>
      <c r="K2048" s="15">
        <f>MIN(J2048+G2048,(J2048+G2048)*'Hoja 4 - Cálculo'!$B$15)</f>
        <v>0.82091806200000006</v>
      </c>
      <c r="L2048" s="15">
        <f t="shared" si="452"/>
        <v>40.224985038000007</v>
      </c>
      <c r="M2048" s="15">
        <f t="shared" si="453"/>
        <v>14.375</v>
      </c>
      <c r="N2048" s="15">
        <f t="shared" si="454"/>
        <v>15</v>
      </c>
      <c r="O2048" s="15">
        <f t="shared" si="455"/>
        <v>10.849985038000007</v>
      </c>
      <c r="P2048" s="15">
        <f t="shared" si="456"/>
        <v>0</v>
      </c>
      <c r="Q2048" s="14" t="str">
        <f>IF(M2048&gt;=I2048*'Hoja 4 - Cálculo'!$B$16,"Satisfactorio","Falla")</f>
        <v>Satisfactorio</v>
      </c>
      <c r="R2048" s="14">
        <f t="shared" si="466"/>
        <v>0</v>
      </c>
      <c r="S2048" s="14">
        <f t="shared" si="467"/>
        <v>0</v>
      </c>
    </row>
    <row r="2049" spans="1:19">
      <c r="A2049" s="14" t="str">
        <f t="shared" si="464"/>
        <v>SRY-6-3</v>
      </c>
      <c r="B2049" s="15">
        <f>'Curvas SRY'!$B$13</f>
        <v>15</v>
      </c>
      <c r="C2049" s="15">
        <f>'Curvas SRY'!$E$10</f>
        <v>1.25</v>
      </c>
      <c r="D2049" s="14" t="str">
        <f>'Curvas SRY'!$B$14</f>
        <v>Uso variable</v>
      </c>
      <c r="E2049" s="14">
        <f>6</f>
        <v>6</v>
      </c>
      <c r="F2049" s="21">
        <f>'Hoja 4 - Cálculo'!A30</f>
        <v>29738</v>
      </c>
      <c r="G2049" s="15">
        <f>'Hoja 4 - Cálculo'!H30</f>
        <v>15.625125000000001</v>
      </c>
      <c r="H2049" s="15">
        <f>IF(D2049="Uso único",'Hoja 4 - Cálculo'!I30,IF(D2049="Uso múltiple",AVERAGE('Hoja 4 - Cálculo'!$I$25:$I$384)+AVERAGE('Hoja 4 - Cálculo'!$J$25:$J$384)+AVERAGE('Hoja 4 - Cálculo'!$K$25:$K$384),IF(D2049="Uso prioritario",'Hoja 4 - Cálculo'!I30+'Hoja 4 - Cálculo'!K30,'Hoja 4 - Cálculo'!I30+'Hoja 4 - Cálculo'!J30+'Hoja 4 - Cálculo'!K30)))</f>
        <v>11.5</v>
      </c>
      <c r="I2049" s="15">
        <f t="shared" si="451"/>
        <v>14.375</v>
      </c>
      <c r="J2049" s="15">
        <f t="shared" si="465"/>
        <v>15</v>
      </c>
      <c r="K2049" s="15">
        <f>MIN(J2049+G2049,(J2049+G2049)*'Hoja 4 - Cálculo'!$B$15)</f>
        <v>0.61250250000000006</v>
      </c>
      <c r="L2049" s="15">
        <f t="shared" si="452"/>
        <v>30.012622499999999</v>
      </c>
      <c r="M2049" s="15">
        <f t="shared" si="453"/>
        <v>14.375</v>
      </c>
      <c r="N2049" s="15">
        <f t="shared" si="454"/>
        <v>15</v>
      </c>
      <c r="O2049" s="15">
        <f t="shared" si="455"/>
        <v>0.63762249999999909</v>
      </c>
      <c r="P2049" s="15">
        <f t="shared" si="456"/>
        <v>0</v>
      </c>
      <c r="Q2049" s="14" t="str">
        <f>IF(M2049&gt;=I2049*'Hoja 4 - Cálculo'!$B$16,"Satisfactorio","Falla")</f>
        <v>Satisfactorio</v>
      </c>
      <c r="R2049" s="14">
        <f t="shared" si="466"/>
        <v>0</v>
      </c>
      <c r="S2049" s="14">
        <f t="shared" si="467"/>
        <v>0</v>
      </c>
    </row>
    <row r="2050" spans="1:19">
      <c r="A2050" s="14" t="str">
        <f t="shared" si="464"/>
        <v>SRY-6-3</v>
      </c>
      <c r="B2050" s="15">
        <f>'Curvas SRY'!$B$13</f>
        <v>15</v>
      </c>
      <c r="C2050" s="15">
        <f>'Curvas SRY'!$E$10</f>
        <v>1.25</v>
      </c>
      <c r="D2050" s="14" t="str">
        <f>'Curvas SRY'!$B$14</f>
        <v>Uso variable</v>
      </c>
      <c r="E2050" s="14">
        <f>7</f>
        <v>7</v>
      </c>
      <c r="F2050" s="21">
        <f>'Hoja 4 - Cálculo'!A31</f>
        <v>29768</v>
      </c>
      <c r="G2050" s="15">
        <f>'Hoja 4 - Cálculo'!H31</f>
        <v>12.794625</v>
      </c>
      <c r="H2050" s="15">
        <f>IF(D2050="Uso único",'Hoja 4 - Cálculo'!I31,IF(D2050="Uso múltiple",AVERAGE('Hoja 4 - Cálculo'!$I$25:$I$384)+AVERAGE('Hoja 4 - Cálculo'!$J$25:$J$384)+AVERAGE('Hoja 4 - Cálculo'!$K$25:$K$384),IF(D2050="Uso prioritario",'Hoja 4 - Cálculo'!I31+'Hoja 4 - Cálculo'!K31,'Hoja 4 - Cálculo'!I31+'Hoja 4 - Cálculo'!J31+'Hoja 4 - Cálculo'!K31)))</f>
        <v>16</v>
      </c>
      <c r="I2050" s="15">
        <f t="shared" si="451"/>
        <v>20</v>
      </c>
      <c r="J2050" s="15">
        <f t="shared" si="465"/>
        <v>15</v>
      </c>
      <c r="K2050" s="15">
        <f>MIN(J2050+G2050,(J2050+G2050)*'Hoja 4 - Cálculo'!$B$15)</f>
        <v>0.55589250000000001</v>
      </c>
      <c r="L2050" s="15">
        <f t="shared" si="452"/>
        <v>27.238732500000001</v>
      </c>
      <c r="M2050" s="15">
        <f t="shared" si="453"/>
        <v>20</v>
      </c>
      <c r="N2050" s="15">
        <f t="shared" si="454"/>
        <v>7.2387325000000011</v>
      </c>
      <c r="O2050" s="15">
        <f t="shared" si="455"/>
        <v>0</v>
      </c>
      <c r="P2050" s="15">
        <f t="shared" si="456"/>
        <v>0</v>
      </c>
      <c r="Q2050" s="14" t="str">
        <f>IF(M2050&gt;=I2050*'Hoja 4 - Cálculo'!$B$16,"Satisfactorio","Falla")</f>
        <v>Satisfactorio</v>
      </c>
      <c r="R2050" s="14">
        <f t="shared" si="466"/>
        <v>0</v>
      </c>
      <c r="S2050" s="14">
        <f t="shared" si="467"/>
        <v>0</v>
      </c>
    </row>
    <row r="2051" spans="1:19">
      <c r="A2051" s="14" t="str">
        <f t="shared" si="464"/>
        <v>SRY-6-3</v>
      </c>
      <c r="B2051" s="15">
        <f>'Curvas SRY'!$B$13</f>
        <v>15</v>
      </c>
      <c r="C2051" s="15">
        <f>'Curvas SRY'!$E$10</f>
        <v>1.25</v>
      </c>
      <c r="D2051" s="14" t="str">
        <f>'Curvas SRY'!$B$14</f>
        <v>Uso variable</v>
      </c>
      <c r="E2051" s="14">
        <f>8</f>
        <v>8</v>
      </c>
      <c r="F2051" s="21">
        <f>'Hoja 4 - Cálculo'!A32</f>
        <v>29799</v>
      </c>
      <c r="G2051" s="15">
        <f>'Hoja 4 - Cálculo'!H32</f>
        <v>13.712624999999999</v>
      </c>
      <c r="H2051" s="15">
        <f>IF(D2051="Uso único",'Hoja 4 - Cálculo'!I32,IF(D2051="Uso múltiple",AVERAGE('Hoja 4 - Cálculo'!$I$25:$I$384)+AVERAGE('Hoja 4 - Cálculo'!$J$25:$J$384)+AVERAGE('Hoja 4 - Cálculo'!$K$25:$K$384),IF(D2051="Uso prioritario",'Hoja 4 - Cálculo'!I32+'Hoja 4 - Cálculo'!K32,'Hoja 4 - Cálculo'!I32+'Hoja 4 - Cálculo'!J32+'Hoja 4 - Cálculo'!K32)))</f>
        <v>16</v>
      </c>
      <c r="I2051" s="15">
        <f t="shared" si="451"/>
        <v>20</v>
      </c>
      <c r="J2051" s="15">
        <f t="shared" si="465"/>
        <v>7.2387325000000011</v>
      </c>
      <c r="K2051" s="15">
        <f>MIN(J2051+G2051,(J2051+G2051)*'Hoja 4 - Cálculo'!$B$15)</f>
        <v>0.41902715000000001</v>
      </c>
      <c r="L2051" s="15">
        <f t="shared" si="452"/>
        <v>20.532330349999999</v>
      </c>
      <c r="M2051" s="15">
        <f t="shared" si="453"/>
        <v>20</v>
      </c>
      <c r="N2051" s="15">
        <f t="shared" si="454"/>
        <v>0.53233034999999873</v>
      </c>
      <c r="O2051" s="15">
        <f t="shared" si="455"/>
        <v>0</v>
      </c>
      <c r="P2051" s="15">
        <f t="shared" si="456"/>
        <v>0</v>
      </c>
      <c r="Q2051" s="14" t="str">
        <f>IF(M2051&gt;=I2051*'Hoja 4 - Cálculo'!$B$16,"Satisfactorio","Falla")</f>
        <v>Satisfactorio</v>
      </c>
      <c r="R2051" s="14">
        <f t="shared" si="466"/>
        <v>0</v>
      </c>
      <c r="S2051" s="14">
        <f t="shared" si="467"/>
        <v>0</v>
      </c>
    </row>
    <row r="2052" spans="1:19">
      <c r="A2052" s="14" t="str">
        <f t="shared" si="464"/>
        <v>SRY-6-3</v>
      </c>
      <c r="B2052" s="15">
        <f>'Curvas SRY'!$B$13</f>
        <v>15</v>
      </c>
      <c r="C2052" s="15">
        <f>'Curvas SRY'!$E$10</f>
        <v>1.25</v>
      </c>
      <c r="D2052" s="14" t="str">
        <f>'Curvas SRY'!$B$14</f>
        <v>Uso variable</v>
      </c>
      <c r="E2052" s="14">
        <f>9</f>
        <v>9</v>
      </c>
      <c r="F2052" s="21">
        <f>'Hoja 4 - Cálculo'!A33</f>
        <v>29830</v>
      </c>
      <c r="G2052" s="15">
        <f>'Hoja 4 - Cálculo'!H33</f>
        <v>22.070250000000001</v>
      </c>
      <c r="H2052" s="15">
        <f>IF(D2052="Uso único",'Hoja 4 - Cálculo'!I33,IF(D2052="Uso múltiple",AVERAGE('Hoja 4 - Cálculo'!$I$25:$I$384)+AVERAGE('Hoja 4 - Cálculo'!$J$25:$J$384)+AVERAGE('Hoja 4 - Cálculo'!$K$25:$K$384),IF(D2052="Uso prioritario",'Hoja 4 - Cálculo'!I33+'Hoja 4 - Cálculo'!K33,'Hoja 4 - Cálculo'!I33+'Hoja 4 - Cálculo'!J33+'Hoja 4 - Cálculo'!K33)))</f>
        <v>11.5</v>
      </c>
      <c r="I2052" s="15">
        <f t="shared" ref="I2052:I2115" si="468">H2052*C2052</f>
        <v>14.375</v>
      </c>
      <c r="J2052" s="15">
        <f t="shared" si="465"/>
        <v>0.53233034999999873</v>
      </c>
      <c r="K2052" s="15">
        <f>MIN(J2052+G2052,(J2052+G2052)*'Hoja 4 - Cálculo'!$B$15)</f>
        <v>0.45205160700000002</v>
      </c>
      <c r="L2052" s="15">
        <f t="shared" ref="L2052:L2115" si="469">MAX(0,J2052+G2052-K2052)</f>
        <v>22.150528742999999</v>
      </c>
      <c r="M2052" s="15">
        <f t="shared" ref="M2052:M2115" si="470">MIN(I2052,L2052)</f>
        <v>14.375</v>
      </c>
      <c r="N2052" s="15">
        <f t="shared" ref="N2052:N2115" si="471">MIN(B2052,MAX(0,L2052-M2052))</f>
        <v>7.7755287429999989</v>
      </c>
      <c r="O2052" s="15">
        <f t="shared" ref="O2052:O2115" si="472">MAX(0,L2052-M2052-B2052)</f>
        <v>0</v>
      </c>
      <c r="P2052" s="15">
        <f t="shared" ref="P2052:P2115" si="473">MAX(0,I2052-M2052)</f>
        <v>0</v>
      </c>
      <c r="Q2052" s="14" t="str">
        <f>IF(M2052&gt;=I2052*'Hoja 4 - Cálculo'!$B$16,"Satisfactorio","Falla")</f>
        <v>Satisfactorio</v>
      </c>
      <c r="R2052" s="14">
        <f t="shared" si="466"/>
        <v>0</v>
      </c>
      <c r="S2052" s="14">
        <f t="shared" si="467"/>
        <v>0</v>
      </c>
    </row>
    <row r="2053" spans="1:19">
      <c r="A2053" s="14" t="str">
        <f t="shared" si="464"/>
        <v>SRY-6-3</v>
      </c>
      <c r="B2053" s="15">
        <f>'Curvas SRY'!$B$13</f>
        <v>15</v>
      </c>
      <c r="C2053" s="15">
        <f>'Curvas SRY'!$E$10</f>
        <v>1.25</v>
      </c>
      <c r="D2053" s="14" t="str">
        <f>'Curvas SRY'!$B$14</f>
        <v>Uso variable</v>
      </c>
      <c r="E2053" s="14">
        <f>10</f>
        <v>10</v>
      </c>
      <c r="F2053" s="21">
        <f>'Hoja 4 - Cálculo'!A34</f>
        <v>29860</v>
      </c>
      <c r="G2053" s="15">
        <f>'Hoja 4 - Cálculo'!H34</f>
        <v>29.777625</v>
      </c>
      <c r="H2053" s="15">
        <f>IF(D2053="Uso único",'Hoja 4 - Cálculo'!I34,IF(D2053="Uso múltiple",AVERAGE('Hoja 4 - Cálculo'!$I$25:$I$384)+AVERAGE('Hoja 4 - Cálculo'!$J$25:$J$384)+AVERAGE('Hoja 4 - Cálculo'!$K$25:$K$384),IF(D2053="Uso prioritario",'Hoja 4 - Cálculo'!I34+'Hoja 4 - Cálculo'!K34,'Hoja 4 - Cálculo'!I34+'Hoja 4 - Cálculo'!J34+'Hoja 4 - Cálculo'!K34)))</f>
        <v>11.5</v>
      </c>
      <c r="I2053" s="15">
        <f t="shared" si="468"/>
        <v>14.375</v>
      </c>
      <c r="J2053" s="15">
        <f t="shared" si="465"/>
        <v>7.7755287429999989</v>
      </c>
      <c r="K2053" s="15">
        <f>MIN(J2053+G2053,(J2053+G2053)*'Hoja 4 - Cálculo'!$B$15)</f>
        <v>0.7510630748599999</v>
      </c>
      <c r="L2053" s="15">
        <f t="shared" si="469"/>
        <v>36.802090668139996</v>
      </c>
      <c r="M2053" s="15">
        <f t="shared" si="470"/>
        <v>14.375</v>
      </c>
      <c r="N2053" s="15">
        <f t="shared" si="471"/>
        <v>15</v>
      </c>
      <c r="O2053" s="15">
        <f t="shared" si="472"/>
        <v>7.4270906681399964</v>
      </c>
      <c r="P2053" s="15">
        <f t="shared" si="473"/>
        <v>0</v>
      </c>
      <c r="Q2053" s="14" t="str">
        <f>IF(M2053&gt;=I2053*'Hoja 4 - Cálculo'!$B$16,"Satisfactorio","Falla")</f>
        <v>Satisfactorio</v>
      </c>
      <c r="R2053" s="14">
        <f t="shared" si="466"/>
        <v>0</v>
      </c>
      <c r="S2053" s="14">
        <f t="shared" si="467"/>
        <v>0</v>
      </c>
    </row>
    <row r="2054" spans="1:19">
      <c r="A2054" s="14" t="str">
        <f t="shared" si="464"/>
        <v>SRY-6-3</v>
      </c>
      <c r="B2054" s="15">
        <f>'Curvas SRY'!$B$13</f>
        <v>15</v>
      </c>
      <c r="C2054" s="15">
        <f>'Curvas SRY'!$E$10</f>
        <v>1.25</v>
      </c>
      <c r="D2054" s="14" t="str">
        <f>'Curvas SRY'!$B$14</f>
        <v>Uso variable</v>
      </c>
      <c r="E2054" s="14">
        <f>11</f>
        <v>11</v>
      </c>
      <c r="F2054" s="21">
        <f>'Hoja 4 - Cálculo'!A35</f>
        <v>29891</v>
      </c>
      <c r="G2054" s="15">
        <f>'Hoja 4 - Cálculo'!H35</f>
        <v>25.51275</v>
      </c>
      <c r="H2054" s="15">
        <f>IF(D2054="Uso único",'Hoja 4 - Cálculo'!I35,IF(D2054="Uso múltiple",AVERAGE('Hoja 4 - Cálculo'!$I$25:$I$384)+AVERAGE('Hoja 4 - Cálculo'!$J$25:$J$384)+AVERAGE('Hoja 4 - Cálculo'!$K$25:$K$384),IF(D2054="Uso prioritario",'Hoja 4 - Cálculo'!I35+'Hoja 4 - Cálculo'!K35,'Hoja 4 - Cálculo'!I35+'Hoja 4 - Cálculo'!J35+'Hoja 4 - Cálculo'!K35)))</f>
        <v>11.5</v>
      </c>
      <c r="I2054" s="15">
        <f t="shared" si="468"/>
        <v>14.375</v>
      </c>
      <c r="J2054" s="15">
        <f t="shared" si="465"/>
        <v>15</v>
      </c>
      <c r="K2054" s="15">
        <f>MIN(J2054+G2054,(J2054+G2054)*'Hoja 4 - Cálculo'!$B$15)</f>
        <v>0.81025499999999995</v>
      </c>
      <c r="L2054" s="15">
        <f t="shared" si="469"/>
        <v>39.702494999999999</v>
      </c>
      <c r="M2054" s="15">
        <f t="shared" si="470"/>
        <v>14.375</v>
      </c>
      <c r="N2054" s="15">
        <f t="shared" si="471"/>
        <v>15</v>
      </c>
      <c r="O2054" s="15">
        <f t="shared" si="472"/>
        <v>10.327494999999999</v>
      </c>
      <c r="P2054" s="15">
        <f t="shared" si="473"/>
        <v>0</v>
      </c>
      <c r="Q2054" s="14" t="str">
        <f>IF(M2054&gt;=I2054*'Hoja 4 - Cálculo'!$B$16,"Satisfactorio","Falla")</f>
        <v>Satisfactorio</v>
      </c>
      <c r="R2054" s="14">
        <f t="shared" si="466"/>
        <v>0</v>
      </c>
      <c r="S2054" s="14">
        <f t="shared" si="467"/>
        <v>0</v>
      </c>
    </row>
    <row r="2055" spans="1:19">
      <c r="A2055" s="14" t="str">
        <f t="shared" si="464"/>
        <v>SRY-6-3</v>
      </c>
      <c r="B2055" s="15">
        <f>'Curvas SRY'!$B$13</f>
        <v>15</v>
      </c>
      <c r="C2055" s="15">
        <f>'Curvas SRY'!$E$10</f>
        <v>1.25</v>
      </c>
      <c r="D2055" s="14" t="str">
        <f>'Curvas SRY'!$B$14</f>
        <v>Uso variable</v>
      </c>
      <c r="E2055" s="14">
        <f>12</f>
        <v>12</v>
      </c>
      <c r="F2055" s="21">
        <f>'Hoja 4 - Cálculo'!A36</f>
        <v>29921</v>
      </c>
      <c r="G2055" s="15">
        <f>'Hoja 4 - Cálculo'!H36</f>
        <v>15.3765</v>
      </c>
      <c r="H2055" s="15">
        <f>IF(D2055="Uso único",'Hoja 4 - Cálculo'!I36,IF(D2055="Uso múltiple",AVERAGE('Hoja 4 - Cálculo'!$I$25:$I$384)+AVERAGE('Hoja 4 - Cálculo'!$J$25:$J$384)+AVERAGE('Hoja 4 - Cálculo'!$K$25:$K$384),IF(D2055="Uso prioritario",'Hoja 4 - Cálculo'!I36+'Hoja 4 - Cálculo'!K36,'Hoja 4 - Cálculo'!I36+'Hoja 4 - Cálculo'!J36+'Hoja 4 - Cálculo'!K36)))</f>
        <v>16</v>
      </c>
      <c r="I2055" s="15">
        <f t="shared" si="468"/>
        <v>20</v>
      </c>
      <c r="J2055" s="15">
        <f t="shared" si="465"/>
        <v>15</v>
      </c>
      <c r="K2055" s="15">
        <f>MIN(J2055+G2055,(J2055+G2055)*'Hoja 4 - Cálculo'!$B$15)</f>
        <v>0.60753000000000001</v>
      </c>
      <c r="L2055" s="15">
        <f t="shared" si="469"/>
        <v>29.768969999999999</v>
      </c>
      <c r="M2055" s="15">
        <f t="shared" si="470"/>
        <v>20</v>
      </c>
      <c r="N2055" s="15">
        <f t="shared" si="471"/>
        <v>9.7689699999999995</v>
      </c>
      <c r="O2055" s="15">
        <f t="shared" si="472"/>
        <v>0</v>
      </c>
      <c r="P2055" s="15">
        <f t="shared" si="473"/>
        <v>0</v>
      </c>
      <c r="Q2055" s="14" t="str">
        <f>IF(M2055&gt;=I2055*'Hoja 4 - Cálculo'!$B$16,"Satisfactorio","Falla")</f>
        <v>Satisfactorio</v>
      </c>
      <c r="R2055" s="14">
        <f t="shared" si="466"/>
        <v>0</v>
      </c>
      <c r="S2055" s="14">
        <f t="shared" si="467"/>
        <v>0</v>
      </c>
    </row>
    <row r="2056" spans="1:19">
      <c r="A2056" s="14" t="str">
        <f t="shared" si="464"/>
        <v>SRY-6-3</v>
      </c>
      <c r="B2056" s="15">
        <f>'Curvas SRY'!$B$13</f>
        <v>15</v>
      </c>
      <c r="C2056" s="15">
        <f>'Curvas SRY'!$E$10</f>
        <v>1.25</v>
      </c>
      <c r="D2056" s="14" t="str">
        <f>'Curvas SRY'!$B$14</f>
        <v>Uso variable</v>
      </c>
      <c r="E2056" s="14">
        <f>13</f>
        <v>13</v>
      </c>
      <c r="F2056" s="21">
        <f>'Hoja 4 - Cálculo'!A37</f>
        <v>29952</v>
      </c>
      <c r="G2056" s="15">
        <f>'Hoja 4 - Cálculo'!H37</f>
        <v>13.808249999999999</v>
      </c>
      <c r="H2056" s="15">
        <f>IF(D2056="Uso único",'Hoja 4 - Cálculo'!I37,IF(D2056="Uso múltiple",AVERAGE('Hoja 4 - Cálculo'!$I$25:$I$384)+AVERAGE('Hoja 4 - Cálculo'!$J$25:$J$384)+AVERAGE('Hoja 4 - Cálculo'!$K$25:$K$384),IF(D2056="Uso prioritario",'Hoja 4 - Cálculo'!I37+'Hoja 4 - Cálculo'!K37,'Hoja 4 - Cálculo'!I37+'Hoja 4 - Cálculo'!J37+'Hoja 4 - Cálculo'!K37)))</f>
        <v>16</v>
      </c>
      <c r="I2056" s="15">
        <f t="shared" si="468"/>
        <v>20</v>
      </c>
      <c r="J2056" s="15">
        <f t="shared" si="465"/>
        <v>9.7689699999999995</v>
      </c>
      <c r="K2056" s="15">
        <f>MIN(J2056+G2056,(J2056+G2056)*'Hoja 4 - Cálculo'!$B$15)</f>
        <v>0.47154439999999997</v>
      </c>
      <c r="L2056" s="15">
        <f t="shared" si="469"/>
        <v>23.105675599999998</v>
      </c>
      <c r="M2056" s="15">
        <f t="shared" si="470"/>
        <v>20</v>
      </c>
      <c r="N2056" s="15">
        <f t="shared" si="471"/>
        <v>3.1056755999999979</v>
      </c>
      <c r="O2056" s="15">
        <f t="shared" si="472"/>
        <v>0</v>
      </c>
      <c r="P2056" s="15">
        <f t="shared" si="473"/>
        <v>0</v>
      </c>
      <c r="Q2056" s="14" t="str">
        <f>IF(M2056&gt;=I2056*'Hoja 4 - Cálculo'!$B$16,"Satisfactorio","Falla")</f>
        <v>Satisfactorio</v>
      </c>
      <c r="R2056" s="14">
        <f t="shared" si="466"/>
        <v>0</v>
      </c>
      <c r="S2056" s="14">
        <f t="shared" si="467"/>
        <v>0</v>
      </c>
    </row>
    <row r="2057" spans="1:19">
      <c r="A2057" s="14" t="str">
        <f t="shared" si="464"/>
        <v>SRY-6-3</v>
      </c>
      <c r="B2057" s="15">
        <f>'Curvas SRY'!$B$13</f>
        <v>15</v>
      </c>
      <c r="C2057" s="15">
        <f>'Curvas SRY'!$E$10</f>
        <v>1.25</v>
      </c>
      <c r="D2057" s="14" t="str">
        <f>'Curvas SRY'!$B$14</f>
        <v>Uso variable</v>
      </c>
      <c r="E2057" s="14">
        <f>14</f>
        <v>14</v>
      </c>
      <c r="F2057" s="21">
        <f>'Hoja 4 - Cálculo'!A38</f>
        <v>29983</v>
      </c>
      <c r="G2057" s="15">
        <f>'Hoja 4 - Cálculo'!H38</f>
        <v>15.472125</v>
      </c>
      <c r="H2057" s="15">
        <f>IF(D2057="Uso único",'Hoja 4 - Cálculo'!I38,IF(D2057="Uso múltiple",AVERAGE('Hoja 4 - Cálculo'!$I$25:$I$384)+AVERAGE('Hoja 4 - Cálculo'!$J$25:$J$384)+AVERAGE('Hoja 4 - Cálculo'!$K$25:$K$384),IF(D2057="Uso prioritario",'Hoja 4 - Cálculo'!I38+'Hoja 4 - Cálculo'!K38,'Hoja 4 - Cálculo'!I38+'Hoja 4 - Cálculo'!J38+'Hoja 4 - Cálculo'!K38)))</f>
        <v>16</v>
      </c>
      <c r="I2057" s="15">
        <f t="shared" si="468"/>
        <v>20</v>
      </c>
      <c r="J2057" s="15">
        <f t="shared" si="465"/>
        <v>3.1056755999999979</v>
      </c>
      <c r="K2057" s="15">
        <f>MIN(J2057+G2057,(J2057+G2057)*'Hoja 4 - Cálculo'!$B$15)</f>
        <v>0.37155601199999994</v>
      </c>
      <c r="L2057" s="15">
        <f t="shared" si="469"/>
        <v>18.206244587999997</v>
      </c>
      <c r="M2057" s="15">
        <f t="shared" si="470"/>
        <v>18.206244587999997</v>
      </c>
      <c r="N2057" s="15">
        <f t="shared" si="471"/>
        <v>0</v>
      </c>
      <c r="O2057" s="15">
        <f t="shared" si="472"/>
        <v>0</v>
      </c>
      <c r="P2057" s="15">
        <f t="shared" si="473"/>
        <v>1.793755412000003</v>
      </c>
      <c r="Q2057" s="14" t="str">
        <f>IF(M2057&gt;=I2057*'Hoja 4 - Cálculo'!$B$16,"Satisfactorio","Falla")</f>
        <v>Falla</v>
      </c>
      <c r="R2057" s="14">
        <f t="shared" si="466"/>
        <v>0</v>
      </c>
      <c r="S2057" s="14">
        <f t="shared" si="467"/>
        <v>1</v>
      </c>
    </row>
    <row r="2058" spans="1:19">
      <c r="A2058" s="14" t="str">
        <f t="shared" si="464"/>
        <v>SRY-6-3</v>
      </c>
      <c r="B2058" s="15">
        <f>'Curvas SRY'!$B$13</f>
        <v>15</v>
      </c>
      <c r="C2058" s="15">
        <f>'Curvas SRY'!$E$10</f>
        <v>1.25</v>
      </c>
      <c r="D2058" s="14" t="str">
        <f>'Curvas SRY'!$B$14</f>
        <v>Uso variable</v>
      </c>
      <c r="E2058" s="14">
        <f>15</f>
        <v>15</v>
      </c>
      <c r="F2058" s="21">
        <f>'Hoja 4 - Cálculo'!A39</f>
        <v>30011</v>
      </c>
      <c r="G2058" s="15">
        <f>'Hoja 4 - Cálculo'!H39</f>
        <v>22.338000000000001</v>
      </c>
      <c r="H2058" s="15">
        <f>IF(D2058="Uso único",'Hoja 4 - Cálculo'!I39,IF(D2058="Uso múltiple",AVERAGE('Hoja 4 - Cálculo'!$I$25:$I$384)+AVERAGE('Hoja 4 - Cálculo'!$J$25:$J$384)+AVERAGE('Hoja 4 - Cálculo'!$K$25:$K$384),IF(D2058="Uso prioritario",'Hoja 4 - Cálculo'!I39+'Hoja 4 - Cálculo'!K39,'Hoja 4 - Cálculo'!I39+'Hoja 4 - Cálculo'!J39+'Hoja 4 - Cálculo'!K39)))</f>
        <v>16</v>
      </c>
      <c r="I2058" s="15">
        <f t="shared" si="468"/>
        <v>20</v>
      </c>
      <c r="J2058" s="15">
        <f t="shared" si="465"/>
        <v>0</v>
      </c>
      <c r="K2058" s="15">
        <f>MIN(J2058+G2058,(J2058+G2058)*'Hoja 4 - Cálculo'!$B$15)</f>
        <v>0.44676000000000005</v>
      </c>
      <c r="L2058" s="15">
        <f t="shared" si="469"/>
        <v>21.89124</v>
      </c>
      <c r="M2058" s="15">
        <f t="shared" si="470"/>
        <v>20</v>
      </c>
      <c r="N2058" s="15">
        <f t="shared" si="471"/>
        <v>1.8912399999999998</v>
      </c>
      <c r="O2058" s="15">
        <f t="shared" si="472"/>
        <v>0</v>
      </c>
      <c r="P2058" s="15">
        <f t="shared" si="473"/>
        <v>0</v>
      </c>
      <c r="Q2058" s="14" t="str">
        <f>IF(M2058&gt;=I2058*'Hoja 4 - Cálculo'!$B$16,"Satisfactorio","Falla")</f>
        <v>Satisfactorio</v>
      </c>
      <c r="R2058" s="14">
        <f t="shared" si="466"/>
        <v>1</v>
      </c>
      <c r="S2058" s="14">
        <f t="shared" si="467"/>
        <v>0</v>
      </c>
    </row>
    <row r="2059" spans="1:19">
      <c r="A2059" s="14" t="str">
        <f t="shared" si="464"/>
        <v>SRY-6-3</v>
      </c>
      <c r="B2059" s="15">
        <f>'Curvas SRY'!$B$13</f>
        <v>15</v>
      </c>
      <c r="C2059" s="15">
        <f>'Curvas SRY'!$E$10</f>
        <v>1.25</v>
      </c>
      <c r="D2059" s="14" t="str">
        <f>'Curvas SRY'!$B$14</f>
        <v>Uso variable</v>
      </c>
      <c r="E2059" s="14">
        <f>16</f>
        <v>16</v>
      </c>
      <c r="F2059" s="21">
        <f>'Hoja 4 - Cálculo'!A40</f>
        <v>30042</v>
      </c>
      <c r="G2059" s="15">
        <f>'Hoja 4 - Cálculo'!H40</f>
        <v>31.670999999999999</v>
      </c>
      <c r="H2059" s="15">
        <f>IF(D2059="Uso único",'Hoja 4 - Cálculo'!I40,IF(D2059="Uso múltiple",AVERAGE('Hoja 4 - Cálculo'!$I$25:$I$384)+AVERAGE('Hoja 4 - Cálculo'!$J$25:$J$384)+AVERAGE('Hoja 4 - Cálculo'!$K$25:$K$384),IF(D2059="Uso prioritario",'Hoja 4 - Cálculo'!I40+'Hoja 4 - Cálculo'!K40,'Hoja 4 - Cálculo'!I40+'Hoja 4 - Cálculo'!J40+'Hoja 4 - Cálculo'!K40)))</f>
        <v>11.5</v>
      </c>
      <c r="I2059" s="15">
        <f t="shared" si="468"/>
        <v>14.375</v>
      </c>
      <c r="J2059" s="15">
        <f t="shared" si="465"/>
        <v>1.8912399999999998</v>
      </c>
      <c r="K2059" s="15">
        <f>MIN(J2059+G2059,(J2059+G2059)*'Hoja 4 - Cálculo'!$B$15)</f>
        <v>0.67124480000000009</v>
      </c>
      <c r="L2059" s="15">
        <f t="shared" si="469"/>
        <v>32.890995200000006</v>
      </c>
      <c r="M2059" s="15">
        <f t="shared" si="470"/>
        <v>14.375</v>
      </c>
      <c r="N2059" s="15">
        <f t="shared" si="471"/>
        <v>15</v>
      </c>
      <c r="O2059" s="15">
        <f t="shared" si="472"/>
        <v>3.5159952000000061</v>
      </c>
      <c r="P2059" s="15">
        <f t="shared" si="473"/>
        <v>0</v>
      </c>
      <c r="Q2059" s="14" t="str">
        <f>IF(M2059&gt;=I2059*'Hoja 4 - Cálculo'!$B$16,"Satisfactorio","Falla")</f>
        <v>Satisfactorio</v>
      </c>
      <c r="R2059" s="14">
        <f t="shared" si="466"/>
        <v>0</v>
      </c>
      <c r="S2059" s="14">
        <f t="shared" si="467"/>
        <v>0</v>
      </c>
    </row>
    <row r="2060" spans="1:19">
      <c r="A2060" s="14" t="str">
        <f t="shared" si="464"/>
        <v>SRY-6-3</v>
      </c>
      <c r="B2060" s="15">
        <f>'Curvas SRY'!$B$13</f>
        <v>15</v>
      </c>
      <c r="C2060" s="15">
        <f>'Curvas SRY'!$E$10</f>
        <v>1.25</v>
      </c>
      <c r="D2060" s="14" t="str">
        <f>'Curvas SRY'!$B$14</f>
        <v>Uso variable</v>
      </c>
      <c r="E2060" s="14">
        <f>17</f>
        <v>17</v>
      </c>
      <c r="F2060" s="21">
        <f>'Hoja 4 - Cálculo'!A41</f>
        <v>30072</v>
      </c>
      <c r="G2060" s="15">
        <f>'Hoja 4 - Cálculo'!H41</f>
        <v>29.299499999999998</v>
      </c>
      <c r="H2060" s="15">
        <f>IF(D2060="Uso único",'Hoja 4 - Cálculo'!I41,IF(D2060="Uso múltiple",AVERAGE('Hoja 4 - Cálculo'!$I$25:$I$384)+AVERAGE('Hoja 4 - Cálculo'!$J$25:$J$384)+AVERAGE('Hoja 4 - Cálculo'!$K$25:$K$384),IF(D2060="Uso prioritario",'Hoja 4 - Cálculo'!I41+'Hoja 4 - Cálculo'!K41,'Hoja 4 - Cálculo'!I41+'Hoja 4 - Cálculo'!J41+'Hoja 4 - Cálculo'!K41)))</f>
        <v>11.5</v>
      </c>
      <c r="I2060" s="15">
        <f t="shared" si="468"/>
        <v>14.375</v>
      </c>
      <c r="J2060" s="15">
        <f t="shared" si="465"/>
        <v>15</v>
      </c>
      <c r="K2060" s="15">
        <f>MIN(J2060+G2060,(J2060+G2060)*'Hoja 4 - Cálculo'!$B$15)</f>
        <v>0.88598999999999994</v>
      </c>
      <c r="L2060" s="15">
        <f t="shared" si="469"/>
        <v>43.413509999999995</v>
      </c>
      <c r="M2060" s="15">
        <f t="shared" si="470"/>
        <v>14.375</v>
      </c>
      <c r="N2060" s="15">
        <f t="shared" si="471"/>
        <v>15</v>
      </c>
      <c r="O2060" s="15">
        <f t="shared" si="472"/>
        <v>14.038509999999995</v>
      </c>
      <c r="P2060" s="15">
        <f t="shared" si="473"/>
        <v>0</v>
      </c>
      <c r="Q2060" s="14" t="str">
        <f>IF(M2060&gt;=I2060*'Hoja 4 - Cálculo'!$B$16,"Satisfactorio","Falla")</f>
        <v>Satisfactorio</v>
      </c>
      <c r="R2060" s="14">
        <f t="shared" si="466"/>
        <v>0</v>
      </c>
      <c r="S2060" s="14">
        <f t="shared" si="467"/>
        <v>0</v>
      </c>
    </row>
    <row r="2061" spans="1:19">
      <c r="A2061" s="14" t="str">
        <f t="shared" si="464"/>
        <v>SRY-6-3</v>
      </c>
      <c r="B2061" s="15">
        <f>'Curvas SRY'!$B$13</f>
        <v>15</v>
      </c>
      <c r="C2061" s="15">
        <f>'Curvas SRY'!$E$10</f>
        <v>1.25</v>
      </c>
      <c r="D2061" s="14" t="str">
        <f>'Curvas SRY'!$B$14</f>
        <v>Uso variable</v>
      </c>
      <c r="E2061" s="14">
        <f>18</f>
        <v>18</v>
      </c>
      <c r="F2061" s="21">
        <f>'Hoja 4 - Cálculo'!A42</f>
        <v>30103</v>
      </c>
      <c r="G2061" s="15">
        <f>'Hoja 4 - Cálculo'!H42</f>
        <v>18.321750000000002</v>
      </c>
      <c r="H2061" s="15">
        <f>IF(D2061="Uso único",'Hoja 4 - Cálculo'!I42,IF(D2061="Uso múltiple",AVERAGE('Hoja 4 - Cálculo'!$I$25:$I$384)+AVERAGE('Hoja 4 - Cálculo'!$J$25:$J$384)+AVERAGE('Hoja 4 - Cálculo'!$K$25:$K$384),IF(D2061="Uso prioritario",'Hoja 4 - Cálculo'!I42+'Hoja 4 - Cálculo'!K42,'Hoja 4 - Cálculo'!I42+'Hoja 4 - Cálculo'!J42+'Hoja 4 - Cálculo'!K42)))</f>
        <v>11.5</v>
      </c>
      <c r="I2061" s="15">
        <f t="shared" si="468"/>
        <v>14.375</v>
      </c>
      <c r="J2061" s="15">
        <f t="shared" si="465"/>
        <v>15</v>
      </c>
      <c r="K2061" s="15">
        <f>MIN(J2061+G2061,(J2061+G2061)*'Hoja 4 - Cálculo'!$B$15)</f>
        <v>0.666435</v>
      </c>
      <c r="L2061" s="15">
        <f t="shared" si="469"/>
        <v>32.655315000000002</v>
      </c>
      <c r="M2061" s="15">
        <f t="shared" si="470"/>
        <v>14.375</v>
      </c>
      <c r="N2061" s="15">
        <f t="shared" si="471"/>
        <v>15</v>
      </c>
      <c r="O2061" s="15">
        <f t="shared" si="472"/>
        <v>3.2803150000000016</v>
      </c>
      <c r="P2061" s="15">
        <f t="shared" si="473"/>
        <v>0</v>
      </c>
      <c r="Q2061" s="14" t="str">
        <f>IF(M2061&gt;=I2061*'Hoja 4 - Cálculo'!$B$16,"Satisfactorio","Falla")</f>
        <v>Satisfactorio</v>
      </c>
      <c r="R2061" s="14">
        <f t="shared" si="466"/>
        <v>0</v>
      </c>
      <c r="S2061" s="14">
        <f t="shared" si="467"/>
        <v>0</v>
      </c>
    </row>
    <row r="2062" spans="1:19">
      <c r="A2062" s="14" t="str">
        <f t="shared" si="464"/>
        <v>SRY-6-3</v>
      </c>
      <c r="B2062" s="15">
        <f>'Curvas SRY'!$B$13</f>
        <v>15</v>
      </c>
      <c r="C2062" s="15">
        <f>'Curvas SRY'!$E$10</f>
        <v>1.25</v>
      </c>
      <c r="D2062" s="14" t="str">
        <f>'Curvas SRY'!$B$14</f>
        <v>Uso variable</v>
      </c>
      <c r="E2062" s="14">
        <f>19</f>
        <v>19</v>
      </c>
      <c r="F2062" s="21">
        <f>'Hoja 4 - Cálculo'!A43</f>
        <v>30133</v>
      </c>
      <c r="G2062" s="15">
        <f>'Hoja 4 - Cálculo'!H43</f>
        <v>15.3765</v>
      </c>
      <c r="H2062" s="15">
        <f>IF(D2062="Uso único",'Hoja 4 - Cálculo'!I43,IF(D2062="Uso múltiple",AVERAGE('Hoja 4 - Cálculo'!$I$25:$I$384)+AVERAGE('Hoja 4 - Cálculo'!$J$25:$J$384)+AVERAGE('Hoja 4 - Cálculo'!$K$25:$K$384),IF(D2062="Uso prioritario",'Hoja 4 - Cálculo'!I43+'Hoja 4 - Cálculo'!K43,'Hoja 4 - Cálculo'!I43+'Hoja 4 - Cálculo'!J43+'Hoja 4 - Cálculo'!K43)))</f>
        <v>16</v>
      </c>
      <c r="I2062" s="15">
        <f t="shared" si="468"/>
        <v>20</v>
      </c>
      <c r="J2062" s="15">
        <f t="shared" si="465"/>
        <v>15</v>
      </c>
      <c r="K2062" s="15">
        <f>MIN(J2062+G2062,(J2062+G2062)*'Hoja 4 - Cálculo'!$B$15)</f>
        <v>0.60753000000000001</v>
      </c>
      <c r="L2062" s="15">
        <f t="shared" si="469"/>
        <v>29.768969999999999</v>
      </c>
      <c r="M2062" s="15">
        <f t="shared" si="470"/>
        <v>20</v>
      </c>
      <c r="N2062" s="15">
        <f t="shared" si="471"/>
        <v>9.7689699999999995</v>
      </c>
      <c r="O2062" s="15">
        <f t="shared" si="472"/>
        <v>0</v>
      </c>
      <c r="P2062" s="15">
        <f t="shared" si="473"/>
        <v>0</v>
      </c>
      <c r="Q2062" s="14" t="str">
        <f>IF(M2062&gt;=I2062*'Hoja 4 - Cálculo'!$B$16,"Satisfactorio","Falla")</f>
        <v>Satisfactorio</v>
      </c>
      <c r="R2062" s="14">
        <f t="shared" si="466"/>
        <v>0</v>
      </c>
      <c r="S2062" s="14">
        <f t="shared" si="467"/>
        <v>0</v>
      </c>
    </row>
    <row r="2063" spans="1:19">
      <c r="A2063" s="14" t="str">
        <f t="shared" si="464"/>
        <v>SRY-6-3</v>
      </c>
      <c r="B2063" s="15">
        <f>'Curvas SRY'!$B$13</f>
        <v>15</v>
      </c>
      <c r="C2063" s="15">
        <f>'Curvas SRY'!$E$10</f>
        <v>1.25</v>
      </c>
      <c r="D2063" s="14" t="str">
        <f>'Curvas SRY'!$B$14</f>
        <v>Uso variable</v>
      </c>
      <c r="E2063" s="14">
        <f>20</f>
        <v>20</v>
      </c>
      <c r="F2063" s="21">
        <f>'Hoja 4 - Cálculo'!A44</f>
        <v>30164</v>
      </c>
      <c r="G2063" s="15">
        <f>'Hoja 4 - Cálculo'!H44</f>
        <v>16.466625000000001</v>
      </c>
      <c r="H2063" s="15">
        <f>IF(D2063="Uso único",'Hoja 4 - Cálculo'!I44,IF(D2063="Uso múltiple",AVERAGE('Hoja 4 - Cálculo'!$I$25:$I$384)+AVERAGE('Hoja 4 - Cálculo'!$J$25:$J$384)+AVERAGE('Hoja 4 - Cálculo'!$K$25:$K$384),IF(D2063="Uso prioritario",'Hoja 4 - Cálculo'!I44+'Hoja 4 - Cálculo'!K44,'Hoja 4 - Cálculo'!I44+'Hoja 4 - Cálculo'!J44+'Hoja 4 - Cálculo'!K44)))</f>
        <v>16</v>
      </c>
      <c r="I2063" s="15">
        <f t="shared" si="468"/>
        <v>20</v>
      </c>
      <c r="J2063" s="15">
        <f t="shared" si="465"/>
        <v>9.7689699999999995</v>
      </c>
      <c r="K2063" s="15">
        <f>MIN(J2063+G2063,(J2063+G2063)*'Hoja 4 - Cálculo'!$B$15)</f>
        <v>0.52471190000000001</v>
      </c>
      <c r="L2063" s="15">
        <f t="shared" si="469"/>
        <v>25.7108831</v>
      </c>
      <c r="M2063" s="15">
        <f t="shared" si="470"/>
        <v>20</v>
      </c>
      <c r="N2063" s="15">
        <f t="shared" si="471"/>
        <v>5.7108831000000002</v>
      </c>
      <c r="O2063" s="15">
        <f t="shared" si="472"/>
        <v>0</v>
      </c>
      <c r="P2063" s="15">
        <f t="shared" si="473"/>
        <v>0</v>
      </c>
      <c r="Q2063" s="14" t="str">
        <f>IF(M2063&gt;=I2063*'Hoja 4 - Cálculo'!$B$16,"Satisfactorio","Falla")</f>
        <v>Satisfactorio</v>
      </c>
      <c r="R2063" s="14">
        <f t="shared" si="466"/>
        <v>0</v>
      </c>
      <c r="S2063" s="14">
        <f t="shared" si="467"/>
        <v>0</v>
      </c>
    </row>
    <row r="2064" spans="1:19">
      <c r="A2064" s="14" t="str">
        <f t="shared" si="464"/>
        <v>SRY-6-3</v>
      </c>
      <c r="B2064" s="15">
        <f>'Curvas SRY'!$B$13</f>
        <v>15</v>
      </c>
      <c r="C2064" s="15">
        <f>'Curvas SRY'!$E$10</f>
        <v>1.25</v>
      </c>
      <c r="D2064" s="14" t="str">
        <f>'Curvas SRY'!$B$14</f>
        <v>Uso variable</v>
      </c>
      <c r="E2064" s="14">
        <f>21</f>
        <v>21</v>
      </c>
      <c r="F2064" s="21">
        <f>'Hoja 4 - Cálculo'!A45</f>
        <v>30195</v>
      </c>
      <c r="G2064" s="15">
        <f>'Hoja 4 - Cálculo'!H45</f>
        <v>25.837875</v>
      </c>
      <c r="H2064" s="15">
        <f>IF(D2064="Uso único",'Hoja 4 - Cálculo'!I45,IF(D2064="Uso múltiple",AVERAGE('Hoja 4 - Cálculo'!$I$25:$I$384)+AVERAGE('Hoja 4 - Cálculo'!$J$25:$J$384)+AVERAGE('Hoja 4 - Cálculo'!$K$25:$K$384),IF(D2064="Uso prioritario",'Hoja 4 - Cálculo'!I45+'Hoja 4 - Cálculo'!K45,'Hoja 4 - Cálculo'!I45+'Hoja 4 - Cálculo'!J45+'Hoja 4 - Cálculo'!K45)))</f>
        <v>11.5</v>
      </c>
      <c r="I2064" s="15">
        <f t="shared" si="468"/>
        <v>14.375</v>
      </c>
      <c r="J2064" s="15">
        <f t="shared" si="465"/>
        <v>5.7108831000000002</v>
      </c>
      <c r="K2064" s="15">
        <f>MIN(J2064+G2064,(J2064+G2064)*'Hoja 4 - Cálculo'!$B$15)</f>
        <v>0.63097516200000003</v>
      </c>
      <c r="L2064" s="15">
        <f t="shared" si="469"/>
        <v>30.917782938000002</v>
      </c>
      <c r="M2064" s="15">
        <f t="shared" si="470"/>
        <v>14.375</v>
      </c>
      <c r="N2064" s="15">
        <f t="shared" si="471"/>
        <v>15</v>
      </c>
      <c r="O2064" s="15">
        <f t="shared" si="472"/>
        <v>1.542782938000002</v>
      </c>
      <c r="P2064" s="15">
        <f t="shared" si="473"/>
        <v>0</v>
      </c>
      <c r="Q2064" s="14" t="str">
        <f>IF(M2064&gt;=I2064*'Hoja 4 - Cálculo'!$B$16,"Satisfactorio","Falla")</f>
        <v>Satisfactorio</v>
      </c>
      <c r="R2064" s="14">
        <f t="shared" si="466"/>
        <v>0</v>
      </c>
      <c r="S2064" s="14">
        <f t="shared" si="467"/>
        <v>0</v>
      </c>
    </row>
    <row r="2065" spans="1:19">
      <c r="A2065" s="14" t="str">
        <f t="shared" si="464"/>
        <v>SRY-6-3</v>
      </c>
      <c r="B2065" s="15">
        <f>'Curvas SRY'!$B$13</f>
        <v>15</v>
      </c>
      <c r="C2065" s="15">
        <f>'Curvas SRY'!$E$10</f>
        <v>1.25</v>
      </c>
      <c r="D2065" s="14" t="str">
        <f>'Curvas SRY'!$B$14</f>
        <v>Uso variable</v>
      </c>
      <c r="E2065" s="14">
        <f>22</f>
        <v>22</v>
      </c>
      <c r="F2065" s="21">
        <f>'Hoja 4 - Cálculo'!A46</f>
        <v>30225</v>
      </c>
      <c r="G2065" s="15">
        <f>'Hoja 4 - Cálculo'!H46</f>
        <v>33.46875</v>
      </c>
      <c r="H2065" s="15">
        <f>IF(D2065="Uso único",'Hoja 4 - Cálculo'!I46,IF(D2065="Uso múltiple",AVERAGE('Hoja 4 - Cálculo'!$I$25:$I$384)+AVERAGE('Hoja 4 - Cálculo'!$J$25:$J$384)+AVERAGE('Hoja 4 - Cálculo'!$K$25:$K$384),IF(D2065="Uso prioritario",'Hoja 4 - Cálculo'!I46+'Hoja 4 - Cálculo'!K46,'Hoja 4 - Cálculo'!I46+'Hoja 4 - Cálculo'!J46+'Hoja 4 - Cálculo'!K46)))</f>
        <v>11.5</v>
      </c>
      <c r="I2065" s="15">
        <f t="shared" si="468"/>
        <v>14.375</v>
      </c>
      <c r="J2065" s="15">
        <f t="shared" si="465"/>
        <v>15</v>
      </c>
      <c r="K2065" s="15">
        <f>MIN(J2065+G2065,(J2065+G2065)*'Hoja 4 - Cálculo'!$B$15)</f>
        <v>0.96937499999999999</v>
      </c>
      <c r="L2065" s="15">
        <f t="shared" si="469"/>
        <v>47.499375000000001</v>
      </c>
      <c r="M2065" s="15">
        <f t="shared" si="470"/>
        <v>14.375</v>
      </c>
      <c r="N2065" s="15">
        <f t="shared" si="471"/>
        <v>15</v>
      </c>
      <c r="O2065" s="15">
        <f t="shared" si="472"/>
        <v>18.124375000000001</v>
      </c>
      <c r="P2065" s="15">
        <f t="shared" si="473"/>
        <v>0</v>
      </c>
      <c r="Q2065" s="14" t="str">
        <f>IF(M2065&gt;=I2065*'Hoja 4 - Cálculo'!$B$16,"Satisfactorio","Falla")</f>
        <v>Satisfactorio</v>
      </c>
      <c r="R2065" s="14">
        <f t="shared" si="466"/>
        <v>0</v>
      </c>
      <c r="S2065" s="14">
        <f t="shared" si="467"/>
        <v>0</v>
      </c>
    </row>
    <row r="2066" spans="1:19">
      <c r="A2066" s="14" t="str">
        <f t="shared" si="464"/>
        <v>SRY-6-3</v>
      </c>
      <c r="B2066" s="15">
        <f>'Curvas SRY'!$B$13</f>
        <v>15</v>
      </c>
      <c r="C2066" s="15">
        <f>'Curvas SRY'!$E$10</f>
        <v>1.25</v>
      </c>
      <c r="D2066" s="14" t="str">
        <f>'Curvas SRY'!$B$14</f>
        <v>Uso variable</v>
      </c>
      <c r="E2066" s="14">
        <f>23</f>
        <v>23</v>
      </c>
      <c r="F2066" s="21">
        <f>'Hoja 4 - Cálculo'!A47</f>
        <v>30256</v>
      </c>
      <c r="G2066" s="15">
        <f>'Hoja 4 - Cálculo'!H47</f>
        <v>27.578250000000001</v>
      </c>
      <c r="H2066" s="15">
        <f>IF(D2066="Uso único",'Hoja 4 - Cálculo'!I47,IF(D2066="Uso múltiple",AVERAGE('Hoja 4 - Cálculo'!$I$25:$I$384)+AVERAGE('Hoja 4 - Cálculo'!$J$25:$J$384)+AVERAGE('Hoja 4 - Cálculo'!$K$25:$K$384),IF(D2066="Uso prioritario",'Hoja 4 - Cálculo'!I47+'Hoja 4 - Cálculo'!K47,'Hoja 4 - Cálculo'!I47+'Hoja 4 - Cálculo'!J47+'Hoja 4 - Cálculo'!K47)))</f>
        <v>11.5</v>
      </c>
      <c r="I2066" s="15">
        <f t="shared" si="468"/>
        <v>14.375</v>
      </c>
      <c r="J2066" s="15">
        <f t="shared" si="465"/>
        <v>15</v>
      </c>
      <c r="K2066" s="15">
        <f>MIN(J2066+G2066,(J2066+G2066)*'Hoja 4 - Cálculo'!$B$15)</f>
        <v>0.85156499999999991</v>
      </c>
      <c r="L2066" s="15">
        <f t="shared" si="469"/>
        <v>41.726684999999996</v>
      </c>
      <c r="M2066" s="15">
        <f t="shared" si="470"/>
        <v>14.375</v>
      </c>
      <c r="N2066" s="15">
        <f t="shared" si="471"/>
        <v>15</v>
      </c>
      <c r="O2066" s="15">
        <f t="shared" si="472"/>
        <v>12.351684999999996</v>
      </c>
      <c r="P2066" s="15">
        <f t="shared" si="473"/>
        <v>0</v>
      </c>
      <c r="Q2066" s="14" t="str">
        <f>IF(M2066&gt;=I2066*'Hoja 4 - Cálculo'!$B$16,"Satisfactorio","Falla")</f>
        <v>Satisfactorio</v>
      </c>
      <c r="R2066" s="14">
        <f t="shared" si="466"/>
        <v>0</v>
      </c>
      <c r="S2066" s="14">
        <f t="shared" si="467"/>
        <v>0</v>
      </c>
    </row>
    <row r="2067" spans="1:19">
      <c r="A2067" s="14" t="str">
        <f t="shared" si="464"/>
        <v>SRY-6-3</v>
      </c>
      <c r="B2067" s="15">
        <f>'Curvas SRY'!$B$13</f>
        <v>15</v>
      </c>
      <c r="C2067" s="15">
        <f>'Curvas SRY'!$E$10</f>
        <v>1.25</v>
      </c>
      <c r="D2067" s="14" t="str">
        <f>'Curvas SRY'!$B$14</f>
        <v>Uso variable</v>
      </c>
      <c r="E2067" s="14">
        <f>24</f>
        <v>24</v>
      </c>
      <c r="F2067" s="21">
        <f>'Hoja 4 - Cálculo'!A48</f>
        <v>30286</v>
      </c>
      <c r="G2067" s="15">
        <f>'Hoja 4 - Cálculo'!H48</f>
        <v>16.256250000000001</v>
      </c>
      <c r="H2067" s="15">
        <f>IF(D2067="Uso único",'Hoja 4 - Cálculo'!I48,IF(D2067="Uso múltiple",AVERAGE('Hoja 4 - Cálculo'!$I$25:$I$384)+AVERAGE('Hoja 4 - Cálculo'!$J$25:$J$384)+AVERAGE('Hoja 4 - Cálculo'!$K$25:$K$384),IF(D2067="Uso prioritario",'Hoja 4 - Cálculo'!I48+'Hoja 4 - Cálculo'!K48,'Hoja 4 - Cálculo'!I48+'Hoja 4 - Cálculo'!J48+'Hoja 4 - Cálculo'!K48)))</f>
        <v>16</v>
      </c>
      <c r="I2067" s="15">
        <f t="shared" si="468"/>
        <v>20</v>
      </c>
      <c r="J2067" s="15">
        <f t="shared" si="465"/>
        <v>15</v>
      </c>
      <c r="K2067" s="15">
        <f>MIN(J2067+G2067,(J2067+G2067)*'Hoja 4 - Cálculo'!$B$15)</f>
        <v>0.62512500000000004</v>
      </c>
      <c r="L2067" s="15">
        <f t="shared" si="469"/>
        <v>30.631125000000001</v>
      </c>
      <c r="M2067" s="15">
        <f t="shared" si="470"/>
        <v>20</v>
      </c>
      <c r="N2067" s="15">
        <f t="shared" si="471"/>
        <v>10.631125000000001</v>
      </c>
      <c r="O2067" s="15">
        <f t="shared" si="472"/>
        <v>0</v>
      </c>
      <c r="P2067" s="15">
        <f t="shared" si="473"/>
        <v>0</v>
      </c>
      <c r="Q2067" s="14" t="str">
        <f>IF(M2067&gt;=I2067*'Hoja 4 - Cálculo'!$B$16,"Satisfactorio","Falla")</f>
        <v>Satisfactorio</v>
      </c>
      <c r="R2067" s="14">
        <f t="shared" si="466"/>
        <v>0</v>
      </c>
      <c r="S2067" s="14">
        <f t="shared" si="467"/>
        <v>0</v>
      </c>
    </row>
    <row r="2068" spans="1:19">
      <c r="A2068" s="14" t="str">
        <f t="shared" si="464"/>
        <v>SRY-6-3</v>
      </c>
      <c r="B2068" s="15">
        <f>'Curvas SRY'!$B$13</f>
        <v>15</v>
      </c>
      <c r="C2068" s="15">
        <f>'Curvas SRY'!$E$10</f>
        <v>1.25</v>
      </c>
      <c r="D2068" s="14" t="str">
        <f>'Curvas SRY'!$B$14</f>
        <v>Uso variable</v>
      </c>
      <c r="E2068" s="14">
        <f>25</f>
        <v>25</v>
      </c>
      <c r="F2068" s="21">
        <f>'Hoja 4 - Cálculo'!A49</f>
        <v>30317</v>
      </c>
      <c r="G2068" s="15">
        <f>'Hoja 4 - Cálculo'!H49</f>
        <v>12.775499999999999</v>
      </c>
      <c r="H2068" s="15">
        <f>IF(D2068="Uso único",'Hoja 4 - Cálculo'!I49,IF(D2068="Uso múltiple",AVERAGE('Hoja 4 - Cálculo'!$I$25:$I$384)+AVERAGE('Hoja 4 - Cálculo'!$J$25:$J$384)+AVERAGE('Hoja 4 - Cálculo'!$K$25:$K$384),IF(D2068="Uso prioritario",'Hoja 4 - Cálculo'!I49+'Hoja 4 - Cálculo'!K49,'Hoja 4 - Cálculo'!I49+'Hoja 4 - Cálculo'!J49+'Hoja 4 - Cálculo'!K49)))</f>
        <v>16</v>
      </c>
      <c r="I2068" s="15">
        <f t="shared" si="468"/>
        <v>20</v>
      </c>
      <c r="J2068" s="15">
        <f t="shared" si="465"/>
        <v>10.631125000000001</v>
      </c>
      <c r="K2068" s="15">
        <f>MIN(J2068+G2068,(J2068+G2068)*'Hoja 4 - Cálculo'!$B$15)</f>
        <v>0.46813249999999995</v>
      </c>
      <c r="L2068" s="15">
        <f t="shared" si="469"/>
        <v>22.938492499999999</v>
      </c>
      <c r="M2068" s="15">
        <f t="shared" si="470"/>
        <v>20</v>
      </c>
      <c r="N2068" s="15">
        <f t="shared" si="471"/>
        <v>2.9384924999999988</v>
      </c>
      <c r="O2068" s="15">
        <f t="shared" si="472"/>
        <v>0</v>
      </c>
      <c r="P2068" s="15">
        <f t="shared" si="473"/>
        <v>0</v>
      </c>
      <c r="Q2068" s="14" t="str">
        <f>IF(M2068&gt;=I2068*'Hoja 4 - Cálculo'!$B$16,"Satisfactorio","Falla")</f>
        <v>Satisfactorio</v>
      </c>
      <c r="R2068" s="14">
        <f t="shared" si="466"/>
        <v>0</v>
      </c>
      <c r="S2068" s="14">
        <f t="shared" si="467"/>
        <v>0</v>
      </c>
    </row>
    <row r="2069" spans="1:19">
      <c r="A2069" s="14" t="str">
        <f t="shared" si="464"/>
        <v>SRY-6-3</v>
      </c>
      <c r="B2069" s="15">
        <f>'Curvas SRY'!$B$13</f>
        <v>15</v>
      </c>
      <c r="C2069" s="15">
        <f>'Curvas SRY'!$E$10</f>
        <v>1.25</v>
      </c>
      <c r="D2069" s="14" t="str">
        <f>'Curvas SRY'!$B$14</f>
        <v>Uso variable</v>
      </c>
      <c r="E2069" s="14">
        <f>26</f>
        <v>26</v>
      </c>
      <c r="F2069" s="21">
        <f>'Hoja 4 - Cálculo'!A50</f>
        <v>30348</v>
      </c>
      <c r="G2069" s="15">
        <f>'Hoja 4 - Cálculo'!H50</f>
        <v>14.49675</v>
      </c>
      <c r="H2069" s="15">
        <f>IF(D2069="Uso único",'Hoja 4 - Cálculo'!I50,IF(D2069="Uso múltiple",AVERAGE('Hoja 4 - Cálculo'!$I$25:$I$384)+AVERAGE('Hoja 4 - Cálculo'!$J$25:$J$384)+AVERAGE('Hoja 4 - Cálculo'!$K$25:$K$384),IF(D2069="Uso prioritario",'Hoja 4 - Cálculo'!I50+'Hoja 4 - Cálculo'!K50,'Hoja 4 - Cálculo'!I50+'Hoja 4 - Cálculo'!J50+'Hoja 4 - Cálculo'!K50)))</f>
        <v>16</v>
      </c>
      <c r="I2069" s="15">
        <f t="shared" si="468"/>
        <v>20</v>
      </c>
      <c r="J2069" s="15">
        <f t="shared" si="465"/>
        <v>2.9384924999999988</v>
      </c>
      <c r="K2069" s="15">
        <f>MIN(J2069+G2069,(J2069+G2069)*'Hoja 4 - Cálculo'!$B$15)</f>
        <v>0.34870485000000001</v>
      </c>
      <c r="L2069" s="15">
        <f t="shared" si="469"/>
        <v>17.08653765</v>
      </c>
      <c r="M2069" s="15">
        <f t="shared" si="470"/>
        <v>17.08653765</v>
      </c>
      <c r="N2069" s="15">
        <f t="shared" si="471"/>
        <v>0</v>
      </c>
      <c r="O2069" s="15">
        <f t="shared" si="472"/>
        <v>0</v>
      </c>
      <c r="P2069" s="15">
        <f t="shared" si="473"/>
        <v>2.9134623499999996</v>
      </c>
      <c r="Q2069" s="14" t="str">
        <f>IF(M2069&gt;=I2069*'Hoja 4 - Cálculo'!$B$16,"Satisfactorio","Falla")</f>
        <v>Falla</v>
      </c>
      <c r="R2069" s="14">
        <f t="shared" si="466"/>
        <v>0</v>
      </c>
      <c r="S2069" s="14">
        <f t="shared" si="467"/>
        <v>1</v>
      </c>
    </row>
    <row r="2070" spans="1:19">
      <c r="A2070" s="14" t="str">
        <f t="shared" si="464"/>
        <v>SRY-6-3</v>
      </c>
      <c r="B2070" s="15">
        <f>'Curvas SRY'!$B$13</f>
        <v>15</v>
      </c>
      <c r="C2070" s="15">
        <f>'Curvas SRY'!$E$10</f>
        <v>1.25</v>
      </c>
      <c r="D2070" s="14" t="str">
        <f>'Curvas SRY'!$B$14</f>
        <v>Uso variable</v>
      </c>
      <c r="E2070" s="14">
        <f>27</f>
        <v>27</v>
      </c>
      <c r="F2070" s="21">
        <f>'Hoja 4 - Cálculo'!A51</f>
        <v>30376</v>
      </c>
      <c r="G2070" s="15">
        <f>'Hoja 4 - Cálculo'!H51</f>
        <v>21.936375000000002</v>
      </c>
      <c r="H2070" s="15">
        <f>IF(D2070="Uso único",'Hoja 4 - Cálculo'!I51,IF(D2070="Uso múltiple",AVERAGE('Hoja 4 - Cálculo'!$I$25:$I$384)+AVERAGE('Hoja 4 - Cálculo'!$J$25:$J$384)+AVERAGE('Hoja 4 - Cálculo'!$K$25:$K$384),IF(D2070="Uso prioritario",'Hoja 4 - Cálculo'!I51+'Hoja 4 - Cálculo'!K51,'Hoja 4 - Cálculo'!I51+'Hoja 4 - Cálculo'!J51+'Hoja 4 - Cálculo'!K51)))</f>
        <v>16</v>
      </c>
      <c r="I2070" s="15">
        <f t="shared" si="468"/>
        <v>20</v>
      </c>
      <c r="J2070" s="15">
        <f t="shared" si="465"/>
        <v>0</v>
      </c>
      <c r="K2070" s="15">
        <f>MIN(J2070+G2070,(J2070+G2070)*'Hoja 4 - Cálculo'!$B$15)</f>
        <v>0.43872750000000005</v>
      </c>
      <c r="L2070" s="15">
        <f t="shared" si="469"/>
        <v>21.497647500000003</v>
      </c>
      <c r="M2070" s="15">
        <f t="shared" si="470"/>
        <v>20</v>
      </c>
      <c r="N2070" s="15">
        <f t="shared" si="471"/>
        <v>1.4976475000000029</v>
      </c>
      <c r="O2070" s="15">
        <f t="shared" si="472"/>
        <v>0</v>
      </c>
      <c r="P2070" s="15">
        <f t="shared" si="473"/>
        <v>0</v>
      </c>
      <c r="Q2070" s="14" t="str">
        <f>IF(M2070&gt;=I2070*'Hoja 4 - Cálculo'!$B$16,"Satisfactorio","Falla")</f>
        <v>Satisfactorio</v>
      </c>
      <c r="R2070" s="14">
        <f t="shared" si="466"/>
        <v>1</v>
      </c>
      <c r="S2070" s="14">
        <f t="shared" si="467"/>
        <v>0</v>
      </c>
    </row>
    <row r="2071" spans="1:19">
      <c r="A2071" s="14" t="str">
        <f t="shared" si="464"/>
        <v>SRY-6-3</v>
      </c>
      <c r="B2071" s="15">
        <f>'Curvas SRY'!$B$13</f>
        <v>15</v>
      </c>
      <c r="C2071" s="15">
        <f>'Curvas SRY'!$E$10</f>
        <v>1.25</v>
      </c>
      <c r="D2071" s="14" t="str">
        <f>'Curvas SRY'!$B$14</f>
        <v>Uso variable</v>
      </c>
      <c r="E2071" s="14">
        <f>28</f>
        <v>28</v>
      </c>
      <c r="F2071" s="21">
        <f>'Hoja 4 - Cálculo'!A52</f>
        <v>30407</v>
      </c>
      <c r="G2071" s="15">
        <f>'Hoja 4 - Cálculo'!H52</f>
        <v>32.263874999999999</v>
      </c>
      <c r="H2071" s="15">
        <f>IF(D2071="Uso único",'Hoja 4 - Cálculo'!I52,IF(D2071="Uso múltiple",AVERAGE('Hoja 4 - Cálculo'!$I$25:$I$384)+AVERAGE('Hoja 4 - Cálculo'!$J$25:$J$384)+AVERAGE('Hoja 4 - Cálculo'!$K$25:$K$384),IF(D2071="Uso prioritario",'Hoja 4 - Cálculo'!I52+'Hoja 4 - Cálculo'!K52,'Hoja 4 - Cálculo'!I52+'Hoja 4 - Cálculo'!J52+'Hoja 4 - Cálculo'!K52)))</f>
        <v>11.5</v>
      </c>
      <c r="I2071" s="15">
        <f t="shared" si="468"/>
        <v>14.375</v>
      </c>
      <c r="J2071" s="15">
        <f t="shared" si="465"/>
        <v>1.4976475000000029</v>
      </c>
      <c r="K2071" s="15">
        <f>MIN(J2071+G2071,(J2071+G2071)*'Hoja 4 - Cálculo'!$B$15)</f>
        <v>0.67523044999999993</v>
      </c>
      <c r="L2071" s="15">
        <f t="shared" si="469"/>
        <v>33.086292049999997</v>
      </c>
      <c r="M2071" s="15">
        <f t="shared" si="470"/>
        <v>14.375</v>
      </c>
      <c r="N2071" s="15">
        <f t="shared" si="471"/>
        <v>15</v>
      </c>
      <c r="O2071" s="15">
        <f t="shared" si="472"/>
        <v>3.7112920499999973</v>
      </c>
      <c r="P2071" s="15">
        <f t="shared" si="473"/>
        <v>0</v>
      </c>
      <c r="Q2071" s="14" t="str">
        <f>IF(M2071&gt;=I2071*'Hoja 4 - Cálculo'!$B$16,"Satisfactorio","Falla")</f>
        <v>Satisfactorio</v>
      </c>
      <c r="R2071" s="14">
        <f t="shared" si="466"/>
        <v>0</v>
      </c>
      <c r="S2071" s="14">
        <f t="shared" si="467"/>
        <v>0</v>
      </c>
    </row>
    <row r="2072" spans="1:19">
      <c r="A2072" s="14" t="str">
        <f t="shared" si="464"/>
        <v>SRY-6-3</v>
      </c>
      <c r="B2072" s="15">
        <f>'Curvas SRY'!$B$13</f>
        <v>15</v>
      </c>
      <c r="C2072" s="15">
        <f>'Curvas SRY'!$E$10</f>
        <v>1.25</v>
      </c>
      <c r="D2072" s="14" t="str">
        <f>'Curvas SRY'!$B$14</f>
        <v>Uso variable</v>
      </c>
      <c r="E2072" s="14">
        <f>29</f>
        <v>29</v>
      </c>
      <c r="F2072" s="21">
        <f>'Hoja 4 - Cálculo'!A53</f>
        <v>30437</v>
      </c>
      <c r="G2072" s="15">
        <f>'Hoja 4 - Cálculo'!H53</f>
        <v>29.356874999999999</v>
      </c>
      <c r="H2072" s="15">
        <f>IF(D2072="Uso único",'Hoja 4 - Cálculo'!I53,IF(D2072="Uso múltiple",AVERAGE('Hoja 4 - Cálculo'!$I$25:$I$384)+AVERAGE('Hoja 4 - Cálculo'!$J$25:$J$384)+AVERAGE('Hoja 4 - Cálculo'!$K$25:$K$384),IF(D2072="Uso prioritario",'Hoja 4 - Cálculo'!I53+'Hoja 4 - Cálculo'!K53,'Hoja 4 - Cálculo'!I53+'Hoja 4 - Cálculo'!J53+'Hoja 4 - Cálculo'!K53)))</f>
        <v>11.5</v>
      </c>
      <c r="I2072" s="15">
        <f t="shared" si="468"/>
        <v>14.375</v>
      </c>
      <c r="J2072" s="15">
        <f t="shared" si="465"/>
        <v>15</v>
      </c>
      <c r="K2072" s="15">
        <f>MIN(J2072+G2072,(J2072+G2072)*'Hoja 4 - Cálculo'!$B$15)</f>
        <v>0.88713750000000002</v>
      </c>
      <c r="L2072" s="15">
        <f t="shared" si="469"/>
        <v>43.469737500000001</v>
      </c>
      <c r="M2072" s="15">
        <f t="shared" si="470"/>
        <v>14.375</v>
      </c>
      <c r="N2072" s="15">
        <f t="shared" si="471"/>
        <v>15</v>
      </c>
      <c r="O2072" s="15">
        <f t="shared" si="472"/>
        <v>14.094737500000001</v>
      </c>
      <c r="P2072" s="15">
        <f t="shared" si="473"/>
        <v>0</v>
      </c>
      <c r="Q2072" s="14" t="str">
        <f>IF(M2072&gt;=I2072*'Hoja 4 - Cálculo'!$B$16,"Satisfactorio","Falla")</f>
        <v>Satisfactorio</v>
      </c>
      <c r="R2072" s="14">
        <f t="shared" si="466"/>
        <v>0</v>
      </c>
      <c r="S2072" s="14">
        <f t="shared" si="467"/>
        <v>0</v>
      </c>
    </row>
    <row r="2073" spans="1:19">
      <c r="A2073" s="14" t="str">
        <f t="shared" si="464"/>
        <v>SRY-6-3</v>
      </c>
      <c r="B2073" s="15">
        <f>'Curvas SRY'!$B$13</f>
        <v>15</v>
      </c>
      <c r="C2073" s="15">
        <f>'Curvas SRY'!$E$10</f>
        <v>1.25</v>
      </c>
      <c r="D2073" s="14" t="str">
        <f>'Curvas SRY'!$B$14</f>
        <v>Uso variable</v>
      </c>
      <c r="E2073" s="14">
        <f>30</f>
        <v>30</v>
      </c>
      <c r="F2073" s="21">
        <f>'Hoja 4 - Cálculo'!A54</f>
        <v>30468</v>
      </c>
      <c r="G2073" s="15">
        <f>'Hoja 4 - Cálculo'!H54</f>
        <v>17.212499999999999</v>
      </c>
      <c r="H2073" s="15">
        <f>IF(D2073="Uso único",'Hoja 4 - Cálculo'!I54,IF(D2073="Uso múltiple",AVERAGE('Hoja 4 - Cálculo'!$I$25:$I$384)+AVERAGE('Hoja 4 - Cálculo'!$J$25:$J$384)+AVERAGE('Hoja 4 - Cálculo'!$K$25:$K$384),IF(D2073="Uso prioritario",'Hoja 4 - Cálculo'!I54+'Hoja 4 - Cálculo'!K54,'Hoja 4 - Cálculo'!I54+'Hoja 4 - Cálculo'!J54+'Hoja 4 - Cálculo'!K54)))</f>
        <v>11.5</v>
      </c>
      <c r="I2073" s="15">
        <f t="shared" si="468"/>
        <v>14.375</v>
      </c>
      <c r="J2073" s="15">
        <f t="shared" si="465"/>
        <v>15</v>
      </c>
      <c r="K2073" s="15">
        <f>MIN(J2073+G2073,(J2073+G2073)*'Hoja 4 - Cálculo'!$B$15)</f>
        <v>0.64424999999999999</v>
      </c>
      <c r="L2073" s="15">
        <f t="shared" si="469"/>
        <v>31.568249999999999</v>
      </c>
      <c r="M2073" s="15">
        <f t="shared" si="470"/>
        <v>14.375</v>
      </c>
      <c r="N2073" s="15">
        <f t="shared" si="471"/>
        <v>15</v>
      </c>
      <c r="O2073" s="15">
        <f t="shared" si="472"/>
        <v>2.193249999999999</v>
      </c>
      <c r="P2073" s="15">
        <f t="shared" si="473"/>
        <v>0</v>
      </c>
      <c r="Q2073" s="14" t="str">
        <f>IF(M2073&gt;=I2073*'Hoja 4 - Cálculo'!$B$16,"Satisfactorio","Falla")</f>
        <v>Satisfactorio</v>
      </c>
      <c r="R2073" s="14">
        <f t="shared" si="466"/>
        <v>0</v>
      </c>
      <c r="S2073" s="14">
        <f t="shared" si="467"/>
        <v>0</v>
      </c>
    </row>
    <row r="2074" spans="1:19">
      <c r="A2074" s="14" t="str">
        <f t="shared" si="464"/>
        <v>SRY-6-3</v>
      </c>
      <c r="B2074" s="15">
        <f>'Curvas SRY'!$B$13</f>
        <v>15</v>
      </c>
      <c r="C2074" s="15">
        <f>'Curvas SRY'!$E$10</f>
        <v>1.25</v>
      </c>
      <c r="D2074" s="14" t="str">
        <f>'Curvas SRY'!$B$14</f>
        <v>Uso variable</v>
      </c>
      <c r="E2074" s="14">
        <f>31</f>
        <v>31</v>
      </c>
      <c r="F2074" s="21">
        <f>'Hoja 4 - Cálculo'!A55</f>
        <v>30498</v>
      </c>
      <c r="G2074" s="15">
        <f>'Hoja 4 - Cálculo'!H55</f>
        <v>13.597875</v>
      </c>
      <c r="H2074" s="15">
        <f>IF(D2074="Uso único",'Hoja 4 - Cálculo'!I55,IF(D2074="Uso múltiple",AVERAGE('Hoja 4 - Cálculo'!$I$25:$I$384)+AVERAGE('Hoja 4 - Cálculo'!$J$25:$J$384)+AVERAGE('Hoja 4 - Cálculo'!$K$25:$K$384),IF(D2074="Uso prioritario",'Hoja 4 - Cálculo'!I55+'Hoja 4 - Cálculo'!K55,'Hoja 4 - Cálculo'!I55+'Hoja 4 - Cálculo'!J55+'Hoja 4 - Cálculo'!K55)))</f>
        <v>16</v>
      </c>
      <c r="I2074" s="15">
        <f t="shared" si="468"/>
        <v>20</v>
      </c>
      <c r="J2074" s="15">
        <f t="shared" si="465"/>
        <v>15</v>
      </c>
      <c r="K2074" s="15">
        <f>MIN(J2074+G2074,(J2074+G2074)*'Hoja 4 - Cálculo'!$B$15)</f>
        <v>0.57195750000000001</v>
      </c>
      <c r="L2074" s="15">
        <f t="shared" si="469"/>
        <v>28.025917500000002</v>
      </c>
      <c r="M2074" s="15">
        <f t="shared" si="470"/>
        <v>20</v>
      </c>
      <c r="N2074" s="15">
        <f t="shared" si="471"/>
        <v>8.025917500000002</v>
      </c>
      <c r="O2074" s="15">
        <f t="shared" si="472"/>
        <v>0</v>
      </c>
      <c r="P2074" s="15">
        <f t="shared" si="473"/>
        <v>0</v>
      </c>
      <c r="Q2074" s="14" t="str">
        <f>IF(M2074&gt;=I2074*'Hoja 4 - Cálculo'!$B$16,"Satisfactorio","Falla")</f>
        <v>Satisfactorio</v>
      </c>
      <c r="R2074" s="14">
        <f t="shared" si="466"/>
        <v>0</v>
      </c>
      <c r="S2074" s="14">
        <f t="shared" si="467"/>
        <v>0</v>
      </c>
    </row>
    <row r="2075" spans="1:19">
      <c r="A2075" s="14" t="str">
        <f t="shared" si="464"/>
        <v>SRY-6-3</v>
      </c>
      <c r="B2075" s="15">
        <f>'Curvas SRY'!$B$13</f>
        <v>15</v>
      </c>
      <c r="C2075" s="15">
        <f>'Curvas SRY'!$E$10</f>
        <v>1.25</v>
      </c>
      <c r="D2075" s="14" t="str">
        <f>'Curvas SRY'!$B$14</f>
        <v>Uso variable</v>
      </c>
      <c r="E2075" s="14">
        <f>32</f>
        <v>32</v>
      </c>
      <c r="F2075" s="21">
        <f>'Hoja 4 - Cálculo'!A56</f>
        <v>30529</v>
      </c>
      <c r="G2075" s="15">
        <f>'Hoja 4 - Cálculo'!H56</f>
        <v>14.592375000000001</v>
      </c>
      <c r="H2075" s="15">
        <f>IF(D2075="Uso único",'Hoja 4 - Cálculo'!I56,IF(D2075="Uso múltiple",AVERAGE('Hoja 4 - Cálculo'!$I$25:$I$384)+AVERAGE('Hoja 4 - Cálculo'!$J$25:$J$384)+AVERAGE('Hoja 4 - Cálculo'!$K$25:$K$384),IF(D2075="Uso prioritario",'Hoja 4 - Cálculo'!I56+'Hoja 4 - Cálculo'!K56,'Hoja 4 - Cálculo'!I56+'Hoja 4 - Cálculo'!J56+'Hoja 4 - Cálculo'!K56)))</f>
        <v>16</v>
      </c>
      <c r="I2075" s="15">
        <f t="shared" si="468"/>
        <v>20</v>
      </c>
      <c r="J2075" s="15">
        <f t="shared" si="465"/>
        <v>8.025917500000002</v>
      </c>
      <c r="K2075" s="15">
        <f>MIN(J2075+G2075,(J2075+G2075)*'Hoja 4 - Cálculo'!$B$15)</f>
        <v>0.45236585000000007</v>
      </c>
      <c r="L2075" s="15">
        <f t="shared" si="469"/>
        <v>22.165926650000003</v>
      </c>
      <c r="M2075" s="15">
        <f t="shared" si="470"/>
        <v>20</v>
      </c>
      <c r="N2075" s="15">
        <f t="shared" si="471"/>
        <v>2.165926650000003</v>
      </c>
      <c r="O2075" s="15">
        <f t="shared" si="472"/>
        <v>0</v>
      </c>
      <c r="P2075" s="15">
        <f t="shared" si="473"/>
        <v>0</v>
      </c>
      <c r="Q2075" s="14" t="str">
        <f>IF(M2075&gt;=I2075*'Hoja 4 - Cálculo'!$B$16,"Satisfactorio","Falla")</f>
        <v>Satisfactorio</v>
      </c>
      <c r="R2075" s="14">
        <f t="shared" si="466"/>
        <v>0</v>
      </c>
      <c r="S2075" s="14">
        <f t="shared" si="467"/>
        <v>0</v>
      </c>
    </row>
    <row r="2076" spans="1:19">
      <c r="A2076" s="14" t="str">
        <f t="shared" ref="A2076:A2107" si="474">"SRY-6-3"</f>
        <v>SRY-6-3</v>
      </c>
      <c r="B2076" s="15">
        <f>'Curvas SRY'!$B$13</f>
        <v>15</v>
      </c>
      <c r="C2076" s="15">
        <f>'Curvas SRY'!$E$10</f>
        <v>1.25</v>
      </c>
      <c r="D2076" s="14" t="str">
        <f>'Curvas SRY'!$B$14</f>
        <v>Uso variable</v>
      </c>
      <c r="E2076" s="14">
        <f>33</f>
        <v>33</v>
      </c>
      <c r="F2076" s="21">
        <f>'Hoja 4 - Cálculo'!A57</f>
        <v>30560</v>
      </c>
      <c r="G2076" s="15">
        <f>'Hoja 4 - Cálculo'!H57</f>
        <v>24.307874999999999</v>
      </c>
      <c r="H2076" s="15">
        <f>IF(D2076="Uso único",'Hoja 4 - Cálculo'!I57,IF(D2076="Uso múltiple",AVERAGE('Hoja 4 - Cálculo'!$I$25:$I$384)+AVERAGE('Hoja 4 - Cálculo'!$J$25:$J$384)+AVERAGE('Hoja 4 - Cálculo'!$K$25:$K$384),IF(D2076="Uso prioritario",'Hoja 4 - Cálculo'!I57+'Hoja 4 - Cálculo'!K57,'Hoja 4 - Cálculo'!I57+'Hoja 4 - Cálculo'!J57+'Hoja 4 - Cálculo'!K57)))</f>
        <v>11.5</v>
      </c>
      <c r="I2076" s="15">
        <f t="shared" si="468"/>
        <v>14.375</v>
      </c>
      <c r="J2076" s="15">
        <f t="shared" si="465"/>
        <v>2.165926650000003</v>
      </c>
      <c r="K2076" s="15">
        <f>MIN(J2076+G2076,(J2076+G2076)*'Hoja 4 - Cálculo'!$B$15)</f>
        <v>0.52947603300000001</v>
      </c>
      <c r="L2076" s="15">
        <f t="shared" si="469"/>
        <v>25.944325617000001</v>
      </c>
      <c r="M2076" s="15">
        <f t="shared" si="470"/>
        <v>14.375</v>
      </c>
      <c r="N2076" s="15">
        <f t="shared" si="471"/>
        <v>11.569325617000001</v>
      </c>
      <c r="O2076" s="15">
        <f t="shared" si="472"/>
        <v>0</v>
      </c>
      <c r="P2076" s="15">
        <f t="shared" si="473"/>
        <v>0</v>
      </c>
      <c r="Q2076" s="14" t="str">
        <f>IF(M2076&gt;=I2076*'Hoja 4 - Cálculo'!$B$16,"Satisfactorio","Falla")</f>
        <v>Satisfactorio</v>
      </c>
      <c r="R2076" s="14">
        <f t="shared" si="466"/>
        <v>0</v>
      </c>
      <c r="S2076" s="14">
        <f t="shared" si="467"/>
        <v>0</v>
      </c>
    </row>
    <row r="2077" spans="1:19">
      <c r="A2077" s="14" t="str">
        <f t="shared" si="474"/>
        <v>SRY-6-3</v>
      </c>
      <c r="B2077" s="15">
        <f>'Curvas SRY'!$B$13</f>
        <v>15</v>
      </c>
      <c r="C2077" s="15">
        <f>'Curvas SRY'!$E$10</f>
        <v>1.25</v>
      </c>
      <c r="D2077" s="14" t="str">
        <f>'Curvas SRY'!$B$14</f>
        <v>Uso variable</v>
      </c>
      <c r="E2077" s="14">
        <f>34</f>
        <v>34</v>
      </c>
      <c r="F2077" s="21">
        <f>'Hoja 4 - Cálculo'!A58</f>
        <v>30590</v>
      </c>
      <c r="G2077" s="15">
        <f>'Hoja 4 - Cálculo'!H58</f>
        <v>33.564374999999998</v>
      </c>
      <c r="H2077" s="15">
        <f>IF(D2077="Uso único",'Hoja 4 - Cálculo'!I58,IF(D2077="Uso múltiple",AVERAGE('Hoja 4 - Cálculo'!$I$25:$I$384)+AVERAGE('Hoja 4 - Cálculo'!$J$25:$J$384)+AVERAGE('Hoja 4 - Cálculo'!$K$25:$K$384),IF(D2077="Uso prioritario",'Hoja 4 - Cálculo'!I58+'Hoja 4 - Cálculo'!K58,'Hoja 4 - Cálculo'!I58+'Hoja 4 - Cálculo'!J58+'Hoja 4 - Cálculo'!K58)))</f>
        <v>11.5</v>
      </c>
      <c r="I2077" s="15">
        <f t="shared" si="468"/>
        <v>14.375</v>
      </c>
      <c r="J2077" s="15">
        <f t="shared" ref="J2077:J2108" si="475">N2076</f>
        <v>11.569325617000001</v>
      </c>
      <c r="K2077" s="15">
        <f>MIN(J2077+G2077,(J2077+G2077)*'Hoja 4 - Cálculo'!$B$15)</f>
        <v>0.90267401234000011</v>
      </c>
      <c r="L2077" s="15">
        <f t="shared" si="469"/>
        <v>44.231026604660002</v>
      </c>
      <c r="M2077" s="15">
        <f t="shared" si="470"/>
        <v>14.375</v>
      </c>
      <c r="N2077" s="15">
        <f t="shared" si="471"/>
        <v>15</v>
      </c>
      <c r="O2077" s="15">
        <f t="shared" si="472"/>
        <v>14.856026604660002</v>
      </c>
      <c r="P2077" s="15">
        <f t="shared" si="473"/>
        <v>0</v>
      </c>
      <c r="Q2077" s="14" t="str">
        <f>IF(M2077&gt;=I2077*'Hoja 4 - Cálculo'!$B$16,"Satisfactorio","Falla")</f>
        <v>Satisfactorio</v>
      </c>
      <c r="R2077" s="14">
        <f t="shared" ref="R2077:R2108" si="476">IF(AND(Q2076="Falla",Q2077="Satisfactorio"),1,0)</f>
        <v>0</v>
      </c>
      <c r="S2077" s="14">
        <f t="shared" ref="S2077:S2108" si="477">IF(AND(Q2077="Falla",Q2076&lt;&gt;"Falla"),1,0)</f>
        <v>0</v>
      </c>
    </row>
    <row r="2078" spans="1:19">
      <c r="A2078" s="14" t="str">
        <f t="shared" si="474"/>
        <v>SRY-6-3</v>
      </c>
      <c r="B2078" s="15">
        <f>'Curvas SRY'!$B$13</f>
        <v>15</v>
      </c>
      <c r="C2078" s="15">
        <f>'Curvas SRY'!$E$10</f>
        <v>1.25</v>
      </c>
      <c r="D2078" s="14" t="str">
        <f>'Curvas SRY'!$B$14</f>
        <v>Uso variable</v>
      </c>
      <c r="E2078" s="14">
        <f>35</f>
        <v>35</v>
      </c>
      <c r="F2078" s="21">
        <f>'Hoja 4 - Cálculo'!A59</f>
        <v>30621</v>
      </c>
      <c r="G2078" s="15">
        <f>'Hoja 4 - Cálculo'!H59</f>
        <v>28.075500000000002</v>
      </c>
      <c r="H2078" s="15">
        <f>IF(D2078="Uso único",'Hoja 4 - Cálculo'!I59,IF(D2078="Uso múltiple",AVERAGE('Hoja 4 - Cálculo'!$I$25:$I$384)+AVERAGE('Hoja 4 - Cálculo'!$J$25:$J$384)+AVERAGE('Hoja 4 - Cálculo'!$K$25:$K$384),IF(D2078="Uso prioritario",'Hoja 4 - Cálculo'!I59+'Hoja 4 - Cálculo'!K59,'Hoja 4 - Cálculo'!I59+'Hoja 4 - Cálculo'!J59+'Hoja 4 - Cálculo'!K59)))</f>
        <v>11.5</v>
      </c>
      <c r="I2078" s="15">
        <f t="shared" si="468"/>
        <v>14.375</v>
      </c>
      <c r="J2078" s="15">
        <f t="shared" si="475"/>
        <v>15</v>
      </c>
      <c r="K2078" s="15">
        <f>MIN(J2078+G2078,(J2078+G2078)*'Hoja 4 - Cálculo'!$B$15)</f>
        <v>0.86151000000000011</v>
      </c>
      <c r="L2078" s="15">
        <f t="shared" si="469"/>
        <v>42.213990000000003</v>
      </c>
      <c r="M2078" s="15">
        <f t="shared" si="470"/>
        <v>14.375</v>
      </c>
      <c r="N2078" s="15">
        <f t="shared" si="471"/>
        <v>15</v>
      </c>
      <c r="O2078" s="15">
        <f t="shared" si="472"/>
        <v>12.838990000000003</v>
      </c>
      <c r="P2078" s="15">
        <f t="shared" si="473"/>
        <v>0</v>
      </c>
      <c r="Q2078" s="14" t="str">
        <f>IF(M2078&gt;=I2078*'Hoja 4 - Cálculo'!$B$16,"Satisfactorio","Falla")</f>
        <v>Satisfactorio</v>
      </c>
      <c r="R2078" s="14">
        <f t="shared" si="476"/>
        <v>0</v>
      </c>
      <c r="S2078" s="14">
        <f t="shared" si="477"/>
        <v>0</v>
      </c>
    </row>
    <row r="2079" spans="1:19">
      <c r="A2079" s="14" t="str">
        <f t="shared" si="474"/>
        <v>SRY-6-3</v>
      </c>
      <c r="B2079" s="15">
        <f>'Curvas SRY'!$B$13</f>
        <v>15</v>
      </c>
      <c r="C2079" s="15">
        <f>'Curvas SRY'!$E$10</f>
        <v>1.25</v>
      </c>
      <c r="D2079" s="14" t="str">
        <f>'Curvas SRY'!$B$14</f>
        <v>Uso variable</v>
      </c>
      <c r="E2079" s="14">
        <f>36</f>
        <v>36</v>
      </c>
      <c r="F2079" s="21">
        <f>'Hoja 4 - Cálculo'!A60</f>
        <v>30651</v>
      </c>
      <c r="G2079" s="15">
        <f>'Hoja 4 - Cálculo'!H60</f>
        <v>15.931125</v>
      </c>
      <c r="H2079" s="15">
        <f>IF(D2079="Uso único",'Hoja 4 - Cálculo'!I60,IF(D2079="Uso múltiple",AVERAGE('Hoja 4 - Cálculo'!$I$25:$I$384)+AVERAGE('Hoja 4 - Cálculo'!$J$25:$J$384)+AVERAGE('Hoja 4 - Cálculo'!$K$25:$K$384),IF(D2079="Uso prioritario",'Hoja 4 - Cálculo'!I60+'Hoja 4 - Cálculo'!K60,'Hoja 4 - Cálculo'!I60+'Hoja 4 - Cálculo'!J60+'Hoja 4 - Cálculo'!K60)))</f>
        <v>16</v>
      </c>
      <c r="I2079" s="15">
        <f t="shared" si="468"/>
        <v>20</v>
      </c>
      <c r="J2079" s="15">
        <f t="shared" si="475"/>
        <v>15</v>
      </c>
      <c r="K2079" s="15">
        <f>MIN(J2079+G2079,(J2079+G2079)*'Hoja 4 - Cálculo'!$B$15)</f>
        <v>0.61862250000000008</v>
      </c>
      <c r="L2079" s="15">
        <f t="shared" si="469"/>
        <v>30.312502500000001</v>
      </c>
      <c r="M2079" s="15">
        <f t="shared" si="470"/>
        <v>20</v>
      </c>
      <c r="N2079" s="15">
        <f t="shared" si="471"/>
        <v>10.312502500000001</v>
      </c>
      <c r="O2079" s="15">
        <f t="shared" si="472"/>
        <v>0</v>
      </c>
      <c r="P2079" s="15">
        <f t="shared" si="473"/>
        <v>0</v>
      </c>
      <c r="Q2079" s="14" t="str">
        <f>IF(M2079&gt;=I2079*'Hoja 4 - Cálculo'!$B$16,"Satisfactorio","Falla")</f>
        <v>Satisfactorio</v>
      </c>
      <c r="R2079" s="14">
        <f t="shared" si="476"/>
        <v>0</v>
      </c>
      <c r="S2079" s="14">
        <f t="shared" si="477"/>
        <v>0</v>
      </c>
    </row>
    <row r="2080" spans="1:19">
      <c r="A2080" s="14" t="str">
        <f t="shared" si="474"/>
        <v>SRY-6-3</v>
      </c>
      <c r="B2080" s="15">
        <f>'Curvas SRY'!$B$13</f>
        <v>15</v>
      </c>
      <c r="C2080" s="15">
        <f>'Curvas SRY'!$E$10</f>
        <v>1.25</v>
      </c>
      <c r="D2080" s="14" t="str">
        <f>'Curvas SRY'!$B$14</f>
        <v>Uso variable</v>
      </c>
      <c r="E2080" s="14">
        <f>37</f>
        <v>37</v>
      </c>
      <c r="F2080" s="21">
        <f>'Hoja 4 - Cálculo'!A61</f>
        <v>30682</v>
      </c>
      <c r="G2080" s="15">
        <f>'Hoja 4 - Cálculo'!H61</f>
        <v>10.920375</v>
      </c>
      <c r="H2080" s="15">
        <f>IF(D2080="Uso único",'Hoja 4 - Cálculo'!I61,IF(D2080="Uso múltiple",AVERAGE('Hoja 4 - Cálculo'!$I$25:$I$384)+AVERAGE('Hoja 4 - Cálculo'!$J$25:$J$384)+AVERAGE('Hoja 4 - Cálculo'!$K$25:$K$384),IF(D2080="Uso prioritario",'Hoja 4 - Cálculo'!I61+'Hoja 4 - Cálculo'!K61,'Hoja 4 - Cálculo'!I61+'Hoja 4 - Cálculo'!J61+'Hoja 4 - Cálculo'!K61)))</f>
        <v>16</v>
      </c>
      <c r="I2080" s="15">
        <f t="shared" si="468"/>
        <v>20</v>
      </c>
      <c r="J2080" s="15">
        <f t="shared" si="475"/>
        <v>10.312502500000001</v>
      </c>
      <c r="K2080" s="15">
        <f>MIN(J2080+G2080,(J2080+G2080)*'Hoja 4 - Cálculo'!$B$15)</f>
        <v>0.42465755000000005</v>
      </c>
      <c r="L2080" s="15">
        <f t="shared" si="469"/>
        <v>20.808219950000002</v>
      </c>
      <c r="M2080" s="15">
        <f t="shared" si="470"/>
        <v>20</v>
      </c>
      <c r="N2080" s="15">
        <f t="shared" si="471"/>
        <v>0.80821995000000157</v>
      </c>
      <c r="O2080" s="15">
        <f t="shared" si="472"/>
        <v>0</v>
      </c>
      <c r="P2080" s="15">
        <f t="shared" si="473"/>
        <v>0</v>
      </c>
      <c r="Q2080" s="14" t="str">
        <f>IF(M2080&gt;=I2080*'Hoja 4 - Cálculo'!$B$16,"Satisfactorio","Falla")</f>
        <v>Satisfactorio</v>
      </c>
      <c r="R2080" s="14">
        <f t="shared" si="476"/>
        <v>0</v>
      </c>
      <c r="S2080" s="14">
        <f t="shared" si="477"/>
        <v>0</v>
      </c>
    </row>
    <row r="2081" spans="1:19">
      <c r="A2081" s="14" t="str">
        <f t="shared" si="474"/>
        <v>SRY-6-3</v>
      </c>
      <c r="B2081" s="15">
        <f>'Curvas SRY'!$B$13</f>
        <v>15</v>
      </c>
      <c r="C2081" s="15">
        <f>'Curvas SRY'!$E$10</f>
        <v>1.25</v>
      </c>
      <c r="D2081" s="14" t="str">
        <f>'Curvas SRY'!$B$14</f>
        <v>Uso variable</v>
      </c>
      <c r="E2081" s="14">
        <f>38</f>
        <v>38</v>
      </c>
      <c r="F2081" s="21">
        <f>'Hoja 4 - Cálculo'!A62</f>
        <v>30713</v>
      </c>
      <c r="G2081" s="15">
        <f>'Hoja 4 - Cálculo'!H62</f>
        <v>13.04325</v>
      </c>
      <c r="H2081" s="15">
        <f>IF(D2081="Uso único",'Hoja 4 - Cálculo'!I62,IF(D2081="Uso múltiple",AVERAGE('Hoja 4 - Cálculo'!$I$25:$I$384)+AVERAGE('Hoja 4 - Cálculo'!$J$25:$J$384)+AVERAGE('Hoja 4 - Cálculo'!$K$25:$K$384),IF(D2081="Uso prioritario",'Hoja 4 - Cálculo'!I62+'Hoja 4 - Cálculo'!K62,'Hoja 4 - Cálculo'!I62+'Hoja 4 - Cálculo'!J62+'Hoja 4 - Cálculo'!K62)))</f>
        <v>16</v>
      </c>
      <c r="I2081" s="15">
        <f t="shared" si="468"/>
        <v>20</v>
      </c>
      <c r="J2081" s="15">
        <f t="shared" si="475"/>
        <v>0.80821995000000157</v>
      </c>
      <c r="K2081" s="15">
        <f>MIN(J2081+G2081,(J2081+G2081)*'Hoja 4 - Cálculo'!$B$15)</f>
        <v>0.27702939900000007</v>
      </c>
      <c r="L2081" s="15">
        <f t="shared" si="469"/>
        <v>13.574440551000002</v>
      </c>
      <c r="M2081" s="15">
        <f t="shared" si="470"/>
        <v>13.574440551000002</v>
      </c>
      <c r="N2081" s="15">
        <f t="shared" si="471"/>
        <v>0</v>
      </c>
      <c r="O2081" s="15">
        <f t="shared" si="472"/>
        <v>0</v>
      </c>
      <c r="P2081" s="15">
        <f t="shared" si="473"/>
        <v>6.4255594489999979</v>
      </c>
      <c r="Q2081" s="14" t="str">
        <f>IF(M2081&gt;=I2081*'Hoja 4 - Cálculo'!$B$16,"Satisfactorio","Falla")</f>
        <v>Falla</v>
      </c>
      <c r="R2081" s="14">
        <f t="shared" si="476"/>
        <v>0</v>
      </c>
      <c r="S2081" s="14">
        <f t="shared" si="477"/>
        <v>1</v>
      </c>
    </row>
    <row r="2082" spans="1:19">
      <c r="A2082" s="14" t="str">
        <f t="shared" si="474"/>
        <v>SRY-6-3</v>
      </c>
      <c r="B2082" s="15">
        <f>'Curvas SRY'!$B$13</f>
        <v>15</v>
      </c>
      <c r="C2082" s="15">
        <f>'Curvas SRY'!$E$10</f>
        <v>1.25</v>
      </c>
      <c r="D2082" s="14" t="str">
        <f>'Curvas SRY'!$B$14</f>
        <v>Uso variable</v>
      </c>
      <c r="E2082" s="14">
        <f>39</f>
        <v>39</v>
      </c>
      <c r="F2082" s="21">
        <f>'Hoja 4 - Cálculo'!A63</f>
        <v>30742</v>
      </c>
      <c r="G2082" s="15">
        <f>'Hoja 4 - Cálculo'!H63</f>
        <v>20.272500000000001</v>
      </c>
      <c r="H2082" s="15">
        <f>IF(D2082="Uso único",'Hoja 4 - Cálculo'!I63,IF(D2082="Uso múltiple",AVERAGE('Hoja 4 - Cálculo'!$I$25:$I$384)+AVERAGE('Hoja 4 - Cálculo'!$J$25:$J$384)+AVERAGE('Hoja 4 - Cálculo'!$K$25:$K$384),IF(D2082="Uso prioritario",'Hoja 4 - Cálculo'!I63+'Hoja 4 - Cálculo'!K63,'Hoja 4 - Cálculo'!I63+'Hoja 4 - Cálculo'!J63+'Hoja 4 - Cálculo'!K63)))</f>
        <v>16</v>
      </c>
      <c r="I2082" s="15">
        <f t="shared" si="468"/>
        <v>20</v>
      </c>
      <c r="J2082" s="15">
        <f t="shared" si="475"/>
        <v>0</v>
      </c>
      <c r="K2082" s="15">
        <f>MIN(J2082+G2082,(J2082+G2082)*'Hoja 4 - Cálculo'!$B$15)</f>
        <v>0.40545000000000003</v>
      </c>
      <c r="L2082" s="15">
        <f t="shared" si="469"/>
        <v>19.867050000000003</v>
      </c>
      <c r="M2082" s="15">
        <f t="shared" si="470"/>
        <v>19.867050000000003</v>
      </c>
      <c r="N2082" s="15">
        <f t="shared" si="471"/>
        <v>0</v>
      </c>
      <c r="O2082" s="15">
        <f t="shared" si="472"/>
        <v>0</v>
      </c>
      <c r="P2082" s="15">
        <f t="shared" si="473"/>
        <v>0.13294999999999746</v>
      </c>
      <c r="Q2082" s="14" t="str">
        <f>IF(M2082&gt;=I2082*'Hoja 4 - Cálculo'!$B$16,"Satisfactorio","Falla")</f>
        <v>Falla</v>
      </c>
      <c r="R2082" s="14">
        <f t="shared" si="476"/>
        <v>0</v>
      </c>
      <c r="S2082" s="14">
        <f t="shared" si="477"/>
        <v>0</v>
      </c>
    </row>
    <row r="2083" spans="1:19">
      <c r="A2083" s="14" t="str">
        <f t="shared" si="474"/>
        <v>SRY-6-3</v>
      </c>
      <c r="B2083" s="15">
        <f>'Curvas SRY'!$B$13</f>
        <v>15</v>
      </c>
      <c r="C2083" s="15">
        <f>'Curvas SRY'!$E$10</f>
        <v>1.25</v>
      </c>
      <c r="D2083" s="14" t="str">
        <f>'Curvas SRY'!$B$14</f>
        <v>Uso variable</v>
      </c>
      <c r="E2083" s="14">
        <f>40</f>
        <v>40</v>
      </c>
      <c r="F2083" s="21">
        <f>'Hoja 4 - Cálculo'!A64</f>
        <v>30773</v>
      </c>
      <c r="G2083" s="15">
        <f>'Hoja 4 - Cálculo'!H64</f>
        <v>27.922499999999999</v>
      </c>
      <c r="H2083" s="15">
        <f>IF(D2083="Uso único",'Hoja 4 - Cálculo'!I64,IF(D2083="Uso múltiple",AVERAGE('Hoja 4 - Cálculo'!$I$25:$I$384)+AVERAGE('Hoja 4 - Cálculo'!$J$25:$J$384)+AVERAGE('Hoja 4 - Cálculo'!$K$25:$K$384),IF(D2083="Uso prioritario",'Hoja 4 - Cálculo'!I64+'Hoja 4 - Cálculo'!K64,'Hoja 4 - Cálculo'!I64+'Hoja 4 - Cálculo'!J64+'Hoja 4 - Cálculo'!K64)))</f>
        <v>11.5</v>
      </c>
      <c r="I2083" s="15">
        <f t="shared" si="468"/>
        <v>14.375</v>
      </c>
      <c r="J2083" s="15">
        <f t="shared" si="475"/>
        <v>0</v>
      </c>
      <c r="K2083" s="15">
        <f>MIN(J2083+G2083,(J2083+G2083)*'Hoja 4 - Cálculo'!$B$15)</f>
        <v>0.55845</v>
      </c>
      <c r="L2083" s="15">
        <f t="shared" si="469"/>
        <v>27.364049999999999</v>
      </c>
      <c r="M2083" s="15">
        <f t="shared" si="470"/>
        <v>14.375</v>
      </c>
      <c r="N2083" s="15">
        <f t="shared" si="471"/>
        <v>12.989049999999999</v>
      </c>
      <c r="O2083" s="15">
        <f t="shared" si="472"/>
        <v>0</v>
      </c>
      <c r="P2083" s="15">
        <f t="shared" si="473"/>
        <v>0</v>
      </c>
      <c r="Q2083" s="14" t="str">
        <f>IF(M2083&gt;=I2083*'Hoja 4 - Cálculo'!$B$16,"Satisfactorio","Falla")</f>
        <v>Satisfactorio</v>
      </c>
      <c r="R2083" s="14">
        <f t="shared" si="476"/>
        <v>1</v>
      </c>
      <c r="S2083" s="14">
        <f t="shared" si="477"/>
        <v>0</v>
      </c>
    </row>
    <row r="2084" spans="1:19">
      <c r="A2084" s="14" t="str">
        <f t="shared" si="474"/>
        <v>SRY-6-3</v>
      </c>
      <c r="B2084" s="15">
        <f>'Curvas SRY'!$B$13</f>
        <v>15</v>
      </c>
      <c r="C2084" s="15">
        <f>'Curvas SRY'!$E$10</f>
        <v>1.25</v>
      </c>
      <c r="D2084" s="14" t="str">
        <f>'Curvas SRY'!$B$14</f>
        <v>Uso variable</v>
      </c>
      <c r="E2084" s="14">
        <f>41</f>
        <v>41</v>
      </c>
      <c r="F2084" s="21">
        <f>'Hoja 4 - Cálculo'!A65</f>
        <v>30803</v>
      </c>
      <c r="G2084" s="15">
        <f>'Hoja 4 - Cálculo'!H65</f>
        <v>23.657624999999999</v>
      </c>
      <c r="H2084" s="15">
        <f>IF(D2084="Uso único",'Hoja 4 - Cálculo'!I65,IF(D2084="Uso múltiple",AVERAGE('Hoja 4 - Cálculo'!$I$25:$I$384)+AVERAGE('Hoja 4 - Cálculo'!$J$25:$J$384)+AVERAGE('Hoja 4 - Cálculo'!$K$25:$K$384),IF(D2084="Uso prioritario",'Hoja 4 - Cálculo'!I65+'Hoja 4 - Cálculo'!K65,'Hoja 4 - Cálculo'!I65+'Hoja 4 - Cálculo'!J65+'Hoja 4 - Cálculo'!K65)))</f>
        <v>11.5</v>
      </c>
      <c r="I2084" s="15">
        <f t="shared" si="468"/>
        <v>14.375</v>
      </c>
      <c r="J2084" s="15">
        <f t="shared" si="475"/>
        <v>12.989049999999999</v>
      </c>
      <c r="K2084" s="15">
        <f>MIN(J2084+G2084,(J2084+G2084)*'Hoja 4 - Cálculo'!$B$15)</f>
        <v>0.73293350000000002</v>
      </c>
      <c r="L2084" s="15">
        <f t="shared" si="469"/>
        <v>35.9137415</v>
      </c>
      <c r="M2084" s="15">
        <f t="shared" si="470"/>
        <v>14.375</v>
      </c>
      <c r="N2084" s="15">
        <f t="shared" si="471"/>
        <v>15</v>
      </c>
      <c r="O2084" s="15">
        <f t="shared" si="472"/>
        <v>6.5387415000000004</v>
      </c>
      <c r="P2084" s="15">
        <f t="shared" si="473"/>
        <v>0</v>
      </c>
      <c r="Q2084" s="14" t="str">
        <f>IF(M2084&gt;=I2084*'Hoja 4 - Cálculo'!$B$16,"Satisfactorio","Falla")</f>
        <v>Satisfactorio</v>
      </c>
      <c r="R2084" s="14">
        <f t="shared" si="476"/>
        <v>0</v>
      </c>
      <c r="S2084" s="14">
        <f t="shared" si="477"/>
        <v>0</v>
      </c>
    </row>
    <row r="2085" spans="1:19">
      <c r="A2085" s="14" t="str">
        <f t="shared" si="474"/>
        <v>SRY-6-3</v>
      </c>
      <c r="B2085" s="15">
        <f>'Curvas SRY'!$B$13</f>
        <v>15</v>
      </c>
      <c r="C2085" s="15">
        <f>'Curvas SRY'!$E$10</f>
        <v>1.25</v>
      </c>
      <c r="D2085" s="14" t="str">
        <f>'Curvas SRY'!$B$14</f>
        <v>Uso variable</v>
      </c>
      <c r="E2085" s="14">
        <f>42</f>
        <v>42</v>
      </c>
      <c r="F2085" s="21">
        <f>'Hoja 4 - Cálculo'!A66</f>
        <v>30834</v>
      </c>
      <c r="G2085" s="15">
        <f>'Hoja 4 - Cálculo'!H66</f>
        <v>14.554125000000001</v>
      </c>
      <c r="H2085" s="15">
        <f>IF(D2085="Uso único",'Hoja 4 - Cálculo'!I66,IF(D2085="Uso múltiple",AVERAGE('Hoja 4 - Cálculo'!$I$25:$I$384)+AVERAGE('Hoja 4 - Cálculo'!$J$25:$J$384)+AVERAGE('Hoja 4 - Cálculo'!$K$25:$K$384),IF(D2085="Uso prioritario",'Hoja 4 - Cálculo'!I66+'Hoja 4 - Cálculo'!K66,'Hoja 4 - Cálculo'!I66+'Hoja 4 - Cálculo'!J66+'Hoja 4 - Cálculo'!K66)))</f>
        <v>11.5</v>
      </c>
      <c r="I2085" s="15">
        <f t="shared" si="468"/>
        <v>14.375</v>
      </c>
      <c r="J2085" s="15">
        <f t="shared" si="475"/>
        <v>15</v>
      </c>
      <c r="K2085" s="15">
        <f>MIN(J2085+G2085,(J2085+G2085)*'Hoja 4 - Cálculo'!$B$15)</f>
        <v>0.59108249999999996</v>
      </c>
      <c r="L2085" s="15">
        <f t="shared" si="469"/>
        <v>28.9630425</v>
      </c>
      <c r="M2085" s="15">
        <f t="shared" si="470"/>
        <v>14.375</v>
      </c>
      <c r="N2085" s="15">
        <f t="shared" si="471"/>
        <v>14.5880425</v>
      </c>
      <c r="O2085" s="15">
        <f t="shared" si="472"/>
        <v>0</v>
      </c>
      <c r="P2085" s="15">
        <f t="shared" si="473"/>
        <v>0</v>
      </c>
      <c r="Q2085" s="14" t="str">
        <f>IF(M2085&gt;=I2085*'Hoja 4 - Cálculo'!$B$16,"Satisfactorio","Falla")</f>
        <v>Satisfactorio</v>
      </c>
      <c r="R2085" s="14">
        <f t="shared" si="476"/>
        <v>0</v>
      </c>
      <c r="S2085" s="14">
        <f t="shared" si="477"/>
        <v>0</v>
      </c>
    </row>
    <row r="2086" spans="1:19">
      <c r="A2086" s="14" t="str">
        <f t="shared" si="474"/>
        <v>SRY-6-3</v>
      </c>
      <c r="B2086" s="15">
        <f>'Curvas SRY'!$B$13</f>
        <v>15</v>
      </c>
      <c r="C2086" s="15">
        <f>'Curvas SRY'!$E$10</f>
        <v>1.25</v>
      </c>
      <c r="D2086" s="14" t="str">
        <f>'Curvas SRY'!$B$14</f>
        <v>Uso variable</v>
      </c>
      <c r="E2086" s="14">
        <f>43</f>
        <v>43</v>
      </c>
      <c r="F2086" s="21">
        <f>'Hoja 4 - Cálculo'!A67</f>
        <v>30864</v>
      </c>
      <c r="G2086" s="15">
        <f>'Hoja 4 - Cálculo'!H67</f>
        <v>12.794625</v>
      </c>
      <c r="H2086" s="15">
        <f>IF(D2086="Uso único",'Hoja 4 - Cálculo'!I67,IF(D2086="Uso múltiple",AVERAGE('Hoja 4 - Cálculo'!$I$25:$I$384)+AVERAGE('Hoja 4 - Cálculo'!$J$25:$J$384)+AVERAGE('Hoja 4 - Cálculo'!$K$25:$K$384),IF(D2086="Uso prioritario",'Hoja 4 - Cálculo'!I67+'Hoja 4 - Cálculo'!K67,'Hoja 4 - Cálculo'!I67+'Hoja 4 - Cálculo'!J67+'Hoja 4 - Cálculo'!K67)))</f>
        <v>16</v>
      </c>
      <c r="I2086" s="15">
        <f t="shared" si="468"/>
        <v>20</v>
      </c>
      <c r="J2086" s="15">
        <f t="shared" si="475"/>
        <v>14.5880425</v>
      </c>
      <c r="K2086" s="15">
        <f>MIN(J2086+G2086,(J2086+G2086)*'Hoja 4 - Cálculo'!$B$15)</f>
        <v>0.54765335000000004</v>
      </c>
      <c r="L2086" s="15">
        <f t="shared" si="469"/>
        <v>26.835014149999999</v>
      </c>
      <c r="M2086" s="15">
        <f t="shared" si="470"/>
        <v>20</v>
      </c>
      <c r="N2086" s="15">
        <f t="shared" si="471"/>
        <v>6.8350141499999992</v>
      </c>
      <c r="O2086" s="15">
        <f t="shared" si="472"/>
        <v>0</v>
      </c>
      <c r="P2086" s="15">
        <f t="shared" si="473"/>
        <v>0</v>
      </c>
      <c r="Q2086" s="14" t="str">
        <f>IF(M2086&gt;=I2086*'Hoja 4 - Cálculo'!$B$16,"Satisfactorio","Falla")</f>
        <v>Satisfactorio</v>
      </c>
      <c r="R2086" s="14">
        <f t="shared" si="476"/>
        <v>0</v>
      </c>
      <c r="S2086" s="14">
        <f t="shared" si="477"/>
        <v>0</v>
      </c>
    </row>
    <row r="2087" spans="1:19">
      <c r="A2087" s="14" t="str">
        <f t="shared" si="474"/>
        <v>SRY-6-3</v>
      </c>
      <c r="B2087" s="15">
        <f>'Curvas SRY'!$B$13</f>
        <v>15</v>
      </c>
      <c r="C2087" s="15">
        <f>'Curvas SRY'!$E$10</f>
        <v>1.25</v>
      </c>
      <c r="D2087" s="14" t="str">
        <f>'Curvas SRY'!$B$14</f>
        <v>Uso variable</v>
      </c>
      <c r="E2087" s="14">
        <f>44</f>
        <v>44</v>
      </c>
      <c r="F2087" s="21">
        <f>'Hoja 4 - Cálculo'!A68</f>
        <v>30895</v>
      </c>
      <c r="G2087" s="15">
        <f>'Hoja 4 - Cálculo'!H68</f>
        <v>13.6935</v>
      </c>
      <c r="H2087" s="15">
        <f>IF(D2087="Uso único",'Hoja 4 - Cálculo'!I68,IF(D2087="Uso múltiple",AVERAGE('Hoja 4 - Cálculo'!$I$25:$I$384)+AVERAGE('Hoja 4 - Cálculo'!$J$25:$J$384)+AVERAGE('Hoja 4 - Cálculo'!$K$25:$K$384),IF(D2087="Uso prioritario",'Hoja 4 - Cálculo'!I68+'Hoja 4 - Cálculo'!K68,'Hoja 4 - Cálculo'!I68+'Hoja 4 - Cálculo'!J68+'Hoja 4 - Cálculo'!K68)))</f>
        <v>16</v>
      </c>
      <c r="I2087" s="15">
        <f t="shared" si="468"/>
        <v>20</v>
      </c>
      <c r="J2087" s="15">
        <f t="shared" si="475"/>
        <v>6.8350141499999992</v>
      </c>
      <c r="K2087" s="15">
        <f>MIN(J2087+G2087,(J2087+G2087)*'Hoja 4 - Cálculo'!$B$15)</f>
        <v>0.41057028299999998</v>
      </c>
      <c r="L2087" s="15">
        <f t="shared" si="469"/>
        <v>20.117943867000001</v>
      </c>
      <c r="M2087" s="15">
        <f t="shared" si="470"/>
        <v>20</v>
      </c>
      <c r="N2087" s="15">
        <f t="shared" si="471"/>
        <v>0.11794386700000103</v>
      </c>
      <c r="O2087" s="15">
        <f t="shared" si="472"/>
        <v>0</v>
      </c>
      <c r="P2087" s="15">
        <f t="shared" si="473"/>
        <v>0</v>
      </c>
      <c r="Q2087" s="14" t="str">
        <f>IF(M2087&gt;=I2087*'Hoja 4 - Cálculo'!$B$16,"Satisfactorio","Falla")</f>
        <v>Satisfactorio</v>
      </c>
      <c r="R2087" s="14">
        <f t="shared" si="476"/>
        <v>0</v>
      </c>
      <c r="S2087" s="14">
        <f t="shared" si="477"/>
        <v>0</v>
      </c>
    </row>
    <row r="2088" spans="1:19">
      <c r="A2088" s="14" t="str">
        <f t="shared" si="474"/>
        <v>SRY-6-3</v>
      </c>
      <c r="B2088" s="15">
        <f>'Curvas SRY'!$B$13</f>
        <v>15</v>
      </c>
      <c r="C2088" s="15">
        <f>'Curvas SRY'!$E$10</f>
        <v>1.25</v>
      </c>
      <c r="D2088" s="14" t="str">
        <f>'Curvas SRY'!$B$14</f>
        <v>Uso variable</v>
      </c>
      <c r="E2088" s="14">
        <f>45</f>
        <v>45</v>
      </c>
      <c r="F2088" s="21">
        <f>'Hoja 4 - Cálculo'!A69</f>
        <v>30926</v>
      </c>
      <c r="G2088" s="15">
        <f>'Hoja 4 - Cálculo'!H69</f>
        <v>20.521125000000001</v>
      </c>
      <c r="H2088" s="15">
        <f>IF(D2088="Uso único",'Hoja 4 - Cálculo'!I69,IF(D2088="Uso múltiple",AVERAGE('Hoja 4 - Cálculo'!$I$25:$I$384)+AVERAGE('Hoja 4 - Cálculo'!$J$25:$J$384)+AVERAGE('Hoja 4 - Cálculo'!$K$25:$K$384),IF(D2088="Uso prioritario",'Hoja 4 - Cálculo'!I69+'Hoja 4 - Cálculo'!K69,'Hoja 4 - Cálculo'!I69+'Hoja 4 - Cálculo'!J69+'Hoja 4 - Cálculo'!K69)))</f>
        <v>11.5</v>
      </c>
      <c r="I2088" s="15">
        <f t="shared" si="468"/>
        <v>14.375</v>
      </c>
      <c r="J2088" s="15">
        <f t="shared" si="475"/>
        <v>0.11794386700000103</v>
      </c>
      <c r="K2088" s="15">
        <f>MIN(J2088+G2088,(J2088+G2088)*'Hoja 4 - Cálculo'!$B$15)</f>
        <v>0.41278137734000003</v>
      </c>
      <c r="L2088" s="15">
        <f t="shared" si="469"/>
        <v>20.226287489660002</v>
      </c>
      <c r="M2088" s="15">
        <f t="shared" si="470"/>
        <v>14.375</v>
      </c>
      <c r="N2088" s="15">
        <f t="shared" si="471"/>
        <v>5.8512874896600024</v>
      </c>
      <c r="O2088" s="15">
        <f t="shared" si="472"/>
        <v>0</v>
      </c>
      <c r="P2088" s="15">
        <f t="shared" si="473"/>
        <v>0</v>
      </c>
      <c r="Q2088" s="14" t="str">
        <f>IF(M2088&gt;=I2088*'Hoja 4 - Cálculo'!$B$16,"Satisfactorio","Falla")</f>
        <v>Satisfactorio</v>
      </c>
      <c r="R2088" s="14">
        <f t="shared" si="476"/>
        <v>0</v>
      </c>
      <c r="S2088" s="14">
        <f t="shared" si="477"/>
        <v>0</v>
      </c>
    </row>
    <row r="2089" spans="1:19">
      <c r="A2089" s="14" t="str">
        <f t="shared" si="474"/>
        <v>SRY-6-3</v>
      </c>
      <c r="B2089" s="15">
        <f>'Curvas SRY'!$B$13</f>
        <v>15</v>
      </c>
      <c r="C2089" s="15">
        <f>'Curvas SRY'!$E$10</f>
        <v>1.25</v>
      </c>
      <c r="D2089" s="14" t="str">
        <f>'Curvas SRY'!$B$14</f>
        <v>Uso variable</v>
      </c>
      <c r="E2089" s="14">
        <f>46</f>
        <v>46</v>
      </c>
      <c r="F2089" s="21">
        <f>'Hoja 4 - Cálculo'!A70</f>
        <v>30956</v>
      </c>
      <c r="G2089" s="15">
        <f>'Hoja 4 - Cálculo'!H70</f>
        <v>27.061875000000001</v>
      </c>
      <c r="H2089" s="15">
        <f>IF(D2089="Uso único",'Hoja 4 - Cálculo'!I70,IF(D2089="Uso múltiple",AVERAGE('Hoja 4 - Cálculo'!$I$25:$I$384)+AVERAGE('Hoja 4 - Cálculo'!$J$25:$J$384)+AVERAGE('Hoja 4 - Cálculo'!$K$25:$K$384),IF(D2089="Uso prioritario",'Hoja 4 - Cálculo'!I70+'Hoja 4 - Cálculo'!K70,'Hoja 4 - Cálculo'!I70+'Hoja 4 - Cálculo'!J70+'Hoja 4 - Cálculo'!K70)))</f>
        <v>11.5</v>
      </c>
      <c r="I2089" s="15">
        <f t="shared" si="468"/>
        <v>14.375</v>
      </c>
      <c r="J2089" s="15">
        <f t="shared" si="475"/>
        <v>5.8512874896600024</v>
      </c>
      <c r="K2089" s="15">
        <f>MIN(J2089+G2089,(J2089+G2089)*'Hoja 4 - Cálculo'!$B$15)</f>
        <v>0.65826324979320006</v>
      </c>
      <c r="L2089" s="15">
        <f t="shared" si="469"/>
        <v>32.254899239866802</v>
      </c>
      <c r="M2089" s="15">
        <f t="shared" si="470"/>
        <v>14.375</v>
      </c>
      <c r="N2089" s="15">
        <f t="shared" si="471"/>
        <v>15</v>
      </c>
      <c r="O2089" s="15">
        <f t="shared" si="472"/>
        <v>2.879899239866802</v>
      </c>
      <c r="P2089" s="15">
        <f t="shared" si="473"/>
        <v>0</v>
      </c>
      <c r="Q2089" s="14" t="str">
        <f>IF(M2089&gt;=I2089*'Hoja 4 - Cálculo'!$B$16,"Satisfactorio","Falla")</f>
        <v>Satisfactorio</v>
      </c>
      <c r="R2089" s="14">
        <f t="shared" si="476"/>
        <v>0</v>
      </c>
      <c r="S2089" s="14">
        <f t="shared" si="477"/>
        <v>0</v>
      </c>
    </row>
    <row r="2090" spans="1:19">
      <c r="A2090" s="14" t="str">
        <f t="shared" si="474"/>
        <v>SRY-6-3</v>
      </c>
      <c r="B2090" s="15">
        <f>'Curvas SRY'!$B$13</f>
        <v>15</v>
      </c>
      <c r="C2090" s="15">
        <f>'Curvas SRY'!$E$10</f>
        <v>1.25</v>
      </c>
      <c r="D2090" s="14" t="str">
        <f>'Curvas SRY'!$B$14</f>
        <v>Uso variable</v>
      </c>
      <c r="E2090" s="14">
        <f>47</f>
        <v>47</v>
      </c>
      <c r="F2090" s="21">
        <f>'Hoja 4 - Cálculo'!A71</f>
        <v>30987</v>
      </c>
      <c r="G2090" s="15">
        <f>'Hoja 4 - Cálculo'!H71</f>
        <v>24.346125000000001</v>
      </c>
      <c r="H2090" s="15">
        <f>IF(D2090="Uso único",'Hoja 4 - Cálculo'!I71,IF(D2090="Uso múltiple",AVERAGE('Hoja 4 - Cálculo'!$I$25:$I$384)+AVERAGE('Hoja 4 - Cálculo'!$J$25:$J$384)+AVERAGE('Hoja 4 - Cálculo'!$K$25:$K$384),IF(D2090="Uso prioritario",'Hoja 4 - Cálculo'!I71+'Hoja 4 - Cálculo'!K71,'Hoja 4 - Cálculo'!I71+'Hoja 4 - Cálculo'!J71+'Hoja 4 - Cálculo'!K71)))</f>
        <v>11.5</v>
      </c>
      <c r="I2090" s="15">
        <f t="shared" si="468"/>
        <v>14.375</v>
      </c>
      <c r="J2090" s="15">
        <f t="shared" si="475"/>
        <v>15</v>
      </c>
      <c r="K2090" s="15">
        <f>MIN(J2090+G2090,(J2090+G2090)*'Hoja 4 - Cálculo'!$B$15)</f>
        <v>0.78692250000000008</v>
      </c>
      <c r="L2090" s="15">
        <f t="shared" si="469"/>
        <v>38.559202499999998</v>
      </c>
      <c r="M2090" s="15">
        <f t="shared" si="470"/>
        <v>14.375</v>
      </c>
      <c r="N2090" s="15">
        <f t="shared" si="471"/>
        <v>15</v>
      </c>
      <c r="O2090" s="15">
        <f t="shared" si="472"/>
        <v>9.1842024999999978</v>
      </c>
      <c r="P2090" s="15">
        <f t="shared" si="473"/>
        <v>0</v>
      </c>
      <c r="Q2090" s="14" t="str">
        <f>IF(M2090&gt;=I2090*'Hoja 4 - Cálculo'!$B$16,"Satisfactorio","Falla")</f>
        <v>Satisfactorio</v>
      </c>
      <c r="R2090" s="14">
        <f t="shared" si="476"/>
        <v>0</v>
      </c>
      <c r="S2090" s="14">
        <f t="shared" si="477"/>
        <v>0</v>
      </c>
    </row>
    <row r="2091" spans="1:19">
      <c r="A2091" s="14" t="str">
        <f t="shared" si="474"/>
        <v>SRY-6-3</v>
      </c>
      <c r="B2091" s="15">
        <f>'Curvas SRY'!$B$13</f>
        <v>15</v>
      </c>
      <c r="C2091" s="15">
        <f>'Curvas SRY'!$E$10</f>
        <v>1.25</v>
      </c>
      <c r="D2091" s="14" t="str">
        <f>'Curvas SRY'!$B$14</f>
        <v>Uso variable</v>
      </c>
      <c r="E2091" s="14">
        <f>48</f>
        <v>48</v>
      </c>
      <c r="F2091" s="21">
        <f>'Hoja 4 - Cálculo'!A72</f>
        <v>31017</v>
      </c>
      <c r="G2091" s="15">
        <f>'Hoja 4 - Cálculo'!H72</f>
        <v>14.745374999999999</v>
      </c>
      <c r="H2091" s="15">
        <f>IF(D2091="Uso único",'Hoja 4 - Cálculo'!I72,IF(D2091="Uso múltiple",AVERAGE('Hoja 4 - Cálculo'!$I$25:$I$384)+AVERAGE('Hoja 4 - Cálculo'!$J$25:$J$384)+AVERAGE('Hoja 4 - Cálculo'!$K$25:$K$384),IF(D2091="Uso prioritario",'Hoja 4 - Cálculo'!I72+'Hoja 4 - Cálculo'!K72,'Hoja 4 - Cálculo'!I72+'Hoja 4 - Cálculo'!J72+'Hoja 4 - Cálculo'!K72)))</f>
        <v>16</v>
      </c>
      <c r="I2091" s="15">
        <f t="shared" si="468"/>
        <v>20</v>
      </c>
      <c r="J2091" s="15">
        <f t="shared" si="475"/>
        <v>15</v>
      </c>
      <c r="K2091" s="15">
        <f>MIN(J2091+G2091,(J2091+G2091)*'Hoja 4 - Cálculo'!$B$15)</f>
        <v>0.59490750000000003</v>
      </c>
      <c r="L2091" s="15">
        <f t="shared" si="469"/>
        <v>29.150467499999998</v>
      </c>
      <c r="M2091" s="15">
        <f t="shared" si="470"/>
        <v>20</v>
      </c>
      <c r="N2091" s="15">
        <f t="shared" si="471"/>
        <v>9.1504674999999978</v>
      </c>
      <c r="O2091" s="15">
        <f t="shared" si="472"/>
        <v>0</v>
      </c>
      <c r="P2091" s="15">
        <f t="shared" si="473"/>
        <v>0</v>
      </c>
      <c r="Q2091" s="14" t="str">
        <f>IF(M2091&gt;=I2091*'Hoja 4 - Cálculo'!$B$16,"Satisfactorio","Falla")</f>
        <v>Satisfactorio</v>
      </c>
      <c r="R2091" s="14">
        <f t="shared" si="476"/>
        <v>0</v>
      </c>
      <c r="S2091" s="14">
        <f t="shared" si="477"/>
        <v>0</v>
      </c>
    </row>
    <row r="2092" spans="1:19">
      <c r="A2092" s="14" t="str">
        <f t="shared" si="474"/>
        <v>SRY-6-3</v>
      </c>
      <c r="B2092" s="15">
        <f>'Curvas SRY'!$B$13</f>
        <v>15</v>
      </c>
      <c r="C2092" s="15">
        <f>'Curvas SRY'!$E$10</f>
        <v>1.25</v>
      </c>
      <c r="D2092" s="14" t="str">
        <f>'Curvas SRY'!$B$14</f>
        <v>Uso variable</v>
      </c>
      <c r="E2092" s="14">
        <f>49</f>
        <v>49</v>
      </c>
      <c r="F2092" s="21">
        <f>'Hoja 4 - Cálculo'!A73</f>
        <v>31048</v>
      </c>
      <c r="G2092" s="15">
        <f>'Hoja 4 - Cálculo'!H73</f>
        <v>10.767374999999999</v>
      </c>
      <c r="H2092" s="15">
        <f>IF(D2092="Uso único",'Hoja 4 - Cálculo'!I73,IF(D2092="Uso múltiple",AVERAGE('Hoja 4 - Cálculo'!$I$25:$I$384)+AVERAGE('Hoja 4 - Cálculo'!$J$25:$J$384)+AVERAGE('Hoja 4 - Cálculo'!$K$25:$K$384),IF(D2092="Uso prioritario",'Hoja 4 - Cálculo'!I73+'Hoja 4 - Cálculo'!K73,'Hoja 4 - Cálculo'!I73+'Hoja 4 - Cálculo'!J73+'Hoja 4 - Cálculo'!K73)))</f>
        <v>16</v>
      </c>
      <c r="I2092" s="15">
        <f t="shared" si="468"/>
        <v>20</v>
      </c>
      <c r="J2092" s="15">
        <f t="shared" si="475"/>
        <v>9.1504674999999978</v>
      </c>
      <c r="K2092" s="15">
        <f>MIN(J2092+G2092,(J2092+G2092)*'Hoja 4 - Cálculo'!$B$15)</f>
        <v>0.39835684999999998</v>
      </c>
      <c r="L2092" s="15">
        <f t="shared" si="469"/>
        <v>19.51948565</v>
      </c>
      <c r="M2092" s="15">
        <f t="shared" si="470"/>
        <v>19.51948565</v>
      </c>
      <c r="N2092" s="15">
        <f t="shared" si="471"/>
        <v>0</v>
      </c>
      <c r="O2092" s="15">
        <f t="shared" si="472"/>
        <v>0</v>
      </c>
      <c r="P2092" s="15">
        <f t="shared" si="473"/>
        <v>0.48051434999999998</v>
      </c>
      <c r="Q2092" s="14" t="str">
        <f>IF(M2092&gt;=I2092*'Hoja 4 - Cálculo'!$B$16,"Satisfactorio","Falla")</f>
        <v>Falla</v>
      </c>
      <c r="R2092" s="14">
        <f t="shared" si="476"/>
        <v>0</v>
      </c>
      <c r="S2092" s="14">
        <f t="shared" si="477"/>
        <v>1</v>
      </c>
    </row>
    <row r="2093" spans="1:19">
      <c r="A2093" s="14" t="str">
        <f t="shared" si="474"/>
        <v>SRY-6-3</v>
      </c>
      <c r="B2093" s="15">
        <f>'Curvas SRY'!$B$13</f>
        <v>15</v>
      </c>
      <c r="C2093" s="15">
        <f>'Curvas SRY'!$E$10</f>
        <v>1.25</v>
      </c>
      <c r="D2093" s="14" t="str">
        <f>'Curvas SRY'!$B$14</f>
        <v>Uso variable</v>
      </c>
      <c r="E2093" s="14">
        <f>50</f>
        <v>50</v>
      </c>
      <c r="F2093" s="21">
        <f>'Hoja 4 - Cálculo'!A74</f>
        <v>31079</v>
      </c>
      <c r="G2093" s="15">
        <f>'Hoja 4 - Cálculo'!H74</f>
        <v>13.464</v>
      </c>
      <c r="H2093" s="15">
        <f>IF(D2093="Uso único",'Hoja 4 - Cálculo'!I74,IF(D2093="Uso múltiple",AVERAGE('Hoja 4 - Cálculo'!$I$25:$I$384)+AVERAGE('Hoja 4 - Cálculo'!$J$25:$J$384)+AVERAGE('Hoja 4 - Cálculo'!$K$25:$K$384),IF(D2093="Uso prioritario",'Hoja 4 - Cálculo'!I74+'Hoja 4 - Cálculo'!K74,'Hoja 4 - Cálculo'!I74+'Hoja 4 - Cálculo'!J74+'Hoja 4 - Cálculo'!K74)))</f>
        <v>16</v>
      </c>
      <c r="I2093" s="15">
        <f t="shared" si="468"/>
        <v>20</v>
      </c>
      <c r="J2093" s="15">
        <f t="shared" si="475"/>
        <v>0</v>
      </c>
      <c r="K2093" s="15">
        <f>MIN(J2093+G2093,(J2093+G2093)*'Hoja 4 - Cálculo'!$B$15)</f>
        <v>0.26928000000000002</v>
      </c>
      <c r="L2093" s="15">
        <f t="shared" si="469"/>
        <v>13.19472</v>
      </c>
      <c r="M2093" s="15">
        <f t="shared" si="470"/>
        <v>13.19472</v>
      </c>
      <c r="N2093" s="15">
        <f t="shared" si="471"/>
        <v>0</v>
      </c>
      <c r="O2093" s="15">
        <f t="shared" si="472"/>
        <v>0</v>
      </c>
      <c r="P2093" s="15">
        <f t="shared" si="473"/>
        <v>6.8052799999999998</v>
      </c>
      <c r="Q2093" s="14" t="str">
        <f>IF(M2093&gt;=I2093*'Hoja 4 - Cálculo'!$B$16,"Satisfactorio","Falla")</f>
        <v>Falla</v>
      </c>
      <c r="R2093" s="14">
        <f t="shared" si="476"/>
        <v>0</v>
      </c>
      <c r="S2093" s="14">
        <f t="shared" si="477"/>
        <v>0</v>
      </c>
    </row>
    <row r="2094" spans="1:19">
      <c r="A2094" s="14" t="str">
        <f t="shared" si="474"/>
        <v>SRY-6-3</v>
      </c>
      <c r="B2094" s="15">
        <f>'Curvas SRY'!$B$13</f>
        <v>15</v>
      </c>
      <c r="C2094" s="15">
        <f>'Curvas SRY'!$E$10</f>
        <v>1.25</v>
      </c>
      <c r="D2094" s="14" t="str">
        <f>'Curvas SRY'!$B$14</f>
        <v>Uso variable</v>
      </c>
      <c r="E2094" s="14">
        <f>51</f>
        <v>51</v>
      </c>
      <c r="F2094" s="21">
        <f>'Hoja 4 - Cálculo'!A75</f>
        <v>31107</v>
      </c>
      <c r="G2094" s="15">
        <f>'Hoja 4 - Cálculo'!H75</f>
        <v>19.450125</v>
      </c>
      <c r="H2094" s="15">
        <f>IF(D2094="Uso único",'Hoja 4 - Cálculo'!I75,IF(D2094="Uso múltiple",AVERAGE('Hoja 4 - Cálculo'!$I$25:$I$384)+AVERAGE('Hoja 4 - Cálculo'!$J$25:$J$384)+AVERAGE('Hoja 4 - Cálculo'!$K$25:$K$384),IF(D2094="Uso prioritario",'Hoja 4 - Cálculo'!I75+'Hoja 4 - Cálculo'!K75,'Hoja 4 - Cálculo'!I75+'Hoja 4 - Cálculo'!J75+'Hoja 4 - Cálculo'!K75)))</f>
        <v>16</v>
      </c>
      <c r="I2094" s="15">
        <f t="shared" si="468"/>
        <v>20</v>
      </c>
      <c r="J2094" s="15">
        <f t="shared" si="475"/>
        <v>0</v>
      </c>
      <c r="K2094" s="15">
        <f>MIN(J2094+G2094,(J2094+G2094)*'Hoja 4 - Cálculo'!$B$15)</f>
        <v>0.38900250000000003</v>
      </c>
      <c r="L2094" s="15">
        <f t="shared" si="469"/>
        <v>19.0611225</v>
      </c>
      <c r="M2094" s="15">
        <f t="shared" si="470"/>
        <v>19.0611225</v>
      </c>
      <c r="N2094" s="15">
        <f t="shared" si="471"/>
        <v>0</v>
      </c>
      <c r="O2094" s="15">
        <f t="shared" si="472"/>
        <v>0</v>
      </c>
      <c r="P2094" s="15">
        <f t="shared" si="473"/>
        <v>0.93887750000000025</v>
      </c>
      <c r="Q2094" s="14" t="str">
        <f>IF(M2094&gt;=I2094*'Hoja 4 - Cálculo'!$B$16,"Satisfactorio","Falla")</f>
        <v>Falla</v>
      </c>
      <c r="R2094" s="14">
        <f t="shared" si="476"/>
        <v>0</v>
      </c>
      <c r="S2094" s="14">
        <f t="shared" si="477"/>
        <v>0</v>
      </c>
    </row>
    <row r="2095" spans="1:19">
      <c r="A2095" s="14" t="str">
        <f t="shared" si="474"/>
        <v>SRY-6-3</v>
      </c>
      <c r="B2095" s="15">
        <f>'Curvas SRY'!$B$13</f>
        <v>15</v>
      </c>
      <c r="C2095" s="15">
        <f>'Curvas SRY'!$E$10</f>
        <v>1.25</v>
      </c>
      <c r="D2095" s="14" t="str">
        <f>'Curvas SRY'!$B$14</f>
        <v>Uso variable</v>
      </c>
      <c r="E2095" s="14">
        <f>52</f>
        <v>52</v>
      </c>
      <c r="F2095" s="21">
        <f>'Hoja 4 - Cálculo'!A76</f>
        <v>31138</v>
      </c>
      <c r="G2095" s="15">
        <f>'Hoja 4 - Cálculo'!H76</f>
        <v>25.51275</v>
      </c>
      <c r="H2095" s="15">
        <f>IF(D2095="Uso único",'Hoja 4 - Cálculo'!I76,IF(D2095="Uso múltiple",AVERAGE('Hoja 4 - Cálculo'!$I$25:$I$384)+AVERAGE('Hoja 4 - Cálculo'!$J$25:$J$384)+AVERAGE('Hoja 4 - Cálculo'!$K$25:$K$384),IF(D2095="Uso prioritario",'Hoja 4 - Cálculo'!I76+'Hoja 4 - Cálculo'!K76,'Hoja 4 - Cálculo'!I76+'Hoja 4 - Cálculo'!J76+'Hoja 4 - Cálculo'!K76)))</f>
        <v>11.5</v>
      </c>
      <c r="I2095" s="15">
        <f t="shared" si="468"/>
        <v>14.375</v>
      </c>
      <c r="J2095" s="15">
        <f t="shared" si="475"/>
        <v>0</v>
      </c>
      <c r="K2095" s="15">
        <f>MIN(J2095+G2095,(J2095+G2095)*'Hoja 4 - Cálculo'!$B$15)</f>
        <v>0.51025500000000001</v>
      </c>
      <c r="L2095" s="15">
        <f t="shared" si="469"/>
        <v>25.002495</v>
      </c>
      <c r="M2095" s="15">
        <f t="shared" si="470"/>
        <v>14.375</v>
      </c>
      <c r="N2095" s="15">
        <f t="shared" si="471"/>
        <v>10.627495</v>
      </c>
      <c r="O2095" s="15">
        <f t="shared" si="472"/>
        <v>0</v>
      </c>
      <c r="P2095" s="15">
        <f t="shared" si="473"/>
        <v>0</v>
      </c>
      <c r="Q2095" s="14" t="str">
        <f>IF(M2095&gt;=I2095*'Hoja 4 - Cálculo'!$B$16,"Satisfactorio","Falla")</f>
        <v>Satisfactorio</v>
      </c>
      <c r="R2095" s="14">
        <f t="shared" si="476"/>
        <v>1</v>
      </c>
      <c r="S2095" s="14">
        <f t="shared" si="477"/>
        <v>0</v>
      </c>
    </row>
    <row r="2096" spans="1:19">
      <c r="A2096" s="14" t="str">
        <f t="shared" si="474"/>
        <v>SRY-6-3</v>
      </c>
      <c r="B2096" s="15">
        <f>'Curvas SRY'!$B$13</f>
        <v>15</v>
      </c>
      <c r="C2096" s="15">
        <f>'Curvas SRY'!$E$10</f>
        <v>1.25</v>
      </c>
      <c r="D2096" s="14" t="str">
        <f>'Curvas SRY'!$B$14</f>
        <v>Uso variable</v>
      </c>
      <c r="E2096" s="14">
        <f>53</f>
        <v>53</v>
      </c>
      <c r="F2096" s="21">
        <f>'Hoja 4 - Cálculo'!A77</f>
        <v>31168</v>
      </c>
      <c r="G2096" s="15">
        <f>'Hoja 4 - Cálculo'!H77</f>
        <v>24.36525</v>
      </c>
      <c r="H2096" s="15">
        <f>IF(D2096="Uso único",'Hoja 4 - Cálculo'!I77,IF(D2096="Uso múltiple",AVERAGE('Hoja 4 - Cálculo'!$I$25:$I$384)+AVERAGE('Hoja 4 - Cálculo'!$J$25:$J$384)+AVERAGE('Hoja 4 - Cálculo'!$K$25:$K$384),IF(D2096="Uso prioritario",'Hoja 4 - Cálculo'!I77+'Hoja 4 - Cálculo'!K77,'Hoja 4 - Cálculo'!I77+'Hoja 4 - Cálculo'!J77+'Hoja 4 - Cálculo'!K77)))</f>
        <v>11.5</v>
      </c>
      <c r="I2096" s="15">
        <f t="shared" si="468"/>
        <v>14.375</v>
      </c>
      <c r="J2096" s="15">
        <f t="shared" si="475"/>
        <v>10.627495</v>
      </c>
      <c r="K2096" s="15">
        <f>MIN(J2096+G2096,(J2096+G2096)*'Hoja 4 - Cálculo'!$B$15)</f>
        <v>0.69985489999999995</v>
      </c>
      <c r="L2096" s="15">
        <f t="shared" si="469"/>
        <v>34.292890100000001</v>
      </c>
      <c r="M2096" s="15">
        <f t="shared" si="470"/>
        <v>14.375</v>
      </c>
      <c r="N2096" s="15">
        <f t="shared" si="471"/>
        <v>15</v>
      </c>
      <c r="O2096" s="15">
        <f t="shared" si="472"/>
        <v>4.917890100000001</v>
      </c>
      <c r="P2096" s="15">
        <f t="shared" si="473"/>
        <v>0</v>
      </c>
      <c r="Q2096" s="14" t="str">
        <f>IF(M2096&gt;=I2096*'Hoja 4 - Cálculo'!$B$16,"Satisfactorio","Falla")</f>
        <v>Satisfactorio</v>
      </c>
      <c r="R2096" s="14">
        <f t="shared" si="476"/>
        <v>0</v>
      </c>
      <c r="S2096" s="14">
        <f t="shared" si="477"/>
        <v>0</v>
      </c>
    </row>
    <row r="2097" spans="1:19">
      <c r="A2097" s="14" t="str">
        <f t="shared" si="474"/>
        <v>SRY-6-3</v>
      </c>
      <c r="B2097" s="15">
        <f>'Curvas SRY'!$B$13</f>
        <v>15</v>
      </c>
      <c r="C2097" s="15">
        <f>'Curvas SRY'!$E$10</f>
        <v>1.25</v>
      </c>
      <c r="D2097" s="14" t="str">
        <f>'Curvas SRY'!$B$14</f>
        <v>Uso variable</v>
      </c>
      <c r="E2097" s="14">
        <f>54</f>
        <v>54</v>
      </c>
      <c r="F2097" s="21">
        <f>'Hoja 4 - Cálculo'!A78</f>
        <v>31199</v>
      </c>
      <c r="G2097" s="15">
        <f>'Hoja 4 - Cálculo'!H78</f>
        <v>15.395625000000001</v>
      </c>
      <c r="H2097" s="15">
        <f>IF(D2097="Uso único",'Hoja 4 - Cálculo'!I78,IF(D2097="Uso múltiple",AVERAGE('Hoja 4 - Cálculo'!$I$25:$I$384)+AVERAGE('Hoja 4 - Cálculo'!$J$25:$J$384)+AVERAGE('Hoja 4 - Cálculo'!$K$25:$K$384),IF(D2097="Uso prioritario",'Hoja 4 - Cálculo'!I78+'Hoja 4 - Cálculo'!K78,'Hoja 4 - Cálculo'!I78+'Hoja 4 - Cálculo'!J78+'Hoja 4 - Cálculo'!K78)))</f>
        <v>11.5</v>
      </c>
      <c r="I2097" s="15">
        <f t="shared" si="468"/>
        <v>14.375</v>
      </c>
      <c r="J2097" s="15">
        <f t="shared" si="475"/>
        <v>15</v>
      </c>
      <c r="K2097" s="15">
        <f>MIN(J2097+G2097,(J2097+G2097)*'Hoja 4 - Cálculo'!$B$15)</f>
        <v>0.60791250000000008</v>
      </c>
      <c r="L2097" s="15">
        <f t="shared" si="469"/>
        <v>29.787712500000001</v>
      </c>
      <c r="M2097" s="15">
        <f t="shared" si="470"/>
        <v>14.375</v>
      </c>
      <c r="N2097" s="15">
        <f t="shared" si="471"/>
        <v>15</v>
      </c>
      <c r="O2097" s="15">
        <f t="shared" si="472"/>
        <v>0.41271250000000137</v>
      </c>
      <c r="P2097" s="15">
        <f t="shared" si="473"/>
        <v>0</v>
      </c>
      <c r="Q2097" s="14" t="str">
        <f>IF(M2097&gt;=I2097*'Hoja 4 - Cálculo'!$B$16,"Satisfactorio","Falla")</f>
        <v>Satisfactorio</v>
      </c>
      <c r="R2097" s="14">
        <f t="shared" si="476"/>
        <v>0</v>
      </c>
      <c r="S2097" s="14">
        <f t="shared" si="477"/>
        <v>0</v>
      </c>
    </row>
    <row r="2098" spans="1:19">
      <c r="A2098" s="14" t="str">
        <f t="shared" si="474"/>
        <v>SRY-6-3</v>
      </c>
      <c r="B2098" s="15">
        <f>'Curvas SRY'!$B$13</f>
        <v>15</v>
      </c>
      <c r="C2098" s="15">
        <f>'Curvas SRY'!$E$10</f>
        <v>1.25</v>
      </c>
      <c r="D2098" s="14" t="str">
        <f>'Curvas SRY'!$B$14</f>
        <v>Uso variable</v>
      </c>
      <c r="E2098" s="14">
        <f>55</f>
        <v>55</v>
      </c>
      <c r="F2098" s="21">
        <f>'Hoja 4 - Cálculo'!A79</f>
        <v>31229</v>
      </c>
      <c r="G2098" s="15">
        <f>'Hoja 4 - Cálculo'!H79</f>
        <v>11.742749999999999</v>
      </c>
      <c r="H2098" s="15">
        <f>IF(D2098="Uso único",'Hoja 4 - Cálculo'!I79,IF(D2098="Uso múltiple",AVERAGE('Hoja 4 - Cálculo'!$I$25:$I$384)+AVERAGE('Hoja 4 - Cálculo'!$J$25:$J$384)+AVERAGE('Hoja 4 - Cálculo'!$K$25:$K$384),IF(D2098="Uso prioritario",'Hoja 4 - Cálculo'!I79+'Hoja 4 - Cálculo'!K79,'Hoja 4 - Cálculo'!I79+'Hoja 4 - Cálculo'!J79+'Hoja 4 - Cálculo'!K79)))</f>
        <v>16</v>
      </c>
      <c r="I2098" s="15">
        <f t="shared" si="468"/>
        <v>20</v>
      </c>
      <c r="J2098" s="15">
        <f t="shared" si="475"/>
        <v>15</v>
      </c>
      <c r="K2098" s="15">
        <f>MIN(J2098+G2098,(J2098+G2098)*'Hoja 4 - Cálculo'!$B$15)</f>
        <v>0.53485500000000008</v>
      </c>
      <c r="L2098" s="15">
        <f t="shared" si="469"/>
        <v>26.207895000000001</v>
      </c>
      <c r="M2098" s="15">
        <f t="shared" si="470"/>
        <v>20</v>
      </c>
      <c r="N2098" s="15">
        <f t="shared" si="471"/>
        <v>6.2078950000000006</v>
      </c>
      <c r="O2098" s="15">
        <f t="shared" si="472"/>
        <v>0</v>
      </c>
      <c r="P2098" s="15">
        <f t="shared" si="473"/>
        <v>0</v>
      </c>
      <c r="Q2098" s="14" t="str">
        <f>IF(M2098&gt;=I2098*'Hoja 4 - Cálculo'!$B$16,"Satisfactorio","Falla")</f>
        <v>Satisfactorio</v>
      </c>
      <c r="R2098" s="14">
        <f t="shared" si="476"/>
        <v>0</v>
      </c>
      <c r="S2098" s="14">
        <f t="shared" si="477"/>
        <v>0</v>
      </c>
    </row>
    <row r="2099" spans="1:19">
      <c r="A2099" s="14" t="str">
        <f t="shared" si="474"/>
        <v>SRY-6-3</v>
      </c>
      <c r="B2099" s="15">
        <f>'Curvas SRY'!$B$13</f>
        <v>15</v>
      </c>
      <c r="C2099" s="15">
        <f>'Curvas SRY'!$E$10</f>
        <v>1.25</v>
      </c>
      <c r="D2099" s="14" t="str">
        <f>'Curvas SRY'!$B$14</f>
        <v>Uso variable</v>
      </c>
      <c r="E2099" s="14">
        <f>56</f>
        <v>56</v>
      </c>
      <c r="F2099" s="21">
        <f>'Hoja 4 - Cálculo'!A80</f>
        <v>31260</v>
      </c>
      <c r="G2099" s="15">
        <f>'Hoja 4 - Cálculo'!H80</f>
        <v>12.603375</v>
      </c>
      <c r="H2099" s="15">
        <f>IF(D2099="Uso único",'Hoja 4 - Cálculo'!I80,IF(D2099="Uso múltiple",AVERAGE('Hoja 4 - Cálculo'!$I$25:$I$384)+AVERAGE('Hoja 4 - Cálculo'!$J$25:$J$384)+AVERAGE('Hoja 4 - Cálculo'!$K$25:$K$384),IF(D2099="Uso prioritario",'Hoja 4 - Cálculo'!I80+'Hoja 4 - Cálculo'!K80,'Hoja 4 - Cálculo'!I80+'Hoja 4 - Cálculo'!J80+'Hoja 4 - Cálculo'!K80)))</f>
        <v>16</v>
      </c>
      <c r="I2099" s="15">
        <f t="shared" si="468"/>
        <v>20</v>
      </c>
      <c r="J2099" s="15">
        <f t="shared" si="475"/>
        <v>6.2078950000000006</v>
      </c>
      <c r="K2099" s="15">
        <f>MIN(J2099+G2099,(J2099+G2099)*'Hoja 4 - Cálculo'!$B$15)</f>
        <v>0.37622540000000004</v>
      </c>
      <c r="L2099" s="15">
        <f t="shared" si="469"/>
        <v>18.435044600000001</v>
      </c>
      <c r="M2099" s="15">
        <f t="shared" si="470"/>
        <v>18.435044600000001</v>
      </c>
      <c r="N2099" s="15">
        <f t="shared" si="471"/>
        <v>0</v>
      </c>
      <c r="O2099" s="15">
        <f t="shared" si="472"/>
        <v>0</v>
      </c>
      <c r="P2099" s="15">
        <f t="shared" si="473"/>
        <v>1.5649553999999988</v>
      </c>
      <c r="Q2099" s="14" t="str">
        <f>IF(M2099&gt;=I2099*'Hoja 4 - Cálculo'!$B$16,"Satisfactorio","Falla")</f>
        <v>Falla</v>
      </c>
      <c r="R2099" s="14">
        <f t="shared" si="476"/>
        <v>0</v>
      </c>
      <c r="S2099" s="14">
        <f t="shared" si="477"/>
        <v>1</v>
      </c>
    </row>
    <row r="2100" spans="1:19">
      <c r="A2100" s="14" t="str">
        <f t="shared" si="474"/>
        <v>SRY-6-3</v>
      </c>
      <c r="B2100" s="15">
        <f>'Curvas SRY'!$B$13</f>
        <v>15</v>
      </c>
      <c r="C2100" s="15">
        <f>'Curvas SRY'!$E$10</f>
        <v>1.25</v>
      </c>
      <c r="D2100" s="14" t="str">
        <f>'Curvas SRY'!$B$14</f>
        <v>Uso variable</v>
      </c>
      <c r="E2100" s="14">
        <f>57</f>
        <v>57</v>
      </c>
      <c r="F2100" s="21">
        <f>'Hoja 4 - Cálculo'!A81</f>
        <v>31291</v>
      </c>
      <c r="G2100" s="15">
        <f>'Hoja 4 - Cálculo'!H81</f>
        <v>21.745125000000002</v>
      </c>
      <c r="H2100" s="15">
        <f>IF(D2100="Uso único",'Hoja 4 - Cálculo'!I81,IF(D2100="Uso múltiple",AVERAGE('Hoja 4 - Cálculo'!$I$25:$I$384)+AVERAGE('Hoja 4 - Cálculo'!$J$25:$J$384)+AVERAGE('Hoja 4 - Cálculo'!$K$25:$K$384),IF(D2100="Uso prioritario",'Hoja 4 - Cálculo'!I81+'Hoja 4 - Cálculo'!K81,'Hoja 4 - Cálculo'!I81+'Hoja 4 - Cálculo'!J81+'Hoja 4 - Cálculo'!K81)))</f>
        <v>11.5</v>
      </c>
      <c r="I2100" s="15">
        <f t="shared" si="468"/>
        <v>14.375</v>
      </c>
      <c r="J2100" s="15">
        <f t="shared" si="475"/>
        <v>0</v>
      </c>
      <c r="K2100" s="15">
        <f>MIN(J2100+G2100,(J2100+G2100)*'Hoja 4 - Cálculo'!$B$15)</f>
        <v>0.43490250000000003</v>
      </c>
      <c r="L2100" s="15">
        <f t="shared" si="469"/>
        <v>21.310222500000002</v>
      </c>
      <c r="M2100" s="15">
        <f t="shared" si="470"/>
        <v>14.375</v>
      </c>
      <c r="N2100" s="15">
        <f t="shared" si="471"/>
        <v>6.9352225000000018</v>
      </c>
      <c r="O2100" s="15">
        <f t="shared" si="472"/>
        <v>0</v>
      </c>
      <c r="P2100" s="15">
        <f t="shared" si="473"/>
        <v>0</v>
      </c>
      <c r="Q2100" s="14" t="str">
        <f>IF(M2100&gt;=I2100*'Hoja 4 - Cálculo'!$B$16,"Satisfactorio","Falla")</f>
        <v>Satisfactorio</v>
      </c>
      <c r="R2100" s="14">
        <f t="shared" si="476"/>
        <v>1</v>
      </c>
      <c r="S2100" s="14">
        <f t="shared" si="477"/>
        <v>0</v>
      </c>
    </row>
    <row r="2101" spans="1:19">
      <c r="A2101" s="14" t="str">
        <f t="shared" si="474"/>
        <v>SRY-6-3</v>
      </c>
      <c r="B2101" s="15">
        <f>'Curvas SRY'!$B$13</f>
        <v>15</v>
      </c>
      <c r="C2101" s="15">
        <f>'Curvas SRY'!$E$10</f>
        <v>1.25</v>
      </c>
      <c r="D2101" s="14" t="str">
        <f>'Curvas SRY'!$B$14</f>
        <v>Uso variable</v>
      </c>
      <c r="E2101" s="14">
        <f>58</f>
        <v>58</v>
      </c>
      <c r="F2101" s="21">
        <f>'Hoja 4 - Cálculo'!A82</f>
        <v>31321</v>
      </c>
      <c r="G2101" s="15">
        <f>'Hoja 4 - Cálculo'!H82</f>
        <v>27.788625</v>
      </c>
      <c r="H2101" s="15">
        <f>IF(D2101="Uso único",'Hoja 4 - Cálculo'!I82,IF(D2101="Uso múltiple",AVERAGE('Hoja 4 - Cálculo'!$I$25:$I$384)+AVERAGE('Hoja 4 - Cálculo'!$J$25:$J$384)+AVERAGE('Hoja 4 - Cálculo'!$K$25:$K$384),IF(D2101="Uso prioritario",'Hoja 4 - Cálculo'!I82+'Hoja 4 - Cálculo'!K82,'Hoja 4 - Cálculo'!I82+'Hoja 4 - Cálculo'!J82+'Hoja 4 - Cálculo'!K82)))</f>
        <v>11.5</v>
      </c>
      <c r="I2101" s="15">
        <f t="shared" si="468"/>
        <v>14.375</v>
      </c>
      <c r="J2101" s="15">
        <f t="shared" si="475"/>
        <v>6.9352225000000018</v>
      </c>
      <c r="K2101" s="15">
        <f>MIN(J2101+G2101,(J2101+G2101)*'Hoja 4 - Cálculo'!$B$15)</f>
        <v>0.69447695000000009</v>
      </c>
      <c r="L2101" s="15">
        <f t="shared" si="469"/>
        <v>34.029370550000003</v>
      </c>
      <c r="M2101" s="15">
        <f t="shared" si="470"/>
        <v>14.375</v>
      </c>
      <c r="N2101" s="15">
        <f t="shared" si="471"/>
        <v>15</v>
      </c>
      <c r="O2101" s="15">
        <f t="shared" si="472"/>
        <v>4.654370550000003</v>
      </c>
      <c r="P2101" s="15">
        <f t="shared" si="473"/>
        <v>0</v>
      </c>
      <c r="Q2101" s="14" t="str">
        <f>IF(M2101&gt;=I2101*'Hoja 4 - Cálculo'!$B$16,"Satisfactorio","Falla")</f>
        <v>Satisfactorio</v>
      </c>
      <c r="R2101" s="14">
        <f t="shared" si="476"/>
        <v>0</v>
      </c>
      <c r="S2101" s="14">
        <f t="shared" si="477"/>
        <v>0</v>
      </c>
    </row>
    <row r="2102" spans="1:19">
      <c r="A2102" s="14" t="str">
        <f t="shared" si="474"/>
        <v>SRY-6-3</v>
      </c>
      <c r="B2102" s="15">
        <f>'Curvas SRY'!$B$13</f>
        <v>15</v>
      </c>
      <c r="C2102" s="15">
        <f>'Curvas SRY'!$E$10</f>
        <v>1.25</v>
      </c>
      <c r="D2102" s="14" t="str">
        <f>'Curvas SRY'!$B$14</f>
        <v>Uso variable</v>
      </c>
      <c r="E2102" s="14">
        <f>59</f>
        <v>59</v>
      </c>
      <c r="F2102" s="21">
        <f>'Hoja 4 - Cálculo'!A83</f>
        <v>31352</v>
      </c>
      <c r="G2102" s="15">
        <f>'Hoja 4 - Cálculo'!H83</f>
        <v>22.22325</v>
      </c>
      <c r="H2102" s="15">
        <f>IF(D2102="Uso único",'Hoja 4 - Cálculo'!I83,IF(D2102="Uso múltiple",AVERAGE('Hoja 4 - Cálculo'!$I$25:$I$384)+AVERAGE('Hoja 4 - Cálculo'!$J$25:$J$384)+AVERAGE('Hoja 4 - Cálculo'!$K$25:$K$384),IF(D2102="Uso prioritario",'Hoja 4 - Cálculo'!I83+'Hoja 4 - Cálculo'!K83,'Hoja 4 - Cálculo'!I83+'Hoja 4 - Cálculo'!J83+'Hoja 4 - Cálculo'!K83)))</f>
        <v>11.5</v>
      </c>
      <c r="I2102" s="15">
        <f t="shared" si="468"/>
        <v>14.375</v>
      </c>
      <c r="J2102" s="15">
        <f t="shared" si="475"/>
        <v>15</v>
      </c>
      <c r="K2102" s="15">
        <f>MIN(J2102+G2102,(J2102+G2102)*'Hoja 4 - Cálculo'!$B$15)</f>
        <v>0.74446500000000004</v>
      </c>
      <c r="L2102" s="15">
        <f t="shared" si="469"/>
        <v>36.478785000000002</v>
      </c>
      <c r="M2102" s="15">
        <f t="shared" si="470"/>
        <v>14.375</v>
      </c>
      <c r="N2102" s="15">
        <f t="shared" si="471"/>
        <v>15</v>
      </c>
      <c r="O2102" s="15">
        <f t="shared" si="472"/>
        <v>7.103785000000002</v>
      </c>
      <c r="P2102" s="15">
        <f t="shared" si="473"/>
        <v>0</v>
      </c>
      <c r="Q2102" s="14" t="str">
        <f>IF(M2102&gt;=I2102*'Hoja 4 - Cálculo'!$B$16,"Satisfactorio","Falla")</f>
        <v>Satisfactorio</v>
      </c>
      <c r="R2102" s="14">
        <f t="shared" si="476"/>
        <v>0</v>
      </c>
      <c r="S2102" s="14">
        <f t="shared" si="477"/>
        <v>0</v>
      </c>
    </row>
    <row r="2103" spans="1:19">
      <c r="A2103" s="14" t="str">
        <f t="shared" si="474"/>
        <v>SRY-6-3</v>
      </c>
      <c r="B2103" s="15">
        <f>'Curvas SRY'!$B$13</f>
        <v>15</v>
      </c>
      <c r="C2103" s="15">
        <f>'Curvas SRY'!$E$10</f>
        <v>1.25</v>
      </c>
      <c r="D2103" s="14" t="str">
        <f>'Curvas SRY'!$B$14</f>
        <v>Uso variable</v>
      </c>
      <c r="E2103" s="14">
        <f>60</f>
        <v>60</v>
      </c>
      <c r="F2103" s="21">
        <f>'Hoja 4 - Cálculo'!A84</f>
        <v>31382</v>
      </c>
      <c r="G2103" s="15">
        <f>'Hoja 4 - Cálculo'!H84</f>
        <v>14.171625000000001</v>
      </c>
      <c r="H2103" s="15">
        <f>IF(D2103="Uso único",'Hoja 4 - Cálculo'!I84,IF(D2103="Uso múltiple",AVERAGE('Hoja 4 - Cálculo'!$I$25:$I$384)+AVERAGE('Hoja 4 - Cálculo'!$J$25:$J$384)+AVERAGE('Hoja 4 - Cálculo'!$K$25:$K$384),IF(D2103="Uso prioritario",'Hoja 4 - Cálculo'!I84+'Hoja 4 - Cálculo'!K84,'Hoja 4 - Cálculo'!I84+'Hoja 4 - Cálculo'!J84+'Hoja 4 - Cálculo'!K84)))</f>
        <v>16</v>
      </c>
      <c r="I2103" s="15">
        <f t="shared" si="468"/>
        <v>20</v>
      </c>
      <c r="J2103" s="15">
        <f t="shared" si="475"/>
        <v>15</v>
      </c>
      <c r="K2103" s="15">
        <f>MIN(J2103+G2103,(J2103+G2103)*'Hoja 4 - Cálculo'!$B$15)</f>
        <v>0.58343250000000002</v>
      </c>
      <c r="L2103" s="15">
        <f t="shared" si="469"/>
        <v>28.588192499999998</v>
      </c>
      <c r="M2103" s="15">
        <f t="shared" si="470"/>
        <v>20</v>
      </c>
      <c r="N2103" s="15">
        <f t="shared" si="471"/>
        <v>8.5881924999999981</v>
      </c>
      <c r="O2103" s="15">
        <f t="shared" si="472"/>
        <v>0</v>
      </c>
      <c r="P2103" s="15">
        <f t="shared" si="473"/>
        <v>0</v>
      </c>
      <c r="Q2103" s="14" t="str">
        <f>IF(M2103&gt;=I2103*'Hoja 4 - Cálculo'!$B$16,"Satisfactorio","Falla")</f>
        <v>Satisfactorio</v>
      </c>
      <c r="R2103" s="14">
        <f t="shared" si="476"/>
        <v>0</v>
      </c>
      <c r="S2103" s="14">
        <f t="shared" si="477"/>
        <v>0</v>
      </c>
    </row>
    <row r="2104" spans="1:19">
      <c r="A2104" s="14" t="str">
        <f t="shared" si="474"/>
        <v>SRY-6-3</v>
      </c>
      <c r="B2104" s="15">
        <f>'Curvas SRY'!$B$13</f>
        <v>15</v>
      </c>
      <c r="C2104" s="15">
        <f>'Curvas SRY'!$E$10</f>
        <v>1.25</v>
      </c>
      <c r="D2104" s="14" t="str">
        <f>'Curvas SRY'!$B$14</f>
        <v>Uso variable</v>
      </c>
      <c r="E2104" s="14">
        <f>61</f>
        <v>61</v>
      </c>
      <c r="F2104" s="21">
        <f>'Hoja 4 - Cálculo'!A85</f>
        <v>31413</v>
      </c>
      <c r="G2104" s="15">
        <f>'Hoja 4 - Cálculo'!H85</f>
        <v>12.641624999999999</v>
      </c>
      <c r="H2104" s="15">
        <f>IF(D2104="Uso único",'Hoja 4 - Cálculo'!I85,IF(D2104="Uso múltiple",AVERAGE('Hoja 4 - Cálculo'!$I$25:$I$384)+AVERAGE('Hoja 4 - Cálculo'!$J$25:$J$384)+AVERAGE('Hoja 4 - Cálculo'!$K$25:$K$384),IF(D2104="Uso prioritario",'Hoja 4 - Cálculo'!I85+'Hoja 4 - Cálculo'!K85,'Hoja 4 - Cálculo'!I85+'Hoja 4 - Cálculo'!J85+'Hoja 4 - Cálculo'!K85)))</f>
        <v>16</v>
      </c>
      <c r="I2104" s="15">
        <f t="shared" si="468"/>
        <v>20</v>
      </c>
      <c r="J2104" s="15">
        <f t="shared" si="475"/>
        <v>8.5881924999999981</v>
      </c>
      <c r="K2104" s="15">
        <f>MIN(J2104+G2104,(J2104+G2104)*'Hoja 4 - Cálculo'!$B$15)</f>
        <v>0.4245963499999999</v>
      </c>
      <c r="L2104" s="15">
        <f t="shared" si="469"/>
        <v>20.805221149999994</v>
      </c>
      <c r="M2104" s="15">
        <f t="shared" si="470"/>
        <v>20</v>
      </c>
      <c r="N2104" s="15">
        <f t="shared" si="471"/>
        <v>0.80522114999999417</v>
      </c>
      <c r="O2104" s="15">
        <f t="shared" si="472"/>
        <v>0</v>
      </c>
      <c r="P2104" s="15">
        <f t="shared" si="473"/>
        <v>0</v>
      </c>
      <c r="Q2104" s="14" t="str">
        <f>IF(M2104&gt;=I2104*'Hoja 4 - Cálculo'!$B$16,"Satisfactorio","Falla")</f>
        <v>Satisfactorio</v>
      </c>
      <c r="R2104" s="14">
        <f t="shared" si="476"/>
        <v>0</v>
      </c>
      <c r="S2104" s="14">
        <f t="shared" si="477"/>
        <v>0</v>
      </c>
    </row>
    <row r="2105" spans="1:19">
      <c r="A2105" s="14" t="str">
        <f t="shared" si="474"/>
        <v>SRY-6-3</v>
      </c>
      <c r="B2105" s="15">
        <f>'Curvas SRY'!$B$13</f>
        <v>15</v>
      </c>
      <c r="C2105" s="15">
        <f>'Curvas SRY'!$E$10</f>
        <v>1.25</v>
      </c>
      <c r="D2105" s="14" t="str">
        <f>'Curvas SRY'!$B$14</f>
        <v>Uso variable</v>
      </c>
      <c r="E2105" s="14">
        <f>62</f>
        <v>62</v>
      </c>
      <c r="F2105" s="21">
        <f>'Hoja 4 - Cálculo'!A86</f>
        <v>31444</v>
      </c>
      <c r="G2105" s="15">
        <f>'Hoja 4 - Cálculo'!H86</f>
        <v>15.357374999999999</v>
      </c>
      <c r="H2105" s="15">
        <f>IF(D2105="Uso único",'Hoja 4 - Cálculo'!I86,IF(D2105="Uso múltiple",AVERAGE('Hoja 4 - Cálculo'!$I$25:$I$384)+AVERAGE('Hoja 4 - Cálculo'!$J$25:$J$384)+AVERAGE('Hoja 4 - Cálculo'!$K$25:$K$384),IF(D2105="Uso prioritario",'Hoja 4 - Cálculo'!I86+'Hoja 4 - Cálculo'!K86,'Hoja 4 - Cálculo'!I86+'Hoja 4 - Cálculo'!J86+'Hoja 4 - Cálculo'!K86)))</f>
        <v>16</v>
      </c>
      <c r="I2105" s="15">
        <f t="shared" si="468"/>
        <v>20</v>
      </c>
      <c r="J2105" s="15">
        <f t="shared" si="475"/>
        <v>0.80522114999999417</v>
      </c>
      <c r="K2105" s="15">
        <f>MIN(J2105+G2105,(J2105+G2105)*'Hoja 4 - Cálculo'!$B$15)</f>
        <v>0.32325192299999983</v>
      </c>
      <c r="L2105" s="15">
        <f t="shared" si="469"/>
        <v>15.839344226999993</v>
      </c>
      <c r="M2105" s="15">
        <f t="shared" si="470"/>
        <v>15.839344226999993</v>
      </c>
      <c r="N2105" s="15">
        <f t="shared" si="471"/>
        <v>0</v>
      </c>
      <c r="O2105" s="15">
        <f t="shared" si="472"/>
        <v>0</v>
      </c>
      <c r="P2105" s="15">
        <f t="shared" si="473"/>
        <v>4.1606557730000073</v>
      </c>
      <c r="Q2105" s="14" t="str">
        <f>IF(M2105&gt;=I2105*'Hoja 4 - Cálculo'!$B$16,"Satisfactorio","Falla")</f>
        <v>Falla</v>
      </c>
      <c r="R2105" s="14">
        <f t="shared" si="476"/>
        <v>0</v>
      </c>
      <c r="S2105" s="14">
        <f t="shared" si="477"/>
        <v>1</v>
      </c>
    </row>
    <row r="2106" spans="1:19">
      <c r="A2106" s="14" t="str">
        <f t="shared" si="474"/>
        <v>SRY-6-3</v>
      </c>
      <c r="B2106" s="15">
        <f>'Curvas SRY'!$B$13</f>
        <v>15</v>
      </c>
      <c r="C2106" s="15">
        <f>'Curvas SRY'!$E$10</f>
        <v>1.25</v>
      </c>
      <c r="D2106" s="14" t="str">
        <f>'Curvas SRY'!$B$14</f>
        <v>Uso variable</v>
      </c>
      <c r="E2106" s="14">
        <f>63</f>
        <v>63</v>
      </c>
      <c r="F2106" s="21">
        <f>'Hoja 4 - Cálculo'!A87</f>
        <v>31472</v>
      </c>
      <c r="G2106" s="15">
        <f>'Hoja 4 - Cálculo'!H87</f>
        <v>20.846250000000001</v>
      </c>
      <c r="H2106" s="15">
        <f>IF(D2106="Uso único",'Hoja 4 - Cálculo'!I87,IF(D2106="Uso múltiple",AVERAGE('Hoja 4 - Cálculo'!$I$25:$I$384)+AVERAGE('Hoja 4 - Cálculo'!$J$25:$J$384)+AVERAGE('Hoja 4 - Cálculo'!$K$25:$K$384),IF(D2106="Uso prioritario",'Hoja 4 - Cálculo'!I87+'Hoja 4 - Cálculo'!K87,'Hoja 4 - Cálculo'!I87+'Hoja 4 - Cálculo'!J87+'Hoja 4 - Cálculo'!K87)))</f>
        <v>16</v>
      </c>
      <c r="I2106" s="15">
        <f t="shared" si="468"/>
        <v>20</v>
      </c>
      <c r="J2106" s="15">
        <f t="shared" si="475"/>
        <v>0</v>
      </c>
      <c r="K2106" s="15">
        <f>MIN(J2106+G2106,(J2106+G2106)*'Hoja 4 - Cálculo'!$B$15)</f>
        <v>0.41692500000000005</v>
      </c>
      <c r="L2106" s="15">
        <f t="shared" si="469"/>
        <v>20.429325000000002</v>
      </c>
      <c r="M2106" s="15">
        <f t="shared" si="470"/>
        <v>20</v>
      </c>
      <c r="N2106" s="15">
        <f t="shared" si="471"/>
        <v>0.42932500000000218</v>
      </c>
      <c r="O2106" s="15">
        <f t="shared" si="472"/>
        <v>0</v>
      </c>
      <c r="P2106" s="15">
        <f t="shared" si="473"/>
        <v>0</v>
      </c>
      <c r="Q2106" s="14" t="str">
        <f>IF(M2106&gt;=I2106*'Hoja 4 - Cálculo'!$B$16,"Satisfactorio","Falla")</f>
        <v>Satisfactorio</v>
      </c>
      <c r="R2106" s="14">
        <f t="shared" si="476"/>
        <v>1</v>
      </c>
      <c r="S2106" s="14">
        <f t="shared" si="477"/>
        <v>0</v>
      </c>
    </row>
    <row r="2107" spans="1:19">
      <c r="A2107" s="14" t="str">
        <f t="shared" si="474"/>
        <v>SRY-6-3</v>
      </c>
      <c r="B2107" s="15">
        <f>'Curvas SRY'!$B$13</f>
        <v>15</v>
      </c>
      <c r="C2107" s="15">
        <f>'Curvas SRY'!$E$10</f>
        <v>1.25</v>
      </c>
      <c r="D2107" s="14" t="str">
        <f>'Curvas SRY'!$B$14</f>
        <v>Uso variable</v>
      </c>
      <c r="E2107" s="14">
        <f>64</f>
        <v>64</v>
      </c>
      <c r="F2107" s="21">
        <f>'Hoja 4 - Cálculo'!A88</f>
        <v>31503</v>
      </c>
      <c r="G2107" s="15">
        <f>'Hoja 4 - Cálculo'!H88</f>
        <v>30.638249999999999</v>
      </c>
      <c r="H2107" s="15">
        <f>IF(D2107="Uso único",'Hoja 4 - Cálculo'!I88,IF(D2107="Uso múltiple",AVERAGE('Hoja 4 - Cálculo'!$I$25:$I$384)+AVERAGE('Hoja 4 - Cálculo'!$J$25:$J$384)+AVERAGE('Hoja 4 - Cálculo'!$K$25:$K$384),IF(D2107="Uso prioritario",'Hoja 4 - Cálculo'!I88+'Hoja 4 - Cálculo'!K88,'Hoja 4 - Cálculo'!I88+'Hoja 4 - Cálculo'!J88+'Hoja 4 - Cálculo'!K88)))</f>
        <v>11.5</v>
      </c>
      <c r="I2107" s="15">
        <f t="shared" si="468"/>
        <v>14.375</v>
      </c>
      <c r="J2107" s="15">
        <f t="shared" si="475"/>
        <v>0.42932500000000218</v>
      </c>
      <c r="K2107" s="15">
        <f>MIN(J2107+G2107,(J2107+G2107)*'Hoja 4 - Cálculo'!$B$15)</f>
        <v>0.62135150000000006</v>
      </c>
      <c r="L2107" s="15">
        <f t="shared" si="469"/>
        <v>30.446223500000002</v>
      </c>
      <c r="M2107" s="15">
        <f t="shared" si="470"/>
        <v>14.375</v>
      </c>
      <c r="N2107" s="15">
        <f t="shared" si="471"/>
        <v>15</v>
      </c>
      <c r="O2107" s="15">
        <f t="shared" si="472"/>
        <v>1.0712235000000021</v>
      </c>
      <c r="P2107" s="15">
        <f t="shared" si="473"/>
        <v>0</v>
      </c>
      <c r="Q2107" s="14" t="str">
        <f>IF(M2107&gt;=I2107*'Hoja 4 - Cálculo'!$B$16,"Satisfactorio","Falla")</f>
        <v>Satisfactorio</v>
      </c>
      <c r="R2107" s="14">
        <f t="shared" si="476"/>
        <v>0</v>
      </c>
      <c r="S2107" s="14">
        <f t="shared" si="477"/>
        <v>0</v>
      </c>
    </row>
    <row r="2108" spans="1:19">
      <c r="A2108" s="14" t="str">
        <f t="shared" ref="A2108:A2139" si="478">"SRY-6-3"</f>
        <v>SRY-6-3</v>
      </c>
      <c r="B2108" s="15">
        <f>'Curvas SRY'!$B$13</f>
        <v>15</v>
      </c>
      <c r="C2108" s="15">
        <f>'Curvas SRY'!$E$10</f>
        <v>1.25</v>
      </c>
      <c r="D2108" s="14" t="str">
        <f>'Curvas SRY'!$B$14</f>
        <v>Uso variable</v>
      </c>
      <c r="E2108" s="14">
        <f>65</f>
        <v>65</v>
      </c>
      <c r="F2108" s="21">
        <f>'Hoja 4 - Cálculo'!A89</f>
        <v>31533</v>
      </c>
      <c r="G2108" s="15">
        <f>'Hoja 4 - Cálculo'!H89</f>
        <v>28.438874999999999</v>
      </c>
      <c r="H2108" s="15">
        <f>IF(D2108="Uso único",'Hoja 4 - Cálculo'!I89,IF(D2108="Uso múltiple",AVERAGE('Hoja 4 - Cálculo'!$I$25:$I$384)+AVERAGE('Hoja 4 - Cálculo'!$J$25:$J$384)+AVERAGE('Hoja 4 - Cálculo'!$K$25:$K$384),IF(D2108="Uso prioritario",'Hoja 4 - Cálculo'!I89+'Hoja 4 - Cálculo'!K89,'Hoja 4 - Cálculo'!I89+'Hoja 4 - Cálculo'!J89+'Hoja 4 - Cálculo'!K89)))</f>
        <v>11.5</v>
      </c>
      <c r="I2108" s="15">
        <f t="shared" si="468"/>
        <v>14.375</v>
      </c>
      <c r="J2108" s="15">
        <f t="shared" si="475"/>
        <v>15</v>
      </c>
      <c r="K2108" s="15">
        <f>MIN(J2108+G2108,(J2108+G2108)*'Hoja 4 - Cálculo'!$B$15)</f>
        <v>0.86877749999999998</v>
      </c>
      <c r="L2108" s="15">
        <f t="shared" si="469"/>
        <v>42.570097499999996</v>
      </c>
      <c r="M2108" s="15">
        <f t="shared" si="470"/>
        <v>14.375</v>
      </c>
      <c r="N2108" s="15">
        <f t="shared" si="471"/>
        <v>15</v>
      </c>
      <c r="O2108" s="15">
        <f t="shared" si="472"/>
        <v>13.195097499999996</v>
      </c>
      <c r="P2108" s="15">
        <f t="shared" si="473"/>
        <v>0</v>
      </c>
      <c r="Q2108" s="14" t="str">
        <f>IF(M2108&gt;=I2108*'Hoja 4 - Cálculo'!$B$16,"Satisfactorio","Falla")</f>
        <v>Satisfactorio</v>
      </c>
      <c r="R2108" s="14">
        <f t="shared" si="476"/>
        <v>0</v>
      </c>
      <c r="S2108" s="14">
        <f t="shared" si="477"/>
        <v>0</v>
      </c>
    </row>
    <row r="2109" spans="1:19">
      <c r="A2109" s="14" t="str">
        <f t="shared" si="478"/>
        <v>SRY-6-3</v>
      </c>
      <c r="B2109" s="15">
        <f>'Curvas SRY'!$B$13</f>
        <v>15</v>
      </c>
      <c r="C2109" s="15">
        <f>'Curvas SRY'!$E$10</f>
        <v>1.25</v>
      </c>
      <c r="D2109" s="14" t="str">
        <f>'Curvas SRY'!$B$14</f>
        <v>Uso variable</v>
      </c>
      <c r="E2109" s="14">
        <f>66</f>
        <v>66</v>
      </c>
      <c r="F2109" s="21">
        <f>'Hoja 4 - Cálculo'!A90</f>
        <v>31564</v>
      </c>
      <c r="G2109" s="15">
        <f>'Hoja 4 - Cálculo'!H90</f>
        <v>16.007625000000001</v>
      </c>
      <c r="H2109" s="15">
        <f>IF(D2109="Uso único",'Hoja 4 - Cálculo'!I90,IF(D2109="Uso múltiple",AVERAGE('Hoja 4 - Cálculo'!$I$25:$I$384)+AVERAGE('Hoja 4 - Cálculo'!$J$25:$J$384)+AVERAGE('Hoja 4 - Cálculo'!$K$25:$K$384),IF(D2109="Uso prioritario",'Hoja 4 - Cálculo'!I90+'Hoja 4 - Cálculo'!K90,'Hoja 4 - Cálculo'!I90+'Hoja 4 - Cálculo'!J90+'Hoja 4 - Cálculo'!K90)))</f>
        <v>11.5</v>
      </c>
      <c r="I2109" s="15">
        <f t="shared" si="468"/>
        <v>14.375</v>
      </c>
      <c r="J2109" s="15">
        <f t="shared" ref="J2109:J2140" si="479">N2108</f>
        <v>15</v>
      </c>
      <c r="K2109" s="15">
        <f>MIN(J2109+G2109,(J2109+G2109)*'Hoja 4 - Cálculo'!$B$15)</f>
        <v>0.6201525</v>
      </c>
      <c r="L2109" s="15">
        <f t="shared" si="469"/>
        <v>30.387472500000001</v>
      </c>
      <c r="M2109" s="15">
        <f t="shared" si="470"/>
        <v>14.375</v>
      </c>
      <c r="N2109" s="15">
        <f t="shared" si="471"/>
        <v>15</v>
      </c>
      <c r="O2109" s="15">
        <f t="shared" si="472"/>
        <v>1.0124725000000012</v>
      </c>
      <c r="P2109" s="15">
        <f t="shared" si="473"/>
        <v>0</v>
      </c>
      <c r="Q2109" s="14" t="str">
        <f>IF(M2109&gt;=I2109*'Hoja 4 - Cálculo'!$B$16,"Satisfactorio","Falla")</f>
        <v>Satisfactorio</v>
      </c>
      <c r="R2109" s="14">
        <f t="shared" ref="R2109:R2140" si="480">IF(AND(Q2108="Falla",Q2109="Satisfactorio"),1,0)</f>
        <v>0</v>
      </c>
      <c r="S2109" s="14">
        <f t="shared" ref="S2109:S2140" si="481">IF(AND(Q2109="Falla",Q2108&lt;&gt;"Falla"),1,0)</f>
        <v>0</v>
      </c>
    </row>
    <row r="2110" spans="1:19">
      <c r="A2110" s="14" t="str">
        <f t="shared" si="478"/>
        <v>SRY-6-3</v>
      </c>
      <c r="B2110" s="15">
        <f>'Curvas SRY'!$B$13</f>
        <v>15</v>
      </c>
      <c r="C2110" s="15">
        <f>'Curvas SRY'!$E$10</f>
        <v>1.25</v>
      </c>
      <c r="D2110" s="14" t="str">
        <f>'Curvas SRY'!$B$14</f>
        <v>Uso variable</v>
      </c>
      <c r="E2110" s="14">
        <f>67</f>
        <v>67</v>
      </c>
      <c r="F2110" s="21">
        <f>'Hoja 4 - Cálculo'!A91</f>
        <v>31594</v>
      </c>
      <c r="G2110" s="15">
        <f>'Hoja 4 - Cálculo'!H91</f>
        <v>14.056875</v>
      </c>
      <c r="H2110" s="15">
        <f>IF(D2110="Uso único",'Hoja 4 - Cálculo'!I91,IF(D2110="Uso múltiple",AVERAGE('Hoja 4 - Cálculo'!$I$25:$I$384)+AVERAGE('Hoja 4 - Cálculo'!$J$25:$J$384)+AVERAGE('Hoja 4 - Cálculo'!$K$25:$K$384),IF(D2110="Uso prioritario",'Hoja 4 - Cálculo'!I91+'Hoja 4 - Cálculo'!K91,'Hoja 4 - Cálculo'!I91+'Hoja 4 - Cálculo'!J91+'Hoja 4 - Cálculo'!K91)))</f>
        <v>16</v>
      </c>
      <c r="I2110" s="15">
        <f t="shared" si="468"/>
        <v>20</v>
      </c>
      <c r="J2110" s="15">
        <f t="shared" si="479"/>
        <v>15</v>
      </c>
      <c r="K2110" s="15">
        <f>MIN(J2110+G2110,(J2110+G2110)*'Hoja 4 - Cálculo'!$B$15)</f>
        <v>0.58113749999999997</v>
      </c>
      <c r="L2110" s="15">
        <f t="shared" si="469"/>
        <v>28.475737499999997</v>
      </c>
      <c r="M2110" s="15">
        <f t="shared" si="470"/>
        <v>20</v>
      </c>
      <c r="N2110" s="15">
        <f t="shared" si="471"/>
        <v>8.4757374999999975</v>
      </c>
      <c r="O2110" s="15">
        <f t="shared" si="472"/>
        <v>0</v>
      </c>
      <c r="P2110" s="15">
        <f t="shared" si="473"/>
        <v>0</v>
      </c>
      <c r="Q2110" s="14" t="str">
        <f>IF(M2110&gt;=I2110*'Hoja 4 - Cálculo'!$B$16,"Satisfactorio","Falla")</f>
        <v>Satisfactorio</v>
      </c>
      <c r="R2110" s="14">
        <f t="shared" si="480"/>
        <v>0</v>
      </c>
      <c r="S2110" s="14">
        <f t="shared" si="481"/>
        <v>0</v>
      </c>
    </row>
    <row r="2111" spans="1:19">
      <c r="A2111" s="14" t="str">
        <f t="shared" si="478"/>
        <v>SRY-6-3</v>
      </c>
      <c r="B2111" s="15">
        <f>'Curvas SRY'!$B$13</f>
        <v>15</v>
      </c>
      <c r="C2111" s="15">
        <f>'Curvas SRY'!$E$10</f>
        <v>1.25</v>
      </c>
      <c r="D2111" s="14" t="str">
        <f>'Curvas SRY'!$B$14</f>
        <v>Uso variable</v>
      </c>
      <c r="E2111" s="14">
        <f>68</f>
        <v>68</v>
      </c>
      <c r="F2111" s="21">
        <f>'Hoja 4 - Cálculo'!A92</f>
        <v>31625</v>
      </c>
      <c r="G2111" s="15">
        <f>'Hoja 4 - Cálculo'!H92</f>
        <v>15.032249999999999</v>
      </c>
      <c r="H2111" s="15">
        <f>IF(D2111="Uso único",'Hoja 4 - Cálculo'!I92,IF(D2111="Uso múltiple",AVERAGE('Hoja 4 - Cálculo'!$I$25:$I$384)+AVERAGE('Hoja 4 - Cálculo'!$J$25:$J$384)+AVERAGE('Hoja 4 - Cálculo'!$K$25:$K$384),IF(D2111="Uso prioritario",'Hoja 4 - Cálculo'!I92+'Hoja 4 - Cálculo'!K92,'Hoja 4 - Cálculo'!I92+'Hoja 4 - Cálculo'!J92+'Hoja 4 - Cálculo'!K92)))</f>
        <v>16</v>
      </c>
      <c r="I2111" s="15">
        <f t="shared" si="468"/>
        <v>20</v>
      </c>
      <c r="J2111" s="15">
        <f t="shared" si="479"/>
        <v>8.4757374999999975</v>
      </c>
      <c r="K2111" s="15">
        <f>MIN(J2111+G2111,(J2111+G2111)*'Hoja 4 - Cálculo'!$B$15)</f>
        <v>0.47015974999999999</v>
      </c>
      <c r="L2111" s="15">
        <f t="shared" si="469"/>
        <v>23.037827749999998</v>
      </c>
      <c r="M2111" s="15">
        <f t="shared" si="470"/>
        <v>20</v>
      </c>
      <c r="N2111" s="15">
        <f t="shared" si="471"/>
        <v>3.0378277499999982</v>
      </c>
      <c r="O2111" s="15">
        <f t="shared" si="472"/>
        <v>0</v>
      </c>
      <c r="P2111" s="15">
        <f t="shared" si="473"/>
        <v>0</v>
      </c>
      <c r="Q2111" s="14" t="str">
        <f>IF(M2111&gt;=I2111*'Hoja 4 - Cálculo'!$B$16,"Satisfactorio","Falla")</f>
        <v>Satisfactorio</v>
      </c>
      <c r="R2111" s="14">
        <f t="shared" si="480"/>
        <v>0</v>
      </c>
      <c r="S2111" s="14">
        <f t="shared" si="481"/>
        <v>0</v>
      </c>
    </row>
    <row r="2112" spans="1:19">
      <c r="A2112" s="14" t="str">
        <f t="shared" si="478"/>
        <v>SRY-6-3</v>
      </c>
      <c r="B2112" s="15">
        <f>'Curvas SRY'!$B$13</f>
        <v>15</v>
      </c>
      <c r="C2112" s="15">
        <f>'Curvas SRY'!$E$10</f>
        <v>1.25</v>
      </c>
      <c r="D2112" s="14" t="str">
        <f>'Curvas SRY'!$B$14</f>
        <v>Uso variable</v>
      </c>
      <c r="E2112" s="14">
        <f>69</f>
        <v>69</v>
      </c>
      <c r="F2112" s="21">
        <f>'Hoja 4 - Cálculo'!A93</f>
        <v>31656</v>
      </c>
      <c r="G2112" s="15">
        <f>'Hoja 4 - Cálculo'!H93</f>
        <v>22.60575</v>
      </c>
      <c r="H2112" s="15">
        <f>IF(D2112="Uso único",'Hoja 4 - Cálculo'!I93,IF(D2112="Uso múltiple",AVERAGE('Hoja 4 - Cálculo'!$I$25:$I$384)+AVERAGE('Hoja 4 - Cálculo'!$J$25:$J$384)+AVERAGE('Hoja 4 - Cálculo'!$K$25:$K$384),IF(D2112="Uso prioritario",'Hoja 4 - Cálculo'!I93+'Hoja 4 - Cálculo'!K93,'Hoja 4 - Cálculo'!I93+'Hoja 4 - Cálculo'!J93+'Hoja 4 - Cálculo'!K93)))</f>
        <v>11.5</v>
      </c>
      <c r="I2112" s="15">
        <f t="shared" si="468"/>
        <v>14.375</v>
      </c>
      <c r="J2112" s="15">
        <f t="shared" si="479"/>
        <v>3.0378277499999982</v>
      </c>
      <c r="K2112" s="15">
        <f>MIN(J2112+G2112,(J2112+G2112)*'Hoja 4 - Cálculo'!$B$15)</f>
        <v>0.51287155500000003</v>
      </c>
      <c r="L2112" s="15">
        <f t="shared" si="469"/>
        <v>25.130706194999998</v>
      </c>
      <c r="M2112" s="15">
        <f t="shared" si="470"/>
        <v>14.375</v>
      </c>
      <c r="N2112" s="15">
        <f t="shared" si="471"/>
        <v>10.755706194999998</v>
      </c>
      <c r="O2112" s="15">
        <f t="shared" si="472"/>
        <v>0</v>
      </c>
      <c r="P2112" s="15">
        <f t="shared" si="473"/>
        <v>0</v>
      </c>
      <c r="Q2112" s="14" t="str">
        <f>IF(M2112&gt;=I2112*'Hoja 4 - Cálculo'!$B$16,"Satisfactorio","Falla")</f>
        <v>Satisfactorio</v>
      </c>
      <c r="R2112" s="14">
        <f t="shared" si="480"/>
        <v>0</v>
      </c>
      <c r="S2112" s="14">
        <f t="shared" si="481"/>
        <v>0</v>
      </c>
    </row>
    <row r="2113" spans="1:19">
      <c r="A2113" s="14" t="str">
        <f t="shared" si="478"/>
        <v>SRY-6-3</v>
      </c>
      <c r="B2113" s="15">
        <f>'Curvas SRY'!$B$13</f>
        <v>15</v>
      </c>
      <c r="C2113" s="15">
        <f>'Curvas SRY'!$E$10</f>
        <v>1.25</v>
      </c>
      <c r="D2113" s="14" t="str">
        <f>'Curvas SRY'!$B$14</f>
        <v>Uso variable</v>
      </c>
      <c r="E2113" s="14">
        <f>70</f>
        <v>70</v>
      </c>
      <c r="F2113" s="21">
        <f>'Hoja 4 - Cálculo'!A94</f>
        <v>31686</v>
      </c>
      <c r="G2113" s="15">
        <f>'Hoja 4 - Cálculo'!H94</f>
        <v>32.531624999999998</v>
      </c>
      <c r="H2113" s="15">
        <f>IF(D2113="Uso único",'Hoja 4 - Cálculo'!I94,IF(D2113="Uso múltiple",AVERAGE('Hoja 4 - Cálculo'!$I$25:$I$384)+AVERAGE('Hoja 4 - Cálculo'!$J$25:$J$384)+AVERAGE('Hoja 4 - Cálculo'!$K$25:$K$384),IF(D2113="Uso prioritario",'Hoja 4 - Cálculo'!I94+'Hoja 4 - Cálculo'!K94,'Hoja 4 - Cálculo'!I94+'Hoja 4 - Cálculo'!J94+'Hoja 4 - Cálculo'!K94)))</f>
        <v>11.5</v>
      </c>
      <c r="I2113" s="15">
        <f t="shared" si="468"/>
        <v>14.375</v>
      </c>
      <c r="J2113" s="15">
        <f t="shared" si="479"/>
        <v>10.755706194999998</v>
      </c>
      <c r="K2113" s="15">
        <f>MIN(J2113+G2113,(J2113+G2113)*'Hoja 4 - Cálculo'!$B$15)</f>
        <v>0.8657466238999999</v>
      </c>
      <c r="L2113" s="15">
        <f t="shared" si="469"/>
        <v>42.421584571099991</v>
      </c>
      <c r="M2113" s="15">
        <f t="shared" si="470"/>
        <v>14.375</v>
      </c>
      <c r="N2113" s="15">
        <f t="shared" si="471"/>
        <v>15</v>
      </c>
      <c r="O2113" s="15">
        <f t="shared" si="472"/>
        <v>13.046584571099991</v>
      </c>
      <c r="P2113" s="15">
        <f t="shared" si="473"/>
        <v>0</v>
      </c>
      <c r="Q2113" s="14" t="str">
        <f>IF(M2113&gt;=I2113*'Hoja 4 - Cálculo'!$B$16,"Satisfactorio","Falla")</f>
        <v>Satisfactorio</v>
      </c>
      <c r="R2113" s="14">
        <f t="shared" si="480"/>
        <v>0</v>
      </c>
      <c r="S2113" s="14">
        <f t="shared" si="481"/>
        <v>0</v>
      </c>
    </row>
    <row r="2114" spans="1:19">
      <c r="A2114" s="14" t="str">
        <f t="shared" si="478"/>
        <v>SRY-6-3</v>
      </c>
      <c r="B2114" s="15">
        <f>'Curvas SRY'!$B$13</f>
        <v>15</v>
      </c>
      <c r="C2114" s="15">
        <f>'Curvas SRY'!$E$10</f>
        <v>1.25</v>
      </c>
      <c r="D2114" s="14" t="str">
        <f>'Curvas SRY'!$B$14</f>
        <v>Uso variable</v>
      </c>
      <c r="E2114" s="14">
        <f>71</f>
        <v>71</v>
      </c>
      <c r="F2114" s="21">
        <f>'Hoja 4 - Cálculo'!A95</f>
        <v>31717</v>
      </c>
      <c r="G2114" s="15">
        <f>'Hoja 4 - Cálculo'!H95</f>
        <v>26.641124999999999</v>
      </c>
      <c r="H2114" s="15">
        <f>IF(D2114="Uso único",'Hoja 4 - Cálculo'!I95,IF(D2114="Uso múltiple",AVERAGE('Hoja 4 - Cálculo'!$I$25:$I$384)+AVERAGE('Hoja 4 - Cálculo'!$J$25:$J$384)+AVERAGE('Hoja 4 - Cálculo'!$K$25:$K$384),IF(D2114="Uso prioritario",'Hoja 4 - Cálculo'!I95+'Hoja 4 - Cálculo'!K95,'Hoja 4 - Cálculo'!I95+'Hoja 4 - Cálculo'!J95+'Hoja 4 - Cálculo'!K95)))</f>
        <v>11.5</v>
      </c>
      <c r="I2114" s="15">
        <f t="shared" si="468"/>
        <v>14.375</v>
      </c>
      <c r="J2114" s="15">
        <f t="shared" si="479"/>
        <v>15</v>
      </c>
      <c r="K2114" s="15">
        <f>MIN(J2114+G2114,(J2114+G2114)*'Hoja 4 - Cálculo'!$B$15)</f>
        <v>0.83282250000000002</v>
      </c>
      <c r="L2114" s="15">
        <f t="shared" si="469"/>
        <v>40.808302500000003</v>
      </c>
      <c r="M2114" s="15">
        <f t="shared" si="470"/>
        <v>14.375</v>
      </c>
      <c r="N2114" s="15">
        <f t="shared" si="471"/>
        <v>15</v>
      </c>
      <c r="O2114" s="15">
        <f t="shared" si="472"/>
        <v>11.433302500000003</v>
      </c>
      <c r="P2114" s="15">
        <f t="shared" si="473"/>
        <v>0</v>
      </c>
      <c r="Q2114" s="14" t="str">
        <f>IF(M2114&gt;=I2114*'Hoja 4 - Cálculo'!$B$16,"Satisfactorio","Falla")</f>
        <v>Satisfactorio</v>
      </c>
      <c r="R2114" s="14">
        <f t="shared" si="480"/>
        <v>0</v>
      </c>
      <c r="S2114" s="14">
        <f t="shared" si="481"/>
        <v>0</v>
      </c>
    </row>
    <row r="2115" spans="1:19">
      <c r="A2115" s="14" t="str">
        <f t="shared" si="478"/>
        <v>SRY-6-3</v>
      </c>
      <c r="B2115" s="15">
        <f>'Curvas SRY'!$B$13</f>
        <v>15</v>
      </c>
      <c r="C2115" s="15">
        <f>'Curvas SRY'!$E$10</f>
        <v>1.25</v>
      </c>
      <c r="D2115" s="14" t="str">
        <f>'Curvas SRY'!$B$14</f>
        <v>Uso variable</v>
      </c>
      <c r="E2115" s="14">
        <f>72</f>
        <v>72</v>
      </c>
      <c r="F2115" s="21">
        <f>'Hoja 4 - Cálculo'!A96</f>
        <v>31747</v>
      </c>
      <c r="G2115" s="15">
        <f>'Hoja 4 - Cálculo'!H96</f>
        <v>15.166124999999999</v>
      </c>
      <c r="H2115" s="15">
        <f>IF(D2115="Uso único",'Hoja 4 - Cálculo'!I96,IF(D2115="Uso múltiple",AVERAGE('Hoja 4 - Cálculo'!$I$25:$I$384)+AVERAGE('Hoja 4 - Cálculo'!$J$25:$J$384)+AVERAGE('Hoja 4 - Cálculo'!$K$25:$K$384),IF(D2115="Uso prioritario",'Hoja 4 - Cálculo'!I96+'Hoja 4 - Cálculo'!K96,'Hoja 4 - Cálculo'!I96+'Hoja 4 - Cálculo'!J96+'Hoja 4 - Cálculo'!K96)))</f>
        <v>16</v>
      </c>
      <c r="I2115" s="15">
        <f t="shared" si="468"/>
        <v>20</v>
      </c>
      <c r="J2115" s="15">
        <f t="shared" si="479"/>
        <v>15</v>
      </c>
      <c r="K2115" s="15">
        <f>MIN(J2115+G2115,(J2115+G2115)*'Hoja 4 - Cálculo'!$B$15)</f>
        <v>0.60332249999999998</v>
      </c>
      <c r="L2115" s="15">
        <f t="shared" si="469"/>
        <v>29.5628025</v>
      </c>
      <c r="M2115" s="15">
        <f t="shared" si="470"/>
        <v>20</v>
      </c>
      <c r="N2115" s="15">
        <f t="shared" si="471"/>
        <v>9.5628025000000001</v>
      </c>
      <c r="O2115" s="15">
        <f t="shared" si="472"/>
        <v>0</v>
      </c>
      <c r="P2115" s="15">
        <f t="shared" si="473"/>
        <v>0</v>
      </c>
      <c r="Q2115" s="14" t="str">
        <f>IF(M2115&gt;=I2115*'Hoja 4 - Cálculo'!$B$16,"Satisfactorio","Falla")</f>
        <v>Satisfactorio</v>
      </c>
      <c r="R2115" s="14">
        <f t="shared" si="480"/>
        <v>0</v>
      </c>
      <c r="S2115" s="14">
        <f t="shared" si="481"/>
        <v>0</v>
      </c>
    </row>
    <row r="2116" spans="1:19">
      <c r="A2116" s="14" t="str">
        <f t="shared" si="478"/>
        <v>SRY-6-3</v>
      </c>
      <c r="B2116" s="15">
        <f>'Curvas SRY'!$B$13</f>
        <v>15</v>
      </c>
      <c r="C2116" s="15">
        <f>'Curvas SRY'!$E$10</f>
        <v>1.25</v>
      </c>
      <c r="D2116" s="14" t="str">
        <f>'Curvas SRY'!$B$14</f>
        <v>Uso variable</v>
      </c>
      <c r="E2116" s="14">
        <f>73</f>
        <v>73</v>
      </c>
      <c r="F2116" s="21">
        <f>'Hoja 4 - Cálculo'!A97</f>
        <v>31778</v>
      </c>
      <c r="G2116" s="15">
        <f>'Hoja 4 - Cálculo'!H97</f>
        <v>14.056875</v>
      </c>
      <c r="H2116" s="15">
        <f>IF(D2116="Uso único",'Hoja 4 - Cálculo'!I97,IF(D2116="Uso múltiple",AVERAGE('Hoja 4 - Cálculo'!$I$25:$I$384)+AVERAGE('Hoja 4 - Cálculo'!$J$25:$J$384)+AVERAGE('Hoja 4 - Cálculo'!$K$25:$K$384),IF(D2116="Uso prioritario",'Hoja 4 - Cálculo'!I97+'Hoja 4 - Cálculo'!K97,'Hoja 4 - Cálculo'!I97+'Hoja 4 - Cálculo'!J97+'Hoja 4 - Cálculo'!K97)))</f>
        <v>16</v>
      </c>
      <c r="I2116" s="15">
        <f t="shared" ref="I2116:I2179" si="482">H2116*C2116</f>
        <v>20</v>
      </c>
      <c r="J2116" s="15">
        <f t="shared" si="479"/>
        <v>9.5628025000000001</v>
      </c>
      <c r="K2116" s="15">
        <f>MIN(J2116+G2116,(J2116+G2116)*'Hoja 4 - Cálculo'!$B$15)</f>
        <v>0.47239355000000005</v>
      </c>
      <c r="L2116" s="15">
        <f t="shared" ref="L2116:L2179" si="483">MAX(0,J2116+G2116-K2116)</f>
        <v>23.147283950000002</v>
      </c>
      <c r="M2116" s="15">
        <f t="shared" ref="M2116:M2179" si="484">MIN(I2116,L2116)</f>
        <v>20</v>
      </c>
      <c r="N2116" s="15">
        <f t="shared" ref="N2116:N2179" si="485">MIN(B2116,MAX(0,L2116-M2116))</f>
        <v>3.1472839500000021</v>
      </c>
      <c r="O2116" s="15">
        <f t="shared" ref="O2116:O2179" si="486">MAX(0,L2116-M2116-B2116)</f>
        <v>0</v>
      </c>
      <c r="P2116" s="15">
        <f t="shared" ref="P2116:P2179" si="487">MAX(0,I2116-M2116)</f>
        <v>0</v>
      </c>
      <c r="Q2116" s="14" t="str">
        <f>IF(M2116&gt;=I2116*'Hoja 4 - Cálculo'!$B$16,"Satisfactorio","Falla")</f>
        <v>Satisfactorio</v>
      </c>
      <c r="R2116" s="14">
        <f t="shared" si="480"/>
        <v>0</v>
      </c>
      <c r="S2116" s="14">
        <f t="shared" si="481"/>
        <v>0</v>
      </c>
    </row>
    <row r="2117" spans="1:19">
      <c r="A2117" s="14" t="str">
        <f t="shared" si="478"/>
        <v>SRY-6-3</v>
      </c>
      <c r="B2117" s="15">
        <f>'Curvas SRY'!$B$13</f>
        <v>15</v>
      </c>
      <c r="C2117" s="15">
        <f>'Curvas SRY'!$E$10</f>
        <v>1.25</v>
      </c>
      <c r="D2117" s="14" t="str">
        <f>'Curvas SRY'!$B$14</f>
        <v>Uso variable</v>
      </c>
      <c r="E2117" s="14">
        <f>74</f>
        <v>74</v>
      </c>
      <c r="F2117" s="21">
        <f>'Hoja 4 - Cálculo'!A98</f>
        <v>31809</v>
      </c>
      <c r="G2117" s="15">
        <f>'Hoja 4 - Cálculo'!H98</f>
        <v>15.969374999999999</v>
      </c>
      <c r="H2117" s="15">
        <f>IF(D2117="Uso único",'Hoja 4 - Cálculo'!I98,IF(D2117="Uso múltiple",AVERAGE('Hoja 4 - Cálculo'!$I$25:$I$384)+AVERAGE('Hoja 4 - Cálculo'!$J$25:$J$384)+AVERAGE('Hoja 4 - Cálculo'!$K$25:$K$384),IF(D2117="Uso prioritario",'Hoja 4 - Cálculo'!I98+'Hoja 4 - Cálculo'!K98,'Hoja 4 - Cálculo'!I98+'Hoja 4 - Cálculo'!J98+'Hoja 4 - Cálculo'!K98)))</f>
        <v>16</v>
      </c>
      <c r="I2117" s="15">
        <f t="shared" si="482"/>
        <v>20</v>
      </c>
      <c r="J2117" s="15">
        <f t="shared" si="479"/>
        <v>3.1472839500000021</v>
      </c>
      <c r="K2117" s="15">
        <f>MIN(J2117+G2117,(J2117+G2117)*'Hoja 4 - Cálculo'!$B$15)</f>
        <v>0.38233317900000002</v>
      </c>
      <c r="L2117" s="15">
        <f t="shared" si="483"/>
        <v>18.734325771000002</v>
      </c>
      <c r="M2117" s="15">
        <f t="shared" si="484"/>
        <v>18.734325771000002</v>
      </c>
      <c r="N2117" s="15">
        <f t="shared" si="485"/>
        <v>0</v>
      </c>
      <c r="O2117" s="15">
        <f t="shared" si="486"/>
        <v>0</v>
      </c>
      <c r="P2117" s="15">
        <f t="shared" si="487"/>
        <v>1.2656742289999983</v>
      </c>
      <c r="Q2117" s="14" t="str">
        <f>IF(M2117&gt;=I2117*'Hoja 4 - Cálculo'!$B$16,"Satisfactorio","Falla")</f>
        <v>Falla</v>
      </c>
      <c r="R2117" s="14">
        <f t="shared" si="480"/>
        <v>0</v>
      </c>
      <c r="S2117" s="14">
        <f t="shared" si="481"/>
        <v>1</v>
      </c>
    </row>
    <row r="2118" spans="1:19">
      <c r="A2118" s="14" t="str">
        <f t="shared" si="478"/>
        <v>SRY-6-3</v>
      </c>
      <c r="B2118" s="15">
        <f>'Curvas SRY'!$B$13</f>
        <v>15</v>
      </c>
      <c r="C2118" s="15">
        <f>'Curvas SRY'!$E$10</f>
        <v>1.25</v>
      </c>
      <c r="D2118" s="14" t="str">
        <f>'Curvas SRY'!$B$14</f>
        <v>Uso variable</v>
      </c>
      <c r="E2118" s="14">
        <f>75</f>
        <v>75</v>
      </c>
      <c r="F2118" s="21">
        <f>'Hoja 4 - Cálculo'!A99</f>
        <v>31837</v>
      </c>
      <c r="G2118" s="15">
        <f>'Hoja 4 - Cálculo'!H99</f>
        <v>22.797000000000001</v>
      </c>
      <c r="H2118" s="15">
        <f>IF(D2118="Uso único",'Hoja 4 - Cálculo'!I99,IF(D2118="Uso múltiple",AVERAGE('Hoja 4 - Cálculo'!$I$25:$I$384)+AVERAGE('Hoja 4 - Cálculo'!$J$25:$J$384)+AVERAGE('Hoja 4 - Cálculo'!$K$25:$K$384),IF(D2118="Uso prioritario",'Hoja 4 - Cálculo'!I99+'Hoja 4 - Cálculo'!K99,'Hoja 4 - Cálculo'!I99+'Hoja 4 - Cálculo'!J99+'Hoja 4 - Cálculo'!K99)))</f>
        <v>16</v>
      </c>
      <c r="I2118" s="15">
        <f t="shared" si="482"/>
        <v>20</v>
      </c>
      <c r="J2118" s="15">
        <f t="shared" si="479"/>
        <v>0</v>
      </c>
      <c r="K2118" s="15">
        <f>MIN(J2118+G2118,(J2118+G2118)*'Hoja 4 - Cálculo'!$B$15)</f>
        <v>0.45594000000000001</v>
      </c>
      <c r="L2118" s="15">
        <f t="shared" si="483"/>
        <v>22.341059999999999</v>
      </c>
      <c r="M2118" s="15">
        <f t="shared" si="484"/>
        <v>20</v>
      </c>
      <c r="N2118" s="15">
        <f t="shared" si="485"/>
        <v>2.3410599999999988</v>
      </c>
      <c r="O2118" s="15">
        <f t="shared" si="486"/>
        <v>0</v>
      </c>
      <c r="P2118" s="15">
        <f t="shared" si="487"/>
        <v>0</v>
      </c>
      <c r="Q2118" s="14" t="str">
        <f>IF(M2118&gt;=I2118*'Hoja 4 - Cálculo'!$B$16,"Satisfactorio","Falla")</f>
        <v>Satisfactorio</v>
      </c>
      <c r="R2118" s="14">
        <f t="shared" si="480"/>
        <v>1</v>
      </c>
      <c r="S2118" s="14">
        <f t="shared" si="481"/>
        <v>0</v>
      </c>
    </row>
    <row r="2119" spans="1:19">
      <c r="A2119" s="14" t="str">
        <f t="shared" si="478"/>
        <v>SRY-6-3</v>
      </c>
      <c r="B2119" s="15">
        <f>'Curvas SRY'!$B$13</f>
        <v>15</v>
      </c>
      <c r="C2119" s="15">
        <f>'Curvas SRY'!$E$10</f>
        <v>1.25</v>
      </c>
      <c r="D2119" s="14" t="str">
        <f>'Curvas SRY'!$B$14</f>
        <v>Uso variable</v>
      </c>
      <c r="E2119" s="14">
        <f>76</f>
        <v>76</v>
      </c>
      <c r="F2119" s="21">
        <f>'Hoja 4 - Cálculo'!A100</f>
        <v>31868</v>
      </c>
      <c r="G2119" s="15">
        <f>'Hoja 4 - Cálculo'!H100</f>
        <v>34.138125000000002</v>
      </c>
      <c r="H2119" s="15">
        <f>IF(D2119="Uso único",'Hoja 4 - Cálculo'!I100,IF(D2119="Uso múltiple",AVERAGE('Hoja 4 - Cálculo'!$I$25:$I$384)+AVERAGE('Hoja 4 - Cálculo'!$J$25:$J$384)+AVERAGE('Hoja 4 - Cálculo'!$K$25:$K$384),IF(D2119="Uso prioritario",'Hoja 4 - Cálculo'!I100+'Hoja 4 - Cálculo'!K100,'Hoja 4 - Cálculo'!I100+'Hoja 4 - Cálculo'!J100+'Hoja 4 - Cálculo'!K100)))</f>
        <v>11.5</v>
      </c>
      <c r="I2119" s="15">
        <f t="shared" si="482"/>
        <v>14.375</v>
      </c>
      <c r="J2119" s="15">
        <f t="shared" si="479"/>
        <v>2.3410599999999988</v>
      </c>
      <c r="K2119" s="15">
        <f>MIN(J2119+G2119,(J2119+G2119)*'Hoja 4 - Cálculo'!$B$15)</f>
        <v>0.72958370000000006</v>
      </c>
      <c r="L2119" s="15">
        <f t="shared" si="483"/>
        <v>35.749601300000002</v>
      </c>
      <c r="M2119" s="15">
        <f t="shared" si="484"/>
        <v>14.375</v>
      </c>
      <c r="N2119" s="15">
        <f t="shared" si="485"/>
        <v>15</v>
      </c>
      <c r="O2119" s="15">
        <f t="shared" si="486"/>
        <v>6.3746013000000019</v>
      </c>
      <c r="P2119" s="15">
        <f t="shared" si="487"/>
        <v>0</v>
      </c>
      <c r="Q2119" s="14" t="str">
        <f>IF(M2119&gt;=I2119*'Hoja 4 - Cálculo'!$B$16,"Satisfactorio","Falla")</f>
        <v>Satisfactorio</v>
      </c>
      <c r="R2119" s="14">
        <f t="shared" si="480"/>
        <v>0</v>
      </c>
      <c r="S2119" s="14">
        <f t="shared" si="481"/>
        <v>0</v>
      </c>
    </row>
    <row r="2120" spans="1:19">
      <c r="A2120" s="14" t="str">
        <f t="shared" si="478"/>
        <v>SRY-6-3</v>
      </c>
      <c r="B2120" s="15">
        <f>'Curvas SRY'!$B$13</f>
        <v>15</v>
      </c>
      <c r="C2120" s="15">
        <f>'Curvas SRY'!$E$10</f>
        <v>1.25</v>
      </c>
      <c r="D2120" s="14" t="str">
        <f>'Curvas SRY'!$B$14</f>
        <v>Uso variable</v>
      </c>
      <c r="E2120" s="14">
        <f>77</f>
        <v>77</v>
      </c>
      <c r="F2120" s="21">
        <f>'Hoja 4 - Cálculo'!A101</f>
        <v>31898</v>
      </c>
      <c r="G2120" s="15">
        <f>'Hoja 4 - Cálculo'!H101</f>
        <v>28.534500000000001</v>
      </c>
      <c r="H2120" s="15">
        <f>IF(D2120="Uso único",'Hoja 4 - Cálculo'!I101,IF(D2120="Uso múltiple",AVERAGE('Hoja 4 - Cálculo'!$I$25:$I$384)+AVERAGE('Hoja 4 - Cálculo'!$J$25:$J$384)+AVERAGE('Hoja 4 - Cálculo'!$K$25:$K$384),IF(D2120="Uso prioritario",'Hoja 4 - Cálculo'!I101+'Hoja 4 - Cálculo'!K101,'Hoja 4 - Cálculo'!I101+'Hoja 4 - Cálculo'!J101+'Hoja 4 - Cálculo'!K101)))</f>
        <v>11.5</v>
      </c>
      <c r="I2120" s="15">
        <f t="shared" si="482"/>
        <v>14.375</v>
      </c>
      <c r="J2120" s="15">
        <f t="shared" si="479"/>
        <v>15</v>
      </c>
      <c r="K2120" s="15">
        <f>MIN(J2120+G2120,(J2120+G2120)*'Hoja 4 - Cálculo'!$B$15)</f>
        <v>0.87069000000000007</v>
      </c>
      <c r="L2120" s="15">
        <f t="shared" si="483"/>
        <v>42.663809999999998</v>
      </c>
      <c r="M2120" s="15">
        <f t="shared" si="484"/>
        <v>14.375</v>
      </c>
      <c r="N2120" s="15">
        <f t="shared" si="485"/>
        <v>15</v>
      </c>
      <c r="O2120" s="15">
        <f t="shared" si="486"/>
        <v>13.288809999999998</v>
      </c>
      <c r="P2120" s="15">
        <f t="shared" si="487"/>
        <v>0</v>
      </c>
      <c r="Q2120" s="14" t="str">
        <f>IF(M2120&gt;=I2120*'Hoja 4 - Cálculo'!$B$16,"Satisfactorio","Falla")</f>
        <v>Satisfactorio</v>
      </c>
      <c r="R2120" s="14">
        <f t="shared" si="480"/>
        <v>0</v>
      </c>
      <c r="S2120" s="14">
        <f t="shared" si="481"/>
        <v>0</v>
      </c>
    </row>
    <row r="2121" spans="1:19">
      <c r="A2121" s="14" t="str">
        <f t="shared" si="478"/>
        <v>SRY-6-3</v>
      </c>
      <c r="B2121" s="15">
        <f>'Curvas SRY'!$B$13</f>
        <v>15</v>
      </c>
      <c r="C2121" s="15">
        <f>'Curvas SRY'!$E$10</f>
        <v>1.25</v>
      </c>
      <c r="D2121" s="14" t="str">
        <f>'Curvas SRY'!$B$14</f>
        <v>Uso variable</v>
      </c>
      <c r="E2121" s="14">
        <f>78</f>
        <v>78</v>
      </c>
      <c r="F2121" s="21">
        <f>'Hoja 4 - Cálculo'!A102</f>
        <v>31929</v>
      </c>
      <c r="G2121" s="15">
        <f>'Hoja 4 - Cálculo'!H102</f>
        <v>18.589500000000001</v>
      </c>
      <c r="H2121" s="15">
        <f>IF(D2121="Uso único",'Hoja 4 - Cálculo'!I102,IF(D2121="Uso múltiple",AVERAGE('Hoja 4 - Cálculo'!$I$25:$I$384)+AVERAGE('Hoja 4 - Cálculo'!$J$25:$J$384)+AVERAGE('Hoja 4 - Cálculo'!$K$25:$K$384),IF(D2121="Uso prioritario",'Hoja 4 - Cálculo'!I102+'Hoja 4 - Cálculo'!K102,'Hoja 4 - Cálculo'!I102+'Hoja 4 - Cálculo'!J102+'Hoja 4 - Cálculo'!K102)))</f>
        <v>11.5</v>
      </c>
      <c r="I2121" s="15">
        <f t="shared" si="482"/>
        <v>14.375</v>
      </c>
      <c r="J2121" s="15">
        <f t="shared" si="479"/>
        <v>15</v>
      </c>
      <c r="K2121" s="15">
        <f>MIN(J2121+G2121,(J2121+G2121)*'Hoja 4 - Cálculo'!$B$15)</f>
        <v>0.67179</v>
      </c>
      <c r="L2121" s="15">
        <f t="shared" si="483"/>
        <v>32.91771</v>
      </c>
      <c r="M2121" s="15">
        <f t="shared" si="484"/>
        <v>14.375</v>
      </c>
      <c r="N2121" s="15">
        <f t="shared" si="485"/>
        <v>15</v>
      </c>
      <c r="O2121" s="15">
        <f t="shared" si="486"/>
        <v>3.5427099999999996</v>
      </c>
      <c r="P2121" s="15">
        <f t="shared" si="487"/>
        <v>0</v>
      </c>
      <c r="Q2121" s="14" t="str">
        <f>IF(M2121&gt;=I2121*'Hoja 4 - Cálculo'!$B$16,"Satisfactorio","Falla")</f>
        <v>Satisfactorio</v>
      </c>
      <c r="R2121" s="14">
        <f t="shared" si="480"/>
        <v>0</v>
      </c>
      <c r="S2121" s="14">
        <f t="shared" si="481"/>
        <v>0</v>
      </c>
    </row>
    <row r="2122" spans="1:19">
      <c r="A2122" s="14" t="str">
        <f t="shared" si="478"/>
        <v>SRY-6-3</v>
      </c>
      <c r="B2122" s="15">
        <f>'Curvas SRY'!$B$13</f>
        <v>15</v>
      </c>
      <c r="C2122" s="15">
        <f>'Curvas SRY'!$E$10</f>
        <v>1.25</v>
      </c>
      <c r="D2122" s="14" t="str">
        <f>'Curvas SRY'!$B$14</f>
        <v>Uso variable</v>
      </c>
      <c r="E2122" s="14">
        <f>79</f>
        <v>79</v>
      </c>
      <c r="F2122" s="21">
        <f>'Hoja 4 - Cálculo'!A103</f>
        <v>31959</v>
      </c>
      <c r="G2122" s="15">
        <f>'Hoja 4 - Cálculo'!H103</f>
        <v>14.688000000000001</v>
      </c>
      <c r="H2122" s="15">
        <f>IF(D2122="Uso único",'Hoja 4 - Cálculo'!I103,IF(D2122="Uso múltiple",AVERAGE('Hoja 4 - Cálculo'!$I$25:$I$384)+AVERAGE('Hoja 4 - Cálculo'!$J$25:$J$384)+AVERAGE('Hoja 4 - Cálculo'!$K$25:$K$384),IF(D2122="Uso prioritario",'Hoja 4 - Cálculo'!I103+'Hoja 4 - Cálculo'!K103,'Hoja 4 - Cálculo'!I103+'Hoja 4 - Cálculo'!J103+'Hoja 4 - Cálculo'!K103)))</f>
        <v>16</v>
      </c>
      <c r="I2122" s="15">
        <f t="shared" si="482"/>
        <v>20</v>
      </c>
      <c r="J2122" s="15">
        <f t="shared" si="479"/>
        <v>15</v>
      </c>
      <c r="K2122" s="15">
        <f>MIN(J2122+G2122,(J2122+G2122)*'Hoja 4 - Cálculo'!$B$15)</f>
        <v>0.59376000000000007</v>
      </c>
      <c r="L2122" s="15">
        <f t="shared" si="483"/>
        <v>29.094240000000003</v>
      </c>
      <c r="M2122" s="15">
        <f t="shared" si="484"/>
        <v>20</v>
      </c>
      <c r="N2122" s="15">
        <f t="shared" si="485"/>
        <v>9.0942400000000028</v>
      </c>
      <c r="O2122" s="15">
        <f t="shared" si="486"/>
        <v>0</v>
      </c>
      <c r="P2122" s="15">
        <f t="shared" si="487"/>
        <v>0</v>
      </c>
      <c r="Q2122" s="14" t="str">
        <f>IF(M2122&gt;=I2122*'Hoja 4 - Cálculo'!$B$16,"Satisfactorio","Falla")</f>
        <v>Satisfactorio</v>
      </c>
      <c r="R2122" s="14">
        <f t="shared" si="480"/>
        <v>0</v>
      </c>
      <c r="S2122" s="14">
        <f t="shared" si="481"/>
        <v>0</v>
      </c>
    </row>
    <row r="2123" spans="1:19">
      <c r="A2123" s="14" t="str">
        <f t="shared" si="478"/>
        <v>SRY-6-3</v>
      </c>
      <c r="B2123" s="15">
        <f>'Curvas SRY'!$B$13</f>
        <v>15</v>
      </c>
      <c r="C2123" s="15">
        <f>'Curvas SRY'!$E$10</f>
        <v>1.25</v>
      </c>
      <c r="D2123" s="14" t="str">
        <f>'Curvas SRY'!$B$14</f>
        <v>Uso variable</v>
      </c>
      <c r="E2123" s="14">
        <f>80</f>
        <v>80</v>
      </c>
      <c r="F2123" s="21">
        <f>'Hoja 4 - Cálculo'!A104</f>
        <v>31990</v>
      </c>
      <c r="G2123" s="15">
        <f>'Hoja 4 - Cálculo'!H104</f>
        <v>15.759</v>
      </c>
      <c r="H2123" s="15">
        <f>IF(D2123="Uso único",'Hoja 4 - Cálculo'!I104,IF(D2123="Uso múltiple",AVERAGE('Hoja 4 - Cálculo'!$I$25:$I$384)+AVERAGE('Hoja 4 - Cálculo'!$J$25:$J$384)+AVERAGE('Hoja 4 - Cálculo'!$K$25:$K$384),IF(D2123="Uso prioritario",'Hoja 4 - Cálculo'!I104+'Hoja 4 - Cálculo'!K104,'Hoja 4 - Cálculo'!I104+'Hoja 4 - Cálculo'!J104+'Hoja 4 - Cálculo'!K104)))</f>
        <v>16</v>
      </c>
      <c r="I2123" s="15">
        <f t="shared" si="482"/>
        <v>20</v>
      </c>
      <c r="J2123" s="15">
        <f t="shared" si="479"/>
        <v>9.0942400000000028</v>
      </c>
      <c r="K2123" s="15">
        <f>MIN(J2123+G2123,(J2123+G2123)*'Hoja 4 - Cálculo'!$B$15)</f>
        <v>0.49706480000000008</v>
      </c>
      <c r="L2123" s="15">
        <f t="shared" si="483"/>
        <v>24.356175200000003</v>
      </c>
      <c r="M2123" s="15">
        <f t="shared" si="484"/>
        <v>20</v>
      </c>
      <c r="N2123" s="15">
        <f t="shared" si="485"/>
        <v>4.3561752000000027</v>
      </c>
      <c r="O2123" s="15">
        <f t="shared" si="486"/>
        <v>0</v>
      </c>
      <c r="P2123" s="15">
        <f t="shared" si="487"/>
        <v>0</v>
      </c>
      <c r="Q2123" s="14" t="str">
        <f>IF(M2123&gt;=I2123*'Hoja 4 - Cálculo'!$B$16,"Satisfactorio","Falla")</f>
        <v>Satisfactorio</v>
      </c>
      <c r="R2123" s="14">
        <f t="shared" si="480"/>
        <v>0</v>
      </c>
      <c r="S2123" s="14">
        <f t="shared" si="481"/>
        <v>0</v>
      </c>
    </row>
    <row r="2124" spans="1:19">
      <c r="A2124" s="14" t="str">
        <f t="shared" si="478"/>
        <v>SRY-6-3</v>
      </c>
      <c r="B2124" s="15">
        <f>'Curvas SRY'!$B$13</f>
        <v>15</v>
      </c>
      <c r="C2124" s="15">
        <f>'Curvas SRY'!$E$10</f>
        <v>1.25</v>
      </c>
      <c r="D2124" s="14" t="str">
        <f>'Curvas SRY'!$B$14</f>
        <v>Uso variable</v>
      </c>
      <c r="E2124" s="14">
        <f>81</f>
        <v>81</v>
      </c>
      <c r="F2124" s="21">
        <f>'Hoja 4 - Cálculo'!A105</f>
        <v>32021</v>
      </c>
      <c r="G2124" s="15">
        <f>'Hoja 4 - Cálculo'!H105</f>
        <v>26.220375000000001</v>
      </c>
      <c r="H2124" s="15">
        <f>IF(D2124="Uso único",'Hoja 4 - Cálculo'!I105,IF(D2124="Uso múltiple",AVERAGE('Hoja 4 - Cálculo'!$I$25:$I$384)+AVERAGE('Hoja 4 - Cálculo'!$J$25:$J$384)+AVERAGE('Hoja 4 - Cálculo'!$K$25:$K$384),IF(D2124="Uso prioritario",'Hoja 4 - Cálculo'!I105+'Hoja 4 - Cálculo'!K105,'Hoja 4 - Cálculo'!I105+'Hoja 4 - Cálculo'!J105+'Hoja 4 - Cálculo'!K105)))</f>
        <v>11.5</v>
      </c>
      <c r="I2124" s="15">
        <f t="shared" si="482"/>
        <v>14.375</v>
      </c>
      <c r="J2124" s="15">
        <f t="shared" si="479"/>
        <v>4.3561752000000027</v>
      </c>
      <c r="K2124" s="15">
        <f>MIN(J2124+G2124,(J2124+G2124)*'Hoja 4 - Cálculo'!$B$15)</f>
        <v>0.61153100400000004</v>
      </c>
      <c r="L2124" s="15">
        <f t="shared" si="483"/>
        <v>29.965019196000004</v>
      </c>
      <c r="M2124" s="15">
        <f t="shared" si="484"/>
        <v>14.375</v>
      </c>
      <c r="N2124" s="15">
        <f t="shared" si="485"/>
        <v>15</v>
      </c>
      <c r="O2124" s="15">
        <f t="shared" si="486"/>
        <v>0.59001919600000363</v>
      </c>
      <c r="P2124" s="15">
        <f t="shared" si="487"/>
        <v>0</v>
      </c>
      <c r="Q2124" s="14" t="str">
        <f>IF(M2124&gt;=I2124*'Hoja 4 - Cálculo'!$B$16,"Satisfactorio","Falla")</f>
        <v>Satisfactorio</v>
      </c>
      <c r="R2124" s="14">
        <f t="shared" si="480"/>
        <v>0</v>
      </c>
      <c r="S2124" s="14">
        <f t="shared" si="481"/>
        <v>0</v>
      </c>
    </row>
    <row r="2125" spans="1:19">
      <c r="A2125" s="14" t="str">
        <f t="shared" si="478"/>
        <v>SRY-6-3</v>
      </c>
      <c r="B2125" s="15">
        <f>'Curvas SRY'!$B$13</f>
        <v>15</v>
      </c>
      <c r="C2125" s="15">
        <f>'Curvas SRY'!$E$10</f>
        <v>1.25</v>
      </c>
      <c r="D2125" s="14" t="str">
        <f>'Curvas SRY'!$B$14</f>
        <v>Uso variable</v>
      </c>
      <c r="E2125" s="14">
        <f>82</f>
        <v>82</v>
      </c>
      <c r="F2125" s="21">
        <f>'Hoja 4 - Cálculo'!A106</f>
        <v>32051</v>
      </c>
      <c r="G2125" s="15">
        <f>'Hoja 4 - Cálculo'!H106</f>
        <v>32.627249999999997</v>
      </c>
      <c r="H2125" s="15">
        <f>IF(D2125="Uso único",'Hoja 4 - Cálculo'!I106,IF(D2125="Uso múltiple",AVERAGE('Hoja 4 - Cálculo'!$I$25:$I$384)+AVERAGE('Hoja 4 - Cálculo'!$J$25:$J$384)+AVERAGE('Hoja 4 - Cálculo'!$K$25:$K$384),IF(D2125="Uso prioritario",'Hoja 4 - Cálculo'!I106+'Hoja 4 - Cálculo'!K106,'Hoja 4 - Cálculo'!I106+'Hoja 4 - Cálculo'!J106+'Hoja 4 - Cálculo'!K106)))</f>
        <v>11.5</v>
      </c>
      <c r="I2125" s="15">
        <f t="shared" si="482"/>
        <v>14.375</v>
      </c>
      <c r="J2125" s="15">
        <f t="shared" si="479"/>
        <v>15</v>
      </c>
      <c r="K2125" s="15">
        <f>MIN(J2125+G2125,(J2125+G2125)*'Hoja 4 - Cálculo'!$B$15)</f>
        <v>0.95254499999999998</v>
      </c>
      <c r="L2125" s="15">
        <f t="shared" si="483"/>
        <v>46.674704999999996</v>
      </c>
      <c r="M2125" s="15">
        <f t="shared" si="484"/>
        <v>14.375</v>
      </c>
      <c r="N2125" s="15">
        <f t="shared" si="485"/>
        <v>15</v>
      </c>
      <c r="O2125" s="15">
        <f t="shared" si="486"/>
        <v>17.299704999999996</v>
      </c>
      <c r="P2125" s="15">
        <f t="shared" si="487"/>
        <v>0</v>
      </c>
      <c r="Q2125" s="14" t="str">
        <f>IF(M2125&gt;=I2125*'Hoja 4 - Cálculo'!$B$16,"Satisfactorio","Falla")</f>
        <v>Satisfactorio</v>
      </c>
      <c r="R2125" s="14">
        <f t="shared" si="480"/>
        <v>0</v>
      </c>
      <c r="S2125" s="14">
        <f t="shared" si="481"/>
        <v>0</v>
      </c>
    </row>
    <row r="2126" spans="1:19">
      <c r="A2126" s="14" t="str">
        <f t="shared" si="478"/>
        <v>SRY-6-3</v>
      </c>
      <c r="B2126" s="15">
        <f>'Curvas SRY'!$B$13</f>
        <v>15</v>
      </c>
      <c r="C2126" s="15">
        <f>'Curvas SRY'!$E$10</f>
        <v>1.25</v>
      </c>
      <c r="D2126" s="14" t="str">
        <f>'Curvas SRY'!$B$14</f>
        <v>Uso variable</v>
      </c>
      <c r="E2126" s="14">
        <f>83</f>
        <v>83</v>
      </c>
      <c r="F2126" s="21">
        <f>'Hoja 4 - Cálculo'!A107</f>
        <v>32082</v>
      </c>
      <c r="G2126" s="15">
        <f>'Hoja 4 - Cálculo'!H107</f>
        <v>29.758500000000002</v>
      </c>
      <c r="H2126" s="15">
        <f>IF(D2126="Uso único",'Hoja 4 - Cálculo'!I107,IF(D2126="Uso múltiple",AVERAGE('Hoja 4 - Cálculo'!$I$25:$I$384)+AVERAGE('Hoja 4 - Cálculo'!$J$25:$J$384)+AVERAGE('Hoja 4 - Cálculo'!$K$25:$K$384),IF(D2126="Uso prioritario",'Hoja 4 - Cálculo'!I107+'Hoja 4 - Cálculo'!K107,'Hoja 4 - Cálculo'!I107+'Hoja 4 - Cálculo'!J107+'Hoja 4 - Cálculo'!K107)))</f>
        <v>11.5</v>
      </c>
      <c r="I2126" s="15">
        <f t="shared" si="482"/>
        <v>14.375</v>
      </c>
      <c r="J2126" s="15">
        <f t="shared" si="479"/>
        <v>15</v>
      </c>
      <c r="K2126" s="15">
        <f>MIN(J2126+G2126,(J2126+G2126)*'Hoja 4 - Cálculo'!$B$15)</f>
        <v>0.89517000000000002</v>
      </c>
      <c r="L2126" s="15">
        <f t="shared" si="483"/>
        <v>43.863329999999998</v>
      </c>
      <c r="M2126" s="15">
        <f t="shared" si="484"/>
        <v>14.375</v>
      </c>
      <c r="N2126" s="15">
        <f t="shared" si="485"/>
        <v>15</v>
      </c>
      <c r="O2126" s="15">
        <f t="shared" si="486"/>
        <v>14.488329999999998</v>
      </c>
      <c r="P2126" s="15">
        <f t="shared" si="487"/>
        <v>0</v>
      </c>
      <c r="Q2126" s="14" t="str">
        <f>IF(M2126&gt;=I2126*'Hoja 4 - Cálculo'!$B$16,"Satisfactorio","Falla")</f>
        <v>Satisfactorio</v>
      </c>
      <c r="R2126" s="14">
        <f t="shared" si="480"/>
        <v>0</v>
      </c>
      <c r="S2126" s="14">
        <f t="shared" si="481"/>
        <v>0</v>
      </c>
    </row>
    <row r="2127" spans="1:19">
      <c r="A2127" s="14" t="str">
        <f t="shared" si="478"/>
        <v>SRY-6-3</v>
      </c>
      <c r="B2127" s="15">
        <f>'Curvas SRY'!$B$13</f>
        <v>15</v>
      </c>
      <c r="C2127" s="15">
        <f>'Curvas SRY'!$E$10</f>
        <v>1.25</v>
      </c>
      <c r="D2127" s="14" t="str">
        <f>'Curvas SRY'!$B$14</f>
        <v>Uso variable</v>
      </c>
      <c r="E2127" s="14">
        <f>84</f>
        <v>84</v>
      </c>
      <c r="F2127" s="21">
        <f>'Hoja 4 - Cálculo'!A108</f>
        <v>32112</v>
      </c>
      <c r="G2127" s="15">
        <f>'Hoja 4 - Cálculo'!H108</f>
        <v>16.543125</v>
      </c>
      <c r="H2127" s="15">
        <f>IF(D2127="Uso único",'Hoja 4 - Cálculo'!I108,IF(D2127="Uso múltiple",AVERAGE('Hoja 4 - Cálculo'!$I$25:$I$384)+AVERAGE('Hoja 4 - Cálculo'!$J$25:$J$384)+AVERAGE('Hoja 4 - Cálculo'!$K$25:$K$384),IF(D2127="Uso prioritario",'Hoja 4 - Cálculo'!I108+'Hoja 4 - Cálculo'!K108,'Hoja 4 - Cálculo'!I108+'Hoja 4 - Cálculo'!J108+'Hoja 4 - Cálculo'!K108)))</f>
        <v>16</v>
      </c>
      <c r="I2127" s="15">
        <f t="shared" si="482"/>
        <v>20</v>
      </c>
      <c r="J2127" s="15">
        <f t="shared" si="479"/>
        <v>15</v>
      </c>
      <c r="K2127" s="15">
        <f>MIN(J2127+G2127,(J2127+G2127)*'Hoja 4 - Cálculo'!$B$15)</f>
        <v>0.63086249999999999</v>
      </c>
      <c r="L2127" s="15">
        <f t="shared" si="483"/>
        <v>30.912262500000001</v>
      </c>
      <c r="M2127" s="15">
        <f t="shared" si="484"/>
        <v>20</v>
      </c>
      <c r="N2127" s="15">
        <f t="shared" si="485"/>
        <v>10.912262500000001</v>
      </c>
      <c r="O2127" s="15">
        <f t="shared" si="486"/>
        <v>0</v>
      </c>
      <c r="P2127" s="15">
        <f t="shared" si="487"/>
        <v>0</v>
      </c>
      <c r="Q2127" s="14" t="str">
        <f>IF(M2127&gt;=I2127*'Hoja 4 - Cálculo'!$B$16,"Satisfactorio","Falla")</f>
        <v>Satisfactorio</v>
      </c>
      <c r="R2127" s="14">
        <f t="shared" si="480"/>
        <v>0</v>
      </c>
      <c r="S2127" s="14">
        <f t="shared" si="481"/>
        <v>0</v>
      </c>
    </row>
    <row r="2128" spans="1:19">
      <c r="A2128" s="14" t="str">
        <f t="shared" si="478"/>
        <v>SRY-6-3</v>
      </c>
      <c r="B2128" s="15">
        <f>'Curvas SRY'!$B$13</f>
        <v>15</v>
      </c>
      <c r="C2128" s="15">
        <f>'Curvas SRY'!$E$10</f>
        <v>1.25</v>
      </c>
      <c r="D2128" s="14" t="str">
        <f>'Curvas SRY'!$B$14</f>
        <v>Uso variable</v>
      </c>
      <c r="E2128" s="14">
        <f>85</f>
        <v>85</v>
      </c>
      <c r="F2128" s="21">
        <f>'Hoja 4 - Cálculo'!A109</f>
        <v>32143</v>
      </c>
      <c r="G2128" s="15">
        <f>'Hoja 4 - Cálculo'!H109</f>
        <v>13.291874999999999</v>
      </c>
      <c r="H2128" s="15">
        <f>IF(D2128="Uso único",'Hoja 4 - Cálculo'!I109,IF(D2128="Uso múltiple",AVERAGE('Hoja 4 - Cálculo'!$I$25:$I$384)+AVERAGE('Hoja 4 - Cálculo'!$J$25:$J$384)+AVERAGE('Hoja 4 - Cálculo'!$K$25:$K$384),IF(D2128="Uso prioritario",'Hoja 4 - Cálculo'!I109+'Hoja 4 - Cálculo'!K109,'Hoja 4 - Cálculo'!I109+'Hoja 4 - Cálculo'!J109+'Hoja 4 - Cálculo'!K109)))</f>
        <v>16</v>
      </c>
      <c r="I2128" s="15">
        <f t="shared" si="482"/>
        <v>20</v>
      </c>
      <c r="J2128" s="15">
        <f t="shared" si="479"/>
        <v>10.912262500000001</v>
      </c>
      <c r="K2128" s="15">
        <f>MIN(J2128+G2128,(J2128+G2128)*'Hoja 4 - Cálculo'!$B$15)</f>
        <v>0.48408275000000006</v>
      </c>
      <c r="L2128" s="15">
        <f t="shared" si="483"/>
        <v>23.720054750000003</v>
      </c>
      <c r="M2128" s="15">
        <f t="shared" si="484"/>
        <v>20</v>
      </c>
      <c r="N2128" s="15">
        <f t="shared" si="485"/>
        <v>3.7200547500000027</v>
      </c>
      <c r="O2128" s="15">
        <f t="shared" si="486"/>
        <v>0</v>
      </c>
      <c r="P2128" s="15">
        <f t="shared" si="487"/>
        <v>0</v>
      </c>
      <c r="Q2128" s="14" t="str">
        <f>IF(M2128&gt;=I2128*'Hoja 4 - Cálculo'!$B$16,"Satisfactorio","Falla")</f>
        <v>Satisfactorio</v>
      </c>
      <c r="R2128" s="14">
        <f t="shared" si="480"/>
        <v>0</v>
      </c>
      <c r="S2128" s="14">
        <f t="shared" si="481"/>
        <v>0</v>
      </c>
    </row>
    <row r="2129" spans="1:19">
      <c r="A2129" s="14" t="str">
        <f t="shared" si="478"/>
        <v>SRY-6-3</v>
      </c>
      <c r="B2129" s="15">
        <f>'Curvas SRY'!$B$13</f>
        <v>15</v>
      </c>
      <c r="C2129" s="15">
        <f>'Curvas SRY'!$E$10</f>
        <v>1.25</v>
      </c>
      <c r="D2129" s="14" t="str">
        <f>'Curvas SRY'!$B$14</f>
        <v>Uso variable</v>
      </c>
      <c r="E2129" s="14">
        <f>86</f>
        <v>86</v>
      </c>
      <c r="F2129" s="21">
        <f>'Hoja 4 - Cálculo'!A110</f>
        <v>32174</v>
      </c>
      <c r="G2129" s="15">
        <f>'Hoja 4 - Cálculo'!H110</f>
        <v>14.19075</v>
      </c>
      <c r="H2129" s="15">
        <f>IF(D2129="Uso único",'Hoja 4 - Cálculo'!I110,IF(D2129="Uso múltiple",AVERAGE('Hoja 4 - Cálculo'!$I$25:$I$384)+AVERAGE('Hoja 4 - Cálculo'!$J$25:$J$384)+AVERAGE('Hoja 4 - Cálculo'!$K$25:$K$384),IF(D2129="Uso prioritario",'Hoja 4 - Cálculo'!I110+'Hoja 4 - Cálculo'!K110,'Hoja 4 - Cálculo'!I110+'Hoja 4 - Cálculo'!J110+'Hoja 4 - Cálculo'!K110)))</f>
        <v>16</v>
      </c>
      <c r="I2129" s="15">
        <f t="shared" si="482"/>
        <v>20</v>
      </c>
      <c r="J2129" s="15">
        <f t="shared" si="479"/>
        <v>3.7200547500000027</v>
      </c>
      <c r="K2129" s="15">
        <f>MIN(J2129+G2129,(J2129+G2129)*'Hoja 4 - Cálculo'!$B$15)</f>
        <v>0.35821609500000007</v>
      </c>
      <c r="L2129" s="15">
        <f t="shared" si="483"/>
        <v>17.552588655000005</v>
      </c>
      <c r="M2129" s="15">
        <f t="shared" si="484"/>
        <v>17.552588655000005</v>
      </c>
      <c r="N2129" s="15">
        <f t="shared" si="485"/>
        <v>0</v>
      </c>
      <c r="O2129" s="15">
        <f t="shared" si="486"/>
        <v>0</v>
      </c>
      <c r="P2129" s="15">
        <f t="shared" si="487"/>
        <v>2.4474113449999955</v>
      </c>
      <c r="Q2129" s="14" t="str">
        <f>IF(M2129&gt;=I2129*'Hoja 4 - Cálculo'!$B$16,"Satisfactorio","Falla")</f>
        <v>Falla</v>
      </c>
      <c r="R2129" s="14">
        <f t="shared" si="480"/>
        <v>0</v>
      </c>
      <c r="S2129" s="14">
        <f t="shared" si="481"/>
        <v>1</v>
      </c>
    </row>
    <row r="2130" spans="1:19">
      <c r="A2130" s="14" t="str">
        <f t="shared" si="478"/>
        <v>SRY-6-3</v>
      </c>
      <c r="B2130" s="15">
        <f>'Curvas SRY'!$B$13</f>
        <v>15</v>
      </c>
      <c r="C2130" s="15">
        <f>'Curvas SRY'!$E$10</f>
        <v>1.25</v>
      </c>
      <c r="D2130" s="14" t="str">
        <f>'Curvas SRY'!$B$14</f>
        <v>Uso variable</v>
      </c>
      <c r="E2130" s="14">
        <f>87</f>
        <v>87</v>
      </c>
      <c r="F2130" s="21">
        <f>'Hoja 4 - Cálculo'!A111</f>
        <v>32203</v>
      </c>
      <c r="G2130" s="15">
        <f>'Hoja 4 - Cálculo'!H111</f>
        <v>22.338000000000001</v>
      </c>
      <c r="H2130" s="15">
        <f>IF(D2130="Uso único",'Hoja 4 - Cálculo'!I111,IF(D2130="Uso múltiple",AVERAGE('Hoja 4 - Cálculo'!$I$25:$I$384)+AVERAGE('Hoja 4 - Cálculo'!$J$25:$J$384)+AVERAGE('Hoja 4 - Cálculo'!$K$25:$K$384),IF(D2130="Uso prioritario",'Hoja 4 - Cálculo'!I111+'Hoja 4 - Cálculo'!K111,'Hoja 4 - Cálculo'!I111+'Hoja 4 - Cálculo'!J111+'Hoja 4 - Cálculo'!K111)))</f>
        <v>16</v>
      </c>
      <c r="I2130" s="15">
        <f t="shared" si="482"/>
        <v>20</v>
      </c>
      <c r="J2130" s="15">
        <f t="shared" si="479"/>
        <v>0</v>
      </c>
      <c r="K2130" s="15">
        <f>MIN(J2130+G2130,(J2130+G2130)*'Hoja 4 - Cálculo'!$B$15)</f>
        <v>0.44676000000000005</v>
      </c>
      <c r="L2130" s="15">
        <f t="shared" si="483"/>
        <v>21.89124</v>
      </c>
      <c r="M2130" s="15">
        <f t="shared" si="484"/>
        <v>20</v>
      </c>
      <c r="N2130" s="15">
        <f t="shared" si="485"/>
        <v>1.8912399999999998</v>
      </c>
      <c r="O2130" s="15">
        <f t="shared" si="486"/>
        <v>0</v>
      </c>
      <c r="P2130" s="15">
        <f t="shared" si="487"/>
        <v>0</v>
      </c>
      <c r="Q2130" s="14" t="str">
        <f>IF(M2130&gt;=I2130*'Hoja 4 - Cálculo'!$B$16,"Satisfactorio","Falla")</f>
        <v>Satisfactorio</v>
      </c>
      <c r="R2130" s="14">
        <f t="shared" si="480"/>
        <v>1</v>
      </c>
      <c r="S2130" s="14">
        <f t="shared" si="481"/>
        <v>0</v>
      </c>
    </row>
    <row r="2131" spans="1:19">
      <c r="A2131" s="14" t="str">
        <f t="shared" si="478"/>
        <v>SRY-6-3</v>
      </c>
      <c r="B2131" s="15">
        <f>'Curvas SRY'!$B$13</f>
        <v>15</v>
      </c>
      <c r="C2131" s="15">
        <f>'Curvas SRY'!$E$10</f>
        <v>1.25</v>
      </c>
      <c r="D2131" s="14" t="str">
        <f>'Curvas SRY'!$B$14</f>
        <v>Uso variable</v>
      </c>
      <c r="E2131" s="14">
        <f>88</f>
        <v>88</v>
      </c>
      <c r="F2131" s="21">
        <f>'Hoja 4 - Cálculo'!A112</f>
        <v>32234</v>
      </c>
      <c r="G2131" s="15">
        <f>'Hoja 4 - Cálculo'!H112</f>
        <v>29.643750000000001</v>
      </c>
      <c r="H2131" s="15">
        <f>IF(D2131="Uso único",'Hoja 4 - Cálculo'!I112,IF(D2131="Uso múltiple",AVERAGE('Hoja 4 - Cálculo'!$I$25:$I$384)+AVERAGE('Hoja 4 - Cálculo'!$J$25:$J$384)+AVERAGE('Hoja 4 - Cálculo'!$K$25:$K$384),IF(D2131="Uso prioritario",'Hoja 4 - Cálculo'!I112+'Hoja 4 - Cálculo'!K112,'Hoja 4 - Cálculo'!I112+'Hoja 4 - Cálculo'!J112+'Hoja 4 - Cálculo'!K112)))</f>
        <v>11.5</v>
      </c>
      <c r="I2131" s="15">
        <f t="shared" si="482"/>
        <v>14.375</v>
      </c>
      <c r="J2131" s="15">
        <f t="shared" si="479"/>
        <v>1.8912399999999998</v>
      </c>
      <c r="K2131" s="15">
        <f>MIN(J2131+G2131,(J2131+G2131)*'Hoja 4 - Cálculo'!$B$15)</f>
        <v>0.63069980000000003</v>
      </c>
      <c r="L2131" s="15">
        <f t="shared" si="483"/>
        <v>30.904290200000002</v>
      </c>
      <c r="M2131" s="15">
        <f t="shared" si="484"/>
        <v>14.375</v>
      </c>
      <c r="N2131" s="15">
        <f t="shared" si="485"/>
        <v>15</v>
      </c>
      <c r="O2131" s="15">
        <f t="shared" si="486"/>
        <v>1.5292902000000019</v>
      </c>
      <c r="P2131" s="15">
        <f t="shared" si="487"/>
        <v>0</v>
      </c>
      <c r="Q2131" s="14" t="str">
        <f>IF(M2131&gt;=I2131*'Hoja 4 - Cálculo'!$B$16,"Satisfactorio","Falla")</f>
        <v>Satisfactorio</v>
      </c>
      <c r="R2131" s="14">
        <f t="shared" si="480"/>
        <v>0</v>
      </c>
      <c r="S2131" s="14">
        <f t="shared" si="481"/>
        <v>0</v>
      </c>
    </row>
    <row r="2132" spans="1:19">
      <c r="A2132" s="14" t="str">
        <f t="shared" si="478"/>
        <v>SRY-6-3</v>
      </c>
      <c r="B2132" s="15">
        <f>'Curvas SRY'!$B$13</f>
        <v>15</v>
      </c>
      <c r="C2132" s="15">
        <f>'Curvas SRY'!$E$10</f>
        <v>1.25</v>
      </c>
      <c r="D2132" s="14" t="str">
        <f>'Curvas SRY'!$B$14</f>
        <v>Uso variable</v>
      </c>
      <c r="E2132" s="14">
        <f>89</f>
        <v>89</v>
      </c>
      <c r="F2132" s="21">
        <f>'Hoja 4 - Cálculo'!A113</f>
        <v>32264</v>
      </c>
      <c r="G2132" s="15">
        <f>'Hoja 4 - Cálculo'!H113</f>
        <v>28.075500000000002</v>
      </c>
      <c r="H2132" s="15">
        <f>IF(D2132="Uso único",'Hoja 4 - Cálculo'!I113,IF(D2132="Uso múltiple",AVERAGE('Hoja 4 - Cálculo'!$I$25:$I$384)+AVERAGE('Hoja 4 - Cálculo'!$J$25:$J$384)+AVERAGE('Hoja 4 - Cálculo'!$K$25:$K$384),IF(D2132="Uso prioritario",'Hoja 4 - Cálculo'!I113+'Hoja 4 - Cálculo'!K113,'Hoja 4 - Cálculo'!I113+'Hoja 4 - Cálculo'!J113+'Hoja 4 - Cálculo'!K113)))</f>
        <v>11.5</v>
      </c>
      <c r="I2132" s="15">
        <f t="shared" si="482"/>
        <v>14.375</v>
      </c>
      <c r="J2132" s="15">
        <f t="shared" si="479"/>
        <v>15</v>
      </c>
      <c r="K2132" s="15">
        <f>MIN(J2132+G2132,(J2132+G2132)*'Hoja 4 - Cálculo'!$B$15)</f>
        <v>0.86151000000000011</v>
      </c>
      <c r="L2132" s="15">
        <f t="shared" si="483"/>
        <v>42.213990000000003</v>
      </c>
      <c r="M2132" s="15">
        <f t="shared" si="484"/>
        <v>14.375</v>
      </c>
      <c r="N2132" s="15">
        <f t="shared" si="485"/>
        <v>15</v>
      </c>
      <c r="O2132" s="15">
        <f t="shared" si="486"/>
        <v>12.838990000000003</v>
      </c>
      <c r="P2132" s="15">
        <f t="shared" si="487"/>
        <v>0</v>
      </c>
      <c r="Q2132" s="14" t="str">
        <f>IF(M2132&gt;=I2132*'Hoja 4 - Cálculo'!$B$16,"Satisfactorio","Falla")</f>
        <v>Satisfactorio</v>
      </c>
      <c r="R2132" s="14">
        <f t="shared" si="480"/>
        <v>0</v>
      </c>
      <c r="S2132" s="14">
        <f t="shared" si="481"/>
        <v>0</v>
      </c>
    </row>
    <row r="2133" spans="1:19">
      <c r="A2133" s="14" t="str">
        <f t="shared" si="478"/>
        <v>SRY-6-3</v>
      </c>
      <c r="B2133" s="15">
        <f>'Curvas SRY'!$B$13</f>
        <v>15</v>
      </c>
      <c r="C2133" s="15">
        <f>'Curvas SRY'!$E$10</f>
        <v>1.25</v>
      </c>
      <c r="D2133" s="14" t="str">
        <f>'Curvas SRY'!$B$14</f>
        <v>Uso variable</v>
      </c>
      <c r="E2133" s="14">
        <f>90</f>
        <v>90</v>
      </c>
      <c r="F2133" s="21">
        <f>'Hoja 4 - Cálculo'!A114</f>
        <v>32295</v>
      </c>
      <c r="G2133" s="15">
        <f>'Hoja 4 - Cálculo'!H114</f>
        <v>16.485749999999999</v>
      </c>
      <c r="H2133" s="15">
        <f>IF(D2133="Uso único",'Hoja 4 - Cálculo'!I114,IF(D2133="Uso múltiple",AVERAGE('Hoja 4 - Cálculo'!$I$25:$I$384)+AVERAGE('Hoja 4 - Cálculo'!$J$25:$J$384)+AVERAGE('Hoja 4 - Cálculo'!$K$25:$K$384),IF(D2133="Uso prioritario",'Hoja 4 - Cálculo'!I114+'Hoja 4 - Cálculo'!K114,'Hoja 4 - Cálculo'!I114+'Hoja 4 - Cálculo'!J114+'Hoja 4 - Cálculo'!K114)))</f>
        <v>11.5</v>
      </c>
      <c r="I2133" s="15">
        <f t="shared" si="482"/>
        <v>14.375</v>
      </c>
      <c r="J2133" s="15">
        <f t="shared" si="479"/>
        <v>15</v>
      </c>
      <c r="K2133" s="15">
        <f>MIN(J2133+G2133,(J2133+G2133)*'Hoja 4 - Cálculo'!$B$15)</f>
        <v>0.62971500000000002</v>
      </c>
      <c r="L2133" s="15">
        <f t="shared" si="483"/>
        <v>30.856034999999999</v>
      </c>
      <c r="M2133" s="15">
        <f t="shared" si="484"/>
        <v>14.375</v>
      </c>
      <c r="N2133" s="15">
        <f t="shared" si="485"/>
        <v>15</v>
      </c>
      <c r="O2133" s="15">
        <f t="shared" si="486"/>
        <v>1.4810349999999985</v>
      </c>
      <c r="P2133" s="15">
        <f t="shared" si="487"/>
        <v>0</v>
      </c>
      <c r="Q2133" s="14" t="str">
        <f>IF(M2133&gt;=I2133*'Hoja 4 - Cálculo'!$B$16,"Satisfactorio","Falla")</f>
        <v>Satisfactorio</v>
      </c>
      <c r="R2133" s="14">
        <f t="shared" si="480"/>
        <v>0</v>
      </c>
      <c r="S2133" s="14">
        <f t="shared" si="481"/>
        <v>0</v>
      </c>
    </row>
    <row r="2134" spans="1:19">
      <c r="A2134" s="14" t="str">
        <f t="shared" si="478"/>
        <v>SRY-6-3</v>
      </c>
      <c r="B2134" s="15">
        <f>'Curvas SRY'!$B$13</f>
        <v>15</v>
      </c>
      <c r="C2134" s="15">
        <f>'Curvas SRY'!$E$10</f>
        <v>1.25</v>
      </c>
      <c r="D2134" s="14" t="str">
        <f>'Curvas SRY'!$B$14</f>
        <v>Uso variable</v>
      </c>
      <c r="E2134" s="14">
        <f>91</f>
        <v>91</v>
      </c>
      <c r="F2134" s="21">
        <f>'Hoja 4 - Cálculo'!A115</f>
        <v>32325</v>
      </c>
      <c r="G2134" s="15">
        <f>'Hoja 4 - Cálculo'!H115</f>
        <v>13.827375</v>
      </c>
      <c r="H2134" s="15">
        <f>IF(D2134="Uso único",'Hoja 4 - Cálculo'!I115,IF(D2134="Uso múltiple",AVERAGE('Hoja 4 - Cálculo'!$I$25:$I$384)+AVERAGE('Hoja 4 - Cálculo'!$J$25:$J$384)+AVERAGE('Hoja 4 - Cálculo'!$K$25:$K$384),IF(D2134="Uso prioritario",'Hoja 4 - Cálculo'!I115+'Hoja 4 - Cálculo'!K115,'Hoja 4 - Cálculo'!I115+'Hoja 4 - Cálculo'!J115+'Hoja 4 - Cálculo'!K115)))</f>
        <v>16</v>
      </c>
      <c r="I2134" s="15">
        <f t="shared" si="482"/>
        <v>20</v>
      </c>
      <c r="J2134" s="15">
        <f t="shared" si="479"/>
        <v>15</v>
      </c>
      <c r="K2134" s="15">
        <f>MIN(J2134+G2134,(J2134+G2134)*'Hoja 4 - Cálculo'!$B$15)</f>
        <v>0.57654749999999999</v>
      </c>
      <c r="L2134" s="15">
        <f t="shared" si="483"/>
        <v>28.2508275</v>
      </c>
      <c r="M2134" s="15">
        <f t="shared" si="484"/>
        <v>20</v>
      </c>
      <c r="N2134" s="15">
        <f t="shared" si="485"/>
        <v>8.2508274999999998</v>
      </c>
      <c r="O2134" s="15">
        <f t="shared" si="486"/>
        <v>0</v>
      </c>
      <c r="P2134" s="15">
        <f t="shared" si="487"/>
        <v>0</v>
      </c>
      <c r="Q2134" s="14" t="str">
        <f>IF(M2134&gt;=I2134*'Hoja 4 - Cálculo'!$B$16,"Satisfactorio","Falla")</f>
        <v>Satisfactorio</v>
      </c>
      <c r="R2134" s="14">
        <f t="shared" si="480"/>
        <v>0</v>
      </c>
      <c r="S2134" s="14">
        <f t="shared" si="481"/>
        <v>0</v>
      </c>
    </row>
    <row r="2135" spans="1:19">
      <c r="A2135" s="14" t="str">
        <f t="shared" si="478"/>
        <v>SRY-6-3</v>
      </c>
      <c r="B2135" s="15">
        <f>'Curvas SRY'!$B$13</f>
        <v>15</v>
      </c>
      <c r="C2135" s="15">
        <f>'Curvas SRY'!$E$10</f>
        <v>1.25</v>
      </c>
      <c r="D2135" s="14" t="str">
        <f>'Curvas SRY'!$B$14</f>
        <v>Uso variable</v>
      </c>
      <c r="E2135" s="14">
        <f>92</f>
        <v>92</v>
      </c>
      <c r="F2135" s="21">
        <f>'Hoja 4 - Cálculo'!A116</f>
        <v>32356</v>
      </c>
      <c r="G2135" s="15">
        <f>'Hoja 4 - Cálculo'!H116</f>
        <v>14.783625000000001</v>
      </c>
      <c r="H2135" s="15">
        <f>IF(D2135="Uso único",'Hoja 4 - Cálculo'!I116,IF(D2135="Uso múltiple",AVERAGE('Hoja 4 - Cálculo'!$I$25:$I$384)+AVERAGE('Hoja 4 - Cálculo'!$J$25:$J$384)+AVERAGE('Hoja 4 - Cálculo'!$K$25:$K$384),IF(D2135="Uso prioritario",'Hoja 4 - Cálculo'!I116+'Hoja 4 - Cálculo'!K116,'Hoja 4 - Cálculo'!I116+'Hoja 4 - Cálculo'!J116+'Hoja 4 - Cálculo'!K116)))</f>
        <v>16</v>
      </c>
      <c r="I2135" s="15">
        <f t="shared" si="482"/>
        <v>20</v>
      </c>
      <c r="J2135" s="15">
        <f t="shared" si="479"/>
        <v>8.2508274999999998</v>
      </c>
      <c r="K2135" s="15">
        <f>MIN(J2135+G2135,(J2135+G2135)*'Hoja 4 - Cálculo'!$B$15)</f>
        <v>0.46068905000000004</v>
      </c>
      <c r="L2135" s="15">
        <f t="shared" si="483"/>
        <v>22.573763450000001</v>
      </c>
      <c r="M2135" s="15">
        <f t="shared" si="484"/>
        <v>20</v>
      </c>
      <c r="N2135" s="15">
        <f t="shared" si="485"/>
        <v>2.5737634500000013</v>
      </c>
      <c r="O2135" s="15">
        <f t="shared" si="486"/>
        <v>0</v>
      </c>
      <c r="P2135" s="15">
        <f t="shared" si="487"/>
        <v>0</v>
      </c>
      <c r="Q2135" s="14" t="str">
        <f>IF(M2135&gt;=I2135*'Hoja 4 - Cálculo'!$B$16,"Satisfactorio","Falla")</f>
        <v>Satisfactorio</v>
      </c>
      <c r="R2135" s="14">
        <f t="shared" si="480"/>
        <v>0</v>
      </c>
      <c r="S2135" s="14">
        <f t="shared" si="481"/>
        <v>0</v>
      </c>
    </row>
    <row r="2136" spans="1:19">
      <c r="A2136" s="14" t="str">
        <f t="shared" si="478"/>
        <v>SRY-6-3</v>
      </c>
      <c r="B2136" s="15">
        <f>'Curvas SRY'!$B$13</f>
        <v>15</v>
      </c>
      <c r="C2136" s="15">
        <f>'Curvas SRY'!$E$10</f>
        <v>1.25</v>
      </c>
      <c r="D2136" s="14" t="str">
        <f>'Curvas SRY'!$B$14</f>
        <v>Uso variable</v>
      </c>
      <c r="E2136" s="14">
        <f>93</f>
        <v>93</v>
      </c>
      <c r="F2136" s="21">
        <f>'Hoja 4 - Cálculo'!A117</f>
        <v>32387</v>
      </c>
      <c r="G2136" s="15">
        <f>'Hoja 4 - Cálculo'!H117</f>
        <v>23.3325</v>
      </c>
      <c r="H2136" s="15">
        <f>IF(D2136="Uso único",'Hoja 4 - Cálculo'!I117,IF(D2136="Uso múltiple",AVERAGE('Hoja 4 - Cálculo'!$I$25:$I$384)+AVERAGE('Hoja 4 - Cálculo'!$J$25:$J$384)+AVERAGE('Hoja 4 - Cálculo'!$K$25:$K$384),IF(D2136="Uso prioritario",'Hoja 4 - Cálculo'!I117+'Hoja 4 - Cálculo'!K117,'Hoja 4 - Cálculo'!I117+'Hoja 4 - Cálculo'!J117+'Hoja 4 - Cálculo'!K117)))</f>
        <v>11.5</v>
      </c>
      <c r="I2136" s="15">
        <f t="shared" si="482"/>
        <v>14.375</v>
      </c>
      <c r="J2136" s="15">
        <f t="shared" si="479"/>
        <v>2.5737634500000013</v>
      </c>
      <c r="K2136" s="15">
        <f>MIN(J2136+G2136,(J2136+G2136)*'Hoja 4 - Cálculo'!$B$15)</f>
        <v>0.518125269</v>
      </c>
      <c r="L2136" s="15">
        <f t="shared" si="483"/>
        <v>25.388138181000002</v>
      </c>
      <c r="M2136" s="15">
        <f t="shared" si="484"/>
        <v>14.375</v>
      </c>
      <c r="N2136" s="15">
        <f t="shared" si="485"/>
        <v>11.013138181000002</v>
      </c>
      <c r="O2136" s="15">
        <f t="shared" si="486"/>
        <v>0</v>
      </c>
      <c r="P2136" s="15">
        <f t="shared" si="487"/>
        <v>0</v>
      </c>
      <c r="Q2136" s="14" t="str">
        <f>IF(M2136&gt;=I2136*'Hoja 4 - Cálculo'!$B$16,"Satisfactorio","Falla")</f>
        <v>Satisfactorio</v>
      </c>
      <c r="R2136" s="14">
        <f t="shared" si="480"/>
        <v>0</v>
      </c>
      <c r="S2136" s="14">
        <f t="shared" si="481"/>
        <v>0</v>
      </c>
    </row>
    <row r="2137" spans="1:19">
      <c r="A2137" s="14" t="str">
        <f t="shared" si="478"/>
        <v>SRY-6-3</v>
      </c>
      <c r="B2137" s="15">
        <f>'Curvas SRY'!$B$13</f>
        <v>15</v>
      </c>
      <c r="C2137" s="15">
        <f>'Curvas SRY'!$E$10</f>
        <v>1.25</v>
      </c>
      <c r="D2137" s="14" t="str">
        <f>'Curvas SRY'!$B$14</f>
        <v>Uso variable</v>
      </c>
      <c r="E2137" s="14">
        <f>94</f>
        <v>94</v>
      </c>
      <c r="F2137" s="21">
        <f>'Hoja 4 - Cálculo'!A118</f>
        <v>32417</v>
      </c>
      <c r="G2137" s="15">
        <f>'Hoja 4 - Cálculo'!H118</f>
        <v>32.015250000000002</v>
      </c>
      <c r="H2137" s="15">
        <f>IF(D2137="Uso único",'Hoja 4 - Cálculo'!I118,IF(D2137="Uso múltiple",AVERAGE('Hoja 4 - Cálculo'!$I$25:$I$384)+AVERAGE('Hoja 4 - Cálculo'!$J$25:$J$384)+AVERAGE('Hoja 4 - Cálculo'!$K$25:$K$384),IF(D2137="Uso prioritario",'Hoja 4 - Cálculo'!I118+'Hoja 4 - Cálculo'!K118,'Hoja 4 - Cálculo'!I118+'Hoja 4 - Cálculo'!J118+'Hoja 4 - Cálculo'!K118)))</f>
        <v>11.5</v>
      </c>
      <c r="I2137" s="15">
        <f t="shared" si="482"/>
        <v>14.375</v>
      </c>
      <c r="J2137" s="15">
        <f t="shared" si="479"/>
        <v>11.013138181000002</v>
      </c>
      <c r="K2137" s="15">
        <f>MIN(J2137+G2137,(J2137+G2137)*'Hoja 4 - Cálculo'!$B$15)</f>
        <v>0.86056776362000009</v>
      </c>
      <c r="L2137" s="15">
        <f t="shared" si="483"/>
        <v>42.167820417380007</v>
      </c>
      <c r="M2137" s="15">
        <f t="shared" si="484"/>
        <v>14.375</v>
      </c>
      <c r="N2137" s="15">
        <f t="shared" si="485"/>
        <v>15</v>
      </c>
      <c r="O2137" s="15">
        <f t="shared" si="486"/>
        <v>12.792820417380007</v>
      </c>
      <c r="P2137" s="15">
        <f t="shared" si="487"/>
        <v>0</v>
      </c>
      <c r="Q2137" s="14" t="str">
        <f>IF(M2137&gt;=I2137*'Hoja 4 - Cálculo'!$B$16,"Satisfactorio","Falla")</f>
        <v>Satisfactorio</v>
      </c>
      <c r="R2137" s="14">
        <f t="shared" si="480"/>
        <v>0</v>
      </c>
      <c r="S2137" s="14">
        <f t="shared" si="481"/>
        <v>0</v>
      </c>
    </row>
    <row r="2138" spans="1:19">
      <c r="A2138" s="14" t="str">
        <f t="shared" si="478"/>
        <v>SRY-6-3</v>
      </c>
      <c r="B2138" s="15">
        <f>'Curvas SRY'!$B$13</f>
        <v>15</v>
      </c>
      <c r="C2138" s="15">
        <f>'Curvas SRY'!$E$10</f>
        <v>1.25</v>
      </c>
      <c r="D2138" s="14" t="str">
        <f>'Curvas SRY'!$B$14</f>
        <v>Uso variable</v>
      </c>
      <c r="E2138" s="14">
        <f>95</f>
        <v>95</v>
      </c>
      <c r="F2138" s="21">
        <f>'Hoja 4 - Cálculo'!A119</f>
        <v>32448</v>
      </c>
      <c r="G2138" s="15">
        <f>'Hoja 4 - Cálculo'!H119</f>
        <v>25.876124999999998</v>
      </c>
      <c r="H2138" s="15">
        <f>IF(D2138="Uso único",'Hoja 4 - Cálculo'!I119,IF(D2138="Uso múltiple",AVERAGE('Hoja 4 - Cálculo'!$I$25:$I$384)+AVERAGE('Hoja 4 - Cálculo'!$J$25:$J$384)+AVERAGE('Hoja 4 - Cálculo'!$K$25:$K$384),IF(D2138="Uso prioritario",'Hoja 4 - Cálculo'!I119+'Hoja 4 - Cálculo'!K119,'Hoja 4 - Cálculo'!I119+'Hoja 4 - Cálculo'!J119+'Hoja 4 - Cálculo'!K119)))</f>
        <v>11.5</v>
      </c>
      <c r="I2138" s="15">
        <f t="shared" si="482"/>
        <v>14.375</v>
      </c>
      <c r="J2138" s="15">
        <f t="shared" si="479"/>
        <v>15</v>
      </c>
      <c r="K2138" s="15">
        <f>MIN(J2138+G2138,(J2138+G2138)*'Hoja 4 - Cálculo'!$B$15)</f>
        <v>0.81752250000000004</v>
      </c>
      <c r="L2138" s="15">
        <f t="shared" si="483"/>
        <v>40.058602499999999</v>
      </c>
      <c r="M2138" s="15">
        <f t="shared" si="484"/>
        <v>14.375</v>
      </c>
      <c r="N2138" s="15">
        <f t="shared" si="485"/>
        <v>15</v>
      </c>
      <c r="O2138" s="15">
        <f t="shared" si="486"/>
        <v>10.683602499999999</v>
      </c>
      <c r="P2138" s="15">
        <f t="shared" si="487"/>
        <v>0</v>
      </c>
      <c r="Q2138" s="14" t="str">
        <f>IF(M2138&gt;=I2138*'Hoja 4 - Cálculo'!$B$16,"Satisfactorio","Falla")</f>
        <v>Satisfactorio</v>
      </c>
      <c r="R2138" s="14">
        <f t="shared" si="480"/>
        <v>0</v>
      </c>
      <c r="S2138" s="14">
        <f t="shared" si="481"/>
        <v>0</v>
      </c>
    </row>
    <row r="2139" spans="1:19">
      <c r="A2139" s="14" t="str">
        <f t="shared" si="478"/>
        <v>SRY-6-3</v>
      </c>
      <c r="B2139" s="15">
        <f>'Curvas SRY'!$B$13</f>
        <v>15</v>
      </c>
      <c r="C2139" s="15">
        <f>'Curvas SRY'!$E$10</f>
        <v>1.25</v>
      </c>
      <c r="D2139" s="14" t="str">
        <f>'Curvas SRY'!$B$14</f>
        <v>Uso variable</v>
      </c>
      <c r="E2139" s="14">
        <f>96</f>
        <v>96</v>
      </c>
      <c r="F2139" s="21">
        <f>'Hoja 4 - Cálculo'!A120</f>
        <v>32478</v>
      </c>
      <c r="G2139" s="15">
        <f>'Hoja 4 - Cálculo'!H120</f>
        <v>16.218</v>
      </c>
      <c r="H2139" s="15">
        <f>IF(D2139="Uso único",'Hoja 4 - Cálculo'!I120,IF(D2139="Uso múltiple",AVERAGE('Hoja 4 - Cálculo'!$I$25:$I$384)+AVERAGE('Hoja 4 - Cálculo'!$J$25:$J$384)+AVERAGE('Hoja 4 - Cálculo'!$K$25:$K$384),IF(D2139="Uso prioritario",'Hoja 4 - Cálculo'!I120+'Hoja 4 - Cálculo'!K120,'Hoja 4 - Cálculo'!I120+'Hoja 4 - Cálculo'!J120+'Hoja 4 - Cálculo'!K120)))</f>
        <v>16</v>
      </c>
      <c r="I2139" s="15">
        <f t="shared" si="482"/>
        <v>20</v>
      </c>
      <c r="J2139" s="15">
        <f t="shared" si="479"/>
        <v>15</v>
      </c>
      <c r="K2139" s="15">
        <f>MIN(J2139+G2139,(J2139+G2139)*'Hoja 4 - Cálculo'!$B$15)</f>
        <v>0.62436000000000003</v>
      </c>
      <c r="L2139" s="15">
        <f t="shared" si="483"/>
        <v>30.593640000000001</v>
      </c>
      <c r="M2139" s="15">
        <f t="shared" si="484"/>
        <v>20</v>
      </c>
      <c r="N2139" s="15">
        <f t="shared" si="485"/>
        <v>10.593640000000001</v>
      </c>
      <c r="O2139" s="15">
        <f t="shared" si="486"/>
        <v>0</v>
      </c>
      <c r="P2139" s="15">
        <f t="shared" si="487"/>
        <v>0</v>
      </c>
      <c r="Q2139" s="14" t="str">
        <f>IF(M2139&gt;=I2139*'Hoja 4 - Cálculo'!$B$16,"Satisfactorio","Falla")</f>
        <v>Satisfactorio</v>
      </c>
      <c r="R2139" s="14">
        <f t="shared" si="480"/>
        <v>0</v>
      </c>
      <c r="S2139" s="14">
        <f t="shared" si="481"/>
        <v>0</v>
      </c>
    </row>
    <row r="2140" spans="1:19">
      <c r="A2140" s="14" t="str">
        <f t="shared" ref="A2140:A2163" si="488">"SRY-6-3"</f>
        <v>SRY-6-3</v>
      </c>
      <c r="B2140" s="15">
        <f>'Curvas SRY'!$B$13</f>
        <v>15</v>
      </c>
      <c r="C2140" s="15">
        <f>'Curvas SRY'!$E$10</f>
        <v>1.25</v>
      </c>
      <c r="D2140" s="14" t="str">
        <f>'Curvas SRY'!$B$14</f>
        <v>Uso variable</v>
      </c>
      <c r="E2140" s="14">
        <f>97</f>
        <v>97</v>
      </c>
      <c r="F2140" s="21">
        <f>'Hoja 4 - Cálculo'!A121</f>
        <v>32509</v>
      </c>
      <c r="G2140" s="15">
        <f>'Hoja 4 - Cálculo'!H121</f>
        <v>11.761875</v>
      </c>
      <c r="H2140" s="15">
        <f>IF(D2140="Uso único",'Hoja 4 - Cálculo'!I121,IF(D2140="Uso múltiple",AVERAGE('Hoja 4 - Cálculo'!$I$25:$I$384)+AVERAGE('Hoja 4 - Cálculo'!$J$25:$J$384)+AVERAGE('Hoja 4 - Cálculo'!$K$25:$K$384),IF(D2140="Uso prioritario",'Hoja 4 - Cálculo'!I121+'Hoja 4 - Cálculo'!K121,'Hoja 4 - Cálculo'!I121+'Hoja 4 - Cálculo'!J121+'Hoja 4 - Cálculo'!K121)))</f>
        <v>16</v>
      </c>
      <c r="I2140" s="15">
        <f t="shared" si="482"/>
        <v>20</v>
      </c>
      <c r="J2140" s="15">
        <f t="shared" si="479"/>
        <v>10.593640000000001</v>
      </c>
      <c r="K2140" s="15">
        <f>MIN(J2140+G2140,(J2140+G2140)*'Hoja 4 - Cálculo'!$B$15)</f>
        <v>0.44711030000000002</v>
      </c>
      <c r="L2140" s="15">
        <f t="shared" si="483"/>
        <v>21.908404700000002</v>
      </c>
      <c r="M2140" s="15">
        <f t="shared" si="484"/>
        <v>20</v>
      </c>
      <c r="N2140" s="15">
        <f t="shared" si="485"/>
        <v>1.908404700000002</v>
      </c>
      <c r="O2140" s="15">
        <f t="shared" si="486"/>
        <v>0</v>
      </c>
      <c r="P2140" s="15">
        <f t="shared" si="487"/>
        <v>0</v>
      </c>
      <c r="Q2140" s="14" t="str">
        <f>IF(M2140&gt;=I2140*'Hoja 4 - Cálculo'!$B$16,"Satisfactorio","Falla")</f>
        <v>Satisfactorio</v>
      </c>
      <c r="R2140" s="14">
        <f t="shared" si="480"/>
        <v>0</v>
      </c>
      <c r="S2140" s="14">
        <f t="shared" si="481"/>
        <v>0</v>
      </c>
    </row>
    <row r="2141" spans="1:19">
      <c r="A2141" s="14" t="str">
        <f t="shared" si="488"/>
        <v>SRY-6-3</v>
      </c>
      <c r="B2141" s="15">
        <f>'Curvas SRY'!$B$13</f>
        <v>15</v>
      </c>
      <c r="C2141" s="15">
        <f>'Curvas SRY'!$E$10</f>
        <v>1.25</v>
      </c>
      <c r="D2141" s="14" t="str">
        <f>'Curvas SRY'!$B$14</f>
        <v>Uso variable</v>
      </c>
      <c r="E2141" s="14">
        <f>98</f>
        <v>98</v>
      </c>
      <c r="F2141" s="21">
        <f>'Hoja 4 - Cálculo'!A122</f>
        <v>32540</v>
      </c>
      <c r="G2141" s="15">
        <f>'Hoja 4 - Cálculo'!H122</f>
        <v>12.43125</v>
      </c>
      <c r="H2141" s="15">
        <f>IF(D2141="Uso único",'Hoja 4 - Cálculo'!I122,IF(D2141="Uso múltiple",AVERAGE('Hoja 4 - Cálculo'!$I$25:$I$384)+AVERAGE('Hoja 4 - Cálculo'!$J$25:$J$384)+AVERAGE('Hoja 4 - Cálculo'!$K$25:$K$384),IF(D2141="Uso prioritario",'Hoja 4 - Cálculo'!I122+'Hoja 4 - Cálculo'!K122,'Hoja 4 - Cálculo'!I122+'Hoja 4 - Cálculo'!J122+'Hoja 4 - Cálculo'!K122)))</f>
        <v>16</v>
      </c>
      <c r="I2141" s="15">
        <f t="shared" si="482"/>
        <v>20</v>
      </c>
      <c r="J2141" s="15">
        <f t="shared" ref="J2141:J2163" si="489">N2140</f>
        <v>1.908404700000002</v>
      </c>
      <c r="K2141" s="15">
        <f>MIN(J2141+G2141,(J2141+G2141)*'Hoja 4 - Cálculo'!$B$15)</f>
        <v>0.28679309400000003</v>
      </c>
      <c r="L2141" s="15">
        <f t="shared" si="483"/>
        <v>14.052861606000002</v>
      </c>
      <c r="M2141" s="15">
        <f t="shared" si="484"/>
        <v>14.052861606000002</v>
      </c>
      <c r="N2141" s="15">
        <f t="shared" si="485"/>
        <v>0</v>
      </c>
      <c r="O2141" s="15">
        <f t="shared" si="486"/>
        <v>0</v>
      </c>
      <c r="P2141" s="15">
        <f t="shared" si="487"/>
        <v>5.9471383939999978</v>
      </c>
      <c r="Q2141" s="14" t="str">
        <f>IF(M2141&gt;=I2141*'Hoja 4 - Cálculo'!$B$16,"Satisfactorio","Falla")</f>
        <v>Falla</v>
      </c>
      <c r="R2141" s="14">
        <f t="shared" ref="R2141:R2172" si="490">IF(AND(Q2140="Falla",Q2141="Satisfactorio"),1,0)</f>
        <v>0</v>
      </c>
      <c r="S2141" s="14">
        <f t="shared" ref="S2141:S2163" si="491">IF(AND(Q2141="Falla",Q2140&lt;&gt;"Falla"),1,0)</f>
        <v>1</v>
      </c>
    </row>
    <row r="2142" spans="1:19">
      <c r="A2142" s="14" t="str">
        <f t="shared" si="488"/>
        <v>SRY-6-3</v>
      </c>
      <c r="B2142" s="15">
        <f>'Curvas SRY'!$B$13</f>
        <v>15</v>
      </c>
      <c r="C2142" s="15">
        <f>'Curvas SRY'!$E$10</f>
        <v>1.25</v>
      </c>
      <c r="D2142" s="14" t="str">
        <f>'Curvas SRY'!$B$14</f>
        <v>Uso variable</v>
      </c>
      <c r="E2142" s="14">
        <f>99</f>
        <v>99</v>
      </c>
      <c r="F2142" s="21">
        <f>'Hoja 4 - Cálculo'!A123</f>
        <v>32568</v>
      </c>
      <c r="G2142" s="15">
        <f>'Hoja 4 - Cálculo'!H123</f>
        <v>19.717874999999999</v>
      </c>
      <c r="H2142" s="15">
        <f>IF(D2142="Uso único",'Hoja 4 - Cálculo'!I123,IF(D2142="Uso múltiple",AVERAGE('Hoja 4 - Cálculo'!$I$25:$I$384)+AVERAGE('Hoja 4 - Cálculo'!$J$25:$J$384)+AVERAGE('Hoja 4 - Cálculo'!$K$25:$K$384),IF(D2142="Uso prioritario",'Hoja 4 - Cálculo'!I123+'Hoja 4 - Cálculo'!K123,'Hoja 4 - Cálculo'!I123+'Hoja 4 - Cálculo'!J123+'Hoja 4 - Cálculo'!K123)))</f>
        <v>16</v>
      </c>
      <c r="I2142" s="15">
        <f t="shared" si="482"/>
        <v>20</v>
      </c>
      <c r="J2142" s="15">
        <f t="shared" si="489"/>
        <v>0</v>
      </c>
      <c r="K2142" s="15">
        <f>MIN(J2142+G2142,(J2142+G2142)*'Hoja 4 - Cálculo'!$B$15)</f>
        <v>0.39435749999999997</v>
      </c>
      <c r="L2142" s="15">
        <f t="shared" si="483"/>
        <v>19.323517499999998</v>
      </c>
      <c r="M2142" s="15">
        <f t="shared" si="484"/>
        <v>19.323517499999998</v>
      </c>
      <c r="N2142" s="15">
        <f t="shared" si="485"/>
        <v>0</v>
      </c>
      <c r="O2142" s="15">
        <f t="shared" si="486"/>
        <v>0</v>
      </c>
      <c r="P2142" s="15">
        <f t="shared" si="487"/>
        <v>0.67648250000000232</v>
      </c>
      <c r="Q2142" s="14" t="str">
        <f>IF(M2142&gt;=I2142*'Hoja 4 - Cálculo'!$B$16,"Satisfactorio","Falla")</f>
        <v>Falla</v>
      </c>
      <c r="R2142" s="14">
        <f t="shared" si="490"/>
        <v>0</v>
      </c>
      <c r="S2142" s="14">
        <f t="shared" si="491"/>
        <v>0</v>
      </c>
    </row>
    <row r="2143" spans="1:19">
      <c r="A2143" s="14" t="str">
        <f t="shared" si="488"/>
        <v>SRY-6-3</v>
      </c>
      <c r="B2143" s="15">
        <f>'Curvas SRY'!$B$13</f>
        <v>15</v>
      </c>
      <c r="C2143" s="15">
        <f>'Curvas SRY'!$E$10</f>
        <v>1.25</v>
      </c>
      <c r="D2143" s="14" t="str">
        <f>'Curvas SRY'!$B$14</f>
        <v>Uso variable</v>
      </c>
      <c r="E2143" s="14">
        <f>100</f>
        <v>100</v>
      </c>
      <c r="F2143" s="21">
        <f>'Hoja 4 - Cálculo'!A124</f>
        <v>32599</v>
      </c>
      <c r="G2143" s="15">
        <f>'Hoja 4 - Cálculo'!H124</f>
        <v>26.029125000000001</v>
      </c>
      <c r="H2143" s="15">
        <f>IF(D2143="Uso único",'Hoja 4 - Cálculo'!I124,IF(D2143="Uso múltiple",AVERAGE('Hoja 4 - Cálculo'!$I$25:$I$384)+AVERAGE('Hoja 4 - Cálculo'!$J$25:$J$384)+AVERAGE('Hoja 4 - Cálculo'!$K$25:$K$384),IF(D2143="Uso prioritario",'Hoja 4 - Cálculo'!I124+'Hoja 4 - Cálculo'!K124,'Hoja 4 - Cálculo'!I124+'Hoja 4 - Cálculo'!J124+'Hoja 4 - Cálculo'!K124)))</f>
        <v>11.5</v>
      </c>
      <c r="I2143" s="15">
        <f t="shared" si="482"/>
        <v>14.375</v>
      </c>
      <c r="J2143" s="15">
        <f t="shared" si="489"/>
        <v>0</v>
      </c>
      <c r="K2143" s="15">
        <f>MIN(J2143+G2143,(J2143+G2143)*'Hoja 4 - Cálculo'!$B$15)</f>
        <v>0.52058250000000006</v>
      </c>
      <c r="L2143" s="15">
        <f t="shared" si="483"/>
        <v>25.508542500000001</v>
      </c>
      <c r="M2143" s="15">
        <f t="shared" si="484"/>
        <v>14.375</v>
      </c>
      <c r="N2143" s="15">
        <f t="shared" si="485"/>
        <v>11.133542500000001</v>
      </c>
      <c r="O2143" s="15">
        <f t="shared" si="486"/>
        <v>0</v>
      </c>
      <c r="P2143" s="15">
        <f t="shared" si="487"/>
        <v>0</v>
      </c>
      <c r="Q2143" s="14" t="str">
        <f>IF(M2143&gt;=I2143*'Hoja 4 - Cálculo'!$B$16,"Satisfactorio","Falla")</f>
        <v>Satisfactorio</v>
      </c>
      <c r="R2143" s="14">
        <f t="shared" si="490"/>
        <v>1</v>
      </c>
      <c r="S2143" s="14">
        <f t="shared" si="491"/>
        <v>0</v>
      </c>
    </row>
    <row r="2144" spans="1:19">
      <c r="A2144" s="14" t="str">
        <f t="shared" si="488"/>
        <v>SRY-6-3</v>
      </c>
      <c r="B2144" s="15">
        <f>'Curvas SRY'!$B$13</f>
        <v>15</v>
      </c>
      <c r="C2144" s="15">
        <f>'Curvas SRY'!$E$10</f>
        <v>1.25</v>
      </c>
      <c r="D2144" s="14" t="str">
        <f>'Curvas SRY'!$B$14</f>
        <v>Uso variable</v>
      </c>
      <c r="E2144" s="14">
        <f>101</f>
        <v>101</v>
      </c>
      <c r="F2144" s="21">
        <f>'Hoja 4 - Cálculo'!A125</f>
        <v>32629</v>
      </c>
      <c r="G2144" s="15">
        <f>'Hoja 4 - Cálculo'!H125</f>
        <v>24.728625000000005</v>
      </c>
      <c r="H2144" s="15">
        <f>IF(D2144="Uso único",'Hoja 4 - Cálculo'!I125,IF(D2144="Uso múltiple",AVERAGE('Hoja 4 - Cálculo'!$I$25:$I$384)+AVERAGE('Hoja 4 - Cálculo'!$J$25:$J$384)+AVERAGE('Hoja 4 - Cálculo'!$K$25:$K$384),IF(D2144="Uso prioritario",'Hoja 4 - Cálculo'!I125+'Hoja 4 - Cálculo'!K125,'Hoja 4 - Cálculo'!I125+'Hoja 4 - Cálculo'!J125+'Hoja 4 - Cálculo'!K125)))</f>
        <v>11.5</v>
      </c>
      <c r="I2144" s="15">
        <f t="shared" si="482"/>
        <v>14.375</v>
      </c>
      <c r="J2144" s="15">
        <f t="shared" si="489"/>
        <v>11.133542500000001</v>
      </c>
      <c r="K2144" s="15">
        <f>MIN(J2144+G2144,(J2144+G2144)*'Hoja 4 - Cálculo'!$B$15)</f>
        <v>0.71724335000000017</v>
      </c>
      <c r="L2144" s="15">
        <f t="shared" si="483"/>
        <v>35.144924150000008</v>
      </c>
      <c r="M2144" s="15">
        <f t="shared" si="484"/>
        <v>14.375</v>
      </c>
      <c r="N2144" s="15">
        <f t="shared" si="485"/>
        <v>15</v>
      </c>
      <c r="O2144" s="15">
        <f t="shared" si="486"/>
        <v>5.7699241500000085</v>
      </c>
      <c r="P2144" s="15">
        <f t="shared" si="487"/>
        <v>0</v>
      </c>
      <c r="Q2144" s="14" t="str">
        <f>IF(M2144&gt;=I2144*'Hoja 4 - Cálculo'!$B$16,"Satisfactorio","Falla")</f>
        <v>Satisfactorio</v>
      </c>
      <c r="R2144" s="14">
        <f t="shared" si="490"/>
        <v>0</v>
      </c>
      <c r="S2144" s="14">
        <f t="shared" si="491"/>
        <v>0</v>
      </c>
    </row>
    <row r="2145" spans="1:19">
      <c r="A2145" s="14" t="str">
        <f t="shared" si="488"/>
        <v>SRY-6-3</v>
      </c>
      <c r="B2145" s="15">
        <f>'Curvas SRY'!$B$13</f>
        <v>15</v>
      </c>
      <c r="C2145" s="15">
        <f>'Curvas SRY'!$E$10</f>
        <v>1.25</v>
      </c>
      <c r="D2145" s="14" t="str">
        <f>'Curvas SRY'!$B$14</f>
        <v>Uso variable</v>
      </c>
      <c r="E2145" s="14">
        <f>102</f>
        <v>102</v>
      </c>
      <c r="F2145" s="21">
        <f>'Hoja 4 - Cálculo'!A126</f>
        <v>32660</v>
      </c>
      <c r="G2145" s="15">
        <f>'Hoja 4 - Cálculo'!H126</f>
        <v>14.515874999999999</v>
      </c>
      <c r="H2145" s="15">
        <f>IF(D2145="Uso único",'Hoja 4 - Cálculo'!I126,IF(D2145="Uso múltiple",AVERAGE('Hoja 4 - Cálculo'!$I$25:$I$384)+AVERAGE('Hoja 4 - Cálculo'!$J$25:$J$384)+AVERAGE('Hoja 4 - Cálculo'!$K$25:$K$384),IF(D2145="Uso prioritario",'Hoja 4 - Cálculo'!I126+'Hoja 4 - Cálculo'!K126,'Hoja 4 - Cálculo'!I126+'Hoja 4 - Cálculo'!J126+'Hoja 4 - Cálculo'!K126)))</f>
        <v>11.5</v>
      </c>
      <c r="I2145" s="15">
        <f t="shared" si="482"/>
        <v>14.375</v>
      </c>
      <c r="J2145" s="15">
        <f t="shared" si="489"/>
        <v>15</v>
      </c>
      <c r="K2145" s="15">
        <f>MIN(J2145+G2145,(J2145+G2145)*'Hoja 4 - Cálculo'!$B$15)</f>
        <v>0.59031750000000005</v>
      </c>
      <c r="L2145" s="15">
        <f t="shared" si="483"/>
        <v>28.9255575</v>
      </c>
      <c r="M2145" s="15">
        <f t="shared" si="484"/>
        <v>14.375</v>
      </c>
      <c r="N2145" s="15">
        <f t="shared" si="485"/>
        <v>14.5505575</v>
      </c>
      <c r="O2145" s="15">
        <f t="shared" si="486"/>
        <v>0</v>
      </c>
      <c r="P2145" s="15">
        <f t="shared" si="487"/>
        <v>0</v>
      </c>
      <c r="Q2145" s="14" t="str">
        <f>IF(M2145&gt;=I2145*'Hoja 4 - Cálculo'!$B$16,"Satisfactorio","Falla")</f>
        <v>Satisfactorio</v>
      </c>
      <c r="R2145" s="14">
        <f t="shared" si="490"/>
        <v>0</v>
      </c>
      <c r="S2145" s="14">
        <f t="shared" si="491"/>
        <v>0</v>
      </c>
    </row>
    <row r="2146" spans="1:19">
      <c r="A2146" s="14" t="str">
        <f t="shared" si="488"/>
        <v>SRY-6-3</v>
      </c>
      <c r="B2146" s="15">
        <f>'Curvas SRY'!$B$13</f>
        <v>15</v>
      </c>
      <c r="C2146" s="15">
        <f>'Curvas SRY'!$E$10</f>
        <v>1.25</v>
      </c>
      <c r="D2146" s="14" t="str">
        <f>'Curvas SRY'!$B$14</f>
        <v>Uso variable</v>
      </c>
      <c r="E2146" s="14">
        <f>103</f>
        <v>103</v>
      </c>
      <c r="F2146" s="21">
        <f>'Hoja 4 - Cálculo'!A127</f>
        <v>32690</v>
      </c>
      <c r="G2146" s="15">
        <f>'Hoja 4 - Cálculo'!H127</f>
        <v>12.144375</v>
      </c>
      <c r="H2146" s="15">
        <f>IF(D2146="Uso único",'Hoja 4 - Cálculo'!I127,IF(D2146="Uso múltiple",AVERAGE('Hoja 4 - Cálculo'!$I$25:$I$384)+AVERAGE('Hoja 4 - Cálculo'!$J$25:$J$384)+AVERAGE('Hoja 4 - Cálculo'!$K$25:$K$384),IF(D2146="Uso prioritario",'Hoja 4 - Cálculo'!I127+'Hoja 4 - Cálculo'!K127,'Hoja 4 - Cálculo'!I127+'Hoja 4 - Cálculo'!J127+'Hoja 4 - Cálculo'!K127)))</f>
        <v>16</v>
      </c>
      <c r="I2146" s="15">
        <f t="shared" si="482"/>
        <v>20</v>
      </c>
      <c r="J2146" s="15">
        <f t="shared" si="489"/>
        <v>14.5505575</v>
      </c>
      <c r="K2146" s="15">
        <f>MIN(J2146+G2146,(J2146+G2146)*'Hoja 4 - Cálculo'!$B$15)</f>
        <v>0.53389865000000003</v>
      </c>
      <c r="L2146" s="15">
        <f t="shared" si="483"/>
        <v>26.161033849999999</v>
      </c>
      <c r="M2146" s="15">
        <f t="shared" si="484"/>
        <v>20</v>
      </c>
      <c r="N2146" s="15">
        <f t="shared" si="485"/>
        <v>6.161033849999999</v>
      </c>
      <c r="O2146" s="15">
        <f t="shared" si="486"/>
        <v>0</v>
      </c>
      <c r="P2146" s="15">
        <f t="shared" si="487"/>
        <v>0</v>
      </c>
      <c r="Q2146" s="14" t="str">
        <f>IF(M2146&gt;=I2146*'Hoja 4 - Cálculo'!$B$16,"Satisfactorio","Falla")</f>
        <v>Satisfactorio</v>
      </c>
      <c r="R2146" s="14">
        <f t="shared" si="490"/>
        <v>0</v>
      </c>
      <c r="S2146" s="14">
        <f t="shared" si="491"/>
        <v>0</v>
      </c>
    </row>
    <row r="2147" spans="1:19">
      <c r="A2147" s="14" t="str">
        <f t="shared" si="488"/>
        <v>SRY-6-3</v>
      </c>
      <c r="B2147" s="15">
        <f>'Curvas SRY'!$B$13</f>
        <v>15</v>
      </c>
      <c r="C2147" s="15">
        <f>'Curvas SRY'!$E$10</f>
        <v>1.25</v>
      </c>
      <c r="D2147" s="14" t="str">
        <f>'Curvas SRY'!$B$14</f>
        <v>Uso variable</v>
      </c>
      <c r="E2147" s="14">
        <f>104</f>
        <v>104</v>
      </c>
      <c r="F2147" s="21">
        <f>'Hoja 4 - Cálculo'!A128</f>
        <v>32721</v>
      </c>
      <c r="G2147" s="15">
        <f>'Hoja 4 - Cálculo'!H128</f>
        <v>13.04325</v>
      </c>
      <c r="H2147" s="15">
        <f>IF(D2147="Uso único",'Hoja 4 - Cálculo'!I128,IF(D2147="Uso múltiple",AVERAGE('Hoja 4 - Cálculo'!$I$25:$I$384)+AVERAGE('Hoja 4 - Cálculo'!$J$25:$J$384)+AVERAGE('Hoja 4 - Cálculo'!$K$25:$K$384),IF(D2147="Uso prioritario",'Hoja 4 - Cálculo'!I128+'Hoja 4 - Cálculo'!K128,'Hoja 4 - Cálculo'!I128+'Hoja 4 - Cálculo'!J128+'Hoja 4 - Cálculo'!K128)))</f>
        <v>16</v>
      </c>
      <c r="I2147" s="15">
        <f t="shared" si="482"/>
        <v>20</v>
      </c>
      <c r="J2147" s="15">
        <f t="shared" si="489"/>
        <v>6.161033849999999</v>
      </c>
      <c r="K2147" s="15">
        <f>MIN(J2147+G2147,(J2147+G2147)*'Hoja 4 - Cálculo'!$B$15)</f>
        <v>0.38408567700000001</v>
      </c>
      <c r="L2147" s="15">
        <f t="shared" si="483"/>
        <v>18.820198172999998</v>
      </c>
      <c r="M2147" s="15">
        <f t="shared" si="484"/>
        <v>18.820198172999998</v>
      </c>
      <c r="N2147" s="15">
        <f t="shared" si="485"/>
        <v>0</v>
      </c>
      <c r="O2147" s="15">
        <f t="shared" si="486"/>
        <v>0</v>
      </c>
      <c r="P2147" s="15">
        <f t="shared" si="487"/>
        <v>1.1798018270000021</v>
      </c>
      <c r="Q2147" s="14" t="str">
        <f>IF(M2147&gt;=I2147*'Hoja 4 - Cálculo'!$B$16,"Satisfactorio","Falla")</f>
        <v>Falla</v>
      </c>
      <c r="R2147" s="14">
        <f t="shared" si="490"/>
        <v>0</v>
      </c>
      <c r="S2147" s="14">
        <f t="shared" si="491"/>
        <v>1</v>
      </c>
    </row>
    <row r="2148" spans="1:19">
      <c r="A2148" s="14" t="str">
        <f t="shared" si="488"/>
        <v>SRY-6-3</v>
      </c>
      <c r="B2148" s="15">
        <f>'Curvas SRY'!$B$13</f>
        <v>15</v>
      </c>
      <c r="C2148" s="15">
        <f>'Curvas SRY'!$E$10</f>
        <v>1.25</v>
      </c>
      <c r="D2148" s="14" t="str">
        <f>'Curvas SRY'!$B$14</f>
        <v>Uso variable</v>
      </c>
      <c r="E2148" s="14">
        <f>105</f>
        <v>105</v>
      </c>
      <c r="F2148" s="21">
        <f>'Hoja 4 - Cálculo'!A129</f>
        <v>32752</v>
      </c>
      <c r="G2148" s="15">
        <f>'Hoja 4 - Cálculo'!H129</f>
        <v>20.444624999999998</v>
      </c>
      <c r="H2148" s="15">
        <f>IF(D2148="Uso único",'Hoja 4 - Cálculo'!I129,IF(D2148="Uso múltiple",AVERAGE('Hoja 4 - Cálculo'!$I$25:$I$384)+AVERAGE('Hoja 4 - Cálculo'!$J$25:$J$384)+AVERAGE('Hoja 4 - Cálculo'!$K$25:$K$384),IF(D2148="Uso prioritario",'Hoja 4 - Cálculo'!I129+'Hoja 4 - Cálculo'!K129,'Hoja 4 - Cálculo'!I129+'Hoja 4 - Cálculo'!J129+'Hoja 4 - Cálculo'!K129)))</f>
        <v>11.5</v>
      </c>
      <c r="I2148" s="15">
        <f t="shared" si="482"/>
        <v>14.375</v>
      </c>
      <c r="J2148" s="15">
        <f t="shared" si="489"/>
        <v>0</v>
      </c>
      <c r="K2148" s="15">
        <f>MIN(J2148+G2148,(J2148+G2148)*'Hoja 4 - Cálculo'!$B$15)</f>
        <v>0.40889249999999999</v>
      </c>
      <c r="L2148" s="15">
        <f t="shared" si="483"/>
        <v>20.035732499999998</v>
      </c>
      <c r="M2148" s="15">
        <f t="shared" si="484"/>
        <v>14.375</v>
      </c>
      <c r="N2148" s="15">
        <f t="shared" si="485"/>
        <v>5.6607324999999982</v>
      </c>
      <c r="O2148" s="15">
        <f t="shared" si="486"/>
        <v>0</v>
      </c>
      <c r="P2148" s="15">
        <f t="shared" si="487"/>
        <v>0</v>
      </c>
      <c r="Q2148" s="14" t="str">
        <f>IF(M2148&gt;=I2148*'Hoja 4 - Cálculo'!$B$16,"Satisfactorio","Falla")</f>
        <v>Satisfactorio</v>
      </c>
      <c r="R2148" s="14">
        <f t="shared" si="490"/>
        <v>1</v>
      </c>
      <c r="S2148" s="14">
        <f t="shared" si="491"/>
        <v>0</v>
      </c>
    </row>
    <row r="2149" spans="1:19">
      <c r="A2149" s="14" t="str">
        <f t="shared" si="488"/>
        <v>SRY-6-3</v>
      </c>
      <c r="B2149" s="15">
        <f>'Curvas SRY'!$B$13</f>
        <v>15</v>
      </c>
      <c r="C2149" s="15">
        <f>'Curvas SRY'!$E$10</f>
        <v>1.25</v>
      </c>
      <c r="D2149" s="14" t="str">
        <f>'Curvas SRY'!$B$14</f>
        <v>Uso variable</v>
      </c>
      <c r="E2149" s="14">
        <f>106</f>
        <v>106</v>
      </c>
      <c r="F2149" s="21">
        <f>'Hoja 4 - Cálculo'!A130</f>
        <v>32782</v>
      </c>
      <c r="G2149" s="15">
        <f>'Hoja 4 - Cálculo'!H130</f>
        <v>28.343250000000001</v>
      </c>
      <c r="H2149" s="15">
        <f>IF(D2149="Uso único",'Hoja 4 - Cálculo'!I130,IF(D2149="Uso múltiple",AVERAGE('Hoja 4 - Cálculo'!$I$25:$I$384)+AVERAGE('Hoja 4 - Cálculo'!$J$25:$J$384)+AVERAGE('Hoja 4 - Cálculo'!$K$25:$K$384),IF(D2149="Uso prioritario",'Hoja 4 - Cálculo'!I130+'Hoja 4 - Cálculo'!K130,'Hoja 4 - Cálculo'!I130+'Hoja 4 - Cálculo'!J130+'Hoja 4 - Cálculo'!K130)))</f>
        <v>11.5</v>
      </c>
      <c r="I2149" s="15">
        <f t="shared" si="482"/>
        <v>14.375</v>
      </c>
      <c r="J2149" s="15">
        <f t="shared" si="489"/>
        <v>5.6607324999999982</v>
      </c>
      <c r="K2149" s="15">
        <f>MIN(J2149+G2149,(J2149+G2149)*'Hoja 4 - Cálculo'!$B$15)</f>
        <v>0.68007965000000004</v>
      </c>
      <c r="L2149" s="15">
        <f t="shared" si="483"/>
        <v>33.323902849999996</v>
      </c>
      <c r="M2149" s="15">
        <f t="shared" si="484"/>
        <v>14.375</v>
      </c>
      <c r="N2149" s="15">
        <f t="shared" si="485"/>
        <v>15</v>
      </c>
      <c r="O2149" s="15">
        <f t="shared" si="486"/>
        <v>3.9489028499999961</v>
      </c>
      <c r="P2149" s="15">
        <f t="shared" si="487"/>
        <v>0</v>
      </c>
      <c r="Q2149" s="14" t="str">
        <f>IF(M2149&gt;=I2149*'Hoja 4 - Cálculo'!$B$16,"Satisfactorio","Falla")</f>
        <v>Satisfactorio</v>
      </c>
      <c r="R2149" s="14">
        <f t="shared" si="490"/>
        <v>0</v>
      </c>
      <c r="S2149" s="14">
        <f t="shared" si="491"/>
        <v>0</v>
      </c>
    </row>
    <row r="2150" spans="1:19">
      <c r="A2150" s="14" t="str">
        <f t="shared" si="488"/>
        <v>SRY-6-3</v>
      </c>
      <c r="B2150" s="15">
        <f>'Curvas SRY'!$B$13</f>
        <v>15</v>
      </c>
      <c r="C2150" s="15">
        <f>'Curvas SRY'!$E$10</f>
        <v>1.25</v>
      </c>
      <c r="D2150" s="14" t="str">
        <f>'Curvas SRY'!$B$14</f>
        <v>Uso variable</v>
      </c>
      <c r="E2150" s="14">
        <f>107</f>
        <v>107</v>
      </c>
      <c r="F2150" s="21">
        <f>'Hoja 4 - Cálculo'!A131</f>
        <v>32813</v>
      </c>
      <c r="G2150" s="15">
        <f>'Hoja 4 - Cálculo'!H131</f>
        <v>22.60575</v>
      </c>
      <c r="H2150" s="15">
        <f>IF(D2150="Uso único",'Hoja 4 - Cálculo'!I131,IF(D2150="Uso múltiple",AVERAGE('Hoja 4 - Cálculo'!$I$25:$I$384)+AVERAGE('Hoja 4 - Cálculo'!$J$25:$J$384)+AVERAGE('Hoja 4 - Cálculo'!$K$25:$K$384),IF(D2150="Uso prioritario",'Hoja 4 - Cálculo'!I131+'Hoja 4 - Cálculo'!K131,'Hoja 4 - Cálculo'!I131+'Hoja 4 - Cálculo'!J131+'Hoja 4 - Cálculo'!K131)))</f>
        <v>11.5</v>
      </c>
      <c r="I2150" s="15">
        <f t="shared" si="482"/>
        <v>14.375</v>
      </c>
      <c r="J2150" s="15">
        <f t="shared" si="489"/>
        <v>15</v>
      </c>
      <c r="K2150" s="15">
        <f>MIN(J2150+G2150,(J2150+G2150)*'Hoja 4 - Cálculo'!$B$15)</f>
        <v>0.75211499999999998</v>
      </c>
      <c r="L2150" s="15">
        <f t="shared" si="483"/>
        <v>36.853634999999997</v>
      </c>
      <c r="M2150" s="15">
        <f t="shared" si="484"/>
        <v>14.375</v>
      </c>
      <c r="N2150" s="15">
        <f t="shared" si="485"/>
        <v>15</v>
      </c>
      <c r="O2150" s="15">
        <f t="shared" si="486"/>
        <v>7.478634999999997</v>
      </c>
      <c r="P2150" s="15">
        <f t="shared" si="487"/>
        <v>0</v>
      </c>
      <c r="Q2150" s="14" t="str">
        <f>IF(M2150&gt;=I2150*'Hoja 4 - Cálculo'!$B$16,"Satisfactorio","Falla")</f>
        <v>Satisfactorio</v>
      </c>
      <c r="R2150" s="14">
        <f t="shared" si="490"/>
        <v>0</v>
      </c>
      <c r="S2150" s="14">
        <f t="shared" si="491"/>
        <v>0</v>
      </c>
    </row>
    <row r="2151" spans="1:19">
      <c r="A2151" s="14" t="str">
        <f t="shared" si="488"/>
        <v>SRY-6-3</v>
      </c>
      <c r="B2151" s="15">
        <f>'Curvas SRY'!$B$13</f>
        <v>15</v>
      </c>
      <c r="C2151" s="15">
        <f>'Curvas SRY'!$E$10</f>
        <v>1.25</v>
      </c>
      <c r="D2151" s="14" t="str">
        <f>'Curvas SRY'!$B$14</f>
        <v>Uso variable</v>
      </c>
      <c r="E2151" s="14">
        <f>108</f>
        <v>108</v>
      </c>
      <c r="F2151" s="21">
        <f>'Hoja 4 - Cálculo'!A132</f>
        <v>32843</v>
      </c>
      <c r="G2151" s="15">
        <f>'Hoja 4 - Cálculo'!H132</f>
        <v>14.362875000000001</v>
      </c>
      <c r="H2151" s="15">
        <f>IF(D2151="Uso único",'Hoja 4 - Cálculo'!I132,IF(D2151="Uso múltiple",AVERAGE('Hoja 4 - Cálculo'!$I$25:$I$384)+AVERAGE('Hoja 4 - Cálculo'!$J$25:$J$384)+AVERAGE('Hoja 4 - Cálculo'!$K$25:$K$384),IF(D2151="Uso prioritario",'Hoja 4 - Cálculo'!I132+'Hoja 4 - Cálculo'!K132,'Hoja 4 - Cálculo'!I132+'Hoja 4 - Cálculo'!J132+'Hoja 4 - Cálculo'!K132)))</f>
        <v>16</v>
      </c>
      <c r="I2151" s="15">
        <f t="shared" si="482"/>
        <v>20</v>
      </c>
      <c r="J2151" s="15">
        <f t="shared" si="489"/>
        <v>15</v>
      </c>
      <c r="K2151" s="15">
        <f>MIN(J2151+G2151,(J2151+G2151)*'Hoja 4 - Cálculo'!$B$15)</f>
        <v>0.5872575000000001</v>
      </c>
      <c r="L2151" s="15">
        <f t="shared" si="483"/>
        <v>28.775617500000003</v>
      </c>
      <c r="M2151" s="15">
        <f t="shared" si="484"/>
        <v>20</v>
      </c>
      <c r="N2151" s="15">
        <f t="shared" si="485"/>
        <v>8.7756175000000027</v>
      </c>
      <c r="O2151" s="15">
        <f t="shared" si="486"/>
        <v>0</v>
      </c>
      <c r="P2151" s="15">
        <f t="shared" si="487"/>
        <v>0</v>
      </c>
      <c r="Q2151" s="14" t="str">
        <f>IF(M2151&gt;=I2151*'Hoja 4 - Cálculo'!$B$16,"Satisfactorio","Falla")</f>
        <v>Satisfactorio</v>
      </c>
      <c r="R2151" s="14">
        <f t="shared" si="490"/>
        <v>0</v>
      </c>
      <c r="S2151" s="14">
        <f t="shared" si="491"/>
        <v>0</v>
      </c>
    </row>
    <row r="2152" spans="1:19">
      <c r="A2152" s="14" t="str">
        <f t="shared" si="488"/>
        <v>SRY-6-3</v>
      </c>
      <c r="B2152" s="15">
        <f>'Curvas SRY'!$B$13</f>
        <v>15</v>
      </c>
      <c r="C2152" s="15">
        <f>'Curvas SRY'!$E$10</f>
        <v>1.25</v>
      </c>
      <c r="D2152" s="14" t="str">
        <f>'Curvas SRY'!$B$14</f>
        <v>Uso variable</v>
      </c>
      <c r="E2152" s="14">
        <f>109</f>
        <v>109</v>
      </c>
      <c r="F2152" s="21">
        <f>'Hoja 4 - Cálculo'!A133</f>
        <v>32874</v>
      </c>
      <c r="G2152" s="15">
        <f>'Hoja 4 - Cálculo'!H133</f>
        <v>11.723625</v>
      </c>
      <c r="H2152" s="15">
        <f>IF(D2152="Uso único",'Hoja 4 - Cálculo'!I133,IF(D2152="Uso múltiple",AVERAGE('Hoja 4 - Cálculo'!$I$25:$I$384)+AVERAGE('Hoja 4 - Cálculo'!$J$25:$J$384)+AVERAGE('Hoja 4 - Cálculo'!$K$25:$K$384),IF(D2152="Uso prioritario",'Hoja 4 - Cálculo'!I133+'Hoja 4 - Cálculo'!K133,'Hoja 4 - Cálculo'!I133+'Hoja 4 - Cálculo'!J133+'Hoja 4 - Cálculo'!K133)))</f>
        <v>16</v>
      </c>
      <c r="I2152" s="15">
        <f t="shared" si="482"/>
        <v>20</v>
      </c>
      <c r="J2152" s="15">
        <f t="shared" si="489"/>
        <v>8.7756175000000027</v>
      </c>
      <c r="K2152" s="15">
        <f>MIN(J2152+G2152,(J2152+G2152)*'Hoja 4 - Cálculo'!$B$15)</f>
        <v>0.40998485000000001</v>
      </c>
      <c r="L2152" s="15">
        <f t="shared" si="483"/>
        <v>20.08925765</v>
      </c>
      <c r="M2152" s="15">
        <f t="shared" si="484"/>
        <v>20</v>
      </c>
      <c r="N2152" s="15">
        <f t="shared" si="485"/>
        <v>8.925765000000041E-2</v>
      </c>
      <c r="O2152" s="15">
        <f t="shared" si="486"/>
        <v>0</v>
      </c>
      <c r="P2152" s="15">
        <f t="shared" si="487"/>
        <v>0</v>
      </c>
      <c r="Q2152" s="14" t="str">
        <f>IF(M2152&gt;=I2152*'Hoja 4 - Cálculo'!$B$16,"Satisfactorio","Falla")</f>
        <v>Satisfactorio</v>
      </c>
      <c r="R2152" s="14">
        <f t="shared" si="490"/>
        <v>0</v>
      </c>
      <c r="S2152" s="14">
        <f t="shared" si="491"/>
        <v>0</v>
      </c>
    </row>
    <row r="2153" spans="1:19">
      <c r="A2153" s="14" t="str">
        <f t="shared" si="488"/>
        <v>SRY-6-3</v>
      </c>
      <c r="B2153" s="15">
        <f>'Curvas SRY'!$B$13</f>
        <v>15</v>
      </c>
      <c r="C2153" s="15">
        <f>'Curvas SRY'!$E$10</f>
        <v>1.25</v>
      </c>
      <c r="D2153" s="14" t="str">
        <f>'Curvas SRY'!$B$14</f>
        <v>Uso variable</v>
      </c>
      <c r="E2153" s="14">
        <f>110</f>
        <v>110</v>
      </c>
      <c r="F2153" s="21">
        <f>'Hoja 4 - Cálculo'!A134</f>
        <v>32905</v>
      </c>
      <c r="G2153" s="15">
        <f>'Hoja 4 - Cálculo'!H134</f>
        <v>13.311</v>
      </c>
      <c r="H2153" s="15">
        <f>IF(D2153="Uso único",'Hoja 4 - Cálculo'!I134,IF(D2153="Uso múltiple",AVERAGE('Hoja 4 - Cálculo'!$I$25:$I$384)+AVERAGE('Hoja 4 - Cálculo'!$J$25:$J$384)+AVERAGE('Hoja 4 - Cálculo'!$K$25:$K$384),IF(D2153="Uso prioritario",'Hoja 4 - Cálculo'!I134+'Hoja 4 - Cálculo'!K134,'Hoja 4 - Cálculo'!I134+'Hoja 4 - Cálculo'!J134+'Hoja 4 - Cálculo'!K134)))</f>
        <v>16</v>
      </c>
      <c r="I2153" s="15">
        <f t="shared" si="482"/>
        <v>20</v>
      </c>
      <c r="J2153" s="15">
        <f t="shared" si="489"/>
        <v>8.925765000000041E-2</v>
      </c>
      <c r="K2153" s="15">
        <f>MIN(J2153+G2153,(J2153+G2153)*'Hoja 4 - Cálculo'!$B$15)</f>
        <v>0.268005153</v>
      </c>
      <c r="L2153" s="15">
        <f t="shared" si="483"/>
        <v>13.132252497</v>
      </c>
      <c r="M2153" s="15">
        <f t="shared" si="484"/>
        <v>13.132252497</v>
      </c>
      <c r="N2153" s="15">
        <f t="shared" si="485"/>
        <v>0</v>
      </c>
      <c r="O2153" s="15">
        <f t="shared" si="486"/>
        <v>0</v>
      </c>
      <c r="P2153" s="15">
        <f t="shared" si="487"/>
        <v>6.8677475030000004</v>
      </c>
      <c r="Q2153" s="14" t="str">
        <f>IF(M2153&gt;=I2153*'Hoja 4 - Cálculo'!$B$16,"Satisfactorio","Falla")</f>
        <v>Falla</v>
      </c>
      <c r="R2153" s="14">
        <f t="shared" si="490"/>
        <v>0</v>
      </c>
      <c r="S2153" s="14">
        <f t="shared" si="491"/>
        <v>1</v>
      </c>
    </row>
    <row r="2154" spans="1:19">
      <c r="A2154" s="14" t="str">
        <f t="shared" si="488"/>
        <v>SRY-6-3</v>
      </c>
      <c r="B2154" s="15">
        <f>'Curvas SRY'!$B$13</f>
        <v>15</v>
      </c>
      <c r="C2154" s="15">
        <f>'Curvas SRY'!$E$10</f>
        <v>1.25</v>
      </c>
      <c r="D2154" s="14" t="str">
        <f>'Curvas SRY'!$B$14</f>
        <v>Uso variable</v>
      </c>
      <c r="E2154" s="14">
        <f>111</f>
        <v>111</v>
      </c>
      <c r="F2154" s="21">
        <f>'Hoja 4 - Cálculo'!A135</f>
        <v>32933</v>
      </c>
      <c r="G2154" s="15">
        <f>'Hoja 4 - Cálculo'!H135</f>
        <v>18.838125000000002</v>
      </c>
      <c r="H2154" s="15">
        <f>IF(D2154="Uso único",'Hoja 4 - Cálculo'!I135,IF(D2154="Uso múltiple",AVERAGE('Hoja 4 - Cálculo'!$I$25:$I$384)+AVERAGE('Hoja 4 - Cálculo'!$J$25:$J$384)+AVERAGE('Hoja 4 - Cálculo'!$K$25:$K$384),IF(D2154="Uso prioritario",'Hoja 4 - Cálculo'!I135+'Hoja 4 - Cálculo'!K135,'Hoja 4 - Cálculo'!I135+'Hoja 4 - Cálculo'!J135+'Hoja 4 - Cálculo'!K135)))</f>
        <v>16</v>
      </c>
      <c r="I2154" s="15">
        <f t="shared" si="482"/>
        <v>20</v>
      </c>
      <c r="J2154" s="15">
        <f t="shared" si="489"/>
        <v>0</v>
      </c>
      <c r="K2154" s="15">
        <f>MIN(J2154+G2154,(J2154+G2154)*'Hoja 4 - Cálculo'!$B$15)</f>
        <v>0.37676250000000006</v>
      </c>
      <c r="L2154" s="15">
        <f t="shared" si="483"/>
        <v>18.4613625</v>
      </c>
      <c r="M2154" s="15">
        <f t="shared" si="484"/>
        <v>18.4613625</v>
      </c>
      <c r="N2154" s="15">
        <f t="shared" si="485"/>
        <v>0</v>
      </c>
      <c r="O2154" s="15">
        <f t="shared" si="486"/>
        <v>0</v>
      </c>
      <c r="P2154" s="15">
        <f t="shared" si="487"/>
        <v>1.5386375000000001</v>
      </c>
      <c r="Q2154" s="14" t="str">
        <f>IF(M2154&gt;=I2154*'Hoja 4 - Cálculo'!$B$16,"Satisfactorio","Falla")</f>
        <v>Falla</v>
      </c>
      <c r="R2154" s="14">
        <f t="shared" si="490"/>
        <v>0</v>
      </c>
      <c r="S2154" s="14">
        <f t="shared" si="491"/>
        <v>0</v>
      </c>
    </row>
    <row r="2155" spans="1:19">
      <c r="A2155" s="14" t="str">
        <f t="shared" si="488"/>
        <v>SRY-6-3</v>
      </c>
      <c r="B2155" s="15">
        <f>'Curvas SRY'!$B$13</f>
        <v>15</v>
      </c>
      <c r="C2155" s="15">
        <f>'Curvas SRY'!$E$10</f>
        <v>1.25</v>
      </c>
      <c r="D2155" s="14" t="str">
        <f>'Curvas SRY'!$B$14</f>
        <v>Uso variable</v>
      </c>
      <c r="E2155" s="14">
        <f>112</f>
        <v>112</v>
      </c>
      <c r="F2155" s="21">
        <f>'Hoja 4 - Cálculo'!A136</f>
        <v>32964</v>
      </c>
      <c r="G2155" s="15">
        <f>'Hoja 4 - Cálculo'!H136</f>
        <v>28.611000000000001</v>
      </c>
      <c r="H2155" s="15">
        <f>IF(D2155="Uso único",'Hoja 4 - Cálculo'!I136,IF(D2155="Uso múltiple",AVERAGE('Hoja 4 - Cálculo'!$I$25:$I$384)+AVERAGE('Hoja 4 - Cálculo'!$J$25:$J$384)+AVERAGE('Hoja 4 - Cálculo'!$K$25:$K$384),IF(D2155="Uso prioritario",'Hoja 4 - Cálculo'!I136+'Hoja 4 - Cálculo'!K136,'Hoja 4 - Cálculo'!I136+'Hoja 4 - Cálculo'!J136+'Hoja 4 - Cálculo'!K136)))</f>
        <v>11.5</v>
      </c>
      <c r="I2155" s="15">
        <f t="shared" si="482"/>
        <v>14.375</v>
      </c>
      <c r="J2155" s="15">
        <f t="shared" si="489"/>
        <v>0</v>
      </c>
      <c r="K2155" s="15">
        <f>MIN(J2155+G2155,(J2155+G2155)*'Hoja 4 - Cálculo'!$B$15)</f>
        <v>0.57222000000000006</v>
      </c>
      <c r="L2155" s="15">
        <f t="shared" si="483"/>
        <v>28.038779999999999</v>
      </c>
      <c r="M2155" s="15">
        <f t="shared" si="484"/>
        <v>14.375</v>
      </c>
      <c r="N2155" s="15">
        <f t="shared" si="485"/>
        <v>13.663779999999999</v>
      </c>
      <c r="O2155" s="15">
        <f t="shared" si="486"/>
        <v>0</v>
      </c>
      <c r="P2155" s="15">
        <f t="shared" si="487"/>
        <v>0</v>
      </c>
      <c r="Q2155" s="14" t="str">
        <f>IF(M2155&gt;=I2155*'Hoja 4 - Cálculo'!$B$16,"Satisfactorio","Falla")</f>
        <v>Satisfactorio</v>
      </c>
      <c r="R2155" s="14">
        <f t="shared" si="490"/>
        <v>1</v>
      </c>
      <c r="S2155" s="14">
        <f t="shared" si="491"/>
        <v>0</v>
      </c>
    </row>
    <row r="2156" spans="1:19">
      <c r="A2156" s="14" t="str">
        <f t="shared" si="488"/>
        <v>SRY-6-3</v>
      </c>
      <c r="B2156" s="15">
        <f>'Curvas SRY'!$B$13</f>
        <v>15</v>
      </c>
      <c r="C2156" s="15">
        <f>'Curvas SRY'!$E$10</f>
        <v>1.25</v>
      </c>
      <c r="D2156" s="14" t="str">
        <f>'Curvas SRY'!$B$14</f>
        <v>Uso variable</v>
      </c>
      <c r="E2156" s="14">
        <f>113</f>
        <v>113</v>
      </c>
      <c r="F2156" s="21">
        <f>'Hoja 4 - Cálculo'!A137</f>
        <v>32994</v>
      </c>
      <c r="G2156" s="15">
        <f>'Hoja 4 - Cálculo'!H137</f>
        <v>23.52375</v>
      </c>
      <c r="H2156" s="15">
        <f>IF(D2156="Uso único",'Hoja 4 - Cálculo'!I137,IF(D2156="Uso múltiple",AVERAGE('Hoja 4 - Cálculo'!$I$25:$I$384)+AVERAGE('Hoja 4 - Cálculo'!$J$25:$J$384)+AVERAGE('Hoja 4 - Cálculo'!$K$25:$K$384),IF(D2156="Uso prioritario",'Hoja 4 - Cálculo'!I137+'Hoja 4 - Cálculo'!K137,'Hoja 4 - Cálculo'!I137+'Hoja 4 - Cálculo'!J137+'Hoja 4 - Cálculo'!K137)))</f>
        <v>11.5</v>
      </c>
      <c r="I2156" s="15">
        <f t="shared" si="482"/>
        <v>14.375</v>
      </c>
      <c r="J2156" s="15">
        <f t="shared" si="489"/>
        <v>13.663779999999999</v>
      </c>
      <c r="K2156" s="15">
        <f>MIN(J2156+G2156,(J2156+G2156)*'Hoja 4 - Cálculo'!$B$15)</f>
        <v>0.74375059999999993</v>
      </c>
      <c r="L2156" s="15">
        <f t="shared" si="483"/>
        <v>36.443779399999997</v>
      </c>
      <c r="M2156" s="15">
        <f t="shared" si="484"/>
        <v>14.375</v>
      </c>
      <c r="N2156" s="15">
        <f t="shared" si="485"/>
        <v>15</v>
      </c>
      <c r="O2156" s="15">
        <f t="shared" si="486"/>
        <v>7.0687793999999968</v>
      </c>
      <c r="P2156" s="15">
        <f t="shared" si="487"/>
        <v>0</v>
      </c>
      <c r="Q2156" s="14" t="str">
        <f>IF(M2156&gt;=I2156*'Hoja 4 - Cálculo'!$B$16,"Satisfactorio","Falla")</f>
        <v>Satisfactorio</v>
      </c>
      <c r="R2156" s="14">
        <f t="shared" si="490"/>
        <v>0</v>
      </c>
      <c r="S2156" s="14">
        <f t="shared" si="491"/>
        <v>0</v>
      </c>
    </row>
    <row r="2157" spans="1:19">
      <c r="A2157" s="14" t="str">
        <f t="shared" si="488"/>
        <v>SRY-6-3</v>
      </c>
      <c r="B2157" s="15">
        <f>'Curvas SRY'!$B$13</f>
        <v>15</v>
      </c>
      <c r="C2157" s="15">
        <f>'Curvas SRY'!$E$10</f>
        <v>1.25</v>
      </c>
      <c r="D2157" s="14" t="str">
        <f>'Curvas SRY'!$B$14</f>
        <v>Uso variable</v>
      </c>
      <c r="E2157" s="14">
        <f>114</f>
        <v>114</v>
      </c>
      <c r="F2157" s="21">
        <f>'Hoja 4 - Cálculo'!A138</f>
        <v>33025</v>
      </c>
      <c r="G2157" s="15">
        <f>'Hoja 4 - Cálculo'!H138</f>
        <v>15.529500000000001</v>
      </c>
      <c r="H2157" s="15">
        <f>IF(D2157="Uso único",'Hoja 4 - Cálculo'!I138,IF(D2157="Uso múltiple",AVERAGE('Hoja 4 - Cálculo'!$I$25:$I$384)+AVERAGE('Hoja 4 - Cálculo'!$J$25:$J$384)+AVERAGE('Hoja 4 - Cálculo'!$K$25:$K$384),IF(D2157="Uso prioritario",'Hoja 4 - Cálculo'!I138+'Hoja 4 - Cálculo'!K138,'Hoja 4 - Cálculo'!I138+'Hoja 4 - Cálculo'!J138+'Hoja 4 - Cálculo'!K138)))</f>
        <v>11.5</v>
      </c>
      <c r="I2157" s="15">
        <f t="shared" si="482"/>
        <v>14.375</v>
      </c>
      <c r="J2157" s="15">
        <f t="shared" si="489"/>
        <v>15</v>
      </c>
      <c r="K2157" s="15">
        <f>MIN(J2157+G2157,(J2157+G2157)*'Hoja 4 - Cálculo'!$B$15)</f>
        <v>0.61058999999999997</v>
      </c>
      <c r="L2157" s="15">
        <f t="shared" si="483"/>
        <v>29.91891</v>
      </c>
      <c r="M2157" s="15">
        <f t="shared" si="484"/>
        <v>14.375</v>
      </c>
      <c r="N2157" s="15">
        <f t="shared" si="485"/>
        <v>15</v>
      </c>
      <c r="O2157" s="15">
        <f t="shared" si="486"/>
        <v>0.54391000000000034</v>
      </c>
      <c r="P2157" s="15">
        <f t="shared" si="487"/>
        <v>0</v>
      </c>
      <c r="Q2157" s="14" t="str">
        <f>IF(M2157&gt;=I2157*'Hoja 4 - Cálculo'!$B$16,"Satisfactorio","Falla")</f>
        <v>Satisfactorio</v>
      </c>
      <c r="R2157" s="14">
        <f t="shared" si="490"/>
        <v>0</v>
      </c>
      <c r="S2157" s="14">
        <f t="shared" si="491"/>
        <v>0</v>
      </c>
    </row>
    <row r="2158" spans="1:19">
      <c r="A2158" s="14" t="str">
        <f t="shared" si="488"/>
        <v>SRY-6-3</v>
      </c>
      <c r="B2158" s="15">
        <f>'Curvas SRY'!$B$13</f>
        <v>15</v>
      </c>
      <c r="C2158" s="15">
        <f>'Curvas SRY'!$E$10</f>
        <v>1.25</v>
      </c>
      <c r="D2158" s="14" t="str">
        <f>'Curvas SRY'!$B$14</f>
        <v>Uso variable</v>
      </c>
      <c r="E2158" s="14">
        <f>115</f>
        <v>115</v>
      </c>
      <c r="F2158" s="21">
        <f>'Hoja 4 - Cálculo'!A139</f>
        <v>33055</v>
      </c>
      <c r="G2158" s="15">
        <f>'Hoja 4 - Cálculo'!H139</f>
        <v>12.201750000000001</v>
      </c>
      <c r="H2158" s="15">
        <f>IF(D2158="Uso único",'Hoja 4 - Cálculo'!I139,IF(D2158="Uso múltiple",AVERAGE('Hoja 4 - Cálculo'!$I$25:$I$384)+AVERAGE('Hoja 4 - Cálculo'!$J$25:$J$384)+AVERAGE('Hoja 4 - Cálculo'!$K$25:$K$384),IF(D2158="Uso prioritario",'Hoja 4 - Cálculo'!I139+'Hoja 4 - Cálculo'!K139,'Hoja 4 - Cálculo'!I139+'Hoja 4 - Cálculo'!J139+'Hoja 4 - Cálculo'!K139)))</f>
        <v>16</v>
      </c>
      <c r="I2158" s="15">
        <f t="shared" si="482"/>
        <v>20</v>
      </c>
      <c r="J2158" s="15">
        <f t="shared" si="489"/>
        <v>15</v>
      </c>
      <c r="K2158" s="15">
        <f>MIN(J2158+G2158,(J2158+G2158)*'Hoja 4 - Cálculo'!$B$15)</f>
        <v>0.54403500000000005</v>
      </c>
      <c r="L2158" s="15">
        <f t="shared" si="483"/>
        <v>26.657715</v>
      </c>
      <c r="M2158" s="15">
        <f t="shared" si="484"/>
        <v>20</v>
      </c>
      <c r="N2158" s="15">
        <f t="shared" si="485"/>
        <v>6.6577149999999996</v>
      </c>
      <c r="O2158" s="15">
        <f t="shared" si="486"/>
        <v>0</v>
      </c>
      <c r="P2158" s="15">
        <f t="shared" si="487"/>
        <v>0</v>
      </c>
      <c r="Q2158" s="14" t="str">
        <f>IF(M2158&gt;=I2158*'Hoja 4 - Cálculo'!$B$16,"Satisfactorio","Falla")</f>
        <v>Satisfactorio</v>
      </c>
      <c r="R2158" s="14">
        <f t="shared" si="490"/>
        <v>0</v>
      </c>
      <c r="S2158" s="14">
        <f t="shared" si="491"/>
        <v>0</v>
      </c>
    </row>
    <row r="2159" spans="1:19">
      <c r="A2159" s="14" t="str">
        <f t="shared" si="488"/>
        <v>SRY-6-3</v>
      </c>
      <c r="B2159" s="15">
        <f>'Curvas SRY'!$B$13</f>
        <v>15</v>
      </c>
      <c r="C2159" s="15">
        <f>'Curvas SRY'!$E$10</f>
        <v>1.25</v>
      </c>
      <c r="D2159" s="14" t="str">
        <f>'Curvas SRY'!$B$14</f>
        <v>Uso variable</v>
      </c>
      <c r="E2159" s="14">
        <f>116</f>
        <v>116</v>
      </c>
      <c r="F2159" s="21">
        <f>'Hoja 4 - Cálculo'!A140</f>
        <v>33086</v>
      </c>
      <c r="G2159" s="15">
        <f>'Hoja 4 - Cálculo'!H140</f>
        <v>13.04325</v>
      </c>
      <c r="H2159" s="15">
        <f>IF(D2159="Uso único",'Hoja 4 - Cálculo'!I140,IF(D2159="Uso múltiple",AVERAGE('Hoja 4 - Cálculo'!$I$25:$I$384)+AVERAGE('Hoja 4 - Cálculo'!$J$25:$J$384)+AVERAGE('Hoja 4 - Cálculo'!$K$25:$K$384),IF(D2159="Uso prioritario",'Hoja 4 - Cálculo'!I140+'Hoja 4 - Cálculo'!K140,'Hoja 4 - Cálculo'!I140+'Hoja 4 - Cálculo'!J140+'Hoja 4 - Cálculo'!K140)))</f>
        <v>16</v>
      </c>
      <c r="I2159" s="15">
        <f t="shared" si="482"/>
        <v>20</v>
      </c>
      <c r="J2159" s="15">
        <f t="shared" si="489"/>
        <v>6.6577149999999996</v>
      </c>
      <c r="K2159" s="15">
        <f>MIN(J2159+G2159,(J2159+G2159)*'Hoja 4 - Cálculo'!$B$15)</f>
        <v>0.39401930000000002</v>
      </c>
      <c r="L2159" s="15">
        <f t="shared" si="483"/>
        <v>19.3069457</v>
      </c>
      <c r="M2159" s="15">
        <f t="shared" si="484"/>
        <v>19.3069457</v>
      </c>
      <c r="N2159" s="15">
        <f t="shared" si="485"/>
        <v>0</v>
      </c>
      <c r="O2159" s="15">
        <f t="shared" si="486"/>
        <v>0</v>
      </c>
      <c r="P2159" s="15">
        <f t="shared" si="487"/>
        <v>0.69305430000000001</v>
      </c>
      <c r="Q2159" s="14" t="str">
        <f>IF(M2159&gt;=I2159*'Hoja 4 - Cálculo'!$B$16,"Satisfactorio","Falla")</f>
        <v>Falla</v>
      </c>
      <c r="R2159" s="14">
        <f t="shared" si="490"/>
        <v>0</v>
      </c>
      <c r="S2159" s="14">
        <f t="shared" si="491"/>
        <v>1</v>
      </c>
    </row>
    <row r="2160" spans="1:19">
      <c r="A2160" s="14" t="str">
        <f t="shared" si="488"/>
        <v>SRY-6-3</v>
      </c>
      <c r="B2160" s="15">
        <f>'Curvas SRY'!$B$13</f>
        <v>15</v>
      </c>
      <c r="C2160" s="15">
        <f>'Curvas SRY'!$E$10</f>
        <v>1.25</v>
      </c>
      <c r="D2160" s="14" t="str">
        <f>'Curvas SRY'!$B$14</f>
        <v>Uso variable</v>
      </c>
      <c r="E2160" s="14">
        <f>117</f>
        <v>117</v>
      </c>
      <c r="F2160" s="21">
        <f>'Hoja 4 - Cálculo'!A141</f>
        <v>33117</v>
      </c>
      <c r="G2160" s="15">
        <f>'Hoja 4 - Cálculo'!H141</f>
        <v>21.974625</v>
      </c>
      <c r="H2160" s="15">
        <f>IF(D2160="Uso único",'Hoja 4 - Cálculo'!I141,IF(D2160="Uso múltiple",AVERAGE('Hoja 4 - Cálculo'!$I$25:$I$384)+AVERAGE('Hoja 4 - Cálculo'!$J$25:$J$384)+AVERAGE('Hoja 4 - Cálculo'!$K$25:$K$384),IF(D2160="Uso prioritario",'Hoja 4 - Cálculo'!I141+'Hoja 4 - Cálculo'!K141,'Hoja 4 - Cálculo'!I141+'Hoja 4 - Cálculo'!J141+'Hoja 4 - Cálculo'!K141)))</f>
        <v>11.5</v>
      </c>
      <c r="I2160" s="15">
        <f t="shared" si="482"/>
        <v>14.375</v>
      </c>
      <c r="J2160" s="15">
        <f t="shared" si="489"/>
        <v>0</v>
      </c>
      <c r="K2160" s="15">
        <f>MIN(J2160+G2160,(J2160+G2160)*'Hoja 4 - Cálculo'!$B$15)</f>
        <v>0.43949250000000001</v>
      </c>
      <c r="L2160" s="15">
        <f t="shared" si="483"/>
        <v>21.5351325</v>
      </c>
      <c r="M2160" s="15">
        <f t="shared" si="484"/>
        <v>14.375</v>
      </c>
      <c r="N2160" s="15">
        <f t="shared" si="485"/>
        <v>7.1601324999999996</v>
      </c>
      <c r="O2160" s="15">
        <f t="shared" si="486"/>
        <v>0</v>
      </c>
      <c r="P2160" s="15">
        <f t="shared" si="487"/>
        <v>0</v>
      </c>
      <c r="Q2160" s="14" t="str">
        <f>IF(M2160&gt;=I2160*'Hoja 4 - Cálculo'!$B$16,"Satisfactorio","Falla")</f>
        <v>Satisfactorio</v>
      </c>
      <c r="R2160" s="14">
        <f t="shared" si="490"/>
        <v>1</v>
      </c>
      <c r="S2160" s="14">
        <f t="shared" si="491"/>
        <v>0</v>
      </c>
    </row>
    <row r="2161" spans="1:19">
      <c r="A2161" s="14" t="str">
        <f t="shared" si="488"/>
        <v>SRY-6-3</v>
      </c>
      <c r="B2161" s="15">
        <f>'Curvas SRY'!$B$13</f>
        <v>15</v>
      </c>
      <c r="C2161" s="15">
        <f>'Curvas SRY'!$E$10</f>
        <v>1.25</v>
      </c>
      <c r="D2161" s="14" t="str">
        <f>'Curvas SRY'!$B$14</f>
        <v>Uso variable</v>
      </c>
      <c r="E2161" s="14">
        <f>118</f>
        <v>118</v>
      </c>
      <c r="F2161" s="21">
        <f>'Hoja 4 - Cálculo'!A142</f>
        <v>33147</v>
      </c>
      <c r="G2161" s="15">
        <f>'Hoja 4 - Cálculo'!H142</f>
        <v>26.870625</v>
      </c>
      <c r="H2161" s="15">
        <f>IF(D2161="Uso único",'Hoja 4 - Cálculo'!I142,IF(D2161="Uso múltiple",AVERAGE('Hoja 4 - Cálculo'!$I$25:$I$384)+AVERAGE('Hoja 4 - Cálculo'!$J$25:$J$384)+AVERAGE('Hoja 4 - Cálculo'!$K$25:$K$384),IF(D2161="Uso prioritario",'Hoja 4 - Cálculo'!I142+'Hoja 4 - Cálculo'!K142,'Hoja 4 - Cálculo'!I142+'Hoja 4 - Cálculo'!J142+'Hoja 4 - Cálculo'!K142)))</f>
        <v>11.5</v>
      </c>
      <c r="I2161" s="15">
        <f t="shared" si="482"/>
        <v>14.375</v>
      </c>
      <c r="J2161" s="15">
        <f t="shared" si="489"/>
        <v>7.1601324999999996</v>
      </c>
      <c r="K2161" s="15">
        <f>MIN(J2161+G2161,(J2161+G2161)*'Hoja 4 - Cálculo'!$B$15)</f>
        <v>0.68061515000000006</v>
      </c>
      <c r="L2161" s="15">
        <f t="shared" si="483"/>
        <v>33.350142349999999</v>
      </c>
      <c r="M2161" s="15">
        <f t="shared" si="484"/>
        <v>14.375</v>
      </c>
      <c r="N2161" s="15">
        <f t="shared" si="485"/>
        <v>15</v>
      </c>
      <c r="O2161" s="15">
        <f t="shared" si="486"/>
        <v>3.9751423499999987</v>
      </c>
      <c r="P2161" s="15">
        <f t="shared" si="487"/>
        <v>0</v>
      </c>
      <c r="Q2161" s="14" t="str">
        <f>IF(M2161&gt;=I2161*'Hoja 4 - Cálculo'!$B$16,"Satisfactorio","Falla")</f>
        <v>Satisfactorio</v>
      </c>
      <c r="R2161" s="14">
        <f t="shared" si="490"/>
        <v>0</v>
      </c>
      <c r="S2161" s="14">
        <f t="shared" si="491"/>
        <v>0</v>
      </c>
    </row>
    <row r="2162" spans="1:19">
      <c r="A2162" s="14" t="str">
        <f t="shared" si="488"/>
        <v>SRY-6-3</v>
      </c>
      <c r="B2162" s="15">
        <f>'Curvas SRY'!$B$13</f>
        <v>15</v>
      </c>
      <c r="C2162" s="15">
        <f>'Curvas SRY'!$E$10</f>
        <v>1.25</v>
      </c>
      <c r="D2162" s="14" t="str">
        <f>'Curvas SRY'!$B$14</f>
        <v>Uso variable</v>
      </c>
      <c r="E2162" s="14">
        <f>119</f>
        <v>119</v>
      </c>
      <c r="F2162" s="21">
        <f>'Hoja 4 - Cálculo'!A143</f>
        <v>33178</v>
      </c>
      <c r="G2162" s="15">
        <f>'Hoja 4 - Cálculo'!H143</f>
        <v>24.881625</v>
      </c>
      <c r="H2162" s="15">
        <f>IF(D2162="Uso único",'Hoja 4 - Cálculo'!I143,IF(D2162="Uso múltiple",AVERAGE('Hoja 4 - Cálculo'!$I$25:$I$384)+AVERAGE('Hoja 4 - Cálculo'!$J$25:$J$384)+AVERAGE('Hoja 4 - Cálculo'!$K$25:$K$384),IF(D2162="Uso prioritario",'Hoja 4 - Cálculo'!I143+'Hoja 4 - Cálculo'!K143,'Hoja 4 - Cálculo'!I143+'Hoja 4 - Cálculo'!J143+'Hoja 4 - Cálculo'!K143)))</f>
        <v>11.5</v>
      </c>
      <c r="I2162" s="15">
        <f t="shared" si="482"/>
        <v>14.375</v>
      </c>
      <c r="J2162" s="15">
        <f t="shared" si="489"/>
        <v>15</v>
      </c>
      <c r="K2162" s="15">
        <f>MIN(J2162+G2162,(J2162+G2162)*'Hoja 4 - Cálculo'!$B$15)</f>
        <v>0.79763249999999997</v>
      </c>
      <c r="L2162" s="15">
        <f t="shared" si="483"/>
        <v>39.083992500000001</v>
      </c>
      <c r="M2162" s="15">
        <f t="shared" si="484"/>
        <v>14.375</v>
      </c>
      <c r="N2162" s="15">
        <f t="shared" si="485"/>
        <v>15</v>
      </c>
      <c r="O2162" s="15">
        <f t="shared" si="486"/>
        <v>9.7089925000000008</v>
      </c>
      <c r="P2162" s="15">
        <f t="shared" si="487"/>
        <v>0</v>
      </c>
      <c r="Q2162" s="14" t="str">
        <f>IF(M2162&gt;=I2162*'Hoja 4 - Cálculo'!$B$16,"Satisfactorio","Falla")</f>
        <v>Satisfactorio</v>
      </c>
      <c r="R2162" s="14">
        <f t="shared" si="490"/>
        <v>0</v>
      </c>
      <c r="S2162" s="14">
        <f t="shared" si="491"/>
        <v>0</v>
      </c>
    </row>
    <row r="2163" spans="1:19">
      <c r="A2163" s="14" t="str">
        <f t="shared" si="488"/>
        <v>SRY-6-3</v>
      </c>
      <c r="B2163" s="15">
        <f>'Curvas SRY'!$B$13</f>
        <v>15</v>
      </c>
      <c r="C2163" s="15">
        <f>'Curvas SRY'!$E$10</f>
        <v>1.25</v>
      </c>
      <c r="D2163" s="14" t="str">
        <f>'Curvas SRY'!$B$14</f>
        <v>Uso variable</v>
      </c>
      <c r="E2163" s="14">
        <f>120</f>
        <v>120</v>
      </c>
      <c r="F2163" s="21">
        <f>'Hoja 4 - Cálculo'!A144</f>
        <v>33208</v>
      </c>
      <c r="G2163" s="15">
        <f>'Hoja 4 - Cálculo'!H144</f>
        <v>13.73175</v>
      </c>
      <c r="H2163" s="15">
        <f>IF(D2163="Uso único",'Hoja 4 - Cálculo'!I144,IF(D2163="Uso múltiple",AVERAGE('Hoja 4 - Cálculo'!$I$25:$I$384)+AVERAGE('Hoja 4 - Cálculo'!$J$25:$J$384)+AVERAGE('Hoja 4 - Cálculo'!$K$25:$K$384),IF(D2163="Uso prioritario",'Hoja 4 - Cálculo'!I144+'Hoja 4 - Cálculo'!K144,'Hoja 4 - Cálculo'!I144+'Hoja 4 - Cálculo'!J144+'Hoja 4 - Cálculo'!K144)))</f>
        <v>16</v>
      </c>
      <c r="I2163" s="15">
        <f t="shared" si="482"/>
        <v>20</v>
      </c>
      <c r="J2163" s="15">
        <f t="shared" si="489"/>
        <v>15</v>
      </c>
      <c r="K2163" s="15">
        <f>MIN(J2163+G2163,(J2163+G2163)*'Hoja 4 - Cálculo'!$B$15)</f>
        <v>0.57463500000000001</v>
      </c>
      <c r="L2163" s="15">
        <f t="shared" si="483"/>
        <v>28.157114999999997</v>
      </c>
      <c r="M2163" s="15">
        <f t="shared" si="484"/>
        <v>20</v>
      </c>
      <c r="N2163" s="15">
        <f t="shared" si="485"/>
        <v>8.1571149999999975</v>
      </c>
      <c r="O2163" s="15">
        <f t="shared" si="486"/>
        <v>0</v>
      </c>
      <c r="P2163" s="15">
        <f t="shared" si="487"/>
        <v>0</v>
      </c>
      <c r="Q2163" s="14" t="str">
        <f>IF(M2163&gt;=I2163*'Hoja 4 - Cálculo'!$B$16,"Satisfactorio","Falla")</f>
        <v>Satisfactorio</v>
      </c>
      <c r="R2163" s="14">
        <f t="shared" si="490"/>
        <v>0</v>
      </c>
      <c r="S2163" s="14">
        <f t="shared" si="491"/>
        <v>0</v>
      </c>
    </row>
    <row r="2164" spans="1:19">
      <c r="A2164" s="14" t="str">
        <f t="shared" ref="A2164:A2195" si="492">"CFG-1"</f>
        <v>CFG-1</v>
      </c>
      <c r="B2164" s="15">
        <f>'Curvas SRY'!$E$11</f>
        <v>5</v>
      </c>
      <c r="C2164" s="15">
        <f>1</f>
        <v>1</v>
      </c>
      <c r="D2164" s="14" t="str">
        <f t="shared" ref="D2164:D2195" si="493">"Uso único"</f>
        <v>Uso único</v>
      </c>
      <c r="E2164" s="14">
        <f>1</f>
        <v>1</v>
      </c>
      <c r="F2164" s="21">
        <f>'Hoja 4 - Cálculo'!A25</f>
        <v>29587</v>
      </c>
      <c r="G2164" s="15">
        <f>'Hoja 4 - Cálculo'!H25</f>
        <v>12.852</v>
      </c>
      <c r="H2164" s="15">
        <f>IF(D2164="Uso único",'Hoja 4 - Cálculo'!I25,IF(D2164="Uso múltiple",AVERAGE('Hoja 4 - Cálculo'!$I$25:$I$384)+AVERAGE('Hoja 4 - Cálculo'!$J$25:$J$384)+AVERAGE('Hoja 4 - Cálculo'!$K$25:$K$384),IF(D2164="Uso prioritario",'Hoja 4 - Cálculo'!I25+'Hoja 4 - Cálculo'!K25,'Hoja 4 - Cálculo'!I25+'Hoja 4 - Cálculo'!J25+'Hoja 4 - Cálculo'!K25)))</f>
        <v>8</v>
      </c>
      <c r="I2164" s="15">
        <f t="shared" ref="I2164:I2227" si="494">H2164</f>
        <v>8</v>
      </c>
      <c r="J2164" s="15">
        <f>0</f>
        <v>0</v>
      </c>
      <c r="K2164" s="15">
        <f>MIN(J2164+G2164,(J2164+G2164)*'Hoja 4 - Cálculo'!$B$15)</f>
        <v>0.25703999999999999</v>
      </c>
      <c r="L2164" s="15">
        <f t="shared" si="483"/>
        <v>12.59496</v>
      </c>
      <c r="M2164" s="15">
        <f t="shared" si="484"/>
        <v>8</v>
      </c>
      <c r="N2164" s="15">
        <f t="shared" si="485"/>
        <v>4.5949600000000004</v>
      </c>
      <c r="O2164" s="15">
        <f t="shared" si="486"/>
        <v>0</v>
      </c>
      <c r="P2164" s="15">
        <f t="shared" si="487"/>
        <v>0</v>
      </c>
      <c r="Q2164" s="14" t="str">
        <f>IF(M2164&gt;=I2164*'Hoja 4 - Cálculo'!$B$16,"Satisfactorio","Falla")</f>
        <v>Satisfactorio</v>
      </c>
      <c r="R2164" s="14">
        <f>0</f>
        <v>0</v>
      </c>
      <c r="S2164" s="14">
        <f>IF(Q2164="Falla",1,0)</f>
        <v>0</v>
      </c>
    </row>
    <row r="2165" spans="1:19">
      <c r="A2165" s="14" t="str">
        <f t="shared" si="492"/>
        <v>CFG-1</v>
      </c>
      <c r="B2165" s="15">
        <f>'Curvas SRY'!$E$11</f>
        <v>5</v>
      </c>
      <c r="C2165" s="15">
        <f>1</f>
        <v>1</v>
      </c>
      <c r="D2165" s="14" t="str">
        <f t="shared" si="493"/>
        <v>Uso único</v>
      </c>
      <c r="E2165" s="14">
        <f>2</f>
        <v>2</v>
      </c>
      <c r="F2165" s="21">
        <f>'Hoja 4 - Cálculo'!A26</f>
        <v>29618</v>
      </c>
      <c r="G2165" s="15">
        <f>'Hoja 4 - Cálculo'!H26</f>
        <v>14.630625</v>
      </c>
      <c r="H2165" s="15">
        <f>IF(D2165="Uso único",'Hoja 4 - Cálculo'!I26,IF(D2165="Uso múltiple",AVERAGE('Hoja 4 - Cálculo'!$I$25:$I$384)+AVERAGE('Hoja 4 - Cálculo'!$J$25:$J$384)+AVERAGE('Hoja 4 - Cálculo'!$K$25:$K$384),IF(D2165="Uso prioritario",'Hoja 4 - Cálculo'!I26+'Hoja 4 - Cálculo'!K26,'Hoja 4 - Cálculo'!I26+'Hoja 4 - Cálculo'!J26+'Hoja 4 - Cálculo'!K26)))</f>
        <v>8</v>
      </c>
      <c r="I2165" s="15">
        <f t="shared" si="494"/>
        <v>8</v>
      </c>
      <c r="J2165" s="15">
        <f t="shared" ref="J2165:J2196" si="495">N2164</f>
        <v>4.5949600000000004</v>
      </c>
      <c r="K2165" s="15">
        <f>MIN(J2165+G2165,(J2165+G2165)*'Hoja 4 - Cálculo'!$B$15)</f>
        <v>0.38451170000000007</v>
      </c>
      <c r="L2165" s="15">
        <f t="shared" si="483"/>
        <v>18.841073300000001</v>
      </c>
      <c r="M2165" s="15">
        <f t="shared" si="484"/>
        <v>8</v>
      </c>
      <c r="N2165" s="15">
        <f t="shared" si="485"/>
        <v>5</v>
      </c>
      <c r="O2165" s="15">
        <f t="shared" si="486"/>
        <v>5.8410733000000015</v>
      </c>
      <c r="P2165" s="15">
        <f t="shared" si="487"/>
        <v>0</v>
      </c>
      <c r="Q2165" s="14" t="str">
        <f>IF(M2165&gt;=I2165*'Hoja 4 - Cálculo'!$B$16,"Satisfactorio","Falla")</f>
        <v>Satisfactorio</v>
      </c>
      <c r="R2165" s="14">
        <f t="shared" ref="R2165:R2196" si="496">IF(AND(Q2164="Falla",Q2165="Satisfactorio"),1,0)</f>
        <v>0</v>
      </c>
      <c r="S2165" s="14">
        <f t="shared" ref="S2165:S2196" si="497">IF(AND(Q2165="Falla",Q2164&lt;&gt;"Falla"),1,0)</f>
        <v>0</v>
      </c>
    </row>
    <row r="2166" spans="1:19">
      <c r="A2166" s="14" t="str">
        <f t="shared" si="492"/>
        <v>CFG-1</v>
      </c>
      <c r="B2166" s="15">
        <f>'Curvas SRY'!$E$11</f>
        <v>5</v>
      </c>
      <c r="C2166" s="15">
        <f>1</f>
        <v>1</v>
      </c>
      <c r="D2166" s="14" t="str">
        <f t="shared" si="493"/>
        <v>Uso único</v>
      </c>
      <c r="E2166" s="14">
        <f>3</f>
        <v>3</v>
      </c>
      <c r="F2166" s="21">
        <f>'Hoja 4 - Cálculo'!A27</f>
        <v>29646</v>
      </c>
      <c r="G2166" s="15">
        <f>'Hoja 4 - Cálculo'!H27</f>
        <v>21.114000000000001</v>
      </c>
      <c r="H2166" s="15">
        <f>IF(D2166="Uso único",'Hoja 4 - Cálculo'!I27,IF(D2166="Uso múltiple",AVERAGE('Hoja 4 - Cálculo'!$I$25:$I$384)+AVERAGE('Hoja 4 - Cálculo'!$J$25:$J$384)+AVERAGE('Hoja 4 - Cálculo'!$K$25:$K$384),IF(D2166="Uso prioritario",'Hoja 4 - Cálculo'!I27+'Hoja 4 - Cálculo'!K27,'Hoja 4 - Cálculo'!I27+'Hoja 4 - Cálculo'!J27+'Hoja 4 - Cálculo'!K27)))</f>
        <v>8</v>
      </c>
      <c r="I2166" s="15">
        <f t="shared" si="494"/>
        <v>8</v>
      </c>
      <c r="J2166" s="15">
        <f t="shared" si="495"/>
        <v>5</v>
      </c>
      <c r="K2166" s="15">
        <f>MIN(J2166+G2166,(J2166+G2166)*'Hoja 4 - Cálculo'!$B$15)</f>
        <v>0.52228000000000008</v>
      </c>
      <c r="L2166" s="15">
        <f t="shared" si="483"/>
        <v>25.591720000000002</v>
      </c>
      <c r="M2166" s="15">
        <f t="shared" si="484"/>
        <v>8</v>
      </c>
      <c r="N2166" s="15">
        <f t="shared" si="485"/>
        <v>5</v>
      </c>
      <c r="O2166" s="15">
        <f t="shared" si="486"/>
        <v>12.591720000000002</v>
      </c>
      <c r="P2166" s="15">
        <f t="shared" si="487"/>
        <v>0</v>
      </c>
      <c r="Q2166" s="14" t="str">
        <f>IF(M2166&gt;=I2166*'Hoja 4 - Cálculo'!$B$16,"Satisfactorio","Falla")</f>
        <v>Satisfactorio</v>
      </c>
      <c r="R2166" s="14">
        <f t="shared" si="496"/>
        <v>0</v>
      </c>
      <c r="S2166" s="14">
        <f t="shared" si="497"/>
        <v>0</v>
      </c>
    </row>
    <row r="2167" spans="1:19">
      <c r="A2167" s="14" t="str">
        <f t="shared" si="492"/>
        <v>CFG-1</v>
      </c>
      <c r="B2167" s="15">
        <f>'Curvas SRY'!$E$11</f>
        <v>5</v>
      </c>
      <c r="C2167" s="15">
        <f>1</f>
        <v>1</v>
      </c>
      <c r="D2167" s="14" t="str">
        <f t="shared" si="493"/>
        <v>Uso único</v>
      </c>
      <c r="E2167" s="14">
        <f>4</f>
        <v>4</v>
      </c>
      <c r="F2167" s="21">
        <f>'Hoja 4 - Cálculo'!A28</f>
        <v>29677</v>
      </c>
      <c r="G2167" s="15">
        <f>'Hoja 4 - Cálculo'!H28</f>
        <v>29.280374999999999</v>
      </c>
      <c r="H2167" s="15">
        <f>IF(D2167="Uso único",'Hoja 4 - Cálculo'!I28,IF(D2167="Uso múltiple",AVERAGE('Hoja 4 - Cálculo'!$I$25:$I$384)+AVERAGE('Hoja 4 - Cálculo'!$J$25:$J$384)+AVERAGE('Hoja 4 - Cálculo'!$K$25:$K$384),IF(D2167="Uso prioritario",'Hoja 4 - Cálculo'!I28+'Hoja 4 - Cálculo'!K28,'Hoja 4 - Cálculo'!I28+'Hoja 4 - Cálculo'!J28+'Hoja 4 - Cálculo'!K28)))</f>
        <v>8</v>
      </c>
      <c r="I2167" s="15">
        <f t="shared" si="494"/>
        <v>8</v>
      </c>
      <c r="J2167" s="15">
        <f t="shared" si="495"/>
        <v>5</v>
      </c>
      <c r="K2167" s="15">
        <f>MIN(J2167+G2167,(J2167+G2167)*'Hoja 4 - Cálculo'!$B$15)</f>
        <v>0.68560750000000004</v>
      </c>
      <c r="L2167" s="15">
        <f t="shared" si="483"/>
        <v>33.594767499999996</v>
      </c>
      <c r="M2167" s="15">
        <f t="shared" si="484"/>
        <v>8</v>
      </c>
      <c r="N2167" s="15">
        <f t="shared" si="485"/>
        <v>5</v>
      </c>
      <c r="O2167" s="15">
        <f t="shared" si="486"/>
        <v>20.594767499999996</v>
      </c>
      <c r="P2167" s="15">
        <f t="shared" si="487"/>
        <v>0</v>
      </c>
      <c r="Q2167" s="14" t="str">
        <f>IF(M2167&gt;=I2167*'Hoja 4 - Cálculo'!$B$16,"Satisfactorio","Falla")</f>
        <v>Satisfactorio</v>
      </c>
      <c r="R2167" s="14">
        <f t="shared" si="496"/>
        <v>0</v>
      </c>
      <c r="S2167" s="14">
        <f t="shared" si="497"/>
        <v>0</v>
      </c>
    </row>
    <row r="2168" spans="1:19">
      <c r="A2168" s="14" t="str">
        <f t="shared" si="492"/>
        <v>CFG-1</v>
      </c>
      <c r="B2168" s="15">
        <f>'Curvas SRY'!$E$11</f>
        <v>5</v>
      </c>
      <c r="C2168" s="15">
        <f>1</f>
        <v>1</v>
      </c>
      <c r="D2168" s="14" t="str">
        <f t="shared" si="493"/>
        <v>Uso único</v>
      </c>
      <c r="E2168" s="14">
        <f>5</f>
        <v>5</v>
      </c>
      <c r="F2168" s="21">
        <f>'Hoja 4 - Cálculo'!A29</f>
        <v>29707</v>
      </c>
      <c r="G2168" s="15">
        <f>'Hoja 4 - Cálculo'!H29</f>
        <v>26.048249999999999</v>
      </c>
      <c r="H2168" s="15">
        <f>IF(D2168="Uso único",'Hoja 4 - Cálculo'!I29,IF(D2168="Uso múltiple",AVERAGE('Hoja 4 - Cálculo'!$I$25:$I$384)+AVERAGE('Hoja 4 - Cálculo'!$J$25:$J$384)+AVERAGE('Hoja 4 - Cálculo'!$K$25:$K$384),IF(D2168="Uso prioritario",'Hoja 4 - Cálculo'!I29+'Hoja 4 - Cálculo'!K29,'Hoja 4 - Cálculo'!I29+'Hoja 4 - Cálculo'!J29+'Hoja 4 - Cálculo'!K29)))</f>
        <v>8</v>
      </c>
      <c r="I2168" s="15">
        <f t="shared" si="494"/>
        <v>8</v>
      </c>
      <c r="J2168" s="15">
        <f t="shared" si="495"/>
        <v>5</v>
      </c>
      <c r="K2168" s="15">
        <f>MIN(J2168+G2168,(J2168+G2168)*'Hoja 4 - Cálculo'!$B$15)</f>
        <v>0.62096499999999999</v>
      </c>
      <c r="L2168" s="15">
        <f t="shared" si="483"/>
        <v>30.427284999999998</v>
      </c>
      <c r="M2168" s="15">
        <f t="shared" si="484"/>
        <v>8</v>
      </c>
      <c r="N2168" s="15">
        <f t="shared" si="485"/>
        <v>5</v>
      </c>
      <c r="O2168" s="15">
        <f t="shared" si="486"/>
        <v>17.427284999999998</v>
      </c>
      <c r="P2168" s="15">
        <f t="shared" si="487"/>
        <v>0</v>
      </c>
      <c r="Q2168" s="14" t="str">
        <f>IF(M2168&gt;=I2168*'Hoja 4 - Cálculo'!$B$16,"Satisfactorio","Falla")</f>
        <v>Satisfactorio</v>
      </c>
      <c r="R2168" s="14">
        <f t="shared" si="496"/>
        <v>0</v>
      </c>
      <c r="S2168" s="14">
        <f t="shared" si="497"/>
        <v>0</v>
      </c>
    </row>
    <row r="2169" spans="1:19">
      <c r="A2169" s="14" t="str">
        <f t="shared" si="492"/>
        <v>CFG-1</v>
      </c>
      <c r="B2169" s="15">
        <f>'Curvas SRY'!$E$11</f>
        <v>5</v>
      </c>
      <c r="C2169" s="15">
        <f>1</f>
        <v>1</v>
      </c>
      <c r="D2169" s="14" t="str">
        <f t="shared" si="493"/>
        <v>Uso único</v>
      </c>
      <c r="E2169" s="14">
        <f>6</f>
        <v>6</v>
      </c>
      <c r="F2169" s="21">
        <f>'Hoja 4 - Cálculo'!A30</f>
        <v>29738</v>
      </c>
      <c r="G2169" s="15">
        <f>'Hoja 4 - Cálculo'!H30</f>
        <v>15.625125000000001</v>
      </c>
      <c r="H2169" s="15">
        <f>IF(D2169="Uso único",'Hoja 4 - Cálculo'!I30,IF(D2169="Uso múltiple",AVERAGE('Hoja 4 - Cálculo'!$I$25:$I$384)+AVERAGE('Hoja 4 - Cálculo'!$J$25:$J$384)+AVERAGE('Hoja 4 - Cálculo'!$K$25:$K$384),IF(D2169="Uso prioritario",'Hoja 4 - Cálculo'!I30+'Hoja 4 - Cálculo'!K30,'Hoja 4 - Cálculo'!I30+'Hoja 4 - Cálculo'!J30+'Hoja 4 - Cálculo'!K30)))</f>
        <v>8</v>
      </c>
      <c r="I2169" s="15">
        <f t="shared" si="494"/>
        <v>8</v>
      </c>
      <c r="J2169" s="15">
        <f t="shared" si="495"/>
        <v>5</v>
      </c>
      <c r="K2169" s="15">
        <f>MIN(J2169+G2169,(J2169+G2169)*'Hoja 4 - Cálculo'!$B$15)</f>
        <v>0.41250249999999999</v>
      </c>
      <c r="L2169" s="15">
        <f t="shared" si="483"/>
        <v>20.212622500000002</v>
      </c>
      <c r="M2169" s="15">
        <f t="shared" si="484"/>
        <v>8</v>
      </c>
      <c r="N2169" s="15">
        <f t="shared" si="485"/>
        <v>5</v>
      </c>
      <c r="O2169" s="15">
        <f t="shared" si="486"/>
        <v>7.2126225000000019</v>
      </c>
      <c r="P2169" s="15">
        <f t="shared" si="487"/>
        <v>0</v>
      </c>
      <c r="Q2169" s="14" t="str">
        <f>IF(M2169&gt;=I2169*'Hoja 4 - Cálculo'!$B$16,"Satisfactorio","Falla")</f>
        <v>Satisfactorio</v>
      </c>
      <c r="R2169" s="14">
        <f t="shared" si="496"/>
        <v>0</v>
      </c>
      <c r="S2169" s="14">
        <f t="shared" si="497"/>
        <v>0</v>
      </c>
    </row>
    <row r="2170" spans="1:19">
      <c r="A2170" s="14" t="str">
        <f t="shared" si="492"/>
        <v>CFG-1</v>
      </c>
      <c r="B2170" s="15">
        <f>'Curvas SRY'!$E$11</f>
        <v>5</v>
      </c>
      <c r="C2170" s="15">
        <f>1</f>
        <v>1</v>
      </c>
      <c r="D2170" s="14" t="str">
        <f t="shared" si="493"/>
        <v>Uso único</v>
      </c>
      <c r="E2170" s="14">
        <f>7</f>
        <v>7</v>
      </c>
      <c r="F2170" s="21">
        <f>'Hoja 4 - Cálculo'!A31</f>
        <v>29768</v>
      </c>
      <c r="G2170" s="15">
        <f>'Hoja 4 - Cálculo'!H31</f>
        <v>12.794625</v>
      </c>
      <c r="H2170" s="15">
        <f>IF(D2170="Uso único",'Hoja 4 - Cálculo'!I31,IF(D2170="Uso múltiple",AVERAGE('Hoja 4 - Cálculo'!$I$25:$I$384)+AVERAGE('Hoja 4 - Cálculo'!$J$25:$J$384)+AVERAGE('Hoja 4 - Cálculo'!$K$25:$K$384),IF(D2170="Uso prioritario",'Hoja 4 - Cálculo'!I31+'Hoja 4 - Cálculo'!K31,'Hoja 4 - Cálculo'!I31+'Hoja 4 - Cálculo'!J31+'Hoja 4 - Cálculo'!K31)))</f>
        <v>8</v>
      </c>
      <c r="I2170" s="15">
        <f t="shared" si="494"/>
        <v>8</v>
      </c>
      <c r="J2170" s="15">
        <f t="shared" si="495"/>
        <v>5</v>
      </c>
      <c r="K2170" s="15">
        <f>MIN(J2170+G2170,(J2170+G2170)*'Hoja 4 - Cálculo'!$B$15)</f>
        <v>0.3558925</v>
      </c>
      <c r="L2170" s="15">
        <f t="shared" si="483"/>
        <v>17.4387325</v>
      </c>
      <c r="M2170" s="15">
        <f t="shared" si="484"/>
        <v>8</v>
      </c>
      <c r="N2170" s="15">
        <f t="shared" si="485"/>
        <v>5</v>
      </c>
      <c r="O2170" s="15">
        <f t="shared" si="486"/>
        <v>4.4387325000000004</v>
      </c>
      <c r="P2170" s="15">
        <f t="shared" si="487"/>
        <v>0</v>
      </c>
      <c r="Q2170" s="14" t="str">
        <f>IF(M2170&gt;=I2170*'Hoja 4 - Cálculo'!$B$16,"Satisfactorio","Falla")</f>
        <v>Satisfactorio</v>
      </c>
      <c r="R2170" s="14">
        <f t="shared" si="496"/>
        <v>0</v>
      </c>
      <c r="S2170" s="14">
        <f t="shared" si="497"/>
        <v>0</v>
      </c>
    </row>
    <row r="2171" spans="1:19">
      <c r="A2171" s="14" t="str">
        <f t="shared" si="492"/>
        <v>CFG-1</v>
      </c>
      <c r="B2171" s="15">
        <f>'Curvas SRY'!$E$11</f>
        <v>5</v>
      </c>
      <c r="C2171" s="15">
        <f>1</f>
        <v>1</v>
      </c>
      <c r="D2171" s="14" t="str">
        <f t="shared" si="493"/>
        <v>Uso único</v>
      </c>
      <c r="E2171" s="14">
        <f>8</f>
        <v>8</v>
      </c>
      <c r="F2171" s="21">
        <f>'Hoja 4 - Cálculo'!A32</f>
        <v>29799</v>
      </c>
      <c r="G2171" s="15">
        <f>'Hoja 4 - Cálculo'!H32</f>
        <v>13.712624999999999</v>
      </c>
      <c r="H2171" s="15">
        <f>IF(D2171="Uso único",'Hoja 4 - Cálculo'!I32,IF(D2171="Uso múltiple",AVERAGE('Hoja 4 - Cálculo'!$I$25:$I$384)+AVERAGE('Hoja 4 - Cálculo'!$J$25:$J$384)+AVERAGE('Hoja 4 - Cálculo'!$K$25:$K$384),IF(D2171="Uso prioritario",'Hoja 4 - Cálculo'!I32+'Hoja 4 - Cálculo'!K32,'Hoja 4 - Cálculo'!I32+'Hoja 4 - Cálculo'!J32+'Hoja 4 - Cálculo'!K32)))</f>
        <v>8</v>
      </c>
      <c r="I2171" s="15">
        <f t="shared" si="494"/>
        <v>8</v>
      </c>
      <c r="J2171" s="15">
        <f t="shared" si="495"/>
        <v>5</v>
      </c>
      <c r="K2171" s="15">
        <f>MIN(J2171+G2171,(J2171+G2171)*'Hoja 4 - Cálculo'!$B$15)</f>
        <v>0.37425249999999999</v>
      </c>
      <c r="L2171" s="15">
        <f t="shared" si="483"/>
        <v>18.338372499999998</v>
      </c>
      <c r="M2171" s="15">
        <f t="shared" si="484"/>
        <v>8</v>
      </c>
      <c r="N2171" s="15">
        <f t="shared" si="485"/>
        <v>5</v>
      </c>
      <c r="O2171" s="15">
        <f t="shared" si="486"/>
        <v>5.3383724999999984</v>
      </c>
      <c r="P2171" s="15">
        <f t="shared" si="487"/>
        <v>0</v>
      </c>
      <c r="Q2171" s="14" t="str">
        <f>IF(M2171&gt;=I2171*'Hoja 4 - Cálculo'!$B$16,"Satisfactorio","Falla")</f>
        <v>Satisfactorio</v>
      </c>
      <c r="R2171" s="14">
        <f t="shared" si="496"/>
        <v>0</v>
      </c>
      <c r="S2171" s="14">
        <f t="shared" si="497"/>
        <v>0</v>
      </c>
    </row>
    <row r="2172" spans="1:19">
      <c r="A2172" s="14" t="str">
        <f t="shared" si="492"/>
        <v>CFG-1</v>
      </c>
      <c r="B2172" s="15">
        <f>'Curvas SRY'!$E$11</f>
        <v>5</v>
      </c>
      <c r="C2172" s="15">
        <f>1</f>
        <v>1</v>
      </c>
      <c r="D2172" s="14" t="str">
        <f t="shared" si="493"/>
        <v>Uso único</v>
      </c>
      <c r="E2172" s="14">
        <f>9</f>
        <v>9</v>
      </c>
      <c r="F2172" s="21">
        <f>'Hoja 4 - Cálculo'!A33</f>
        <v>29830</v>
      </c>
      <c r="G2172" s="15">
        <f>'Hoja 4 - Cálculo'!H33</f>
        <v>22.070250000000001</v>
      </c>
      <c r="H2172" s="15">
        <f>IF(D2172="Uso único",'Hoja 4 - Cálculo'!I33,IF(D2172="Uso múltiple",AVERAGE('Hoja 4 - Cálculo'!$I$25:$I$384)+AVERAGE('Hoja 4 - Cálculo'!$J$25:$J$384)+AVERAGE('Hoja 4 - Cálculo'!$K$25:$K$384),IF(D2172="Uso prioritario",'Hoja 4 - Cálculo'!I33+'Hoja 4 - Cálculo'!K33,'Hoja 4 - Cálculo'!I33+'Hoja 4 - Cálculo'!J33+'Hoja 4 - Cálculo'!K33)))</f>
        <v>8</v>
      </c>
      <c r="I2172" s="15">
        <f t="shared" si="494"/>
        <v>8</v>
      </c>
      <c r="J2172" s="15">
        <f t="shared" si="495"/>
        <v>5</v>
      </c>
      <c r="K2172" s="15">
        <f>MIN(J2172+G2172,(J2172+G2172)*'Hoja 4 - Cálculo'!$B$15)</f>
        <v>0.54140500000000003</v>
      </c>
      <c r="L2172" s="15">
        <f t="shared" si="483"/>
        <v>26.528845</v>
      </c>
      <c r="M2172" s="15">
        <f t="shared" si="484"/>
        <v>8</v>
      </c>
      <c r="N2172" s="15">
        <f t="shared" si="485"/>
        <v>5</v>
      </c>
      <c r="O2172" s="15">
        <f t="shared" si="486"/>
        <v>13.528845</v>
      </c>
      <c r="P2172" s="15">
        <f t="shared" si="487"/>
        <v>0</v>
      </c>
      <c r="Q2172" s="14" t="str">
        <f>IF(M2172&gt;=I2172*'Hoja 4 - Cálculo'!$B$16,"Satisfactorio","Falla")</f>
        <v>Satisfactorio</v>
      </c>
      <c r="R2172" s="14">
        <f t="shared" si="496"/>
        <v>0</v>
      </c>
      <c r="S2172" s="14">
        <f t="shared" si="497"/>
        <v>0</v>
      </c>
    </row>
    <row r="2173" spans="1:19">
      <c r="A2173" s="14" t="str">
        <f t="shared" si="492"/>
        <v>CFG-1</v>
      </c>
      <c r="B2173" s="15">
        <f>'Curvas SRY'!$E$11</f>
        <v>5</v>
      </c>
      <c r="C2173" s="15">
        <f>1</f>
        <v>1</v>
      </c>
      <c r="D2173" s="14" t="str">
        <f t="shared" si="493"/>
        <v>Uso único</v>
      </c>
      <c r="E2173" s="14">
        <f>10</f>
        <v>10</v>
      </c>
      <c r="F2173" s="21">
        <f>'Hoja 4 - Cálculo'!A34</f>
        <v>29860</v>
      </c>
      <c r="G2173" s="15">
        <f>'Hoja 4 - Cálculo'!H34</f>
        <v>29.777625</v>
      </c>
      <c r="H2173" s="15">
        <f>IF(D2173="Uso único",'Hoja 4 - Cálculo'!I34,IF(D2173="Uso múltiple",AVERAGE('Hoja 4 - Cálculo'!$I$25:$I$384)+AVERAGE('Hoja 4 - Cálculo'!$J$25:$J$384)+AVERAGE('Hoja 4 - Cálculo'!$K$25:$K$384),IF(D2173="Uso prioritario",'Hoja 4 - Cálculo'!I34+'Hoja 4 - Cálculo'!K34,'Hoja 4 - Cálculo'!I34+'Hoja 4 - Cálculo'!J34+'Hoja 4 - Cálculo'!K34)))</f>
        <v>8</v>
      </c>
      <c r="I2173" s="15">
        <f t="shared" si="494"/>
        <v>8</v>
      </c>
      <c r="J2173" s="15">
        <f t="shared" si="495"/>
        <v>5</v>
      </c>
      <c r="K2173" s="15">
        <f>MIN(J2173+G2173,(J2173+G2173)*'Hoja 4 - Cálculo'!$B$15)</f>
        <v>0.69555250000000002</v>
      </c>
      <c r="L2173" s="15">
        <f t="shared" si="483"/>
        <v>34.082072500000002</v>
      </c>
      <c r="M2173" s="15">
        <f t="shared" si="484"/>
        <v>8</v>
      </c>
      <c r="N2173" s="15">
        <f t="shared" si="485"/>
        <v>5</v>
      </c>
      <c r="O2173" s="15">
        <f t="shared" si="486"/>
        <v>21.082072500000002</v>
      </c>
      <c r="P2173" s="15">
        <f t="shared" si="487"/>
        <v>0</v>
      </c>
      <c r="Q2173" s="14" t="str">
        <f>IF(M2173&gt;=I2173*'Hoja 4 - Cálculo'!$B$16,"Satisfactorio","Falla")</f>
        <v>Satisfactorio</v>
      </c>
      <c r="R2173" s="14">
        <f t="shared" si="496"/>
        <v>0</v>
      </c>
      <c r="S2173" s="14">
        <f t="shared" si="497"/>
        <v>0</v>
      </c>
    </row>
    <row r="2174" spans="1:19">
      <c r="A2174" s="14" t="str">
        <f t="shared" si="492"/>
        <v>CFG-1</v>
      </c>
      <c r="B2174" s="15">
        <f>'Curvas SRY'!$E$11</f>
        <v>5</v>
      </c>
      <c r="C2174" s="15">
        <f>1</f>
        <v>1</v>
      </c>
      <c r="D2174" s="14" t="str">
        <f t="shared" si="493"/>
        <v>Uso único</v>
      </c>
      <c r="E2174" s="14">
        <f>11</f>
        <v>11</v>
      </c>
      <c r="F2174" s="21">
        <f>'Hoja 4 - Cálculo'!A35</f>
        <v>29891</v>
      </c>
      <c r="G2174" s="15">
        <f>'Hoja 4 - Cálculo'!H35</f>
        <v>25.51275</v>
      </c>
      <c r="H2174" s="15">
        <f>IF(D2174="Uso único",'Hoja 4 - Cálculo'!I35,IF(D2174="Uso múltiple",AVERAGE('Hoja 4 - Cálculo'!$I$25:$I$384)+AVERAGE('Hoja 4 - Cálculo'!$J$25:$J$384)+AVERAGE('Hoja 4 - Cálculo'!$K$25:$K$384),IF(D2174="Uso prioritario",'Hoja 4 - Cálculo'!I35+'Hoja 4 - Cálculo'!K35,'Hoja 4 - Cálculo'!I35+'Hoja 4 - Cálculo'!J35+'Hoja 4 - Cálculo'!K35)))</f>
        <v>8</v>
      </c>
      <c r="I2174" s="15">
        <f t="shared" si="494"/>
        <v>8</v>
      </c>
      <c r="J2174" s="15">
        <f t="shared" si="495"/>
        <v>5</v>
      </c>
      <c r="K2174" s="15">
        <f>MIN(J2174+G2174,(J2174+G2174)*'Hoja 4 - Cálculo'!$B$15)</f>
        <v>0.61025499999999999</v>
      </c>
      <c r="L2174" s="15">
        <f t="shared" si="483"/>
        <v>29.902495000000002</v>
      </c>
      <c r="M2174" s="15">
        <f t="shared" si="484"/>
        <v>8</v>
      </c>
      <c r="N2174" s="15">
        <f t="shared" si="485"/>
        <v>5</v>
      </c>
      <c r="O2174" s="15">
        <f t="shared" si="486"/>
        <v>16.902495000000002</v>
      </c>
      <c r="P2174" s="15">
        <f t="shared" si="487"/>
        <v>0</v>
      </c>
      <c r="Q2174" s="14" t="str">
        <f>IF(M2174&gt;=I2174*'Hoja 4 - Cálculo'!$B$16,"Satisfactorio","Falla")</f>
        <v>Satisfactorio</v>
      </c>
      <c r="R2174" s="14">
        <f t="shared" si="496"/>
        <v>0</v>
      </c>
      <c r="S2174" s="14">
        <f t="shared" si="497"/>
        <v>0</v>
      </c>
    </row>
    <row r="2175" spans="1:19">
      <c r="A2175" s="14" t="str">
        <f t="shared" si="492"/>
        <v>CFG-1</v>
      </c>
      <c r="B2175" s="15">
        <f>'Curvas SRY'!$E$11</f>
        <v>5</v>
      </c>
      <c r="C2175" s="15">
        <f>1</f>
        <v>1</v>
      </c>
      <c r="D2175" s="14" t="str">
        <f t="shared" si="493"/>
        <v>Uso único</v>
      </c>
      <c r="E2175" s="14">
        <f>12</f>
        <v>12</v>
      </c>
      <c r="F2175" s="21">
        <f>'Hoja 4 - Cálculo'!A36</f>
        <v>29921</v>
      </c>
      <c r="G2175" s="15">
        <f>'Hoja 4 - Cálculo'!H36</f>
        <v>15.3765</v>
      </c>
      <c r="H2175" s="15">
        <f>IF(D2175="Uso único",'Hoja 4 - Cálculo'!I36,IF(D2175="Uso múltiple",AVERAGE('Hoja 4 - Cálculo'!$I$25:$I$384)+AVERAGE('Hoja 4 - Cálculo'!$J$25:$J$384)+AVERAGE('Hoja 4 - Cálculo'!$K$25:$K$384),IF(D2175="Uso prioritario",'Hoja 4 - Cálculo'!I36+'Hoja 4 - Cálculo'!K36,'Hoja 4 - Cálculo'!I36+'Hoja 4 - Cálculo'!J36+'Hoja 4 - Cálculo'!K36)))</f>
        <v>8</v>
      </c>
      <c r="I2175" s="15">
        <f t="shared" si="494"/>
        <v>8</v>
      </c>
      <c r="J2175" s="15">
        <f t="shared" si="495"/>
        <v>5</v>
      </c>
      <c r="K2175" s="15">
        <f>MIN(J2175+G2175,(J2175+G2175)*'Hoja 4 - Cálculo'!$B$15)</f>
        <v>0.40753</v>
      </c>
      <c r="L2175" s="15">
        <f t="shared" si="483"/>
        <v>19.968969999999999</v>
      </c>
      <c r="M2175" s="15">
        <f t="shared" si="484"/>
        <v>8</v>
      </c>
      <c r="N2175" s="15">
        <f t="shared" si="485"/>
        <v>5</v>
      </c>
      <c r="O2175" s="15">
        <f t="shared" si="486"/>
        <v>6.9689699999999988</v>
      </c>
      <c r="P2175" s="15">
        <f t="shared" si="487"/>
        <v>0</v>
      </c>
      <c r="Q2175" s="14" t="str">
        <f>IF(M2175&gt;=I2175*'Hoja 4 - Cálculo'!$B$16,"Satisfactorio","Falla")</f>
        <v>Satisfactorio</v>
      </c>
      <c r="R2175" s="14">
        <f t="shared" si="496"/>
        <v>0</v>
      </c>
      <c r="S2175" s="14">
        <f t="shared" si="497"/>
        <v>0</v>
      </c>
    </row>
    <row r="2176" spans="1:19">
      <c r="A2176" s="14" t="str">
        <f t="shared" si="492"/>
        <v>CFG-1</v>
      </c>
      <c r="B2176" s="15">
        <f>'Curvas SRY'!$E$11</f>
        <v>5</v>
      </c>
      <c r="C2176" s="15">
        <f>1</f>
        <v>1</v>
      </c>
      <c r="D2176" s="14" t="str">
        <f t="shared" si="493"/>
        <v>Uso único</v>
      </c>
      <c r="E2176" s="14">
        <f>13</f>
        <v>13</v>
      </c>
      <c r="F2176" s="21">
        <f>'Hoja 4 - Cálculo'!A37</f>
        <v>29952</v>
      </c>
      <c r="G2176" s="15">
        <f>'Hoja 4 - Cálculo'!H37</f>
        <v>13.808249999999999</v>
      </c>
      <c r="H2176" s="15">
        <f>IF(D2176="Uso único",'Hoja 4 - Cálculo'!I37,IF(D2176="Uso múltiple",AVERAGE('Hoja 4 - Cálculo'!$I$25:$I$384)+AVERAGE('Hoja 4 - Cálculo'!$J$25:$J$384)+AVERAGE('Hoja 4 - Cálculo'!$K$25:$K$384),IF(D2176="Uso prioritario",'Hoja 4 - Cálculo'!I37+'Hoja 4 - Cálculo'!K37,'Hoja 4 - Cálculo'!I37+'Hoja 4 - Cálculo'!J37+'Hoja 4 - Cálculo'!K37)))</f>
        <v>8</v>
      </c>
      <c r="I2176" s="15">
        <f t="shared" si="494"/>
        <v>8</v>
      </c>
      <c r="J2176" s="15">
        <f t="shared" si="495"/>
        <v>5</v>
      </c>
      <c r="K2176" s="15">
        <f>MIN(J2176+G2176,(J2176+G2176)*'Hoja 4 - Cálculo'!$B$15)</f>
        <v>0.37616500000000003</v>
      </c>
      <c r="L2176" s="15">
        <f t="shared" si="483"/>
        <v>18.432085000000001</v>
      </c>
      <c r="M2176" s="15">
        <f t="shared" si="484"/>
        <v>8</v>
      </c>
      <c r="N2176" s="15">
        <f t="shared" si="485"/>
        <v>5</v>
      </c>
      <c r="O2176" s="15">
        <f t="shared" si="486"/>
        <v>5.4320850000000007</v>
      </c>
      <c r="P2176" s="15">
        <f t="shared" si="487"/>
        <v>0</v>
      </c>
      <c r="Q2176" s="14" t="str">
        <f>IF(M2176&gt;=I2176*'Hoja 4 - Cálculo'!$B$16,"Satisfactorio","Falla")</f>
        <v>Satisfactorio</v>
      </c>
      <c r="R2176" s="14">
        <f t="shared" si="496"/>
        <v>0</v>
      </c>
      <c r="S2176" s="14">
        <f t="shared" si="497"/>
        <v>0</v>
      </c>
    </row>
    <row r="2177" spans="1:19">
      <c r="A2177" s="14" t="str">
        <f t="shared" si="492"/>
        <v>CFG-1</v>
      </c>
      <c r="B2177" s="15">
        <f>'Curvas SRY'!$E$11</f>
        <v>5</v>
      </c>
      <c r="C2177" s="15">
        <f>1</f>
        <v>1</v>
      </c>
      <c r="D2177" s="14" t="str">
        <f t="shared" si="493"/>
        <v>Uso único</v>
      </c>
      <c r="E2177" s="14">
        <f>14</f>
        <v>14</v>
      </c>
      <c r="F2177" s="21">
        <f>'Hoja 4 - Cálculo'!A38</f>
        <v>29983</v>
      </c>
      <c r="G2177" s="15">
        <f>'Hoja 4 - Cálculo'!H38</f>
        <v>15.472125</v>
      </c>
      <c r="H2177" s="15">
        <f>IF(D2177="Uso único",'Hoja 4 - Cálculo'!I38,IF(D2177="Uso múltiple",AVERAGE('Hoja 4 - Cálculo'!$I$25:$I$384)+AVERAGE('Hoja 4 - Cálculo'!$J$25:$J$384)+AVERAGE('Hoja 4 - Cálculo'!$K$25:$K$384),IF(D2177="Uso prioritario",'Hoja 4 - Cálculo'!I38+'Hoja 4 - Cálculo'!K38,'Hoja 4 - Cálculo'!I38+'Hoja 4 - Cálculo'!J38+'Hoja 4 - Cálculo'!K38)))</f>
        <v>8</v>
      </c>
      <c r="I2177" s="15">
        <f t="shared" si="494"/>
        <v>8</v>
      </c>
      <c r="J2177" s="15">
        <f t="shared" si="495"/>
        <v>5</v>
      </c>
      <c r="K2177" s="15">
        <f>MIN(J2177+G2177,(J2177+G2177)*'Hoja 4 - Cálculo'!$B$15)</f>
        <v>0.40944249999999999</v>
      </c>
      <c r="L2177" s="15">
        <f t="shared" si="483"/>
        <v>20.062682499999998</v>
      </c>
      <c r="M2177" s="15">
        <f t="shared" si="484"/>
        <v>8</v>
      </c>
      <c r="N2177" s="15">
        <f t="shared" si="485"/>
        <v>5</v>
      </c>
      <c r="O2177" s="15">
        <f t="shared" si="486"/>
        <v>7.0626824999999975</v>
      </c>
      <c r="P2177" s="15">
        <f t="shared" si="487"/>
        <v>0</v>
      </c>
      <c r="Q2177" s="14" t="str">
        <f>IF(M2177&gt;=I2177*'Hoja 4 - Cálculo'!$B$16,"Satisfactorio","Falla")</f>
        <v>Satisfactorio</v>
      </c>
      <c r="R2177" s="14">
        <f t="shared" si="496"/>
        <v>0</v>
      </c>
      <c r="S2177" s="14">
        <f t="shared" si="497"/>
        <v>0</v>
      </c>
    </row>
    <row r="2178" spans="1:19">
      <c r="A2178" s="14" t="str">
        <f t="shared" si="492"/>
        <v>CFG-1</v>
      </c>
      <c r="B2178" s="15">
        <f>'Curvas SRY'!$E$11</f>
        <v>5</v>
      </c>
      <c r="C2178" s="15">
        <f>1</f>
        <v>1</v>
      </c>
      <c r="D2178" s="14" t="str">
        <f t="shared" si="493"/>
        <v>Uso único</v>
      </c>
      <c r="E2178" s="14">
        <f>15</f>
        <v>15</v>
      </c>
      <c r="F2178" s="21">
        <f>'Hoja 4 - Cálculo'!A39</f>
        <v>30011</v>
      </c>
      <c r="G2178" s="15">
        <f>'Hoja 4 - Cálculo'!H39</f>
        <v>22.338000000000001</v>
      </c>
      <c r="H2178" s="15">
        <f>IF(D2178="Uso único",'Hoja 4 - Cálculo'!I39,IF(D2178="Uso múltiple",AVERAGE('Hoja 4 - Cálculo'!$I$25:$I$384)+AVERAGE('Hoja 4 - Cálculo'!$J$25:$J$384)+AVERAGE('Hoja 4 - Cálculo'!$K$25:$K$384),IF(D2178="Uso prioritario",'Hoja 4 - Cálculo'!I39+'Hoja 4 - Cálculo'!K39,'Hoja 4 - Cálculo'!I39+'Hoja 4 - Cálculo'!J39+'Hoja 4 - Cálculo'!K39)))</f>
        <v>8</v>
      </c>
      <c r="I2178" s="15">
        <f t="shared" si="494"/>
        <v>8</v>
      </c>
      <c r="J2178" s="15">
        <f t="shared" si="495"/>
        <v>5</v>
      </c>
      <c r="K2178" s="15">
        <f>MIN(J2178+G2178,(J2178+G2178)*'Hoja 4 - Cálculo'!$B$15)</f>
        <v>0.54676000000000002</v>
      </c>
      <c r="L2178" s="15">
        <f t="shared" si="483"/>
        <v>26.791240000000002</v>
      </c>
      <c r="M2178" s="15">
        <f t="shared" si="484"/>
        <v>8</v>
      </c>
      <c r="N2178" s="15">
        <f t="shared" si="485"/>
        <v>5</v>
      </c>
      <c r="O2178" s="15">
        <f t="shared" si="486"/>
        <v>13.791240000000002</v>
      </c>
      <c r="P2178" s="15">
        <f t="shared" si="487"/>
        <v>0</v>
      </c>
      <c r="Q2178" s="14" t="str">
        <f>IF(M2178&gt;=I2178*'Hoja 4 - Cálculo'!$B$16,"Satisfactorio","Falla")</f>
        <v>Satisfactorio</v>
      </c>
      <c r="R2178" s="14">
        <f t="shared" si="496"/>
        <v>0</v>
      </c>
      <c r="S2178" s="14">
        <f t="shared" si="497"/>
        <v>0</v>
      </c>
    </row>
    <row r="2179" spans="1:19">
      <c r="A2179" s="14" t="str">
        <f t="shared" si="492"/>
        <v>CFG-1</v>
      </c>
      <c r="B2179" s="15">
        <f>'Curvas SRY'!$E$11</f>
        <v>5</v>
      </c>
      <c r="C2179" s="15">
        <f>1</f>
        <v>1</v>
      </c>
      <c r="D2179" s="14" t="str">
        <f t="shared" si="493"/>
        <v>Uso único</v>
      </c>
      <c r="E2179" s="14">
        <f>16</f>
        <v>16</v>
      </c>
      <c r="F2179" s="21">
        <f>'Hoja 4 - Cálculo'!A40</f>
        <v>30042</v>
      </c>
      <c r="G2179" s="15">
        <f>'Hoja 4 - Cálculo'!H40</f>
        <v>31.670999999999999</v>
      </c>
      <c r="H2179" s="15">
        <f>IF(D2179="Uso único",'Hoja 4 - Cálculo'!I40,IF(D2179="Uso múltiple",AVERAGE('Hoja 4 - Cálculo'!$I$25:$I$384)+AVERAGE('Hoja 4 - Cálculo'!$J$25:$J$384)+AVERAGE('Hoja 4 - Cálculo'!$K$25:$K$384),IF(D2179="Uso prioritario",'Hoja 4 - Cálculo'!I40+'Hoja 4 - Cálculo'!K40,'Hoja 4 - Cálculo'!I40+'Hoja 4 - Cálculo'!J40+'Hoja 4 - Cálculo'!K40)))</f>
        <v>8</v>
      </c>
      <c r="I2179" s="15">
        <f t="shared" si="494"/>
        <v>8</v>
      </c>
      <c r="J2179" s="15">
        <f t="shared" si="495"/>
        <v>5</v>
      </c>
      <c r="K2179" s="15">
        <f>MIN(J2179+G2179,(J2179+G2179)*'Hoja 4 - Cálculo'!$B$15)</f>
        <v>0.73341999999999996</v>
      </c>
      <c r="L2179" s="15">
        <f t="shared" si="483"/>
        <v>35.937579999999997</v>
      </c>
      <c r="M2179" s="15">
        <f t="shared" si="484"/>
        <v>8</v>
      </c>
      <c r="N2179" s="15">
        <f t="shared" si="485"/>
        <v>5</v>
      </c>
      <c r="O2179" s="15">
        <f t="shared" si="486"/>
        <v>22.937579999999997</v>
      </c>
      <c r="P2179" s="15">
        <f t="shared" si="487"/>
        <v>0</v>
      </c>
      <c r="Q2179" s="14" t="str">
        <f>IF(M2179&gt;=I2179*'Hoja 4 - Cálculo'!$B$16,"Satisfactorio","Falla")</f>
        <v>Satisfactorio</v>
      </c>
      <c r="R2179" s="14">
        <f t="shared" si="496"/>
        <v>0</v>
      </c>
      <c r="S2179" s="14">
        <f t="shared" si="497"/>
        <v>0</v>
      </c>
    </row>
    <row r="2180" spans="1:19">
      <c r="A2180" s="14" t="str">
        <f t="shared" si="492"/>
        <v>CFG-1</v>
      </c>
      <c r="B2180" s="15">
        <f>'Curvas SRY'!$E$11</f>
        <v>5</v>
      </c>
      <c r="C2180" s="15">
        <f>1</f>
        <v>1</v>
      </c>
      <c r="D2180" s="14" t="str">
        <f t="shared" si="493"/>
        <v>Uso único</v>
      </c>
      <c r="E2180" s="14">
        <f>17</f>
        <v>17</v>
      </c>
      <c r="F2180" s="21">
        <f>'Hoja 4 - Cálculo'!A41</f>
        <v>30072</v>
      </c>
      <c r="G2180" s="15">
        <f>'Hoja 4 - Cálculo'!H41</f>
        <v>29.299499999999998</v>
      </c>
      <c r="H2180" s="15">
        <f>IF(D2180="Uso único",'Hoja 4 - Cálculo'!I41,IF(D2180="Uso múltiple",AVERAGE('Hoja 4 - Cálculo'!$I$25:$I$384)+AVERAGE('Hoja 4 - Cálculo'!$J$25:$J$384)+AVERAGE('Hoja 4 - Cálculo'!$K$25:$K$384),IF(D2180="Uso prioritario",'Hoja 4 - Cálculo'!I41+'Hoja 4 - Cálculo'!K41,'Hoja 4 - Cálculo'!I41+'Hoja 4 - Cálculo'!J41+'Hoja 4 - Cálculo'!K41)))</f>
        <v>8</v>
      </c>
      <c r="I2180" s="15">
        <f t="shared" si="494"/>
        <v>8</v>
      </c>
      <c r="J2180" s="15">
        <f t="shared" si="495"/>
        <v>5</v>
      </c>
      <c r="K2180" s="15">
        <f>MIN(J2180+G2180,(J2180+G2180)*'Hoja 4 - Cálculo'!$B$15)</f>
        <v>0.68598999999999988</v>
      </c>
      <c r="L2180" s="15">
        <f t="shared" ref="L2180:L2243" si="498">MAX(0,J2180+G2180-K2180)</f>
        <v>33.613509999999998</v>
      </c>
      <c r="M2180" s="15">
        <f t="shared" ref="M2180:M2243" si="499">MIN(I2180,L2180)</f>
        <v>8</v>
      </c>
      <c r="N2180" s="15">
        <f t="shared" ref="N2180:N2243" si="500">MIN(B2180,MAX(0,L2180-M2180))</f>
        <v>5</v>
      </c>
      <c r="O2180" s="15">
        <f t="shared" ref="O2180:O2243" si="501">MAX(0,L2180-M2180-B2180)</f>
        <v>20.613509999999998</v>
      </c>
      <c r="P2180" s="15">
        <f t="shared" ref="P2180:P2243" si="502">MAX(0,I2180-M2180)</f>
        <v>0</v>
      </c>
      <c r="Q2180" s="14" t="str">
        <f>IF(M2180&gt;=I2180*'Hoja 4 - Cálculo'!$B$16,"Satisfactorio","Falla")</f>
        <v>Satisfactorio</v>
      </c>
      <c r="R2180" s="14">
        <f t="shared" si="496"/>
        <v>0</v>
      </c>
      <c r="S2180" s="14">
        <f t="shared" si="497"/>
        <v>0</v>
      </c>
    </row>
    <row r="2181" spans="1:19">
      <c r="A2181" s="14" t="str">
        <f t="shared" si="492"/>
        <v>CFG-1</v>
      </c>
      <c r="B2181" s="15">
        <f>'Curvas SRY'!$E$11</f>
        <v>5</v>
      </c>
      <c r="C2181" s="15">
        <f>1</f>
        <v>1</v>
      </c>
      <c r="D2181" s="14" t="str">
        <f t="shared" si="493"/>
        <v>Uso único</v>
      </c>
      <c r="E2181" s="14">
        <f>18</f>
        <v>18</v>
      </c>
      <c r="F2181" s="21">
        <f>'Hoja 4 - Cálculo'!A42</f>
        <v>30103</v>
      </c>
      <c r="G2181" s="15">
        <f>'Hoja 4 - Cálculo'!H42</f>
        <v>18.321750000000002</v>
      </c>
      <c r="H2181" s="15">
        <f>IF(D2181="Uso único",'Hoja 4 - Cálculo'!I42,IF(D2181="Uso múltiple",AVERAGE('Hoja 4 - Cálculo'!$I$25:$I$384)+AVERAGE('Hoja 4 - Cálculo'!$J$25:$J$384)+AVERAGE('Hoja 4 - Cálculo'!$K$25:$K$384),IF(D2181="Uso prioritario",'Hoja 4 - Cálculo'!I42+'Hoja 4 - Cálculo'!K42,'Hoja 4 - Cálculo'!I42+'Hoja 4 - Cálculo'!J42+'Hoja 4 - Cálculo'!K42)))</f>
        <v>8</v>
      </c>
      <c r="I2181" s="15">
        <f t="shared" si="494"/>
        <v>8</v>
      </c>
      <c r="J2181" s="15">
        <f t="shared" si="495"/>
        <v>5</v>
      </c>
      <c r="K2181" s="15">
        <f>MIN(J2181+G2181,(J2181+G2181)*'Hoja 4 - Cálculo'!$B$15)</f>
        <v>0.46643500000000004</v>
      </c>
      <c r="L2181" s="15">
        <f t="shared" si="498"/>
        <v>22.855315000000001</v>
      </c>
      <c r="M2181" s="15">
        <f t="shared" si="499"/>
        <v>8</v>
      </c>
      <c r="N2181" s="15">
        <f t="shared" si="500"/>
        <v>5</v>
      </c>
      <c r="O2181" s="15">
        <f t="shared" si="501"/>
        <v>9.8553150000000009</v>
      </c>
      <c r="P2181" s="15">
        <f t="shared" si="502"/>
        <v>0</v>
      </c>
      <c r="Q2181" s="14" t="str">
        <f>IF(M2181&gt;=I2181*'Hoja 4 - Cálculo'!$B$16,"Satisfactorio","Falla")</f>
        <v>Satisfactorio</v>
      </c>
      <c r="R2181" s="14">
        <f t="shared" si="496"/>
        <v>0</v>
      </c>
      <c r="S2181" s="14">
        <f t="shared" si="497"/>
        <v>0</v>
      </c>
    </row>
    <row r="2182" spans="1:19">
      <c r="A2182" s="14" t="str">
        <f t="shared" si="492"/>
        <v>CFG-1</v>
      </c>
      <c r="B2182" s="15">
        <f>'Curvas SRY'!$E$11</f>
        <v>5</v>
      </c>
      <c r="C2182" s="15">
        <f>1</f>
        <v>1</v>
      </c>
      <c r="D2182" s="14" t="str">
        <f t="shared" si="493"/>
        <v>Uso único</v>
      </c>
      <c r="E2182" s="14">
        <f>19</f>
        <v>19</v>
      </c>
      <c r="F2182" s="21">
        <f>'Hoja 4 - Cálculo'!A43</f>
        <v>30133</v>
      </c>
      <c r="G2182" s="15">
        <f>'Hoja 4 - Cálculo'!H43</f>
        <v>15.3765</v>
      </c>
      <c r="H2182" s="15">
        <f>IF(D2182="Uso único",'Hoja 4 - Cálculo'!I43,IF(D2182="Uso múltiple",AVERAGE('Hoja 4 - Cálculo'!$I$25:$I$384)+AVERAGE('Hoja 4 - Cálculo'!$J$25:$J$384)+AVERAGE('Hoja 4 - Cálculo'!$K$25:$K$384),IF(D2182="Uso prioritario",'Hoja 4 - Cálculo'!I43+'Hoja 4 - Cálculo'!K43,'Hoja 4 - Cálculo'!I43+'Hoja 4 - Cálculo'!J43+'Hoja 4 - Cálculo'!K43)))</f>
        <v>8</v>
      </c>
      <c r="I2182" s="15">
        <f t="shared" si="494"/>
        <v>8</v>
      </c>
      <c r="J2182" s="15">
        <f t="shared" si="495"/>
        <v>5</v>
      </c>
      <c r="K2182" s="15">
        <f>MIN(J2182+G2182,(J2182+G2182)*'Hoja 4 - Cálculo'!$B$15)</f>
        <v>0.40753</v>
      </c>
      <c r="L2182" s="15">
        <f t="shared" si="498"/>
        <v>19.968969999999999</v>
      </c>
      <c r="M2182" s="15">
        <f t="shared" si="499"/>
        <v>8</v>
      </c>
      <c r="N2182" s="15">
        <f t="shared" si="500"/>
        <v>5</v>
      </c>
      <c r="O2182" s="15">
        <f t="shared" si="501"/>
        <v>6.9689699999999988</v>
      </c>
      <c r="P2182" s="15">
        <f t="shared" si="502"/>
        <v>0</v>
      </c>
      <c r="Q2182" s="14" t="str">
        <f>IF(M2182&gt;=I2182*'Hoja 4 - Cálculo'!$B$16,"Satisfactorio","Falla")</f>
        <v>Satisfactorio</v>
      </c>
      <c r="R2182" s="14">
        <f t="shared" si="496"/>
        <v>0</v>
      </c>
      <c r="S2182" s="14">
        <f t="shared" si="497"/>
        <v>0</v>
      </c>
    </row>
    <row r="2183" spans="1:19">
      <c r="A2183" s="14" t="str">
        <f t="shared" si="492"/>
        <v>CFG-1</v>
      </c>
      <c r="B2183" s="15">
        <f>'Curvas SRY'!$E$11</f>
        <v>5</v>
      </c>
      <c r="C2183" s="15">
        <f>1</f>
        <v>1</v>
      </c>
      <c r="D2183" s="14" t="str">
        <f t="shared" si="493"/>
        <v>Uso único</v>
      </c>
      <c r="E2183" s="14">
        <f>20</f>
        <v>20</v>
      </c>
      <c r="F2183" s="21">
        <f>'Hoja 4 - Cálculo'!A44</f>
        <v>30164</v>
      </c>
      <c r="G2183" s="15">
        <f>'Hoja 4 - Cálculo'!H44</f>
        <v>16.466625000000001</v>
      </c>
      <c r="H2183" s="15">
        <f>IF(D2183="Uso único",'Hoja 4 - Cálculo'!I44,IF(D2183="Uso múltiple",AVERAGE('Hoja 4 - Cálculo'!$I$25:$I$384)+AVERAGE('Hoja 4 - Cálculo'!$J$25:$J$384)+AVERAGE('Hoja 4 - Cálculo'!$K$25:$K$384),IF(D2183="Uso prioritario",'Hoja 4 - Cálculo'!I44+'Hoja 4 - Cálculo'!K44,'Hoja 4 - Cálculo'!I44+'Hoja 4 - Cálculo'!J44+'Hoja 4 - Cálculo'!K44)))</f>
        <v>8</v>
      </c>
      <c r="I2183" s="15">
        <f t="shared" si="494"/>
        <v>8</v>
      </c>
      <c r="J2183" s="15">
        <f t="shared" si="495"/>
        <v>5</v>
      </c>
      <c r="K2183" s="15">
        <f>MIN(J2183+G2183,(J2183+G2183)*'Hoja 4 - Cálculo'!$B$15)</f>
        <v>0.42933250000000001</v>
      </c>
      <c r="L2183" s="15">
        <f t="shared" si="498"/>
        <v>21.0372925</v>
      </c>
      <c r="M2183" s="15">
        <f t="shared" si="499"/>
        <v>8</v>
      </c>
      <c r="N2183" s="15">
        <f t="shared" si="500"/>
        <v>5</v>
      </c>
      <c r="O2183" s="15">
        <f t="shared" si="501"/>
        <v>8.0372924999999995</v>
      </c>
      <c r="P2183" s="15">
        <f t="shared" si="502"/>
        <v>0</v>
      </c>
      <c r="Q2183" s="14" t="str">
        <f>IF(M2183&gt;=I2183*'Hoja 4 - Cálculo'!$B$16,"Satisfactorio","Falla")</f>
        <v>Satisfactorio</v>
      </c>
      <c r="R2183" s="14">
        <f t="shared" si="496"/>
        <v>0</v>
      </c>
      <c r="S2183" s="14">
        <f t="shared" si="497"/>
        <v>0</v>
      </c>
    </row>
    <row r="2184" spans="1:19">
      <c r="A2184" s="14" t="str">
        <f t="shared" si="492"/>
        <v>CFG-1</v>
      </c>
      <c r="B2184" s="15">
        <f>'Curvas SRY'!$E$11</f>
        <v>5</v>
      </c>
      <c r="C2184" s="15">
        <f>1</f>
        <v>1</v>
      </c>
      <c r="D2184" s="14" t="str">
        <f t="shared" si="493"/>
        <v>Uso único</v>
      </c>
      <c r="E2184" s="14">
        <f>21</f>
        <v>21</v>
      </c>
      <c r="F2184" s="21">
        <f>'Hoja 4 - Cálculo'!A45</f>
        <v>30195</v>
      </c>
      <c r="G2184" s="15">
        <f>'Hoja 4 - Cálculo'!H45</f>
        <v>25.837875</v>
      </c>
      <c r="H2184" s="15">
        <f>IF(D2184="Uso único",'Hoja 4 - Cálculo'!I45,IF(D2184="Uso múltiple",AVERAGE('Hoja 4 - Cálculo'!$I$25:$I$384)+AVERAGE('Hoja 4 - Cálculo'!$J$25:$J$384)+AVERAGE('Hoja 4 - Cálculo'!$K$25:$K$384),IF(D2184="Uso prioritario",'Hoja 4 - Cálculo'!I45+'Hoja 4 - Cálculo'!K45,'Hoja 4 - Cálculo'!I45+'Hoja 4 - Cálculo'!J45+'Hoja 4 - Cálculo'!K45)))</f>
        <v>8</v>
      </c>
      <c r="I2184" s="15">
        <f t="shared" si="494"/>
        <v>8</v>
      </c>
      <c r="J2184" s="15">
        <f t="shared" si="495"/>
        <v>5</v>
      </c>
      <c r="K2184" s="15">
        <f>MIN(J2184+G2184,(J2184+G2184)*'Hoja 4 - Cálculo'!$B$15)</f>
        <v>0.61675750000000007</v>
      </c>
      <c r="L2184" s="15">
        <f t="shared" si="498"/>
        <v>30.221117500000002</v>
      </c>
      <c r="M2184" s="15">
        <f t="shared" si="499"/>
        <v>8</v>
      </c>
      <c r="N2184" s="15">
        <f t="shared" si="500"/>
        <v>5</v>
      </c>
      <c r="O2184" s="15">
        <f t="shared" si="501"/>
        <v>17.221117500000002</v>
      </c>
      <c r="P2184" s="15">
        <f t="shared" si="502"/>
        <v>0</v>
      </c>
      <c r="Q2184" s="14" t="str">
        <f>IF(M2184&gt;=I2184*'Hoja 4 - Cálculo'!$B$16,"Satisfactorio","Falla")</f>
        <v>Satisfactorio</v>
      </c>
      <c r="R2184" s="14">
        <f t="shared" si="496"/>
        <v>0</v>
      </c>
      <c r="S2184" s="14">
        <f t="shared" si="497"/>
        <v>0</v>
      </c>
    </row>
    <row r="2185" spans="1:19">
      <c r="A2185" s="14" t="str">
        <f t="shared" si="492"/>
        <v>CFG-1</v>
      </c>
      <c r="B2185" s="15">
        <f>'Curvas SRY'!$E$11</f>
        <v>5</v>
      </c>
      <c r="C2185" s="15">
        <f>1</f>
        <v>1</v>
      </c>
      <c r="D2185" s="14" t="str">
        <f t="shared" si="493"/>
        <v>Uso único</v>
      </c>
      <c r="E2185" s="14">
        <f>22</f>
        <v>22</v>
      </c>
      <c r="F2185" s="21">
        <f>'Hoja 4 - Cálculo'!A46</f>
        <v>30225</v>
      </c>
      <c r="G2185" s="15">
        <f>'Hoja 4 - Cálculo'!H46</f>
        <v>33.46875</v>
      </c>
      <c r="H2185" s="15">
        <f>IF(D2185="Uso único",'Hoja 4 - Cálculo'!I46,IF(D2185="Uso múltiple",AVERAGE('Hoja 4 - Cálculo'!$I$25:$I$384)+AVERAGE('Hoja 4 - Cálculo'!$J$25:$J$384)+AVERAGE('Hoja 4 - Cálculo'!$K$25:$K$384),IF(D2185="Uso prioritario",'Hoja 4 - Cálculo'!I46+'Hoja 4 - Cálculo'!K46,'Hoja 4 - Cálculo'!I46+'Hoja 4 - Cálculo'!J46+'Hoja 4 - Cálculo'!K46)))</f>
        <v>8</v>
      </c>
      <c r="I2185" s="15">
        <f t="shared" si="494"/>
        <v>8</v>
      </c>
      <c r="J2185" s="15">
        <f t="shared" si="495"/>
        <v>5</v>
      </c>
      <c r="K2185" s="15">
        <f>MIN(J2185+G2185,(J2185+G2185)*'Hoja 4 - Cálculo'!$B$15)</f>
        <v>0.76937500000000003</v>
      </c>
      <c r="L2185" s="15">
        <f t="shared" si="498"/>
        <v>37.699375000000003</v>
      </c>
      <c r="M2185" s="15">
        <f t="shared" si="499"/>
        <v>8</v>
      </c>
      <c r="N2185" s="15">
        <f t="shared" si="500"/>
        <v>5</v>
      </c>
      <c r="O2185" s="15">
        <f t="shared" si="501"/>
        <v>24.699375000000003</v>
      </c>
      <c r="P2185" s="15">
        <f t="shared" si="502"/>
        <v>0</v>
      </c>
      <c r="Q2185" s="14" t="str">
        <f>IF(M2185&gt;=I2185*'Hoja 4 - Cálculo'!$B$16,"Satisfactorio","Falla")</f>
        <v>Satisfactorio</v>
      </c>
      <c r="R2185" s="14">
        <f t="shared" si="496"/>
        <v>0</v>
      </c>
      <c r="S2185" s="14">
        <f t="shared" si="497"/>
        <v>0</v>
      </c>
    </row>
    <row r="2186" spans="1:19">
      <c r="A2186" s="14" t="str">
        <f t="shared" si="492"/>
        <v>CFG-1</v>
      </c>
      <c r="B2186" s="15">
        <f>'Curvas SRY'!$E$11</f>
        <v>5</v>
      </c>
      <c r="C2186" s="15">
        <f>1</f>
        <v>1</v>
      </c>
      <c r="D2186" s="14" t="str">
        <f t="shared" si="493"/>
        <v>Uso único</v>
      </c>
      <c r="E2186" s="14">
        <f>23</f>
        <v>23</v>
      </c>
      <c r="F2186" s="21">
        <f>'Hoja 4 - Cálculo'!A47</f>
        <v>30256</v>
      </c>
      <c r="G2186" s="15">
        <f>'Hoja 4 - Cálculo'!H47</f>
        <v>27.578250000000001</v>
      </c>
      <c r="H2186" s="15">
        <f>IF(D2186="Uso único",'Hoja 4 - Cálculo'!I47,IF(D2186="Uso múltiple",AVERAGE('Hoja 4 - Cálculo'!$I$25:$I$384)+AVERAGE('Hoja 4 - Cálculo'!$J$25:$J$384)+AVERAGE('Hoja 4 - Cálculo'!$K$25:$K$384),IF(D2186="Uso prioritario",'Hoja 4 - Cálculo'!I47+'Hoja 4 - Cálculo'!K47,'Hoja 4 - Cálculo'!I47+'Hoja 4 - Cálculo'!J47+'Hoja 4 - Cálculo'!K47)))</f>
        <v>8</v>
      </c>
      <c r="I2186" s="15">
        <f t="shared" si="494"/>
        <v>8</v>
      </c>
      <c r="J2186" s="15">
        <f t="shared" si="495"/>
        <v>5</v>
      </c>
      <c r="K2186" s="15">
        <f>MIN(J2186+G2186,(J2186+G2186)*'Hoja 4 - Cálculo'!$B$15)</f>
        <v>0.65156499999999995</v>
      </c>
      <c r="L2186" s="15">
        <f t="shared" si="498"/>
        <v>31.926684999999996</v>
      </c>
      <c r="M2186" s="15">
        <f t="shared" si="499"/>
        <v>8</v>
      </c>
      <c r="N2186" s="15">
        <f t="shared" si="500"/>
        <v>5</v>
      </c>
      <c r="O2186" s="15">
        <f t="shared" si="501"/>
        <v>18.926684999999996</v>
      </c>
      <c r="P2186" s="15">
        <f t="shared" si="502"/>
        <v>0</v>
      </c>
      <c r="Q2186" s="14" t="str">
        <f>IF(M2186&gt;=I2186*'Hoja 4 - Cálculo'!$B$16,"Satisfactorio","Falla")</f>
        <v>Satisfactorio</v>
      </c>
      <c r="R2186" s="14">
        <f t="shared" si="496"/>
        <v>0</v>
      </c>
      <c r="S2186" s="14">
        <f t="shared" si="497"/>
        <v>0</v>
      </c>
    </row>
    <row r="2187" spans="1:19">
      <c r="A2187" s="14" t="str">
        <f t="shared" si="492"/>
        <v>CFG-1</v>
      </c>
      <c r="B2187" s="15">
        <f>'Curvas SRY'!$E$11</f>
        <v>5</v>
      </c>
      <c r="C2187" s="15">
        <f>1</f>
        <v>1</v>
      </c>
      <c r="D2187" s="14" t="str">
        <f t="shared" si="493"/>
        <v>Uso único</v>
      </c>
      <c r="E2187" s="14">
        <f>24</f>
        <v>24</v>
      </c>
      <c r="F2187" s="21">
        <f>'Hoja 4 - Cálculo'!A48</f>
        <v>30286</v>
      </c>
      <c r="G2187" s="15">
        <f>'Hoja 4 - Cálculo'!H48</f>
        <v>16.256250000000001</v>
      </c>
      <c r="H2187" s="15">
        <f>IF(D2187="Uso único",'Hoja 4 - Cálculo'!I48,IF(D2187="Uso múltiple",AVERAGE('Hoja 4 - Cálculo'!$I$25:$I$384)+AVERAGE('Hoja 4 - Cálculo'!$J$25:$J$384)+AVERAGE('Hoja 4 - Cálculo'!$K$25:$K$384),IF(D2187="Uso prioritario",'Hoja 4 - Cálculo'!I48+'Hoja 4 - Cálculo'!K48,'Hoja 4 - Cálculo'!I48+'Hoja 4 - Cálculo'!J48+'Hoja 4 - Cálculo'!K48)))</f>
        <v>8</v>
      </c>
      <c r="I2187" s="15">
        <f t="shared" si="494"/>
        <v>8</v>
      </c>
      <c r="J2187" s="15">
        <f t="shared" si="495"/>
        <v>5</v>
      </c>
      <c r="K2187" s="15">
        <f>MIN(J2187+G2187,(J2187+G2187)*'Hoja 4 - Cálculo'!$B$15)</f>
        <v>0.42512500000000003</v>
      </c>
      <c r="L2187" s="15">
        <f t="shared" si="498"/>
        <v>20.831125</v>
      </c>
      <c r="M2187" s="15">
        <f t="shared" si="499"/>
        <v>8</v>
      </c>
      <c r="N2187" s="15">
        <f t="shared" si="500"/>
        <v>5</v>
      </c>
      <c r="O2187" s="15">
        <f t="shared" si="501"/>
        <v>7.8311250000000001</v>
      </c>
      <c r="P2187" s="15">
        <f t="shared" si="502"/>
        <v>0</v>
      </c>
      <c r="Q2187" s="14" t="str">
        <f>IF(M2187&gt;=I2187*'Hoja 4 - Cálculo'!$B$16,"Satisfactorio","Falla")</f>
        <v>Satisfactorio</v>
      </c>
      <c r="R2187" s="14">
        <f t="shared" si="496"/>
        <v>0</v>
      </c>
      <c r="S2187" s="14">
        <f t="shared" si="497"/>
        <v>0</v>
      </c>
    </row>
    <row r="2188" spans="1:19">
      <c r="A2188" s="14" t="str">
        <f t="shared" si="492"/>
        <v>CFG-1</v>
      </c>
      <c r="B2188" s="15">
        <f>'Curvas SRY'!$E$11</f>
        <v>5</v>
      </c>
      <c r="C2188" s="15">
        <f>1</f>
        <v>1</v>
      </c>
      <c r="D2188" s="14" t="str">
        <f t="shared" si="493"/>
        <v>Uso único</v>
      </c>
      <c r="E2188" s="14">
        <f>25</f>
        <v>25</v>
      </c>
      <c r="F2188" s="21">
        <f>'Hoja 4 - Cálculo'!A49</f>
        <v>30317</v>
      </c>
      <c r="G2188" s="15">
        <f>'Hoja 4 - Cálculo'!H49</f>
        <v>12.775499999999999</v>
      </c>
      <c r="H2188" s="15">
        <f>IF(D2188="Uso único",'Hoja 4 - Cálculo'!I49,IF(D2188="Uso múltiple",AVERAGE('Hoja 4 - Cálculo'!$I$25:$I$384)+AVERAGE('Hoja 4 - Cálculo'!$J$25:$J$384)+AVERAGE('Hoja 4 - Cálculo'!$K$25:$K$384),IF(D2188="Uso prioritario",'Hoja 4 - Cálculo'!I49+'Hoja 4 - Cálculo'!K49,'Hoja 4 - Cálculo'!I49+'Hoja 4 - Cálculo'!J49+'Hoja 4 - Cálculo'!K49)))</f>
        <v>8</v>
      </c>
      <c r="I2188" s="15">
        <f t="shared" si="494"/>
        <v>8</v>
      </c>
      <c r="J2188" s="15">
        <f t="shared" si="495"/>
        <v>5</v>
      </c>
      <c r="K2188" s="15">
        <f>MIN(J2188+G2188,(J2188+G2188)*'Hoja 4 - Cálculo'!$B$15)</f>
        <v>0.35551000000000005</v>
      </c>
      <c r="L2188" s="15">
        <f t="shared" si="498"/>
        <v>17.419990000000002</v>
      </c>
      <c r="M2188" s="15">
        <f t="shared" si="499"/>
        <v>8</v>
      </c>
      <c r="N2188" s="15">
        <f t="shared" si="500"/>
        <v>5</v>
      </c>
      <c r="O2188" s="15">
        <f t="shared" si="501"/>
        <v>4.4199900000000021</v>
      </c>
      <c r="P2188" s="15">
        <f t="shared" si="502"/>
        <v>0</v>
      </c>
      <c r="Q2188" s="14" t="str">
        <f>IF(M2188&gt;=I2188*'Hoja 4 - Cálculo'!$B$16,"Satisfactorio","Falla")</f>
        <v>Satisfactorio</v>
      </c>
      <c r="R2188" s="14">
        <f t="shared" si="496"/>
        <v>0</v>
      </c>
      <c r="S2188" s="14">
        <f t="shared" si="497"/>
        <v>0</v>
      </c>
    </row>
    <row r="2189" spans="1:19">
      <c r="A2189" s="14" t="str">
        <f t="shared" si="492"/>
        <v>CFG-1</v>
      </c>
      <c r="B2189" s="15">
        <f>'Curvas SRY'!$E$11</f>
        <v>5</v>
      </c>
      <c r="C2189" s="15">
        <f>1</f>
        <v>1</v>
      </c>
      <c r="D2189" s="14" t="str">
        <f t="shared" si="493"/>
        <v>Uso único</v>
      </c>
      <c r="E2189" s="14">
        <f>26</f>
        <v>26</v>
      </c>
      <c r="F2189" s="21">
        <f>'Hoja 4 - Cálculo'!A50</f>
        <v>30348</v>
      </c>
      <c r="G2189" s="15">
        <f>'Hoja 4 - Cálculo'!H50</f>
        <v>14.49675</v>
      </c>
      <c r="H2189" s="15">
        <f>IF(D2189="Uso único",'Hoja 4 - Cálculo'!I50,IF(D2189="Uso múltiple",AVERAGE('Hoja 4 - Cálculo'!$I$25:$I$384)+AVERAGE('Hoja 4 - Cálculo'!$J$25:$J$384)+AVERAGE('Hoja 4 - Cálculo'!$K$25:$K$384),IF(D2189="Uso prioritario",'Hoja 4 - Cálculo'!I50+'Hoja 4 - Cálculo'!K50,'Hoja 4 - Cálculo'!I50+'Hoja 4 - Cálculo'!J50+'Hoja 4 - Cálculo'!K50)))</f>
        <v>8</v>
      </c>
      <c r="I2189" s="15">
        <f t="shared" si="494"/>
        <v>8</v>
      </c>
      <c r="J2189" s="15">
        <f t="shared" si="495"/>
        <v>5</v>
      </c>
      <c r="K2189" s="15">
        <f>MIN(J2189+G2189,(J2189+G2189)*'Hoja 4 - Cálculo'!$B$15)</f>
        <v>0.38993499999999998</v>
      </c>
      <c r="L2189" s="15">
        <f t="shared" si="498"/>
        <v>19.106814999999997</v>
      </c>
      <c r="M2189" s="15">
        <f t="shared" si="499"/>
        <v>8</v>
      </c>
      <c r="N2189" s="15">
        <f t="shared" si="500"/>
        <v>5</v>
      </c>
      <c r="O2189" s="15">
        <f t="shared" si="501"/>
        <v>6.1068149999999974</v>
      </c>
      <c r="P2189" s="15">
        <f t="shared" si="502"/>
        <v>0</v>
      </c>
      <c r="Q2189" s="14" t="str">
        <f>IF(M2189&gt;=I2189*'Hoja 4 - Cálculo'!$B$16,"Satisfactorio","Falla")</f>
        <v>Satisfactorio</v>
      </c>
      <c r="R2189" s="14">
        <f t="shared" si="496"/>
        <v>0</v>
      </c>
      <c r="S2189" s="14">
        <f t="shared" si="497"/>
        <v>0</v>
      </c>
    </row>
    <row r="2190" spans="1:19">
      <c r="A2190" s="14" t="str">
        <f t="shared" si="492"/>
        <v>CFG-1</v>
      </c>
      <c r="B2190" s="15">
        <f>'Curvas SRY'!$E$11</f>
        <v>5</v>
      </c>
      <c r="C2190" s="15">
        <f>1</f>
        <v>1</v>
      </c>
      <c r="D2190" s="14" t="str">
        <f t="shared" si="493"/>
        <v>Uso único</v>
      </c>
      <c r="E2190" s="14">
        <f>27</f>
        <v>27</v>
      </c>
      <c r="F2190" s="21">
        <f>'Hoja 4 - Cálculo'!A51</f>
        <v>30376</v>
      </c>
      <c r="G2190" s="15">
        <f>'Hoja 4 - Cálculo'!H51</f>
        <v>21.936375000000002</v>
      </c>
      <c r="H2190" s="15">
        <f>IF(D2190="Uso único",'Hoja 4 - Cálculo'!I51,IF(D2190="Uso múltiple",AVERAGE('Hoja 4 - Cálculo'!$I$25:$I$384)+AVERAGE('Hoja 4 - Cálculo'!$J$25:$J$384)+AVERAGE('Hoja 4 - Cálculo'!$K$25:$K$384),IF(D2190="Uso prioritario",'Hoja 4 - Cálculo'!I51+'Hoja 4 - Cálculo'!K51,'Hoja 4 - Cálculo'!I51+'Hoja 4 - Cálculo'!J51+'Hoja 4 - Cálculo'!K51)))</f>
        <v>8</v>
      </c>
      <c r="I2190" s="15">
        <f t="shared" si="494"/>
        <v>8</v>
      </c>
      <c r="J2190" s="15">
        <f t="shared" si="495"/>
        <v>5</v>
      </c>
      <c r="K2190" s="15">
        <f>MIN(J2190+G2190,(J2190+G2190)*'Hoja 4 - Cálculo'!$B$15)</f>
        <v>0.53872750000000003</v>
      </c>
      <c r="L2190" s="15">
        <f t="shared" si="498"/>
        <v>26.397647500000001</v>
      </c>
      <c r="M2190" s="15">
        <f t="shared" si="499"/>
        <v>8</v>
      </c>
      <c r="N2190" s="15">
        <f t="shared" si="500"/>
        <v>5</v>
      </c>
      <c r="O2190" s="15">
        <f t="shared" si="501"/>
        <v>13.397647500000001</v>
      </c>
      <c r="P2190" s="15">
        <f t="shared" si="502"/>
        <v>0</v>
      </c>
      <c r="Q2190" s="14" t="str">
        <f>IF(M2190&gt;=I2190*'Hoja 4 - Cálculo'!$B$16,"Satisfactorio","Falla")</f>
        <v>Satisfactorio</v>
      </c>
      <c r="R2190" s="14">
        <f t="shared" si="496"/>
        <v>0</v>
      </c>
      <c r="S2190" s="14">
        <f t="shared" si="497"/>
        <v>0</v>
      </c>
    </row>
    <row r="2191" spans="1:19">
      <c r="A2191" s="14" t="str">
        <f t="shared" si="492"/>
        <v>CFG-1</v>
      </c>
      <c r="B2191" s="15">
        <f>'Curvas SRY'!$E$11</f>
        <v>5</v>
      </c>
      <c r="C2191" s="15">
        <f>1</f>
        <v>1</v>
      </c>
      <c r="D2191" s="14" t="str">
        <f t="shared" si="493"/>
        <v>Uso único</v>
      </c>
      <c r="E2191" s="14">
        <f>28</f>
        <v>28</v>
      </c>
      <c r="F2191" s="21">
        <f>'Hoja 4 - Cálculo'!A52</f>
        <v>30407</v>
      </c>
      <c r="G2191" s="15">
        <f>'Hoja 4 - Cálculo'!H52</f>
        <v>32.263874999999999</v>
      </c>
      <c r="H2191" s="15">
        <f>IF(D2191="Uso único",'Hoja 4 - Cálculo'!I52,IF(D2191="Uso múltiple",AVERAGE('Hoja 4 - Cálculo'!$I$25:$I$384)+AVERAGE('Hoja 4 - Cálculo'!$J$25:$J$384)+AVERAGE('Hoja 4 - Cálculo'!$K$25:$K$384),IF(D2191="Uso prioritario",'Hoja 4 - Cálculo'!I52+'Hoja 4 - Cálculo'!K52,'Hoja 4 - Cálculo'!I52+'Hoja 4 - Cálculo'!J52+'Hoja 4 - Cálculo'!K52)))</f>
        <v>8</v>
      </c>
      <c r="I2191" s="15">
        <f t="shared" si="494"/>
        <v>8</v>
      </c>
      <c r="J2191" s="15">
        <f t="shared" si="495"/>
        <v>5</v>
      </c>
      <c r="K2191" s="15">
        <f>MIN(J2191+G2191,(J2191+G2191)*'Hoja 4 - Cálculo'!$B$15)</f>
        <v>0.74527750000000004</v>
      </c>
      <c r="L2191" s="15">
        <f t="shared" si="498"/>
        <v>36.518597499999998</v>
      </c>
      <c r="M2191" s="15">
        <f t="shared" si="499"/>
        <v>8</v>
      </c>
      <c r="N2191" s="15">
        <f t="shared" si="500"/>
        <v>5</v>
      </c>
      <c r="O2191" s="15">
        <f t="shared" si="501"/>
        <v>23.518597499999998</v>
      </c>
      <c r="P2191" s="15">
        <f t="shared" si="502"/>
        <v>0</v>
      </c>
      <c r="Q2191" s="14" t="str">
        <f>IF(M2191&gt;=I2191*'Hoja 4 - Cálculo'!$B$16,"Satisfactorio","Falla")</f>
        <v>Satisfactorio</v>
      </c>
      <c r="R2191" s="14">
        <f t="shared" si="496"/>
        <v>0</v>
      </c>
      <c r="S2191" s="14">
        <f t="shared" si="497"/>
        <v>0</v>
      </c>
    </row>
    <row r="2192" spans="1:19">
      <c r="A2192" s="14" t="str">
        <f t="shared" si="492"/>
        <v>CFG-1</v>
      </c>
      <c r="B2192" s="15">
        <f>'Curvas SRY'!$E$11</f>
        <v>5</v>
      </c>
      <c r="C2192" s="15">
        <f>1</f>
        <v>1</v>
      </c>
      <c r="D2192" s="14" t="str">
        <f t="shared" si="493"/>
        <v>Uso único</v>
      </c>
      <c r="E2192" s="14">
        <f>29</f>
        <v>29</v>
      </c>
      <c r="F2192" s="21">
        <f>'Hoja 4 - Cálculo'!A53</f>
        <v>30437</v>
      </c>
      <c r="G2192" s="15">
        <f>'Hoja 4 - Cálculo'!H53</f>
        <v>29.356874999999999</v>
      </c>
      <c r="H2192" s="15">
        <f>IF(D2192="Uso único",'Hoja 4 - Cálculo'!I53,IF(D2192="Uso múltiple",AVERAGE('Hoja 4 - Cálculo'!$I$25:$I$384)+AVERAGE('Hoja 4 - Cálculo'!$J$25:$J$384)+AVERAGE('Hoja 4 - Cálculo'!$K$25:$K$384),IF(D2192="Uso prioritario",'Hoja 4 - Cálculo'!I53+'Hoja 4 - Cálculo'!K53,'Hoja 4 - Cálculo'!I53+'Hoja 4 - Cálculo'!J53+'Hoja 4 - Cálculo'!K53)))</f>
        <v>8</v>
      </c>
      <c r="I2192" s="15">
        <f t="shared" si="494"/>
        <v>8</v>
      </c>
      <c r="J2192" s="15">
        <f t="shared" si="495"/>
        <v>5</v>
      </c>
      <c r="K2192" s="15">
        <f>MIN(J2192+G2192,(J2192+G2192)*'Hoja 4 - Cálculo'!$B$15)</f>
        <v>0.68713750000000007</v>
      </c>
      <c r="L2192" s="15">
        <f t="shared" si="498"/>
        <v>33.669737500000004</v>
      </c>
      <c r="M2192" s="15">
        <f t="shared" si="499"/>
        <v>8</v>
      </c>
      <c r="N2192" s="15">
        <f t="shared" si="500"/>
        <v>5</v>
      </c>
      <c r="O2192" s="15">
        <f t="shared" si="501"/>
        <v>20.669737500000004</v>
      </c>
      <c r="P2192" s="15">
        <f t="shared" si="502"/>
        <v>0</v>
      </c>
      <c r="Q2192" s="14" t="str">
        <f>IF(M2192&gt;=I2192*'Hoja 4 - Cálculo'!$B$16,"Satisfactorio","Falla")</f>
        <v>Satisfactorio</v>
      </c>
      <c r="R2192" s="14">
        <f t="shared" si="496"/>
        <v>0</v>
      </c>
      <c r="S2192" s="14">
        <f t="shared" si="497"/>
        <v>0</v>
      </c>
    </row>
    <row r="2193" spans="1:19">
      <c r="A2193" s="14" t="str">
        <f t="shared" si="492"/>
        <v>CFG-1</v>
      </c>
      <c r="B2193" s="15">
        <f>'Curvas SRY'!$E$11</f>
        <v>5</v>
      </c>
      <c r="C2193" s="15">
        <f>1</f>
        <v>1</v>
      </c>
      <c r="D2193" s="14" t="str">
        <f t="shared" si="493"/>
        <v>Uso único</v>
      </c>
      <c r="E2193" s="14">
        <f>30</f>
        <v>30</v>
      </c>
      <c r="F2193" s="21">
        <f>'Hoja 4 - Cálculo'!A54</f>
        <v>30468</v>
      </c>
      <c r="G2193" s="15">
        <f>'Hoja 4 - Cálculo'!H54</f>
        <v>17.212499999999999</v>
      </c>
      <c r="H2193" s="15">
        <f>IF(D2193="Uso único",'Hoja 4 - Cálculo'!I54,IF(D2193="Uso múltiple",AVERAGE('Hoja 4 - Cálculo'!$I$25:$I$384)+AVERAGE('Hoja 4 - Cálculo'!$J$25:$J$384)+AVERAGE('Hoja 4 - Cálculo'!$K$25:$K$384),IF(D2193="Uso prioritario",'Hoja 4 - Cálculo'!I54+'Hoja 4 - Cálculo'!K54,'Hoja 4 - Cálculo'!I54+'Hoja 4 - Cálculo'!J54+'Hoja 4 - Cálculo'!K54)))</f>
        <v>8</v>
      </c>
      <c r="I2193" s="15">
        <f t="shared" si="494"/>
        <v>8</v>
      </c>
      <c r="J2193" s="15">
        <f t="shared" si="495"/>
        <v>5</v>
      </c>
      <c r="K2193" s="15">
        <f>MIN(J2193+G2193,(J2193+G2193)*'Hoja 4 - Cálculo'!$B$15)</f>
        <v>0.44424999999999998</v>
      </c>
      <c r="L2193" s="15">
        <f t="shared" si="498"/>
        <v>21.768249999999998</v>
      </c>
      <c r="M2193" s="15">
        <f t="shared" si="499"/>
        <v>8</v>
      </c>
      <c r="N2193" s="15">
        <f t="shared" si="500"/>
        <v>5</v>
      </c>
      <c r="O2193" s="15">
        <f t="shared" si="501"/>
        <v>8.7682499999999983</v>
      </c>
      <c r="P2193" s="15">
        <f t="shared" si="502"/>
        <v>0</v>
      </c>
      <c r="Q2193" s="14" t="str">
        <f>IF(M2193&gt;=I2193*'Hoja 4 - Cálculo'!$B$16,"Satisfactorio","Falla")</f>
        <v>Satisfactorio</v>
      </c>
      <c r="R2193" s="14">
        <f t="shared" si="496"/>
        <v>0</v>
      </c>
      <c r="S2193" s="14">
        <f t="shared" si="497"/>
        <v>0</v>
      </c>
    </row>
    <row r="2194" spans="1:19">
      <c r="A2194" s="14" t="str">
        <f t="shared" si="492"/>
        <v>CFG-1</v>
      </c>
      <c r="B2194" s="15">
        <f>'Curvas SRY'!$E$11</f>
        <v>5</v>
      </c>
      <c r="C2194" s="15">
        <f>1</f>
        <v>1</v>
      </c>
      <c r="D2194" s="14" t="str">
        <f t="shared" si="493"/>
        <v>Uso único</v>
      </c>
      <c r="E2194" s="14">
        <f>31</f>
        <v>31</v>
      </c>
      <c r="F2194" s="21">
        <f>'Hoja 4 - Cálculo'!A55</f>
        <v>30498</v>
      </c>
      <c r="G2194" s="15">
        <f>'Hoja 4 - Cálculo'!H55</f>
        <v>13.597875</v>
      </c>
      <c r="H2194" s="15">
        <f>IF(D2194="Uso único",'Hoja 4 - Cálculo'!I55,IF(D2194="Uso múltiple",AVERAGE('Hoja 4 - Cálculo'!$I$25:$I$384)+AVERAGE('Hoja 4 - Cálculo'!$J$25:$J$384)+AVERAGE('Hoja 4 - Cálculo'!$K$25:$K$384),IF(D2194="Uso prioritario",'Hoja 4 - Cálculo'!I55+'Hoja 4 - Cálculo'!K55,'Hoja 4 - Cálculo'!I55+'Hoja 4 - Cálculo'!J55+'Hoja 4 - Cálculo'!K55)))</f>
        <v>8</v>
      </c>
      <c r="I2194" s="15">
        <f t="shared" si="494"/>
        <v>8</v>
      </c>
      <c r="J2194" s="15">
        <f t="shared" si="495"/>
        <v>5</v>
      </c>
      <c r="K2194" s="15">
        <f>MIN(J2194+G2194,(J2194+G2194)*'Hoja 4 - Cálculo'!$B$15)</f>
        <v>0.37195750000000005</v>
      </c>
      <c r="L2194" s="15">
        <f t="shared" si="498"/>
        <v>18.225917500000001</v>
      </c>
      <c r="M2194" s="15">
        <f t="shared" si="499"/>
        <v>8</v>
      </c>
      <c r="N2194" s="15">
        <f t="shared" si="500"/>
        <v>5</v>
      </c>
      <c r="O2194" s="15">
        <f t="shared" si="501"/>
        <v>5.2259175000000013</v>
      </c>
      <c r="P2194" s="15">
        <f t="shared" si="502"/>
        <v>0</v>
      </c>
      <c r="Q2194" s="14" t="str">
        <f>IF(M2194&gt;=I2194*'Hoja 4 - Cálculo'!$B$16,"Satisfactorio","Falla")</f>
        <v>Satisfactorio</v>
      </c>
      <c r="R2194" s="14">
        <f t="shared" si="496"/>
        <v>0</v>
      </c>
      <c r="S2194" s="14">
        <f t="shared" si="497"/>
        <v>0</v>
      </c>
    </row>
    <row r="2195" spans="1:19">
      <c r="A2195" s="14" t="str">
        <f t="shared" si="492"/>
        <v>CFG-1</v>
      </c>
      <c r="B2195" s="15">
        <f>'Curvas SRY'!$E$11</f>
        <v>5</v>
      </c>
      <c r="C2195" s="15">
        <f>1</f>
        <v>1</v>
      </c>
      <c r="D2195" s="14" t="str">
        <f t="shared" si="493"/>
        <v>Uso único</v>
      </c>
      <c r="E2195" s="14">
        <f>32</f>
        <v>32</v>
      </c>
      <c r="F2195" s="21">
        <f>'Hoja 4 - Cálculo'!A56</f>
        <v>30529</v>
      </c>
      <c r="G2195" s="15">
        <f>'Hoja 4 - Cálculo'!H56</f>
        <v>14.592375000000001</v>
      </c>
      <c r="H2195" s="15">
        <f>IF(D2195="Uso único",'Hoja 4 - Cálculo'!I56,IF(D2195="Uso múltiple",AVERAGE('Hoja 4 - Cálculo'!$I$25:$I$384)+AVERAGE('Hoja 4 - Cálculo'!$J$25:$J$384)+AVERAGE('Hoja 4 - Cálculo'!$K$25:$K$384),IF(D2195="Uso prioritario",'Hoja 4 - Cálculo'!I56+'Hoja 4 - Cálculo'!K56,'Hoja 4 - Cálculo'!I56+'Hoja 4 - Cálculo'!J56+'Hoja 4 - Cálculo'!K56)))</f>
        <v>8</v>
      </c>
      <c r="I2195" s="15">
        <f t="shared" si="494"/>
        <v>8</v>
      </c>
      <c r="J2195" s="15">
        <f t="shared" si="495"/>
        <v>5</v>
      </c>
      <c r="K2195" s="15">
        <f>MIN(J2195+G2195,(J2195+G2195)*'Hoja 4 - Cálculo'!$B$15)</f>
        <v>0.39184750000000002</v>
      </c>
      <c r="L2195" s="15">
        <f t="shared" si="498"/>
        <v>19.2005275</v>
      </c>
      <c r="M2195" s="15">
        <f t="shared" si="499"/>
        <v>8</v>
      </c>
      <c r="N2195" s="15">
        <f t="shared" si="500"/>
        <v>5</v>
      </c>
      <c r="O2195" s="15">
        <f t="shared" si="501"/>
        <v>6.2005274999999997</v>
      </c>
      <c r="P2195" s="15">
        <f t="shared" si="502"/>
        <v>0</v>
      </c>
      <c r="Q2195" s="14" t="str">
        <f>IF(M2195&gt;=I2195*'Hoja 4 - Cálculo'!$B$16,"Satisfactorio","Falla")</f>
        <v>Satisfactorio</v>
      </c>
      <c r="R2195" s="14">
        <f t="shared" si="496"/>
        <v>0</v>
      </c>
      <c r="S2195" s="14">
        <f t="shared" si="497"/>
        <v>0</v>
      </c>
    </row>
    <row r="2196" spans="1:19">
      <c r="A2196" s="14" t="str">
        <f t="shared" ref="A2196:A2227" si="503">"CFG-1"</f>
        <v>CFG-1</v>
      </c>
      <c r="B2196" s="15">
        <f>'Curvas SRY'!$E$11</f>
        <v>5</v>
      </c>
      <c r="C2196" s="15">
        <f>1</f>
        <v>1</v>
      </c>
      <c r="D2196" s="14" t="str">
        <f t="shared" ref="D2196:D2227" si="504">"Uso único"</f>
        <v>Uso único</v>
      </c>
      <c r="E2196" s="14">
        <f>33</f>
        <v>33</v>
      </c>
      <c r="F2196" s="21">
        <f>'Hoja 4 - Cálculo'!A57</f>
        <v>30560</v>
      </c>
      <c r="G2196" s="15">
        <f>'Hoja 4 - Cálculo'!H57</f>
        <v>24.307874999999999</v>
      </c>
      <c r="H2196" s="15">
        <f>IF(D2196="Uso único",'Hoja 4 - Cálculo'!I57,IF(D2196="Uso múltiple",AVERAGE('Hoja 4 - Cálculo'!$I$25:$I$384)+AVERAGE('Hoja 4 - Cálculo'!$J$25:$J$384)+AVERAGE('Hoja 4 - Cálculo'!$K$25:$K$384),IF(D2196="Uso prioritario",'Hoja 4 - Cálculo'!I57+'Hoja 4 - Cálculo'!K57,'Hoja 4 - Cálculo'!I57+'Hoja 4 - Cálculo'!J57+'Hoja 4 - Cálculo'!K57)))</f>
        <v>8</v>
      </c>
      <c r="I2196" s="15">
        <f t="shared" si="494"/>
        <v>8</v>
      </c>
      <c r="J2196" s="15">
        <f t="shared" si="495"/>
        <v>5</v>
      </c>
      <c r="K2196" s="15">
        <f>MIN(J2196+G2196,(J2196+G2196)*'Hoja 4 - Cálculo'!$B$15)</f>
        <v>0.5861575</v>
      </c>
      <c r="L2196" s="15">
        <f t="shared" si="498"/>
        <v>28.7217175</v>
      </c>
      <c r="M2196" s="15">
        <f t="shared" si="499"/>
        <v>8</v>
      </c>
      <c r="N2196" s="15">
        <f t="shared" si="500"/>
        <v>5</v>
      </c>
      <c r="O2196" s="15">
        <f t="shared" si="501"/>
        <v>15.7217175</v>
      </c>
      <c r="P2196" s="15">
        <f t="shared" si="502"/>
        <v>0</v>
      </c>
      <c r="Q2196" s="14" t="str">
        <f>IF(M2196&gt;=I2196*'Hoja 4 - Cálculo'!$B$16,"Satisfactorio","Falla")</f>
        <v>Satisfactorio</v>
      </c>
      <c r="R2196" s="14">
        <f t="shared" si="496"/>
        <v>0</v>
      </c>
      <c r="S2196" s="14">
        <f t="shared" si="497"/>
        <v>0</v>
      </c>
    </row>
    <row r="2197" spans="1:19">
      <c r="A2197" s="14" t="str">
        <f t="shared" si="503"/>
        <v>CFG-1</v>
      </c>
      <c r="B2197" s="15">
        <f>'Curvas SRY'!$E$11</f>
        <v>5</v>
      </c>
      <c r="C2197" s="15">
        <f>1</f>
        <v>1</v>
      </c>
      <c r="D2197" s="14" t="str">
        <f t="shared" si="504"/>
        <v>Uso único</v>
      </c>
      <c r="E2197" s="14">
        <f>34</f>
        <v>34</v>
      </c>
      <c r="F2197" s="21">
        <f>'Hoja 4 - Cálculo'!A58</f>
        <v>30590</v>
      </c>
      <c r="G2197" s="15">
        <f>'Hoja 4 - Cálculo'!H58</f>
        <v>33.564374999999998</v>
      </c>
      <c r="H2197" s="15">
        <f>IF(D2197="Uso único",'Hoja 4 - Cálculo'!I58,IF(D2197="Uso múltiple",AVERAGE('Hoja 4 - Cálculo'!$I$25:$I$384)+AVERAGE('Hoja 4 - Cálculo'!$J$25:$J$384)+AVERAGE('Hoja 4 - Cálculo'!$K$25:$K$384),IF(D2197="Uso prioritario",'Hoja 4 - Cálculo'!I58+'Hoja 4 - Cálculo'!K58,'Hoja 4 - Cálculo'!I58+'Hoja 4 - Cálculo'!J58+'Hoja 4 - Cálculo'!K58)))</f>
        <v>8</v>
      </c>
      <c r="I2197" s="15">
        <f t="shared" si="494"/>
        <v>8</v>
      </c>
      <c r="J2197" s="15">
        <f t="shared" ref="J2197:J2228" si="505">N2196</f>
        <v>5</v>
      </c>
      <c r="K2197" s="15">
        <f>MIN(J2197+G2197,(J2197+G2197)*'Hoja 4 - Cálculo'!$B$15)</f>
        <v>0.77128750000000001</v>
      </c>
      <c r="L2197" s="15">
        <f t="shared" si="498"/>
        <v>37.793087499999999</v>
      </c>
      <c r="M2197" s="15">
        <f t="shared" si="499"/>
        <v>8</v>
      </c>
      <c r="N2197" s="15">
        <f t="shared" si="500"/>
        <v>5</v>
      </c>
      <c r="O2197" s="15">
        <f t="shared" si="501"/>
        <v>24.793087499999999</v>
      </c>
      <c r="P2197" s="15">
        <f t="shared" si="502"/>
        <v>0</v>
      </c>
      <c r="Q2197" s="14" t="str">
        <f>IF(M2197&gt;=I2197*'Hoja 4 - Cálculo'!$B$16,"Satisfactorio","Falla")</f>
        <v>Satisfactorio</v>
      </c>
      <c r="R2197" s="14">
        <f t="shared" ref="R2197:R2228" si="506">IF(AND(Q2196="Falla",Q2197="Satisfactorio"),1,0)</f>
        <v>0</v>
      </c>
      <c r="S2197" s="14">
        <f t="shared" ref="S2197:S2228" si="507">IF(AND(Q2197="Falla",Q2196&lt;&gt;"Falla"),1,0)</f>
        <v>0</v>
      </c>
    </row>
    <row r="2198" spans="1:19">
      <c r="A2198" s="14" t="str">
        <f t="shared" si="503"/>
        <v>CFG-1</v>
      </c>
      <c r="B2198" s="15">
        <f>'Curvas SRY'!$E$11</f>
        <v>5</v>
      </c>
      <c r="C2198" s="15">
        <f>1</f>
        <v>1</v>
      </c>
      <c r="D2198" s="14" t="str">
        <f t="shared" si="504"/>
        <v>Uso único</v>
      </c>
      <c r="E2198" s="14">
        <f>35</f>
        <v>35</v>
      </c>
      <c r="F2198" s="21">
        <f>'Hoja 4 - Cálculo'!A59</f>
        <v>30621</v>
      </c>
      <c r="G2198" s="15">
        <f>'Hoja 4 - Cálculo'!H59</f>
        <v>28.075500000000002</v>
      </c>
      <c r="H2198" s="15">
        <f>IF(D2198="Uso único",'Hoja 4 - Cálculo'!I59,IF(D2198="Uso múltiple",AVERAGE('Hoja 4 - Cálculo'!$I$25:$I$384)+AVERAGE('Hoja 4 - Cálculo'!$J$25:$J$384)+AVERAGE('Hoja 4 - Cálculo'!$K$25:$K$384),IF(D2198="Uso prioritario",'Hoja 4 - Cálculo'!I59+'Hoja 4 - Cálculo'!K59,'Hoja 4 - Cálculo'!I59+'Hoja 4 - Cálculo'!J59+'Hoja 4 - Cálculo'!K59)))</f>
        <v>8</v>
      </c>
      <c r="I2198" s="15">
        <f t="shared" si="494"/>
        <v>8</v>
      </c>
      <c r="J2198" s="15">
        <f t="shared" si="505"/>
        <v>5</v>
      </c>
      <c r="K2198" s="15">
        <f>MIN(J2198+G2198,(J2198+G2198)*'Hoja 4 - Cálculo'!$B$15)</f>
        <v>0.66151000000000015</v>
      </c>
      <c r="L2198" s="15">
        <f t="shared" si="498"/>
        <v>32.413990000000005</v>
      </c>
      <c r="M2198" s="15">
        <f t="shared" si="499"/>
        <v>8</v>
      </c>
      <c r="N2198" s="15">
        <f t="shared" si="500"/>
        <v>5</v>
      </c>
      <c r="O2198" s="15">
        <f t="shared" si="501"/>
        <v>19.413990000000005</v>
      </c>
      <c r="P2198" s="15">
        <f t="shared" si="502"/>
        <v>0</v>
      </c>
      <c r="Q2198" s="14" t="str">
        <f>IF(M2198&gt;=I2198*'Hoja 4 - Cálculo'!$B$16,"Satisfactorio","Falla")</f>
        <v>Satisfactorio</v>
      </c>
      <c r="R2198" s="14">
        <f t="shared" si="506"/>
        <v>0</v>
      </c>
      <c r="S2198" s="14">
        <f t="shared" si="507"/>
        <v>0</v>
      </c>
    </row>
    <row r="2199" spans="1:19">
      <c r="A2199" s="14" t="str">
        <f t="shared" si="503"/>
        <v>CFG-1</v>
      </c>
      <c r="B2199" s="15">
        <f>'Curvas SRY'!$E$11</f>
        <v>5</v>
      </c>
      <c r="C2199" s="15">
        <f>1</f>
        <v>1</v>
      </c>
      <c r="D2199" s="14" t="str">
        <f t="shared" si="504"/>
        <v>Uso único</v>
      </c>
      <c r="E2199" s="14">
        <f>36</f>
        <v>36</v>
      </c>
      <c r="F2199" s="21">
        <f>'Hoja 4 - Cálculo'!A60</f>
        <v>30651</v>
      </c>
      <c r="G2199" s="15">
        <f>'Hoja 4 - Cálculo'!H60</f>
        <v>15.931125</v>
      </c>
      <c r="H2199" s="15">
        <f>IF(D2199="Uso único",'Hoja 4 - Cálculo'!I60,IF(D2199="Uso múltiple",AVERAGE('Hoja 4 - Cálculo'!$I$25:$I$384)+AVERAGE('Hoja 4 - Cálculo'!$J$25:$J$384)+AVERAGE('Hoja 4 - Cálculo'!$K$25:$K$384),IF(D2199="Uso prioritario",'Hoja 4 - Cálculo'!I60+'Hoja 4 - Cálculo'!K60,'Hoja 4 - Cálculo'!I60+'Hoja 4 - Cálculo'!J60+'Hoja 4 - Cálculo'!K60)))</f>
        <v>8</v>
      </c>
      <c r="I2199" s="15">
        <f t="shared" si="494"/>
        <v>8</v>
      </c>
      <c r="J2199" s="15">
        <f t="shared" si="505"/>
        <v>5</v>
      </c>
      <c r="K2199" s="15">
        <f>MIN(J2199+G2199,(J2199+G2199)*'Hoja 4 - Cálculo'!$B$15)</f>
        <v>0.41862250000000006</v>
      </c>
      <c r="L2199" s="15">
        <f t="shared" si="498"/>
        <v>20.5125025</v>
      </c>
      <c r="M2199" s="15">
        <f t="shared" si="499"/>
        <v>8</v>
      </c>
      <c r="N2199" s="15">
        <f t="shared" si="500"/>
        <v>5</v>
      </c>
      <c r="O2199" s="15">
        <f t="shared" si="501"/>
        <v>7.5125025000000001</v>
      </c>
      <c r="P2199" s="15">
        <f t="shared" si="502"/>
        <v>0</v>
      </c>
      <c r="Q2199" s="14" t="str">
        <f>IF(M2199&gt;=I2199*'Hoja 4 - Cálculo'!$B$16,"Satisfactorio","Falla")</f>
        <v>Satisfactorio</v>
      </c>
      <c r="R2199" s="14">
        <f t="shared" si="506"/>
        <v>0</v>
      </c>
      <c r="S2199" s="14">
        <f t="shared" si="507"/>
        <v>0</v>
      </c>
    </row>
    <row r="2200" spans="1:19">
      <c r="A2200" s="14" t="str">
        <f t="shared" si="503"/>
        <v>CFG-1</v>
      </c>
      <c r="B2200" s="15">
        <f>'Curvas SRY'!$E$11</f>
        <v>5</v>
      </c>
      <c r="C2200" s="15">
        <f>1</f>
        <v>1</v>
      </c>
      <c r="D2200" s="14" t="str">
        <f t="shared" si="504"/>
        <v>Uso único</v>
      </c>
      <c r="E2200" s="14">
        <f>37</f>
        <v>37</v>
      </c>
      <c r="F2200" s="21">
        <f>'Hoja 4 - Cálculo'!A61</f>
        <v>30682</v>
      </c>
      <c r="G2200" s="15">
        <f>'Hoja 4 - Cálculo'!H61</f>
        <v>10.920375</v>
      </c>
      <c r="H2200" s="15">
        <f>IF(D2200="Uso único",'Hoja 4 - Cálculo'!I61,IF(D2200="Uso múltiple",AVERAGE('Hoja 4 - Cálculo'!$I$25:$I$384)+AVERAGE('Hoja 4 - Cálculo'!$J$25:$J$384)+AVERAGE('Hoja 4 - Cálculo'!$K$25:$K$384),IF(D2200="Uso prioritario",'Hoja 4 - Cálculo'!I61+'Hoja 4 - Cálculo'!K61,'Hoja 4 - Cálculo'!I61+'Hoja 4 - Cálculo'!J61+'Hoja 4 - Cálculo'!K61)))</f>
        <v>8</v>
      </c>
      <c r="I2200" s="15">
        <f t="shared" si="494"/>
        <v>8</v>
      </c>
      <c r="J2200" s="15">
        <f t="shared" si="505"/>
        <v>5</v>
      </c>
      <c r="K2200" s="15">
        <f>MIN(J2200+G2200,(J2200+G2200)*'Hoja 4 - Cálculo'!$B$15)</f>
        <v>0.31840750000000001</v>
      </c>
      <c r="L2200" s="15">
        <f t="shared" si="498"/>
        <v>15.601967500000001</v>
      </c>
      <c r="M2200" s="15">
        <f t="shared" si="499"/>
        <v>8</v>
      </c>
      <c r="N2200" s="15">
        <f t="shared" si="500"/>
        <v>5</v>
      </c>
      <c r="O2200" s="15">
        <f t="shared" si="501"/>
        <v>2.6019675000000007</v>
      </c>
      <c r="P2200" s="15">
        <f t="shared" si="502"/>
        <v>0</v>
      </c>
      <c r="Q2200" s="14" t="str">
        <f>IF(M2200&gt;=I2200*'Hoja 4 - Cálculo'!$B$16,"Satisfactorio","Falla")</f>
        <v>Satisfactorio</v>
      </c>
      <c r="R2200" s="14">
        <f t="shared" si="506"/>
        <v>0</v>
      </c>
      <c r="S2200" s="14">
        <f t="shared" si="507"/>
        <v>0</v>
      </c>
    </row>
    <row r="2201" spans="1:19">
      <c r="A2201" s="14" t="str">
        <f t="shared" si="503"/>
        <v>CFG-1</v>
      </c>
      <c r="B2201" s="15">
        <f>'Curvas SRY'!$E$11</f>
        <v>5</v>
      </c>
      <c r="C2201" s="15">
        <f>1</f>
        <v>1</v>
      </c>
      <c r="D2201" s="14" t="str">
        <f t="shared" si="504"/>
        <v>Uso único</v>
      </c>
      <c r="E2201" s="14">
        <f>38</f>
        <v>38</v>
      </c>
      <c r="F2201" s="21">
        <f>'Hoja 4 - Cálculo'!A62</f>
        <v>30713</v>
      </c>
      <c r="G2201" s="15">
        <f>'Hoja 4 - Cálculo'!H62</f>
        <v>13.04325</v>
      </c>
      <c r="H2201" s="15">
        <f>IF(D2201="Uso único",'Hoja 4 - Cálculo'!I62,IF(D2201="Uso múltiple",AVERAGE('Hoja 4 - Cálculo'!$I$25:$I$384)+AVERAGE('Hoja 4 - Cálculo'!$J$25:$J$384)+AVERAGE('Hoja 4 - Cálculo'!$K$25:$K$384),IF(D2201="Uso prioritario",'Hoja 4 - Cálculo'!I62+'Hoja 4 - Cálculo'!K62,'Hoja 4 - Cálculo'!I62+'Hoja 4 - Cálculo'!J62+'Hoja 4 - Cálculo'!K62)))</f>
        <v>8</v>
      </c>
      <c r="I2201" s="15">
        <f t="shared" si="494"/>
        <v>8</v>
      </c>
      <c r="J2201" s="15">
        <f t="shared" si="505"/>
        <v>5</v>
      </c>
      <c r="K2201" s="15">
        <f>MIN(J2201+G2201,(J2201+G2201)*'Hoja 4 - Cálculo'!$B$15)</f>
        <v>0.36086499999999999</v>
      </c>
      <c r="L2201" s="15">
        <f t="shared" si="498"/>
        <v>17.682385</v>
      </c>
      <c r="M2201" s="15">
        <f t="shared" si="499"/>
        <v>8</v>
      </c>
      <c r="N2201" s="15">
        <f t="shared" si="500"/>
        <v>5</v>
      </c>
      <c r="O2201" s="15">
        <f t="shared" si="501"/>
        <v>4.682385</v>
      </c>
      <c r="P2201" s="15">
        <f t="shared" si="502"/>
        <v>0</v>
      </c>
      <c r="Q2201" s="14" t="str">
        <f>IF(M2201&gt;=I2201*'Hoja 4 - Cálculo'!$B$16,"Satisfactorio","Falla")</f>
        <v>Satisfactorio</v>
      </c>
      <c r="R2201" s="14">
        <f t="shared" si="506"/>
        <v>0</v>
      </c>
      <c r="S2201" s="14">
        <f t="shared" si="507"/>
        <v>0</v>
      </c>
    </row>
    <row r="2202" spans="1:19">
      <c r="A2202" s="14" t="str">
        <f t="shared" si="503"/>
        <v>CFG-1</v>
      </c>
      <c r="B2202" s="15">
        <f>'Curvas SRY'!$E$11</f>
        <v>5</v>
      </c>
      <c r="C2202" s="15">
        <f>1</f>
        <v>1</v>
      </c>
      <c r="D2202" s="14" t="str">
        <f t="shared" si="504"/>
        <v>Uso único</v>
      </c>
      <c r="E2202" s="14">
        <f>39</f>
        <v>39</v>
      </c>
      <c r="F2202" s="21">
        <f>'Hoja 4 - Cálculo'!A63</f>
        <v>30742</v>
      </c>
      <c r="G2202" s="15">
        <f>'Hoja 4 - Cálculo'!H63</f>
        <v>20.272500000000001</v>
      </c>
      <c r="H2202" s="15">
        <f>IF(D2202="Uso único",'Hoja 4 - Cálculo'!I63,IF(D2202="Uso múltiple",AVERAGE('Hoja 4 - Cálculo'!$I$25:$I$384)+AVERAGE('Hoja 4 - Cálculo'!$J$25:$J$384)+AVERAGE('Hoja 4 - Cálculo'!$K$25:$K$384),IF(D2202="Uso prioritario",'Hoja 4 - Cálculo'!I63+'Hoja 4 - Cálculo'!K63,'Hoja 4 - Cálculo'!I63+'Hoja 4 - Cálculo'!J63+'Hoja 4 - Cálculo'!K63)))</f>
        <v>8</v>
      </c>
      <c r="I2202" s="15">
        <f t="shared" si="494"/>
        <v>8</v>
      </c>
      <c r="J2202" s="15">
        <f t="shared" si="505"/>
        <v>5</v>
      </c>
      <c r="K2202" s="15">
        <f>MIN(J2202+G2202,(J2202+G2202)*'Hoja 4 - Cálculo'!$B$15)</f>
        <v>0.50545000000000007</v>
      </c>
      <c r="L2202" s="15">
        <f t="shared" si="498"/>
        <v>24.767050000000001</v>
      </c>
      <c r="M2202" s="15">
        <f t="shared" si="499"/>
        <v>8</v>
      </c>
      <c r="N2202" s="15">
        <f t="shared" si="500"/>
        <v>5</v>
      </c>
      <c r="O2202" s="15">
        <f t="shared" si="501"/>
        <v>11.767050000000001</v>
      </c>
      <c r="P2202" s="15">
        <f t="shared" si="502"/>
        <v>0</v>
      </c>
      <c r="Q2202" s="14" t="str">
        <f>IF(M2202&gt;=I2202*'Hoja 4 - Cálculo'!$B$16,"Satisfactorio","Falla")</f>
        <v>Satisfactorio</v>
      </c>
      <c r="R2202" s="14">
        <f t="shared" si="506"/>
        <v>0</v>
      </c>
      <c r="S2202" s="14">
        <f t="shared" si="507"/>
        <v>0</v>
      </c>
    </row>
    <row r="2203" spans="1:19">
      <c r="A2203" s="14" t="str">
        <f t="shared" si="503"/>
        <v>CFG-1</v>
      </c>
      <c r="B2203" s="15">
        <f>'Curvas SRY'!$E$11</f>
        <v>5</v>
      </c>
      <c r="C2203" s="15">
        <f>1</f>
        <v>1</v>
      </c>
      <c r="D2203" s="14" t="str">
        <f t="shared" si="504"/>
        <v>Uso único</v>
      </c>
      <c r="E2203" s="14">
        <f>40</f>
        <v>40</v>
      </c>
      <c r="F2203" s="21">
        <f>'Hoja 4 - Cálculo'!A64</f>
        <v>30773</v>
      </c>
      <c r="G2203" s="15">
        <f>'Hoja 4 - Cálculo'!H64</f>
        <v>27.922499999999999</v>
      </c>
      <c r="H2203" s="15">
        <f>IF(D2203="Uso único",'Hoja 4 - Cálculo'!I64,IF(D2203="Uso múltiple",AVERAGE('Hoja 4 - Cálculo'!$I$25:$I$384)+AVERAGE('Hoja 4 - Cálculo'!$J$25:$J$384)+AVERAGE('Hoja 4 - Cálculo'!$K$25:$K$384),IF(D2203="Uso prioritario",'Hoja 4 - Cálculo'!I64+'Hoja 4 - Cálculo'!K64,'Hoja 4 - Cálculo'!I64+'Hoja 4 - Cálculo'!J64+'Hoja 4 - Cálculo'!K64)))</f>
        <v>8</v>
      </c>
      <c r="I2203" s="15">
        <f t="shared" si="494"/>
        <v>8</v>
      </c>
      <c r="J2203" s="15">
        <f t="shared" si="505"/>
        <v>5</v>
      </c>
      <c r="K2203" s="15">
        <f>MIN(J2203+G2203,(J2203+G2203)*'Hoja 4 - Cálculo'!$B$15)</f>
        <v>0.65844999999999998</v>
      </c>
      <c r="L2203" s="15">
        <f t="shared" si="498"/>
        <v>32.264049999999997</v>
      </c>
      <c r="M2203" s="15">
        <f t="shared" si="499"/>
        <v>8</v>
      </c>
      <c r="N2203" s="15">
        <f t="shared" si="500"/>
        <v>5</v>
      </c>
      <c r="O2203" s="15">
        <f t="shared" si="501"/>
        <v>19.264049999999997</v>
      </c>
      <c r="P2203" s="15">
        <f t="shared" si="502"/>
        <v>0</v>
      </c>
      <c r="Q2203" s="14" t="str">
        <f>IF(M2203&gt;=I2203*'Hoja 4 - Cálculo'!$B$16,"Satisfactorio","Falla")</f>
        <v>Satisfactorio</v>
      </c>
      <c r="R2203" s="14">
        <f t="shared" si="506"/>
        <v>0</v>
      </c>
      <c r="S2203" s="14">
        <f t="shared" si="507"/>
        <v>0</v>
      </c>
    </row>
    <row r="2204" spans="1:19">
      <c r="A2204" s="14" t="str">
        <f t="shared" si="503"/>
        <v>CFG-1</v>
      </c>
      <c r="B2204" s="15">
        <f>'Curvas SRY'!$E$11</f>
        <v>5</v>
      </c>
      <c r="C2204" s="15">
        <f>1</f>
        <v>1</v>
      </c>
      <c r="D2204" s="14" t="str">
        <f t="shared" si="504"/>
        <v>Uso único</v>
      </c>
      <c r="E2204" s="14">
        <f>41</f>
        <v>41</v>
      </c>
      <c r="F2204" s="21">
        <f>'Hoja 4 - Cálculo'!A65</f>
        <v>30803</v>
      </c>
      <c r="G2204" s="15">
        <f>'Hoja 4 - Cálculo'!H65</f>
        <v>23.657624999999999</v>
      </c>
      <c r="H2204" s="15">
        <f>IF(D2204="Uso único",'Hoja 4 - Cálculo'!I65,IF(D2204="Uso múltiple",AVERAGE('Hoja 4 - Cálculo'!$I$25:$I$384)+AVERAGE('Hoja 4 - Cálculo'!$J$25:$J$384)+AVERAGE('Hoja 4 - Cálculo'!$K$25:$K$384),IF(D2204="Uso prioritario",'Hoja 4 - Cálculo'!I65+'Hoja 4 - Cálculo'!K65,'Hoja 4 - Cálculo'!I65+'Hoja 4 - Cálculo'!J65+'Hoja 4 - Cálculo'!K65)))</f>
        <v>8</v>
      </c>
      <c r="I2204" s="15">
        <f t="shared" si="494"/>
        <v>8</v>
      </c>
      <c r="J2204" s="15">
        <f t="shared" si="505"/>
        <v>5</v>
      </c>
      <c r="K2204" s="15">
        <f>MIN(J2204+G2204,(J2204+G2204)*'Hoja 4 - Cálculo'!$B$15)</f>
        <v>0.57315249999999995</v>
      </c>
      <c r="L2204" s="15">
        <f t="shared" si="498"/>
        <v>28.0844725</v>
      </c>
      <c r="M2204" s="15">
        <f t="shared" si="499"/>
        <v>8</v>
      </c>
      <c r="N2204" s="15">
        <f t="shared" si="500"/>
        <v>5</v>
      </c>
      <c r="O2204" s="15">
        <f t="shared" si="501"/>
        <v>15.0844725</v>
      </c>
      <c r="P2204" s="15">
        <f t="shared" si="502"/>
        <v>0</v>
      </c>
      <c r="Q2204" s="14" t="str">
        <f>IF(M2204&gt;=I2204*'Hoja 4 - Cálculo'!$B$16,"Satisfactorio","Falla")</f>
        <v>Satisfactorio</v>
      </c>
      <c r="R2204" s="14">
        <f t="shared" si="506"/>
        <v>0</v>
      </c>
      <c r="S2204" s="14">
        <f t="shared" si="507"/>
        <v>0</v>
      </c>
    </row>
    <row r="2205" spans="1:19">
      <c r="A2205" s="14" t="str">
        <f t="shared" si="503"/>
        <v>CFG-1</v>
      </c>
      <c r="B2205" s="15">
        <f>'Curvas SRY'!$E$11</f>
        <v>5</v>
      </c>
      <c r="C2205" s="15">
        <f>1</f>
        <v>1</v>
      </c>
      <c r="D2205" s="14" t="str">
        <f t="shared" si="504"/>
        <v>Uso único</v>
      </c>
      <c r="E2205" s="14">
        <f>42</f>
        <v>42</v>
      </c>
      <c r="F2205" s="21">
        <f>'Hoja 4 - Cálculo'!A66</f>
        <v>30834</v>
      </c>
      <c r="G2205" s="15">
        <f>'Hoja 4 - Cálculo'!H66</f>
        <v>14.554125000000001</v>
      </c>
      <c r="H2205" s="15">
        <f>IF(D2205="Uso único",'Hoja 4 - Cálculo'!I66,IF(D2205="Uso múltiple",AVERAGE('Hoja 4 - Cálculo'!$I$25:$I$384)+AVERAGE('Hoja 4 - Cálculo'!$J$25:$J$384)+AVERAGE('Hoja 4 - Cálculo'!$K$25:$K$384),IF(D2205="Uso prioritario",'Hoja 4 - Cálculo'!I66+'Hoja 4 - Cálculo'!K66,'Hoja 4 - Cálculo'!I66+'Hoja 4 - Cálculo'!J66+'Hoja 4 - Cálculo'!K66)))</f>
        <v>8</v>
      </c>
      <c r="I2205" s="15">
        <f t="shared" si="494"/>
        <v>8</v>
      </c>
      <c r="J2205" s="15">
        <f t="shared" si="505"/>
        <v>5</v>
      </c>
      <c r="K2205" s="15">
        <f>MIN(J2205+G2205,(J2205+G2205)*'Hoja 4 - Cálculo'!$B$15)</f>
        <v>0.3910825</v>
      </c>
      <c r="L2205" s="15">
        <f t="shared" si="498"/>
        <v>19.1630425</v>
      </c>
      <c r="M2205" s="15">
        <f t="shared" si="499"/>
        <v>8</v>
      </c>
      <c r="N2205" s="15">
        <f t="shared" si="500"/>
        <v>5</v>
      </c>
      <c r="O2205" s="15">
        <f t="shared" si="501"/>
        <v>6.1630424999999995</v>
      </c>
      <c r="P2205" s="15">
        <f t="shared" si="502"/>
        <v>0</v>
      </c>
      <c r="Q2205" s="14" t="str">
        <f>IF(M2205&gt;=I2205*'Hoja 4 - Cálculo'!$B$16,"Satisfactorio","Falla")</f>
        <v>Satisfactorio</v>
      </c>
      <c r="R2205" s="14">
        <f t="shared" si="506"/>
        <v>0</v>
      </c>
      <c r="S2205" s="14">
        <f t="shared" si="507"/>
        <v>0</v>
      </c>
    </row>
    <row r="2206" spans="1:19">
      <c r="A2206" s="14" t="str">
        <f t="shared" si="503"/>
        <v>CFG-1</v>
      </c>
      <c r="B2206" s="15">
        <f>'Curvas SRY'!$E$11</f>
        <v>5</v>
      </c>
      <c r="C2206" s="15">
        <f>1</f>
        <v>1</v>
      </c>
      <c r="D2206" s="14" t="str">
        <f t="shared" si="504"/>
        <v>Uso único</v>
      </c>
      <c r="E2206" s="14">
        <f>43</f>
        <v>43</v>
      </c>
      <c r="F2206" s="21">
        <f>'Hoja 4 - Cálculo'!A67</f>
        <v>30864</v>
      </c>
      <c r="G2206" s="15">
        <f>'Hoja 4 - Cálculo'!H67</f>
        <v>12.794625</v>
      </c>
      <c r="H2206" s="15">
        <f>IF(D2206="Uso único",'Hoja 4 - Cálculo'!I67,IF(D2206="Uso múltiple",AVERAGE('Hoja 4 - Cálculo'!$I$25:$I$384)+AVERAGE('Hoja 4 - Cálculo'!$J$25:$J$384)+AVERAGE('Hoja 4 - Cálculo'!$K$25:$K$384),IF(D2206="Uso prioritario",'Hoja 4 - Cálculo'!I67+'Hoja 4 - Cálculo'!K67,'Hoja 4 - Cálculo'!I67+'Hoja 4 - Cálculo'!J67+'Hoja 4 - Cálculo'!K67)))</f>
        <v>8</v>
      </c>
      <c r="I2206" s="15">
        <f t="shared" si="494"/>
        <v>8</v>
      </c>
      <c r="J2206" s="15">
        <f t="shared" si="505"/>
        <v>5</v>
      </c>
      <c r="K2206" s="15">
        <f>MIN(J2206+G2206,(J2206+G2206)*'Hoja 4 - Cálculo'!$B$15)</f>
        <v>0.3558925</v>
      </c>
      <c r="L2206" s="15">
        <f t="shared" si="498"/>
        <v>17.4387325</v>
      </c>
      <c r="M2206" s="15">
        <f t="shared" si="499"/>
        <v>8</v>
      </c>
      <c r="N2206" s="15">
        <f t="shared" si="500"/>
        <v>5</v>
      </c>
      <c r="O2206" s="15">
        <f t="shared" si="501"/>
        <v>4.4387325000000004</v>
      </c>
      <c r="P2206" s="15">
        <f t="shared" si="502"/>
        <v>0</v>
      </c>
      <c r="Q2206" s="14" t="str">
        <f>IF(M2206&gt;=I2206*'Hoja 4 - Cálculo'!$B$16,"Satisfactorio","Falla")</f>
        <v>Satisfactorio</v>
      </c>
      <c r="R2206" s="14">
        <f t="shared" si="506"/>
        <v>0</v>
      </c>
      <c r="S2206" s="14">
        <f t="shared" si="507"/>
        <v>0</v>
      </c>
    </row>
    <row r="2207" spans="1:19">
      <c r="A2207" s="14" t="str">
        <f t="shared" si="503"/>
        <v>CFG-1</v>
      </c>
      <c r="B2207" s="15">
        <f>'Curvas SRY'!$E$11</f>
        <v>5</v>
      </c>
      <c r="C2207" s="15">
        <f>1</f>
        <v>1</v>
      </c>
      <c r="D2207" s="14" t="str">
        <f t="shared" si="504"/>
        <v>Uso único</v>
      </c>
      <c r="E2207" s="14">
        <f>44</f>
        <v>44</v>
      </c>
      <c r="F2207" s="21">
        <f>'Hoja 4 - Cálculo'!A68</f>
        <v>30895</v>
      </c>
      <c r="G2207" s="15">
        <f>'Hoja 4 - Cálculo'!H68</f>
        <v>13.6935</v>
      </c>
      <c r="H2207" s="15">
        <f>IF(D2207="Uso único",'Hoja 4 - Cálculo'!I68,IF(D2207="Uso múltiple",AVERAGE('Hoja 4 - Cálculo'!$I$25:$I$384)+AVERAGE('Hoja 4 - Cálculo'!$J$25:$J$384)+AVERAGE('Hoja 4 - Cálculo'!$K$25:$K$384),IF(D2207="Uso prioritario",'Hoja 4 - Cálculo'!I68+'Hoja 4 - Cálculo'!K68,'Hoja 4 - Cálculo'!I68+'Hoja 4 - Cálculo'!J68+'Hoja 4 - Cálculo'!K68)))</f>
        <v>8</v>
      </c>
      <c r="I2207" s="15">
        <f t="shared" si="494"/>
        <v>8</v>
      </c>
      <c r="J2207" s="15">
        <f t="shared" si="505"/>
        <v>5</v>
      </c>
      <c r="K2207" s="15">
        <f>MIN(J2207+G2207,(J2207+G2207)*'Hoja 4 - Cálculo'!$B$15)</f>
        <v>0.37387000000000004</v>
      </c>
      <c r="L2207" s="15">
        <f t="shared" si="498"/>
        <v>18.31963</v>
      </c>
      <c r="M2207" s="15">
        <f t="shared" si="499"/>
        <v>8</v>
      </c>
      <c r="N2207" s="15">
        <f t="shared" si="500"/>
        <v>5</v>
      </c>
      <c r="O2207" s="15">
        <f t="shared" si="501"/>
        <v>5.3196300000000001</v>
      </c>
      <c r="P2207" s="15">
        <f t="shared" si="502"/>
        <v>0</v>
      </c>
      <c r="Q2207" s="14" t="str">
        <f>IF(M2207&gt;=I2207*'Hoja 4 - Cálculo'!$B$16,"Satisfactorio","Falla")</f>
        <v>Satisfactorio</v>
      </c>
      <c r="R2207" s="14">
        <f t="shared" si="506"/>
        <v>0</v>
      </c>
      <c r="S2207" s="14">
        <f t="shared" si="507"/>
        <v>0</v>
      </c>
    </row>
    <row r="2208" spans="1:19">
      <c r="A2208" s="14" t="str">
        <f t="shared" si="503"/>
        <v>CFG-1</v>
      </c>
      <c r="B2208" s="15">
        <f>'Curvas SRY'!$E$11</f>
        <v>5</v>
      </c>
      <c r="C2208" s="15">
        <f>1</f>
        <v>1</v>
      </c>
      <c r="D2208" s="14" t="str">
        <f t="shared" si="504"/>
        <v>Uso único</v>
      </c>
      <c r="E2208" s="14">
        <f>45</f>
        <v>45</v>
      </c>
      <c r="F2208" s="21">
        <f>'Hoja 4 - Cálculo'!A69</f>
        <v>30926</v>
      </c>
      <c r="G2208" s="15">
        <f>'Hoja 4 - Cálculo'!H69</f>
        <v>20.521125000000001</v>
      </c>
      <c r="H2208" s="15">
        <f>IF(D2208="Uso único",'Hoja 4 - Cálculo'!I69,IF(D2208="Uso múltiple",AVERAGE('Hoja 4 - Cálculo'!$I$25:$I$384)+AVERAGE('Hoja 4 - Cálculo'!$J$25:$J$384)+AVERAGE('Hoja 4 - Cálculo'!$K$25:$K$384),IF(D2208="Uso prioritario",'Hoja 4 - Cálculo'!I69+'Hoja 4 - Cálculo'!K69,'Hoja 4 - Cálculo'!I69+'Hoja 4 - Cálculo'!J69+'Hoja 4 - Cálculo'!K69)))</f>
        <v>8</v>
      </c>
      <c r="I2208" s="15">
        <f t="shared" si="494"/>
        <v>8</v>
      </c>
      <c r="J2208" s="15">
        <f t="shared" si="505"/>
        <v>5</v>
      </c>
      <c r="K2208" s="15">
        <f>MIN(J2208+G2208,(J2208+G2208)*'Hoja 4 - Cálculo'!$B$15)</f>
        <v>0.5104225</v>
      </c>
      <c r="L2208" s="15">
        <f t="shared" si="498"/>
        <v>25.010702500000001</v>
      </c>
      <c r="M2208" s="15">
        <f t="shared" si="499"/>
        <v>8</v>
      </c>
      <c r="N2208" s="15">
        <f t="shared" si="500"/>
        <v>5</v>
      </c>
      <c r="O2208" s="15">
        <f t="shared" si="501"/>
        <v>12.010702500000001</v>
      </c>
      <c r="P2208" s="15">
        <f t="shared" si="502"/>
        <v>0</v>
      </c>
      <c r="Q2208" s="14" t="str">
        <f>IF(M2208&gt;=I2208*'Hoja 4 - Cálculo'!$B$16,"Satisfactorio","Falla")</f>
        <v>Satisfactorio</v>
      </c>
      <c r="R2208" s="14">
        <f t="shared" si="506"/>
        <v>0</v>
      </c>
      <c r="S2208" s="14">
        <f t="shared" si="507"/>
        <v>0</v>
      </c>
    </row>
    <row r="2209" spans="1:19">
      <c r="A2209" s="14" t="str">
        <f t="shared" si="503"/>
        <v>CFG-1</v>
      </c>
      <c r="B2209" s="15">
        <f>'Curvas SRY'!$E$11</f>
        <v>5</v>
      </c>
      <c r="C2209" s="15">
        <f>1</f>
        <v>1</v>
      </c>
      <c r="D2209" s="14" t="str">
        <f t="shared" si="504"/>
        <v>Uso único</v>
      </c>
      <c r="E2209" s="14">
        <f>46</f>
        <v>46</v>
      </c>
      <c r="F2209" s="21">
        <f>'Hoja 4 - Cálculo'!A70</f>
        <v>30956</v>
      </c>
      <c r="G2209" s="15">
        <f>'Hoja 4 - Cálculo'!H70</f>
        <v>27.061875000000001</v>
      </c>
      <c r="H2209" s="15">
        <f>IF(D2209="Uso único",'Hoja 4 - Cálculo'!I70,IF(D2209="Uso múltiple",AVERAGE('Hoja 4 - Cálculo'!$I$25:$I$384)+AVERAGE('Hoja 4 - Cálculo'!$J$25:$J$384)+AVERAGE('Hoja 4 - Cálculo'!$K$25:$K$384),IF(D2209="Uso prioritario",'Hoja 4 - Cálculo'!I70+'Hoja 4 - Cálculo'!K70,'Hoja 4 - Cálculo'!I70+'Hoja 4 - Cálculo'!J70+'Hoja 4 - Cálculo'!K70)))</f>
        <v>8</v>
      </c>
      <c r="I2209" s="15">
        <f t="shared" si="494"/>
        <v>8</v>
      </c>
      <c r="J2209" s="15">
        <f t="shared" si="505"/>
        <v>5</v>
      </c>
      <c r="K2209" s="15">
        <f>MIN(J2209+G2209,(J2209+G2209)*'Hoja 4 - Cálculo'!$B$15)</f>
        <v>0.64123750000000002</v>
      </c>
      <c r="L2209" s="15">
        <f t="shared" si="498"/>
        <v>31.420637500000002</v>
      </c>
      <c r="M2209" s="15">
        <f t="shared" si="499"/>
        <v>8</v>
      </c>
      <c r="N2209" s="15">
        <f t="shared" si="500"/>
        <v>5</v>
      </c>
      <c r="O2209" s="15">
        <f t="shared" si="501"/>
        <v>18.420637500000002</v>
      </c>
      <c r="P2209" s="15">
        <f t="shared" si="502"/>
        <v>0</v>
      </c>
      <c r="Q2209" s="14" t="str">
        <f>IF(M2209&gt;=I2209*'Hoja 4 - Cálculo'!$B$16,"Satisfactorio","Falla")</f>
        <v>Satisfactorio</v>
      </c>
      <c r="R2209" s="14">
        <f t="shared" si="506"/>
        <v>0</v>
      </c>
      <c r="S2209" s="14">
        <f t="shared" si="507"/>
        <v>0</v>
      </c>
    </row>
    <row r="2210" spans="1:19">
      <c r="A2210" s="14" t="str">
        <f t="shared" si="503"/>
        <v>CFG-1</v>
      </c>
      <c r="B2210" s="15">
        <f>'Curvas SRY'!$E$11</f>
        <v>5</v>
      </c>
      <c r="C2210" s="15">
        <f>1</f>
        <v>1</v>
      </c>
      <c r="D2210" s="14" t="str">
        <f t="shared" si="504"/>
        <v>Uso único</v>
      </c>
      <c r="E2210" s="14">
        <f>47</f>
        <v>47</v>
      </c>
      <c r="F2210" s="21">
        <f>'Hoja 4 - Cálculo'!A71</f>
        <v>30987</v>
      </c>
      <c r="G2210" s="15">
        <f>'Hoja 4 - Cálculo'!H71</f>
        <v>24.346125000000001</v>
      </c>
      <c r="H2210" s="15">
        <f>IF(D2210="Uso único",'Hoja 4 - Cálculo'!I71,IF(D2210="Uso múltiple",AVERAGE('Hoja 4 - Cálculo'!$I$25:$I$384)+AVERAGE('Hoja 4 - Cálculo'!$J$25:$J$384)+AVERAGE('Hoja 4 - Cálculo'!$K$25:$K$384),IF(D2210="Uso prioritario",'Hoja 4 - Cálculo'!I71+'Hoja 4 - Cálculo'!K71,'Hoja 4 - Cálculo'!I71+'Hoja 4 - Cálculo'!J71+'Hoja 4 - Cálculo'!K71)))</f>
        <v>8</v>
      </c>
      <c r="I2210" s="15">
        <f t="shared" si="494"/>
        <v>8</v>
      </c>
      <c r="J2210" s="15">
        <f t="shared" si="505"/>
        <v>5</v>
      </c>
      <c r="K2210" s="15">
        <f>MIN(J2210+G2210,(J2210+G2210)*'Hoja 4 - Cálculo'!$B$15)</f>
        <v>0.58692250000000001</v>
      </c>
      <c r="L2210" s="15">
        <f t="shared" si="498"/>
        <v>28.759202500000001</v>
      </c>
      <c r="M2210" s="15">
        <f t="shared" si="499"/>
        <v>8</v>
      </c>
      <c r="N2210" s="15">
        <f t="shared" si="500"/>
        <v>5</v>
      </c>
      <c r="O2210" s="15">
        <f t="shared" si="501"/>
        <v>15.759202500000001</v>
      </c>
      <c r="P2210" s="15">
        <f t="shared" si="502"/>
        <v>0</v>
      </c>
      <c r="Q2210" s="14" t="str">
        <f>IF(M2210&gt;=I2210*'Hoja 4 - Cálculo'!$B$16,"Satisfactorio","Falla")</f>
        <v>Satisfactorio</v>
      </c>
      <c r="R2210" s="14">
        <f t="shared" si="506"/>
        <v>0</v>
      </c>
      <c r="S2210" s="14">
        <f t="shared" si="507"/>
        <v>0</v>
      </c>
    </row>
    <row r="2211" spans="1:19">
      <c r="A2211" s="14" t="str">
        <f t="shared" si="503"/>
        <v>CFG-1</v>
      </c>
      <c r="B2211" s="15">
        <f>'Curvas SRY'!$E$11</f>
        <v>5</v>
      </c>
      <c r="C2211" s="15">
        <f>1</f>
        <v>1</v>
      </c>
      <c r="D2211" s="14" t="str">
        <f t="shared" si="504"/>
        <v>Uso único</v>
      </c>
      <c r="E2211" s="14">
        <f>48</f>
        <v>48</v>
      </c>
      <c r="F2211" s="21">
        <f>'Hoja 4 - Cálculo'!A72</f>
        <v>31017</v>
      </c>
      <c r="G2211" s="15">
        <f>'Hoja 4 - Cálculo'!H72</f>
        <v>14.745374999999999</v>
      </c>
      <c r="H2211" s="15">
        <f>IF(D2211="Uso único",'Hoja 4 - Cálculo'!I72,IF(D2211="Uso múltiple",AVERAGE('Hoja 4 - Cálculo'!$I$25:$I$384)+AVERAGE('Hoja 4 - Cálculo'!$J$25:$J$384)+AVERAGE('Hoja 4 - Cálculo'!$K$25:$K$384),IF(D2211="Uso prioritario",'Hoja 4 - Cálculo'!I72+'Hoja 4 - Cálculo'!K72,'Hoja 4 - Cálculo'!I72+'Hoja 4 - Cálculo'!J72+'Hoja 4 - Cálculo'!K72)))</f>
        <v>8</v>
      </c>
      <c r="I2211" s="15">
        <f t="shared" si="494"/>
        <v>8</v>
      </c>
      <c r="J2211" s="15">
        <f t="shared" si="505"/>
        <v>5</v>
      </c>
      <c r="K2211" s="15">
        <f>MIN(J2211+G2211,(J2211+G2211)*'Hoja 4 - Cálculo'!$B$15)</f>
        <v>0.39490749999999997</v>
      </c>
      <c r="L2211" s="15">
        <f t="shared" si="498"/>
        <v>19.350467500000001</v>
      </c>
      <c r="M2211" s="15">
        <f t="shared" si="499"/>
        <v>8</v>
      </c>
      <c r="N2211" s="15">
        <f t="shared" si="500"/>
        <v>5</v>
      </c>
      <c r="O2211" s="15">
        <f t="shared" si="501"/>
        <v>6.3504675000000006</v>
      </c>
      <c r="P2211" s="15">
        <f t="shared" si="502"/>
        <v>0</v>
      </c>
      <c r="Q2211" s="14" t="str">
        <f>IF(M2211&gt;=I2211*'Hoja 4 - Cálculo'!$B$16,"Satisfactorio","Falla")</f>
        <v>Satisfactorio</v>
      </c>
      <c r="R2211" s="14">
        <f t="shared" si="506"/>
        <v>0</v>
      </c>
      <c r="S2211" s="14">
        <f t="shared" si="507"/>
        <v>0</v>
      </c>
    </row>
    <row r="2212" spans="1:19">
      <c r="A2212" s="14" t="str">
        <f t="shared" si="503"/>
        <v>CFG-1</v>
      </c>
      <c r="B2212" s="15">
        <f>'Curvas SRY'!$E$11</f>
        <v>5</v>
      </c>
      <c r="C2212" s="15">
        <f>1</f>
        <v>1</v>
      </c>
      <c r="D2212" s="14" t="str">
        <f t="shared" si="504"/>
        <v>Uso único</v>
      </c>
      <c r="E2212" s="14">
        <f>49</f>
        <v>49</v>
      </c>
      <c r="F2212" s="21">
        <f>'Hoja 4 - Cálculo'!A73</f>
        <v>31048</v>
      </c>
      <c r="G2212" s="15">
        <f>'Hoja 4 - Cálculo'!H73</f>
        <v>10.767374999999999</v>
      </c>
      <c r="H2212" s="15">
        <f>IF(D2212="Uso único",'Hoja 4 - Cálculo'!I73,IF(D2212="Uso múltiple",AVERAGE('Hoja 4 - Cálculo'!$I$25:$I$384)+AVERAGE('Hoja 4 - Cálculo'!$J$25:$J$384)+AVERAGE('Hoja 4 - Cálculo'!$K$25:$K$384),IF(D2212="Uso prioritario",'Hoja 4 - Cálculo'!I73+'Hoja 4 - Cálculo'!K73,'Hoja 4 - Cálculo'!I73+'Hoja 4 - Cálculo'!J73+'Hoja 4 - Cálculo'!K73)))</f>
        <v>8</v>
      </c>
      <c r="I2212" s="15">
        <f t="shared" si="494"/>
        <v>8</v>
      </c>
      <c r="J2212" s="15">
        <f t="shared" si="505"/>
        <v>5</v>
      </c>
      <c r="K2212" s="15">
        <f>MIN(J2212+G2212,(J2212+G2212)*'Hoja 4 - Cálculo'!$B$15)</f>
        <v>0.3153475</v>
      </c>
      <c r="L2212" s="15">
        <f t="shared" si="498"/>
        <v>15.4520275</v>
      </c>
      <c r="M2212" s="15">
        <f t="shared" si="499"/>
        <v>8</v>
      </c>
      <c r="N2212" s="15">
        <f t="shared" si="500"/>
        <v>5</v>
      </c>
      <c r="O2212" s="15">
        <f t="shared" si="501"/>
        <v>2.4520274999999998</v>
      </c>
      <c r="P2212" s="15">
        <f t="shared" si="502"/>
        <v>0</v>
      </c>
      <c r="Q2212" s="14" t="str">
        <f>IF(M2212&gt;=I2212*'Hoja 4 - Cálculo'!$B$16,"Satisfactorio","Falla")</f>
        <v>Satisfactorio</v>
      </c>
      <c r="R2212" s="14">
        <f t="shared" si="506"/>
        <v>0</v>
      </c>
      <c r="S2212" s="14">
        <f t="shared" si="507"/>
        <v>0</v>
      </c>
    </row>
    <row r="2213" spans="1:19">
      <c r="A2213" s="14" t="str">
        <f t="shared" si="503"/>
        <v>CFG-1</v>
      </c>
      <c r="B2213" s="15">
        <f>'Curvas SRY'!$E$11</f>
        <v>5</v>
      </c>
      <c r="C2213" s="15">
        <f>1</f>
        <v>1</v>
      </c>
      <c r="D2213" s="14" t="str">
        <f t="shared" si="504"/>
        <v>Uso único</v>
      </c>
      <c r="E2213" s="14">
        <f>50</f>
        <v>50</v>
      </c>
      <c r="F2213" s="21">
        <f>'Hoja 4 - Cálculo'!A74</f>
        <v>31079</v>
      </c>
      <c r="G2213" s="15">
        <f>'Hoja 4 - Cálculo'!H74</f>
        <v>13.464</v>
      </c>
      <c r="H2213" s="15">
        <f>IF(D2213="Uso único",'Hoja 4 - Cálculo'!I74,IF(D2213="Uso múltiple",AVERAGE('Hoja 4 - Cálculo'!$I$25:$I$384)+AVERAGE('Hoja 4 - Cálculo'!$J$25:$J$384)+AVERAGE('Hoja 4 - Cálculo'!$K$25:$K$384),IF(D2213="Uso prioritario",'Hoja 4 - Cálculo'!I74+'Hoja 4 - Cálculo'!K74,'Hoja 4 - Cálculo'!I74+'Hoja 4 - Cálculo'!J74+'Hoja 4 - Cálculo'!K74)))</f>
        <v>8</v>
      </c>
      <c r="I2213" s="15">
        <f t="shared" si="494"/>
        <v>8</v>
      </c>
      <c r="J2213" s="15">
        <f t="shared" si="505"/>
        <v>5</v>
      </c>
      <c r="K2213" s="15">
        <f>MIN(J2213+G2213,(J2213+G2213)*'Hoja 4 - Cálculo'!$B$15)</f>
        <v>0.36928</v>
      </c>
      <c r="L2213" s="15">
        <f t="shared" si="498"/>
        <v>18.094719999999999</v>
      </c>
      <c r="M2213" s="15">
        <f t="shared" si="499"/>
        <v>8</v>
      </c>
      <c r="N2213" s="15">
        <f t="shared" si="500"/>
        <v>5</v>
      </c>
      <c r="O2213" s="15">
        <f t="shared" si="501"/>
        <v>5.0947199999999988</v>
      </c>
      <c r="P2213" s="15">
        <f t="shared" si="502"/>
        <v>0</v>
      </c>
      <c r="Q2213" s="14" t="str">
        <f>IF(M2213&gt;=I2213*'Hoja 4 - Cálculo'!$B$16,"Satisfactorio","Falla")</f>
        <v>Satisfactorio</v>
      </c>
      <c r="R2213" s="14">
        <f t="shared" si="506"/>
        <v>0</v>
      </c>
      <c r="S2213" s="14">
        <f t="shared" si="507"/>
        <v>0</v>
      </c>
    </row>
    <row r="2214" spans="1:19">
      <c r="A2214" s="14" t="str">
        <f t="shared" si="503"/>
        <v>CFG-1</v>
      </c>
      <c r="B2214" s="15">
        <f>'Curvas SRY'!$E$11</f>
        <v>5</v>
      </c>
      <c r="C2214" s="15">
        <f>1</f>
        <v>1</v>
      </c>
      <c r="D2214" s="14" t="str">
        <f t="shared" si="504"/>
        <v>Uso único</v>
      </c>
      <c r="E2214" s="14">
        <f>51</f>
        <v>51</v>
      </c>
      <c r="F2214" s="21">
        <f>'Hoja 4 - Cálculo'!A75</f>
        <v>31107</v>
      </c>
      <c r="G2214" s="15">
        <f>'Hoja 4 - Cálculo'!H75</f>
        <v>19.450125</v>
      </c>
      <c r="H2214" s="15">
        <f>IF(D2214="Uso único",'Hoja 4 - Cálculo'!I75,IF(D2214="Uso múltiple",AVERAGE('Hoja 4 - Cálculo'!$I$25:$I$384)+AVERAGE('Hoja 4 - Cálculo'!$J$25:$J$384)+AVERAGE('Hoja 4 - Cálculo'!$K$25:$K$384),IF(D2214="Uso prioritario",'Hoja 4 - Cálculo'!I75+'Hoja 4 - Cálculo'!K75,'Hoja 4 - Cálculo'!I75+'Hoja 4 - Cálculo'!J75+'Hoja 4 - Cálculo'!K75)))</f>
        <v>8</v>
      </c>
      <c r="I2214" s="15">
        <f t="shared" si="494"/>
        <v>8</v>
      </c>
      <c r="J2214" s="15">
        <f t="shared" si="505"/>
        <v>5</v>
      </c>
      <c r="K2214" s="15">
        <f>MIN(J2214+G2214,(J2214+G2214)*'Hoja 4 - Cálculo'!$B$15)</f>
        <v>0.48900250000000001</v>
      </c>
      <c r="L2214" s="15">
        <f t="shared" si="498"/>
        <v>23.961122499999998</v>
      </c>
      <c r="M2214" s="15">
        <f t="shared" si="499"/>
        <v>8</v>
      </c>
      <c r="N2214" s="15">
        <f t="shared" si="500"/>
        <v>5</v>
      </c>
      <c r="O2214" s="15">
        <f t="shared" si="501"/>
        <v>10.961122499999998</v>
      </c>
      <c r="P2214" s="15">
        <f t="shared" si="502"/>
        <v>0</v>
      </c>
      <c r="Q2214" s="14" t="str">
        <f>IF(M2214&gt;=I2214*'Hoja 4 - Cálculo'!$B$16,"Satisfactorio","Falla")</f>
        <v>Satisfactorio</v>
      </c>
      <c r="R2214" s="14">
        <f t="shared" si="506"/>
        <v>0</v>
      </c>
      <c r="S2214" s="14">
        <f t="shared" si="507"/>
        <v>0</v>
      </c>
    </row>
    <row r="2215" spans="1:19">
      <c r="A2215" s="14" t="str">
        <f t="shared" si="503"/>
        <v>CFG-1</v>
      </c>
      <c r="B2215" s="15">
        <f>'Curvas SRY'!$E$11</f>
        <v>5</v>
      </c>
      <c r="C2215" s="15">
        <f>1</f>
        <v>1</v>
      </c>
      <c r="D2215" s="14" t="str">
        <f t="shared" si="504"/>
        <v>Uso único</v>
      </c>
      <c r="E2215" s="14">
        <f>52</f>
        <v>52</v>
      </c>
      <c r="F2215" s="21">
        <f>'Hoja 4 - Cálculo'!A76</f>
        <v>31138</v>
      </c>
      <c r="G2215" s="15">
        <f>'Hoja 4 - Cálculo'!H76</f>
        <v>25.51275</v>
      </c>
      <c r="H2215" s="15">
        <f>IF(D2215="Uso único",'Hoja 4 - Cálculo'!I76,IF(D2215="Uso múltiple",AVERAGE('Hoja 4 - Cálculo'!$I$25:$I$384)+AVERAGE('Hoja 4 - Cálculo'!$J$25:$J$384)+AVERAGE('Hoja 4 - Cálculo'!$K$25:$K$384),IF(D2215="Uso prioritario",'Hoja 4 - Cálculo'!I76+'Hoja 4 - Cálculo'!K76,'Hoja 4 - Cálculo'!I76+'Hoja 4 - Cálculo'!J76+'Hoja 4 - Cálculo'!K76)))</f>
        <v>8</v>
      </c>
      <c r="I2215" s="15">
        <f t="shared" si="494"/>
        <v>8</v>
      </c>
      <c r="J2215" s="15">
        <f t="shared" si="505"/>
        <v>5</v>
      </c>
      <c r="K2215" s="15">
        <f>MIN(J2215+G2215,(J2215+G2215)*'Hoja 4 - Cálculo'!$B$15)</f>
        <v>0.61025499999999999</v>
      </c>
      <c r="L2215" s="15">
        <f t="shared" si="498"/>
        <v>29.902495000000002</v>
      </c>
      <c r="M2215" s="15">
        <f t="shared" si="499"/>
        <v>8</v>
      </c>
      <c r="N2215" s="15">
        <f t="shared" si="500"/>
        <v>5</v>
      </c>
      <c r="O2215" s="15">
        <f t="shared" si="501"/>
        <v>16.902495000000002</v>
      </c>
      <c r="P2215" s="15">
        <f t="shared" si="502"/>
        <v>0</v>
      </c>
      <c r="Q2215" s="14" t="str">
        <f>IF(M2215&gt;=I2215*'Hoja 4 - Cálculo'!$B$16,"Satisfactorio","Falla")</f>
        <v>Satisfactorio</v>
      </c>
      <c r="R2215" s="14">
        <f t="shared" si="506"/>
        <v>0</v>
      </c>
      <c r="S2215" s="14">
        <f t="shared" si="507"/>
        <v>0</v>
      </c>
    </row>
    <row r="2216" spans="1:19">
      <c r="A2216" s="14" t="str">
        <f t="shared" si="503"/>
        <v>CFG-1</v>
      </c>
      <c r="B2216" s="15">
        <f>'Curvas SRY'!$E$11</f>
        <v>5</v>
      </c>
      <c r="C2216" s="15">
        <f>1</f>
        <v>1</v>
      </c>
      <c r="D2216" s="14" t="str">
        <f t="shared" si="504"/>
        <v>Uso único</v>
      </c>
      <c r="E2216" s="14">
        <f>53</f>
        <v>53</v>
      </c>
      <c r="F2216" s="21">
        <f>'Hoja 4 - Cálculo'!A77</f>
        <v>31168</v>
      </c>
      <c r="G2216" s="15">
        <f>'Hoja 4 - Cálculo'!H77</f>
        <v>24.36525</v>
      </c>
      <c r="H2216" s="15">
        <f>IF(D2216="Uso único",'Hoja 4 - Cálculo'!I77,IF(D2216="Uso múltiple",AVERAGE('Hoja 4 - Cálculo'!$I$25:$I$384)+AVERAGE('Hoja 4 - Cálculo'!$J$25:$J$384)+AVERAGE('Hoja 4 - Cálculo'!$K$25:$K$384),IF(D2216="Uso prioritario",'Hoja 4 - Cálculo'!I77+'Hoja 4 - Cálculo'!K77,'Hoja 4 - Cálculo'!I77+'Hoja 4 - Cálculo'!J77+'Hoja 4 - Cálculo'!K77)))</f>
        <v>8</v>
      </c>
      <c r="I2216" s="15">
        <f t="shared" si="494"/>
        <v>8</v>
      </c>
      <c r="J2216" s="15">
        <f t="shared" si="505"/>
        <v>5</v>
      </c>
      <c r="K2216" s="15">
        <f>MIN(J2216+G2216,(J2216+G2216)*'Hoja 4 - Cálculo'!$B$15)</f>
        <v>0.58730499999999997</v>
      </c>
      <c r="L2216" s="15">
        <f t="shared" si="498"/>
        <v>28.777944999999999</v>
      </c>
      <c r="M2216" s="15">
        <f t="shared" si="499"/>
        <v>8</v>
      </c>
      <c r="N2216" s="15">
        <f t="shared" si="500"/>
        <v>5</v>
      </c>
      <c r="O2216" s="15">
        <f t="shared" si="501"/>
        <v>15.777944999999999</v>
      </c>
      <c r="P2216" s="15">
        <f t="shared" si="502"/>
        <v>0</v>
      </c>
      <c r="Q2216" s="14" t="str">
        <f>IF(M2216&gt;=I2216*'Hoja 4 - Cálculo'!$B$16,"Satisfactorio","Falla")</f>
        <v>Satisfactorio</v>
      </c>
      <c r="R2216" s="14">
        <f t="shared" si="506"/>
        <v>0</v>
      </c>
      <c r="S2216" s="14">
        <f t="shared" si="507"/>
        <v>0</v>
      </c>
    </row>
    <row r="2217" spans="1:19">
      <c r="A2217" s="14" t="str">
        <f t="shared" si="503"/>
        <v>CFG-1</v>
      </c>
      <c r="B2217" s="15">
        <f>'Curvas SRY'!$E$11</f>
        <v>5</v>
      </c>
      <c r="C2217" s="15">
        <f>1</f>
        <v>1</v>
      </c>
      <c r="D2217" s="14" t="str">
        <f t="shared" si="504"/>
        <v>Uso único</v>
      </c>
      <c r="E2217" s="14">
        <f>54</f>
        <v>54</v>
      </c>
      <c r="F2217" s="21">
        <f>'Hoja 4 - Cálculo'!A78</f>
        <v>31199</v>
      </c>
      <c r="G2217" s="15">
        <f>'Hoja 4 - Cálculo'!H78</f>
        <v>15.395625000000001</v>
      </c>
      <c r="H2217" s="15">
        <f>IF(D2217="Uso único",'Hoja 4 - Cálculo'!I78,IF(D2217="Uso múltiple",AVERAGE('Hoja 4 - Cálculo'!$I$25:$I$384)+AVERAGE('Hoja 4 - Cálculo'!$J$25:$J$384)+AVERAGE('Hoja 4 - Cálculo'!$K$25:$K$384),IF(D2217="Uso prioritario",'Hoja 4 - Cálculo'!I78+'Hoja 4 - Cálculo'!K78,'Hoja 4 - Cálculo'!I78+'Hoja 4 - Cálculo'!J78+'Hoja 4 - Cálculo'!K78)))</f>
        <v>8</v>
      </c>
      <c r="I2217" s="15">
        <f t="shared" si="494"/>
        <v>8</v>
      </c>
      <c r="J2217" s="15">
        <f t="shared" si="505"/>
        <v>5</v>
      </c>
      <c r="K2217" s="15">
        <f>MIN(J2217+G2217,(J2217+G2217)*'Hoja 4 - Cálculo'!$B$15)</f>
        <v>0.40791250000000007</v>
      </c>
      <c r="L2217" s="15">
        <f t="shared" si="498"/>
        <v>19.987712500000004</v>
      </c>
      <c r="M2217" s="15">
        <f t="shared" si="499"/>
        <v>8</v>
      </c>
      <c r="N2217" s="15">
        <f t="shared" si="500"/>
        <v>5</v>
      </c>
      <c r="O2217" s="15">
        <f t="shared" si="501"/>
        <v>6.9877125000000042</v>
      </c>
      <c r="P2217" s="15">
        <f t="shared" si="502"/>
        <v>0</v>
      </c>
      <c r="Q2217" s="14" t="str">
        <f>IF(M2217&gt;=I2217*'Hoja 4 - Cálculo'!$B$16,"Satisfactorio","Falla")</f>
        <v>Satisfactorio</v>
      </c>
      <c r="R2217" s="14">
        <f t="shared" si="506"/>
        <v>0</v>
      </c>
      <c r="S2217" s="14">
        <f t="shared" si="507"/>
        <v>0</v>
      </c>
    </row>
    <row r="2218" spans="1:19">
      <c r="A2218" s="14" t="str">
        <f t="shared" si="503"/>
        <v>CFG-1</v>
      </c>
      <c r="B2218" s="15">
        <f>'Curvas SRY'!$E$11</f>
        <v>5</v>
      </c>
      <c r="C2218" s="15">
        <f>1</f>
        <v>1</v>
      </c>
      <c r="D2218" s="14" t="str">
        <f t="shared" si="504"/>
        <v>Uso único</v>
      </c>
      <c r="E2218" s="14">
        <f>55</f>
        <v>55</v>
      </c>
      <c r="F2218" s="21">
        <f>'Hoja 4 - Cálculo'!A79</f>
        <v>31229</v>
      </c>
      <c r="G2218" s="15">
        <f>'Hoja 4 - Cálculo'!H79</f>
        <v>11.742749999999999</v>
      </c>
      <c r="H2218" s="15">
        <f>IF(D2218="Uso único",'Hoja 4 - Cálculo'!I79,IF(D2218="Uso múltiple",AVERAGE('Hoja 4 - Cálculo'!$I$25:$I$384)+AVERAGE('Hoja 4 - Cálculo'!$J$25:$J$384)+AVERAGE('Hoja 4 - Cálculo'!$K$25:$K$384),IF(D2218="Uso prioritario",'Hoja 4 - Cálculo'!I79+'Hoja 4 - Cálculo'!K79,'Hoja 4 - Cálculo'!I79+'Hoja 4 - Cálculo'!J79+'Hoja 4 - Cálculo'!K79)))</f>
        <v>8</v>
      </c>
      <c r="I2218" s="15">
        <f t="shared" si="494"/>
        <v>8</v>
      </c>
      <c r="J2218" s="15">
        <f t="shared" si="505"/>
        <v>5</v>
      </c>
      <c r="K2218" s="15">
        <f>MIN(J2218+G2218,(J2218+G2218)*'Hoja 4 - Cálculo'!$B$15)</f>
        <v>0.33485500000000001</v>
      </c>
      <c r="L2218" s="15">
        <f t="shared" si="498"/>
        <v>16.407895</v>
      </c>
      <c r="M2218" s="15">
        <f t="shared" si="499"/>
        <v>8</v>
      </c>
      <c r="N2218" s="15">
        <f t="shared" si="500"/>
        <v>5</v>
      </c>
      <c r="O2218" s="15">
        <f t="shared" si="501"/>
        <v>3.4078949999999999</v>
      </c>
      <c r="P2218" s="15">
        <f t="shared" si="502"/>
        <v>0</v>
      </c>
      <c r="Q2218" s="14" t="str">
        <f>IF(M2218&gt;=I2218*'Hoja 4 - Cálculo'!$B$16,"Satisfactorio","Falla")</f>
        <v>Satisfactorio</v>
      </c>
      <c r="R2218" s="14">
        <f t="shared" si="506"/>
        <v>0</v>
      </c>
      <c r="S2218" s="14">
        <f t="shared" si="507"/>
        <v>0</v>
      </c>
    </row>
    <row r="2219" spans="1:19">
      <c r="A2219" s="14" t="str">
        <f t="shared" si="503"/>
        <v>CFG-1</v>
      </c>
      <c r="B2219" s="15">
        <f>'Curvas SRY'!$E$11</f>
        <v>5</v>
      </c>
      <c r="C2219" s="15">
        <f>1</f>
        <v>1</v>
      </c>
      <c r="D2219" s="14" t="str">
        <f t="shared" si="504"/>
        <v>Uso único</v>
      </c>
      <c r="E2219" s="14">
        <f>56</f>
        <v>56</v>
      </c>
      <c r="F2219" s="21">
        <f>'Hoja 4 - Cálculo'!A80</f>
        <v>31260</v>
      </c>
      <c r="G2219" s="15">
        <f>'Hoja 4 - Cálculo'!H80</f>
        <v>12.603375</v>
      </c>
      <c r="H2219" s="15">
        <f>IF(D2219="Uso único",'Hoja 4 - Cálculo'!I80,IF(D2219="Uso múltiple",AVERAGE('Hoja 4 - Cálculo'!$I$25:$I$384)+AVERAGE('Hoja 4 - Cálculo'!$J$25:$J$384)+AVERAGE('Hoja 4 - Cálculo'!$K$25:$K$384),IF(D2219="Uso prioritario",'Hoja 4 - Cálculo'!I80+'Hoja 4 - Cálculo'!K80,'Hoja 4 - Cálculo'!I80+'Hoja 4 - Cálculo'!J80+'Hoja 4 - Cálculo'!K80)))</f>
        <v>8</v>
      </c>
      <c r="I2219" s="15">
        <f t="shared" si="494"/>
        <v>8</v>
      </c>
      <c r="J2219" s="15">
        <f t="shared" si="505"/>
        <v>5</v>
      </c>
      <c r="K2219" s="15">
        <f>MIN(J2219+G2219,(J2219+G2219)*'Hoja 4 - Cálculo'!$B$15)</f>
        <v>0.35206749999999998</v>
      </c>
      <c r="L2219" s="15">
        <f t="shared" si="498"/>
        <v>17.251307499999999</v>
      </c>
      <c r="M2219" s="15">
        <f t="shared" si="499"/>
        <v>8</v>
      </c>
      <c r="N2219" s="15">
        <f t="shared" si="500"/>
        <v>5</v>
      </c>
      <c r="O2219" s="15">
        <f t="shared" si="501"/>
        <v>4.2513074999999994</v>
      </c>
      <c r="P2219" s="15">
        <f t="shared" si="502"/>
        <v>0</v>
      </c>
      <c r="Q2219" s="14" t="str">
        <f>IF(M2219&gt;=I2219*'Hoja 4 - Cálculo'!$B$16,"Satisfactorio","Falla")</f>
        <v>Satisfactorio</v>
      </c>
      <c r="R2219" s="14">
        <f t="shared" si="506"/>
        <v>0</v>
      </c>
      <c r="S2219" s="14">
        <f t="shared" si="507"/>
        <v>0</v>
      </c>
    </row>
    <row r="2220" spans="1:19">
      <c r="A2220" s="14" t="str">
        <f t="shared" si="503"/>
        <v>CFG-1</v>
      </c>
      <c r="B2220" s="15">
        <f>'Curvas SRY'!$E$11</f>
        <v>5</v>
      </c>
      <c r="C2220" s="15">
        <f>1</f>
        <v>1</v>
      </c>
      <c r="D2220" s="14" t="str">
        <f t="shared" si="504"/>
        <v>Uso único</v>
      </c>
      <c r="E2220" s="14">
        <f>57</f>
        <v>57</v>
      </c>
      <c r="F2220" s="21">
        <f>'Hoja 4 - Cálculo'!A81</f>
        <v>31291</v>
      </c>
      <c r="G2220" s="15">
        <f>'Hoja 4 - Cálculo'!H81</f>
        <v>21.745125000000002</v>
      </c>
      <c r="H2220" s="15">
        <f>IF(D2220="Uso único",'Hoja 4 - Cálculo'!I81,IF(D2220="Uso múltiple",AVERAGE('Hoja 4 - Cálculo'!$I$25:$I$384)+AVERAGE('Hoja 4 - Cálculo'!$J$25:$J$384)+AVERAGE('Hoja 4 - Cálculo'!$K$25:$K$384),IF(D2220="Uso prioritario",'Hoja 4 - Cálculo'!I81+'Hoja 4 - Cálculo'!K81,'Hoja 4 - Cálculo'!I81+'Hoja 4 - Cálculo'!J81+'Hoja 4 - Cálculo'!K81)))</f>
        <v>8</v>
      </c>
      <c r="I2220" s="15">
        <f t="shared" si="494"/>
        <v>8</v>
      </c>
      <c r="J2220" s="15">
        <f t="shared" si="505"/>
        <v>5</v>
      </c>
      <c r="K2220" s="15">
        <f>MIN(J2220+G2220,(J2220+G2220)*'Hoja 4 - Cálculo'!$B$15)</f>
        <v>0.53490250000000006</v>
      </c>
      <c r="L2220" s="15">
        <f t="shared" si="498"/>
        <v>26.2102225</v>
      </c>
      <c r="M2220" s="15">
        <f t="shared" si="499"/>
        <v>8</v>
      </c>
      <c r="N2220" s="15">
        <f t="shared" si="500"/>
        <v>5</v>
      </c>
      <c r="O2220" s="15">
        <f t="shared" si="501"/>
        <v>13.2102225</v>
      </c>
      <c r="P2220" s="15">
        <f t="shared" si="502"/>
        <v>0</v>
      </c>
      <c r="Q2220" s="14" t="str">
        <f>IF(M2220&gt;=I2220*'Hoja 4 - Cálculo'!$B$16,"Satisfactorio","Falla")</f>
        <v>Satisfactorio</v>
      </c>
      <c r="R2220" s="14">
        <f t="shared" si="506"/>
        <v>0</v>
      </c>
      <c r="S2220" s="14">
        <f t="shared" si="507"/>
        <v>0</v>
      </c>
    </row>
    <row r="2221" spans="1:19">
      <c r="A2221" s="14" t="str">
        <f t="shared" si="503"/>
        <v>CFG-1</v>
      </c>
      <c r="B2221" s="15">
        <f>'Curvas SRY'!$E$11</f>
        <v>5</v>
      </c>
      <c r="C2221" s="15">
        <f>1</f>
        <v>1</v>
      </c>
      <c r="D2221" s="14" t="str">
        <f t="shared" si="504"/>
        <v>Uso único</v>
      </c>
      <c r="E2221" s="14">
        <f>58</f>
        <v>58</v>
      </c>
      <c r="F2221" s="21">
        <f>'Hoja 4 - Cálculo'!A82</f>
        <v>31321</v>
      </c>
      <c r="G2221" s="15">
        <f>'Hoja 4 - Cálculo'!H82</f>
        <v>27.788625</v>
      </c>
      <c r="H2221" s="15">
        <f>IF(D2221="Uso único",'Hoja 4 - Cálculo'!I82,IF(D2221="Uso múltiple",AVERAGE('Hoja 4 - Cálculo'!$I$25:$I$384)+AVERAGE('Hoja 4 - Cálculo'!$J$25:$J$384)+AVERAGE('Hoja 4 - Cálculo'!$K$25:$K$384),IF(D2221="Uso prioritario",'Hoja 4 - Cálculo'!I82+'Hoja 4 - Cálculo'!K82,'Hoja 4 - Cálculo'!I82+'Hoja 4 - Cálculo'!J82+'Hoja 4 - Cálculo'!K82)))</f>
        <v>8</v>
      </c>
      <c r="I2221" s="15">
        <f t="shared" si="494"/>
        <v>8</v>
      </c>
      <c r="J2221" s="15">
        <f t="shared" si="505"/>
        <v>5</v>
      </c>
      <c r="K2221" s="15">
        <f>MIN(J2221+G2221,(J2221+G2221)*'Hoja 4 - Cálculo'!$B$15)</f>
        <v>0.65577249999999998</v>
      </c>
      <c r="L2221" s="15">
        <f t="shared" si="498"/>
        <v>32.132852499999998</v>
      </c>
      <c r="M2221" s="15">
        <f t="shared" si="499"/>
        <v>8</v>
      </c>
      <c r="N2221" s="15">
        <f t="shared" si="500"/>
        <v>5</v>
      </c>
      <c r="O2221" s="15">
        <f t="shared" si="501"/>
        <v>19.132852499999998</v>
      </c>
      <c r="P2221" s="15">
        <f t="shared" si="502"/>
        <v>0</v>
      </c>
      <c r="Q2221" s="14" t="str">
        <f>IF(M2221&gt;=I2221*'Hoja 4 - Cálculo'!$B$16,"Satisfactorio","Falla")</f>
        <v>Satisfactorio</v>
      </c>
      <c r="R2221" s="14">
        <f t="shared" si="506"/>
        <v>0</v>
      </c>
      <c r="S2221" s="14">
        <f t="shared" si="507"/>
        <v>0</v>
      </c>
    </row>
    <row r="2222" spans="1:19">
      <c r="A2222" s="14" t="str">
        <f t="shared" si="503"/>
        <v>CFG-1</v>
      </c>
      <c r="B2222" s="15">
        <f>'Curvas SRY'!$E$11</f>
        <v>5</v>
      </c>
      <c r="C2222" s="15">
        <f>1</f>
        <v>1</v>
      </c>
      <c r="D2222" s="14" t="str">
        <f t="shared" si="504"/>
        <v>Uso único</v>
      </c>
      <c r="E2222" s="14">
        <f>59</f>
        <v>59</v>
      </c>
      <c r="F2222" s="21">
        <f>'Hoja 4 - Cálculo'!A83</f>
        <v>31352</v>
      </c>
      <c r="G2222" s="15">
        <f>'Hoja 4 - Cálculo'!H83</f>
        <v>22.22325</v>
      </c>
      <c r="H2222" s="15">
        <f>IF(D2222="Uso único",'Hoja 4 - Cálculo'!I83,IF(D2222="Uso múltiple",AVERAGE('Hoja 4 - Cálculo'!$I$25:$I$384)+AVERAGE('Hoja 4 - Cálculo'!$J$25:$J$384)+AVERAGE('Hoja 4 - Cálculo'!$K$25:$K$384),IF(D2222="Uso prioritario",'Hoja 4 - Cálculo'!I83+'Hoja 4 - Cálculo'!K83,'Hoja 4 - Cálculo'!I83+'Hoja 4 - Cálculo'!J83+'Hoja 4 - Cálculo'!K83)))</f>
        <v>8</v>
      </c>
      <c r="I2222" s="15">
        <f t="shared" si="494"/>
        <v>8</v>
      </c>
      <c r="J2222" s="15">
        <f t="shared" si="505"/>
        <v>5</v>
      </c>
      <c r="K2222" s="15">
        <f>MIN(J2222+G2222,(J2222+G2222)*'Hoja 4 - Cálculo'!$B$15)</f>
        <v>0.54446499999999998</v>
      </c>
      <c r="L2222" s="15">
        <f t="shared" si="498"/>
        <v>26.678785000000001</v>
      </c>
      <c r="M2222" s="15">
        <f t="shared" si="499"/>
        <v>8</v>
      </c>
      <c r="N2222" s="15">
        <f t="shared" si="500"/>
        <v>5</v>
      </c>
      <c r="O2222" s="15">
        <f t="shared" si="501"/>
        <v>13.678785000000001</v>
      </c>
      <c r="P2222" s="15">
        <f t="shared" si="502"/>
        <v>0</v>
      </c>
      <c r="Q2222" s="14" t="str">
        <f>IF(M2222&gt;=I2222*'Hoja 4 - Cálculo'!$B$16,"Satisfactorio","Falla")</f>
        <v>Satisfactorio</v>
      </c>
      <c r="R2222" s="14">
        <f t="shared" si="506"/>
        <v>0</v>
      </c>
      <c r="S2222" s="14">
        <f t="shared" si="507"/>
        <v>0</v>
      </c>
    </row>
    <row r="2223" spans="1:19">
      <c r="A2223" s="14" t="str">
        <f t="shared" si="503"/>
        <v>CFG-1</v>
      </c>
      <c r="B2223" s="15">
        <f>'Curvas SRY'!$E$11</f>
        <v>5</v>
      </c>
      <c r="C2223" s="15">
        <f>1</f>
        <v>1</v>
      </c>
      <c r="D2223" s="14" t="str">
        <f t="shared" si="504"/>
        <v>Uso único</v>
      </c>
      <c r="E2223" s="14">
        <f>60</f>
        <v>60</v>
      </c>
      <c r="F2223" s="21">
        <f>'Hoja 4 - Cálculo'!A84</f>
        <v>31382</v>
      </c>
      <c r="G2223" s="15">
        <f>'Hoja 4 - Cálculo'!H84</f>
        <v>14.171625000000001</v>
      </c>
      <c r="H2223" s="15">
        <f>IF(D2223="Uso único",'Hoja 4 - Cálculo'!I84,IF(D2223="Uso múltiple",AVERAGE('Hoja 4 - Cálculo'!$I$25:$I$384)+AVERAGE('Hoja 4 - Cálculo'!$J$25:$J$384)+AVERAGE('Hoja 4 - Cálculo'!$K$25:$K$384),IF(D2223="Uso prioritario",'Hoja 4 - Cálculo'!I84+'Hoja 4 - Cálculo'!K84,'Hoja 4 - Cálculo'!I84+'Hoja 4 - Cálculo'!J84+'Hoja 4 - Cálculo'!K84)))</f>
        <v>8</v>
      </c>
      <c r="I2223" s="15">
        <f t="shared" si="494"/>
        <v>8</v>
      </c>
      <c r="J2223" s="15">
        <f t="shared" si="505"/>
        <v>5</v>
      </c>
      <c r="K2223" s="15">
        <f>MIN(J2223+G2223,(J2223+G2223)*'Hoja 4 - Cálculo'!$B$15)</f>
        <v>0.38343250000000001</v>
      </c>
      <c r="L2223" s="15">
        <f t="shared" si="498"/>
        <v>18.788192499999997</v>
      </c>
      <c r="M2223" s="15">
        <f t="shared" si="499"/>
        <v>8</v>
      </c>
      <c r="N2223" s="15">
        <f t="shared" si="500"/>
        <v>5</v>
      </c>
      <c r="O2223" s="15">
        <f t="shared" si="501"/>
        <v>5.7881924999999974</v>
      </c>
      <c r="P2223" s="15">
        <f t="shared" si="502"/>
        <v>0</v>
      </c>
      <c r="Q2223" s="14" t="str">
        <f>IF(M2223&gt;=I2223*'Hoja 4 - Cálculo'!$B$16,"Satisfactorio","Falla")</f>
        <v>Satisfactorio</v>
      </c>
      <c r="R2223" s="14">
        <f t="shared" si="506"/>
        <v>0</v>
      </c>
      <c r="S2223" s="14">
        <f t="shared" si="507"/>
        <v>0</v>
      </c>
    </row>
    <row r="2224" spans="1:19">
      <c r="A2224" s="14" t="str">
        <f t="shared" si="503"/>
        <v>CFG-1</v>
      </c>
      <c r="B2224" s="15">
        <f>'Curvas SRY'!$E$11</f>
        <v>5</v>
      </c>
      <c r="C2224" s="15">
        <f>1</f>
        <v>1</v>
      </c>
      <c r="D2224" s="14" t="str">
        <f t="shared" si="504"/>
        <v>Uso único</v>
      </c>
      <c r="E2224" s="14">
        <f>61</f>
        <v>61</v>
      </c>
      <c r="F2224" s="21">
        <f>'Hoja 4 - Cálculo'!A85</f>
        <v>31413</v>
      </c>
      <c r="G2224" s="15">
        <f>'Hoja 4 - Cálculo'!H85</f>
        <v>12.641624999999999</v>
      </c>
      <c r="H2224" s="15">
        <f>IF(D2224="Uso único",'Hoja 4 - Cálculo'!I85,IF(D2224="Uso múltiple",AVERAGE('Hoja 4 - Cálculo'!$I$25:$I$384)+AVERAGE('Hoja 4 - Cálculo'!$J$25:$J$384)+AVERAGE('Hoja 4 - Cálculo'!$K$25:$K$384),IF(D2224="Uso prioritario",'Hoja 4 - Cálculo'!I85+'Hoja 4 - Cálculo'!K85,'Hoja 4 - Cálculo'!I85+'Hoja 4 - Cálculo'!J85+'Hoja 4 - Cálculo'!K85)))</f>
        <v>8</v>
      </c>
      <c r="I2224" s="15">
        <f t="shared" si="494"/>
        <v>8</v>
      </c>
      <c r="J2224" s="15">
        <f t="shared" si="505"/>
        <v>5</v>
      </c>
      <c r="K2224" s="15">
        <f>MIN(J2224+G2224,(J2224+G2224)*'Hoja 4 - Cálculo'!$B$15)</f>
        <v>0.35283249999999994</v>
      </c>
      <c r="L2224" s="15">
        <f t="shared" si="498"/>
        <v>17.288792499999996</v>
      </c>
      <c r="M2224" s="15">
        <f t="shared" si="499"/>
        <v>8</v>
      </c>
      <c r="N2224" s="15">
        <f t="shared" si="500"/>
        <v>5</v>
      </c>
      <c r="O2224" s="15">
        <f t="shared" si="501"/>
        <v>4.288792499999996</v>
      </c>
      <c r="P2224" s="15">
        <f t="shared" si="502"/>
        <v>0</v>
      </c>
      <c r="Q2224" s="14" t="str">
        <f>IF(M2224&gt;=I2224*'Hoja 4 - Cálculo'!$B$16,"Satisfactorio","Falla")</f>
        <v>Satisfactorio</v>
      </c>
      <c r="R2224" s="14">
        <f t="shared" si="506"/>
        <v>0</v>
      </c>
      <c r="S2224" s="14">
        <f t="shared" si="507"/>
        <v>0</v>
      </c>
    </row>
    <row r="2225" spans="1:19">
      <c r="A2225" s="14" t="str">
        <f t="shared" si="503"/>
        <v>CFG-1</v>
      </c>
      <c r="B2225" s="15">
        <f>'Curvas SRY'!$E$11</f>
        <v>5</v>
      </c>
      <c r="C2225" s="15">
        <f>1</f>
        <v>1</v>
      </c>
      <c r="D2225" s="14" t="str">
        <f t="shared" si="504"/>
        <v>Uso único</v>
      </c>
      <c r="E2225" s="14">
        <f>62</f>
        <v>62</v>
      </c>
      <c r="F2225" s="21">
        <f>'Hoja 4 - Cálculo'!A86</f>
        <v>31444</v>
      </c>
      <c r="G2225" s="15">
        <f>'Hoja 4 - Cálculo'!H86</f>
        <v>15.357374999999999</v>
      </c>
      <c r="H2225" s="15">
        <f>IF(D2225="Uso único",'Hoja 4 - Cálculo'!I86,IF(D2225="Uso múltiple",AVERAGE('Hoja 4 - Cálculo'!$I$25:$I$384)+AVERAGE('Hoja 4 - Cálculo'!$J$25:$J$384)+AVERAGE('Hoja 4 - Cálculo'!$K$25:$K$384),IF(D2225="Uso prioritario",'Hoja 4 - Cálculo'!I86+'Hoja 4 - Cálculo'!K86,'Hoja 4 - Cálculo'!I86+'Hoja 4 - Cálculo'!J86+'Hoja 4 - Cálculo'!K86)))</f>
        <v>8</v>
      </c>
      <c r="I2225" s="15">
        <f t="shared" si="494"/>
        <v>8</v>
      </c>
      <c r="J2225" s="15">
        <f t="shared" si="505"/>
        <v>5</v>
      </c>
      <c r="K2225" s="15">
        <f>MIN(J2225+G2225,(J2225+G2225)*'Hoja 4 - Cálculo'!$B$15)</f>
        <v>0.40714749999999994</v>
      </c>
      <c r="L2225" s="15">
        <f t="shared" si="498"/>
        <v>19.950227499999997</v>
      </c>
      <c r="M2225" s="15">
        <f t="shared" si="499"/>
        <v>8</v>
      </c>
      <c r="N2225" s="15">
        <f t="shared" si="500"/>
        <v>5</v>
      </c>
      <c r="O2225" s="15">
        <f t="shared" si="501"/>
        <v>6.9502274999999969</v>
      </c>
      <c r="P2225" s="15">
        <f t="shared" si="502"/>
        <v>0</v>
      </c>
      <c r="Q2225" s="14" t="str">
        <f>IF(M2225&gt;=I2225*'Hoja 4 - Cálculo'!$B$16,"Satisfactorio","Falla")</f>
        <v>Satisfactorio</v>
      </c>
      <c r="R2225" s="14">
        <f t="shared" si="506"/>
        <v>0</v>
      </c>
      <c r="S2225" s="14">
        <f t="shared" si="507"/>
        <v>0</v>
      </c>
    </row>
    <row r="2226" spans="1:19">
      <c r="A2226" s="14" t="str">
        <f t="shared" si="503"/>
        <v>CFG-1</v>
      </c>
      <c r="B2226" s="15">
        <f>'Curvas SRY'!$E$11</f>
        <v>5</v>
      </c>
      <c r="C2226" s="15">
        <f>1</f>
        <v>1</v>
      </c>
      <c r="D2226" s="14" t="str">
        <f t="shared" si="504"/>
        <v>Uso único</v>
      </c>
      <c r="E2226" s="14">
        <f>63</f>
        <v>63</v>
      </c>
      <c r="F2226" s="21">
        <f>'Hoja 4 - Cálculo'!A87</f>
        <v>31472</v>
      </c>
      <c r="G2226" s="15">
        <f>'Hoja 4 - Cálculo'!H87</f>
        <v>20.846250000000001</v>
      </c>
      <c r="H2226" s="15">
        <f>IF(D2226="Uso único",'Hoja 4 - Cálculo'!I87,IF(D2226="Uso múltiple",AVERAGE('Hoja 4 - Cálculo'!$I$25:$I$384)+AVERAGE('Hoja 4 - Cálculo'!$J$25:$J$384)+AVERAGE('Hoja 4 - Cálculo'!$K$25:$K$384),IF(D2226="Uso prioritario",'Hoja 4 - Cálculo'!I87+'Hoja 4 - Cálculo'!K87,'Hoja 4 - Cálculo'!I87+'Hoja 4 - Cálculo'!J87+'Hoja 4 - Cálculo'!K87)))</f>
        <v>8</v>
      </c>
      <c r="I2226" s="15">
        <f t="shared" si="494"/>
        <v>8</v>
      </c>
      <c r="J2226" s="15">
        <f t="shared" si="505"/>
        <v>5</v>
      </c>
      <c r="K2226" s="15">
        <f>MIN(J2226+G2226,(J2226+G2226)*'Hoja 4 - Cálculo'!$B$15)</f>
        <v>0.51692500000000008</v>
      </c>
      <c r="L2226" s="15">
        <f t="shared" si="498"/>
        <v>25.329325000000001</v>
      </c>
      <c r="M2226" s="15">
        <f t="shared" si="499"/>
        <v>8</v>
      </c>
      <c r="N2226" s="15">
        <f t="shared" si="500"/>
        <v>5</v>
      </c>
      <c r="O2226" s="15">
        <f t="shared" si="501"/>
        <v>12.329325000000001</v>
      </c>
      <c r="P2226" s="15">
        <f t="shared" si="502"/>
        <v>0</v>
      </c>
      <c r="Q2226" s="14" t="str">
        <f>IF(M2226&gt;=I2226*'Hoja 4 - Cálculo'!$B$16,"Satisfactorio","Falla")</f>
        <v>Satisfactorio</v>
      </c>
      <c r="R2226" s="14">
        <f t="shared" si="506"/>
        <v>0</v>
      </c>
      <c r="S2226" s="14">
        <f t="shared" si="507"/>
        <v>0</v>
      </c>
    </row>
    <row r="2227" spans="1:19">
      <c r="A2227" s="14" t="str">
        <f t="shared" si="503"/>
        <v>CFG-1</v>
      </c>
      <c r="B2227" s="15">
        <f>'Curvas SRY'!$E$11</f>
        <v>5</v>
      </c>
      <c r="C2227" s="15">
        <f>1</f>
        <v>1</v>
      </c>
      <c r="D2227" s="14" t="str">
        <f t="shared" si="504"/>
        <v>Uso único</v>
      </c>
      <c r="E2227" s="14">
        <f>64</f>
        <v>64</v>
      </c>
      <c r="F2227" s="21">
        <f>'Hoja 4 - Cálculo'!A88</f>
        <v>31503</v>
      </c>
      <c r="G2227" s="15">
        <f>'Hoja 4 - Cálculo'!H88</f>
        <v>30.638249999999999</v>
      </c>
      <c r="H2227" s="15">
        <f>IF(D2227="Uso único",'Hoja 4 - Cálculo'!I88,IF(D2227="Uso múltiple",AVERAGE('Hoja 4 - Cálculo'!$I$25:$I$384)+AVERAGE('Hoja 4 - Cálculo'!$J$25:$J$384)+AVERAGE('Hoja 4 - Cálculo'!$K$25:$K$384),IF(D2227="Uso prioritario",'Hoja 4 - Cálculo'!I88+'Hoja 4 - Cálculo'!K88,'Hoja 4 - Cálculo'!I88+'Hoja 4 - Cálculo'!J88+'Hoja 4 - Cálculo'!K88)))</f>
        <v>8</v>
      </c>
      <c r="I2227" s="15">
        <f t="shared" si="494"/>
        <v>8</v>
      </c>
      <c r="J2227" s="15">
        <f t="shared" si="505"/>
        <v>5</v>
      </c>
      <c r="K2227" s="15">
        <f>MIN(J2227+G2227,(J2227+G2227)*'Hoja 4 - Cálculo'!$B$15)</f>
        <v>0.71276499999999998</v>
      </c>
      <c r="L2227" s="15">
        <f t="shared" si="498"/>
        <v>34.925485000000002</v>
      </c>
      <c r="M2227" s="15">
        <f t="shared" si="499"/>
        <v>8</v>
      </c>
      <c r="N2227" s="15">
        <f t="shared" si="500"/>
        <v>5</v>
      </c>
      <c r="O2227" s="15">
        <f t="shared" si="501"/>
        <v>21.925485000000002</v>
      </c>
      <c r="P2227" s="15">
        <f t="shared" si="502"/>
        <v>0</v>
      </c>
      <c r="Q2227" s="14" t="str">
        <f>IF(M2227&gt;=I2227*'Hoja 4 - Cálculo'!$B$16,"Satisfactorio","Falla")</f>
        <v>Satisfactorio</v>
      </c>
      <c r="R2227" s="14">
        <f t="shared" si="506"/>
        <v>0</v>
      </c>
      <c r="S2227" s="14">
        <f t="shared" si="507"/>
        <v>0</v>
      </c>
    </row>
    <row r="2228" spans="1:19">
      <c r="A2228" s="14" t="str">
        <f t="shared" ref="A2228:A2259" si="508">"CFG-1"</f>
        <v>CFG-1</v>
      </c>
      <c r="B2228" s="15">
        <f>'Curvas SRY'!$E$11</f>
        <v>5</v>
      </c>
      <c r="C2228" s="15">
        <f>1</f>
        <v>1</v>
      </c>
      <c r="D2228" s="14" t="str">
        <f t="shared" ref="D2228:D2259" si="509">"Uso único"</f>
        <v>Uso único</v>
      </c>
      <c r="E2228" s="14">
        <f>65</f>
        <v>65</v>
      </c>
      <c r="F2228" s="21">
        <f>'Hoja 4 - Cálculo'!A89</f>
        <v>31533</v>
      </c>
      <c r="G2228" s="15">
        <f>'Hoja 4 - Cálculo'!H89</f>
        <v>28.438874999999999</v>
      </c>
      <c r="H2228" s="15">
        <f>IF(D2228="Uso único",'Hoja 4 - Cálculo'!I89,IF(D2228="Uso múltiple",AVERAGE('Hoja 4 - Cálculo'!$I$25:$I$384)+AVERAGE('Hoja 4 - Cálculo'!$J$25:$J$384)+AVERAGE('Hoja 4 - Cálculo'!$K$25:$K$384),IF(D2228="Uso prioritario",'Hoja 4 - Cálculo'!I89+'Hoja 4 - Cálculo'!K89,'Hoja 4 - Cálculo'!I89+'Hoja 4 - Cálculo'!J89+'Hoja 4 - Cálculo'!K89)))</f>
        <v>8</v>
      </c>
      <c r="I2228" s="15">
        <f t="shared" ref="I2228:I2291" si="510">H2228</f>
        <v>8</v>
      </c>
      <c r="J2228" s="15">
        <f t="shared" si="505"/>
        <v>5</v>
      </c>
      <c r="K2228" s="15">
        <f>MIN(J2228+G2228,(J2228+G2228)*'Hoja 4 - Cálculo'!$B$15)</f>
        <v>0.66877749999999991</v>
      </c>
      <c r="L2228" s="15">
        <f t="shared" si="498"/>
        <v>32.770097499999999</v>
      </c>
      <c r="M2228" s="15">
        <f t="shared" si="499"/>
        <v>8</v>
      </c>
      <c r="N2228" s="15">
        <f t="shared" si="500"/>
        <v>5</v>
      </c>
      <c r="O2228" s="15">
        <f t="shared" si="501"/>
        <v>19.770097499999999</v>
      </c>
      <c r="P2228" s="15">
        <f t="shared" si="502"/>
        <v>0</v>
      </c>
      <c r="Q2228" s="14" t="str">
        <f>IF(M2228&gt;=I2228*'Hoja 4 - Cálculo'!$B$16,"Satisfactorio","Falla")</f>
        <v>Satisfactorio</v>
      </c>
      <c r="R2228" s="14">
        <f t="shared" si="506"/>
        <v>0</v>
      </c>
      <c r="S2228" s="14">
        <f t="shared" si="507"/>
        <v>0</v>
      </c>
    </row>
    <row r="2229" spans="1:19">
      <c r="A2229" s="14" t="str">
        <f t="shared" si="508"/>
        <v>CFG-1</v>
      </c>
      <c r="B2229" s="15">
        <f>'Curvas SRY'!$E$11</f>
        <v>5</v>
      </c>
      <c r="C2229" s="15">
        <f>1</f>
        <v>1</v>
      </c>
      <c r="D2229" s="14" t="str">
        <f t="shared" si="509"/>
        <v>Uso único</v>
      </c>
      <c r="E2229" s="14">
        <f>66</f>
        <v>66</v>
      </c>
      <c r="F2229" s="21">
        <f>'Hoja 4 - Cálculo'!A90</f>
        <v>31564</v>
      </c>
      <c r="G2229" s="15">
        <f>'Hoja 4 - Cálculo'!H90</f>
        <v>16.007625000000001</v>
      </c>
      <c r="H2229" s="15">
        <f>IF(D2229="Uso único",'Hoja 4 - Cálculo'!I90,IF(D2229="Uso múltiple",AVERAGE('Hoja 4 - Cálculo'!$I$25:$I$384)+AVERAGE('Hoja 4 - Cálculo'!$J$25:$J$384)+AVERAGE('Hoja 4 - Cálculo'!$K$25:$K$384),IF(D2229="Uso prioritario",'Hoja 4 - Cálculo'!I90+'Hoja 4 - Cálculo'!K90,'Hoja 4 - Cálculo'!I90+'Hoja 4 - Cálculo'!J90+'Hoja 4 - Cálculo'!K90)))</f>
        <v>8</v>
      </c>
      <c r="I2229" s="15">
        <f t="shared" si="510"/>
        <v>8</v>
      </c>
      <c r="J2229" s="15">
        <f t="shared" ref="J2229:J2260" si="511">N2228</f>
        <v>5</v>
      </c>
      <c r="K2229" s="15">
        <f>MIN(J2229+G2229,(J2229+G2229)*'Hoja 4 - Cálculo'!$B$15)</f>
        <v>0.42015250000000004</v>
      </c>
      <c r="L2229" s="15">
        <f t="shared" si="498"/>
        <v>20.587472500000001</v>
      </c>
      <c r="M2229" s="15">
        <f t="shared" si="499"/>
        <v>8</v>
      </c>
      <c r="N2229" s="15">
        <f t="shared" si="500"/>
        <v>5</v>
      </c>
      <c r="O2229" s="15">
        <f t="shared" si="501"/>
        <v>7.5874725000000005</v>
      </c>
      <c r="P2229" s="15">
        <f t="shared" si="502"/>
        <v>0</v>
      </c>
      <c r="Q2229" s="14" t="str">
        <f>IF(M2229&gt;=I2229*'Hoja 4 - Cálculo'!$B$16,"Satisfactorio","Falla")</f>
        <v>Satisfactorio</v>
      </c>
      <c r="R2229" s="14">
        <f t="shared" ref="R2229:R2260" si="512">IF(AND(Q2228="Falla",Q2229="Satisfactorio"),1,0)</f>
        <v>0</v>
      </c>
      <c r="S2229" s="14">
        <f t="shared" ref="S2229:S2260" si="513">IF(AND(Q2229="Falla",Q2228&lt;&gt;"Falla"),1,0)</f>
        <v>0</v>
      </c>
    </row>
    <row r="2230" spans="1:19">
      <c r="A2230" s="14" t="str">
        <f t="shared" si="508"/>
        <v>CFG-1</v>
      </c>
      <c r="B2230" s="15">
        <f>'Curvas SRY'!$E$11</f>
        <v>5</v>
      </c>
      <c r="C2230" s="15">
        <f>1</f>
        <v>1</v>
      </c>
      <c r="D2230" s="14" t="str">
        <f t="shared" si="509"/>
        <v>Uso único</v>
      </c>
      <c r="E2230" s="14">
        <f>67</f>
        <v>67</v>
      </c>
      <c r="F2230" s="21">
        <f>'Hoja 4 - Cálculo'!A91</f>
        <v>31594</v>
      </c>
      <c r="G2230" s="15">
        <f>'Hoja 4 - Cálculo'!H91</f>
        <v>14.056875</v>
      </c>
      <c r="H2230" s="15">
        <f>IF(D2230="Uso único",'Hoja 4 - Cálculo'!I91,IF(D2230="Uso múltiple",AVERAGE('Hoja 4 - Cálculo'!$I$25:$I$384)+AVERAGE('Hoja 4 - Cálculo'!$J$25:$J$384)+AVERAGE('Hoja 4 - Cálculo'!$K$25:$K$384),IF(D2230="Uso prioritario",'Hoja 4 - Cálculo'!I91+'Hoja 4 - Cálculo'!K91,'Hoja 4 - Cálculo'!I91+'Hoja 4 - Cálculo'!J91+'Hoja 4 - Cálculo'!K91)))</f>
        <v>8</v>
      </c>
      <c r="I2230" s="15">
        <f t="shared" si="510"/>
        <v>8</v>
      </c>
      <c r="J2230" s="15">
        <f t="shared" si="511"/>
        <v>5</v>
      </c>
      <c r="K2230" s="15">
        <f>MIN(J2230+G2230,(J2230+G2230)*'Hoja 4 - Cálculo'!$B$15)</f>
        <v>0.38113749999999996</v>
      </c>
      <c r="L2230" s="15">
        <f t="shared" si="498"/>
        <v>18.675737499999997</v>
      </c>
      <c r="M2230" s="15">
        <f t="shared" si="499"/>
        <v>8</v>
      </c>
      <c r="N2230" s="15">
        <f t="shared" si="500"/>
        <v>5</v>
      </c>
      <c r="O2230" s="15">
        <f t="shared" si="501"/>
        <v>5.6757374999999968</v>
      </c>
      <c r="P2230" s="15">
        <f t="shared" si="502"/>
        <v>0</v>
      </c>
      <c r="Q2230" s="14" t="str">
        <f>IF(M2230&gt;=I2230*'Hoja 4 - Cálculo'!$B$16,"Satisfactorio","Falla")</f>
        <v>Satisfactorio</v>
      </c>
      <c r="R2230" s="14">
        <f t="shared" si="512"/>
        <v>0</v>
      </c>
      <c r="S2230" s="14">
        <f t="shared" si="513"/>
        <v>0</v>
      </c>
    </row>
    <row r="2231" spans="1:19">
      <c r="A2231" s="14" t="str">
        <f t="shared" si="508"/>
        <v>CFG-1</v>
      </c>
      <c r="B2231" s="15">
        <f>'Curvas SRY'!$E$11</f>
        <v>5</v>
      </c>
      <c r="C2231" s="15">
        <f>1</f>
        <v>1</v>
      </c>
      <c r="D2231" s="14" t="str">
        <f t="shared" si="509"/>
        <v>Uso único</v>
      </c>
      <c r="E2231" s="14">
        <f>68</f>
        <v>68</v>
      </c>
      <c r="F2231" s="21">
        <f>'Hoja 4 - Cálculo'!A92</f>
        <v>31625</v>
      </c>
      <c r="G2231" s="15">
        <f>'Hoja 4 - Cálculo'!H92</f>
        <v>15.032249999999999</v>
      </c>
      <c r="H2231" s="15">
        <f>IF(D2231="Uso único",'Hoja 4 - Cálculo'!I92,IF(D2231="Uso múltiple",AVERAGE('Hoja 4 - Cálculo'!$I$25:$I$384)+AVERAGE('Hoja 4 - Cálculo'!$J$25:$J$384)+AVERAGE('Hoja 4 - Cálculo'!$K$25:$K$384),IF(D2231="Uso prioritario",'Hoja 4 - Cálculo'!I92+'Hoja 4 - Cálculo'!K92,'Hoja 4 - Cálculo'!I92+'Hoja 4 - Cálculo'!J92+'Hoja 4 - Cálculo'!K92)))</f>
        <v>8</v>
      </c>
      <c r="I2231" s="15">
        <f t="shared" si="510"/>
        <v>8</v>
      </c>
      <c r="J2231" s="15">
        <f t="shared" si="511"/>
        <v>5</v>
      </c>
      <c r="K2231" s="15">
        <f>MIN(J2231+G2231,(J2231+G2231)*'Hoja 4 - Cálculo'!$B$15)</f>
        <v>0.40064499999999997</v>
      </c>
      <c r="L2231" s="15">
        <f t="shared" si="498"/>
        <v>19.631604999999997</v>
      </c>
      <c r="M2231" s="15">
        <f t="shared" si="499"/>
        <v>8</v>
      </c>
      <c r="N2231" s="15">
        <f t="shared" si="500"/>
        <v>5</v>
      </c>
      <c r="O2231" s="15">
        <f t="shared" si="501"/>
        <v>6.6316049999999969</v>
      </c>
      <c r="P2231" s="15">
        <f t="shared" si="502"/>
        <v>0</v>
      </c>
      <c r="Q2231" s="14" t="str">
        <f>IF(M2231&gt;=I2231*'Hoja 4 - Cálculo'!$B$16,"Satisfactorio","Falla")</f>
        <v>Satisfactorio</v>
      </c>
      <c r="R2231" s="14">
        <f t="shared" si="512"/>
        <v>0</v>
      </c>
      <c r="S2231" s="14">
        <f t="shared" si="513"/>
        <v>0</v>
      </c>
    </row>
    <row r="2232" spans="1:19">
      <c r="A2232" s="14" t="str">
        <f t="shared" si="508"/>
        <v>CFG-1</v>
      </c>
      <c r="B2232" s="15">
        <f>'Curvas SRY'!$E$11</f>
        <v>5</v>
      </c>
      <c r="C2232" s="15">
        <f>1</f>
        <v>1</v>
      </c>
      <c r="D2232" s="14" t="str">
        <f t="shared" si="509"/>
        <v>Uso único</v>
      </c>
      <c r="E2232" s="14">
        <f>69</f>
        <v>69</v>
      </c>
      <c r="F2232" s="21">
        <f>'Hoja 4 - Cálculo'!A93</f>
        <v>31656</v>
      </c>
      <c r="G2232" s="15">
        <f>'Hoja 4 - Cálculo'!H93</f>
        <v>22.60575</v>
      </c>
      <c r="H2232" s="15">
        <f>IF(D2232="Uso único",'Hoja 4 - Cálculo'!I93,IF(D2232="Uso múltiple",AVERAGE('Hoja 4 - Cálculo'!$I$25:$I$384)+AVERAGE('Hoja 4 - Cálculo'!$J$25:$J$384)+AVERAGE('Hoja 4 - Cálculo'!$K$25:$K$384),IF(D2232="Uso prioritario",'Hoja 4 - Cálculo'!I93+'Hoja 4 - Cálculo'!K93,'Hoja 4 - Cálculo'!I93+'Hoja 4 - Cálculo'!J93+'Hoja 4 - Cálculo'!K93)))</f>
        <v>8</v>
      </c>
      <c r="I2232" s="15">
        <f t="shared" si="510"/>
        <v>8</v>
      </c>
      <c r="J2232" s="15">
        <f t="shared" si="511"/>
        <v>5</v>
      </c>
      <c r="K2232" s="15">
        <f>MIN(J2232+G2232,(J2232+G2232)*'Hoja 4 - Cálculo'!$B$15)</f>
        <v>0.55211500000000002</v>
      </c>
      <c r="L2232" s="15">
        <f t="shared" si="498"/>
        <v>27.053635</v>
      </c>
      <c r="M2232" s="15">
        <f t="shared" si="499"/>
        <v>8</v>
      </c>
      <c r="N2232" s="15">
        <f t="shared" si="500"/>
        <v>5</v>
      </c>
      <c r="O2232" s="15">
        <f t="shared" si="501"/>
        <v>14.053635</v>
      </c>
      <c r="P2232" s="15">
        <f t="shared" si="502"/>
        <v>0</v>
      </c>
      <c r="Q2232" s="14" t="str">
        <f>IF(M2232&gt;=I2232*'Hoja 4 - Cálculo'!$B$16,"Satisfactorio","Falla")</f>
        <v>Satisfactorio</v>
      </c>
      <c r="R2232" s="14">
        <f t="shared" si="512"/>
        <v>0</v>
      </c>
      <c r="S2232" s="14">
        <f t="shared" si="513"/>
        <v>0</v>
      </c>
    </row>
    <row r="2233" spans="1:19">
      <c r="A2233" s="14" t="str">
        <f t="shared" si="508"/>
        <v>CFG-1</v>
      </c>
      <c r="B2233" s="15">
        <f>'Curvas SRY'!$E$11</f>
        <v>5</v>
      </c>
      <c r="C2233" s="15">
        <f>1</f>
        <v>1</v>
      </c>
      <c r="D2233" s="14" t="str">
        <f t="shared" si="509"/>
        <v>Uso único</v>
      </c>
      <c r="E2233" s="14">
        <f>70</f>
        <v>70</v>
      </c>
      <c r="F2233" s="21">
        <f>'Hoja 4 - Cálculo'!A94</f>
        <v>31686</v>
      </c>
      <c r="G2233" s="15">
        <f>'Hoja 4 - Cálculo'!H94</f>
        <v>32.531624999999998</v>
      </c>
      <c r="H2233" s="15">
        <f>IF(D2233="Uso único",'Hoja 4 - Cálculo'!I94,IF(D2233="Uso múltiple",AVERAGE('Hoja 4 - Cálculo'!$I$25:$I$384)+AVERAGE('Hoja 4 - Cálculo'!$J$25:$J$384)+AVERAGE('Hoja 4 - Cálculo'!$K$25:$K$384),IF(D2233="Uso prioritario",'Hoja 4 - Cálculo'!I94+'Hoja 4 - Cálculo'!K94,'Hoja 4 - Cálculo'!I94+'Hoja 4 - Cálculo'!J94+'Hoja 4 - Cálculo'!K94)))</f>
        <v>8</v>
      </c>
      <c r="I2233" s="15">
        <f t="shared" si="510"/>
        <v>8</v>
      </c>
      <c r="J2233" s="15">
        <f t="shared" si="511"/>
        <v>5</v>
      </c>
      <c r="K2233" s="15">
        <f>MIN(J2233+G2233,(J2233+G2233)*'Hoja 4 - Cálculo'!$B$15)</f>
        <v>0.75063250000000004</v>
      </c>
      <c r="L2233" s="15">
        <f t="shared" si="498"/>
        <v>36.780992499999996</v>
      </c>
      <c r="M2233" s="15">
        <f t="shared" si="499"/>
        <v>8</v>
      </c>
      <c r="N2233" s="15">
        <f t="shared" si="500"/>
        <v>5</v>
      </c>
      <c r="O2233" s="15">
        <f t="shared" si="501"/>
        <v>23.780992499999996</v>
      </c>
      <c r="P2233" s="15">
        <f t="shared" si="502"/>
        <v>0</v>
      </c>
      <c r="Q2233" s="14" t="str">
        <f>IF(M2233&gt;=I2233*'Hoja 4 - Cálculo'!$B$16,"Satisfactorio","Falla")</f>
        <v>Satisfactorio</v>
      </c>
      <c r="R2233" s="14">
        <f t="shared" si="512"/>
        <v>0</v>
      </c>
      <c r="S2233" s="14">
        <f t="shared" si="513"/>
        <v>0</v>
      </c>
    </row>
    <row r="2234" spans="1:19">
      <c r="A2234" s="14" t="str">
        <f t="shared" si="508"/>
        <v>CFG-1</v>
      </c>
      <c r="B2234" s="15">
        <f>'Curvas SRY'!$E$11</f>
        <v>5</v>
      </c>
      <c r="C2234" s="15">
        <f>1</f>
        <v>1</v>
      </c>
      <c r="D2234" s="14" t="str">
        <f t="shared" si="509"/>
        <v>Uso único</v>
      </c>
      <c r="E2234" s="14">
        <f>71</f>
        <v>71</v>
      </c>
      <c r="F2234" s="21">
        <f>'Hoja 4 - Cálculo'!A95</f>
        <v>31717</v>
      </c>
      <c r="G2234" s="15">
        <f>'Hoja 4 - Cálculo'!H95</f>
        <v>26.641124999999999</v>
      </c>
      <c r="H2234" s="15">
        <f>IF(D2234="Uso único",'Hoja 4 - Cálculo'!I95,IF(D2234="Uso múltiple",AVERAGE('Hoja 4 - Cálculo'!$I$25:$I$384)+AVERAGE('Hoja 4 - Cálculo'!$J$25:$J$384)+AVERAGE('Hoja 4 - Cálculo'!$K$25:$K$384),IF(D2234="Uso prioritario",'Hoja 4 - Cálculo'!I95+'Hoja 4 - Cálculo'!K95,'Hoja 4 - Cálculo'!I95+'Hoja 4 - Cálculo'!J95+'Hoja 4 - Cálculo'!K95)))</f>
        <v>8</v>
      </c>
      <c r="I2234" s="15">
        <f t="shared" si="510"/>
        <v>8</v>
      </c>
      <c r="J2234" s="15">
        <f t="shared" si="511"/>
        <v>5</v>
      </c>
      <c r="K2234" s="15">
        <f>MIN(J2234+G2234,(J2234+G2234)*'Hoja 4 - Cálculo'!$B$15)</f>
        <v>0.63282249999999995</v>
      </c>
      <c r="L2234" s="15">
        <f t="shared" si="498"/>
        <v>31.008302499999999</v>
      </c>
      <c r="M2234" s="15">
        <f t="shared" si="499"/>
        <v>8</v>
      </c>
      <c r="N2234" s="15">
        <f t="shared" si="500"/>
        <v>5</v>
      </c>
      <c r="O2234" s="15">
        <f t="shared" si="501"/>
        <v>18.008302499999999</v>
      </c>
      <c r="P2234" s="15">
        <f t="shared" si="502"/>
        <v>0</v>
      </c>
      <c r="Q2234" s="14" t="str">
        <f>IF(M2234&gt;=I2234*'Hoja 4 - Cálculo'!$B$16,"Satisfactorio","Falla")</f>
        <v>Satisfactorio</v>
      </c>
      <c r="R2234" s="14">
        <f t="shared" si="512"/>
        <v>0</v>
      </c>
      <c r="S2234" s="14">
        <f t="shared" si="513"/>
        <v>0</v>
      </c>
    </row>
    <row r="2235" spans="1:19">
      <c r="A2235" s="14" t="str">
        <f t="shared" si="508"/>
        <v>CFG-1</v>
      </c>
      <c r="B2235" s="15">
        <f>'Curvas SRY'!$E$11</f>
        <v>5</v>
      </c>
      <c r="C2235" s="15">
        <f>1</f>
        <v>1</v>
      </c>
      <c r="D2235" s="14" t="str">
        <f t="shared" si="509"/>
        <v>Uso único</v>
      </c>
      <c r="E2235" s="14">
        <f>72</f>
        <v>72</v>
      </c>
      <c r="F2235" s="21">
        <f>'Hoja 4 - Cálculo'!A96</f>
        <v>31747</v>
      </c>
      <c r="G2235" s="15">
        <f>'Hoja 4 - Cálculo'!H96</f>
        <v>15.166124999999999</v>
      </c>
      <c r="H2235" s="15">
        <f>IF(D2235="Uso único",'Hoja 4 - Cálculo'!I96,IF(D2235="Uso múltiple",AVERAGE('Hoja 4 - Cálculo'!$I$25:$I$384)+AVERAGE('Hoja 4 - Cálculo'!$J$25:$J$384)+AVERAGE('Hoja 4 - Cálculo'!$K$25:$K$384),IF(D2235="Uso prioritario",'Hoja 4 - Cálculo'!I96+'Hoja 4 - Cálculo'!K96,'Hoja 4 - Cálculo'!I96+'Hoja 4 - Cálculo'!J96+'Hoja 4 - Cálculo'!K96)))</f>
        <v>8</v>
      </c>
      <c r="I2235" s="15">
        <f t="shared" si="510"/>
        <v>8</v>
      </c>
      <c r="J2235" s="15">
        <f t="shared" si="511"/>
        <v>5</v>
      </c>
      <c r="K2235" s="15">
        <f>MIN(J2235+G2235,(J2235+G2235)*'Hoja 4 - Cálculo'!$B$15)</f>
        <v>0.40332250000000003</v>
      </c>
      <c r="L2235" s="15">
        <f t="shared" si="498"/>
        <v>19.762802499999999</v>
      </c>
      <c r="M2235" s="15">
        <f t="shared" si="499"/>
        <v>8</v>
      </c>
      <c r="N2235" s="15">
        <f t="shared" si="500"/>
        <v>5</v>
      </c>
      <c r="O2235" s="15">
        <f t="shared" si="501"/>
        <v>6.7628024999999994</v>
      </c>
      <c r="P2235" s="15">
        <f t="shared" si="502"/>
        <v>0</v>
      </c>
      <c r="Q2235" s="14" t="str">
        <f>IF(M2235&gt;=I2235*'Hoja 4 - Cálculo'!$B$16,"Satisfactorio","Falla")</f>
        <v>Satisfactorio</v>
      </c>
      <c r="R2235" s="14">
        <f t="shared" si="512"/>
        <v>0</v>
      </c>
      <c r="S2235" s="14">
        <f t="shared" si="513"/>
        <v>0</v>
      </c>
    </row>
    <row r="2236" spans="1:19">
      <c r="A2236" s="14" t="str">
        <f t="shared" si="508"/>
        <v>CFG-1</v>
      </c>
      <c r="B2236" s="15">
        <f>'Curvas SRY'!$E$11</f>
        <v>5</v>
      </c>
      <c r="C2236" s="15">
        <f>1</f>
        <v>1</v>
      </c>
      <c r="D2236" s="14" t="str">
        <f t="shared" si="509"/>
        <v>Uso único</v>
      </c>
      <c r="E2236" s="14">
        <f>73</f>
        <v>73</v>
      </c>
      <c r="F2236" s="21">
        <f>'Hoja 4 - Cálculo'!A97</f>
        <v>31778</v>
      </c>
      <c r="G2236" s="15">
        <f>'Hoja 4 - Cálculo'!H97</f>
        <v>14.056875</v>
      </c>
      <c r="H2236" s="15">
        <f>IF(D2236="Uso único",'Hoja 4 - Cálculo'!I97,IF(D2236="Uso múltiple",AVERAGE('Hoja 4 - Cálculo'!$I$25:$I$384)+AVERAGE('Hoja 4 - Cálculo'!$J$25:$J$384)+AVERAGE('Hoja 4 - Cálculo'!$K$25:$K$384),IF(D2236="Uso prioritario",'Hoja 4 - Cálculo'!I97+'Hoja 4 - Cálculo'!K97,'Hoja 4 - Cálculo'!I97+'Hoja 4 - Cálculo'!J97+'Hoja 4 - Cálculo'!K97)))</f>
        <v>8</v>
      </c>
      <c r="I2236" s="15">
        <f t="shared" si="510"/>
        <v>8</v>
      </c>
      <c r="J2236" s="15">
        <f t="shared" si="511"/>
        <v>5</v>
      </c>
      <c r="K2236" s="15">
        <f>MIN(J2236+G2236,(J2236+G2236)*'Hoja 4 - Cálculo'!$B$15)</f>
        <v>0.38113749999999996</v>
      </c>
      <c r="L2236" s="15">
        <f t="shared" si="498"/>
        <v>18.675737499999997</v>
      </c>
      <c r="M2236" s="15">
        <f t="shared" si="499"/>
        <v>8</v>
      </c>
      <c r="N2236" s="15">
        <f t="shared" si="500"/>
        <v>5</v>
      </c>
      <c r="O2236" s="15">
        <f t="shared" si="501"/>
        <v>5.6757374999999968</v>
      </c>
      <c r="P2236" s="15">
        <f t="shared" si="502"/>
        <v>0</v>
      </c>
      <c r="Q2236" s="14" t="str">
        <f>IF(M2236&gt;=I2236*'Hoja 4 - Cálculo'!$B$16,"Satisfactorio","Falla")</f>
        <v>Satisfactorio</v>
      </c>
      <c r="R2236" s="14">
        <f t="shared" si="512"/>
        <v>0</v>
      </c>
      <c r="S2236" s="14">
        <f t="shared" si="513"/>
        <v>0</v>
      </c>
    </row>
    <row r="2237" spans="1:19">
      <c r="A2237" s="14" t="str">
        <f t="shared" si="508"/>
        <v>CFG-1</v>
      </c>
      <c r="B2237" s="15">
        <f>'Curvas SRY'!$E$11</f>
        <v>5</v>
      </c>
      <c r="C2237" s="15">
        <f>1</f>
        <v>1</v>
      </c>
      <c r="D2237" s="14" t="str">
        <f t="shared" si="509"/>
        <v>Uso único</v>
      </c>
      <c r="E2237" s="14">
        <f>74</f>
        <v>74</v>
      </c>
      <c r="F2237" s="21">
        <f>'Hoja 4 - Cálculo'!A98</f>
        <v>31809</v>
      </c>
      <c r="G2237" s="15">
        <f>'Hoja 4 - Cálculo'!H98</f>
        <v>15.969374999999999</v>
      </c>
      <c r="H2237" s="15">
        <f>IF(D2237="Uso único",'Hoja 4 - Cálculo'!I98,IF(D2237="Uso múltiple",AVERAGE('Hoja 4 - Cálculo'!$I$25:$I$384)+AVERAGE('Hoja 4 - Cálculo'!$J$25:$J$384)+AVERAGE('Hoja 4 - Cálculo'!$K$25:$K$384),IF(D2237="Uso prioritario",'Hoja 4 - Cálculo'!I98+'Hoja 4 - Cálculo'!K98,'Hoja 4 - Cálculo'!I98+'Hoja 4 - Cálculo'!J98+'Hoja 4 - Cálculo'!K98)))</f>
        <v>8</v>
      </c>
      <c r="I2237" s="15">
        <f t="shared" si="510"/>
        <v>8</v>
      </c>
      <c r="J2237" s="15">
        <f t="shared" si="511"/>
        <v>5</v>
      </c>
      <c r="K2237" s="15">
        <f>MIN(J2237+G2237,(J2237+G2237)*'Hoja 4 - Cálculo'!$B$15)</f>
        <v>0.41938750000000002</v>
      </c>
      <c r="L2237" s="15">
        <f t="shared" si="498"/>
        <v>20.5499875</v>
      </c>
      <c r="M2237" s="15">
        <f t="shared" si="499"/>
        <v>8</v>
      </c>
      <c r="N2237" s="15">
        <f t="shared" si="500"/>
        <v>5</v>
      </c>
      <c r="O2237" s="15">
        <f t="shared" si="501"/>
        <v>7.5499875000000003</v>
      </c>
      <c r="P2237" s="15">
        <f t="shared" si="502"/>
        <v>0</v>
      </c>
      <c r="Q2237" s="14" t="str">
        <f>IF(M2237&gt;=I2237*'Hoja 4 - Cálculo'!$B$16,"Satisfactorio","Falla")</f>
        <v>Satisfactorio</v>
      </c>
      <c r="R2237" s="14">
        <f t="shared" si="512"/>
        <v>0</v>
      </c>
      <c r="S2237" s="14">
        <f t="shared" si="513"/>
        <v>0</v>
      </c>
    </row>
    <row r="2238" spans="1:19">
      <c r="A2238" s="14" t="str">
        <f t="shared" si="508"/>
        <v>CFG-1</v>
      </c>
      <c r="B2238" s="15">
        <f>'Curvas SRY'!$E$11</f>
        <v>5</v>
      </c>
      <c r="C2238" s="15">
        <f>1</f>
        <v>1</v>
      </c>
      <c r="D2238" s="14" t="str">
        <f t="shared" si="509"/>
        <v>Uso único</v>
      </c>
      <c r="E2238" s="14">
        <f>75</f>
        <v>75</v>
      </c>
      <c r="F2238" s="21">
        <f>'Hoja 4 - Cálculo'!A99</f>
        <v>31837</v>
      </c>
      <c r="G2238" s="15">
        <f>'Hoja 4 - Cálculo'!H99</f>
        <v>22.797000000000001</v>
      </c>
      <c r="H2238" s="15">
        <f>IF(D2238="Uso único",'Hoja 4 - Cálculo'!I99,IF(D2238="Uso múltiple",AVERAGE('Hoja 4 - Cálculo'!$I$25:$I$384)+AVERAGE('Hoja 4 - Cálculo'!$J$25:$J$384)+AVERAGE('Hoja 4 - Cálculo'!$K$25:$K$384),IF(D2238="Uso prioritario",'Hoja 4 - Cálculo'!I99+'Hoja 4 - Cálculo'!K99,'Hoja 4 - Cálculo'!I99+'Hoja 4 - Cálculo'!J99+'Hoja 4 - Cálculo'!K99)))</f>
        <v>8</v>
      </c>
      <c r="I2238" s="15">
        <f t="shared" si="510"/>
        <v>8</v>
      </c>
      <c r="J2238" s="15">
        <f t="shared" si="511"/>
        <v>5</v>
      </c>
      <c r="K2238" s="15">
        <f>MIN(J2238+G2238,(J2238+G2238)*'Hoja 4 - Cálculo'!$B$15)</f>
        <v>0.55593999999999999</v>
      </c>
      <c r="L2238" s="15">
        <f t="shared" si="498"/>
        <v>27.241060000000001</v>
      </c>
      <c r="M2238" s="15">
        <f t="shared" si="499"/>
        <v>8</v>
      </c>
      <c r="N2238" s="15">
        <f t="shared" si="500"/>
        <v>5</v>
      </c>
      <c r="O2238" s="15">
        <f t="shared" si="501"/>
        <v>14.241060000000001</v>
      </c>
      <c r="P2238" s="15">
        <f t="shared" si="502"/>
        <v>0</v>
      </c>
      <c r="Q2238" s="14" t="str">
        <f>IF(M2238&gt;=I2238*'Hoja 4 - Cálculo'!$B$16,"Satisfactorio","Falla")</f>
        <v>Satisfactorio</v>
      </c>
      <c r="R2238" s="14">
        <f t="shared" si="512"/>
        <v>0</v>
      </c>
      <c r="S2238" s="14">
        <f t="shared" si="513"/>
        <v>0</v>
      </c>
    </row>
    <row r="2239" spans="1:19">
      <c r="A2239" s="14" t="str">
        <f t="shared" si="508"/>
        <v>CFG-1</v>
      </c>
      <c r="B2239" s="15">
        <f>'Curvas SRY'!$E$11</f>
        <v>5</v>
      </c>
      <c r="C2239" s="15">
        <f>1</f>
        <v>1</v>
      </c>
      <c r="D2239" s="14" t="str">
        <f t="shared" si="509"/>
        <v>Uso único</v>
      </c>
      <c r="E2239" s="14">
        <f>76</f>
        <v>76</v>
      </c>
      <c r="F2239" s="21">
        <f>'Hoja 4 - Cálculo'!A100</f>
        <v>31868</v>
      </c>
      <c r="G2239" s="15">
        <f>'Hoja 4 - Cálculo'!H100</f>
        <v>34.138125000000002</v>
      </c>
      <c r="H2239" s="15">
        <f>IF(D2239="Uso único",'Hoja 4 - Cálculo'!I100,IF(D2239="Uso múltiple",AVERAGE('Hoja 4 - Cálculo'!$I$25:$I$384)+AVERAGE('Hoja 4 - Cálculo'!$J$25:$J$384)+AVERAGE('Hoja 4 - Cálculo'!$K$25:$K$384),IF(D2239="Uso prioritario",'Hoja 4 - Cálculo'!I100+'Hoja 4 - Cálculo'!K100,'Hoja 4 - Cálculo'!I100+'Hoja 4 - Cálculo'!J100+'Hoja 4 - Cálculo'!K100)))</f>
        <v>8</v>
      </c>
      <c r="I2239" s="15">
        <f t="shared" si="510"/>
        <v>8</v>
      </c>
      <c r="J2239" s="15">
        <f t="shared" si="511"/>
        <v>5</v>
      </c>
      <c r="K2239" s="15">
        <f>MIN(J2239+G2239,(J2239+G2239)*'Hoja 4 - Cálculo'!$B$15)</f>
        <v>0.78276250000000003</v>
      </c>
      <c r="L2239" s="15">
        <f t="shared" si="498"/>
        <v>38.355362500000005</v>
      </c>
      <c r="M2239" s="15">
        <f t="shared" si="499"/>
        <v>8</v>
      </c>
      <c r="N2239" s="15">
        <f t="shared" si="500"/>
        <v>5</v>
      </c>
      <c r="O2239" s="15">
        <f t="shared" si="501"/>
        <v>25.355362500000005</v>
      </c>
      <c r="P2239" s="15">
        <f t="shared" si="502"/>
        <v>0</v>
      </c>
      <c r="Q2239" s="14" t="str">
        <f>IF(M2239&gt;=I2239*'Hoja 4 - Cálculo'!$B$16,"Satisfactorio","Falla")</f>
        <v>Satisfactorio</v>
      </c>
      <c r="R2239" s="14">
        <f t="shared" si="512"/>
        <v>0</v>
      </c>
      <c r="S2239" s="14">
        <f t="shared" si="513"/>
        <v>0</v>
      </c>
    </row>
    <row r="2240" spans="1:19">
      <c r="A2240" s="14" t="str">
        <f t="shared" si="508"/>
        <v>CFG-1</v>
      </c>
      <c r="B2240" s="15">
        <f>'Curvas SRY'!$E$11</f>
        <v>5</v>
      </c>
      <c r="C2240" s="15">
        <f>1</f>
        <v>1</v>
      </c>
      <c r="D2240" s="14" t="str">
        <f t="shared" si="509"/>
        <v>Uso único</v>
      </c>
      <c r="E2240" s="14">
        <f>77</f>
        <v>77</v>
      </c>
      <c r="F2240" s="21">
        <f>'Hoja 4 - Cálculo'!A101</f>
        <v>31898</v>
      </c>
      <c r="G2240" s="15">
        <f>'Hoja 4 - Cálculo'!H101</f>
        <v>28.534500000000001</v>
      </c>
      <c r="H2240" s="15">
        <f>IF(D2240="Uso único",'Hoja 4 - Cálculo'!I101,IF(D2240="Uso múltiple",AVERAGE('Hoja 4 - Cálculo'!$I$25:$I$384)+AVERAGE('Hoja 4 - Cálculo'!$J$25:$J$384)+AVERAGE('Hoja 4 - Cálculo'!$K$25:$K$384),IF(D2240="Uso prioritario",'Hoja 4 - Cálculo'!I101+'Hoja 4 - Cálculo'!K101,'Hoja 4 - Cálculo'!I101+'Hoja 4 - Cálculo'!J101+'Hoja 4 - Cálculo'!K101)))</f>
        <v>8</v>
      </c>
      <c r="I2240" s="15">
        <f t="shared" si="510"/>
        <v>8</v>
      </c>
      <c r="J2240" s="15">
        <f t="shared" si="511"/>
        <v>5</v>
      </c>
      <c r="K2240" s="15">
        <f>MIN(J2240+G2240,(J2240+G2240)*'Hoja 4 - Cálculo'!$B$15)</f>
        <v>0.67069000000000001</v>
      </c>
      <c r="L2240" s="15">
        <f t="shared" si="498"/>
        <v>32.863810000000001</v>
      </c>
      <c r="M2240" s="15">
        <f t="shared" si="499"/>
        <v>8</v>
      </c>
      <c r="N2240" s="15">
        <f t="shared" si="500"/>
        <v>5</v>
      </c>
      <c r="O2240" s="15">
        <f t="shared" si="501"/>
        <v>19.863810000000001</v>
      </c>
      <c r="P2240" s="15">
        <f t="shared" si="502"/>
        <v>0</v>
      </c>
      <c r="Q2240" s="14" t="str">
        <f>IF(M2240&gt;=I2240*'Hoja 4 - Cálculo'!$B$16,"Satisfactorio","Falla")</f>
        <v>Satisfactorio</v>
      </c>
      <c r="R2240" s="14">
        <f t="shared" si="512"/>
        <v>0</v>
      </c>
      <c r="S2240" s="14">
        <f t="shared" si="513"/>
        <v>0</v>
      </c>
    </row>
    <row r="2241" spans="1:19">
      <c r="A2241" s="14" t="str">
        <f t="shared" si="508"/>
        <v>CFG-1</v>
      </c>
      <c r="B2241" s="15">
        <f>'Curvas SRY'!$E$11</f>
        <v>5</v>
      </c>
      <c r="C2241" s="15">
        <f>1</f>
        <v>1</v>
      </c>
      <c r="D2241" s="14" t="str">
        <f t="shared" si="509"/>
        <v>Uso único</v>
      </c>
      <c r="E2241" s="14">
        <f>78</f>
        <v>78</v>
      </c>
      <c r="F2241" s="21">
        <f>'Hoja 4 - Cálculo'!A102</f>
        <v>31929</v>
      </c>
      <c r="G2241" s="15">
        <f>'Hoja 4 - Cálculo'!H102</f>
        <v>18.589500000000001</v>
      </c>
      <c r="H2241" s="15">
        <f>IF(D2241="Uso único",'Hoja 4 - Cálculo'!I102,IF(D2241="Uso múltiple",AVERAGE('Hoja 4 - Cálculo'!$I$25:$I$384)+AVERAGE('Hoja 4 - Cálculo'!$J$25:$J$384)+AVERAGE('Hoja 4 - Cálculo'!$K$25:$K$384),IF(D2241="Uso prioritario",'Hoja 4 - Cálculo'!I102+'Hoja 4 - Cálculo'!K102,'Hoja 4 - Cálculo'!I102+'Hoja 4 - Cálculo'!J102+'Hoja 4 - Cálculo'!K102)))</f>
        <v>8</v>
      </c>
      <c r="I2241" s="15">
        <f t="shared" si="510"/>
        <v>8</v>
      </c>
      <c r="J2241" s="15">
        <f t="shared" si="511"/>
        <v>5</v>
      </c>
      <c r="K2241" s="15">
        <f>MIN(J2241+G2241,(J2241+G2241)*'Hoja 4 - Cálculo'!$B$15)</f>
        <v>0.47179000000000004</v>
      </c>
      <c r="L2241" s="15">
        <f t="shared" si="498"/>
        <v>23.117710000000002</v>
      </c>
      <c r="M2241" s="15">
        <f t="shared" si="499"/>
        <v>8</v>
      </c>
      <c r="N2241" s="15">
        <f t="shared" si="500"/>
        <v>5</v>
      </c>
      <c r="O2241" s="15">
        <f t="shared" si="501"/>
        <v>10.117710000000002</v>
      </c>
      <c r="P2241" s="15">
        <f t="shared" si="502"/>
        <v>0</v>
      </c>
      <c r="Q2241" s="14" t="str">
        <f>IF(M2241&gt;=I2241*'Hoja 4 - Cálculo'!$B$16,"Satisfactorio","Falla")</f>
        <v>Satisfactorio</v>
      </c>
      <c r="R2241" s="14">
        <f t="shared" si="512"/>
        <v>0</v>
      </c>
      <c r="S2241" s="14">
        <f t="shared" si="513"/>
        <v>0</v>
      </c>
    </row>
    <row r="2242" spans="1:19">
      <c r="A2242" s="14" t="str">
        <f t="shared" si="508"/>
        <v>CFG-1</v>
      </c>
      <c r="B2242" s="15">
        <f>'Curvas SRY'!$E$11</f>
        <v>5</v>
      </c>
      <c r="C2242" s="15">
        <f>1</f>
        <v>1</v>
      </c>
      <c r="D2242" s="14" t="str">
        <f t="shared" si="509"/>
        <v>Uso único</v>
      </c>
      <c r="E2242" s="14">
        <f>79</f>
        <v>79</v>
      </c>
      <c r="F2242" s="21">
        <f>'Hoja 4 - Cálculo'!A103</f>
        <v>31959</v>
      </c>
      <c r="G2242" s="15">
        <f>'Hoja 4 - Cálculo'!H103</f>
        <v>14.688000000000001</v>
      </c>
      <c r="H2242" s="15">
        <f>IF(D2242="Uso único",'Hoja 4 - Cálculo'!I103,IF(D2242="Uso múltiple",AVERAGE('Hoja 4 - Cálculo'!$I$25:$I$384)+AVERAGE('Hoja 4 - Cálculo'!$J$25:$J$384)+AVERAGE('Hoja 4 - Cálculo'!$K$25:$K$384),IF(D2242="Uso prioritario",'Hoja 4 - Cálculo'!I103+'Hoja 4 - Cálculo'!K103,'Hoja 4 - Cálculo'!I103+'Hoja 4 - Cálculo'!J103+'Hoja 4 - Cálculo'!K103)))</f>
        <v>8</v>
      </c>
      <c r="I2242" s="15">
        <f t="shared" si="510"/>
        <v>8</v>
      </c>
      <c r="J2242" s="15">
        <f t="shared" si="511"/>
        <v>5</v>
      </c>
      <c r="K2242" s="15">
        <f>MIN(J2242+G2242,(J2242+G2242)*'Hoja 4 - Cálculo'!$B$15)</f>
        <v>0.39376000000000005</v>
      </c>
      <c r="L2242" s="15">
        <f t="shared" si="498"/>
        <v>19.294240000000002</v>
      </c>
      <c r="M2242" s="15">
        <f t="shared" si="499"/>
        <v>8</v>
      </c>
      <c r="N2242" s="15">
        <f t="shared" si="500"/>
        <v>5</v>
      </c>
      <c r="O2242" s="15">
        <f t="shared" si="501"/>
        <v>6.2942400000000021</v>
      </c>
      <c r="P2242" s="15">
        <f t="shared" si="502"/>
        <v>0</v>
      </c>
      <c r="Q2242" s="14" t="str">
        <f>IF(M2242&gt;=I2242*'Hoja 4 - Cálculo'!$B$16,"Satisfactorio","Falla")</f>
        <v>Satisfactorio</v>
      </c>
      <c r="R2242" s="14">
        <f t="shared" si="512"/>
        <v>0</v>
      </c>
      <c r="S2242" s="14">
        <f t="shared" si="513"/>
        <v>0</v>
      </c>
    </row>
    <row r="2243" spans="1:19">
      <c r="A2243" s="14" t="str">
        <f t="shared" si="508"/>
        <v>CFG-1</v>
      </c>
      <c r="B2243" s="15">
        <f>'Curvas SRY'!$E$11</f>
        <v>5</v>
      </c>
      <c r="C2243" s="15">
        <f>1</f>
        <v>1</v>
      </c>
      <c r="D2243" s="14" t="str">
        <f t="shared" si="509"/>
        <v>Uso único</v>
      </c>
      <c r="E2243" s="14">
        <f>80</f>
        <v>80</v>
      </c>
      <c r="F2243" s="21">
        <f>'Hoja 4 - Cálculo'!A104</f>
        <v>31990</v>
      </c>
      <c r="G2243" s="15">
        <f>'Hoja 4 - Cálculo'!H104</f>
        <v>15.759</v>
      </c>
      <c r="H2243" s="15">
        <f>IF(D2243="Uso único",'Hoja 4 - Cálculo'!I104,IF(D2243="Uso múltiple",AVERAGE('Hoja 4 - Cálculo'!$I$25:$I$384)+AVERAGE('Hoja 4 - Cálculo'!$J$25:$J$384)+AVERAGE('Hoja 4 - Cálculo'!$K$25:$K$384),IF(D2243="Uso prioritario",'Hoja 4 - Cálculo'!I104+'Hoja 4 - Cálculo'!K104,'Hoja 4 - Cálculo'!I104+'Hoja 4 - Cálculo'!J104+'Hoja 4 - Cálculo'!K104)))</f>
        <v>8</v>
      </c>
      <c r="I2243" s="15">
        <f t="shared" si="510"/>
        <v>8</v>
      </c>
      <c r="J2243" s="15">
        <f t="shared" si="511"/>
        <v>5</v>
      </c>
      <c r="K2243" s="15">
        <f>MIN(J2243+G2243,(J2243+G2243)*'Hoja 4 - Cálculo'!$B$15)</f>
        <v>0.41517999999999999</v>
      </c>
      <c r="L2243" s="15">
        <f t="shared" si="498"/>
        <v>20.343820000000001</v>
      </c>
      <c r="M2243" s="15">
        <f t="shared" si="499"/>
        <v>8</v>
      </c>
      <c r="N2243" s="15">
        <f t="shared" si="500"/>
        <v>5</v>
      </c>
      <c r="O2243" s="15">
        <f t="shared" si="501"/>
        <v>7.3438200000000009</v>
      </c>
      <c r="P2243" s="15">
        <f t="shared" si="502"/>
        <v>0</v>
      </c>
      <c r="Q2243" s="14" t="str">
        <f>IF(M2243&gt;=I2243*'Hoja 4 - Cálculo'!$B$16,"Satisfactorio","Falla")</f>
        <v>Satisfactorio</v>
      </c>
      <c r="R2243" s="14">
        <f t="shared" si="512"/>
        <v>0</v>
      </c>
      <c r="S2243" s="14">
        <f t="shared" si="513"/>
        <v>0</v>
      </c>
    </row>
    <row r="2244" spans="1:19">
      <c r="A2244" s="14" t="str">
        <f t="shared" si="508"/>
        <v>CFG-1</v>
      </c>
      <c r="B2244" s="15">
        <f>'Curvas SRY'!$E$11</f>
        <v>5</v>
      </c>
      <c r="C2244" s="15">
        <f>1</f>
        <v>1</v>
      </c>
      <c r="D2244" s="14" t="str">
        <f t="shared" si="509"/>
        <v>Uso único</v>
      </c>
      <c r="E2244" s="14">
        <f>81</f>
        <v>81</v>
      </c>
      <c r="F2244" s="21">
        <f>'Hoja 4 - Cálculo'!A105</f>
        <v>32021</v>
      </c>
      <c r="G2244" s="15">
        <f>'Hoja 4 - Cálculo'!H105</f>
        <v>26.220375000000001</v>
      </c>
      <c r="H2244" s="15">
        <f>IF(D2244="Uso único",'Hoja 4 - Cálculo'!I105,IF(D2244="Uso múltiple",AVERAGE('Hoja 4 - Cálculo'!$I$25:$I$384)+AVERAGE('Hoja 4 - Cálculo'!$J$25:$J$384)+AVERAGE('Hoja 4 - Cálculo'!$K$25:$K$384),IF(D2244="Uso prioritario",'Hoja 4 - Cálculo'!I105+'Hoja 4 - Cálculo'!K105,'Hoja 4 - Cálculo'!I105+'Hoja 4 - Cálculo'!J105+'Hoja 4 - Cálculo'!K105)))</f>
        <v>8</v>
      </c>
      <c r="I2244" s="15">
        <f t="shared" si="510"/>
        <v>8</v>
      </c>
      <c r="J2244" s="15">
        <f t="shared" si="511"/>
        <v>5</v>
      </c>
      <c r="K2244" s="15">
        <f>MIN(J2244+G2244,(J2244+G2244)*'Hoja 4 - Cálculo'!$B$15)</f>
        <v>0.6244075</v>
      </c>
      <c r="L2244" s="15">
        <f t="shared" ref="L2244:L2307" si="514">MAX(0,J2244+G2244-K2244)</f>
        <v>30.5959675</v>
      </c>
      <c r="M2244" s="15">
        <f t="shared" ref="M2244:M2307" si="515">MIN(I2244,L2244)</f>
        <v>8</v>
      </c>
      <c r="N2244" s="15">
        <f t="shared" ref="N2244:N2307" si="516">MIN(B2244,MAX(0,L2244-M2244))</f>
        <v>5</v>
      </c>
      <c r="O2244" s="15">
        <f t="shared" ref="O2244:O2307" si="517">MAX(0,L2244-M2244-B2244)</f>
        <v>17.5959675</v>
      </c>
      <c r="P2244" s="15">
        <f t="shared" ref="P2244:P2307" si="518">MAX(0,I2244-M2244)</f>
        <v>0</v>
      </c>
      <c r="Q2244" s="14" t="str">
        <f>IF(M2244&gt;=I2244*'Hoja 4 - Cálculo'!$B$16,"Satisfactorio","Falla")</f>
        <v>Satisfactorio</v>
      </c>
      <c r="R2244" s="14">
        <f t="shared" si="512"/>
        <v>0</v>
      </c>
      <c r="S2244" s="14">
        <f t="shared" si="513"/>
        <v>0</v>
      </c>
    </row>
    <row r="2245" spans="1:19">
      <c r="A2245" s="14" t="str">
        <f t="shared" si="508"/>
        <v>CFG-1</v>
      </c>
      <c r="B2245" s="15">
        <f>'Curvas SRY'!$E$11</f>
        <v>5</v>
      </c>
      <c r="C2245" s="15">
        <f>1</f>
        <v>1</v>
      </c>
      <c r="D2245" s="14" t="str">
        <f t="shared" si="509"/>
        <v>Uso único</v>
      </c>
      <c r="E2245" s="14">
        <f>82</f>
        <v>82</v>
      </c>
      <c r="F2245" s="21">
        <f>'Hoja 4 - Cálculo'!A106</f>
        <v>32051</v>
      </c>
      <c r="G2245" s="15">
        <f>'Hoja 4 - Cálculo'!H106</f>
        <v>32.627249999999997</v>
      </c>
      <c r="H2245" s="15">
        <f>IF(D2245="Uso único",'Hoja 4 - Cálculo'!I106,IF(D2245="Uso múltiple",AVERAGE('Hoja 4 - Cálculo'!$I$25:$I$384)+AVERAGE('Hoja 4 - Cálculo'!$J$25:$J$384)+AVERAGE('Hoja 4 - Cálculo'!$K$25:$K$384),IF(D2245="Uso prioritario",'Hoja 4 - Cálculo'!I106+'Hoja 4 - Cálculo'!K106,'Hoja 4 - Cálculo'!I106+'Hoja 4 - Cálculo'!J106+'Hoja 4 - Cálculo'!K106)))</f>
        <v>8</v>
      </c>
      <c r="I2245" s="15">
        <f t="shared" si="510"/>
        <v>8</v>
      </c>
      <c r="J2245" s="15">
        <f t="shared" si="511"/>
        <v>5</v>
      </c>
      <c r="K2245" s="15">
        <f>MIN(J2245+G2245,(J2245+G2245)*'Hoja 4 - Cálculo'!$B$15)</f>
        <v>0.75254499999999991</v>
      </c>
      <c r="L2245" s="15">
        <f t="shared" si="514"/>
        <v>36.874704999999999</v>
      </c>
      <c r="M2245" s="15">
        <f t="shared" si="515"/>
        <v>8</v>
      </c>
      <c r="N2245" s="15">
        <f t="shared" si="516"/>
        <v>5</v>
      </c>
      <c r="O2245" s="15">
        <f t="shared" si="517"/>
        <v>23.874704999999999</v>
      </c>
      <c r="P2245" s="15">
        <f t="shared" si="518"/>
        <v>0</v>
      </c>
      <c r="Q2245" s="14" t="str">
        <f>IF(M2245&gt;=I2245*'Hoja 4 - Cálculo'!$B$16,"Satisfactorio","Falla")</f>
        <v>Satisfactorio</v>
      </c>
      <c r="R2245" s="14">
        <f t="shared" si="512"/>
        <v>0</v>
      </c>
      <c r="S2245" s="14">
        <f t="shared" si="513"/>
        <v>0</v>
      </c>
    </row>
    <row r="2246" spans="1:19">
      <c r="A2246" s="14" t="str">
        <f t="shared" si="508"/>
        <v>CFG-1</v>
      </c>
      <c r="B2246" s="15">
        <f>'Curvas SRY'!$E$11</f>
        <v>5</v>
      </c>
      <c r="C2246" s="15">
        <f>1</f>
        <v>1</v>
      </c>
      <c r="D2246" s="14" t="str">
        <f t="shared" si="509"/>
        <v>Uso único</v>
      </c>
      <c r="E2246" s="14">
        <f>83</f>
        <v>83</v>
      </c>
      <c r="F2246" s="21">
        <f>'Hoja 4 - Cálculo'!A107</f>
        <v>32082</v>
      </c>
      <c r="G2246" s="15">
        <f>'Hoja 4 - Cálculo'!H107</f>
        <v>29.758500000000002</v>
      </c>
      <c r="H2246" s="15">
        <f>IF(D2246="Uso único",'Hoja 4 - Cálculo'!I107,IF(D2246="Uso múltiple",AVERAGE('Hoja 4 - Cálculo'!$I$25:$I$384)+AVERAGE('Hoja 4 - Cálculo'!$J$25:$J$384)+AVERAGE('Hoja 4 - Cálculo'!$K$25:$K$384),IF(D2246="Uso prioritario",'Hoja 4 - Cálculo'!I107+'Hoja 4 - Cálculo'!K107,'Hoja 4 - Cálculo'!I107+'Hoja 4 - Cálculo'!J107+'Hoja 4 - Cálculo'!K107)))</f>
        <v>8</v>
      </c>
      <c r="I2246" s="15">
        <f t="shared" si="510"/>
        <v>8</v>
      </c>
      <c r="J2246" s="15">
        <f t="shared" si="511"/>
        <v>5</v>
      </c>
      <c r="K2246" s="15">
        <f>MIN(J2246+G2246,(J2246+G2246)*'Hoja 4 - Cálculo'!$B$15)</f>
        <v>0.69516999999999995</v>
      </c>
      <c r="L2246" s="15">
        <f t="shared" si="514"/>
        <v>34.063330000000001</v>
      </c>
      <c r="M2246" s="15">
        <f t="shared" si="515"/>
        <v>8</v>
      </c>
      <c r="N2246" s="15">
        <f t="shared" si="516"/>
        <v>5</v>
      </c>
      <c r="O2246" s="15">
        <f t="shared" si="517"/>
        <v>21.063330000000001</v>
      </c>
      <c r="P2246" s="15">
        <f t="shared" si="518"/>
        <v>0</v>
      </c>
      <c r="Q2246" s="14" t="str">
        <f>IF(M2246&gt;=I2246*'Hoja 4 - Cálculo'!$B$16,"Satisfactorio","Falla")</f>
        <v>Satisfactorio</v>
      </c>
      <c r="R2246" s="14">
        <f t="shared" si="512"/>
        <v>0</v>
      </c>
      <c r="S2246" s="14">
        <f t="shared" si="513"/>
        <v>0</v>
      </c>
    </row>
    <row r="2247" spans="1:19">
      <c r="A2247" s="14" t="str">
        <f t="shared" si="508"/>
        <v>CFG-1</v>
      </c>
      <c r="B2247" s="15">
        <f>'Curvas SRY'!$E$11</f>
        <v>5</v>
      </c>
      <c r="C2247" s="15">
        <f>1</f>
        <v>1</v>
      </c>
      <c r="D2247" s="14" t="str">
        <f t="shared" si="509"/>
        <v>Uso único</v>
      </c>
      <c r="E2247" s="14">
        <f>84</f>
        <v>84</v>
      </c>
      <c r="F2247" s="21">
        <f>'Hoja 4 - Cálculo'!A108</f>
        <v>32112</v>
      </c>
      <c r="G2247" s="15">
        <f>'Hoja 4 - Cálculo'!H108</f>
        <v>16.543125</v>
      </c>
      <c r="H2247" s="15">
        <f>IF(D2247="Uso único",'Hoja 4 - Cálculo'!I108,IF(D2247="Uso múltiple",AVERAGE('Hoja 4 - Cálculo'!$I$25:$I$384)+AVERAGE('Hoja 4 - Cálculo'!$J$25:$J$384)+AVERAGE('Hoja 4 - Cálculo'!$K$25:$K$384),IF(D2247="Uso prioritario",'Hoja 4 - Cálculo'!I108+'Hoja 4 - Cálculo'!K108,'Hoja 4 - Cálculo'!I108+'Hoja 4 - Cálculo'!J108+'Hoja 4 - Cálculo'!K108)))</f>
        <v>8</v>
      </c>
      <c r="I2247" s="15">
        <f t="shared" si="510"/>
        <v>8</v>
      </c>
      <c r="J2247" s="15">
        <f t="shared" si="511"/>
        <v>5</v>
      </c>
      <c r="K2247" s="15">
        <f>MIN(J2247+G2247,(J2247+G2247)*'Hoja 4 - Cálculo'!$B$15)</f>
        <v>0.43086249999999998</v>
      </c>
      <c r="L2247" s="15">
        <f t="shared" si="514"/>
        <v>21.1122625</v>
      </c>
      <c r="M2247" s="15">
        <f t="shared" si="515"/>
        <v>8</v>
      </c>
      <c r="N2247" s="15">
        <f t="shared" si="516"/>
        <v>5</v>
      </c>
      <c r="O2247" s="15">
        <f t="shared" si="517"/>
        <v>8.1122624999999999</v>
      </c>
      <c r="P2247" s="15">
        <f t="shared" si="518"/>
        <v>0</v>
      </c>
      <c r="Q2247" s="14" t="str">
        <f>IF(M2247&gt;=I2247*'Hoja 4 - Cálculo'!$B$16,"Satisfactorio","Falla")</f>
        <v>Satisfactorio</v>
      </c>
      <c r="R2247" s="14">
        <f t="shared" si="512"/>
        <v>0</v>
      </c>
      <c r="S2247" s="14">
        <f t="shared" si="513"/>
        <v>0</v>
      </c>
    </row>
    <row r="2248" spans="1:19">
      <c r="A2248" s="14" t="str">
        <f t="shared" si="508"/>
        <v>CFG-1</v>
      </c>
      <c r="B2248" s="15">
        <f>'Curvas SRY'!$E$11</f>
        <v>5</v>
      </c>
      <c r="C2248" s="15">
        <f>1</f>
        <v>1</v>
      </c>
      <c r="D2248" s="14" t="str">
        <f t="shared" si="509"/>
        <v>Uso único</v>
      </c>
      <c r="E2248" s="14">
        <f>85</f>
        <v>85</v>
      </c>
      <c r="F2248" s="21">
        <f>'Hoja 4 - Cálculo'!A109</f>
        <v>32143</v>
      </c>
      <c r="G2248" s="15">
        <f>'Hoja 4 - Cálculo'!H109</f>
        <v>13.291874999999999</v>
      </c>
      <c r="H2248" s="15">
        <f>IF(D2248="Uso único",'Hoja 4 - Cálculo'!I109,IF(D2248="Uso múltiple",AVERAGE('Hoja 4 - Cálculo'!$I$25:$I$384)+AVERAGE('Hoja 4 - Cálculo'!$J$25:$J$384)+AVERAGE('Hoja 4 - Cálculo'!$K$25:$K$384),IF(D2248="Uso prioritario",'Hoja 4 - Cálculo'!I109+'Hoja 4 - Cálculo'!K109,'Hoja 4 - Cálculo'!I109+'Hoja 4 - Cálculo'!J109+'Hoja 4 - Cálculo'!K109)))</f>
        <v>8</v>
      </c>
      <c r="I2248" s="15">
        <f t="shared" si="510"/>
        <v>8</v>
      </c>
      <c r="J2248" s="15">
        <f t="shared" si="511"/>
        <v>5</v>
      </c>
      <c r="K2248" s="15">
        <f>MIN(J2248+G2248,(J2248+G2248)*'Hoja 4 - Cálculo'!$B$15)</f>
        <v>0.36583749999999998</v>
      </c>
      <c r="L2248" s="15">
        <f t="shared" si="514"/>
        <v>17.926037499999996</v>
      </c>
      <c r="M2248" s="15">
        <f t="shared" si="515"/>
        <v>8</v>
      </c>
      <c r="N2248" s="15">
        <f t="shared" si="516"/>
        <v>5</v>
      </c>
      <c r="O2248" s="15">
        <f t="shared" si="517"/>
        <v>4.9260374999999961</v>
      </c>
      <c r="P2248" s="15">
        <f t="shared" si="518"/>
        <v>0</v>
      </c>
      <c r="Q2248" s="14" t="str">
        <f>IF(M2248&gt;=I2248*'Hoja 4 - Cálculo'!$B$16,"Satisfactorio","Falla")</f>
        <v>Satisfactorio</v>
      </c>
      <c r="R2248" s="14">
        <f t="shared" si="512"/>
        <v>0</v>
      </c>
      <c r="S2248" s="14">
        <f t="shared" si="513"/>
        <v>0</v>
      </c>
    </row>
    <row r="2249" spans="1:19">
      <c r="A2249" s="14" t="str">
        <f t="shared" si="508"/>
        <v>CFG-1</v>
      </c>
      <c r="B2249" s="15">
        <f>'Curvas SRY'!$E$11</f>
        <v>5</v>
      </c>
      <c r="C2249" s="15">
        <f>1</f>
        <v>1</v>
      </c>
      <c r="D2249" s="14" t="str">
        <f t="shared" si="509"/>
        <v>Uso único</v>
      </c>
      <c r="E2249" s="14">
        <f>86</f>
        <v>86</v>
      </c>
      <c r="F2249" s="21">
        <f>'Hoja 4 - Cálculo'!A110</f>
        <v>32174</v>
      </c>
      <c r="G2249" s="15">
        <f>'Hoja 4 - Cálculo'!H110</f>
        <v>14.19075</v>
      </c>
      <c r="H2249" s="15">
        <f>IF(D2249="Uso único",'Hoja 4 - Cálculo'!I110,IF(D2249="Uso múltiple",AVERAGE('Hoja 4 - Cálculo'!$I$25:$I$384)+AVERAGE('Hoja 4 - Cálculo'!$J$25:$J$384)+AVERAGE('Hoja 4 - Cálculo'!$K$25:$K$384),IF(D2249="Uso prioritario",'Hoja 4 - Cálculo'!I110+'Hoja 4 - Cálculo'!K110,'Hoja 4 - Cálculo'!I110+'Hoja 4 - Cálculo'!J110+'Hoja 4 - Cálculo'!K110)))</f>
        <v>8</v>
      </c>
      <c r="I2249" s="15">
        <f t="shared" si="510"/>
        <v>8</v>
      </c>
      <c r="J2249" s="15">
        <f t="shared" si="511"/>
        <v>5</v>
      </c>
      <c r="K2249" s="15">
        <f>MIN(J2249+G2249,(J2249+G2249)*'Hoja 4 - Cálculo'!$B$15)</f>
        <v>0.38381500000000002</v>
      </c>
      <c r="L2249" s="15">
        <f t="shared" si="514"/>
        <v>18.806935000000003</v>
      </c>
      <c r="M2249" s="15">
        <f t="shared" si="515"/>
        <v>8</v>
      </c>
      <c r="N2249" s="15">
        <f t="shared" si="516"/>
        <v>5</v>
      </c>
      <c r="O2249" s="15">
        <f t="shared" si="517"/>
        <v>5.8069350000000028</v>
      </c>
      <c r="P2249" s="15">
        <f t="shared" si="518"/>
        <v>0</v>
      </c>
      <c r="Q2249" s="14" t="str">
        <f>IF(M2249&gt;=I2249*'Hoja 4 - Cálculo'!$B$16,"Satisfactorio","Falla")</f>
        <v>Satisfactorio</v>
      </c>
      <c r="R2249" s="14">
        <f t="shared" si="512"/>
        <v>0</v>
      </c>
      <c r="S2249" s="14">
        <f t="shared" si="513"/>
        <v>0</v>
      </c>
    </row>
    <row r="2250" spans="1:19">
      <c r="A2250" s="14" t="str">
        <f t="shared" si="508"/>
        <v>CFG-1</v>
      </c>
      <c r="B2250" s="15">
        <f>'Curvas SRY'!$E$11</f>
        <v>5</v>
      </c>
      <c r="C2250" s="15">
        <f>1</f>
        <v>1</v>
      </c>
      <c r="D2250" s="14" t="str">
        <f t="shared" si="509"/>
        <v>Uso único</v>
      </c>
      <c r="E2250" s="14">
        <f>87</f>
        <v>87</v>
      </c>
      <c r="F2250" s="21">
        <f>'Hoja 4 - Cálculo'!A111</f>
        <v>32203</v>
      </c>
      <c r="G2250" s="15">
        <f>'Hoja 4 - Cálculo'!H111</f>
        <v>22.338000000000001</v>
      </c>
      <c r="H2250" s="15">
        <f>IF(D2250="Uso único",'Hoja 4 - Cálculo'!I111,IF(D2250="Uso múltiple",AVERAGE('Hoja 4 - Cálculo'!$I$25:$I$384)+AVERAGE('Hoja 4 - Cálculo'!$J$25:$J$384)+AVERAGE('Hoja 4 - Cálculo'!$K$25:$K$384),IF(D2250="Uso prioritario",'Hoja 4 - Cálculo'!I111+'Hoja 4 - Cálculo'!K111,'Hoja 4 - Cálculo'!I111+'Hoja 4 - Cálculo'!J111+'Hoja 4 - Cálculo'!K111)))</f>
        <v>8</v>
      </c>
      <c r="I2250" s="15">
        <f t="shared" si="510"/>
        <v>8</v>
      </c>
      <c r="J2250" s="15">
        <f t="shared" si="511"/>
        <v>5</v>
      </c>
      <c r="K2250" s="15">
        <f>MIN(J2250+G2250,(J2250+G2250)*'Hoja 4 - Cálculo'!$B$15)</f>
        <v>0.54676000000000002</v>
      </c>
      <c r="L2250" s="15">
        <f t="shared" si="514"/>
        <v>26.791240000000002</v>
      </c>
      <c r="M2250" s="15">
        <f t="shared" si="515"/>
        <v>8</v>
      </c>
      <c r="N2250" s="15">
        <f t="shared" si="516"/>
        <v>5</v>
      </c>
      <c r="O2250" s="15">
        <f t="shared" si="517"/>
        <v>13.791240000000002</v>
      </c>
      <c r="P2250" s="15">
        <f t="shared" si="518"/>
        <v>0</v>
      </c>
      <c r="Q2250" s="14" t="str">
        <f>IF(M2250&gt;=I2250*'Hoja 4 - Cálculo'!$B$16,"Satisfactorio","Falla")</f>
        <v>Satisfactorio</v>
      </c>
      <c r="R2250" s="14">
        <f t="shared" si="512"/>
        <v>0</v>
      </c>
      <c r="S2250" s="14">
        <f t="shared" si="513"/>
        <v>0</v>
      </c>
    </row>
    <row r="2251" spans="1:19">
      <c r="A2251" s="14" t="str">
        <f t="shared" si="508"/>
        <v>CFG-1</v>
      </c>
      <c r="B2251" s="15">
        <f>'Curvas SRY'!$E$11</f>
        <v>5</v>
      </c>
      <c r="C2251" s="15">
        <f>1</f>
        <v>1</v>
      </c>
      <c r="D2251" s="14" t="str">
        <f t="shared" si="509"/>
        <v>Uso único</v>
      </c>
      <c r="E2251" s="14">
        <f>88</f>
        <v>88</v>
      </c>
      <c r="F2251" s="21">
        <f>'Hoja 4 - Cálculo'!A112</f>
        <v>32234</v>
      </c>
      <c r="G2251" s="15">
        <f>'Hoja 4 - Cálculo'!H112</f>
        <v>29.643750000000001</v>
      </c>
      <c r="H2251" s="15">
        <f>IF(D2251="Uso único",'Hoja 4 - Cálculo'!I112,IF(D2251="Uso múltiple",AVERAGE('Hoja 4 - Cálculo'!$I$25:$I$384)+AVERAGE('Hoja 4 - Cálculo'!$J$25:$J$384)+AVERAGE('Hoja 4 - Cálculo'!$K$25:$K$384),IF(D2251="Uso prioritario",'Hoja 4 - Cálculo'!I112+'Hoja 4 - Cálculo'!K112,'Hoja 4 - Cálculo'!I112+'Hoja 4 - Cálculo'!J112+'Hoja 4 - Cálculo'!K112)))</f>
        <v>8</v>
      </c>
      <c r="I2251" s="15">
        <f t="shared" si="510"/>
        <v>8</v>
      </c>
      <c r="J2251" s="15">
        <f t="shared" si="511"/>
        <v>5</v>
      </c>
      <c r="K2251" s="15">
        <f>MIN(J2251+G2251,(J2251+G2251)*'Hoja 4 - Cálculo'!$B$15)</f>
        <v>0.69287499999999991</v>
      </c>
      <c r="L2251" s="15">
        <f t="shared" si="514"/>
        <v>33.950874999999996</v>
      </c>
      <c r="M2251" s="15">
        <f t="shared" si="515"/>
        <v>8</v>
      </c>
      <c r="N2251" s="15">
        <f t="shared" si="516"/>
        <v>5</v>
      </c>
      <c r="O2251" s="15">
        <f t="shared" si="517"/>
        <v>20.950874999999996</v>
      </c>
      <c r="P2251" s="15">
        <f t="shared" si="518"/>
        <v>0</v>
      </c>
      <c r="Q2251" s="14" t="str">
        <f>IF(M2251&gt;=I2251*'Hoja 4 - Cálculo'!$B$16,"Satisfactorio","Falla")</f>
        <v>Satisfactorio</v>
      </c>
      <c r="R2251" s="14">
        <f t="shared" si="512"/>
        <v>0</v>
      </c>
      <c r="S2251" s="14">
        <f t="shared" si="513"/>
        <v>0</v>
      </c>
    </row>
    <row r="2252" spans="1:19">
      <c r="A2252" s="14" t="str">
        <f t="shared" si="508"/>
        <v>CFG-1</v>
      </c>
      <c r="B2252" s="15">
        <f>'Curvas SRY'!$E$11</f>
        <v>5</v>
      </c>
      <c r="C2252" s="15">
        <f>1</f>
        <v>1</v>
      </c>
      <c r="D2252" s="14" t="str">
        <f t="shared" si="509"/>
        <v>Uso único</v>
      </c>
      <c r="E2252" s="14">
        <f>89</f>
        <v>89</v>
      </c>
      <c r="F2252" s="21">
        <f>'Hoja 4 - Cálculo'!A113</f>
        <v>32264</v>
      </c>
      <c r="G2252" s="15">
        <f>'Hoja 4 - Cálculo'!H113</f>
        <v>28.075500000000002</v>
      </c>
      <c r="H2252" s="15">
        <f>IF(D2252="Uso único",'Hoja 4 - Cálculo'!I113,IF(D2252="Uso múltiple",AVERAGE('Hoja 4 - Cálculo'!$I$25:$I$384)+AVERAGE('Hoja 4 - Cálculo'!$J$25:$J$384)+AVERAGE('Hoja 4 - Cálculo'!$K$25:$K$384),IF(D2252="Uso prioritario",'Hoja 4 - Cálculo'!I113+'Hoja 4 - Cálculo'!K113,'Hoja 4 - Cálculo'!I113+'Hoja 4 - Cálculo'!J113+'Hoja 4 - Cálculo'!K113)))</f>
        <v>8</v>
      </c>
      <c r="I2252" s="15">
        <f t="shared" si="510"/>
        <v>8</v>
      </c>
      <c r="J2252" s="15">
        <f t="shared" si="511"/>
        <v>5</v>
      </c>
      <c r="K2252" s="15">
        <f>MIN(J2252+G2252,(J2252+G2252)*'Hoja 4 - Cálculo'!$B$15)</f>
        <v>0.66151000000000015</v>
      </c>
      <c r="L2252" s="15">
        <f t="shared" si="514"/>
        <v>32.413990000000005</v>
      </c>
      <c r="M2252" s="15">
        <f t="shared" si="515"/>
        <v>8</v>
      </c>
      <c r="N2252" s="15">
        <f t="shared" si="516"/>
        <v>5</v>
      </c>
      <c r="O2252" s="15">
        <f t="shared" si="517"/>
        <v>19.413990000000005</v>
      </c>
      <c r="P2252" s="15">
        <f t="shared" si="518"/>
        <v>0</v>
      </c>
      <c r="Q2252" s="14" t="str">
        <f>IF(M2252&gt;=I2252*'Hoja 4 - Cálculo'!$B$16,"Satisfactorio","Falla")</f>
        <v>Satisfactorio</v>
      </c>
      <c r="R2252" s="14">
        <f t="shared" si="512"/>
        <v>0</v>
      </c>
      <c r="S2252" s="14">
        <f t="shared" si="513"/>
        <v>0</v>
      </c>
    </row>
    <row r="2253" spans="1:19">
      <c r="A2253" s="14" t="str">
        <f t="shared" si="508"/>
        <v>CFG-1</v>
      </c>
      <c r="B2253" s="15">
        <f>'Curvas SRY'!$E$11</f>
        <v>5</v>
      </c>
      <c r="C2253" s="15">
        <f>1</f>
        <v>1</v>
      </c>
      <c r="D2253" s="14" t="str">
        <f t="shared" si="509"/>
        <v>Uso único</v>
      </c>
      <c r="E2253" s="14">
        <f>90</f>
        <v>90</v>
      </c>
      <c r="F2253" s="21">
        <f>'Hoja 4 - Cálculo'!A114</f>
        <v>32295</v>
      </c>
      <c r="G2253" s="15">
        <f>'Hoja 4 - Cálculo'!H114</f>
        <v>16.485749999999999</v>
      </c>
      <c r="H2253" s="15">
        <f>IF(D2253="Uso único",'Hoja 4 - Cálculo'!I114,IF(D2253="Uso múltiple",AVERAGE('Hoja 4 - Cálculo'!$I$25:$I$384)+AVERAGE('Hoja 4 - Cálculo'!$J$25:$J$384)+AVERAGE('Hoja 4 - Cálculo'!$K$25:$K$384),IF(D2253="Uso prioritario",'Hoja 4 - Cálculo'!I114+'Hoja 4 - Cálculo'!K114,'Hoja 4 - Cálculo'!I114+'Hoja 4 - Cálculo'!J114+'Hoja 4 - Cálculo'!K114)))</f>
        <v>8</v>
      </c>
      <c r="I2253" s="15">
        <f t="shared" si="510"/>
        <v>8</v>
      </c>
      <c r="J2253" s="15">
        <f t="shared" si="511"/>
        <v>5</v>
      </c>
      <c r="K2253" s="15">
        <f>MIN(J2253+G2253,(J2253+G2253)*'Hoja 4 - Cálculo'!$B$15)</f>
        <v>0.42971500000000001</v>
      </c>
      <c r="L2253" s="15">
        <f t="shared" si="514"/>
        <v>21.056034999999998</v>
      </c>
      <c r="M2253" s="15">
        <f t="shared" si="515"/>
        <v>8</v>
      </c>
      <c r="N2253" s="15">
        <f t="shared" si="516"/>
        <v>5</v>
      </c>
      <c r="O2253" s="15">
        <f t="shared" si="517"/>
        <v>8.0560349999999978</v>
      </c>
      <c r="P2253" s="15">
        <f t="shared" si="518"/>
        <v>0</v>
      </c>
      <c r="Q2253" s="14" t="str">
        <f>IF(M2253&gt;=I2253*'Hoja 4 - Cálculo'!$B$16,"Satisfactorio","Falla")</f>
        <v>Satisfactorio</v>
      </c>
      <c r="R2253" s="14">
        <f t="shared" si="512"/>
        <v>0</v>
      </c>
      <c r="S2253" s="14">
        <f t="shared" si="513"/>
        <v>0</v>
      </c>
    </row>
    <row r="2254" spans="1:19">
      <c r="A2254" s="14" t="str">
        <f t="shared" si="508"/>
        <v>CFG-1</v>
      </c>
      <c r="B2254" s="15">
        <f>'Curvas SRY'!$E$11</f>
        <v>5</v>
      </c>
      <c r="C2254" s="15">
        <f>1</f>
        <v>1</v>
      </c>
      <c r="D2254" s="14" t="str">
        <f t="shared" si="509"/>
        <v>Uso único</v>
      </c>
      <c r="E2254" s="14">
        <f>91</f>
        <v>91</v>
      </c>
      <c r="F2254" s="21">
        <f>'Hoja 4 - Cálculo'!A115</f>
        <v>32325</v>
      </c>
      <c r="G2254" s="15">
        <f>'Hoja 4 - Cálculo'!H115</f>
        <v>13.827375</v>
      </c>
      <c r="H2254" s="15">
        <f>IF(D2254="Uso único",'Hoja 4 - Cálculo'!I115,IF(D2254="Uso múltiple",AVERAGE('Hoja 4 - Cálculo'!$I$25:$I$384)+AVERAGE('Hoja 4 - Cálculo'!$J$25:$J$384)+AVERAGE('Hoja 4 - Cálculo'!$K$25:$K$384),IF(D2254="Uso prioritario",'Hoja 4 - Cálculo'!I115+'Hoja 4 - Cálculo'!K115,'Hoja 4 - Cálculo'!I115+'Hoja 4 - Cálculo'!J115+'Hoja 4 - Cálculo'!K115)))</f>
        <v>8</v>
      </c>
      <c r="I2254" s="15">
        <f t="shared" si="510"/>
        <v>8</v>
      </c>
      <c r="J2254" s="15">
        <f t="shared" si="511"/>
        <v>5</v>
      </c>
      <c r="K2254" s="15">
        <f>MIN(J2254+G2254,(J2254+G2254)*'Hoja 4 - Cálculo'!$B$15)</f>
        <v>0.37654750000000003</v>
      </c>
      <c r="L2254" s="15">
        <f t="shared" si="514"/>
        <v>18.450827499999999</v>
      </c>
      <c r="M2254" s="15">
        <f t="shared" si="515"/>
        <v>8</v>
      </c>
      <c r="N2254" s="15">
        <f t="shared" si="516"/>
        <v>5</v>
      </c>
      <c r="O2254" s="15">
        <f t="shared" si="517"/>
        <v>5.450827499999999</v>
      </c>
      <c r="P2254" s="15">
        <f t="shared" si="518"/>
        <v>0</v>
      </c>
      <c r="Q2254" s="14" t="str">
        <f>IF(M2254&gt;=I2254*'Hoja 4 - Cálculo'!$B$16,"Satisfactorio","Falla")</f>
        <v>Satisfactorio</v>
      </c>
      <c r="R2254" s="14">
        <f t="shared" si="512"/>
        <v>0</v>
      </c>
      <c r="S2254" s="14">
        <f t="shared" si="513"/>
        <v>0</v>
      </c>
    </row>
    <row r="2255" spans="1:19">
      <c r="A2255" s="14" t="str">
        <f t="shared" si="508"/>
        <v>CFG-1</v>
      </c>
      <c r="B2255" s="15">
        <f>'Curvas SRY'!$E$11</f>
        <v>5</v>
      </c>
      <c r="C2255" s="15">
        <f>1</f>
        <v>1</v>
      </c>
      <c r="D2255" s="14" t="str">
        <f t="shared" si="509"/>
        <v>Uso único</v>
      </c>
      <c r="E2255" s="14">
        <f>92</f>
        <v>92</v>
      </c>
      <c r="F2255" s="21">
        <f>'Hoja 4 - Cálculo'!A116</f>
        <v>32356</v>
      </c>
      <c r="G2255" s="15">
        <f>'Hoja 4 - Cálculo'!H116</f>
        <v>14.783625000000001</v>
      </c>
      <c r="H2255" s="15">
        <f>IF(D2255="Uso único",'Hoja 4 - Cálculo'!I116,IF(D2255="Uso múltiple",AVERAGE('Hoja 4 - Cálculo'!$I$25:$I$384)+AVERAGE('Hoja 4 - Cálculo'!$J$25:$J$384)+AVERAGE('Hoja 4 - Cálculo'!$K$25:$K$384),IF(D2255="Uso prioritario",'Hoja 4 - Cálculo'!I116+'Hoja 4 - Cálculo'!K116,'Hoja 4 - Cálculo'!I116+'Hoja 4 - Cálculo'!J116+'Hoja 4 - Cálculo'!K116)))</f>
        <v>8</v>
      </c>
      <c r="I2255" s="15">
        <f t="shared" si="510"/>
        <v>8</v>
      </c>
      <c r="J2255" s="15">
        <f t="shared" si="511"/>
        <v>5</v>
      </c>
      <c r="K2255" s="15">
        <f>MIN(J2255+G2255,(J2255+G2255)*'Hoja 4 - Cálculo'!$B$15)</f>
        <v>0.39567250000000004</v>
      </c>
      <c r="L2255" s="15">
        <f t="shared" si="514"/>
        <v>19.387952500000001</v>
      </c>
      <c r="M2255" s="15">
        <f t="shared" si="515"/>
        <v>8</v>
      </c>
      <c r="N2255" s="15">
        <f t="shared" si="516"/>
        <v>5</v>
      </c>
      <c r="O2255" s="15">
        <f t="shared" si="517"/>
        <v>6.3879525000000008</v>
      </c>
      <c r="P2255" s="15">
        <f t="shared" si="518"/>
        <v>0</v>
      </c>
      <c r="Q2255" s="14" t="str">
        <f>IF(M2255&gt;=I2255*'Hoja 4 - Cálculo'!$B$16,"Satisfactorio","Falla")</f>
        <v>Satisfactorio</v>
      </c>
      <c r="R2255" s="14">
        <f t="shared" si="512"/>
        <v>0</v>
      </c>
      <c r="S2255" s="14">
        <f t="shared" si="513"/>
        <v>0</v>
      </c>
    </row>
    <row r="2256" spans="1:19">
      <c r="A2256" s="14" t="str">
        <f t="shared" si="508"/>
        <v>CFG-1</v>
      </c>
      <c r="B2256" s="15">
        <f>'Curvas SRY'!$E$11</f>
        <v>5</v>
      </c>
      <c r="C2256" s="15">
        <f>1</f>
        <v>1</v>
      </c>
      <c r="D2256" s="14" t="str">
        <f t="shared" si="509"/>
        <v>Uso único</v>
      </c>
      <c r="E2256" s="14">
        <f>93</f>
        <v>93</v>
      </c>
      <c r="F2256" s="21">
        <f>'Hoja 4 - Cálculo'!A117</f>
        <v>32387</v>
      </c>
      <c r="G2256" s="15">
        <f>'Hoja 4 - Cálculo'!H117</f>
        <v>23.3325</v>
      </c>
      <c r="H2256" s="15">
        <f>IF(D2256="Uso único",'Hoja 4 - Cálculo'!I117,IF(D2256="Uso múltiple",AVERAGE('Hoja 4 - Cálculo'!$I$25:$I$384)+AVERAGE('Hoja 4 - Cálculo'!$J$25:$J$384)+AVERAGE('Hoja 4 - Cálculo'!$K$25:$K$384),IF(D2256="Uso prioritario",'Hoja 4 - Cálculo'!I117+'Hoja 4 - Cálculo'!K117,'Hoja 4 - Cálculo'!I117+'Hoja 4 - Cálculo'!J117+'Hoja 4 - Cálculo'!K117)))</f>
        <v>8</v>
      </c>
      <c r="I2256" s="15">
        <f t="shared" si="510"/>
        <v>8</v>
      </c>
      <c r="J2256" s="15">
        <f t="shared" si="511"/>
        <v>5</v>
      </c>
      <c r="K2256" s="15">
        <f>MIN(J2256+G2256,(J2256+G2256)*'Hoja 4 - Cálculo'!$B$15)</f>
        <v>0.56664999999999999</v>
      </c>
      <c r="L2256" s="15">
        <f t="shared" si="514"/>
        <v>27.76585</v>
      </c>
      <c r="M2256" s="15">
        <f t="shared" si="515"/>
        <v>8</v>
      </c>
      <c r="N2256" s="15">
        <f t="shared" si="516"/>
        <v>5</v>
      </c>
      <c r="O2256" s="15">
        <f t="shared" si="517"/>
        <v>14.76585</v>
      </c>
      <c r="P2256" s="15">
        <f t="shared" si="518"/>
        <v>0</v>
      </c>
      <c r="Q2256" s="14" t="str">
        <f>IF(M2256&gt;=I2256*'Hoja 4 - Cálculo'!$B$16,"Satisfactorio","Falla")</f>
        <v>Satisfactorio</v>
      </c>
      <c r="R2256" s="14">
        <f t="shared" si="512"/>
        <v>0</v>
      </c>
      <c r="S2256" s="14">
        <f t="shared" si="513"/>
        <v>0</v>
      </c>
    </row>
    <row r="2257" spans="1:19">
      <c r="A2257" s="14" t="str">
        <f t="shared" si="508"/>
        <v>CFG-1</v>
      </c>
      <c r="B2257" s="15">
        <f>'Curvas SRY'!$E$11</f>
        <v>5</v>
      </c>
      <c r="C2257" s="15">
        <f>1</f>
        <v>1</v>
      </c>
      <c r="D2257" s="14" t="str">
        <f t="shared" si="509"/>
        <v>Uso único</v>
      </c>
      <c r="E2257" s="14">
        <f>94</f>
        <v>94</v>
      </c>
      <c r="F2257" s="21">
        <f>'Hoja 4 - Cálculo'!A118</f>
        <v>32417</v>
      </c>
      <c r="G2257" s="15">
        <f>'Hoja 4 - Cálculo'!H118</f>
        <v>32.015250000000002</v>
      </c>
      <c r="H2257" s="15">
        <f>IF(D2257="Uso único",'Hoja 4 - Cálculo'!I118,IF(D2257="Uso múltiple",AVERAGE('Hoja 4 - Cálculo'!$I$25:$I$384)+AVERAGE('Hoja 4 - Cálculo'!$J$25:$J$384)+AVERAGE('Hoja 4 - Cálculo'!$K$25:$K$384),IF(D2257="Uso prioritario",'Hoja 4 - Cálculo'!I118+'Hoja 4 - Cálculo'!K118,'Hoja 4 - Cálculo'!I118+'Hoja 4 - Cálculo'!J118+'Hoja 4 - Cálculo'!K118)))</f>
        <v>8</v>
      </c>
      <c r="I2257" s="15">
        <f t="shared" si="510"/>
        <v>8</v>
      </c>
      <c r="J2257" s="15">
        <f t="shared" si="511"/>
        <v>5</v>
      </c>
      <c r="K2257" s="15">
        <f>MIN(J2257+G2257,(J2257+G2257)*'Hoja 4 - Cálculo'!$B$15)</f>
        <v>0.7403050000000001</v>
      </c>
      <c r="L2257" s="15">
        <f t="shared" si="514"/>
        <v>36.274945000000002</v>
      </c>
      <c r="M2257" s="15">
        <f t="shared" si="515"/>
        <v>8</v>
      </c>
      <c r="N2257" s="15">
        <f t="shared" si="516"/>
        <v>5</v>
      </c>
      <c r="O2257" s="15">
        <f t="shared" si="517"/>
        <v>23.274945000000002</v>
      </c>
      <c r="P2257" s="15">
        <f t="shared" si="518"/>
        <v>0</v>
      </c>
      <c r="Q2257" s="14" t="str">
        <f>IF(M2257&gt;=I2257*'Hoja 4 - Cálculo'!$B$16,"Satisfactorio","Falla")</f>
        <v>Satisfactorio</v>
      </c>
      <c r="R2257" s="14">
        <f t="shared" si="512"/>
        <v>0</v>
      </c>
      <c r="S2257" s="14">
        <f t="shared" si="513"/>
        <v>0</v>
      </c>
    </row>
    <row r="2258" spans="1:19">
      <c r="A2258" s="14" t="str">
        <f t="shared" si="508"/>
        <v>CFG-1</v>
      </c>
      <c r="B2258" s="15">
        <f>'Curvas SRY'!$E$11</f>
        <v>5</v>
      </c>
      <c r="C2258" s="15">
        <f>1</f>
        <v>1</v>
      </c>
      <c r="D2258" s="14" t="str">
        <f t="shared" si="509"/>
        <v>Uso único</v>
      </c>
      <c r="E2258" s="14">
        <f>95</f>
        <v>95</v>
      </c>
      <c r="F2258" s="21">
        <f>'Hoja 4 - Cálculo'!A119</f>
        <v>32448</v>
      </c>
      <c r="G2258" s="15">
        <f>'Hoja 4 - Cálculo'!H119</f>
        <v>25.876124999999998</v>
      </c>
      <c r="H2258" s="15">
        <f>IF(D2258="Uso único",'Hoja 4 - Cálculo'!I119,IF(D2258="Uso múltiple",AVERAGE('Hoja 4 - Cálculo'!$I$25:$I$384)+AVERAGE('Hoja 4 - Cálculo'!$J$25:$J$384)+AVERAGE('Hoja 4 - Cálculo'!$K$25:$K$384),IF(D2258="Uso prioritario",'Hoja 4 - Cálculo'!I119+'Hoja 4 - Cálculo'!K119,'Hoja 4 - Cálculo'!I119+'Hoja 4 - Cálculo'!J119+'Hoja 4 - Cálculo'!K119)))</f>
        <v>8</v>
      </c>
      <c r="I2258" s="15">
        <f t="shared" si="510"/>
        <v>8</v>
      </c>
      <c r="J2258" s="15">
        <f t="shared" si="511"/>
        <v>5</v>
      </c>
      <c r="K2258" s="15">
        <f>MIN(J2258+G2258,(J2258+G2258)*'Hoja 4 - Cálculo'!$B$15)</f>
        <v>0.61752249999999997</v>
      </c>
      <c r="L2258" s="15">
        <f t="shared" si="514"/>
        <v>30.258602499999999</v>
      </c>
      <c r="M2258" s="15">
        <f t="shared" si="515"/>
        <v>8</v>
      </c>
      <c r="N2258" s="15">
        <f t="shared" si="516"/>
        <v>5</v>
      </c>
      <c r="O2258" s="15">
        <f t="shared" si="517"/>
        <v>17.258602499999999</v>
      </c>
      <c r="P2258" s="15">
        <f t="shared" si="518"/>
        <v>0</v>
      </c>
      <c r="Q2258" s="14" t="str">
        <f>IF(M2258&gt;=I2258*'Hoja 4 - Cálculo'!$B$16,"Satisfactorio","Falla")</f>
        <v>Satisfactorio</v>
      </c>
      <c r="R2258" s="14">
        <f t="shared" si="512"/>
        <v>0</v>
      </c>
      <c r="S2258" s="14">
        <f t="shared" si="513"/>
        <v>0</v>
      </c>
    </row>
    <row r="2259" spans="1:19">
      <c r="A2259" s="14" t="str">
        <f t="shared" si="508"/>
        <v>CFG-1</v>
      </c>
      <c r="B2259" s="15">
        <f>'Curvas SRY'!$E$11</f>
        <v>5</v>
      </c>
      <c r="C2259" s="15">
        <f>1</f>
        <v>1</v>
      </c>
      <c r="D2259" s="14" t="str">
        <f t="shared" si="509"/>
        <v>Uso único</v>
      </c>
      <c r="E2259" s="14">
        <f>96</f>
        <v>96</v>
      </c>
      <c r="F2259" s="21">
        <f>'Hoja 4 - Cálculo'!A120</f>
        <v>32478</v>
      </c>
      <c r="G2259" s="15">
        <f>'Hoja 4 - Cálculo'!H120</f>
        <v>16.218</v>
      </c>
      <c r="H2259" s="15">
        <f>IF(D2259="Uso único",'Hoja 4 - Cálculo'!I120,IF(D2259="Uso múltiple",AVERAGE('Hoja 4 - Cálculo'!$I$25:$I$384)+AVERAGE('Hoja 4 - Cálculo'!$J$25:$J$384)+AVERAGE('Hoja 4 - Cálculo'!$K$25:$K$384),IF(D2259="Uso prioritario",'Hoja 4 - Cálculo'!I120+'Hoja 4 - Cálculo'!K120,'Hoja 4 - Cálculo'!I120+'Hoja 4 - Cálculo'!J120+'Hoja 4 - Cálculo'!K120)))</f>
        <v>8</v>
      </c>
      <c r="I2259" s="15">
        <f t="shared" si="510"/>
        <v>8</v>
      </c>
      <c r="J2259" s="15">
        <f t="shared" si="511"/>
        <v>5</v>
      </c>
      <c r="K2259" s="15">
        <f>MIN(J2259+G2259,(J2259+G2259)*'Hoja 4 - Cálculo'!$B$15)</f>
        <v>0.42436000000000001</v>
      </c>
      <c r="L2259" s="15">
        <f t="shared" si="514"/>
        <v>20.79364</v>
      </c>
      <c r="M2259" s="15">
        <f t="shared" si="515"/>
        <v>8</v>
      </c>
      <c r="N2259" s="15">
        <f t="shared" si="516"/>
        <v>5</v>
      </c>
      <c r="O2259" s="15">
        <f t="shared" si="517"/>
        <v>7.7936399999999999</v>
      </c>
      <c r="P2259" s="15">
        <f t="shared" si="518"/>
        <v>0</v>
      </c>
      <c r="Q2259" s="14" t="str">
        <f>IF(M2259&gt;=I2259*'Hoja 4 - Cálculo'!$B$16,"Satisfactorio","Falla")</f>
        <v>Satisfactorio</v>
      </c>
      <c r="R2259" s="14">
        <f t="shared" si="512"/>
        <v>0</v>
      </c>
      <c r="S2259" s="14">
        <f t="shared" si="513"/>
        <v>0</v>
      </c>
    </row>
    <row r="2260" spans="1:19">
      <c r="A2260" s="14" t="str">
        <f t="shared" ref="A2260:A2283" si="519">"CFG-1"</f>
        <v>CFG-1</v>
      </c>
      <c r="B2260" s="15">
        <f>'Curvas SRY'!$E$11</f>
        <v>5</v>
      </c>
      <c r="C2260" s="15">
        <f>1</f>
        <v>1</v>
      </c>
      <c r="D2260" s="14" t="str">
        <f t="shared" ref="D2260:D2283" si="520">"Uso único"</f>
        <v>Uso único</v>
      </c>
      <c r="E2260" s="14">
        <f>97</f>
        <v>97</v>
      </c>
      <c r="F2260" s="21">
        <f>'Hoja 4 - Cálculo'!A121</f>
        <v>32509</v>
      </c>
      <c r="G2260" s="15">
        <f>'Hoja 4 - Cálculo'!H121</f>
        <v>11.761875</v>
      </c>
      <c r="H2260" s="15">
        <f>IF(D2260="Uso único",'Hoja 4 - Cálculo'!I121,IF(D2260="Uso múltiple",AVERAGE('Hoja 4 - Cálculo'!$I$25:$I$384)+AVERAGE('Hoja 4 - Cálculo'!$J$25:$J$384)+AVERAGE('Hoja 4 - Cálculo'!$K$25:$K$384),IF(D2260="Uso prioritario",'Hoja 4 - Cálculo'!I121+'Hoja 4 - Cálculo'!K121,'Hoja 4 - Cálculo'!I121+'Hoja 4 - Cálculo'!J121+'Hoja 4 - Cálculo'!K121)))</f>
        <v>8</v>
      </c>
      <c r="I2260" s="15">
        <f t="shared" si="510"/>
        <v>8</v>
      </c>
      <c r="J2260" s="15">
        <f t="shared" si="511"/>
        <v>5</v>
      </c>
      <c r="K2260" s="15">
        <f>MIN(J2260+G2260,(J2260+G2260)*'Hoja 4 - Cálculo'!$B$15)</f>
        <v>0.33523750000000002</v>
      </c>
      <c r="L2260" s="15">
        <f t="shared" si="514"/>
        <v>16.426637499999998</v>
      </c>
      <c r="M2260" s="15">
        <f t="shared" si="515"/>
        <v>8</v>
      </c>
      <c r="N2260" s="15">
        <f t="shared" si="516"/>
        <v>5</v>
      </c>
      <c r="O2260" s="15">
        <f t="shared" si="517"/>
        <v>3.4266374999999982</v>
      </c>
      <c r="P2260" s="15">
        <f t="shared" si="518"/>
        <v>0</v>
      </c>
      <c r="Q2260" s="14" t="str">
        <f>IF(M2260&gt;=I2260*'Hoja 4 - Cálculo'!$B$16,"Satisfactorio","Falla")</f>
        <v>Satisfactorio</v>
      </c>
      <c r="R2260" s="14">
        <f t="shared" si="512"/>
        <v>0</v>
      </c>
      <c r="S2260" s="14">
        <f t="shared" si="513"/>
        <v>0</v>
      </c>
    </row>
    <row r="2261" spans="1:19">
      <c r="A2261" s="14" t="str">
        <f t="shared" si="519"/>
        <v>CFG-1</v>
      </c>
      <c r="B2261" s="15">
        <f>'Curvas SRY'!$E$11</f>
        <v>5</v>
      </c>
      <c r="C2261" s="15">
        <f>1</f>
        <v>1</v>
      </c>
      <c r="D2261" s="14" t="str">
        <f t="shared" si="520"/>
        <v>Uso único</v>
      </c>
      <c r="E2261" s="14">
        <f>98</f>
        <v>98</v>
      </c>
      <c r="F2261" s="21">
        <f>'Hoja 4 - Cálculo'!A122</f>
        <v>32540</v>
      </c>
      <c r="G2261" s="15">
        <f>'Hoja 4 - Cálculo'!H122</f>
        <v>12.43125</v>
      </c>
      <c r="H2261" s="15">
        <f>IF(D2261="Uso único",'Hoja 4 - Cálculo'!I122,IF(D2261="Uso múltiple",AVERAGE('Hoja 4 - Cálculo'!$I$25:$I$384)+AVERAGE('Hoja 4 - Cálculo'!$J$25:$J$384)+AVERAGE('Hoja 4 - Cálculo'!$K$25:$K$384),IF(D2261="Uso prioritario",'Hoja 4 - Cálculo'!I122+'Hoja 4 - Cálculo'!K122,'Hoja 4 - Cálculo'!I122+'Hoja 4 - Cálculo'!J122+'Hoja 4 - Cálculo'!K122)))</f>
        <v>8</v>
      </c>
      <c r="I2261" s="15">
        <f t="shared" si="510"/>
        <v>8</v>
      </c>
      <c r="J2261" s="15">
        <f t="shared" ref="J2261:J2283" si="521">N2260</f>
        <v>5</v>
      </c>
      <c r="K2261" s="15">
        <f>MIN(J2261+G2261,(J2261+G2261)*'Hoja 4 - Cálculo'!$B$15)</f>
        <v>0.34862499999999996</v>
      </c>
      <c r="L2261" s="15">
        <f t="shared" si="514"/>
        <v>17.082625</v>
      </c>
      <c r="M2261" s="15">
        <f t="shared" si="515"/>
        <v>8</v>
      </c>
      <c r="N2261" s="15">
        <f t="shared" si="516"/>
        <v>5</v>
      </c>
      <c r="O2261" s="15">
        <f t="shared" si="517"/>
        <v>4.0826250000000002</v>
      </c>
      <c r="P2261" s="15">
        <f t="shared" si="518"/>
        <v>0</v>
      </c>
      <c r="Q2261" s="14" t="str">
        <f>IF(M2261&gt;=I2261*'Hoja 4 - Cálculo'!$B$16,"Satisfactorio","Falla")</f>
        <v>Satisfactorio</v>
      </c>
      <c r="R2261" s="14">
        <f t="shared" ref="R2261:R2292" si="522">IF(AND(Q2260="Falla",Q2261="Satisfactorio"),1,0)</f>
        <v>0</v>
      </c>
      <c r="S2261" s="14">
        <f t="shared" ref="S2261:S2283" si="523">IF(AND(Q2261="Falla",Q2260&lt;&gt;"Falla"),1,0)</f>
        <v>0</v>
      </c>
    </row>
    <row r="2262" spans="1:19">
      <c r="A2262" s="14" t="str">
        <f t="shared" si="519"/>
        <v>CFG-1</v>
      </c>
      <c r="B2262" s="15">
        <f>'Curvas SRY'!$E$11</f>
        <v>5</v>
      </c>
      <c r="C2262" s="15">
        <f>1</f>
        <v>1</v>
      </c>
      <c r="D2262" s="14" t="str">
        <f t="shared" si="520"/>
        <v>Uso único</v>
      </c>
      <c r="E2262" s="14">
        <f>99</f>
        <v>99</v>
      </c>
      <c r="F2262" s="21">
        <f>'Hoja 4 - Cálculo'!A123</f>
        <v>32568</v>
      </c>
      <c r="G2262" s="15">
        <f>'Hoja 4 - Cálculo'!H123</f>
        <v>19.717874999999999</v>
      </c>
      <c r="H2262" s="15">
        <f>IF(D2262="Uso único",'Hoja 4 - Cálculo'!I123,IF(D2262="Uso múltiple",AVERAGE('Hoja 4 - Cálculo'!$I$25:$I$384)+AVERAGE('Hoja 4 - Cálculo'!$J$25:$J$384)+AVERAGE('Hoja 4 - Cálculo'!$K$25:$K$384),IF(D2262="Uso prioritario",'Hoja 4 - Cálculo'!I123+'Hoja 4 - Cálculo'!K123,'Hoja 4 - Cálculo'!I123+'Hoja 4 - Cálculo'!J123+'Hoja 4 - Cálculo'!K123)))</f>
        <v>8</v>
      </c>
      <c r="I2262" s="15">
        <f t="shared" si="510"/>
        <v>8</v>
      </c>
      <c r="J2262" s="15">
        <f t="shared" si="521"/>
        <v>5</v>
      </c>
      <c r="K2262" s="15">
        <f>MIN(J2262+G2262,(J2262+G2262)*'Hoja 4 - Cálculo'!$B$15)</f>
        <v>0.49435750000000001</v>
      </c>
      <c r="L2262" s="15">
        <f t="shared" si="514"/>
        <v>24.2235175</v>
      </c>
      <c r="M2262" s="15">
        <f t="shared" si="515"/>
        <v>8</v>
      </c>
      <c r="N2262" s="15">
        <f t="shared" si="516"/>
        <v>5</v>
      </c>
      <c r="O2262" s="15">
        <f t="shared" si="517"/>
        <v>11.2235175</v>
      </c>
      <c r="P2262" s="15">
        <f t="shared" si="518"/>
        <v>0</v>
      </c>
      <c r="Q2262" s="14" t="str">
        <f>IF(M2262&gt;=I2262*'Hoja 4 - Cálculo'!$B$16,"Satisfactorio","Falla")</f>
        <v>Satisfactorio</v>
      </c>
      <c r="R2262" s="14">
        <f t="shared" si="522"/>
        <v>0</v>
      </c>
      <c r="S2262" s="14">
        <f t="shared" si="523"/>
        <v>0</v>
      </c>
    </row>
    <row r="2263" spans="1:19">
      <c r="A2263" s="14" t="str">
        <f t="shared" si="519"/>
        <v>CFG-1</v>
      </c>
      <c r="B2263" s="15">
        <f>'Curvas SRY'!$E$11</f>
        <v>5</v>
      </c>
      <c r="C2263" s="15">
        <f>1</f>
        <v>1</v>
      </c>
      <c r="D2263" s="14" t="str">
        <f t="shared" si="520"/>
        <v>Uso único</v>
      </c>
      <c r="E2263" s="14">
        <f>100</f>
        <v>100</v>
      </c>
      <c r="F2263" s="21">
        <f>'Hoja 4 - Cálculo'!A124</f>
        <v>32599</v>
      </c>
      <c r="G2263" s="15">
        <f>'Hoja 4 - Cálculo'!H124</f>
        <v>26.029125000000001</v>
      </c>
      <c r="H2263" s="15">
        <f>IF(D2263="Uso único",'Hoja 4 - Cálculo'!I124,IF(D2263="Uso múltiple",AVERAGE('Hoja 4 - Cálculo'!$I$25:$I$384)+AVERAGE('Hoja 4 - Cálculo'!$J$25:$J$384)+AVERAGE('Hoja 4 - Cálculo'!$K$25:$K$384),IF(D2263="Uso prioritario",'Hoja 4 - Cálculo'!I124+'Hoja 4 - Cálculo'!K124,'Hoja 4 - Cálculo'!I124+'Hoja 4 - Cálculo'!J124+'Hoja 4 - Cálculo'!K124)))</f>
        <v>8</v>
      </c>
      <c r="I2263" s="15">
        <f t="shared" si="510"/>
        <v>8</v>
      </c>
      <c r="J2263" s="15">
        <f t="shared" si="521"/>
        <v>5</v>
      </c>
      <c r="K2263" s="15">
        <f>MIN(J2263+G2263,(J2263+G2263)*'Hoja 4 - Cálculo'!$B$15)</f>
        <v>0.62058250000000004</v>
      </c>
      <c r="L2263" s="15">
        <f t="shared" si="514"/>
        <v>30.408542499999999</v>
      </c>
      <c r="M2263" s="15">
        <f t="shared" si="515"/>
        <v>8</v>
      </c>
      <c r="N2263" s="15">
        <f t="shared" si="516"/>
        <v>5</v>
      </c>
      <c r="O2263" s="15">
        <f t="shared" si="517"/>
        <v>17.408542499999999</v>
      </c>
      <c r="P2263" s="15">
        <f t="shared" si="518"/>
        <v>0</v>
      </c>
      <c r="Q2263" s="14" t="str">
        <f>IF(M2263&gt;=I2263*'Hoja 4 - Cálculo'!$B$16,"Satisfactorio","Falla")</f>
        <v>Satisfactorio</v>
      </c>
      <c r="R2263" s="14">
        <f t="shared" si="522"/>
        <v>0</v>
      </c>
      <c r="S2263" s="14">
        <f t="shared" si="523"/>
        <v>0</v>
      </c>
    </row>
    <row r="2264" spans="1:19">
      <c r="A2264" s="14" t="str">
        <f t="shared" si="519"/>
        <v>CFG-1</v>
      </c>
      <c r="B2264" s="15">
        <f>'Curvas SRY'!$E$11</f>
        <v>5</v>
      </c>
      <c r="C2264" s="15">
        <f>1</f>
        <v>1</v>
      </c>
      <c r="D2264" s="14" t="str">
        <f t="shared" si="520"/>
        <v>Uso único</v>
      </c>
      <c r="E2264" s="14">
        <f>101</f>
        <v>101</v>
      </c>
      <c r="F2264" s="21">
        <f>'Hoja 4 - Cálculo'!A125</f>
        <v>32629</v>
      </c>
      <c r="G2264" s="15">
        <f>'Hoja 4 - Cálculo'!H125</f>
        <v>24.728625000000005</v>
      </c>
      <c r="H2264" s="15">
        <f>IF(D2264="Uso único",'Hoja 4 - Cálculo'!I125,IF(D2264="Uso múltiple",AVERAGE('Hoja 4 - Cálculo'!$I$25:$I$384)+AVERAGE('Hoja 4 - Cálculo'!$J$25:$J$384)+AVERAGE('Hoja 4 - Cálculo'!$K$25:$K$384),IF(D2264="Uso prioritario",'Hoja 4 - Cálculo'!I125+'Hoja 4 - Cálculo'!K125,'Hoja 4 - Cálculo'!I125+'Hoja 4 - Cálculo'!J125+'Hoja 4 - Cálculo'!K125)))</f>
        <v>8</v>
      </c>
      <c r="I2264" s="15">
        <f t="shared" si="510"/>
        <v>8</v>
      </c>
      <c r="J2264" s="15">
        <f t="shared" si="521"/>
        <v>5</v>
      </c>
      <c r="K2264" s="15">
        <f>MIN(J2264+G2264,(J2264+G2264)*'Hoja 4 - Cálculo'!$B$15)</f>
        <v>0.59457250000000006</v>
      </c>
      <c r="L2264" s="15">
        <f t="shared" si="514"/>
        <v>29.134052500000003</v>
      </c>
      <c r="M2264" s="15">
        <f t="shared" si="515"/>
        <v>8</v>
      </c>
      <c r="N2264" s="15">
        <f t="shared" si="516"/>
        <v>5</v>
      </c>
      <c r="O2264" s="15">
        <f t="shared" si="517"/>
        <v>16.134052500000003</v>
      </c>
      <c r="P2264" s="15">
        <f t="shared" si="518"/>
        <v>0</v>
      </c>
      <c r="Q2264" s="14" t="str">
        <f>IF(M2264&gt;=I2264*'Hoja 4 - Cálculo'!$B$16,"Satisfactorio","Falla")</f>
        <v>Satisfactorio</v>
      </c>
      <c r="R2264" s="14">
        <f t="shared" si="522"/>
        <v>0</v>
      </c>
      <c r="S2264" s="14">
        <f t="shared" si="523"/>
        <v>0</v>
      </c>
    </row>
    <row r="2265" spans="1:19">
      <c r="A2265" s="14" t="str">
        <f t="shared" si="519"/>
        <v>CFG-1</v>
      </c>
      <c r="B2265" s="15">
        <f>'Curvas SRY'!$E$11</f>
        <v>5</v>
      </c>
      <c r="C2265" s="15">
        <f>1</f>
        <v>1</v>
      </c>
      <c r="D2265" s="14" t="str">
        <f t="shared" si="520"/>
        <v>Uso único</v>
      </c>
      <c r="E2265" s="14">
        <f>102</f>
        <v>102</v>
      </c>
      <c r="F2265" s="21">
        <f>'Hoja 4 - Cálculo'!A126</f>
        <v>32660</v>
      </c>
      <c r="G2265" s="15">
        <f>'Hoja 4 - Cálculo'!H126</f>
        <v>14.515874999999999</v>
      </c>
      <c r="H2265" s="15">
        <f>IF(D2265="Uso único",'Hoja 4 - Cálculo'!I126,IF(D2265="Uso múltiple",AVERAGE('Hoja 4 - Cálculo'!$I$25:$I$384)+AVERAGE('Hoja 4 - Cálculo'!$J$25:$J$384)+AVERAGE('Hoja 4 - Cálculo'!$K$25:$K$384),IF(D2265="Uso prioritario",'Hoja 4 - Cálculo'!I126+'Hoja 4 - Cálculo'!K126,'Hoja 4 - Cálculo'!I126+'Hoja 4 - Cálculo'!J126+'Hoja 4 - Cálculo'!K126)))</f>
        <v>8</v>
      </c>
      <c r="I2265" s="15">
        <f t="shared" si="510"/>
        <v>8</v>
      </c>
      <c r="J2265" s="15">
        <f t="shared" si="521"/>
        <v>5</v>
      </c>
      <c r="K2265" s="15">
        <f>MIN(J2265+G2265,(J2265+G2265)*'Hoja 4 - Cálculo'!$B$15)</f>
        <v>0.39031750000000004</v>
      </c>
      <c r="L2265" s="15">
        <f t="shared" si="514"/>
        <v>19.125557500000003</v>
      </c>
      <c r="M2265" s="15">
        <f t="shared" si="515"/>
        <v>8</v>
      </c>
      <c r="N2265" s="15">
        <f t="shared" si="516"/>
        <v>5</v>
      </c>
      <c r="O2265" s="15">
        <f t="shared" si="517"/>
        <v>6.1255575000000029</v>
      </c>
      <c r="P2265" s="15">
        <f t="shared" si="518"/>
        <v>0</v>
      </c>
      <c r="Q2265" s="14" t="str">
        <f>IF(M2265&gt;=I2265*'Hoja 4 - Cálculo'!$B$16,"Satisfactorio","Falla")</f>
        <v>Satisfactorio</v>
      </c>
      <c r="R2265" s="14">
        <f t="shared" si="522"/>
        <v>0</v>
      </c>
      <c r="S2265" s="14">
        <f t="shared" si="523"/>
        <v>0</v>
      </c>
    </row>
    <row r="2266" spans="1:19">
      <c r="A2266" s="14" t="str">
        <f t="shared" si="519"/>
        <v>CFG-1</v>
      </c>
      <c r="B2266" s="15">
        <f>'Curvas SRY'!$E$11</f>
        <v>5</v>
      </c>
      <c r="C2266" s="15">
        <f>1</f>
        <v>1</v>
      </c>
      <c r="D2266" s="14" t="str">
        <f t="shared" si="520"/>
        <v>Uso único</v>
      </c>
      <c r="E2266" s="14">
        <f>103</f>
        <v>103</v>
      </c>
      <c r="F2266" s="21">
        <f>'Hoja 4 - Cálculo'!A127</f>
        <v>32690</v>
      </c>
      <c r="G2266" s="15">
        <f>'Hoja 4 - Cálculo'!H127</f>
        <v>12.144375</v>
      </c>
      <c r="H2266" s="15">
        <f>IF(D2266="Uso único",'Hoja 4 - Cálculo'!I127,IF(D2266="Uso múltiple",AVERAGE('Hoja 4 - Cálculo'!$I$25:$I$384)+AVERAGE('Hoja 4 - Cálculo'!$J$25:$J$384)+AVERAGE('Hoja 4 - Cálculo'!$K$25:$K$384),IF(D2266="Uso prioritario",'Hoja 4 - Cálculo'!I127+'Hoja 4 - Cálculo'!K127,'Hoja 4 - Cálculo'!I127+'Hoja 4 - Cálculo'!J127+'Hoja 4 - Cálculo'!K127)))</f>
        <v>8</v>
      </c>
      <c r="I2266" s="15">
        <f t="shared" si="510"/>
        <v>8</v>
      </c>
      <c r="J2266" s="15">
        <f t="shared" si="521"/>
        <v>5</v>
      </c>
      <c r="K2266" s="15">
        <f>MIN(J2266+G2266,(J2266+G2266)*'Hoja 4 - Cálculo'!$B$15)</f>
        <v>0.34288750000000001</v>
      </c>
      <c r="L2266" s="15">
        <f t="shared" si="514"/>
        <v>16.8014875</v>
      </c>
      <c r="M2266" s="15">
        <f t="shared" si="515"/>
        <v>8</v>
      </c>
      <c r="N2266" s="15">
        <f t="shared" si="516"/>
        <v>5</v>
      </c>
      <c r="O2266" s="15">
        <f t="shared" si="517"/>
        <v>3.8014875000000004</v>
      </c>
      <c r="P2266" s="15">
        <f t="shared" si="518"/>
        <v>0</v>
      </c>
      <c r="Q2266" s="14" t="str">
        <f>IF(M2266&gt;=I2266*'Hoja 4 - Cálculo'!$B$16,"Satisfactorio","Falla")</f>
        <v>Satisfactorio</v>
      </c>
      <c r="R2266" s="14">
        <f t="shared" si="522"/>
        <v>0</v>
      </c>
      <c r="S2266" s="14">
        <f t="shared" si="523"/>
        <v>0</v>
      </c>
    </row>
    <row r="2267" spans="1:19">
      <c r="A2267" s="14" t="str">
        <f t="shared" si="519"/>
        <v>CFG-1</v>
      </c>
      <c r="B2267" s="15">
        <f>'Curvas SRY'!$E$11</f>
        <v>5</v>
      </c>
      <c r="C2267" s="15">
        <f>1</f>
        <v>1</v>
      </c>
      <c r="D2267" s="14" t="str">
        <f t="shared" si="520"/>
        <v>Uso único</v>
      </c>
      <c r="E2267" s="14">
        <f>104</f>
        <v>104</v>
      </c>
      <c r="F2267" s="21">
        <f>'Hoja 4 - Cálculo'!A128</f>
        <v>32721</v>
      </c>
      <c r="G2267" s="15">
        <f>'Hoja 4 - Cálculo'!H128</f>
        <v>13.04325</v>
      </c>
      <c r="H2267" s="15">
        <f>IF(D2267="Uso único",'Hoja 4 - Cálculo'!I128,IF(D2267="Uso múltiple",AVERAGE('Hoja 4 - Cálculo'!$I$25:$I$384)+AVERAGE('Hoja 4 - Cálculo'!$J$25:$J$384)+AVERAGE('Hoja 4 - Cálculo'!$K$25:$K$384),IF(D2267="Uso prioritario",'Hoja 4 - Cálculo'!I128+'Hoja 4 - Cálculo'!K128,'Hoja 4 - Cálculo'!I128+'Hoja 4 - Cálculo'!J128+'Hoja 4 - Cálculo'!K128)))</f>
        <v>8</v>
      </c>
      <c r="I2267" s="15">
        <f t="shared" si="510"/>
        <v>8</v>
      </c>
      <c r="J2267" s="15">
        <f t="shared" si="521"/>
        <v>5</v>
      </c>
      <c r="K2267" s="15">
        <f>MIN(J2267+G2267,(J2267+G2267)*'Hoja 4 - Cálculo'!$B$15)</f>
        <v>0.36086499999999999</v>
      </c>
      <c r="L2267" s="15">
        <f t="shared" si="514"/>
        <v>17.682385</v>
      </c>
      <c r="M2267" s="15">
        <f t="shared" si="515"/>
        <v>8</v>
      </c>
      <c r="N2267" s="15">
        <f t="shared" si="516"/>
        <v>5</v>
      </c>
      <c r="O2267" s="15">
        <f t="shared" si="517"/>
        <v>4.682385</v>
      </c>
      <c r="P2267" s="15">
        <f t="shared" si="518"/>
        <v>0</v>
      </c>
      <c r="Q2267" s="14" t="str">
        <f>IF(M2267&gt;=I2267*'Hoja 4 - Cálculo'!$B$16,"Satisfactorio","Falla")</f>
        <v>Satisfactorio</v>
      </c>
      <c r="R2267" s="14">
        <f t="shared" si="522"/>
        <v>0</v>
      </c>
      <c r="S2267" s="14">
        <f t="shared" si="523"/>
        <v>0</v>
      </c>
    </row>
    <row r="2268" spans="1:19">
      <c r="A2268" s="14" t="str">
        <f t="shared" si="519"/>
        <v>CFG-1</v>
      </c>
      <c r="B2268" s="15">
        <f>'Curvas SRY'!$E$11</f>
        <v>5</v>
      </c>
      <c r="C2268" s="15">
        <f>1</f>
        <v>1</v>
      </c>
      <c r="D2268" s="14" t="str">
        <f t="shared" si="520"/>
        <v>Uso único</v>
      </c>
      <c r="E2268" s="14">
        <f>105</f>
        <v>105</v>
      </c>
      <c r="F2268" s="21">
        <f>'Hoja 4 - Cálculo'!A129</f>
        <v>32752</v>
      </c>
      <c r="G2268" s="15">
        <f>'Hoja 4 - Cálculo'!H129</f>
        <v>20.444624999999998</v>
      </c>
      <c r="H2268" s="15">
        <f>IF(D2268="Uso único",'Hoja 4 - Cálculo'!I129,IF(D2268="Uso múltiple",AVERAGE('Hoja 4 - Cálculo'!$I$25:$I$384)+AVERAGE('Hoja 4 - Cálculo'!$J$25:$J$384)+AVERAGE('Hoja 4 - Cálculo'!$K$25:$K$384),IF(D2268="Uso prioritario",'Hoja 4 - Cálculo'!I129+'Hoja 4 - Cálculo'!K129,'Hoja 4 - Cálculo'!I129+'Hoja 4 - Cálculo'!J129+'Hoja 4 - Cálculo'!K129)))</f>
        <v>8</v>
      </c>
      <c r="I2268" s="15">
        <f t="shared" si="510"/>
        <v>8</v>
      </c>
      <c r="J2268" s="15">
        <f t="shared" si="521"/>
        <v>5</v>
      </c>
      <c r="K2268" s="15">
        <f>MIN(J2268+G2268,(J2268+G2268)*'Hoja 4 - Cálculo'!$B$15)</f>
        <v>0.50889249999999997</v>
      </c>
      <c r="L2268" s="15">
        <f t="shared" si="514"/>
        <v>24.9357325</v>
      </c>
      <c r="M2268" s="15">
        <f t="shared" si="515"/>
        <v>8</v>
      </c>
      <c r="N2268" s="15">
        <f t="shared" si="516"/>
        <v>5</v>
      </c>
      <c r="O2268" s="15">
        <f t="shared" si="517"/>
        <v>11.9357325</v>
      </c>
      <c r="P2268" s="15">
        <f t="shared" si="518"/>
        <v>0</v>
      </c>
      <c r="Q2268" s="14" t="str">
        <f>IF(M2268&gt;=I2268*'Hoja 4 - Cálculo'!$B$16,"Satisfactorio","Falla")</f>
        <v>Satisfactorio</v>
      </c>
      <c r="R2268" s="14">
        <f t="shared" si="522"/>
        <v>0</v>
      </c>
      <c r="S2268" s="14">
        <f t="shared" si="523"/>
        <v>0</v>
      </c>
    </row>
    <row r="2269" spans="1:19">
      <c r="A2269" s="14" t="str">
        <f t="shared" si="519"/>
        <v>CFG-1</v>
      </c>
      <c r="B2269" s="15">
        <f>'Curvas SRY'!$E$11</f>
        <v>5</v>
      </c>
      <c r="C2269" s="15">
        <f>1</f>
        <v>1</v>
      </c>
      <c r="D2269" s="14" t="str">
        <f t="shared" si="520"/>
        <v>Uso único</v>
      </c>
      <c r="E2269" s="14">
        <f>106</f>
        <v>106</v>
      </c>
      <c r="F2269" s="21">
        <f>'Hoja 4 - Cálculo'!A130</f>
        <v>32782</v>
      </c>
      <c r="G2269" s="15">
        <f>'Hoja 4 - Cálculo'!H130</f>
        <v>28.343250000000001</v>
      </c>
      <c r="H2269" s="15">
        <f>IF(D2269="Uso único",'Hoja 4 - Cálculo'!I130,IF(D2269="Uso múltiple",AVERAGE('Hoja 4 - Cálculo'!$I$25:$I$384)+AVERAGE('Hoja 4 - Cálculo'!$J$25:$J$384)+AVERAGE('Hoja 4 - Cálculo'!$K$25:$K$384),IF(D2269="Uso prioritario",'Hoja 4 - Cálculo'!I130+'Hoja 4 - Cálculo'!K130,'Hoja 4 - Cálculo'!I130+'Hoja 4 - Cálculo'!J130+'Hoja 4 - Cálculo'!K130)))</f>
        <v>8</v>
      </c>
      <c r="I2269" s="15">
        <f t="shared" si="510"/>
        <v>8</v>
      </c>
      <c r="J2269" s="15">
        <f t="shared" si="521"/>
        <v>5</v>
      </c>
      <c r="K2269" s="15">
        <f>MIN(J2269+G2269,(J2269+G2269)*'Hoja 4 - Cálculo'!$B$15)</f>
        <v>0.66686499999999993</v>
      </c>
      <c r="L2269" s="15">
        <f t="shared" si="514"/>
        <v>32.676384999999996</v>
      </c>
      <c r="M2269" s="15">
        <f t="shared" si="515"/>
        <v>8</v>
      </c>
      <c r="N2269" s="15">
        <f t="shared" si="516"/>
        <v>5</v>
      </c>
      <c r="O2269" s="15">
        <f t="shared" si="517"/>
        <v>19.676384999999996</v>
      </c>
      <c r="P2269" s="15">
        <f t="shared" si="518"/>
        <v>0</v>
      </c>
      <c r="Q2269" s="14" t="str">
        <f>IF(M2269&gt;=I2269*'Hoja 4 - Cálculo'!$B$16,"Satisfactorio","Falla")</f>
        <v>Satisfactorio</v>
      </c>
      <c r="R2269" s="14">
        <f t="shared" si="522"/>
        <v>0</v>
      </c>
      <c r="S2269" s="14">
        <f t="shared" si="523"/>
        <v>0</v>
      </c>
    </row>
    <row r="2270" spans="1:19">
      <c r="A2270" s="14" t="str">
        <f t="shared" si="519"/>
        <v>CFG-1</v>
      </c>
      <c r="B2270" s="15">
        <f>'Curvas SRY'!$E$11</f>
        <v>5</v>
      </c>
      <c r="C2270" s="15">
        <f>1</f>
        <v>1</v>
      </c>
      <c r="D2270" s="14" t="str">
        <f t="shared" si="520"/>
        <v>Uso único</v>
      </c>
      <c r="E2270" s="14">
        <f>107</f>
        <v>107</v>
      </c>
      <c r="F2270" s="21">
        <f>'Hoja 4 - Cálculo'!A131</f>
        <v>32813</v>
      </c>
      <c r="G2270" s="15">
        <f>'Hoja 4 - Cálculo'!H131</f>
        <v>22.60575</v>
      </c>
      <c r="H2270" s="15">
        <f>IF(D2270="Uso único",'Hoja 4 - Cálculo'!I131,IF(D2270="Uso múltiple",AVERAGE('Hoja 4 - Cálculo'!$I$25:$I$384)+AVERAGE('Hoja 4 - Cálculo'!$J$25:$J$384)+AVERAGE('Hoja 4 - Cálculo'!$K$25:$K$384),IF(D2270="Uso prioritario",'Hoja 4 - Cálculo'!I131+'Hoja 4 - Cálculo'!K131,'Hoja 4 - Cálculo'!I131+'Hoja 4 - Cálculo'!J131+'Hoja 4 - Cálculo'!K131)))</f>
        <v>8</v>
      </c>
      <c r="I2270" s="15">
        <f t="shared" si="510"/>
        <v>8</v>
      </c>
      <c r="J2270" s="15">
        <f t="shared" si="521"/>
        <v>5</v>
      </c>
      <c r="K2270" s="15">
        <f>MIN(J2270+G2270,(J2270+G2270)*'Hoja 4 - Cálculo'!$B$15)</f>
        <v>0.55211500000000002</v>
      </c>
      <c r="L2270" s="15">
        <f t="shared" si="514"/>
        <v>27.053635</v>
      </c>
      <c r="M2270" s="15">
        <f t="shared" si="515"/>
        <v>8</v>
      </c>
      <c r="N2270" s="15">
        <f t="shared" si="516"/>
        <v>5</v>
      </c>
      <c r="O2270" s="15">
        <f t="shared" si="517"/>
        <v>14.053635</v>
      </c>
      <c r="P2270" s="15">
        <f t="shared" si="518"/>
        <v>0</v>
      </c>
      <c r="Q2270" s="14" t="str">
        <f>IF(M2270&gt;=I2270*'Hoja 4 - Cálculo'!$B$16,"Satisfactorio","Falla")</f>
        <v>Satisfactorio</v>
      </c>
      <c r="R2270" s="14">
        <f t="shared" si="522"/>
        <v>0</v>
      </c>
      <c r="S2270" s="14">
        <f t="shared" si="523"/>
        <v>0</v>
      </c>
    </row>
    <row r="2271" spans="1:19">
      <c r="A2271" s="14" t="str">
        <f t="shared" si="519"/>
        <v>CFG-1</v>
      </c>
      <c r="B2271" s="15">
        <f>'Curvas SRY'!$E$11</f>
        <v>5</v>
      </c>
      <c r="C2271" s="15">
        <f>1</f>
        <v>1</v>
      </c>
      <c r="D2271" s="14" t="str">
        <f t="shared" si="520"/>
        <v>Uso único</v>
      </c>
      <c r="E2271" s="14">
        <f>108</f>
        <v>108</v>
      </c>
      <c r="F2271" s="21">
        <f>'Hoja 4 - Cálculo'!A132</f>
        <v>32843</v>
      </c>
      <c r="G2271" s="15">
        <f>'Hoja 4 - Cálculo'!H132</f>
        <v>14.362875000000001</v>
      </c>
      <c r="H2271" s="15">
        <f>IF(D2271="Uso único",'Hoja 4 - Cálculo'!I132,IF(D2271="Uso múltiple",AVERAGE('Hoja 4 - Cálculo'!$I$25:$I$384)+AVERAGE('Hoja 4 - Cálculo'!$J$25:$J$384)+AVERAGE('Hoja 4 - Cálculo'!$K$25:$K$384),IF(D2271="Uso prioritario",'Hoja 4 - Cálculo'!I132+'Hoja 4 - Cálculo'!K132,'Hoja 4 - Cálculo'!I132+'Hoja 4 - Cálculo'!J132+'Hoja 4 - Cálculo'!K132)))</f>
        <v>8</v>
      </c>
      <c r="I2271" s="15">
        <f t="shared" si="510"/>
        <v>8</v>
      </c>
      <c r="J2271" s="15">
        <f t="shared" si="521"/>
        <v>5</v>
      </c>
      <c r="K2271" s="15">
        <f>MIN(J2271+G2271,(J2271+G2271)*'Hoja 4 - Cálculo'!$B$15)</f>
        <v>0.38725750000000003</v>
      </c>
      <c r="L2271" s="15">
        <f t="shared" si="514"/>
        <v>18.975617500000002</v>
      </c>
      <c r="M2271" s="15">
        <f t="shared" si="515"/>
        <v>8</v>
      </c>
      <c r="N2271" s="15">
        <f t="shared" si="516"/>
        <v>5</v>
      </c>
      <c r="O2271" s="15">
        <f t="shared" si="517"/>
        <v>5.975617500000002</v>
      </c>
      <c r="P2271" s="15">
        <f t="shared" si="518"/>
        <v>0</v>
      </c>
      <c r="Q2271" s="14" t="str">
        <f>IF(M2271&gt;=I2271*'Hoja 4 - Cálculo'!$B$16,"Satisfactorio","Falla")</f>
        <v>Satisfactorio</v>
      </c>
      <c r="R2271" s="14">
        <f t="shared" si="522"/>
        <v>0</v>
      </c>
      <c r="S2271" s="14">
        <f t="shared" si="523"/>
        <v>0</v>
      </c>
    </row>
    <row r="2272" spans="1:19">
      <c r="A2272" s="14" t="str">
        <f t="shared" si="519"/>
        <v>CFG-1</v>
      </c>
      <c r="B2272" s="15">
        <f>'Curvas SRY'!$E$11</f>
        <v>5</v>
      </c>
      <c r="C2272" s="15">
        <f>1</f>
        <v>1</v>
      </c>
      <c r="D2272" s="14" t="str">
        <f t="shared" si="520"/>
        <v>Uso único</v>
      </c>
      <c r="E2272" s="14">
        <f>109</f>
        <v>109</v>
      </c>
      <c r="F2272" s="21">
        <f>'Hoja 4 - Cálculo'!A133</f>
        <v>32874</v>
      </c>
      <c r="G2272" s="15">
        <f>'Hoja 4 - Cálculo'!H133</f>
        <v>11.723625</v>
      </c>
      <c r="H2272" s="15">
        <f>IF(D2272="Uso único",'Hoja 4 - Cálculo'!I133,IF(D2272="Uso múltiple",AVERAGE('Hoja 4 - Cálculo'!$I$25:$I$384)+AVERAGE('Hoja 4 - Cálculo'!$J$25:$J$384)+AVERAGE('Hoja 4 - Cálculo'!$K$25:$K$384),IF(D2272="Uso prioritario",'Hoja 4 - Cálculo'!I133+'Hoja 4 - Cálculo'!K133,'Hoja 4 - Cálculo'!I133+'Hoja 4 - Cálculo'!J133+'Hoja 4 - Cálculo'!K133)))</f>
        <v>8</v>
      </c>
      <c r="I2272" s="15">
        <f t="shared" si="510"/>
        <v>8</v>
      </c>
      <c r="J2272" s="15">
        <f t="shared" si="521"/>
        <v>5</v>
      </c>
      <c r="K2272" s="15">
        <f>MIN(J2272+G2272,(J2272+G2272)*'Hoja 4 - Cálculo'!$B$15)</f>
        <v>0.33447249999999995</v>
      </c>
      <c r="L2272" s="15">
        <f t="shared" si="514"/>
        <v>16.389152499999998</v>
      </c>
      <c r="M2272" s="15">
        <f t="shared" si="515"/>
        <v>8</v>
      </c>
      <c r="N2272" s="15">
        <f t="shared" si="516"/>
        <v>5</v>
      </c>
      <c r="O2272" s="15">
        <f t="shared" si="517"/>
        <v>3.389152499999998</v>
      </c>
      <c r="P2272" s="15">
        <f t="shared" si="518"/>
        <v>0</v>
      </c>
      <c r="Q2272" s="14" t="str">
        <f>IF(M2272&gt;=I2272*'Hoja 4 - Cálculo'!$B$16,"Satisfactorio","Falla")</f>
        <v>Satisfactorio</v>
      </c>
      <c r="R2272" s="14">
        <f t="shared" si="522"/>
        <v>0</v>
      </c>
      <c r="S2272" s="14">
        <f t="shared" si="523"/>
        <v>0</v>
      </c>
    </row>
    <row r="2273" spans="1:19">
      <c r="A2273" s="14" t="str">
        <f t="shared" si="519"/>
        <v>CFG-1</v>
      </c>
      <c r="B2273" s="15">
        <f>'Curvas SRY'!$E$11</f>
        <v>5</v>
      </c>
      <c r="C2273" s="15">
        <f>1</f>
        <v>1</v>
      </c>
      <c r="D2273" s="14" t="str">
        <f t="shared" si="520"/>
        <v>Uso único</v>
      </c>
      <c r="E2273" s="14">
        <f>110</f>
        <v>110</v>
      </c>
      <c r="F2273" s="21">
        <f>'Hoja 4 - Cálculo'!A134</f>
        <v>32905</v>
      </c>
      <c r="G2273" s="15">
        <f>'Hoja 4 - Cálculo'!H134</f>
        <v>13.311</v>
      </c>
      <c r="H2273" s="15">
        <f>IF(D2273="Uso único",'Hoja 4 - Cálculo'!I134,IF(D2273="Uso múltiple",AVERAGE('Hoja 4 - Cálculo'!$I$25:$I$384)+AVERAGE('Hoja 4 - Cálculo'!$J$25:$J$384)+AVERAGE('Hoja 4 - Cálculo'!$K$25:$K$384),IF(D2273="Uso prioritario",'Hoja 4 - Cálculo'!I134+'Hoja 4 - Cálculo'!K134,'Hoja 4 - Cálculo'!I134+'Hoja 4 - Cálculo'!J134+'Hoja 4 - Cálculo'!K134)))</f>
        <v>8</v>
      </c>
      <c r="I2273" s="15">
        <f t="shared" si="510"/>
        <v>8</v>
      </c>
      <c r="J2273" s="15">
        <f t="shared" si="521"/>
        <v>5</v>
      </c>
      <c r="K2273" s="15">
        <f>MIN(J2273+G2273,(J2273+G2273)*'Hoja 4 - Cálculo'!$B$15)</f>
        <v>0.36621999999999999</v>
      </c>
      <c r="L2273" s="15">
        <f t="shared" si="514"/>
        <v>17.944780000000002</v>
      </c>
      <c r="M2273" s="15">
        <f t="shared" si="515"/>
        <v>8</v>
      </c>
      <c r="N2273" s="15">
        <f t="shared" si="516"/>
        <v>5</v>
      </c>
      <c r="O2273" s="15">
        <f t="shared" si="517"/>
        <v>4.9447800000000015</v>
      </c>
      <c r="P2273" s="15">
        <f t="shared" si="518"/>
        <v>0</v>
      </c>
      <c r="Q2273" s="14" t="str">
        <f>IF(M2273&gt;=I2273*'Hoja 4 - Cálculo'!$B$16,"Satisfactorio","Falla")</f>
        <v>Satisfactorio</v>
      </c>
      <c r="R2273" s="14">
        <f t="shared" si="522"/>
        <v>0</v>
      </c>
      <c r="S2273" s="14">
        <f t="shared" si="523"/>
        <v>0</v>
      </c>
    </row>
    <row r="2274" spans="1:19">
      <c r="A2274" s="14" t="str">
        <f t="shared" si="519"/>
        <v>CFG-1</v>
      </c>
      <c r="B2274" s="15">
        <f>'Curvas SRY'!$E$11</f>
        <v>5</v>
      </c>
      <c r="C2274" s="15">
        <f>1</f>
        <v>1</v>
      </c>
      <c r="D2274" s="14" t="str">
        <f t="shared" si="520"/>
        <v>Uso único</v>
      </c>
      <c r="E2274" s="14">
        <f>111</f>
        <v>111</v>
      </c>
      <c r="F2274" s="21">
        <f>'Hoja 4 - Cálculo'!A135</f>
        <v>32933</v>
      </c>
      <c r="G2274" s="15">
        <f>'Hoja 4 - Cálculo'!H135</f>
        <v>18.838125000000002</v>
      </c>
      <c r="H2274" s="15">
        <f>IF(D2274="Uso único",'Hoja 4 - Cálculo'!I135,IF(D2274="Uso múltiple",AVERAGE('Hoja 4 - Cálculo'!$I$25:$I$384)+AVERAGE('Hoja 4 - Cálculo'!$J$25:$J$384)+AVERAGE('Hoja 4 - Cálculo'!$K$25:$K$384),IF(D2274="Uso prioritario",'Hoja 4 - Cálculo'!I135+'Hoja 4 - Cálculo'!K135,'Hoja 4 - Cálculo'!I135+'Hoja 4 - Cálculo'!J135+'Hoja 4 - Cálculo'!K135)))</f>
        <v>8</v>
      </c>
      <c r="I2274" s="15">
        <f t="shared" si="510"/>
        <v>8</v>
      </c>
      <c r="J2274" s="15">
        <f t="shared" si="521"/>
        <v>5</v>
      </c>
      <c r="K2274" s="15">
        <f>MIN(J2274+G2274,(J2274+G2274)*'Hoja 4 - Cálculo'!$B$15)</f>
        <v>0.47676250000000003</v>
      </c>
      <c r="L2274" s="15">
        <f t="shared" si="514"/>
        <v>23.361362500000002</v>
      </c>
      <c r="M2274" s="15">
        <f t="shared" si="515"/>
        <v>8</v>
      </c>
      <c r="N2274" s="15">
        <f t="shared" si="516"/>
        <v>5</v>
      </c>
      <c r="O2274" s="15">
        <f t="shared" si="517"/>
        <v>10.361362500000002</v>
      </c>
      <c r="P2274" s="15">
        <f t="shared" si="518"/>
        <v>0</v>
      </c>
      <c r="Q2274" s="14" t="str">
        <f>IF(M2274&gt;=I2274*'Hoja 4 - Cálculo'!$B$16,"Satisfactorio","Falla")</f>
        <v>Satisfactorio</v>
      </c>
      <c r="R2274" s="14">
        <f t="shared" si="522"/>
        <v>0</v>
      </c>
      <c r="S2274" s="14">
        <f t="shared" si="523"/>
        <v>0</v>
      </c>
    </row>
    <row r="2275" spans="1:19">
      <c r="A2275" s="14" t="str">
        <f t="shared" si="519"/>
        <v>CFG-1</v>
      </c>
      <c r="B2275" s="15">
        <f>'Curvas SRY'!$E$11</f>
        <v>5</v>
      </c>
      <c r="C2275" s="15">
        <f>1</f>
        <v>1</v>
      </c>
      <c r="D2275" s="14" t="str">
        <f t="shared" si="520"/>
        <v>Uso único</v>
      </c>
      <c r="E2275" s="14">
        <f>112</f>
        <v>112</v>
      </c>
      <c r="F2275" s="21">
        <f>'Hoja 4 - Cálculo'!A136</f>
        <v>32964</v>
      </c>
      <c r="G2275" s="15">
        <f>'Hoja 4 - Cálculo'!H136</f>
        <v>28.611000000000001</v>
      </c>
      <c r="H2275" s="15">
        <f>IF(D2275="Uso único",'Hoja 4 - Cálculo'!I136,IF(D2275="Uso múltiple",AVERAGE('Hoja 4 - Cálculo'!$I$25:$I$384)+AVERAGE('Hoja 4 - Cálculo'!$J$25:$J$384)+AVERAGE('Hoja 4 - Cálculo'!$K$25:$K$384),IF(D2275="Uso prioritario",'Hoja 4 - Cálculo'!I136+'Hoja 4 - Cálculo'!K136,'Hoja 4 - Cálculo'!I136+'Hoja 4 - Cálculo'!J136+'Hoja 4 - Cálculo'!K136)))</f>
        <v>8</v>
      </c>
      <c r="I2275" s="15">
        <f t="shared" si="510"/>
        <v>8</v>
      </c>
      <c r="J2275" s="15">
        <f t="shared" si="521"/>
        <v>5</v>
      </c>
      <c r="K2275" s="15">
        <f>MIN(J2275+G2275,(J2275+G2275)*'Hoja 4 - Cálculo'!$B$15)</f>
        <v>0.67222000000000015</v>
      </c>
      <c r="L2275" s="15">
        <f t="shared" si="514"/>
        <v>32.938780000000001</v>
      </c>
      <c r="M2275" s="15">
        <f t="shared" si="515"/>
        <v>8</v>
      </c>
      <c r="N2275" s="15">
        <f t="shared" si="516"/>
        <v>5</v>
      </c>
      <c r="O2275" s="15">
        <f t="shared" si="517"/>
        <v>19.938780000000001</v>
      </c>
      <c r="P2275" s="15">
        <f t="shared" si="518"/>
        <v>0</v>
      </c>
      <c r="Q2275" s="14" t="str">
        <f>IF(M2275&gt;=I2275*'Hoja 4 - Cálculo'!$B$16,"Satisfactorio","Falla")</f>
        <v>Satisfactorio</v>
      </c>
      <c r="R2275" s="14">
        <f t="shared" si="522"/>
        <v>0</v>
      </c>
      <c r="S2275" s="14">
        <f t="shared" si="523"/>
        <v>0</v>
      </c>
    </row>
    <row r="2276" spans="1:19">
      <c r="A2276" s="14" t="str">
        <f t="shared" si="519"/>
        <v>CFG-1</v>
      </c>
      <c r="B2276" s="15">
        <f>'Curvas SRY'!$E$11</f>
        <v>5</v>
      </c>
      <c r="C2276" s="15">
        <f>1</f>
        <v>1</v>
      </c>
      <c r="D2276" s="14" t="str">
        <f t="shared" si="520"/>
        <v>Uso único</v>
      </c>
      <c r="E2276" s="14">
        <f>113</f>
        <v>113</v>
      </c>
      <c r="F2276" s="21">
        <f>'Hoja 4 - Cálculo'!A137</f>
        <v>32994</v>
      </c>
      <c r="G2276" s="15">
        <f>'Hoja 4 - Cálculo'!H137</f>
        <v>23.52375</v>
      </c>
      <c r="H2276" s="15">
        <f>IF(D2276="Uso único",'Hoja 4 - Cálculo'!I137,IF(D2276="Uso múltiple",AVERAGE('Hoja 4 - Cálculo'!$I$25:$I$384)+AVERAGE('Hoja 4 - Cálculo'!$J$25:$J$384)+AVERAGE('Hoja 4 - Cálculo'!$K$25:$K$384),IF(D2276="Uso prioritario",'Hoja 4 - Cálculo'!I137+'Hoja 4 - Cálculo'!K137,'Hoja 4 - Cálculo'!I137+'Hoja 4 - Cálculo'!J137+'Hoja 4 - Cálculo'!K137)))</f>
        <v>8</v>
      </c>
      <c r="I2276" s="15">
        <f t="shared" si="510"/>
        <v>8</v>
      </c>
      <c r="J2276" s="15">
        <f t="shared" si="521"/>
        <v>5</v>
      </c>
      <c r="K2276" s="15">
        <f>MIN(J2276+G2276,(J2276+G2276)*'Hoja 4 - Cálculo'!$B$15)</f>
        <v>0.57047499999999995</v>
      </c>
      <c r="L2276" s="15">
        <f t="shared" si="514"/>
        <v>27.953275000000001</v>
      </c>
      <c r="M2276" s="15">
        <f t="shared" si="515"/>
        <v>8</v>
      </c>
      <c r="N2276" s="15">
        <f t="shared" si="516"/>
        <v>5</v>
      </c>
      <c r="O2276" s="15">
        <f t="shared" si="517"/>
        <v>14.953275000000001</v>
      </c>
      <c r="P2276" s="15">
        <f t="shared" si="518"/>
        <v>0</v>
      </c>
      <c r="Q2276" s="14" t="str">
        <f>IF(M2276&gt;=I2276*'Hoja 4 - Cálculo'!$B$16,"Satisfactorio","Falla")</f>
        <v>Satisfactorio</v>
      </c>
      <c r="R2276" s="14">
        <f t="shared" si="522"/>
        <v>0</v>
      </c>
      <c r="S2276" s="14">
        <f t="shared" si="523"/>
        <v>0</v>
      </c>
    </row>
    <row r="2277" spans="1:19">
      <c r="A2277" s="14" t="str">
        <f t="shared" si="519"/>
        <v>CFG-1</v>
      </c>
      <c r="B2277" s="15">
        <f>'Curvas SRY'!$E$11</f>
        <v>5</v>
      </c>
      <c r="C2277" s="15">
        <f>1</f>
        <v>1</v>
      </c>
      <c r="D2277" s="14" t="str">
        <f t="shared" si="520"/>
        <v>Uso único</v>
      </c>
      <c r="E2277" s="14">
        <f>114</f>
        <v>114</v>
      </c>
      <c r="F2277" s="21">
        <f>'Hoja 4 - Cálculo'!A138</f>
        <v>33025</v>
      </c>
      <c r="G2277" s="15">
        <f>'Hoja 4 - Cálculo'!H138</f>
        <v>15.529500000000001</v>
      </c>
      <c r="H2277" s="15">
        <f>IF(D2277="Uso único",'Hoja 4 - Cálculo'!I138,IF(D2277="Uso múltiple",AVERAGE('Hoja 4 - Cálculo'!$I$25:$I$384)+AVERAGE('Hoja 4 - Cálculo'!$J$25:$J$384)+AVERAGE('Hoja 4 - Cálculo'!$K$25:$K$384),IF(D2277="Uso prioritario",'Hoja 4 - Cálculo'!I138+'Hoja 4 - Cálculo'!K138,'Hoja 4 - Cálculo'!I138+'Hoja 4 - Cálculo'!J138+'Hoja 4 - Cálculo'!K138)))</f>
        <v>8</v>
      </c>
      <c r="I2277" s="15">
        <f t="shared" si="510"/>
        <v>8</v>
      </c>
      <c r="J2277" s="15">
        <f t="shared" si="521"/>
        <v>5</v>
      </c>
      <c r="K2277" s="15">
        <f>MIN(J2277+G2277,(J2277+G2277)*'Hoja 4 - Cálculo'!$B$15)</f>
        <v>0.41059000000000001</v>
      </c>
      <c r="L2277" s="15">
        <f t="shared" si="514"/>
        <v>20.11891</v>
      </c>
      <c r="M2277" s="15">
        <f t="shared" si="515"/>
        <v>8</v>
      </c>
      <c r="N2277" s="15">
        <f t="shared" si="516"/>
        <v>5</v>
      </c>
      <c r="O2277" s="15">
        <f t="shared" si="517"/>
        <v>7.1189099999999996</v>
      </c>
      <c r="P2277" s="15">
        <f t="shared" si="518"/>
        <v>0</v>
      </c>
      <c r="Q2277" s="14" t="str">
        <f>IF(M2277&gt;=I2277*'Hoja 4 - Cálculo'!$B$16,"Satisfactorio","Falla")</f>
        <v>Satisfactorio</v>
      </c>
      <c r="R2277" s="14">
        <f t="shared" si="522"/>
        <v>0</v>
      </c>
      <c r="S2277" s="14">
        <f t="shared" si="523"/>
        <v>0</v>
      </c>
    </row>
    <row r="2278" spans="1:19">
      <c r="A2278" s="14" t="str">
        <f t="shared" si="519"/>
        <v>CFG-1</v>
      </c>
      <c r="B2278" s="15">
        <f>'Curvas SRY'!$E$11</f>
        <v>5</v>
      </c>
      <c r="C2278" s="15">
        <f>1</f>
        <v>1</v>
      </c>
      <c r="D2278" s="14" t="str">
        <f t="shared" si="520"/>
        <v>Uso único</v>
      </c>
      <c r="E2278" s="14">
        <f>115</f>
        <v>115</v>
      </c>
      <c r="F2278" s="21">
        <f>'Hoja 4 - Cálculo'!A139</f>
        <v>33055</v>
      </c>
      <c r="G2278" s="15">
        <f>'Hoja 4 - Cálculo'!H139</f>
        <v>12.201750000000001</v>
      </c>
      <c r="H2278" s="15">
        <f>IF(D2278="Uso único",'Hoja 4 - Cálculo'!I139,IF(D2278="Uso múltiple",AVERAGE('Hoja 4 - Cálculo'!$I$25:$I$384)+AVERAGE('Hoja 4 - Cálculo'!$J$25:$J$384)+AVERAGE('Hoja 4 - Cálculo'!$K$25:$K$384),IF(D2278="Uso prioritario",'Hoja 4 - Cálculo'!I139+'Hoja 4 - Cálculo'!K139,'Hoja 4 - Cálculo'!I139+'Hoja 4 - Cálculo'!J139+'Hoja 4 - Cálculo'!K139)))</f>
        <v>8</v>
      </c>
      <c r="I2278" s="15">
        <f t="shared" si="510"/>
        <v>8</v>
      </c>
      <c r="J2278" s="15">
        <f t="shared" si="521"/>
        <v>5</v>
      </c>
      <c r="K2278" s="15">
        <f>MIN(J2278+G2278,(J2278+G2278)*'Hoja 4 - Cálculo'!$B$15)</f>
        <v>0.34403500000000004</v>
      </c>
      <c r="L2278" s="15">
        <f t="shared" si="514"/>
        <v>16.857714999999999</v>
      </c>
      <c r="M2278" s="15">
        <f t="shared" si="515"/>
        <v>8</v>
      </c>
      <c r="N2278" s="15">
        <f t="shared" si="516"/>
        <v>5</v>
      </c>
      <c r="O2278" s="15">
        <f t="shared" si="517"/>
        <v>3.8577149999999989</v>
      </c>
      <c r="P2278" s="15">
        <f t="shared" si="518"/>
        <v>0</v>
      </c>
      <c r="Q2278" s="14" t="str">
        <f>IF(M2278&gt;=I2278*'Hoja 4 - Cálculo'!$B$16,"Satisfactorio","Falla")</f>
        <v>Satisfactorio</v>
      </c>
      <c r="R2278" s="14">
        <f t="shared" si="522"/>
        <v>0</v>
      </c>
      <c r="S2278" s="14">
        <f t="shared" si="523"/>
        <v>0</v>
      </c>
    </row>
    <row r="2279" spans="1:19">
      <c r="A2279" s="14" t="str">
        <f t="shared" si="519"/>
        <v>CFG-1</v>
      </c>
      <c r="B2279" s="15">
        <f>'Curvas SRY'!$E$11</f>
        <v>5</v>
      </c>
      <c r="C2279" s="15">
        <f>1</f>
        <v>1</v>
      </c>
      <c r="D2279" s="14" t="str">
        <f t="shared" si="520"/>
        <v>Uso único</v>
      </c>
      <c r="E2279" s="14">
        <f>116</f>
        <v>116</v>
      </c>
      <c r="F2279" s="21">
        <f>'Hoja 4 - Cálculo'!A140</f>
        <v>33086</v>
      </c>
      <c r="G2279" s="15">
        <f>'Hoja 4 - Cálculo'!H140</f>
        <v>13.04325</v>
      </c>
      <c r="H2279" s="15">
        <f>IF(D2279="Uso único",'Hoja 4 - Cálculo'!I140,IF(D2279="Uso múltiple",AVERAGE('Hoja 4 - Cálculo'!$I$25:$I$384)+AVERAGE('Hoja 4 - Cálculo'!$J$25:$J$384)+AVERAGE('Hoja 4 - Cálculo'!$K$25:$K$384),IF(D2279="Uso prioritario",'Hoja 4 - Cálculo'!I140+'Hoja 4 - Cálculo'!K140,'Hoja 4 - Cálculo'!I140+'Hoja 4 - Cálculo'!J140+'Hoja 4 - Cálculo'!K140)))</f>
        <v>8</v>
      </c>
      <c r="I2279" s="15">
        <f t="shared" si="510"/>
        <v>8</v>
      </c>
      <c r="J2279" s="15">
        <f t="shared" si="521"/>
        <v>5</v>
      </c>
      <c r="K2279" s="15">
        <f>MIN(J2279+G2279,(J2279+G2279)*'Hoja 4 - Cálculo'!$B$15)</f>
        <v>0.36086499999999999</v>
      </c>
      <c r="L2279" s="15">
        <f t="shared" si="514"/>
        <v>17.682385</v>
      </c>
      <c r="M2279" s="15">
        <f t="shared" si="515"/>
        <v>8</v>
      </c>
      <c r="N2279" s="15">
        <f t="shared" si="516"/>
        <v>5</v>
      </c>
      <c r="O2279" s="15">
        <f t="shared" si="517"/>
        <v>4.682385</v>
      </c>
      <c r="P2279" s="15">
        <f t="shared" si="518"/>
        <v>0</v>
      </c>
      <c r="Q2279" s="14" t="str">
        <f>IF(M2279&gt;=I2279*'Hoja 4 - Cálculo'!$B$16,"Satisfactorio","Falla")</f>
        <v>Satisfactorio</v>
      </c>
      <c r="R2279" s="14">
        <f t="shared" si="522"/>
        <v>0</v>
      </c>
      <c r="S2279" s="14">
        <f t="shared" si="523"/>
        <v>0</v>
      </c>
    </row>
    <row r="2280" spans="1:19">
      <c r="A2280" s="14" t="str">
        <f t="shared" si="519"/>
        <v>CFG-1</v>
      </c>
      <c r="B2280" s="15">
        <f>'Curvas SRY'!$E$11</f>
        <v>5</v>
      </c>
      <c r="C2280" s="15">
        <f>1</f>
        <v>1</v>
      </c>
      <c r="D2280" s="14" t="str">
        <f t="shared" si="520"/>
        <v>Uso único</v>
      </c>
      <c r="E2280" s="14">
        <f>117</f>
        <v>117</v>
      </c>
      <c r="F2280" s="21">
        <f>'Hoja 4 - Cálculo'!A141</f>
        <v>33117</v>
      </c>
      <c r="G2280" s="15">
        <f>'Hoja 4 - Cálculo'!H141</f>
        <v>21.974625</v>
      </c>
      <c r="H2280" s="15">
        <f>IF(D2280="Uso único",'Hoja 4 - Cálculo'!I141,IF(D2280="Uso múltiple",AVERAGE('Hoja 4 - Cálculo'!$I$25:$I$384)+AVERAGE('Hoja 4 - Cálculo'!$J$25:$J$384)+AVERAGE('Hoja 4 - Cálculo'!$K$25:$K$384),IF(D2280="Uso prioritario",'Hoja 4 - Cálculo'!I141+'Hoja 4 - Cálculo'!K141,'Hoja 4 - Cálculo'!I141+'Hoja 4 - Cálculo'!J141+'Hoja 4 - Cálculo'!K141)))</f>
        <v>8</v>
      </c>
      <c r="I2280" s="15">
        <f t="shared" si="510"/>
        <v>8</v>
      </c>
      <c r="J2280" s="15">
        <f t="shared" si="521"/>
        <v>5</v>
      </c>
      <c r="K2280" s="15">
        <f>MIN(J2280+G2280,(J2280+G2280)*'Hoja 4 - Cálculo'!$B$15)</f>
        <v>0.53949250000000004</v>
      </c>
      <c r="L2280" s="15">
        <f t="shared" si="514"/>
        <v>26.435132499999998</v>
      </c>
      <c r="M2280" s="15">
        <f t="shared" si="515"/>
        <v>8</v>
      </c>
      <c r="N2280" s="15">
        <f t="shared" si="516"/>
        <v>5</v>
      </c>
      <c r="O2280" s="15">
        <f t="shared" si="517"/>
        <v>13.435132499999998</v>
      </c>
      <c r="P2280" s="15">
        <f t="shared" si="518"/>
        <v>0</v>
      </c>
      <c r="Q2280" s="14" t="str">
        <f>IF(M2280&gt;=I2280*'Hoja 4 - Cálculo'!$B$16,"Satisfactorio","Falla")</f>
        <v>Satisfactorio</v>
      </c>
      <c r="R2280" s="14">
        <f t="shared" si="522"/>
        <v>0</v>
      </c>
      <c r="S2280" s="14">
        <f t="shared" si="523"/>
        <v>0</v>
      </c>
    </row>
    <row r="2281" spans="1:19">
      <c r="A2281" s="14" t="str">
        <f t="shared" si="519"/>
        <v>CFG-1</v>
      </c>
      <c r="B2281" s="15">
        <f>'Curvas SRY'!$E$11</f>
        <v>5</v>
      </c>
      <c r="C2281" s="15">
        <f>1</f>
        <v>1</v>
      </c>
      <c r="D2281" s="14" t="str">
        <f t="shared" si="520"/>
        <v>Uso único</v>
      </c>
      <c r="E2281" s="14">
        <f>118</f>
        <v>118</v>
      </c>
      <c r="F2281" s="21">
        <f>'Hoja 4 - Cálculo'!A142</f>
        <v>33147</v>
      </c>
      <c r="G2281" s="15">
        <f>'Hoja 4 - Cálculo'!H142</f>
        <v>26.870625</v>
      </c>
      <c r="H2281" s="15">
        <f>IF(D2281="Uso único",'Hoja 4 - Cálculo'!I142,IF(D2281="Uso múltiple",AVERAGE('Hoja 4 - Cálculo'!$I$25:$I$384)+AVERAGE('Hoja 4 - Cálculo'!$J$25:$J$384)+AVERAGE('Hoja 4 - Cálculo'!$K$25:$K$384),IF(D2281="Uso prioritario",'Hoja 4 - Cálculo'!I142+'Hoja 4 - Cálculo'!K142,'Hoja 4 - Cálculo'!I142+'Hoja 4 - Cálculo'!J142+'Hoja 4 - Cálculo'!K142)))</f>
        <v>8</v>
      </c>
      <c r="I2281" s="15">
        <f t="shared" si="510"/>
        <v>8</v>
      </c>
      <c r="J2281" s="15">
        <f t="shared" si="521"/>
        <v>5</v>
      </c>
      <c r="K2281" s="15">
        <f>MIN(J2281+G2281,(J2281+G2281)*'Hoja 4 - Cálculo'!$B$15)</f>
        <v>0.63741250000000005</v>
      </c>
      <c r="L2281" s="15">
        <f t="shared" si="514"/>
        <v>31.2332125</v>
      </c>
      <c r="M2281" s="15">
        <f t="shared" si="515"/>
        <v>8</v>
      </c>
      <c r="N2281" s="15">
        <f t="shared" si="516"/>
        <v>5</v>
      </c>
      <c r="O2281" s="15">
        <f t="shared" si="517"/>
        <v>18.2332125</v>
      </c>
      <c r="P2281" s="15">
        <f t="shared" si="518"/>
        <v>0</v>
      </c>
      <c r="Q2281" s="14" t="str">
        <f>IF(M2281&gt;=I2281*'Hoja 4 - Cálculo'!$B$16,"Satisfactorio","Falla")</f>
        <v>Satisfactorio</v>
      </c>
      <c r="R2281" s="14">
        <f t="shared" si="522"/>
        <v>0</v>
      </c>
      <c r="S2281" s="14">
        <f t="shared" si="523"/>
        <v>0</v>
      </c>
    </row>
    <row r="2282" spans="1:19">
      <c r="A2282" s="14" t="str">
        <f t="shared" si="519"/>
        <v>CFG-1</v>
      </c>
      <c r="B2282" s="15">
        <f>'Curvas SRY'!$E$11</f>
        <v>5</v>
      </c>
      <c r="C2282" s="15">
        <f>1</f>
        <v>1</v>
      </c>
      <c r="D2282" s="14" t="str">
        <f t="shared" si="520"/>
        <v>Uso único</v>
      </c>
      <c r="E2282" s="14">
        <f>119</f>
        <v>119</v>
      </c>
      <c r="F2282" s="21">
        <f>'Hoja 4 - Cálculo'!A143</f>
        <v>33178</v>
      </c>
      <c r="G2282" s="15">
        <f>'Hoja 4 - Cálculo'!H143</f>
        <v>24.881625</v>
      </c>
      <c r="H2282" s="15">
        <f>IF(D2282="Uso único",'Hoja 4 - Cálculo'!I143,IF(D2282="Uso múltiple",AVERAGE('Hoja 4 - Cálculo'!$I$25:$I$384)+AVERAGE('Hoja 4 - Cálculo'!$J$25:$J$384)+AVERAGE('Hoja 4 - Cálculo'!$K$25:$K$384),IF(D2282="Uso prioritario",'Hoja 4 - Cálculo'!I143+'Hoja 4 - Cálculo'!K143,'Hoja 4 - Cálculo'!I143+'Hoja 4 - Cálculo'!J143+'Hoja 4 - Cálculo'!K143)))</f>
        <v>8</v>
      </c>
      <c r="I2282" s="15">
        <f t="shared" si="510"/>
        <v>8</v>
      </c>
      <c r="J2282" s="15">
        <f t="shared" si="521"/>
        <v>5</v>
      </c>
      <c r="K2282" s="15">
        <f>MIN(J2282+G2282,(J2282+G2282)*'Hoja 4 - Cálculo'!$B$15)</f>
        <v>0.59763250000000001</v>
      </c>
      <c r="L2282" s="15">
        <f t="shared" si="514"/>
        <v>29.2839925</v>
      </c>
      <c r="M2282" s="15">
        <f t="shared" si="515"/>
        <v>8</v>
      </c>
      <c r="N2282" s="15">
        <f t="shared" si="516"/>
        <v>5</v>
      </c>
      <c r="O2282" s="15">
        <f t="shared" si="517"/>
        <v>16.2839925</v>
      </c>
      <c r="P2282" s="15">
        <f t="shared" si="518"/>
        <v>0</v>
      </c>
      <c r="Q2282" s="14" t="str">
        <f>IF(M2282&gt;=I2282*'Hoja 4 - Cálculo'!$B$16,"Satisfactorio","Falla")</f>
        <v>Satisfactorio</v>
      </c>
      <c r="R2282" s="14">
        <f t="shared" si="522"/>
        <v>0</v>
      </c>
      <c r="S2282" s="14">
        <f t="shared" si="523"/>
        <v>0</v>
      </c>
    </row>
    <row r="2283" spans="1:19">
      <c r="A2283" s="14" t="str">
        <f t="shared" si="519"/>
        <v>CFG-1</v>
      </c>
      <c r="B2283" s="15">
        <f>'Curvas SRY'!$E$11</f>
        <v>5</v>
      </c>
      <c r="C2283" s="15">
        <f>1</f>
        <v>1</v>
      </c>
      <c r="D2283" s="14" t="str">
        <f t="shared" si="520"/>
        <v>Uso único</v>
      </c>
      <c r="E2283" s="14">
        <f>120</f>
        <v>120</v>
      </c>
      <c r="F2283" s="21">
        <f>'Hoja 4 - Cálculo'!A144</f>
        <v>33208</v>
      </c>
      <c r="G2283" s="15">
        <f>'Hoja 4 - Cálculo'!H144</f>
        <v>13.73175</v>
      </c>
      <c r="H2283" s="15">
        <f>IF(D2283="Uso único",'Hoja 4 - Cálculo'!I144,IF(D2283="Uso múltiple",AVERAGE('Hoja 4 - Cálculo'!$I$25:$I$384)+AVERAGE('Hoja 4 - Cálculo'!$J$25:$J$384)+AVERAGE('Hoja 4 - Cálculo'!$K$25:$K$384),IF(D2283="Uso prioritario",'Hoja 4 - Cálculo'!I144+'Hoja 4 - Cálculo'!K144,'Hoja 4 - Cálculo'!I144+'Hoja 4 - Cálculo'!J144+'Hoja 4 - Cálculo'!K144)))</f>
        <v>8</v>
      </c>
      <c r="I2283" s="15">
        <f t="shared" si="510"/>
        <v>8</v>
      </c>
      <c r="J2283" s="15">
        <f t="shared" si="521"/>
        <v>5</v>
      </c>
      <c r="K2283" s="15">
        <f>MIN(J2283+G2283,(J2283+G2283)*'Hoja 4 - Cálculo'!$B$15)</f>
        <v>0.374635</v>
      </c>
      <c r="L2283" s="15">
        <f t="shared" si="514"/>
        <v>18.357114999999997</v>
      </c>
      <c r="M2283" s="15">
        <f t="shared" si="515"/>
        <v>8</v>
      </c>
      <c r="N2283" s="15">
        <f t="shared" si="516"/>
        <v>5</v>
      </c>
      <c r="O2283" s="15">
        <f t="shared" si="517"/>
        <v>5.3571149999999967</v>
      </c>
      <c r="P2283" s="15">
        <f t="shared" si="518"/>
        <v>0</v>
      </c>
      <c r="Q2283" s="14" t="str">
        <f>IF(M2283&gt;=I2283*'Hoja 4 - Cálculo'!$B$16,"Satisfactorio","Falla")</f>
        <v>Satisfactorio</v>
      </c>
      <c r="R2283" s="14">
        <f t="shared" si="522"/>
        <v>0</v>
      </c>
      <c r="S2283" s="14">
        <f t="shared" si="523"/>
        <v>0</v>
      </c>
    </row>
    <row r="2284" spans="1:19">
      <c r="A2284" s="14" t="str">
        <f t="shared" ref="A2284:A2315" si="524">"CFG-2"</f>
        <v>CFG-2</v>
      </c>
      <c r="B2284" s="15">
        <f>'Curvas SRY'!$E$11</f>
        <v>5</v>
      </c>
      <c r="C2284" s="15">
        <f>1</f>
        <v>1</v>
      </c>
      <c r="D2284" s="14" t="str">
        <f t="shared" ref="D2284:D2315" si="525">"Uso múltiple"</f>
        <v>Uso múltiple</v>
      </c>
      <c r="E2284" s="14">
        <f>1</f>
        <v>1</v>
      </c>
      <c r="F2284" s="21">
        <f>'Hoja 4 - Cálculo'!A25</f>
        <v>29587</v>
      </c>
      <c r="G2284" s="15">
        <f>'Hoja 4 - Cálculo'!H25</f>
        <v>12.852</v>
      </c>
      <c r="H2284" s="15">
        <f>IF(D2284="Uso único",'Hoja 4 - Cálculo'!I25,IF(D2284="Uso múltiple",AVERAGE('Hoja 4 - Cálculo'!$I$25:$I$384)+AVERAGE('Hoja 4 - Cálculo'!$J$25:$J$384)+AVERAGE('Hoja 4 - Cálculo'!$K$25:$K$384),IF(D2284="Uso prioritario",'Hoja 4 - Cálculo'!I25+'Hoja 4 - Cálculo'!K25,'Hoja 4 - Cálculo'!I25+'Hoja 4 - Cálculo'!J25+'Hoja 4 - Cálculo'!K25)))</f>
        <v>13.75</v>
      </c>
      <c r="I2284" s="15">
        <f t="shared" si="510"/>
        <v>13.75</v>
      </c>
      <c r="J2284" s="15">
        <f>0</f>
        <v>0</v>
      </c>
      <c r="K2284" s="15">
        <f>MIN(J2284+G2284,(J2284+G2284)*'Hoja 4 - Cálculo'!$B$15)</f>
        <v>0.25703999999999999</v>
      </c>
      <c r="L2284" s="15">
        <f t="shared" si="514"/>
        <v>12.59496</v>
      </c>
      <c r="M2284" s="15">
        <f t="shared" si="515"/>
        <v>12.59496</v>
      </c>
      <c r="N2284" s="15">
        <f t="shared" si="516"/>
        <v>0</v>
      </c>
      <c r="O2284" s="15">
        <f t="shared" si="517"/>
        <v>0</v>
      </c>
      <c r="P2284" s="15">
        <f t="shared" si="518"/>
        <v>1.1550399999999996</v>
      </c>
      <c r="Q2284" s="14" t="str">
        <f>IF(M2284&gt;=I2284*'Hoja 4 - Cálculo'!$B$16,"Satisfactorio","Falla")</f>
        <v>Falla</v>
      </c>
      <c r="R2284" s="14">
        <f>0</f>
        <v>0</v>
      </c>
      <c r="S2284" s="14">
        <f>IF(Q2284="Falla",1,0)</f>
        <v>1</v>
      </c>
    </row>
    <row r="2285" spans="1:19">
      <c r="A2285" s="14" t="str">
        <f t="shared" si="524"/>
        <v>CFG-2</v>
      </c>
      <c r="B2285" s="15">
        <f>'Curvas SRY'!$E$11</f>
        <v>5</v>
      </c>
      <c r="C2285" s="15">
        <f>1</f>
        <v>1</v>
      </c>
      <c r="D2285" s="14" t="str">
        <f t="shared" si="525"/>
        <v>Uso múltiple</v>
      </c>
      <c r="E2285" s="14">
        <f>2</f>
        <v>2</v>
      </c>
      <c r="F2285" s="21">
        <f>'Hoja 4 - Cálculo'!A26</f>
        <v>29618</v>
      </c>
      <c r="G2285" s="15">
        <f>'Hoja 4 - Cálculo'!H26</f>
        <v>14.630625</v>
      </c>
      <c r="H2285" s="15">
        <f>IF(D2285="Uso único",'Hoja 4 - Cálculo'!I26,IF(D2285="Uso múltiple",AVERAGE('Hoja 4 - Cálculo'!$I$25:$I$384)+AVERAGE('Hoja 4 - Cálculo'!$J$25:$J$384)+AVERAGE('Hoja 4 - Cálculo'!$K$25:$K$384),IF(D2285="Uso prioritario",'Hoja 4 - Cálculo'!I26+'Hoja 4 - Cálculo'!K26,'Hoja 4 - Cálculo'!I26+'Hoja 4 - Cálculo'!J26+'Hoja 4 - Cálculo'!K26)))</f>
        <v>13.75</v>
      </c>
      <c r="I2285" s="15">
        <f t="shared" si="510"/>
        <v>13.75</v>
      </c>
      <c r="J2285" s="15">
        <f t="shared" ref="J2285:J2316" si="526">N2284</f>
        <v>0</v>
      </c>
      <c r="K2285" s="15">
        <f>MIN(J2285+G2285,(J2285+G2285)*'Hoja 4 - Cálculo'!$B$15)</f>
        <v>0.2926125</v>
      </c>
      <c r="L2285" s="15">
        <f t="shared" si="514"/>
        <v>14.3380125</v>
      </c>
      <c r="M2285" s="15">
        <f t="shared" si="515"/>
        <v>13.75</v>
      </c>
      <c r="N2285" s="15">
        <f t="shared" si="516"/>
        <v>0.5880124999999996</v>
      </c>
      <c r="O2285" s="15">
        <f t="shared" si="517"/>
        <v>0</v>
      </c>
      <c r="P2285" s="15">
        <f t="shared" si="518"/>
        <v>0</v>
      </c>
      <c r="Q2285" s="14" t="str">
        <f>IF(M2285&gt;=I2285*'Hoja 4 - Cálculo'!$B$16,"Satisfactorio","Falla")</f>
        <v>Satisfactorio</v>
      </c>
      <c r="R2285" s="14">
        <f t="shared" ref="R2285:R2316" si="527">IF(AND(Q2284="Falla",Q2285="Satisfactorio"),1,0)</f>
        <v>1</v>
      </c>
      <c r="S2285" s="14">
        <f t="shared" ref="S2285:S2316" si="528">IF(AND(Q2285="Falla",Q2284&lt;&gt;"Falla"),1,0)</f>
        <v>0</v>
      </c>
    </row>
    <row r="2286" spans="1:19">
      <c r="A2286" s="14" t="str">
        <f t="shared" si="524"/>
        <v>CFG-2</v>
      </c>
      <c r="B2286" s="15">
        <f>'Curvas SRY'!$E$11</f>
        <v>5</v>
      </c>
      <c r="C2286" s="15">
        <f>1</f>
        <v>1</v>
      </c>
      <c r="D2286" s="14" t="str">
        <f t="shared" si="525"/>
        <v>Uso múltiple</v>
      </c>
      <c r="E2286" s="14">
        <f>3</f>
        <v>3</v>
      </c>
      <c r="F2286" s="21">
        <f>'Hoja 4 - Cálculo'!A27</f>
        <v>29646</v>
      </c>
      <c r="G2286" s="15">
        <f>'Hoja 4 - Cálculo'!H27</f>
        <v>21.114000000000001</v>
      </c>
      <c r="H2286" s="15">
        <f>IF(D2286="Uso único",'Hoja 4 - Cálculo'!I27,IF(D2286="Uso múltiple",AVERAGE('Hoja 4 - Cálculo'!$I$25:$I$384)+AVERAGE('Hoja 4 - Cálculo'!$J$25:$J$384)+AVERAGE('Hoja 4 - Cálculo'!$K$25:$K$384),IF(D2286="Uso prioritario",'Hoja 4 - Cálculo'!I27+'Hoja 4 - Cálculo'!K27,'Hoja 4 - Cálculo'!I27+'Hoja 4 - Cálculo'!J27+'Hoja 4 - Cálculo'!K27)))</f>
        <v>13.75</v>
      </c>
      <c r="I2286" s="15">
        <f t="shared" si="510"/>
        <v>13.75</v>
      </c>
      <c r="J2286" s="15">
        <f t="shared" si="526"/>
        <v>0.5880124999999996</v>
      </c>
      <c r="K2286" s="15">
        <f>MIN(J2286+G2286,(J2286+G2286)*'Hoja 4 - Cálculo'!$B$15)</f>
        <v>0.43404025000000007</v>
      </c>
      <c r="L2286" s="15">
        <f t="shared" si="514"/>
        <v>21.267972250000003</v>
      </c>
      <c r="M2286" s="15">
        <f t="shared" si="515"/>
        <v>13.75</v>
      </c>
      <c r="N2286" s="15">
        <f t="shared" si="516"/>
        <v>5</v>
      </c>
      <c r="O2286" s="15">
        <f t="shared" si="517"/>
        <v>2.5179722500000032</v>
      </c>
      <c r="P2286" s="15">
        <f t="shared" si="518"/>
        <v>0</v>
      </c>
      <c r="Q2286" s="14" t="str">
        <f>IF(M2286&gt;=I2286*'Hoja 4 - Cálculo'!$B$16,"Satisfactorio","Falla")</f>
        <v>Satisfactorio</v>
      </c>
      <c r="R2286" s="14">
        <f t="shared" si="527"/>
        <v>0</v>
      </c>
      <c r="S2286" s="14">
        <f t="shared" si="528"/>
        <v>0</v>
      </c>
    </row>
    <row r="2287" spans="1:19">
      <c r="A2287" s="14" t="str">
        <f t="shared" si="524"/>
        <v>CFG-2</v>
      </c>
      <c r="B2287" s="15">
        <f>'Curvas SRY'!$E$11</f>
        <v>5</v>
      </c>
      <c r="C2287" s="15">
        <f>1</f>
        <v>1</v>
      </c>
      <c r="D2287" s="14" t="str">
        <f t="shared" si="525"/>
        <v>Uso múltiple</v>
      </c>
      <c r="E2287" s="14">
        <f>4</f>
        <v>4</v>
      </c>
      <c r="F2287" s="21">
        <f>'Hoja 4 - Cálculo'!A28</f>
        <v>29677</v>
      </c>
      <c r="G2287" s="15">
        <f>'Hoja 4 - Cálculo'!H28</f>
        <v>29.280374999999999</v>
      </c>
      <c r="H2287" s="15">
        <f>IF(D2287="Uso único",'Hoja 4 - Cálculo'!I28,IF(D2287="Uso múltiple",AVERAGE('Hoja 4 - Cálculo'!$I$25:$I$384)+AVERAGE('Hoja 4 - Cálculo'!$J$25:$J$384)+AVERAGE('Hoja 4 - Cálculo'!$K$25:$K$384),IF(D2287="Uso prioritario",'Hoja 4 - Cálculo'!I28+'Hoja 4 - Cálculo'!K28,'Hoja 4 - Cálculo'!I28+'Hoja 4 - Cálculo'!J28+'Hoja 4 - Cálculo'!K28)))</f>
        <v>13.75</v>
      </c>
      <c r="I2287" s="15">
        <f t="shared" si="510"/>
        <v>13.75</v>
      </c>
      <c r="J2287" s="15">
        <f t="shared" si="526"/>
        <v>5</v>
      </c>
      <c r="K2287" s="15">
        <f>MIN(J2287+G2287,(J2287+G2287)*'Hoja 4 - Cálculo'!$B$15)</f>
        <v>0.68560750000000004</v>
      </c>
      <c r="L2287" s="15">
        <f t="shared" si="514"/>
        <v>33.594767499999996</v>
      </c>
      <c r="M2287" s="15">
        <f t="shared" si="515"/>
        <v>13.75</v>
      </c>
      <c r="N2287" s="15">
        <f t="shared" si="516"/>
        <v>5</v>
      </c>
      <c r="O2287" s="15">
        <f t="shared" si="517"/>
        <v>14.844767499999996</v>
      </c>
      <c r="P2287" s="15">
        <f t="shared" si="518"/>
        <v>0</v>
      </c>
      <c r="Q2287" s="14" t="str">
        <f>IF(M2287&gt;=I2287*'Hoja 4 - Cálculo'!$B$16,"Satisfactorio","Falla")</f>
        <v>Satisfactorio</v>
      </c>
      <c r="R2287" s="14">
        <f t="shared" si="527"/>
        <v>0</v>
      </c>
      <c r="S2287" s="14">
        <f t="shared" si="528"/>
        <v>0</v>
      </c>
    </row>
    <row r="2288" spans="1:19">
      <c r="A2288" s="14" t="str">
        <f t="shared" si="524"/>
        <v>CFG-2</v>
      </c>
      <c r="B2288" s="15">
        <f>'Curvas SRY'!$E$11</f>
        <v>5</v>
      </c>
      <c r="C2288" s="15">
        <f>1</f>
        <v>1</v>
      </c>
      <c r="D2288" s="14" t="str">
        <f t="shared" si="525"/>
        <v>Uso múltiple</v>
      </c>
      <c r="E2288" s="14">
        <f>5</f>
        <v>5</v>
      </c>
      <c r="F2288" s="21">
        <f>'Hoja 4 - Cálculo'!A29</f>
        <v>29707</v>
      </c>
      <c r="G2288" s="15">
        <f>'Hoja 4 - Cálculo'!H29</f>
        <v>26.048249999999999</v>
      </c>
      <c r="H2288" s="15">
        <f>IF(D2288="Uso único",'Hoja 4 - Cálculo'!I29,IF(D2288="Uso múltiple",AVERAGE('Hoja 4 - Cálculo'!$I$25:$I$384)+AVERAGE('Hoja 4 - Cálculo'!$J$25:$J$384)+AVERAGE('Hoja 4 - Cálculo'!$K$25:$K$384),IF(D2288="Uso prioritario",'Hoja 4 - Cálculo'!I29+'Hoja 4 - Cálculo'!K29,'Hoja 4 - Cálculo'!I29+'Hoja 4 - Cálculo'!J29+'Hoja 4 - Cálculo'!K29)))</f>
        <v>13.75</v>
      </c>
      <c r="I2288" s="15">
        <f t="shared" si="510"/>
        <v>13.75</v>
      </c>
      <c r="J2288" s="15">
        <f t="shared" si="526"/>
        <v>5</v>
      </c>
      <c r="K2288" s="15">
        <f>MIN(J2288+G2288,(J2288+G2288)*'Hoja 4 - Cálculo'!$B$15)</f>
        <v>0.62096499999999999</v>
      </c>
      <c r="L2288" s="15">
        <f t="shared" si="514"/>
        <v>30.427284999999998</v>
      </c>
      <c r="M2288" s="15">
        <f t="shared" si="515"/>
        <v>13.75</v>
      </c>
      <c r="N2288" s="15">
        <f t="shared" si="516"/>
        <v>5</v>
      </c>
      <c r="O2288" s="15">
        <f t="shared" si="517"/>
        <v>11.677284999999998</v>
      </c>
      <c r="P2288" s="15">
        <f t="shared" si="518"/>
        <v>0</v>
      </c>
      <c r="Q2288" s="14" t="str">
        <f>IF(M2288&gt;=I2288*'Hoja 4 - Cálculo'!$B$16,"Satisfactorio","Falla")</f>
        <v>Satisfactorio</v>
      </c>
      <c r="R2288" s="14">
        <f t="shared" si="527"/>
        <v>0</v>
      </c>
      <c r="S2288" s="14">
        <f t="shared" si="528"/>
        <v>0</v>
      </c>
    </row>
    <row r="2289" spans="1:19">
      <c r="A2289" s="14" t="str">
        <f t="shared" si="524"/>
        <v>CFG-2</v>
      </c>
      <c r="B2289" s="15">
        <f>'Curvas SRY'!$E$11</f>
        <v>5</v>
      </c>
      <c r="C2289" s="15">
        <f>1</f>
        <v>1</v>
      </c>
      <c r="D2289" s="14" t="str">
        <f t="shared" si="525"/>
        <v>Uso múltiple</v>
      </c>
      <c r="E2289" s="14">
        <f>6</f>
        <v>6</v>
      </c>
      <c r="F2289" s="21">
        <f>'Hoja 4 - Cálculo'!A30</f>
        <v>29738</v>
      </c>
      <c r="G2289" s="15">
        <f>'Hoja 4 - Cálculo'!H30</f>
        <v>15.625125000000001</v>
      </c>
      <c r="H2289" s="15">
        <f>IF(D2289="Uso único",'Hoja 4 - Cálculo'!I30,IF(D2289="Uso múltiple",AVERAGE('Hoja 4 - Cálculo'!$I$25:$I$384)+AVERAGE('Hoja 4 - Cálculo'!$J$25:$J$384)+AVERAGE('Hoja 4 - Cálculo'!$K$25:$K$384),IF(D2289="Uso prioritario",'Hoja 4 - Cálculo'!I30+'Hoja 4 - Cálculo'!K30,'Hoja 4 - Cálculo'!I30+'Hoja 4 - Cálculo'!J30+'Hoja 4 - Cálculo'!K30)))</f>
        <v>13.75</v>
      </c>
      <c r="I2289" s="15">
        <f t="shared" si="510"/>
        <v>13.75</v>
      </c>
      <c r="J2289" s="15">
        <f t="shared" si="526"/>
        <v>5</v>
      </c>
      <c r="K2289" s="15">
        <f>MIN(J2289+G2289,(J2289+G2289)*'Hoja 4 - Cálculo'!$B$15)</f>
        <v>0.41250249999999999</v>
      </c>
      <c r="L2289" s="15">
        <f t="shared" si="514"/>
        <v>20.212622500000002</v>
      </c>
      <c r="M2289" s="15">
        <f t="shared" si="515"/>
        <v>13.75</v>
      </c>
      <c r="N2289" s="15">
        <f t="shared" si="516"/>
        <v>5</v>
      </c>
      <c r="O2289" s="15">
        <f t="shared" si="517"/>
        <v>1.4626225000000019</v>
      </c>
      <c r="P2289" s="15">
        <f t="shared" si="518"/>
        <v>0</v>
      </c>
      <c r="Q2289" s="14" t="str">
        <f>IF(M2289&gt;=I2289*'Hoja 4 - Cálculo'!$B$16,"Satisfactorio","Falla")</f>
        <v>Satisfactorio</v>
      </c>
      <c r="R2289" s="14">
        <f t="shared" si="527"/>
        <v>0</v>
      </c>
      <c r="S2289" s="14">
        <f t="shared" si="528"/>
        <v>0</v>
      </c>
    </row>
    <row r="2290" spans="1:19">
      <c r="A2290" s="14" t="str">
        <f t="shared" si="524"/>
        <v>CFG-2</v>
      </c>
      <c r="B2290" s="15">
        <f>'Curvas SRY'!$E$11</f>
        <v>5</v>
      </c>
      <c r="C2290" s="15">
        <f>1</f>
        <v>1</v>
      </c>
      <c r="D2290" s="14" t="str">
        <f t="shared" si="525"/>
        <v>Uso múltiple</v>
      </c>
      <c r="E2290" s="14">
        <f>7</f>
        <v>7</v>
      </c>
      <c r="F2290" s="21">
        <f>'Hoja 4 - Cálculo'!A31</f>
        <v>29768</v>
      </c>
      <c r="G2290" s="15">
        <f>'Hoja 4 - Cálculo'!H31</f>
        <v>12.794625</v>
      </c>
      <c r="H2290" s="15">
        <f>IF(D2290="Uso único",'Hoja 4 - Cálculo'!I31,IF(D2290="Uso múltiple",AVERAGE('Hoja 4 - Cálculo'!$I$25:$I$384)+AVERAGE('Hoja 4 - Cálculo'!$J$25:$J$384)+AVERAGE('Hoja 4 - Cálculo'!$K$25:$K$384),IF(D2290="Uso prioritario",'Hoja 4 - Cálculo'!I31+'Hoja 4 - Cálculo'!K31,'Hoja 4 - Cálculo'!I31+'Hoja 4 - Cálculo'!J31+'Hoja 4 - Cálculo'!K31)))</f>
        <v>13.75</v>
      </c>
      <c r="I2290" s="15">
        <f t="shared" si="510"/>
        <v>13.75</v>
      </c>
      <c r="J2290" s="15">
        <f t="shared" si="526"/>
        <v>5</v>
      </c>
      <c r="K2290" s="15">
        <f>MIN(J2290+G2290,(J2290+G2290)*'Hoja 4 - Cálculo'!$B$15)</f>
        <v>0.3558925</v>
      </c>
      <c r="L2290" s="15">
        <f t="shared" si="514"/>
        <v>17.4387325</v>
      </c>
      <c r="M2290" s="15">
        <f t="shared" si="515"/>
        <v>13.75</v>
      </c>
      <c r="N2290" s="15">
        <f t="shared" si="516"/>
        <v>3.6887325000000004</v>
      </c>
      <c r="O2290" s="15">
        <f t="shared" si="517"/>
        <v>0</v>
      </c>
      <c r="P2290" s="15">
        <f t="shared" si="518"/>
        <v>0</v>
      </c>
      <c r="Q2290" s="14" t="str">
        <f>IF(M2290&gt;=I2290*'Hoja 4 - Cálculo'!$B$16,"Satisfactorio","Falla")</f>
        <v>Satisfactorio</v>
      </c>
      <c r="R2290" s="14">
        <f t="shared" si="527"/>
        <v>0</v>
      </c>
      <c r="S2290" s="14">
        <f t="shared" si="528"/>
        <v>0</v>
      </c>
    </row>
    <row r="2291" spans="1:19">
      <c r="A2291" s="14" t="str">
        <f t="shared" si="524"/>
        <v>CFG-2</v>
      </c>
      <c r="B2291" s="15">
        <f>'Curvas SRY'!$E$11</f>
        <v>5</v>
      </c>
      <c r="C2291" s="15">
        <f>1</f>
        <v>1</v>
      </c>
      <c r="D2291" s="14" t="str">
        <f t="shared" si="525"/>
        <v>Uso múltiple</v>
      </c>
      <c r="E2291" s="14">
        <f>8</f>
        <v>8</v>
      </c>
      <c r="F2291" s="21">
        <f>'Hoja 4 - Cálculo'!A32</f>
        <v>29799</v>
      </c>
      <c r="G2291" s="15">
        <f>'Hoja 4 - Cálculo'!H32</f>
        <v>13.712624999999999</v>
      </c>
      <c r="H2291" s="15">
        <f>IF(D2291="Uso único",'Hoja 4 - Cálculo'!I32,IF(D2291="Uso múltiple",AVERAGE('Hoja 4 - Cálculo'!$I$25:$I$384)+AVERAGE('Hoja 4 - Cálculo'!$J$25:$J$384)+AVERAGE('Hoja 4 - Cálculo'!$K$25:$K$384),IF(D2291="Uso prioritario",'Hoja 4 - Cálculo'!I32+'Hoja 4 - Cálculo'!K32,'Hoja 4 - Cálculo'!I32+'Hoja 4 - Cálculo'!J32+'Hoja 4 - Cálculo'!K32)))</f>
        <v>13.75</v>
      </c>
      <c r="I2291" s="15">
        <f t="shared" si="510"/>
        <v>13.75</v>
      </c>
      <c r="J2291" s="15">
        <f t="shared" si="526"/>
        <v>3.6887325000000004</v>
      </c>
      <c r="K2291" s="15">
        <f>MIN(J2291+G2291,(J2291+G2291)*'Hoja 4 - Cálculo'!$B$15)</f>
        <v>0.34802715000000001</v>
      </c>
      <c r="L2291" s="15">
        <f t="shared" si="514"/>
        <v>17.05333035</v>
      </c>
      <c r="M2291" s="15">
        <f t="shared" si="515"/>
        <v>13.75</v>
      </c>
      <c r="N2291" s="15">
        <f t="shared" si="516"/>
        <v>3.3033303499999995</v>
      </c>
      <c r="O2291" s="15">
        <f t="shared" si="517"/>
        <v>0</v>
      </c>
      <c r="P2291" s="15">
        <f t="shared" si="518"/>
        <v>0</v>
      </c>
      <c r="Q2291" s="14" t="str">
        <f>IF(M2291&gt;=I2291*'Hoja 4 - Cálculo'!$B$16,"Satisfactorio","Falla")</f>
        <v>Satisfactorio</v>
      </c>
      <c r="R2291" s="14">
        <f t="shared" si="527"/>
        <v>0</v>
      </c>
      <c r="S2291" s="14">
        <f t="shared" si="528"/>
        <v>0</v>
      </c>
    </row>
    <row r="2292" spans="1:19">
      <c r="A2292" s="14" t="str">
        <f t="shared" si="524"/>
        <v>CFG-2</v>
      </c>
      <c r="B2292" s="15">
        <f>'Curvas SRY'!$E$11</f>
        <v>5</v>
      </c>
      <c r="C2292" s="15">
        <f>1</f>
        <v>1</v>
      </c>
      <c r="D2292" s="14" t="str">
        <f t="shared" si="525"/>
        <v>Uso múltiple</v>
      </c>
      <c r="E2292" s="14">
        <f>9</f>
        <v>9</v>
      </c>
      <c r="F2292" s="21">
        <f>'Hoja 4 - Cálculo'!A33</f>
        <v>29830</v>
      </c>
      <c r="G2292" s="15">
        <f>'Hoja 4 - Cálculo'!H33</f>
        <v>22.070250000000001</v>
      </c>
      <c r="H2292" s="15">
        <f>IF(D2292="Uso único",'Hoja 4 - Cálculo'!I33,IF(D2292="Uso múltiple",AVERAGE('Hoja 4 - Cálculo'!$I$25:$I$384)+AVERAGE('Hoja 4 - Cálculo'!$J$25:$J$384)+AVERAGE('Hoja 4 - Cálculo'!$K$25:$K$384),IF(D2292="Uso prioritario",'Hoja 4 - Cálculo'!I33+'Hoja 4 - Cálculo'!K33,'Hoja 4 - Cálculo'!I33+'Hoja 4 - Cálculo'!J33+'Hoja 4 - Cálculo'!K33)))</f>
        <v>13.75</v>
      </c>
      <c r="I2292" s="15">
        <f t="shared" ref="I2292:I2355" si="529">H2292</f>
        <v>13.75</v>
      </c>
      <c r="J2292" s="15">
        <f t="shared" si="526"/>
        <v>3.3033303499999995</v>
      </c>
      <c r="K2292" s="15">
        <f>MIN(J2292+G2292,(J2292+G2292)*'Hoja 4 - Cálculo'!$B$15)</f>
        <v>0.50747160700000005</v>
      </c>
      <c r="L2292" s="15">
        <f t="shared" si="514"/>
        <v>24.866108743000002</v>
      </c>
      <c r="M2292" s="15">
        <f t="shared" si="515"/>
        <v>13.75</v>
      </c>
      <c r="N2292" s="15">
        <f t="shared" si="516"/>
        <v>5</v>
      </c>
      <c r="O2292" s="15">
        <f t="shared" si="517"/>
        <v>6.1161087430000016</v>
      </c>
      <c r="P2292" s="15">
        <f t="shared" si="518"/>
        <v>0</v>
      </c>
      <c r="Q2292" s="14" t="str">
        <f>IF(M2292&gt;=I2292*'Hoja 4 - Cálculo'!$B$16,"Satisfactorio","Falla")</f>
        <v>Satisfactorio</v>
      </c>
      <c r="R2292" s="14">
        <f t="shared" si="527"/>
        <v>0</v>
      </c>
      <c r="S2292" s="14">
        <f t="shared" si="528"/>
        <v>0</v>
      </c>
    </row>
    <row r="2293" spans="1:19">
      <c r="A2293" s="14" t="str">
        <f t="shared" si="524"/>
        <v>CFG-2</v>
      </c>
      <c r="B2293" s="15">
        <f>'Curvas SRY'!$E$11</f>
        <v>5</v>
      </c>
      <c r="C2293" s="15">
        <f>1</f>
        <v>1</v>
      </c>
      <c r="D2293" s="14" t="str">
        <f t="shared" si="525"/>
        <v>Uso múltiple</v>
      </c>
      <c r="E2293" s="14">
        <f>10</f>
        <v>10</v>
      </c>
      <c r="F2293" s="21">
        <f>'Hoja 4 - Cálculo'!A34</f>
        <v>29860</v>
      </c>
      <c r="G2293" s="15">
        <f>'Hoja 4 - Cálculo'!H34</f>
        <v>29.777625</v>
      </c>
      <c r="H2293" s="15">
        <f>IF(D2293="Uso único",'Hoja 4 - Cálculo'!I34,IF(D2293="Uso múltiple",AVERAGE('Hoja 4 - Cálculo'!$I$25:$I$384)+AVERAGE('Hoja 4 - Cálculo'!$J$25:$J$384)+AVERAGE('Hoja 4 - Cálculo'!$K$25:$K$384),IF(D2293="Uso prioritario",'Hoja 4 - Cálculo'!I34+'Hoja 4 - Cálculo'!K34,'Hoja 4 - Cálculo'!I34+'Hoja 4 - Cálculo'!J34+'Hoja 4 - Cálculo'!K34)))</f>
        <v>13.75</v>
      </c>
      <c r="I2293" s="15">
        <f t="shared" si="529"/>
        <v>13.75</v>
      </c>
      <c r="J2293" s="15">
        <f t="shared" si="526"/>
        <v>5</v>
      </c>
      <c r="K2293" s="15">
        <f>MIN(J2293+G2293,(J2293+G2293)*'Hoja 4 - Cálculo'!$B$15)</f>
        <v>0.69555250000000002</v>
      </c>
      <c r="L2293" s="15">
        <f t="shared" si="514"/>
        <v>34.082072500000002</v>
      </c>
      <c r="M2293" s="15">
        <f t="shared" si="515"/>
        <v>13.75</v>
      </c>
      <c r="N2293" s="15">
        <f t="shared" si="516"/>
        <v>5</v>
      </c>
      <c r="O2293" s="15">
        <f t="shared" si="517"/>
        <v>15.332072500000002</v>
      </c>
      <c r="P2293" s="15">
        <f t="shared" si="518"/>
        <v>0</v>
      </c>
      <c r="Q2293" s="14" t="str">
        <f>IF(M2293&gt;=I2293*'Hoja 4 - Cálculo'!$B$16,"Satisfactorio","Falla")</f>
        <v>Satisfactorio</v>
      </c>
      <c r="R2293" s="14">
        <f t="shared" si="527"/>
        <v>0</v>
      </c>
      <c r="S2293" s="14">
        <f t="shared" si="528"/>
        <v>0</v>
      </c>
    </row>
    <row r="2294" spans="1:19">
      <c r="A2294" s="14" t="str">
        <f t="shared" si="524"/>
        <v>CFG-2</v>
      </c>
      <c r="B2294" s="15">
        <f>'Curvas SRY'!$E$11</f>
        <v>5</v>
      </c>
      <c r="C2294" s="15">
        <f>1</f>
        <v>1</v>
      </c>
      <c r="D2294" s="14" t="str">
        <f t="shared" si="525"/>
        <v>Uso múltiple</v>
      </c>
      <c r="E2294" s="14">
        <f>11</f>
        <v>11</v>
      </c>
      <c r="F2294" s="21">
        <f>'Hoja 4 - Cálculo'!A35</f>
        <v>29891</v>
      </c>
      <c r="G2294" s="15">
        <f>'Hoja 4 - Cálculo'!H35</f>
        <v>25.51275</v>
      </c>
      <c r="H2294" s="15">
        <f>IF(D2294="Uso único",'Hoja 4 - Cálculo'!I35,IF(D2294="Uso múltiple",AVERAGE('Hoja 4 - Cálculo'!$I$25:$I$384)+AVERAGE('Hoja 4 - Cálculo'!$J$25:$J$384)+AVERAGE('Hoja 4 - Cálculo'!$K$25:$K$384),IF(D2294="Uso prioritario",'Hoja 4 - Cálculo'!I35+'Hoja 4 - Cálculo'!K35,'Hoja 4 - Cálculo'!I35+'Hoja 4 - Cálculo'!J35+'Hoja 4 - Cálculo'!K35)))</f>
        <v>13.75</v>
      </c>
      <c r="I2294" s="15">
        <f t="shared" si="529"/>
        <v>13.75</v>
      </c>
      <c r="J2294" s="15">
        <f t="shared" si="526"/>
        <v>5</v>
      </c>
      <c r="K2294" s="15">
        <f>MIN(J2294+G2294,(J2294+G2294)*'Hoja 4 - Cálculo'!$B$15)</f>
        <v>0.61025499999999999</v>
      </c>
      <c r="L2294" s="15">
        <f t="shared" si="514"/>
        <v>29.902495000000002</v>
      </c>
      <c r="M2294" s="15">
        <f t="shared" si="515"/>
        <v>13.75</v>
      </c>
      <c r="N2294" s="15">
        <f t="shared" si="516"/>
        <v>5</v>
      </c>
      <c r="O2294" s="15">
        <f t="shared" si="517"/>
        <v>11.152495000000002</v>
      </c>
      <c r="P2294" s="15">
        <f t="shared" si="518"/>
        <v>0</v>
      </c>
      <c r="Q2294" s="14" t="str">
        <f>IF(M2294&gt;=I2294*'Hoja 4 - Cálculo'!$B$16,"Satisfactorio","Falla")</f>
        <v>Satisfactorio</v>
      </c>
      <c r="R2294" s="14">
        <f t="shared" si="527"/>
        <v>0</v>
      </c>
      <c r="S2294" s="14">
        <f t="shared" si="528"/>
        <v>0</v>
      </c>
    </row>
    <row r="2295" spans="1:19">
      <c r="A2295" s="14" t="str">
        <f t="shared" si="524"/>
        <v>CFG-2</v>
      </c>
      <c r="B2295" s="15">
        <f>'Curvas SRY'!$E$11</f>
        <v>5</v>
      </c>
      <c r="C2295" s="15">
        <f>1</f>
        <v>1</v>
      </c>
      <c r="D2295" s="14" t="str">
        <f t="shared" si="525"/>
        <v>Uso múltiple</v>
      </c>
      <c r="E2295" s="14">
        <f>12</f>
        <v>12</v>
      </c>
      <c r="F2295" s="21">
        <f>'Hoja 4 - Cálculo'!A36</f>
        <v>29921</v>
      </c>
      <c r="G2295" s="15">
        <f>'Hoja 4 - Cálculo'!H36</f>
        <v>15.3765</v>
      </c>
      <c r="H2295" s="15">
        <f>IF(D2295="Uso único",'Hoja 4 - Cálculo'!I36,IF(D2295="Uso múltiple",AVERAGE('Hoja 4 - Cálculo'!$I$25:$I$384)+AVERAGE('Hoja 4 - Cálculo'!$J$25:$J$384)+AVERAGE('Hoja 4 - Cálculo'!$K$25:$K$384),IF(D2295="Uso prioritario",'Hoja 4 - Cálculo'!I36+'Hoja 4 - Cálculo'!K36,'Hoja 4 - Cálculo'!I36+'Hoja 4 - Cálculo'!J36+'Hoja 4 - Cálculo'!K36)))</f>
        <v>13.75</v>
      </c>
      <c r="I2295" s="15">
        <f t="shared" si="529"/>
        <v>13.75</v>
      </c>
      <c r="J2295" s="15">
        <f t="shared" si="526"/>
        <v>5</v>
      </c>
      <c r="K2295" s="15">
        <f>MIN(J2295+G2295,(J2295+G2295)*'Hoja 4 - Cálculo'!$B$15)</f>
        <v>0.40753</v>
      </c>
      <c r="L2295" s="15">
        <f t="shared" si="514"/>
        <v>19.968969999999999</v>
      </c>
      <c r="M2295" s="15">
        <f t="shared" si="515"/>
        <v>13.75</v>
      </c>
      <c r="N2295" s="15">
        <f t="shared" si="516"/>
        <v>5</v>
      </c>
      <c r="O2295" s="15">
        <f t="shared" si="517"/>
        <v>1.2189699999999988</v>
      </c>
      <c r="P2295" s="15">
        <f t="shared" si="518"/>
        <v>0</v>
      </c>
      <c r="Q2295" s="14" t="str">
        <f>IF(M2295&gt;=I2295*'Hoja 4 - Cálculo'!$B$16,"Satisfactorio","Falla")</f>
        <v>Satisfactorio</v>
      </c>
      <c r="R2295" s="14">
        <f t="shared" si="527"/>
        <v>0</v>
      </c>
      <c r="S2295" s="14">
        <f t="shared" si="528"/>
        <v>0</v>
      </c>
    </row>
    <row r="2296" spans="1:19">
      <c r="A2296" s="14" t="str">
        <f t="shared" si="524"/>
        <v>CFG-2</v>
      </c>
      <c r="B2296" s="15">
        <f>'Curvas SRY'!$E$11</f>
        <v>5</v>
      </c>
      <c r="C2296" s="15">
        <f>1</f>
        <v>1</v>
      </c>
      <c r="D2296" s="14" t="str">
        <f t="shared" si="525"/>
        <v>Uso múltiple</v>
      </c>
      <c r="E2296" s="14">
        <f>13</f>
        <v>13</v>
      </c>
      <c r="F2296" s="21">
        <f>'Hoja 4 - Cálculo'!A37</f>
        <v>29952</v>
      </c>
      <c r="G2296" s="15">
        <f>'Hoja 4 - Cálculo'!H37</f>
        <v>13.808249999999999</v>
      </c>
      <c r="H2296" s="15">
        <f>IF(D2296="Uso único",'Hoja 4 - Cálculo'!I37,IF(D2296="Uso múltiple",AVERAGE('Hoja 4 - Cálculo'!$I$25:$I$384)+AVERAGE('Hoja 4 - Cálculo'!$J$25:$J$384)+AVERAGE('Hoja 4 - Cálculo'!$K$25:$K$384),IF(D2296="Uso prioritario",'Hoja 4 - Cálculo'!I37+'Hoja 4 - Cálculo'!K37,'Hoja 4 - Cálculo'!I37+'Hoja 4 - Cálculo'!J37+'Hoja 4 - Cálculo'!K37)))</f>
        <v>13.75</v>
      </c>
      <c r="I2296" s="15">
        <f t="shared" si="529"/>
        <v>13.75</v>
      </c>
      <c r="J2296" s="15">
        <f t="shared" si="526"/>
        <v>5</v>
      </c>
      <c r="K2296" s="15">
        <f>MIN(J2296+G2296,(J2296+G2296)*'Hoja 4 - Cálculo'!$B$15)</f>
        <v>0.37616500000000003</v>
      </c>
      <c r="L2296" s="15">
        <f t="shared" si="514"/>
        <v>18.432085000000001</v>
      </c>
      <c r="M2296" s="15">
        <f t="shared" si="515"/>
        <v>13.75</v>
      </c>
      <c r="N2296" s="15">
        <f t="shared" si="516"/>
        <v>4.6820850000000007</v>
      </c>
      <c r="O2296" s="15">
        <f t="shared" si="517"/>
        <v>0</v>
      </c>
      <c r="P2296" s="15">
        <f t="shared" si="518"/>
        <v>0</v>
      </c>
      <c r="Q2296" s="14" t="str">
        <f>IF(M2296&gt;=I2296*'Hoja 4 - Cálculo'!$B$16,"Satisfactorio","Falla")</f>
        <v>Satisfactorio</v>
      </c>
      <c r="R2296" s="14">
        <f t="shared" si="527"/>
        <v>0</v>
      </c>
      <c r="S2296" s="14">
        <f t="shared" si="528"/>
        <v>0</v>
      </c>
    </row>
    <row r="2297" spans="1:19">
      <c r="A2297" s="14" t="str">
        <f t="shared" si="524"/>
        <v>CFG-2</v>
      </c>
      <c r="B2297" s="15">
        <f>'Curvas SRY'!$E$11</f>
        <v>5</v>
      </c>
      <c r="C2297" s="15">
        <f>1</f>
        <v>1</v>
      </c>
      <c r="D2297" s="14" t="str">
        <f t="shared" si="525"/>
        <v>Uso múltiple</v>
      </c>
      <c r="E2297" s="14">
        <f>14</f>
        <v>14</v>
      </c>
      <c r="F2297" s="21">
        <f>'Hoja 4 - Cálculo'!A38</f>
        <v>29983</v>
      </c>
      <c r="G2297" s="15">
        <f>'Hoja 4 - Cálculo'!H38</f>
        <v>15.472125</v>
      </c>
      <c r="H2297" s="15">
        <f>IF(D2297="Uso único",'Hoja 4 - Cálculo'!I38,IF(D2297="Uso múltiple",AVERAGE('Hoja 4 - Cálculo'!$I$25:$I$384)+AVERAGE('Hoja 4 - Cálculo'!$J$25:$J$384)+AVERAGE('Hoja 4 - Cálculo'!$K$25:$K$384),IF(D2297="Uso prioritario",'Hoja 4 - Cálculo'!I38+'Hoja 4 - Cálculo'!K38,'Hoja 4 - Cálculo'!I38+'Hoja 4 - Cálculo'!J38+'Hoja 4 - Cálculo'!K38)))</f>
        <v>13.75</v>
      </c>
      <c r="I2297" s="15">
        <f t="shared" si="529"/>
        <v>13.75</v>
      </c>
      <c r="J2297" s="15">
        <f t="shared" si="526"/>
        <v>4.6820850000000007</v>
      </c>
      <c r="K2297" s="15">
        <f>MIN(J2297+G2297,(J2297+G2297)*'Hoja 4 - Cálculo'!$B$15)</f>
        <v>0.4030842</v>
      </c>
      <c r="L2297" s="15">
        <f t="shared" si="514"/>
        <v>19.751125800000001</v>
      </c>
      <c r="M2297" s="15">
        <f t="shared" si="515"/>
        <v>13.75</v>
      </c>
      <c r="N2297" s="15">
        <f t="shared" si="516"/>
        <v>5</v>
      </c>
      <c r="O2297" s="15">
        <f t="shared" si="517"/>
        <v>1.0011258000000005</v>
      </c>
      <c r="P2297" s="15">
        <f t="shared" si="518"/>
        <v>0</v>
      </c>
      <c r="Q2297" s="14" t="str">
        <f>IF(M2297&gt;=I2297*'Hoja 4 - Cálculo'!$B$16,"Satisfactorio","Falla")</f>
        <v>Satisfactorio</v>
      </c>
      <c r="R2297" s="14">
        <f t="shared" si="527"/>
        <v>0</v>
      </c>
      <c r="S2297" s="14">
        <f t="shared" si="528"/>
        <v>0</v>
      </c>
    </row>
    <row r="2298" spans="1:19">
      <c r="A2298" s="14" t="str">
        <f t="shared" si="524"/>
        <v>CFG-2</v>
      </c>
      <c r="B2298" s="15">
        <f>'Curvas SRY'!$E$11</f>
        <v>5</v>
      </c>
      <c r="C2298" s="15">
        <f>1</f>
        <v>1</v>
      </c>
      <c r="D2298" s="14" t="str">
        <f t="shared" si="525"/>
        <v>Uso múltiple</v>
      </c>
      <c r="E2298" s="14">
        <f>15</f>
        <v>15</v>
      </c>
      <c r="F2298" s="21">
        <f>'Hoja 4 - Cálculo'!A39</f>
        <v>30011</v>
      </c>
      <c r="G2298" s="15">
        <f>'Hoja 4 - Cálculo'!H39</f>
        <v>22.338000000000001</v>
      </c>
      <c r="H2298" s="15">
        <f>IF(D2298="Uso único",'Hoja 4 - Cálculo'!I39,IF(D2298="Uso múltiple",AVERAGE('Hoja 4 - Cálculo'!$I$25:$I$384)+AVERAGE('Hoja 4 - Cálculo'!$J$25:$J$384)+AVERAGE('Hoja 4 - Cálculo'!$K$25:$K$384),IF(D2298="Uso prioritario",'Hoja 4 - Cálculo'!I39+'Hoja 4 - Cálculo'!K39,'Hoja 4 - Cálculo'!I39+'Hoja 4 - Cálculo'!J39+'Hoja 4 - Cálculo'!K39)))</f>
        <v>13.75</v>
      </c>
      <c r="I2298" s="15">
        <f t="shared" si="529"/>
        <v>13.75</v>
      </c>
      <c r="J2298" s="15">
        <f t="shared" si="526"/>
        <v>5</v>
      </c>
      <c r="K2298" s="15">
        <f>MIN(J2298+G2298,(J2298+G2298)*'Hoja 4 - Cálculo'!$B$15)</f>
        <v>0.54676000000000002</v>
      </c>
      <c r="L2298" s="15">
        <f t="shared" si="514"/>
        <v>26.791240000000002</v>
      </c>
      <c r="M2298" s="15">
        <f t="shared" si="515"/>
        <v>13.75</v>
      </c>
      <c r="N2298" s="15">
        <f t="shared" si="516"/>
        <v>5</v>
      </c>
      <c r="O2298" s="15">
        <f t="shared" si="517"/>
        <v>8.0412400000000019</v>
      </c>
      <c r="P2298" s="15">
        <f t="shared" si="518"/>
        <v>0</v>
      </c>
      <c r="Q2298" s="14" t="str">
        <f>IF(M2298&gt;=I2298*'Hoja 4 - Cálculo'!$B$16,"Satisfactorio","Falla")</f>
        <v>Satisfactorio</v>
      </c>
      <c r="R2298" s="14">
        <f t="shared" si="527"/>
        <v>0</v>
      </c>
      <c r="S2298" s="14">
        <f t="shared" si="528"/>
        <v>0</v>
      </c>
    </row>
    <row r="2299" spans="1:19">
      <c r="A2299" s="14" t="str">
        <f t="shared" si="524"/>
        <v>CFG-2</v>
      </c>
      <c r="B2299" s="15">
        <f>'Curvas SRY'!$E$11</f>
        <v>5</v>
      </c>
      <c r="C2299" s="15">
        <f>1</f>
        <v>1</v>
      </c>
      <c r="D2299" s="14" t="str">
        <f t="shared" si="525"/>
        <v>Uso múltiple</v>
      </c>
      <c r="E2299" s="14">
        <f>16</f>
        <v>16</v>
      </c>
      <c r="F2299" s="21">
        <f>'Hoja 4 - Cálculo'!A40</f>
        <v>30042</v>
      </c>
      <c r="G2299" s="15">
        <f>'Hoja 4 - Cálculo'!H40</f>
        <v>31.670999999999999</v>
      </c>
      <c r="H2299" s="15">
        <f>IF(D2299="Uso único",'Hoja 4 - Cálculo'!I40,IF(D2299="Uso múltiple",AVERAGE('Hoja 4 - Cálculo'!$I$25:$I$384)+AVERAGE('Hoja 4 - Cálculo'!$J$25:$J$384)+AVERAGE('Hoja 4 - Cálculo'!$K$25:$K$384),IF(D2299="Uso prioritario",'Hoja 4 - Cálculo'!I40+'Hoja 4 - Cálculo'!K40,'Hoja 4 - Cálculo'!I40+'Hoja 4 - Cálculo'!J40+'Hoja 4 - Cálculo'!K40)))</f>
        <v>13.75</v>
      </c>
      <c r="I2299" s="15">
        <f t="shared" si="529"/>
        <v>13.75</v>
      </c>
      <c r="J2299" s="15">
        <f t="shared" si="526"/>
        <v>5</v>
      </c>
      <c r="K2299" s="15">
        <f>MIN(J2299+G2299,(J2299+G2299)*'Hoja 4 - Cálculo'!$B$15)</f>
        <v>0.73341999999999996</v>
      </c>
      <c r="L2299" s="15">
        <f t="shared" si="514"/>
        <v>35.937579999999997</v>
      </c>
      <c r="M2299" s="15">
        <f t="shared" si="515"/>
        <v>13.75</v>
      </c>
      <c r="N2299" s="15">
        <f t="shared" si="516"/>
        <v>5</v>
      </c>
      <c r="O2299" s="15">
        <f t="shared" si="517"/>
        <v>17.187579999999997</v>
      </c>
      <c r="P2299" s="15">
        <f t="shared" si="518"/>
        <v>0</v>
      </c>
      <c r="Q2299" s="14" t="str">
        <f>IF(M2299&gt;=I2299*'Hoja 4 - Cálculo'!$B$16,"Satisfactorio","Falla")</f>
        <v>Satisfactorio</v>
      </c>
      <c r="R2299" s="14">
        <f t="shared" si="527"/>
        <v>0</v>
      </c>
      <c r="S2299" s="14">
        <f t="shared" si="528"/>
        <v>0</v>
      </c>
    </row>
    <row r="2300" spans="1:19">
      <c r="A2300" s="14" t="str">
        <f t="shared" si="524"/>
        <v>CFG-2</v>
      </c>
      <c r="B2300" s="15">
        <f>'Curvas SRY'!$E$11</f>
        <v>5</v>
      </c>
      <c r="C2300" s="15">
        <f>1</f>
        <v>1</v>
      </c>
      <c r="D2300" s="14" t="str">
        <f t="shared" si="525"/>
        <v>Uso múltiple</v>
      </c>
      <c r="E2300" s="14">
        <f>17</f>
        <v>17</v>
      </c>
      <c r="F2300" s="21">
        <f>'Hoja 4 - Cálculo'!A41</f>
        <v>30072</v>
      </c>
      <c r="G2300" s="15">
        <f>'Hoja 4 - Cálculo'!H41</f>
        <v>29.299499999999998</v>
      </c>
      <c r="H2300" s="15">
        <f>IF(D2300="Uso único",'Hoja 4 - Cálculo'!I41,IF(D2300="Uso múltiple",AVERAGE('Hoja 4 - Cálculo'!$I$25:$I$384)+AVERAGE('Hoja 4 - Cálculo'!$J$25:$J$384)+AVERAGE('Hoja 4 - Cálculo'!$K$25:$K$384),IF(D2300="Uso prioritario",'Hoja 4 - Cálculo'!I41+'Hoja 4 - Cálculo'!K41,'Hoja 4 - Cálculo'!I41+'Hoja 4 - Cálculo'!J41+'Hoja 4 - Cálculo'!K41)))</f>
        <v>13.75</v>
      </c>
      <c r="I2300" s="15">
        <f t="shared" si="529"/>
        <v>13.75</v>
      </c>
      <c r="J2300" s="15">
        <f t="shared" si="526"/>
        <v>5</v>
      </c>
      <c r="K2300" s="15">
        <f>MIN(J2300+G2300,(J2300+G2300)*'Hoja 4 - Cálculo'!$B$15)</f>
        <v>0.68598999999999988</v>
      </c>
      <c r="L2300" s="15">
        <f t="shared" si="514"/>
        <v>33.613509999999998</v>
      </c>
      <c r="M2300" s="15">
        <f t="shared" si="515"/>
        <v>13.75</v>
      </c>
      <c r="N2300" s="15">
        <f t="shared" si="516"/>
        <v>5</v>
      </c>
      <c r="O2300" s="15">
        <f t="shared" si="517"/>
        <v>14.863509999999998</v>
      </c>
      <c r="P2300" s="15">
        <f t="shared" si="518"/>
        <v>0</v>
      </c>
      <c r="Q2300" s="14" t="str">
        <f>IF(M2300&gt;=I2300*'Hoja 4 - Cálculo'!$B$16,"Satisfactorio","Falla")</f>
        <v>Satisfactorio</v>
      </c>
      <c r="R2300" s="14">
        <f t="shared" si="527"/>
        <v>0</v>
      </c>
      <c r="S2300" s="14">
        <f t="shared" si="528"/>
        <v>0</v>
      </c>
    </row>
    <row r="2301" spans="1:19">
      <c r="A2301" s="14" t="str">
        <f t="shared" si="524"/>
        <v>CFG-2</v>
      </c>
      <c r="B2301" s="15">
        <f>'Curvas SRY'!$E$11</f>
        <v>5</v>
      </c>
      <c r="C2301" s="15">
        <f>1</f>
        <v>1</v>
      </c>
      <c r="D2301" s="14" t="str">
        <f t="shared" si="525"/>
        <v>Uso múltiple</v>
      </c>
      <c r="E2301" s="14">
        <f>18</f>
        <v>18</v>
      </c>
      <c r="F2301" s="21">
        <f>'Hoja 4 - Cálculo'!A42</f>
        <v>30103</v>
      </c>
      <c r="G2301" s="15">
        <f>'Hoja 4 - Cálculo'!H42</f>
        <v>18.321750000000002</v>
      </c>
      <c r="H2301" s="15">
        <f>IF(D2301="Uso único",'Hoja 4 - Cálculo'!I42,IF(D2301="Uso múltiple",AVERAGE('Hoja 4 - Cálculo'!$I$25:$I$384)+AVERAGE('Hoja 4 - Cálculo'!$J$25:$J$384)+AVERAGE('Hoja 4 - Cálculo'!$K$25:$K$384),IF(D2301="Uso prioritario",'Hoja 4 - Cálculo'!I42+'Hoja 4 - Cálculo'!K42,'Hoja 4 - Cálculo'!I42+'Hoja 4 - Cálculo'!J42+'Hoja 4 - Cálculo'!K42)))</f>
        <v>13.75</v>
      </c>
      <c r="I2301" s="15">
        <f t="shared" si="529"/>
        <v>13.75</v>
      </c>
      <c r="J2301" s="15">
        <f t="shared" si="526"/>
        <v>5</v>
      </c>
      <c r="K2301" s="15">
        <f>MIN(J2301+G2301,(J2301+G2301)*'Hoja 4 - Cálculo'!$B$15)</f>
        <v>0.46643500000000004</v>
      </c>
      <c r="L2301" s="15">
        <f t="shared" si="514"/>
        <v>22.855315000000001</v>
      </c>
      <c r="M2301" s="15">
        <f t="shared" si="515"/>
        <v>13.75</v>
      </c>
      <c r="N2301" s="15">
        <f t="shared" si="516"/>
        <v>5</v>
      </c>
      <c r="O2301" s="15">
        <f t="shared" si="517"/>
        <v>4.1053150000000009</v>
      </c>
      <c r="P2301" s="15">
        <f t="shared" si="518"/>
        <v>0</v>
      </c>
      <c r="Q2301" s="14" t="str">
        <f>IF(M2301&gt;=I2301*'Hoja 4 - Cálculo'!$B$16,"Satisfactorio","Falla")</f>
        <v>Satisfactorio</v>
      </c>
      <c r="R2301" s="14">
        <f t="shared" si="527"/>
        <v>0</v>
      </c>
      <c r="S2301" s="14">
        <f t="shared" si="528"/>
        <v>0</v>
      </c>
    </row>
    <row r="2302" spans="1:19">
      <c r="A2302" s="14" t="str">
        <f t="shared" si="524"/>
        <v>CFG-2</v>
      </c>
      <c r="B2302" s="15">
        <f>'Curvas SRY'!$E$11</f>
        <v>5</v>
      </c>
      <c r="C2302" s="15">
        <f>1</f>
        <v>1</v>
      </c>
      <c r="D2302" s="14" t="str">
        <f t="shared" si="525"/>
        <v>Uso múltiple</v>
      </c>
      <c r="E2302" s="14">
        <f>19</f>
        <v>19</v>
      </c>
      <c r="F2302" s="21">
        <f>'Hoja 4 - Cálculo'!A43</f>
        <v>30133</v>
      </c>
      <c r="G2302" s="15">
        <f>'Hoja 4 - Cálculo'!H43</f>
        <v>15.3765</v>
      </c>
      <c r="H2302" s="15">
        <f>IF(D2302="Uso único",'Hoja 4 - Cálculo'!I43,IF(D2302="Uso múltiple",AVERAGE('Hoja 4 - Cálculo'!$I$25:$I$384)+AVERAGE('Hoja 4 - Cálculo'!$J$25:$J$384)+AVERAGE('Hoja 4 - Cálculo'!$K$25:$K$384),IF(D2302="Uso prioritario",'Hoja 4 - Cálculo'!I43+'Hoja 4 - Cálculo'!K43,'Hoja 4 - Cálculo'!I43+'Hoja 4 - Cálculo'!J43+'Hoja 4 - Cálculo'!K43)))</f>
        <v>13.75</v>
      </c>
      <c r="I2302" s="15">
        <f t="shared" si="529"/>
        <v>13.75</v>
      </c>
      <c r="J2302" s="15">
        <f t="shared" si="526"/>
        <v>5</v>
      </c>
      <c r="K2302" s="15">
        <f>MIN(J2302+G2302,(J2302+G2302)*'Hoja 4 - Cálculo'!$B$15)</f>
        <v>0.40753</v>
      </c>
      <c r="L2302" s="15">
        <f t="shared" si="514"/>
        <v>19.968969999999999</v>
      </c>
      <c r="M2302" s="15">
        <f t="shared" si="515"/>
        <v>13.75</v>
      </c>
      <c r="N2302" s="15">
        <f t="shared" si="516"/>
        <v>5</v>
      </c>
      <c r="O2302" s="15">
        <f t="shared" si="517"/>
        <v>1.2189699999999988</v>
      </c>
      <c r="P2302" s="15">
        <f t="shared" si="518"/>
        <v>0</v>
      </c>
      <c r="Q2302" s="14" t="str">
        <f>IF(M2302&gt;=I2302*'Hoja 4 - Cálculo'!$B$16,"Satisfactorio","Falla")</f>
        <v>Satisfactorio</v>
      </c>
      <c r="R2302" s="14">
        <f t="shared" si="527"/>
        <v>0</v>
      </c>
      <c r="S2302" s="14">
        <f t="shared" si="528"/>
        <v>0</v>
      </c>
    </row>
    <row r="2303" spans="1:19">
      <c r="A2303" s="14" t="str">
        <f t="shared" si="524"/>
        <v>CFG-2</v>
      </c>
      <c r="B2303" s="15">
        <f>'Curvas SRY'!$E$11</f>
        <v>5</v>
      </c>
      <c r="C2303" s="15">
        <f>1</f>
        <v>1</v>
      </c>
      <c r="D2303" s="14" t="str">
        <f t="shared" si="525"/>
        <v>Uso múltiple</v>
      </c>
      <c r="E2303" s="14">
        <f>20</f>
        <v>20</v>
      </c>
      <c r="F2303" s="21">
        <f>'Hoja 4 - Cálculo'!A44</f>
        <v>30164</v>
      </c>
      <c r="G2303" s="15">
        <f>'Hoja 4 - Cálculo'!H44</f>
        <v>16.466625000000001</v>
      </c>
      <c r="H2303" s="15">
        <f>IF(D2303="Uso único",'Hoja 4 - Cálculo'!I44,IF(D2303="Uso múltiple",AVERAGE('Hoja 4 - Cálculo'!$I$25:$I$384)+AVERAGE('Hoja 4 - Cálculo'!$J$25:$J$384)+AVERAGE('Hoja 4 - Cálculo'!$K$25:$K$384),IF(D2303="Uso prioritario",'Hoja 4 - Cálculo'!I44+'Hoja 4 - Cálculo'!K44,'Hoja 4 - Cálculo'!I44+'Hoja 4 - Cálculo'!J44+'Hoja 4 - Cálculo'!K44)))</f>
        <v>13.75</v>
      </c>
      <c r="I2303" s="15">
        <f t="shared" si="529"/>
        <v>13.75</v>
      </c>
      <c r="J2303" s="15">
        <f t="shared" si="526"/>
        <v>5</v>
      </c>
      <c r="K2303" s="15">
        <f>MIN(J2303+G2303,(J2303+G2303)*'Hoja 4 - Cálculo'!$B$15)</f>
        <v>0.42933250000000001</v>
      </c>
      <c r="L2303" s="15">
        <f t="shared" si="514"/>
        <v>21.0372925</v>
      </c>
      <c r="M2303" s="15">
        <f t="shared" si="515"/>
        <v>13.75</v>
      </c>
      <c r="N2303" s="15">
        <f t="shared" si="516"/>
        <v>5</v>
      </c>
      <c r="O2303" s="15">
        <f t="shared" si="517"/>
        <v>2.2872924999999995</v>
      </c>
      <c r="P2303" s="15">
        <f t="shared" si="518"/>
        <v>0</v>
      </c>
      <c r="Q2303" s="14" t="str">
        <f>IF(M2303&gt;=I2303*'Hoja 4 - Cálculo'!$B$16,"Satisfactorio","Falla")</f>
        <v>Satisfactorio</v>
      </c>
      <c r="R2303" s="14">
        <f t="shared" si="527"/>
        <v>0</v>
      </c>
      <c r="S2303" s="14">
        <f t="shared" si="528"/>
        <v>0</v>
      </c>
    </row>
    <row r="2304" spans="1:19">
      <c r="A2304" s="14" t="str">
        <f t="shared" si="524"/>
        <v>CFG-2</v>
      </c>
      <c r="B2304" s="15">
        <f>'Curvas SRY'!$E$11</f>
        <v>5</v>
      </c>
      <c r="C2304" s="15">
        <f>1</f>
        <v>1</v>
      </c>
      <c r="D2304" s="14" t="str">
        <f t="shared" si="525"/>
        <v>Uso múltiple</v>
      </c>
      <c r="E2304" s="14">
        <f>21</f>
        <v>21</v>
      </c>
      <c r="F2304" s="21">
        <f>'Hoja 4 - Cálculo'!A45</f>
        <v>30195</v>
      </c>
      <c r="G2304" s="15">
        <f>'Hoja 4 - Cálculo'!H45</f>
        <v>25.837875</v>
      </c>
      <c r="H2304" s="15">
        <f>IF(D2304="Uso único",'Hoja 4 - Cálculo'!I45,IF(D2304="Uso múltiple",AVERAGE('Hoja 4 - Cálculo'!$I$25:$I$384)+AVERAGE('Hoja 4 - Cálculo'!$J$25:$J$384)+AVERAGE('Hoja 4 - Cálculo'!$K$25:$K$384),IF(D2304="Uso prioritario",'Hoja 4 - Cálculo'!I45+'Hoja 4 - Cálculo'!K45,'Hoja 4 - Cálculo'!I45+'Hoja 4 - Cálculo'!J45+'Hoja 4 - Cálculo'!K45)))</f>
        <v>13.75</v>
      </c>
      <c r="I2304" s="15">
        <f t="shared" si="529"/>
        <v>13.75</v>
      </c>
      <c r="J2304" s="15">
        <f t="shared" si="526"/>
        <v>5</v>
      </c>
      <c r="K2304" s="15">
        <f>MIN(J2304+G2304,(J2304+G2304)*'Hoja 4 - Cálculo'!$B$15)</f>
        <v>0.61675750000000007</v>
      </c>
      <c r="L2304" s="15">
        <f t="shared" si="514"/>
        <v>30.221117500000002</v>
      </c>
      <c r="M2304" s="15">
        <f t="shared" si="515"/>
        <v>13.75</v>
      </c>
      <c r="N2304" s="15">
        <f t="shared" si="516"/>
        <v>5</v>
      </c>
      <c r="O2304" s="15">
        <f t="shared" si="517"/>
        <v>11.471117500000002</v>
      </c>
      <c r="P2304" s="15">
        <f t="shared" si="518"/>
        <v>0</v>
      </c>
      <c r="Q2304" s="14" t="str">
        <f>IF(M2304&gt;=I2304*'Hoja 4 - Cálculo'!$B$16,"Satisfactorio","Falla")</f>
        <v>Satisfactorio</v>
      </c>
      <c r="R2304" s="14">
        <f t="shared" si="527"/>
        <v>0</v>
      </c>
      <c r="S2304" s="14">
        <f t="shared" si="528"/>
        <v>0</v>
      </c>
    </row>
    <row r="2305" spans="1:19">
      <c r="A2305" s="14" t="str">
        <f t="shared" si="524"/>
        <v>CFG-2</v>
      </c>
      <c r="B2305" s="15">
        <f>'Curvas SRY'!$E$11</f>
        <v>5</v>
      </c>
      <c r="C2305" s="15">
        <f>1</f>
        <v>1</v>
      </c>
      <c r="D2305" s="14" t="str">
        <f t="shared" si="525"/>
        <v>Uso múltiple</v>
      </c>
      <c r="E2305" s="14">
        <f>22</f>
        <v>22</v>
      </c>
      <c r="F2305" s="21">
        <f>'Hoja 4 - Cálculo'!A46</f>
        <v>30225</v>
      </c>
      <c r="G2305" s="15">
        <f>'Hoja 4 - Cálculo'!H46</f>
        <v>33.46875</v>
      </c>
      <c r="H2305" s="15">
        <f>IF(D2305="Uso único",'Hoja 4 - Cálculo'!I46,IF(D2305="Uso múltiple",AVERAGE('Hoja 4 - Cálculo'!$I$25:$I$384)+AVERAGE('Hoja 4 - Cálculo'!$J$25:$J$384)+AVERAGE('Hoja 4 - Cálculo'!$K$25:$K$384),IF(D2305="Uso prioritario",'Hoja 4 - Cálculo'!I46+'Hoja 4 - Cálculo'!K46,'Hoja 4 - Cálculo'!I46+'Hoja 4 - Cálculo'!J46+'Hoja 4 - Cálculo'!K46)))</f>
        <v>13.75</v>
      </c>
      <c r="I2305" s="15">
        <f t="shared" si="529"/>
        <v>13.75</v>
      </c>
      <c r="J2305" s="15">
        <f t="shared" si="526"/>
        <v>5</v>
      </c>
      <c r="K2305" s="15">
        <f>MIN(J2305+G2305,(J2305+G2305)*'Hoja 4 - Cálculo'!$B$15)</f>
        <v>0.76937500000000003</v>
      </c>
      <c r="L2305" s="15">
        <f t="shared" si="514"/>
        <v>37.699375000000003</v>
      </c>
      <c r="M2305" s="15">
        <f t="shared" si="515"/>
        <v>13.75</v>
      </c>
      <c r="N2305" s="15">
        <f t="shared" si="516"/>
        <v>5</v>
      </c>
      <c r="O2305" s="15">
        <f t="shared" si="517"/>
        <v>18.949375000000003</v>
      </c>
      <c r="P2305" s="15">
        <f t="shared" si="518"/>
        <v>0</v>
      </c>
      <c r="Q2305" s="14" t="str">
        <f>IF(M2305&gt;=I2305*'Hoja 4 - Cálculo'!$B$16,"Satisfactorio","Falla")</f>
        <v>Satisfactorio</v>
      </c>
      <c r="R2305" s="14">
        <f t="shared" si="527"/>
        <v>0</v>
      </c>
      <c r="S2305" s="14">
        <f t="shared" si="528"/>
        <v>0</v>
      </c>
    </row>
    <row r="2306" spans="1:19">
      <c r="A2306" s="14" t="str">
        <f t="shared" si="524"/>
        <v>CFG-2</v>
      </c>
      <c r="B2306" s="15">
        <f>'Curvas SRY'!$E$11</f>
        <v>5</v>
      </c>
      <c r="C2306" s="15">
        <f>1</f>
        <v>1</v>
      </c>
      <c r="D2306" s="14" t="str">
        <f t="shared" si="525"/>
        <v>Uso múltiple</v>
      </c>
      <c r="E2306" s="14">
        <f>23</f>
        <v>23</v>
      </c>
      <c r="F2306" s="21">
        <f>'Hoja 4 - Cálculo'!A47</f>
        <v>30256</v>
      </c>
      <c r="G2306" s="15">
        <f>'Hoja 4 - Cálculo'!H47</f>
        <v>27.578250000000001</v>
      </c>
      <c r="H2306" s="15">
        <f>IF(D2306="Uso único",'Hoja 4 - Cálculo'!I47,IF(D2306="Uso múltiple",AVERAGE('Hoja 4 - Cálculo'!$I$25:$I$384)+AVERAGE('Hoja 4 - Cálculo'!$J$25:$J$384)+AVERAGE('Hoja 4 - Cálculo'!$K$25:$K$384),IF(D2306="Uso prioritario",'Hoja 4 - Cálculo'!I47+'Hoja 4 - Cálculo'!K47,'Hoja 4 - Cálculo'!I47+'Hoja 4 - Cálculo'!J47+'Hoja 4 - Cálculo'!K47)))</f>
        <v>13.75</v>
      </c>
      <c r="I2306" s="15">
        <f t="shared" si="529"/>
        <v>13.75</v>
      </c>
      <c r="J2306" s="15">
        <f t="shared" si="526"/>
        <v>5</v>
      </c>
      <c r="K2306" s="15">
        <f>MIN(J2306+G2306,(J2306+G2306)*'Hoja 4 - Cálculo'!$B$15)</f>
        <v>0.65156499999999995</v>
      </c>
      <c r="L2306" s="15">
        <f t="shared" si="514"/>
        <v>31.926684999999996</v>
      </c>
      <c r="M2306" s="15">
        <f t="shared" si="515"/>
        <v>13.75</v>
      </c>
      <c r="N2306" s="15">
        <f t="shared" si="516"/>
        <v>5</v>
      </c>
      <c r="O2306" s="15">
        <f t="shared" si="517"/>
        <v>13.176684999999996</v>
      </c>
      <c r="P2306" s="15">
        <f t="shared" si="518"/>
        <v>0</v>
      </c>
      <c r="Q2306" s="14" t="str">
        <f>IF(M2306&gt;=I2306*'Hoja 4 - Cálculo'!$B$16,"Satisfactorio","Falla")</f>
        <v>Satisfactorio</v>
      </c>
      <c r="R2306" s="14">
        <f t="shared" si="527"/>
        <v>0</v>
      </c>
      <c r="S2306" s="14">
        <f t="shared" si="528"/>
        <v>0</v>
      </c>
    </row>
    <row r="2307" spans="1:19">
      <c r="A2307" s="14" t="str">
        <f t="shared" si="524"/>
        <v>CFG-2</v>
      </c>
      <c r="B2307" s="15">
        <f>'Curvas SRY'!$E$11</f>
        <v>5</v>
      </c>
      <c r="C2307" s="15">
        <f>1</f>
        <v>1</v>
      </c>
      <c r="D2307" s="14" t="str">
        <f t="shared" si="525"/>
        <v>Uso múltiple</v>
      </c>
      <c r="E2307" s="14">
        <f>24</f>
        <v>24</v>
      </c>
      <c r="F2307" s="21">
        <f>'Hoja 4 - Cálculo'!A48</f>
        <v>30286</v>
      </c>
      <c r="G2307" s="15">
        <f>'Hoja 4 - Cálculo'!H48</f>
        <v>16.256250000000001</v>
      </c>
      <c r="H2307" s="15">
        <f>IF(D2307="Uso único",'Hoja 4 - Cálculo'!I48,IF(D2307="Uso múltiple",AVERAGE('Hoja 4 - Cálculo'!$I$25:$I$384)+AVERAGE('Hoja 4 - Cálculo'!$J$25:$J$384)+AVERAGE('Hoja 4 - Cálculo'!$K$25:$K$384),IF(D2307="Uso prioritario",'Hoja 4 - Cálculo'!I48+'Hoja 4 - Cálculo'!K48,'Hoja 4 - Cálculo'!I48+'Hoja 4 - Cálculo'!J48+'Hoja 4 - Cálculo'!K48)))</f>
        <v>13.75</v>
      </c>
      <c r="I2307" s="15">
        <f t="shared" si="529"/>
        <v>13.75</v>
      </c>
      <c r="J2307" s="15">
        <f t="shared" si="526"/>
        <v>5</v>
      </c>
      <c r="K2307" s="15">
        <f>MIN(J2307+G2307,(J2307+G2307)*'Hoja 4 - Cálculo'!$B$15)</f>
        <v>0.42512500000000003</v>
      </c>
      <c r="L2307" s="15">
        <f t="shared" si="514"/>
        <v>20.831125</v>
      </c>
      <c r="M2307" s="15">
        <f t="shared" si="515"/>
        <v>13.75</v>
      </c>
      <c r="N2307" s="15">
        <f t="shared" si="516"/>
        <v>5</v>
      </c>
      <c r="O2307" s="15">
        <f t="shared" si="517"/>
        <v>2.0811250000000001</v>
      </c>
      <c r="P2307" s="15">
        <f t="shared" si="518"/>
        <v>0</v>
      </c>
      <c r="Q2307" s="14" t="str">
        <f>IF(M2307&gt;=I2307*'Hoja 4 - Cálculo'!$B$16,"Satisfactorio","Falla")</f>
        <v>Satisfactorio</v>
      </c>
      <c r="R2307" s="14">
        <f t="shared" si="527"/>
        <v>0</v>
      </c>
      <c r="S2307" s="14">
        <f t="shared" si="528"/>
        <v>0</v>
      </c>
    </row>
    <row r="2308" spans="1:19">
      <c r="A2308" s="14" t="str">
        <f t="shared" si="524"/>
        <v>CFG-2</v>
      </c>
      <c r="B2308" s="15">
        <f>'Curvas SRY'!$E$11</f>
        <v>5</v>
      </c>
      <c r="C2308" s="15">
        <f>1</f>
        <v>1</v>
      </c>
      <c r="D2308" s="14" t="str">
        <f t="shared" si="525"/>
        <v>Uso múltiple</v>
      </c>
      <c r="E2308" s="14">
        <f>25</f>
        <v>25</v>
      </c>
      <c r="F2308" s="21">
        <f>'Hoja 4 - Cálculo'!A49</f>
        <v>30317</v>
      </c>
      <c r="G2308" s="15">
        <f>'Hoja 4 - Cálculo'!H49</f>
        <v>12.775499999999999</v>
      </c>
      <c r="H2308" s="15">
        <f>IF(D2308="Uso único",'Hoja 4 - Cálculo'!I49,IF(D2308="Uso múltiple",AVERAGE('Hoja 4 - Cálculo'!$I$25:$I$384)+AVERAGE('Hoja 4 - Cálculo'!$J$25:$J$384)+AVERAGE('Hoja 4 - Cálculo'!$K$25:$K$384),IF(D2308="Uso prioritario",'Hoja 4 - Cálculo'!I49+'Hoja 4 - Cálculo'!K49,'Hoja 4 - Cálculo'!I49+'Hoja 4 - Cálculo'!J49+'Hoja 4 - Cálculo'!K49)))</f>
        <v>13.75</v>
      </c>
      <c r="I2308" s="15">
        <f t="shared" si="529"/>
        <v>13.75</v>
      </c>
      <c r="J2308" s="15">
        <f t="shared" si="526"/>
        <v>5</v>
      </c>
      <c r="K2308" s="15">
        <f>MIN(J2308+G2308,(J2308+G2308)*'Hoja 4 - Cálculo'!$B$15)</f>
        <v>0.35551000000000005</v>
      </c>
      <c r="L2308" s="15">
        <f t="shared" ref="L2308:L2371" si="530">MAX(0,J2308+G2308-K2308)</f>
        <v>17.419990000000002</v>
      </c>
      <c r="M2308" s="15">
        <f t="shared" ref="M2308:M2371" si="531">MIN(I2308,L2308)</f>
        <v>13.75</v>
      </c>
      <c r="N2308" s="15">
        <f t="shared" ref="N2308:N2371" si="532">MIN(B2308,MAX(0,L2308-M2308))</f>
        <v>3.6699900000000021</v>
      </c>
      <c r="O2308" s="15">
        <f t="shared" ref="O2308:O2371" si="533">MAX(0,L2308-M2308-B2308)</f>
        <v>0</v>
      </c>
      <c r="P2308" s="15">
        <f t="shared" ref="P2308:P2371" si="534">MAX(0,I2308-M2308)</f>
        <v>0</v>
      </c>
      <c r="Q2308" s="14" t="str">
        <f>IF(M2308&gt;=I2308*'Hoja 4 - Cálculo'!$B$16,"Satisfactorio","Falla")</f>
        <v>Satisfactorio</v>
      </c>
      <c r="R2308" s="14">
        <f t="shared" si="527"/>
        <v>0</v>
      </c>
      <c r="S2308" s="14">
        <f t="shared" si="528"/>
        <v>0</v>
      </c>
    </row>
    <row r="2309" spans="1:19">
      <c r="A2309" s="14" t="str">
        <f t="shared" si="524"/>
        <v>CFG-2</v>
      </c>
      <c r="B2309" s="15">
        <f>'Curvas SRY'!$E$11</f>
        <v>5</v>
      </c>
      <c r="C2309" s="15">
        <f>1</f>
        <v>1</v>
      </c>
      <c r="D2309" s="14" t="str">
        <f t="shared" si="525"/>
        <v>Uso múltiple</v>
      </c>
      <c r="E2309" s="14">
        <f>26</f>
        <v>26</v>
      </c>
      <c r="F2309" s="21">
        <f>'Hoja 4 - Cálculo'!A50</f>
        <v>30348</v>
      </c>
      <c r="G2309" s="15">
        <f>'Hoja 4 - Cálculo'!H50</f>
        <v>14.49675</v>
      </c>
      <c r="H2309" s="15">
        <f>IF(D2309="Uso único",'Hoja 4 - Cálculo'!I50,IF(D2309="Uso múltiple",AVERAGE('Hoja 4 - Cálculo'!$I$25:$I$384)+AVERAGE('Hoja 4 - Cálculo'!$J$25:$J$384)+AVERAGE('Hoja 4 - Cálculo'!$K$25:$K$384),IF(D2309="Uso prioritario",'Hoja 4 - Cálculo'!I50+'Hoja 4 - Cálculo'!K50,'Hoja 4 - Cálculo'!I50+'Hoja 4 - Cálculo'!J50+'Hoja 4 - Cálculo'!K50)))</f>
        <v>13.75</v>
      </c>
      <c r="I2309" s="15">
        <f t="shared" si="529"/>
        <v>13.75</v>
      </c>
      <c r="J2309" s="15">
        <f t="shared" si="526"/>
        <v>3.6699900000000021</v>
      </c>
      <c r="K2309" s="15">
        <f>MIN(J2309+G2309,(J2309+G2309)*'Hoja 4 - Cálculo'!$B$15)</f>
        <v>0.36333480000000007</v>
      </c>
      <c r="L2309" s="15">
        <f t="shared" si="530"/>
        <v>17.803405200000004</v>
      </c>
      <c r="M2309" s="15">
        <f t="shared" si="531"/>
        <v>13.75</v>
      </c>
      <c r="N2309" s="15">
        <f t="shared" si="532"/>
        <v>4.0534052000000038</v>
      </c>
      <c r="O2309" s="15">
        <f t="shared" si="533"/>
        <v>0</v>
      </c>
      <c r="P2309" s="15">
        <f t="shared" si="534"/>
        <v>0</v>
      </c>
      <c r="Q2309" s="14" t="str">
        <f>IF(M2309&gt;=I2309*'Hoja 4 - Cálculo'!$B$16,"Satisfactorio","Falla")</f>
        <v>Satisfactorio</v>
      </c>
      <c r="R2309" s="14">
        <f t="shared" si="527"/>
        <v>0</v>
      </c>
      <c r="S2309" s="14">
        <f t="shared" si="528"/>
        <v>0</v>
      </c>
    </row>
    <row r="2310" spans="1:19">
      <c r="A2310" s="14" t="str">
        <f t="shared" si="524"/>
        <v>CFG-2</v>
      </c>
      <c r="B2310" s="15">
        <f>'Curvas SRY'!$E$11</f>
        <v>5</v>
      </c>
      <c r="C2310" s="15">
        <f>1</f>
        <v>1</v>
      </c>
      <c r="D2310" s="14" t="str">
        <f t="shared" si="525"/>
        <v>Uso múltiple</v>
      </c>
      <c r="E2310" s="14">
        <f>27</f>
        <v>27</v>
      </c>
      <c r="F2310" s="21">
        <f>'Hoja 4 - Cálculo'!A51</f>
        <v>30376</v>
      </c>
      <c r="G2310" s="15">
        <f>'Hoja 4 - Cálculo'!H51</f>
        <v>21.936375000000002</v>
      </c>
      <c r="H2310" s="15">
        <f>IF(D2310="Uso único",'Hoja 4 - Cálculo'!I51,IF(D2310="Uso múltiple",AVERAGE('Hoja 4 - Cálculo'!$I$25:$I$384)+AVERAGE('Hoja 4 - Cálculo'!$J$25:$J$384)+AVERAGE('Hoja 4 - Cálculo'!$K$25:$K$384),IF(D2310="Uso prioritario",'Hoja 4 - Cálculo'!I51+'Hoja 4 - Cálculo'!K51,'Hoja 4 - Cálculo'!I51+'Hoja 4 - Cálculo'!J51+'Hoja 4 - Cálculo'!K51)))</f>
        <v>13.75</v>
      </c>
      <c r="I2310" s="15">
        <f t="shared" si="529"/>
        <v>13.75</v>
      </c>
      <c r="J2310" s="15">
        <f t="shared" si="526"/>
        <v>4.0534052000000038</v>
      </c>
      <c r="K2310" s="15">
        <f>MIN(J2310+G2310,(J2310+G2310)*'Hoja 4 - Cálculo'!$B$15)</f>
        <v>0.51979560400000013</v>
      </c>
      <c r="L2310" s="15">
        <f t="shared" si="530"/>
        <v>25.469984596000007</v>
      </c>
      <c r="M2310" s="15">
        <f t="shared" si="531"/>
        <v>13.75</v>
      </c>
      <c r="N2310" s="15">
        <f t="shared" si="532"/>
        <v>5</v>
      </c>
      <c r="O2310" s="15">
        <f t="shared" si="533"/>
        <v>6.7199845960000069</v>
      </c>
      <c r="P2310" s="15">
        <f t="shared" si="534"/>
        <v>0</v>
      </c>
      <c r="Q2310" s="14" t="str">
        <f>IF(M2310&gt;=I2310*'Hoja 4 - Cálculo'!$B$16,"Satisfactorio","Falla")</f>
        <v>Satisfactorio</v>
      </c>
      <c r="R2310" s="14">
        <f t="shared" si="527"/>
        <v>0</v>
      </c>
      <c r="S2310" s="14">
        <f t="shared" si="528"/>
        <v>0</v>
      </c>
    </row>
    <row r="2311" spans="1:19">
      <c r="A2311" s="14" t="str">
        <f t="shared" si="524"/>
        <v>CFG-2</v>
      </c>
      <c r="B2311" s="15">
        <f>'Curvas SRY'!$E$11</f>
        <v>5</v>
      </c>
      <c r="C2311" s="15">
        <f>1</f>
        <v>1</v>
      </c>
      <c r="D2311" s="14" t="str">
        <f t="shared" si="525"/>
        <v>Uso múltiple</v>
      </c>
      <c r="E2311" s="14">
        <f>28</f>
        <v>28</v>
      </c>
      <c r="F2311" s="21">
        <f>'Hoja 4 - Cálculo'!A52</f>
        <v>30407</v>
      </c>
      <c r="G2311" s="15">
        <f>'Hoja 4 - Cálculo'!H52</f>
        <v>32.263874999999999</v>
      </c>
      <c r="H2311" s="15">
        <f>IF(D2311="Uso único",'Hoja 4 - Cálculo'!I52,IF(D2311="Uso múltiple",AVERAGE('Hoja 4 - Cálculo'!$I$25:$I$384)+AVERAGE('Hoja 4 - Cálculo'!$J$25:$J$384)+AVERAGE('Hoja 4 - Cálculo'!$K$25:$K$384),IF(D2311="Uso prioritario",'Hoja 4 - Cálculo'!I52+'Hoja 4 - Cálculo'!K52,'Hoja 4 - Cálculo'!I52+'Hoja 4 - Cálculo'!J52+'Hoja 4 - Cálculo'!K52)))</f>
        <v>13.75</v>
      </c>
      <c r="I2311" s="15">
        <f t="shared" si="529"/>
        <v>13.75</v>
      </c>
      <c r="J2311" s="15">
        <f t="shared" si="526"/>
        <v>5</v>
      </c>
      <c r="K2311" s="15">
        <f>MIN(J2311+G2311,(J2311+G2311)*'Hoja 4 - Cálculo'!$B$15)</f>
        <v>0.74527750000000004</v>
      </c>
      <c r="L2311" s="15">
        <f t="shared" si="530"/>
        <v>36.518597499999998</v>
      </c>
      <c r="M2311" s="15">
        <f t="shared" si="531"/>
        <v>13.75</v>
      </c>
      <c r="N2311" s="15">
        <f t="shared" si="532"/>
        <v>5</v>
      </c>
      <c r="O2311" s="15">
        <f t="shared" si="533"/>
        <v>17.768597499999998</v>
      </c>
      <c r="P2311" s="15">
        <f t="shared" si="534"/>
        <v>0</v>
      </c>
      <c r="Q2311" s="14" t="str">
        <f>IF(M2311&gt;=I2311*'Hoja 4 - Cálculo'!$B$16,"Satisfactorio","Falla")</f>
        <v>Satisfactorio</v>
      </c>
      <c r="R2311" s="14">
        <f t="shared" si="527"/>
        <v>0</v>
      </c>
      <c r="S2311" s="14">
        <f t="shared" si="528"/>
        <v>0</v>
      </c>
    </row>
    <row r="2312" spans="1:19">
      <c r="A2312" s="14" t="str">
        <f t="shared" si="524"/>
        <v>CFG-2</v>
      </c>
      <c r="B2312" s="15">
        <f>'Curvas SRY'!$E$11</f>
        <v>5</v>
      </c>
      <c r="C2312" s="15">
        <f>1</f>
        <v>1</v>
      </c>
      <c r="D2312" s="14" t="str">
        <f t="shared" si="525"/>
        <v>Uso múltiple</v>
      </c>
      <c r="E2312" s="14">
        <f>29</f>
        <v>29</v>
      </c>
      <c r="F2312" s="21">
        <f>'Hoja 4 - Cálculo'!A53</f>
        <v>30437</v>
      </c>
      <c r="G2312" s="15">
        <f>'Hoja 4 - Cálculo'!H53</f>
        <v>29.356874999999999</v>
      </c>
      <c r="H2312" s="15">
        <f>IF(D2312="Uso único",'Hoja 4 - Cálculo'!I53,IF(D2312="Uso múltiple",AVERAGE('Hoja 4 - Cálculo'!$I$25:$I$384)+AVERAGE('Hoja 4 - Cálculo'!$J$25:$J$384)+AVERAGE('Hoja 4 - Cálculo'!$K$25:$K$384),IF(D2312="Uso prioritario",'Hoja 4 - Cálculo'!I53+'Hoja 4 - Cálculo'!K53,'Hoja 4 - Cálculo'!I53+'Hoja 4 - Cálculo'!J53+'Hoja 4 - Cálculo'!K53)))</f>
        <v>13.75</v>
      </c>
      <c r="I2312" s="15">
        <f t="shared" si="529"/>
        <v>13.75</v>
      </c>
      <c r="J2312" s="15">
        <f t="shared" si="526"/>
        <v>5</v>
      </c>
      <c r="K2312" s="15">
        <f>MIN(J2312+G2312,(J2312+G2312)*'Hoja 4 - Cálculo'!$B$15)</f>
        <v>0.68713750000000007</v>
      </c>
      <c r="L2312" s="15">
        <f t="shared" si="530"/>
        <v>33.669737500000004</v>
      </c>
      <c r="M2312" s="15">
        <f t="shared" si="531"/>
        <v>13.75</v>
      </c>
      <c r="N2312" s="15">
        <f t="shared" si="532"/>
        <v>5</v>
      </c>
      <c r="O2312" s="15">
        <f t="shared" si="533"/>
        <v>14.919737500000004</v>
      </c>
      <c r="P2312" s="15">
        <f t="shared" si="534"/>
        <v>0</v>
      </c>
      <c r="Q2312" s="14" t="str">
        <f>IF(M2312&gt;=I2312*'Hoja 4 - Cálculo'!$B$16,"Satisfactorio","Falla")</f>
        <v>Satisfactorio</v>
      </c>
      <c r="R2312" s="14">
        <f t="shared" si="527"/>
        <v>0</v>
      </c>
      <c r="S2312" s="14">
        <f t="shared" si="528"/>
        <v>0</v>
      </c>
    </row>
    <row r="2313" spans="1:19">
      <c r="A2313" s="14" t="str">
        <f t="shared" si="524"/>
        <v>CFG-2</v>
      </c>
      <c r="B2313" s="15">
        <f>'Curvas SRY'!$E$11</f>
        <v>5</v>
      </c>
      <c r="C2313" s="15">
        <f>1</f>
        <v>1</v>
      </c>
      <c r="D2313" s="14" t="str">
        <f t="shared" si="525"/>
        <v>Uso múltiple</v>
      </c>
      <c r="E2313" s="14">
        <f>30</f>
        <v>30</v>
      </c>
      <c r="F2313" s="21">
        <f>'Hoja 4 - Cálculo'!A54</f>
        <v>30468</v>
      </c>
      <c r="G2313" s="15">
        <f>'Hoja 4 - Cálculo'!H54</f>
        <v>17.212499999999999</v>
      </c>
      <c r="H2313" s="15">
        <f>IF(D2313="Uso único",'Hoja 4 - Cálculo'!I54,IF(D2313="Uso múltiple",AVERAGE('Hoja 4 - Cálculo'!$I$25:$I$384)+AVERAGE('Hoja 4 - Cálculo'!$J$25:$J$384)+AVERAGE('Hoja 4 - Cálculo'!$K$25:$K$384),IF(D2313="Uso prioritario",'Hoja 4 - Cálculo'!I54+'Hoja 4 - Cálculo'!K54,'Hoja 4 - Cálculo'!I54+'Hoja 4 - Cálculo'!J54+'Hoja 4 - Cálculo'!K54)))</f>
        <v>13.75</v>
      </c>
      <c r="I2313" s="15">
        <f t="shared" si="529"/>
        <v>13.75</v>
      </c>
      <c r="J2313" s="15">
        <f t="shared" si="526"/>
        <v>5</v>
      </c>
      <c r="K2313" s="15">
        <f>MIN(J2313+G2313,(J2313+G2313)*'Hoja 4 - Cálculo'!$B$15)</f>
        <v>0.44424999999999998</v>
      </c>
      <c r="L2313" s="15">
        <f t="shared" si="530"/>
        <v>21.768249999999998</v>
      </c>
      <c r="M2313" s="15">
        <f t="shared" si="531"/>
        <v>13.75</v>
      </c>
      <c r="N2313" s="15">
        <f t="shared" si="532"/>
        <v>5</v>
      </c>
      <c r="O2313" s="15">
        <f t="shared" si="533"/>
        <v>3.0182499999999983</v>
      </c>
      <c r="P2313" s="15">
        <f t="shared" si="534"/>
        <v>0</v>
      </c>
      <c r="Q2313" s="14" t="str">
        <f>IF(M2313&gt;=I2313*'Hoja 4 - Cálculo'!$B$16,"Satisfactorio","Falla")</f>
        <v>Satisfactorio</v>
      </c>
      <c r="R2313" s="14">
        <f t="shared" si="527"/>
        <v>0</v>
      </c>
      <c r="S2313" s="14">
        <f t="shared" si="528"/>
        <v>0</v>
      </c>
    </row>
    <row r="2314" spans="1:19">
      <c r="A2314" s="14" t="str">
        <f t="shared" si="524"/>
        <v>CFG-2</v>
      </c>
      <c r="B2314" s="15">
        <f>'Curvas SRY'!$E$11</f>
        <v>5</v>
      </c>
      <c r="C2314" s="15">
        <f>1</f>
        <v>1</v>
      </c>
      <c r="D2314" s="14" t="str">
        <f t="shared" si="525"/>
        <v>Uso múltiple</v>
      </c>
      <c r="E2314" s="14">
        <f>31</f>
        <v>31</v>
      </c>
      <c r="F2314" s="21">
        <f>'Hoja 4 - Cálculo'!A55</f>
        <v>30498</v>
      </c>
      <c r="G2314" s="15">
        <f>'Hoja 4 - Cálculo'!H55</f>
        <v>13.597875</v>
      </c>
      <c r="H2314" s="15">
        <f>IF(D2314="Uso único",'Hoja 4 - Cálculo'!I55,IF(D2314="Uso múltiple",AVERAGE('Hoja 4 - Cálculo'!$I$25:$I$384)+AVERAGE('Hoja 4 - Cálculo'!$J$25:$J$384)+AVERAGE('Hoja 4 - Cálculo'!$K$25:$K$384),IF(D2314="Uso prioritario",'Hoja 4 - Cálculo'!I55+'Hoja 4 - Cálculo'!K55,'Hoja 4 - Cálculo'!I55+'Hoja 4 - Cálculo'!J55+'Hoja 4 - Cálculo'!K55)))</f>
        <v>13.75</v>
      </c>
      <c r="I2314" s="15">
        <f t="shared" si="529"/>
        <v>13.75</v>
      </c>
      <c r="J2314" s="15">
        <f t="shared" si="526"/>
        <v>5</v>
      </c>
      <c r="K2314" s="15">
        <f>MIN(J2314+G2314,(J2314+G2314)*'Hoja 4 - Cálculo'!$B$15)</f>
        <v>0.37195750000000005</v>
      </c>
      <c r="L2314" s="15">
        <f t="shared" si="530"/>
        <v>18.225917500000001</v>
      </c>
      <c r="M2314" s="15">
        <f t="shared" si="531"/>
        <v>13.75</v>
      </c>
      <c r="N2314" s="15">
        <f t="shared" si="532"/>
        <v>4.4759175000000013</v>
      </c>
      <c r="O2314" s="15">
        <f t="shared" si="533"/>
        <v>0</v>
      </c>
      <c r="P2314" s="15">
        <f t="shared" si="534"/>
        <v>0</v>
      </c>
      <c r="Q2314" s="14" t="str">
        <f>IF(M2314&gt;=I2314*'Hoja 4 - Cálculo'!$B$16,"Satisfactorio","Falla")</f>
        <v>Satisfactorio</v>
      </c>
      <c r="R2314" s="14">
        <f t="shared" si="527"/>
        <v>0</v>
      </c>
      <c r="S2314" s="14">
        <f t="shared" si="528"/>
        <v>0</v>
      </c>
    </row>
    <row r="2315" spans="1:19">
      <c r="A2315" s="14" t="str">
        <f t="shared" si="524"/>
        <v>CFG-2</v>
      </c>
      <c r="B2315" s="15">
        <f>'Curvas SRY'!$E$11</f>
        <v>5</v>
      </c>
      <c r="C2315" s="15">
        <f>1</f>
        <v>1</v>
      </c>
      <c r="D2315" s="14" t="str">
        <f t="shared" si="525"/>
        <v>Uso múltiple</v>
      </c>
      <c r="E2315" s="14">
        <f>32</f>
        <v>32</v>
      </c>
      <c r="F2315" s="21">
        <f>'Hoja 4 - Cálculo'!A56</f>
        <v>30529</v>
      </c>
      <c r="G2315" s="15">
        <f>'Hoja 4 - Cálculo'!H56</f>
        <v>14.592375000000001</v>
      </c>
      <c r="H2315" s="15">
        <f>IF(D2315="Uso único",'Hoja 4 - Cálculo'!I56,IF(D2315="Uso múltiple",AVERAGE('Hoja 4 - Cálculo'!$I$25:$I$384)+AVERAGE('Hoja 4 - Cálculo'!$J$25:$J$384)+AVERAGE('Hoja 4 - Cálculo'!$K$25:$K$384),IF(D2315="Uso prioritario",'Hoja 4 - Cálculo'!I56+'Hoja 4 - Cálculo'!K56,'Hoja 4 - Cálculo'!I56+'Hoja 4 - Cálculo'!J56+'Hoja 4 - Cálculo'!K56)))</f>
        <v>13.75</v>
      </c>
      <c r="I2315" s="15">
        <f t="shared" si="529"/>
        <v>13.75</v>
      </c>
      <c r="J2315" s="15">
        <f t="shared" si="526"/>
        <v>4.4759175000000013</v>
      </c>
      <c r="K2315" s="15">
        <f>MIN(J2315+G2315,(J2315+G2315)*'Hoja 4 - Cálculo'!$B$15)</f>
        <v>0.38136585000000006</v>
      </c>
      <c r="L2315" s="15">
        <f t="shared" si="530"/>
        <v>18.68692665</v>
      </c>
      <c r="M2315" s="15">
        <f t="shared" si="531"/>
        <v>13.75</v>
      </c>
      <c r="N2315" s="15">
        <f t="shared" si="532"/>
        <v>4.9369266500000002</v>
      </c>
      <c r="O2315" s="15">
        <f t="shared" si="533"/>
        <v>0</v>
      </c>
      <c r="P2315" s="15">
        <f t="shared" si="534"/>
        <v>0</v>
      </c>
      <c r="Q2315" s="14" t="str">
        <f>IF(M2315&gt;=I2315*'Hoja 4 - Cálculo'!$B$16,"Satisfactorio","Falla")</f>
        <v>Satisfactorio</v>
      </c>
      <c r="R2315" s="14">
        <f t="shared" si="527"/>
        <v>0</v>
      </c>
      <c r="S2315" s="14">
        <f t="shared" si="528"/>
        <v>0</v>
      </c>
    </row>
    <row r="2316" spans="1:19">
      <c r="A2316" s="14" t="str">
        <f t="shared" ref="A2316:A2347" si="535">"CFG-2"</f>
        <v>CFG-2</v>
      </c>
      <c r="B2316" s="15">
        <f>'Curvas SRY'!$E$11</f>
        <v>5</v>
      </c>
      <c r="C2316" s="15">
        <f>1</f>
        <v>1</v>
      </c>
      <c r="D2316" s="14" t="str">
        <f t="shared" ref="D2316:D2347" si="536">"Uso múltiple"</f>
        <v>Uso múltiple</v>
      </c>
      <c r="E2316" s="14">
        <f>33</f>
        <v>33</v>
      </c>
      <c r="F2316" s="21">
        <f>'Hoja 4 - Cálculo'!A57</f>
        <v>30560</v>
      </c>
      <c r="G2316" s="15">
        <f>'Hoja 4 - Cálculo'!H57</f>
        <v>24.307874999999999</v>
      </c>
      <c r="H2316" s="15">
        <f>IF(D2316="Uso único",'Hoja 4 - Cálculo'!I57,IF(D2316="Uso múltiple",AVERAGE('Hoja 4 - Cálculo'!$I$25:$I$384)+AVERAGE('Hoja 4 - Cálculo'!$J$25:$J$384)+AVERAGE('Hoja 4 - Cálculo'!$K$25:$K$384),IF(D2316="Uso prioritario",'Hoja 4 - Cálculo'!I57+'Hoja 4 - Cálculo'!K57,'Hoja 4 - Cálculo'!I57+'Hoja 4 - Cálculo'!J57+'Hoja 4 - Cálculo'!K57)))</f>
        <v>13.75</v>
      </c>
      <c r="I2316" s="15">
        <f t="shared" si="529"/>
        <v>13.75</v>
      </c>
      <c r="J2316" s="15">
        <f t="shared" si="526"/>
        <v>4.9369266500000002</v>
      </c>
      <c r="K2316" s="15">
        <f>MIN(J2316+G2316,(J2316+G2316)*'Hoja 4 - Cálculo'!$B$15)</f>
        <v>0.58489603300000004</v>
      </c>
      <c r="L2316" s="15">
        <f t="shared" si="530"/>
        <v>28.659905617</v>
      </c>
      <c r="M2316" s="15">
        <f t="shared" si="531"/>
        <v>13.75</v>
      </c>
      <c r="N2316" s="15">
        <f t="shared" si="532"/>
        <v>5</v>
      </c>
      <c r="O2316" s="15">
        <f t="shared" si="533"/>
        <v>9.9099056169999997</v>
      </c>
      <c r="P2316" s="15">
        <f t="shared" si="534"/>
        <v>0</v>
      </c>
      <c r="Q2316" s="14" t="str">
        <f>IF(M2316&gt;=I2316*'Hoja 4 - Cálculo'!$B$16,"Satisfactorio","Falla")</f>
        <v>Satisfactorio</v>
      </c>
      <c r="R2316" s="14">
        <f t="shared" si="527"/>
        <v>0</v>
      </c>
      <c r="S2316" s="14">
        <f t="shared" si="528"/>
        <v>0</v>
      </c>
    </row>
    <row r="2317" spans="1:19">
      <c r="A2317" s="14" t="str">
        <f t="shared" si="535"/>
        <v>CFG-2</v>
      </c>
      <c r="B2317" s="15">
        <f>'Curvas SRY'!$E$11</f>
        <v>5</v>
      </c>
      <c r="C2317" s="15">
        <f>1</f>
        <v>1</v>
      </c>
      <c r="D2317" s="14" t="str">
        <f t="shared" si="536"/>
        <v>Uso múltiple</v>
      </c>
      <c r="E2317" s="14">
        <f>34</f>
        <v>34</v>
      </c>
      <c r="F2317" s="21">
        <f>'Hoja 4 - Cálculo'!A58</f>
        <v>30590</v>
      </c>
      <c r="G2317" s="15">
        <f>'Hoja 4 - Cálculo'!H58</f>
        <v>33.564374999999998</v>
      </c>
      <c r="H2317" s="15">
        <f>IF(D2317="Uso único",'Hoja 4 - Cálculo'!I58,IF(D2317="Uso múltiple",AVERAGE('Hoja 4 - Cálculo'!$I$25:$I$384)+AVERAGE('Hoja 4 - Cálculo'!$J$25:$J$384)+AVERAGE('Hoja 4 - Cálculo'!$K$25:$K$384),IF(D2317="Uso prioritario",'Hoja 4 - Cálculo'!I58+'Hoja 4 - Cálculo'!K58,'Hoja 4 - Cálculo'!I58+'Hoja 4 - Cálculo'!J58+'Hoja 4 - Cálculo'!K58)))</f>
        <v>13.75</v>
      </c>
      <c r="I2317" s="15">
        <f t="shared" si="529"/>
        <v>13.75</v>
      </c>
      <c r="J2317" s="15">
        <f t="shared" ref="J2317:J2348" si="537">N2316</f>
        <v>5</v>
      </c>
      <c r="K2317" s="15">
        <f>MIN(J2317+G2317,(J2317+G2317)*'Hoja 4 - Cálculo'!$B$15)</f>
        <v>0.77128750000000001</v>
      </c>
      <c r="L2317" s="15">
        <f t="shared" si="530"/>
        <v>37.793087499999999</v>
      </c>
      <c r="M2317" s="15">
        <f t="shared" si="531"/>
        <v>13.75</v>
      </c>
      <c r="N2317" s="15">
        <f t="shared" si="532"/>
        <v>5</v>
      </c>
      <c r="O2317" s="15">
        <f t="shared" si="533"/>
        <v>19.043087499999999</v>
      </c>
      <c r="P2317" s="15">
        <f t="shared" si="534"/>
        <v>0</v>
      </c>
      <c r="Q2317" s="14" t="str">
        <f>IF(M2317&gt;=I2317*'Hoja 4 - Cálculo'!$B$16,"Satisfactorio","Falla")</f>
        <v>Satisfactorio</v>
      </c>
      <c r="R2317" s="14">
        <f t="shared" ref="R2317:R2348" si="538">IF(AND(Q2316="Falla",Q2317="Satisfactorio"),1,0)</f>
        <v>0</v>
      </c>
      <c r="S2317" s="14">
        <f t="shared" ref="S2317:S2348" si="539">IF(AND(Q2317="Falla",Q2316&lt;&gt;"Falla"),1,0)</f>
        <v>0</v>
      </c>
    </row>
    <row r="2318" spans="1:19">
      <c r="A2318" s="14" t="str">
        <f t="shared" si="535"/>
        <v>CFG-2</v>
      </c>
      <c r="B2318" s="15">
        <f>'Curvas SRY'!$E$11</f>
        <v>5</v>
      </c>
      <c r="C2318" s="15">
        <f>1</f>
        <v>1</v>
      </c>
      <c r="D2318" s="14" t="str">
        <f t="shared" si="536"/>
        <v>Uso múltiple</v>
      </c>
      <c r="E2318" s="14">
        <f>35</f>
        <v>35</v>
      </c>
      <c r="F2318" s="21">
        <f>'Hoja 4 - Cálculo'!A59</f>
        <v>30621</v>
      </c>
      <c r="G2318" s="15">
        <f>'Hoja 4 - Cálculo'!H59</f>
        <v>28.075500000000002</v>
      </c>
      <c r="H2318" s="15">
        <f>IF(D2318="Uso único",'Hoja 4 - Cálculo'!I59,IF(D2318="Uso múltiple",AVERAGE('Hoja 4 - Cálculo'!$I$25:$I$384)+AVERAGE('Hoja 4 - Cálculo'!$J$25:$J$384)+AVERAGE('Hoja 4 - Cálculo'!$K$25:$K$384),IF(D2318="Uso prioritario",'Hoja 4 - Cálculo'!I59+'Hoja 4 - Cálculo'!K59,'Hoja 4 - Cálculo'!I59+'Hoja 4 - Cálculo'!J59+'Hoja 4 - Cálculo'!K59)))</f>
        <v>13.75</v>
      </c>
      <c r="I2318" s="15">
        <f t="shared" si="529"/>
        <v>13.75</v>
      </c>
      <c r="J2318" s="15">
        <f t="shared" si="537"/>
        <v>5</v>
      </c>
      <c r="K2318" s="15">
        <f>MIN(J2318+G2318,(J2318+G2318)*'Hoja 4 - Cálculo'!$B$15)</f>
        <v>0.66151000000000015</v>
      </c>
      <c r="L2318" s="15">
        <f t="shared" si="530"/>
        <v>32.413990000000005</v>
      </c>
      <c r="M2318" s="15">
        <f t="shared" si="531"/>
        <v>13.75</v>
      </c>
      <c r="N2318" s="15">
        <f t="shared" si="532"/>
        <v>5</v>
      </c>
      <c r="O2318" s="15">
        <f t="shared" si="533"/>
        <v>13.663990000000005</v>
      </c>
      <c r="P2318" s="15">
        <f t="shared" si="534"/>
        <v>0</v>
      </c>
      <c r="Q2318" s="14" t="str">
        <f>IF(M2318&gt;=I2318*'Hoja 4 - Cálculo'!$B$16,"Satisfactorio","Falla")</f>
        <v>Satisfactorio</v>
      </c>
      <c r="R2318" s="14">
        <f t="shared" si="538"/>
        <v>0</v>
      </c>
      <c r="S2318" s="14">
        <f t="shared" si="539"/>
        <v>0</v>
      </c>
    </row>
    <row r="2319" spans="1:19">
      <c r="A2319" s="14" t="str">
        <f t="shared" si="535"/>
        <v>CFG-2</v>
      </c>
      <c r="B2319" s="15">
        <f>'Curvas SRY'!$E$11</f>
        <v>5</v>
      </c>
      <c r="C2319" s="15">
        <f>1</f>
        <v>1</v>
      </c>
      <c r="D2319" s="14" t="str">
        <f t="shared" si="536"/>
        <v>Uso múltiple</v>
      </c>
      <c r="E2319" s="14">
        <f>36</f>
        <v>36</v>
      </c>
      <c r="F2319" s="21">
        <f>'Hoja 4 - Cálculo'!A60</f>
        <v>30651</v>
      </c>
      <c r="G2319" s="15">
        <f>'Hoja 4 - Cálculo'!H60</f>
        <v>15.931125</v>
      </c>
      <c r="H2319" s="15">
        <f>IF(D2319="Uso único",'Hoja 4 - Cálculo'!I60,IF(D2319="Uso múltiple",AVERAGE('Hoja 4 - Cálculo'!$I$25:$I$384)+AVERAGE('Hoja 4 - Cálculo'!$J$25:$J$384)+AVERAGE('Hoja 4 - Cálculo'!$K$25:$K$384),IF(D2319="Uso prioritario",'Hoja 4 - Cálculo'!I60+'Hoja 4 - Cálculo'!K60,'Hoja 4 - Cálculo'!I60+'Hoja 4 - Cálculo'!J60+'Hoja 4 - Cálculo'!K60)))</f>
        <v>13.75</v>
      </c>
      <c r="I2319" s="15">
        <f t="shared" si="529"/>
        <v>13.75</v>
      </c>
      <c r="J2319" s="15">
        <f t="shared" si="537"/>
        <v>5</v>
      </c>
      <c r="K2319" s="15">
        <f>MIN(J2319+G2319,(J2319+G2319)*'Hoja 4 - Cálculo'!$B$15)</f>
        <v>0.41862250000000006</v>
      </c>
      <c r="L2319" s="15">
        <f t="shared" si="530"/>
        <v>20.5125025</v>
      </c>
      <c r="M2319" s="15">
        <f t="shared" si="531"/>
        <v>13.75</v>
      </c>
      <c r="N2319" s="15">
        <f t="shared" si="532"/>
        <v>5</v>
      </c>
      <c r="O2319" s="15">
        <f t="shared" si="533"/>
        <v>1.7625025000000001</v>
      </c>
      <c r="P2319" s="15">
        <f t="shared" si="534"/>
        <v>0</v>
      </c>
      <c r="Q2319" s="14" t="str">
        <f>IF(M2319&gt;=I2319*'Hoja 4 - Cálculo'!$B$16,"Satisfactorio","Falla")</f>
        <v>Satisfactorio</v>
      </c>
      <c r="R2319" s="14">
        <f t="shared" si="538"/>
        <v>0</v>
      </c>
      <c r="S2319" s="14">
        <f t="shared" si="539"/>
        <v>0</v>
      </c>
    </row>
    <row r="2320" spans="1:19">
      <c r="A2320" s="14" t="str">
        <f t="shared" si="535"/>
        <v>CFG-2</v>
      </c>
      <c r="B2320" s="15">
        <f>'Curvas SRY'!$E$11</f>
        <v>5</v>
      </c>
      <c r="C2320" s="15">
        <f>1</f>
        <v>1</v>
      </c>
      <c r="D2320" s="14" t="str">
        <f t="shared" si="536"/>
        <v>Uso múltiple</v>
      </c>
      <c r="E2320" s="14">
        <f>37</f>
        <v>37</v>
      </c>
      <c r="F2320" s="21">
        <f>'Hoja 4 - Cálculo'!A61</f>
        <v>30682</v>
      </c>
      <c r="G2320" s="15">
        <f>'Hoja 4 - Cálculo'!H61</f>
        <v>10.920375</v>
      </c>
      <c r="H2320" s="15">
        <f>IF(D2320="Uso único",'Hoja 4 - Cálculo'!I61,IF(D2320="Uso múltiple",AVERAGE('Hoja 4 - Cálculo'!$I$25:$I$384)+AVERAGE('Hoja 4 - Cálculo'!$J$25:$J$384)+AVERAGE('Hoja 4 - Cálculo'!$K$25:$K$384),IF(D2320="Uso prioritario",'Hoja 4 - Cálculo'!I61+'Hoja 4 - Cálculo'!K61,'Hoja 4 - Cálculo'!I61+'Hoja 4 - Cálculo'!J61+'Hoja 4 - Cálculo'!K61)))</f>
        <v>13.75</v>
      </c>
      <c r="I2320" s="15">
        <f t="shared" si="529"/>
        <v>13.75</v>
      </c>
      <c r="J2320" s="15">
        <f t="shared" si="537"/>
        <v>5</v>
      </c>
      <c r="K2320" s="15">
        <f>MIN(J2320+G2320,(J2320+G2320)*'Hoja 4 - Cálculo'!$B$15)</f>
        <v>0.31840750000000001</v>
      </c>
      <c r="L2320" s="15">
        <f t="shared" si="530"/>
        <v>15.601967500000001</v>
      </c>
      <c r="M2320" s="15">
        <f t="shared" si="531"/>
        <v>13.75</v>
      </c>
      <c r="N2320" s="15">
        <f t="shared" si="532"/>
        <v>1.8519675000000007</v>
      </c>
      <c r="O2320" s="15">
        <f t="shared" si="533"/>
        <v>0</v>
      </c>
      <c r="P2320" s="15">
        <f t="shared" si="534"/>
        <v>0</v>
      </c>
      <c r="Q2320" s="14" t="str">
        <f>IF(M2320&gt;=I2320*'Hoja 4 - Cálculo'!$B$16,"Satisfactorio","Falla")</f>
        <v>Satisfactorio</v>
      </c>
      <c r="R2320" s="14">
        <f t="shared" si="538"/>
        <v>0</v>
      </c>
      <c r="S2320" s="14">
        <f t="shared" si="539"/>
        <v>0</v>
      </c>
    </row>
    <row r="2321" spans="1:19">
      <c r="A2321" s="14" t="str">
        <f t="shared" si="535"/>
        <v>CFG-2</v>
      </c>
      <c r="B2321" s="15">
        <f>'Curvas SRY'!$E$11</f>
        <v>5</v>
      </c>
      <c r="C2321" s="15">
        <f>1</f>
        <v>1</v>
      </c>
      <c r="D2321" s="14" t="str">
        <f t="shared" si="536"/>
        <v>Uso múltiple</v>
      </c>
      <c r="E2321" s="14">
        <f>38</f>
        <v>38</v>
      </c>
      <c r="F2321" s="21">
        <f>'Hoja 4 - Cálculo'!A62</f>
        <v>30713</v>
      </c>
      <c r="G2321" s="15">
        <f>'Hoja 4 - Cálculo'!H62</f>
        <v>13.04325</v>
      </c>
      <c r="H2321" s="15">
        <f>IF(D2321="Uso único",'Hoja 4 - Cálculo'!I62,IF(D2321="Uso múltiple",AVERAGE('Hoja 4 - Cálculo'!$I$25:$I$384)+AVERAGE('Hoja 4 - Cálculo'!$J$25:$J$384)+AVERAGE('Hoja 4 - Cálculo'!$K$25:$K$384),IF(D2321="Uso prioritario",'Hoja 4 - Cálculo'!I62+'Hoja 4 - Cálculo'!K62,'Hoja 4 - Cálculo'!I62+'Hoja 4 - Cálculo'!J62+'Hoja 4 - Cálculo'!K62)))</f>
        <v>13.75</v>
      </c>
      <c r="I2321" s="15">
        <f t="shared" si="529"/>
        <v>13.75</v>
      </c>
      <c r="J2321" s="15">
        <f t="shared" si="537"/>
        <v>1.8519675000000007</v>
      </c>
      <c r="K2321" s="15">
        <f>MIN(J2321+G2321,(J2321+G2321)*'Hoja 4 - Cálculo'!$B$15)</f>
        <v>0.29790435000000004</v>
      </c>
      <c r="L2321" s="15">
        <f t="shared" si="530"/>
        <v>14.597313150000002</v>
      </c>
      <c r="M2321" s="15">
        <f t="shared" si="531"/>
        <v>13.75</v>
      </c>
      <c r="N2321" s="15">
        <f t="shared" si="532"/>
        <v>0.84731315000000151</v>
      </c>
      <c r="O2321" s="15">
        <f t="shared" si="533"/>
        <v>0</v>
      </c>
      <c r="P2321" s="15">
        <f t="shared" si="534"/>
        <v>0</v>
      </c>
      <c r="Q2321" s="14" t="str">
        <f>IF(M2321&gt;=I2321*'Hoja 4 - Cálculo'!$B$16,"Satisfactorio","Falla")</f>
        <v>Satisfactorio</v>
      </c>
      <c r="R2321" s="14">
        <f t="shared" si="538"/>
        <v>0</v>
      </c>
      <c r="S2321" s="14">
        <f t="shared" si="539"/>
        <v>0</v>
      </c>
    </row>
    <row r="2322" spans="1:19">
      <c r="A2322" s="14" t="str">
        <f t="shared" si="535"/>
        <v>CFG-2</v>
      </c>
      <c r="B2322" s="15">
        <f>'Curvas SRY'!$E$11</f>
        <v>5</v>
      </c>
      <c r="C2322" s="15">
        <f>1</f>
        <v>1</v>
      </c>
      <c r="D2322" s="14" t="str">
        <f t="shared" si="536"/>
        <v>Uso múltiple</v>
      </c>
      <c r="E2322" s="14">
        <f>39</f>
        <v>39</v>
      </c>
      <c r="F2322" s="21">
        <f>'Hoja 4 - Cálculo'!A63</f>
        <v>30742</v>
      </c>
      <c r="G2322" s="15">
        <f>'Hoja 4 - Cálculo'!H63</f>
        <v>20.272500000000001</v>
      </c>
      <c r="H2322" s="15">
        <f>IF(D2322="Uso único",'Hoja 4 - Cálculo'!I63,IF(D2322="Uso múltiple",AVERAGE('Hoja 4 - Cálculo'!$I$25:$I$384)+AVERAGE('Hoja 4 - Cálculo'!$J$25:$J$384)+AVERAGE('Hoja 4 - Cálculo'!$K$25:$K$384),IF(D2322="Uso prioritario",'Hoja 4 - Cálculo'!I63+'Hoja 4 - Cálculo'!K63,'Hoja 4 - Cálculo'!I63+'Hoja 4 - Cálculo'!J63+'Hoja 4 - Cálculo'!K63)))</f>
        <v>13.75</v>
      </c>
      <c r="I2322" s="15">
        <f t="shared" si="529"/>
        <v>13.75</v>
      </c>
      <c r="J2322" s="15">
        <f t="shared" si="537"/>
        <v>0.84731315000000151</v>
      </c>
      <c r="K2322" s="15">
        <f>MIN(J2322+G2322,(J2322+G2322)*'Hoja 4 - Cálculo'!$B$15)</f>
        <v>0.42239626300000005</v>
      </c>
      <c r="L2322" s="15">
        <f t="shared" si="530"/>
        <v>20.697416887000003</v>
      </c>
      <c r="M2322" s="15">
        <f t="shared" si="531"/>
        <v>13.75</v>
      </c>
      <c r="N2322" s="15">
        <f t="shared" si="532"/>
        <v>5</v>
      </c>
      <c r="O2322" s="15">
        <f t="shared" si="533"/>
        <v>1.9474168870000028</v>
      </c>
      <c r="P2322" s="15">
        <f t="shared" si="534"/>
        <v>0</v>
      </c>
      <c r="Q2322" s="14" t="str">
        <f>IF(M2322&gt;=I2322*'Hoja 4 - Cálculo'!$B$16,"Satisfactorio","Falla")</f>
        <v>Satisfactorio</v>
      </c>
      <c r="R2322" s="14">
        <f t="shared" si="538"/>
        <v>0</v>
      </c>
      <c r="S2322" s="14">
        <f t="shared" si="539"/>
        <v>0</v>
      </c>
    </row>
    <row r="2323" spans="1:19">
      <c r="A2323" s="14" t="str">
        <f t="shared" si="535"/>
        <v>CFG-2</v>
      </c>
      <c r="B2323" s="15">
        <f>'Curvas SRY'!$E$11</f>
        <v>5</v>
      </c>
      <c r="C2323" s="15">
        <f>1</f>
        <v>1</v>
      </c>
      <c r="D2323" s="14" t="str">
        <f t="shared" si="536"/>
        <v>Uso múltiple</v>
      </c>
      <c r="E2323" s="14">
        <f>40</f>
        <v>40</v>
      </c>
      <c r="F2323" s="21">
        <f>'Hoja 4 - Cálculo'!A64</f>
        <v>30773</v>
      </c>
      <c r="G2323" s="15">
        <f>'Hoja 4 - Cálculo'!H64</f>
        <v>27.922499999999999</v>
      </c>
      <c r="H2323" s="15">
        <f>IF(D2323="Uso único",'Hoja 4 - Cálculo'!I64,IF(D2323="Uso múltiple",AVERAGE('Hoja 4 - Cálculo'!$I$25:$I$384)+AVERAGE('Hoja 4 - Cálculo'!$J$25:$J$384)+AVERAGE('Hoja 4 - Cálculo'!$K$25:$K$384),IF(D2323="Uso prioritario",'Hoja 4 - Cálculo'!I64+'Hoja 4 - Cálculo'!K64,'Hoja 4 - Cálculo'!I64+'Hoja 4 - Cálculo'!J64+'Hoja 4 - Cálculo'!K64)))</f>
        <v>13.75</v>
      </c>
      <c r="I2323" s="15">
        <f t="shared" si="529"/>
        <v>13.75</v>
      </c>
      <c r="J2323" s="15">
        <f t="shared" si="537"/>
        <v>5</v>
      </c>
      <c r="K2323" s="15">
        <f>MIN(J2323+G2323,(J2323+G2323)*'Hoja 4 - Cálculo'!$B$15)</f>
        <v>0.65844999999999998</v>
      </c>
      <c r="L2323" s="15">
        <f t="shared" si="530"/>
        <v>32.264049999999997</v>
      </c>
      <c r="M2323" s="15">
        <f t="shared" si="531"/>
        <v>13.75</v>
      </c>
      <c r="N2323" s="15">
        <f t="shared" si="532"/>
        <v>5</v>
      </c>
      <c r="O2323" s="15">
        <f t="shared" si="533"/>
        <v>13.514049999999997</v>
      </c>
      <c r="P2323" s="15">
        <f t="shared" si="534"/>
        <v>0</v>
      </c>
      <c r="Q2323" s="14" t="str">
        <f>IF(M2323&gt;=I2323*'Hoja 4 - Cálculo'!$B$16,"Satisfactorio","Falla")</f>
        <v>Satisfactorio</v>
      </c>
      <c r="R2323" s="14">
        <f t="shared" si="538"/>
        <v>0</v>
      </c>
      <c r="S2323" s="14">
        <f t="shared" si="539"/>
        <v>0</v>
      </c>
    </row>
    <row r="2324" spans="1:19">
      <c r="A2324" s="14" t="str">
        <f t="shared" si="535"/>
        <v>CFG-2</v>
      </c>
      <c r="B2324" s="15">
        <f>'Curvas SRY'!$E$11</f>
        <v>5</v>
      </c>
      <c r="C2324" s="15">
        <f>1</f>
        <v>1</v>
      </c>
      <c r="D2324" s="14" t="str">
        <f t="shared" si="536"/>
        <v>Uso múltiple</v>
      </c>
      <c r="E2324" s="14">
        <f>41</f>
        <v>41</v>
      </c>
      <c r="F2324" s="21">
        <f>'Hoja 4 - Cálculo'!A65</f>
        <v>30803</v>
      </c>
      <c r="G2324" s="15">
        <f>'Hoja 4 - Cálculo'!H65</f>
        <v>23.657624999999999</v>
      </c>
      <c r="H2324" s="15">
        <f>IF(D2324="Uso único",'Hoja 4 - Cálculo'!I65,IF(D2324="Uso múltiple",AVERAGE('Hoja 4 - Cálculo'!$I$25:$I$384)+AVERAGE('Hoja 4 - Cálculo'!$J$25:$J$384)+AVERAGE('Hoja 4 - Cálculo'!$K$25:$K$384),IF(D2324="Uso prioritario",'Hoja 4 - Cálculo'!I65+'Hoja 4 - Cálculo'!K65,'Hoja 4 - Cálculo'!I65+'Hoja 4 - Cálculo'!J65+'Hoja 4 - Cálculo'!K65)))</f>
        <v>13.75</v>
      </c>
      <c r="I2324" s="15">
        <f t="shared" si="529"/>
        <v>13.75</v>
      </c>
      <c r="J2324" s="15">
        <f t="shared" si="537"/>
        <v>5</v>
      </c>
      <c r="K2324" s="15">
        <f>MIN(J2324+G2324,(J2324+G2324)*'Hoja 4 - Cálculo'!$B$15)</f>
        <v>0.57315249999999995</v>
      </c>
      <c r="L2324" s="15">
        <f t="shared" si="530"/>
        <v>28.0844725</v>
      </c>
      <c r="M2324" s="15">
        <f t="shared" si="531"/>
        <v>13.75</v>
      </c>
      <c r="N2324" s="15">
        <f t="shared" si="532"/>
        <v>5</v>
      </c>
      <c r="O2324" s="15">
        <f t="shared" si="533"/>
        <v>9.3344725000000004</v>
      </c>
      <c r="P2324" s="15">
        <f t="shared" si="534"/>
        <v>0</v>
      </c>
      <c r="Q2324" s="14" t="str">
        <f>IF(M2324&gt;=I2324*'Hoja 4 - Cálculo'!$B$16,"Satisfactorio","Falla")</f>
        <v>Satisfactorio</v>
      </c>
      <c r="R2324" s="14">
        <f t="shared" si="538"/>
        <v>0</v>
      </c>
      <c r="S2324" s="14">
        <f t="shared" si="539"/>
        <v>0</v>
      </c>
    </row>
    <row r="2325" spans="1:19">
      <c r="A2325" s="14" t="str">
        <f t="shared" si="535"/>
        <v>CFG-2</v>
      </c>
      <c r="B2325" s="15">
        <f>'Curvas SRY'!$E$11</f>
        <v>5</v>
      </c>
      <c r="C2325" s="15">
        <f>1</f>
        <v>1</v>
      </c>
      <c r="D2325" s="14" t="str">
        <f t="shared" si="536"/>
        <v>Uso múltiple</v>
      </c>
      <c r="E2325" s="14">
        <f>42</f>
        <v>42</v>
      </c>
      <c r="F2325" s="21">
        <f>'Hoja 4 - Cálculo'!A66</f>
        <v>30834</v>
      </c>
      <c r="G2325" s="15">
        <f>'Hoja 4 - Cálculo'!H66</f>
        <v>14.554125000000001</v>
      </c>
      <c r="H2325" s="15">
        <f>IF(D2325="Uso único",'Hoja 4 - Cálculo'!I66,IF(D2325="Uso múltiple",AVERAGE('Hoja 4 - Cálculo'!$I$25:$I$384)+AVERAGE('Hoja 4 - Cálculo'!$J$25:$J$384)+AVERAGE('Hoja 4 - Cálculo'!$K$25:$K$384),IF(D2325="Uso prioritario",'Hoja 4 - Cálculo'!I66+'Hoja 4 - Cálculo'!K66,'Hoja 4 - Cálculo'!I66+'Hoja 4 - Cálculo'!J66+'Hoja 4 - Cálculo'!K66)))</f>
        <v>13.75</v>
      </c>
      <c r="I2325" s="15">
        <f t="shared" si="529"/>
        <v>13.75</v>
      </c>
      <c r="J2325" s="15">
        <f t="shared" si="537"/>
        <v>5</v>
      </c>
      <c r="K2325" s="15">
        <f>MIN(J2325+G2325,(J2325+G2325)*'Hoja 4 - Cálculo'!$B$15)</f>
        <v>0.3910825</v>
      </c>
      <c r="L2325" s="15">
        <f t="shared" si="530"/>
        <v>19.1630425</v>
      </c>
      <c r="M2325" s="15">
        <f t="shared" si="531"/>
        <v>13.75</v>
      </c>
      <c r="N2325" s="15">
        <f t="shared" si="532"/>
        <v>5</v>
      </c>
      <c r="O2325" s="15">
        <f t="shared" si="533"/>
        <v>0.41304249999999954</v>
      </c>
      <c r="P2325" s="15">
        <f t="shared" si="534"/>
        <v>0</v>
      </c>
      <c r="Q2325" s="14" t="str">
        <f>IF(M2325&gt;=I2325*'Hoja 4 - Cálculo'!$B$16,"Satisfactorio","Falla")</f>
        <v>Satisfactorio</v>
      </c>
      <c r="R2325" s="14">
        <f t="shared" si="538"/>
        <v>0</v>
      </c>
      <c r="S2325" s="14">
        <f t="shared" si="539"/>
        <v>0</v>
      </c>
    </row>
    <row r="2326" spans="1:19">
      <c r="A2326" s="14" t="str">
        <f t="shared" si="535"/>
        <v>CFG-2</v>
      </c>
      <c r="B2326" s="15">
        <f>'Curvas SRY'!$E$11</f>
        <v>5</v>
      </c>
      <c r="C2326" s="15">
        <f>1</f>
        <v>1</v>
      </c>
      <c r="D2326" s="14" t="str">
        <f t="shared" si="536"/>
        <v>Uso múltiple</v>
      </c>
      <c r="E2326" s="14">
        <f>43</f>
        <v>43</v>
      </c>
      <c r="F2326" s="21">
        <f>'Hoja 4 - Cálculo'!A67</f>
        <v>30864</v>
      </c>
      <c r="G2326" s="15">
        <f>'Hoja 4 - Cálculo'!H67</f>
        <v>12.794625</v>
      </c>
      <c r="H2326" s="15">
        <f>IF(D2326="Uso único",'Hoja 4 - Cálculo'!I67,IF(D2326="Uso múltiple",AVERAGE('Hoja 4 - Cálculo'!$I$25:$I$384)+AVERAGE('Hoja 4 - Cálculo'!$J$25:$J$384)+AVERAGE('Hoja 4 - Cálculo'!$K$25:$K$384),IF(D2326="Uso prioritario",'Hoja 4 - Cálculo'!I67+'Hoja 4 - Cálculo'!K67,'Hoja 4 - Cálculo'!I67+'Hoja 4 - Cálculo'!J67+'Hoja 4 - Cálculo'!K67)))</f>
        <v>13.75</v>
      </c>
      <c r="I2326" s="15">
        <f t="shared" si="529"/>
        <v>13.75</v>
      </c>
      <c r="J2326" s="15">
        <f t="shared" si="537"/>
        <v>5</v>
      </c>
      <c r="K2326" s="15">
        <f>MIN(J2326+G2326,(J2326+G2326)*'Hoja 4 - Cálculo'!$B$15)</f>
        <v>0.3558925</v>
      </c>
      <c r="L2326" s="15">
        <f t="shared" si="530"/>
        <v>17.4387325</v>
      </c>
      <c r="M2326" s="15">
        <f t="shared" si="531"/>
        <v>13.75</v>
      </c>
      <c r="N2326" s="15">
        <f t="shared" si="532"/>
        <v>3.6887325000000004</v>
      </c>
      <c r="O2326" s="15">
        <f t="shared" si="533"/>
        <v>0</v>
      </c>
      <c r="P2326" s="15">
        <f t="shared" si="534"/>
        <v>0</v>
      </c>
      <c r="Q2326" s="14" t="str">
        <f>IF(M2326&gt;=I2326*'Hoja 4 - Cálculo'!$B$16,"Satisfactorio","Falla")</f>
        <v>Satisfactorio</v>
      </c>
      <c r="R2326" s="14">
        <f t="shared" si="538"/>
        <v>0</v>
      </c>
      <c r="S2326" s="14">
        <f t="shared" si="539"/>
        <v>0</v>
      </c>
    </row>
    <row r="2327" spans="1:19">
      <c r="A2327" s="14" t="str">
        <f t="shared" si="535"/>
        <v>CFG-2</v>
      </c>
      <c r="B2327" s="15">
        <f>'Curvas SRY'!$E$11</f>
        <v>5</v>
      </c>
      <c r="C2327" s="15">
        <f>1</f>
        <v>1</v>
      </c>
      <c r="D2327" s="14" t="str">
        <f t="shared" si="536"/>
        <v>Uso múltiple</v>
      </c>
      <c r="E2327" s="14">
        <f>44</f>
        <v>44</v>
      </c>
      <c r="F2327" s="21">
        <f>'Hoja 4 - Cálculo'!A68</f>
        <v>30895</v>
      </c>
      <c r="G2327" s="15">
        <f>'Hoja 4 - Cálculo'!H68</f>
        <v>13.6935</v>
      </c>
      <c r="H2327" s="15">
        <f>IF(D2327="Uso único",'Hoja 4 - Cálculo'!I68,IF(D2327="Uso múltiple",AVERAGE('Hoja 4 - Cálculo'!$I$25:$I$384)+AVERAGE('Hoja 4 - Cálculo'!$J$25:$J$384)+AVERAGE('Hoja 4 - Cálculo'!$K$25:$K$384),IF(D2327="Uso prioritario",'Hoja 4 - Cálculo'!I68+'Hoja 4 - Cálculo'!K68,'Hoja 4 - Cálculo'!I68+'Hoja 4 - Cálculo'!J68+'Hoja 4 - Cálculo'!K68)))</f>
        <v>13.75</v>
      </c>
      <c r="I2327" s="15">
        <f t="shared" si="529"/>
        <v>13.75</v>
      </c>
      <c r="J2327" s="15">
        <f t="shared" si="537"/>
        <v>3.6887325000000004</v>
      </c>
      <c r="K2327" s="15">
        <f>MIN(J2327+G2327,(J2327+G2327)*'Hoja 4 - Cálculo'!$B$15)</f>
        <v>0.34764465</v>
      </c>
      <c r="L2327" s="15">
        <f t="shared" si="530"/>
        <v>17.034587850000001</v>
      </c>
      <c r="M2327" s="15">
        <f t="shared" si="531"/>
        <v>13.75</v>
      </c>
      <c r="N2327" s="15">
        <f t="shared" si="532"/>
        <v>3.2845878500000012</v>
      </c>
      <c r="O2327" s="15">
        <f t="shared" si="533"/>
        <v>0</v>
      </c>
      <c r="P2327" s="15">
        <f t="shared" si="534"/>
        <v>0</v>
      </c>
      <c r="Q2327" s="14" t="str">
        <f>IF(M2327&gt;=I2327*'Hoja 4 - Cálculo'!$B$16,"Satisfactorio","Falla")</f>
        <v>Satisfactorio</v>
      </c>
      <c r="R2327" s="14">
        <f t="shared" si="538"/>
        <v>0</v>
      </c>
      <c r="S2327" s="14">
        <f t="shared" si="539"/>
        <v>0</v>
      </c>
    </row>
    <row r="2328" spans="1:19">
      <c r="A2328" s="14" t="str">
        <f t="shared" si="535"/>
        <v>CFG-2</v>
      </c>
      <c r="B2328" s="15">
        <f>'Curvas SRY'!$E$11</f>
        <v>5</v>
      </c>
      <c r="C2328" s="15">
        <f>1</f>
        <v>1</v>
      </c>
      <c r="D2328" s="14" t="str">
        <f t="shared" si="536"/>
        <v>Uso múltiple</v>
      </c>
      <c r="E2328" s="14">
        <f>45</f>
        <v>45</v>
      </c>
      <c r="F2328" s="21">
        <f>'Hoja 4 - Cálculo'!A69</f>
        <v>30926</v>
      </c>
      <c r="G2328" s="15">
        <f>'Hoja 4 - Cálculo'!H69</f>
        <v>20.521125000000001</v>
      </c>
      <c r="H2328" s="15">
        <f>IF(D2328="Uso único",'Hoja 4 - Cálculo'!I69,IF(D2328="Uso múltiple",AVERAGE('Hoja 4 - Cálculo'!$I$25:$I$384)+AVERAGE('Hoja 4 - Cálculo'!$J$25:$J$384)+AVERAGE('Hoja 4 - Cálculo'!$K$25:$K$384),IF(D2328="Uso prioritario",'Hoja 4 - Cálculo'!I69+'Hoja 4 - Cálculo'!K69,'Hoja 4 - Cálculo'!I69+'Hoja 4 - Cálculo'!J69+'Hoja 4 - Cálculo'!K69)))</f>
        <v>13.75</v>
      </c>
      <c r="I2328" s="15">
        <f t="shared" si="529"/>
        <v>13.75</v>
      </c>
      <c r="J2328" s="15">
        <f t="shared" si="537"/>
        <v>3.2845878500000012</v>
      </c>
      <c r="K2328" s="15">
        <f>MIN(J2328+G2328,(J2328+G2328)*'Hoja 4 - Cálculo'!$B$15)</f>
        <v>0.47611425700000004</v>
      </c>
      <c r="L2328" s="15">
        <f t="shared" si="530"/>
        <v>23.329598593000004</v>
      </c>
      <c r="M2328" s="15">
        <f t="shared" si="531"/>
        <v>13.75</v>
      </c>
      <c r="N2328" s="15">
        <f t="shared" si="532"/>
        <v>5</v>
      </c>
      <c r="O2328" s="15">
        <f t="shared" si="533"/>
        <v>4.5795985930000036</v>
      </c>
      <c r="P2328" s="15">
        <f t="shared" si="534"/>
        <v>0</v>
      </c>
      <c r="Q2328" s="14" t="str">
        <f>IF(M2328&gt;=I2328*'Hoja 4 - Cálculo'!$B$16,"Satisfactorio","Falla")</f>
        <v>Satisfactorio</v>
      </c>
      <c r="R2328" s="14">
        <f t="shared" si="538"/>
        <v>0</v>
      </c>
      <c r="S2328" s="14">
        <f t="shared" si="539"/>
        <v>0</v>
      </c>
    </row>
    <row r="2329" spans="1:19">
      <c r="A2329" s="14" t="str">
        <f t="shared" si="535"/>
        <v>CFG-2</v>
      </c>
      <c r="B2329" s="15">
        <f>'Curvas SRY'!$E$11</f>
        <v>5</v>
      </c>
      <c r="C2329" s="15">
        <f>1</f>
        <v>1</v>
      </c>
      <c r="D2329" s="14" t="str">
        <f t="shared" si="536"/>
        <v>Uso múltiple</v>
      </c>
      <c r="E2329" s="14">
        <f>46</f>
        <v>46</v>
      </c>
      <c r="F2329" s="21">
        <f>'Hoja 4 - Cálculo'!A70</f>
        <v>30956</v>
      </c>
      <c r="G2329" s="15">
        <f>'Hoja 4 - Cálculo'!H70</f>
        <v>27.061875000000001</v>
      </c>
      <c r="H2329" s="15">
        <f>IF(D2329="Uso único",'Hoja 4 - Cálculo'!I70,IF(D2329="Uso múltiple",AVERAGE('Hoja 4 - Cálculo'!$I$25:$I$384)+AVERAGE('Hoja 4 - Cálculo'!$J$25:$J$384)+AVERAGE('Hoja 4 - Cálculo'!$K$25:$K$384),IF(D2329="Uso prioritario",'Hoja 4 - Cálculo'!I70+'Hoja 4 - Cálculo'!K70,'Hoja 4 - Cálculo'!I70+'Hoja 4 - Cálculo'!J70+'Hoja 4 - Cálculo'!K70)))</f>
        <v>13.75</v>
      </c>
      <c r="I2329" s="15">
        <f t="shared" si="529"/>
        <v>13.75</v>
      </c>
      <c r="J2329" s="15">
        <f t="shared" si="537"/>
        <v>5</v>
      </c>
      <c r="K2329" s="15">
        <f>MIN(J2329+G2329,(J2329+G2329)*'Hoja 4 - Cálculo'!$B$15)</f>
        <v>0.64123750000000002</v>
      </c>
      <c r="L2329" s="15">
        <f t="shared" si="530"/>
        <v>31.420637500000002</v>
      </c>
      <c r="M2329" s="15">
        <f t="shared" si="531"/>
        <v>13.75</v>
      </c>
      <c r="N2329" s="15">
        <f t="shared" si="532"/>
        <v>5</v>
      </c>
      <c r="O2329" s="15">
        <f t="shared" si="533"/>
        <v>12.670637500000002</v>
      </c>
      <c r="P2329" s="15">
        <f t="shared" si="534"/>
        <v>0</v>
      </c>
      <c r="Q2329" s="14" t="str">
        <f>IF(M2329&gt;=I2329*'Hoja 4 - Cálculo'!$B$16,"Satisfactorio","Falla")</f>
        <v>Satisfactorio</v>
      </c>
      <c r="R2329" s="14">
        <f t="shared" si="538"/>
        <v>0</v>
      </c>
      <c r="S2329" s="14">
        <f t="shared" si="539"/>
        <v>0</v>
      </c>
    </row>
    <row r="2330" spans="1:19">
      <c r="A2330" s="14" t="str">
        <f t="shared" si="535"/>
        <v>CFG-2</v>
      </c>
      <c r="B2330" s="15">
        <f>'Curvas SRY'!$E$11</f>
        <v>5</v>
      </c>
      <c r="C2330" s="15">
        <f>1</f>
        <v>1</v>
      </c>
      <c r="D2330" s="14" t="str">
        <f t="shared" si="536"/>
        <v>Uso múltiple</v>
      </c>
      <c r="E2330" s="14">
        <f>47</f>
        <v>47</v>
      </c>
      <c r="F2330" s="21">
        <f>'Hoja 4 - Cálculo'!A71</f>
        <v>30987</v>
      </c>
      <c r="G2330" s="15">
        <f>'Hoja 4 - Cálculo'!H71</f>
        <v>24.346125000000001</v>
      </c>
      <c r="H2330" s="15">
        <f>IF(D2330="Uso único",'Hoja 4 - Cálculo'!I71,IF(D2330="Uso múltiple",AVERAGE('Hoja 4 - Cálculo'!$I$25:$I$384)+AVERAGE('Hoja 4 - Cálculo'!$J$25:$J$384)+AVERAGE('Hoja 4 - Cálculo'!$K$25:$K$384),IF(D2330="Uso prioritario",'Hoja 4 - Cálculo'!I71+'Hoja 4 - Cálculo'!K71,'Hoja 4 - Cálculo'!I71+'Hoja 4 - Cálculo'!J71+'Hoja 4 - Cálculo'!K71)))</f>
        <v>13.75</v>
      </c>
      <c r="I2330" s="15">
        <f t="shared" si="529"/>
        <v>13.75</v>
      </c>
      <c r="J2330" s="15">
        <f t="shared" si="537"/>
        <v>5</v>
      </c>
      <c r="K2330" s="15">
        <f>MIN(J2330+G2330,(J2330+G2330)*'Hoja 4 - Cálculo'!$B$15)</f>
        <v>0.58692250000000001</v>
      </c>
      <c r="L2330" s="15">
        <f t="shared" si="530"/>
        <v>28.759202500000001</v>
      </c>
      <c r="M2330" s="15">
        <f t="shared" si="531"/>
        <v>13.75</v>
      </c>
      <c r="N2330" s="15">
        <f t="shared" si="532"/>
        <v>5</v>
      </c>
      <c r="O2330" s="15">
        <f t="shared" si="533"/>
        <v>10.009202500000001</v>
      </c>
      <c r="P2330" s="15">
        <f t="shared" si="534"/>
        <v>0</v>
      </c>
      <c r="Q2330" s="14" t="str">
        <f>IF(M2330&gt;=I2330*'Hoja 4 - Cálculo'!$B$16,"Satisfactorio","Falla")</f>
        <v>Satisfactorio</v>
      </c>
      <c r="R2330" s="14">
        <f t="shared" si="538"/>
        <v>0</v>
      </c>
      <c r="S2330" s="14">
        <f t="shared" si="539"/>
        <v>0</v>
      </c>
    </row>
    <row r="2331" spans="1:19">
      <c r="A2331" s="14" t="str">
        <f t="shared" si="535"/>
        <v>CFG-2</v>
      </c>
      <c r="B2331" s="15">
        <f>'Curvas SRY'!$E$11</f>
        <v>5</v>
      </c>
      <c r="C2331" s="15">
        <f>1</f>
        <v>1</v>
      </c>
      <c r="D2331" s="14" t="str">
        <f t="shared" si="536"/>
        <v>Uso múltiple</v>
      </c>
      <c r="E2331" s="14">
        <f>48</f>
        <v>48</v>
      </c>
      <c r="F2331" s="21">
        <f>'Hoja 4 - Cálculo'!A72</f>
        <v>31017</v>
      </c>
      <c r="G2331" s="15">
        <f>'Hoja 4 - Cálculo'!H72</f>
        <v>14.745374999999999</v>
      </c>
      <c r="H2331" s="15">
        <f>IF(D2331="Uso único",'Hoja 4 - Cálculo'!I72,IF(D2331="Uso múltiple",AVERAGE('Hoja 4 - Cálculo'!$I$25:$I$384)+AVERAGE('Hoja 4 - Cálculo'!$J$25:$J$384)+AVERAGE('Hoja 4 - Cálculo'!$K$25:$K$384),IF(D2331="Uso prioritario",'Hoja 4 - Cálculo'!I72+'Hoja 4 - Cálculo'!K72,'Hoja 4 - Cálculo'!I72+'Hoja 4 - Cálculo'!J72+'Hoja 4 - Cálculo'!K72)))</f>
        <v>13.75</v>
      </c>
      <c r="I2331" s="15">
        <f t="shared" si="529"/>
        <v>13.75</v>
      </c>
      <c r="J2331" s="15">
        <f t="shared" si="537"/>
        <v>5</v>
      </c>
      <c r="K2331" s="15">
        <f>MIN(J2331+G2331,(J2331+G2331)*'Hoja 4 - Cálculo'!$B$15)</f>
        <v>0.39490749999999997</v>
      </c>
      <c r="L2331" s="15">
        <f t="shared" si="530"/>
        <v>19.350467500000001</v>
      </c>
      <c r="M2331" s="15">
        <f t="shared" si="531"/>
        <v>13.75</v>
      </c>
      <c r="N2331" s="15">
        <f t="shared" si="532"/>
        <v>5</v>
      </c>
      <c r="O2331" s="15">
        <f t="shared" si="533"/>
        <v>0.6004675000000006</v>
      </c>
      <c r="P2331" s="15">
        <f t="shared" si="534"/>
        <v>0</v>
      </c>
      <c r="Q2331" s="14" t="str">
        <f>IF(M2331&gt;=I2331*'Hoja 4 - Cálculo'!$B$16,"Satisfactorio","Falla")</f>
        <v>Satisfactorio</v>
      </c>
      <c r="R2331" s="14">
        <f t="shared" si="538"/>
        <v>0</v>
      </c>
      <c r="S2331" s="14">
        <f t="shared" si="539"/>
        <v>0</v>
      </c>
    </row>
    <row r="2332" spans="1:19">
      <c r="A2332" s="14" t="str">
        <f t="shared" si="535"/>
        <v>CFG-2</v>
      </c>
      <c r="B2332" s="15">
        <f>'Curvas SRY'!$E$11</f>
        <v>5</v>
      </c>
      <c r="C2332" s="15">
        <f>1</f>
        <v>1</v>
      </c>
      <c r="D2332" s="14" t="str">
        <f t="shared" si="536"/>
        <v>Uso múltiple</v>
      </c>
      <c r="E2332" s="14">
        <f>49</f>
        <v>49</v>
      </c>
      <c r="F2332" s="21">
        <f>'Hoja 4 - Cálculo'!A73</f>
        <v>31048</v>
      </c>
      <c r="G2332" s="15">
        <f>'Hoja 4 - Cálculo'!H73</f>
        <v>10.767374999999999</v>
      </c>
      <c r="H2332" s="15">
        <f>IF(D2332="Uso único",'Hoja 4 - Cálculo'!I73,IF(D2332="Uso múltiple",AVERAGE('Hoja 4 - Cálculo'!$I$25:$I$384)+AVERAGE('Hoja 4 - Cálculo'!$J$25:$J$384)+AVERAGE('Hoja 4 - Cálculo'!$K$25:$K$384),IF(D2332="Uso prioritario",'Hoja 4 - Cálculo'!I73+'Hoja 4 - Cálculo'!K73,'Hoja 4 - Cálculo'!I73+'Hoja 4 - Cálculo'!J73+'Hoja 4 - Cálculo'!K73)))</f>
        <v>13.75</v>
      </c>
      <c r="I2332" s="15">
        <f t="shared" si="529"/>
        <v>13.75</v>
      </c>
      <c r="J2332" s="15">
        <f t="shared" si="537"/>
        <v>5</v>
      </c>
      <c r="K2332" s="15">
        <f>MIN(J2332+G2332,(J2332+G2332)*'Hoja 4 - Cálculo'!$B$15)</f>
        <v>0.3153475</v>
      </c>
      <c r="L2332" s="15">
        <f t="shared" si="530"/>
        <v>15.4520275</v>
      </c>
      <c r="M2332" s="15">
        <f t="shared" si="531"/>
        <v>13.75</v>
      </c>
      <c r="N2332" s="15">
        <f t="shared" si="532"/>
        <v>1.7020274999999998</v>
      </c>
      <c r="O2332" s="15">
        <f t="shared" si="533"/>
        <v>0</v>
      </c>
      <c r="P2332" s="15">
        <f t="shared" si="534"/>
        <v>0</v>
      </c>
      <c r="Q2332" s="14" t="str">
        <f>IF(M2332&gt;=I2332*'Hoja 4 - Cálculo'!$B$16,"Satisfactorio","Falla")</f>
        <v>Satisfactorio</v>
      </c>
      <c r="R2332" s="14">
        <f t="shared" si="538"/>
        <v>0</v>
      </c>
      <c r="S2332" s="14">
        <f t="shared" si="539"/>
        <v>0</v>
      </c>
    </row>
    <row r="2333" spans="1:19">
      <c r="A2333" s="14" t="str">
        <f t="shared" si="535"/>
        <v>CFG-2</v>
      </c>
      <c r="B2333" s="15">
        <f>'Curvas SRY'!$E$11</f>
        <v>5</v>
      </c>
      <c r="C2333" s="15">
        <f>1</f>
        <v>1</v>
      </c>
      <c r="D2333" s="14" t="str">
        <f t="shared" si="536"/>
        <v>Uso múltiple</v>
      </c>
      <c r="E2333" s="14">
        <f>50</f>
        <v>50</v>
      </c>
      <c r="F2333" s="21">
        <f>'Hoja 4 - Cálculo'!A74</f>
        <v>31079</v>
      </c>
      <c r="G2333" s="15">
        <f>'Hoja 4 - Cálculo'!H74</f>
        <v>13.464</v>
      </c>
      <c r="H2333" s="15">
        <f>IF(D2333="Uso único",'Hoja 4 - Cálculo'!I74,IF(D2333="Uso múltiple",AVERAGE('Hoja 4 - Cálculo'!$I$25:$I$384)+AVERAGE('Hoja 4 - Cálculo'!$J$25:$J$384)+AVERAGE('Hoja 4 - Cálculo'!$K$25:$K$384),IF(D2333="Uso prioritario",'Hoja 4 - Cálculo'!I74+'Hoja 4 - Cálculo'!K74,'Hoja 4 - Cálculo'!I74+'Hoja 4 - Cálculo'!J74+'Hoja 4 - Cálculo'!K74)))</f>
        <v>13.75</v>
      </c>
      <c r="I2333" s="15">
        <f t="shared" si="529"/>
        <v>13.75</v>
      </c>
      <c r="J2333" s="15">
        <f t="shared" si="537"/>
        <v>1.7020274999999998</v>
      </c>
      <c r="K2333" s="15">
        <f>MIN(J2333+G2333,(J2333+G2333)*'Hoja 4 - Cálculo'!$B$15)</f>
        <v>0.30332055000000002</v>
      </c>
      <c r="L2333" s="15">
        <f t="shared" si="530"/>
        <v>14.86270695</v>
      </c>
      <c r="M2333" s="15">
        <f t="shared" si="531"/>
        <v>13.75</v>
      </c>
      <c r="N2333" s="15">
        <f t="shared" si="532"/>
        <v>1.1127069499999998</v>
      </c>
      <c r="O2333" s="15">
        <f t="shared" si="533"/>
        <v>0</v>
      </c>
      <c r="P2333" s="15">
        <f t="shared" si="534"/>
        <v>0</v>
      </c>
      <c r="Q2333" s="14" t="str">
        <f>IF(M2333&gt;=I2333*'Hoja 4 - Cálculo'!$B$16,"Satisfactorio","Falla")</f>
        <v>Satisfactorio</v>
      </c>
      <c r="R2333" s="14">
        <f t="shared" si="538"/>
        <v>0</v>
      </c>
      <c r="S2333" s="14">
        <f t="shared" si="539"/>
        <v>0</v>
      </c>
    </row>
    <row r="2334" spans="1:19">
      <c r="A2334" s="14" t="str">
        <f t="shared" si="535"/>
        <v>CFG-2</v>
      </c>
      <c r="B2334" s="15">
        <f>'Curvas SRY'!$E$11</f>
        <v>5</v>
      </c>
      <c r="C2334" s="15">
        <f>1</f>
        <v>1</v>
      </c>
      <c r="D2334" s="14" t="str">
        <f t="shared" si="536"/>
        <v>Uso múltiple</v>
      </c>
      <c r="E2334" s="14">
        <f>51</f>
        <v>51</v>
      </c>
      <c r="F2334" s="21">
        <f>'Hoja 4 - Cálculo'!A75</f>
        <v>31107</v>
      </c>
      <c r="G2334" s="15">
        <f>'Hoja 4 - Cálculo'!H75</f>
        <v>19.450125</v>
      </c>
      <c r="H2334" s="15">
        <f>IF(D2334="Uso único",'Hoja 4 - Cálculo'!I75,IF(D2334="Uso múltiple",AVERAGE('Hoja 4 - Cálculo'!$I$25:$I$384)+AVERAGE('Hoja 4 - Cálculo'!$J$25:$J$384)+AVERAGE('Hoja 4 - Cálculo'!$K$25:$K$384),IF(D2334="Uso prioritario",'Hoja 4 - Cálculo'!I75+'Hoja 4 - Cálculo'!K75,'Hoja 4 - Cálculo'!I75+'Hoja 4 - Cálculo'!J75+'Hoja 4 - Cálculo'!K75)))</f>
        <v>13.75</v>
      </c>
      <c r="I2334" s="15">
        <f t="shared" si="529"/>
        <v>13.75</v>
      </c>
      <c r="J2334" s="15">
        <f t="shared" si="537"/>
        <v>1.1127069499999998</v>
      </c>
      <c r="K2334" s="15">
        <f>MIN(J2334+G2334,(J2334+G2334)*'Hoja 4 - Cálculo'!$B$15)</f>
        <v>0.41125663899999998</v>
      </c>
      <c r="L2334" s="15">
        <f t="shared" si="530"/>
        <v>20.151575310999998</v>
      </c>
      <c r="M2334" s="15">
        <f t="shared" si="531"/>
        <v>13.75</v>
      </c>
      <c r="N2334" s="15">
        <f t="shared" si="532"/>
        <v>5</v>
      </c>
      <c r="O2334" s="15">
        <f t="shared" si="533"/>
        <v>1.4015753109999984</v>
      </c>
      <c r="P2334" s="15">
        <f t="shared" si="534"/>
        <v>0</v>
      </c>
      <c r="Q2334" s="14" t="str">
        <f>IF(M2334&gt;=I2334*'Hoja 4 - Cálculo'!$B$16,"Satisfactorio","Falla")</f>
        <v>Satisfactorio</v>
      </c>
      <c r="R2334" s="14">
        <f t="shared" si="538"/>
        <v>0</v>
      </c>
      <c r="S2334" s="14">
        <f t="shared" si="539"/>
        <v>0</v>
      </c>
    </row>
    <row r="2335" spans="1:19">
      <c r="A2335" s="14" t="str">
        <f t="shared" si="535"/>
        <v>CFG-2</v>
      </c>
      <c r="B2335" s="15">
        <f>'Curvas SRY'!$E$11</f>
        <v>5</v>
      </c>
      <c r="C2335" s="15">
        <f>1</f>
        <v>1</v>
      </c>
      <c r="D2335" s="14" t="str">
        <f t="shared" si="536"/>
        <v>Uso múltiple</v>
      </c>
      <c r="E2335" s="14">
        <f>52</f>
        <v>52</v>
      </c>
      <c r="F2335" s="21">
        <f>'Hoja 4 - Cálculo'!A76</f>
        <v>31138</v>
      </c>
      <c r="G2335" s="15">
        <f>'Hoja 4 - Cálculo'!H76</f>
        <v>25.51275</v>
      </c>
      <c r="H2335" s="15">
        <f>IF(D2335="Uso único",'Hoja 4 - Cálculo'!I76,IF(D2335="Uso múltiple",AVERAGE('Hoja 4 - Cálculo'!$I$25:$I$384)+AVERAGE('Hoja 4 - Cálculo'!$J$25:$J$384)+AVERAGE('Hoja 4 - Cálculo'!$K$25:$K$384),IF(D2335="Uso prioritario",'Hoja 4 - Cálculo'!I76+'Hoja 4 - Cálculo'!K76,'Hoja 4 - Cálculo'!I76+'Hoja 4 - Cálculo'!J76+'Hoja 4 - Cálculo'!K76)))</f>
        <v>13.75</v>
      </c>
      <c r="I2335" s="15">
        <f t="shared" si="529"/>
        <v>13.75</v>
      </c>
      <c r="J2335" s="15">
        <f t="shared" si="537"/>
        <v>5</v>
      </c>
      <c r="K2335" s="15">
        <f>MIN(J2335+G2335,(J2335+G2335)*'Hoja 4 - Cálculo'!$B$15)</f>
        <v>0.61025499999999999</v>
      </c>
      <c r="L2335" s="15">
        <f t="shared" si="530"/>
        <v>29.902495000000002</v>
      </c>
      <c r="M2335" s="15">
        <f t="shared" si="531"/>
        <v>13.75</v>
      </c>
      <c r="N2335" s="15">
        <f t="shared" si="532"/>
        <v>5</v>
      </c>
      <c r="O2335" s="15">
        <f t="shared" si="533"/>
        <v>11.152495000000002</v>
      </c>
      <c r="P2335" s="15">
        <f t="shared" si="534"/>
        <v>0</v>
      </c>
      <c r="Q2335" s="14" t="str">
        <f>IF(M2335&gt;=I2335*'Hoja 4 - Cálculo'!$B$16,"Satisfactorio","Falla")</f>
        <v>Satisfactorio</v>
      </c>
      <c r="R2335" s="14">
        <f t="shared" si="538"/>
        <v>0</v>
      </c>
      <c r="S2335" s="14">
        <f t="shared" si="539"/>
        <v>0</v>
      </c>
    </row>
    <row r="2336" spans="1:19">
      <c r="A2336" s="14" t="str">
        <f t="shared" si="535"/>
        <v>CFG-2</v>
      </c>
      <c r="B2336" s="15">
        <f>'Curvas SRY'!$E$11</f>
        <v>5</v>
      </c>
      <c r="C2336" s="15">
        <f>1</f>
        <v>1</v>
      </c>
      <c r="D2336" s="14" t="str">
        <f t="shared" si="536"/>
        <v>Uso múltiple</v>
      </c>
      <c r="E2336" s="14">
        <f>53</f>
        <v>53</v>
      </c>
      <c r="F2336" s="21">
        <f>'Hoja 4 - Cálculo'!A77</f>
        <v>31168</v>
      </c>
      <c r="G2336" s="15">
        <f>'Hoja 4 - Cálculo'!H77</f>
        <v>24.36525</v>
      </c>
      <c r="H2336" s="15">
        <f>IF(D2336="Uso único",'Hoja 4 - Cálculo'!I77,IF(D2336="Uso múltiple",AVERAGE('Hoja 4 - Cálculo'!$I$25:$I$384)+AVERAGE('Hoja 4 - Cálculo'!$J$25:$J$384)+AVERAGE('Hoja 4 - Cálculo'!$K$25:$K$384),IF(D2336="Uso prioritario",'Hoja 4 - Cálculo'!I77+'Hoja 4 - Cálculo'!K77,'Hoja 4 - Cálculo'!I77+'Hoja 4 - Cálculo'!J77+'Hoja 4 - Cálculo'!K77)))</f>
        <v>13.75</v>
      </c>
      <c r="I2336" s="15">
        <f t="shared" si="529"/>
        <v>13.75</v>
      </c>
      <c r="J2336" s="15">
        <f t="shared" si="537"/>
        <v>5</v>
      </c>
      <c r="K2336" s="15">
        <f>MIN(J2336+G2336,(J2336+G2336)*'Hoja 4 - Cálculo'!$B$15)</f>
        <v>0.58730499999999997</v>
      </c>
      <c r="L2336" s="15">
        <f t="shared" si="530"/>
        <v>28.777944999999999</v>
      </c>
      <c r="M2336" s="15">
        <f t="shared" si="531"/>
        <v>13.75</v>
      </c>
      <c r="N2336" s="15">
        <f t="shared" si="532"/>
        <v>5</v>
      </c>
      <c r="O2336" s="15">
        <f t="shared" si="533"/>
        <v>10.027944999999999</v>
      </c>
      <c r="P2336" s="15">
        <f t="shared" si="534"/>
        <v>0</v>
      </c>
      <c r="Q2336" s="14" t="str">
        <f>IF(M2336&gt;=I2336*'Hoja 4 - Cálculo'!$B$16,"Satisfactorio","Falla")</f>
        <v>Satisfactorio</v>
      </c>
      <c r="R2336" s="14">
        <f t="shared" si="538"/>
        <v>0</v>
      </c>
      <c r="S2336" s="14">
        <f t="shared" si="539"/>
        <v>0</v>
      </c>
    </row>
    <row r="2337" spans="1:19">
      <c r="A2337" s="14" t="str">
        <f t="shared" si="535"/>
        <v>CFG-2</v>
      </c>
      <c r="B2337" s="15">
        <f>'Curvas SRY'!$E$11</f>
        <v>5</v>
      </c>
      <c r="C2337" s="15">
        <f>1</f>
        <v>1</v>
      </c>
      <c r="D2337" s="14" t="str">
        <f t="shared" si="536"/>
        <v>Uso múltiple</v>
      </c>
      <c r="E2337" s="14">
        <f>54</f>
        <v>54</v>
      </c>
      <c r="F2337" s="21">
        <f>'Hoja 4 - Cálculo'!A78</f>
        <v>31199</v>
      </c>
      <c r="G2337" s="15">
        <f>'Hoja 4 - Cálculo'!H78</f>
        <v>15.395625000000001</v>
      </c>
      <c r="H2337" s="15">
        <f>IF(D2337="Uso único",'Hoja 4 - Cálculo'!I78,IF(D2337="Uso múltiple",AVERAGE('Hoja 4 - Cálculo'!$I$25:$I$384)+AVERAGE('Hoja 4 - Cálculo'!$J$25:$J$384)+AVERAGE('Hoja 4 - Cálculo'!$K$25:$K$384),IF(D2337="Uso prioritario",'Hoja 4 - Cálculo'!I78+'Hoja 4 - Cálculo'!K78,'Hoja 4 - Cálculo'!I78+'Hoja 4 - Cálculo'!J78+'Hoja 4 - Cálculo'!K78)))</f>
        <v>13.75</v>
      </c>
      <c r="I2337" s="15">
        <f t="shared" si="529"/>
        <v>13.75</v>
      </c>
      <c r="J2337" s="15">
        <f t="shared" si="537"/>
        <v>5</v>
      </c>
      <c r="K2337" s="15">
        <f>MIN(J2337+G2337,(J2337+G2337)*'Hoja 4 - Cálculo'!$B$15)</f>
        <v>0.40791250000000007</v>
      </c>
      <c r="L2337" s="15">
        <f t="shared" si="530"/>
        <v>19.987712500000004</v>
      </c>
      <c r="M2337" s="15">
        <f t="shared" si="531"/>
        <v>13.75</v>
      </c>
      <c r="N2337" s="15">
        <f t="shared" si="532"/>
        <v>5</v>
      </c>
      <c r="O2337" s="15">
        <f t="shared" si="533"/>
        <v>1.2377125000000042</v>
      </c>
      <c r="P2337" s="15">
        <f t="shared" si="534"/>
        <v>0</v>
      </c>
      <c r="Q2337" s="14" t="str">
        <f>IF(M2337&gt;=I2337*'Hoja 4 - Cálculo'!$B$16,"Satisfactorio","Falla")</f>
        <v>Satisfactorio</v>
      </c>
      <c r="R2337" s="14">
        <f t="shared" si="538"/>
        <v>0</v>
      </c>
      <c r="S2337" s="14">
        <f t="shared" si="539"/>
        <v>0</v>
      </c>
    </row>
    <row r="2338" spans="1:19">
      <c r="A2338" s="14" t="str">
        <f t="shared" si="535"/>
        <v>CFG-2</v>
      </c>
      <c r="B2338" s="15">
        <f>'Curvas SRY'!$E$11</f>
        <v>5</v>
      </c>
      <c r="C2338" s="15">
        <f>1</f>
        <v>1</v>
      </c>
      <c r="D2338" s="14" t="str">
        <f t="shared" si="536"/>
        <v>Uso múltiple</v>
      </c>
      <c r="E2338" s="14">
        <f>55</f>
        <v>55</v>
      </c>
      <c r="F2338" s="21">
        <f>'Hoja 4 - Cálculo'!A79</f>
        <v>31229</v>
      </c>
      <c r="G2338" s="15">
        <f>'Hoja 4 - Cálculo'!H79</f>
        <v>11.742749999999999</v>
      </c>
      <c r="H2338" s="15">
        <f>IF(D2338="Uso único",'Hoja 4 - Cálculo'!I79,IF(D2338="Uso múltiple",AVERAGE('Hoja 4 - Cálculo'!$I$25:$I$384)+AVERAGE('Hoja 4 - Cálculo'!$J$25:$J$384)+AVERAGE('Hoja 4 - Cálculo'!$K$25:$K$384),IF(D2338="Uso prioritario",'Hoja 4 - Cálculo'!I79+'Hoja 4 - Cálculo'!K79,'Hoja 4 - Cálculo'!I79+'Hoja 4 - Cálculo'!J79+'Hoja 4 - Cálculo'!K79)))</f>
        <v>13.75</v>
      </c>
      <c r="I2338" s="15">
        <f t="shared" si="529"/>
        <v>13.75</v>
      </c>
      <c r="J2338" s="15">
        <f t="shared" si="537"/>
        <v>5</v>
      </c>
      <c r="K2338" s="15">
        <f>MIN(J2338+G2338,(J2338+G2338)*'Hoja 4 - Cálculo'!$B$15)</f>
        <v>0.33485500000000001</v>
      </c>
      <c r="L2338" s="15">
        <f t="shared" si="530"/>
        <v>16.407895</v>
      </c>
      <c r="M2338" s="15">
        <f t="shared" si="531"/>
        <v>13.75</v>
      </c>
      <c r="N2338" s="15">
        <f t="shared" si="532"/>
        <v>2.6578949999999999</v>
      </c>
      <c r="O2338" s="15">
        <f t="shared" si="533"/>
        <v>0</v>
      </c>
      <c r="P2338" s="15">
        <f t="shared" si="534"/>
        <v>0</v>
      </c>
      <c r="Q2338" s="14" t="str">
        <f>IF(M2338&gt;=I2338*'Hoja 4 - Cálculo'!$B$16,"Satisfactorio","Falla")</f>
        <v>Satisfactorio</v>
      </c>
      <c r="R2338" s="14">
        <f t="shared" si="538"/>
        <v>0</v>
      </c>
      <c r="S2338" s="14">
        <f t="shared" si="539"/>
        <v>0</v>
      </c>
    </row>
    <row r="2339" spans="1:19">
      <c r="A2339" s="14" t="str">
        <f t="shared" si="535"/>
        <v>CFG-2</v>
      </c>
      <c r="B2339" s="15">
        <f>'Curvas SRY'!$E$11</f>
        <v>5</v>
      </c>
      <c r="C2339" s="15">
        <f>1</f>
        <v>1</v>
      </c>
      <c r="D2339" s="14" t="str">
        <f t="shared" si="536"/>
        <v>Uso múltiple</v>
      </c>
      <c r="E2339" s="14">
        <f>56</f>
        <v>56</v>
      </c>
      <c r="F2339" s="21">
        <f>'Hoja 4 - Cálculo'!A80</f>
        <v>31260</v>
      </c>
      <c r="G2339" s="15">
        <f>'Hoja 4 - Cálculo'!H80</f>
        <v>12.603375</v>
      </c>
      <c r="H2339" s="15">
        <f>IF(D2339="Uso único",'Hoja 4 - Cálculo'!I80,IF(D2339="Uso múltiple",AVERAGE('Hoja 4 - Cálculo'!$I$25:$I$384)+AVERAGE('Hoja 4 - Cálculo'!$J$25:$J$384)+AVERAGE('Hoja 4 - Cálculo'!$K$25:$K$384),IF(D2339="Uso prioritario",'Hoja 4 - Cálculo'!I80+'Hoja 4 - Cálculo'!K80,'Hoja 4 - Cálculo'!I80+'Hoja 4 - Cálculo'!J80+'Hoja 4 - Cálculo'!K80)))</f>
        <v>13.75</v>
      </c>
      <c r="I2339" s="15">
        <f t="shared" si="529"/>
        <v>13.75</v>
      </c>
      <c r="J2339" s="15">
        <f t="shared" si="537"/>
        <v>2.6578949999999999</v>
      </c>
      <c r="K2339" s="15">
        <f>MIN(J2339+G2339,(J2339+G2339)*'Hoja 4 - Cálculo'!$B$15)</f>
        <v>0.30522539999999998</v>
      </c>
      <c r="L2339" s="15">
        <f t="shared" si="530"/>
        <v>14.9560446</v>
      </c>
      <c r="M2339" s="15">
        <f t="shared" si="531"/>
        <v>13.75</v>
      </c>
      <c r="N2339" s="15">
        <f t="shared" si="532"/>
        <v>1.2060446000000002</v>
      </c>
      <c r="O2339" s="15">
        <f t="shared" si="533"/>
        <v>0</v>
      </c>
      <c r="P2339" s="15">
        <f t="shared" si="534"/>
        <v>0</v>
      </c>
      <c r="Q2339" s="14" t="str">
        <f>IF(M2339&gt;=I2339*'Hoja 4 - Cálculo'!$B$16,"Satisfactorio","Falla")</f>
        <v>Satisfactorio</v>
      </c>
      <c r="R2339" s="14">
        <f t="shared" si="538"/>
        <v>0</v>
      </c>
      <c r="S2339" s="14">
        <f t="shared" si="539"/>
        <v>0</v>
      </c>
    </row>
    <row r="2340" spans="1:19">
      <c r="A2340" s="14" t="str">
        <f t="shared" si="535"/>
        <v>CFG-2</v>
      </c>
      <c r="B2340" s="15">
        <f>'Curvas SRY'!$E$11</f>
        <v>5</v>
      </c>
      <c r="C2340" s="15">
        <f>1</f>
        <v>1</v>
      </c>
      <c r="D2340" s="14" t="str">
        <f t="shared" si="536"/>
        <v>Uso múltiple</v>
      </c>
      <c r="E2340" s="14">
        <f>57</f>
        <v>57</v>
      </c>
      <c r="F2340" s="21">
        <f>'Hoja 4 - Cálculo'!A81</f>
        <v>31291</v>
      </c>
      <c r="G2340" s="15">
        <f>'Hoja 4 - Cálculo'!H81</f>
        <v>21.745125000000002</v>
      </c>
      <c r="H2340" s="15">
        <f>IF(D2340="Uso único",'Hoja 4 - Cálculo'!I81,IF(D2340="Uso múltiple",AVERAGE('Hoja 4 - Cálculo'!$I$25:$I$384)+AVERAGE('Hoja 4 - Cálculo'!$J$25:$J$384)+AVERAGE('Hoja 4 - Cálculo'!$K$25:$K$384),IF(D2340="Uso prioritario",'Hoja 4 - Cálculo'!I81+'Hoja 4 - Cálculo'!K81,'Hoja 4 - Cálculo'!I81+'Hoja 4 - Cálculo'!J81+'Hoja 4 - Cálculo'!K81)))</f>
        <v>13.75</v>
      </c>
      <c r="I2340" s="15">
        <f t="shared" si="529"/>
        <v>13.75</v>
      </c>
      <c r="J2340" s="15">
        <f t="shared" si="537"/>
        <v>1.2060446000000002</v>
      </c>
      <c r="K2340" s="15">
        <f>MIN(J2340+G2340,(J2340+G2340)*'Hoja 4 - Cálculo'!$B$15)</f>
        <v>0.45902339200000003</v>
      </c>
      <c r="L2340" s="15">
        <f t="shared" si="530"/>
        <v>22.492146208000001</v>
      </c>
      <c r="M2340" s="15">
        <f t="shared" si="531"/>
        <v>13.75</v>
      </c>
      <c r="N2340" s="15">
        <f t="shared" si="532"/>
        <v>5</v>
      </c>
      <c r="O2340" s="15">
        <f t="shared" si="533"/>
        <v>3.7421462080000012</v>
      </c>
      <c r="P2340" s="15">
        <f t="shared" si="534"/>
        <v>0</v>
      </c>
      <c r="Q2340" s="14" t="str">
        <f>IF(M2340&gt;=I2340*'Hoja 4 - Cálculo'!$B$16,"Satisfactorio","Falla")</f>
        <v>Satisfactorio</v>
      </c>
      <c r="R2340" s="14">
        <f t="shared" si="538"/>
        <v>0</v>
      </c>
      <c r="S2340" s="14">
        <f t="shared" si="539"/>
        <v>0</v>
      </c>
    </row>
    <row r="2341" spans="1:19">
      <c r="A2341" s="14" t="str">
        <f t="shared" si="535"/>
        <v>CFG-2</v>
      </c>
      <c r="B2341" s="15">
        <f>'Curvas SRY'!$E$11</f>
        <v>5</v>
      </c>
      <c r="C2341" s="15">
        <f>1</f>
        <v>1</v>
      </c>
      <c r="D2341" s="14" t="str">
        <f t="shared" si="536"/>
        <v>Uso múltiple</v>
      </c>
      <c r="E2341" s="14">
        <f>58</f>
        <v>58</v>
      </c>
      <c r="F2341" s="21">
        <f>'Hoja 4 - Cálculo'!A82</f>
        <v>31321</v>
      </c>
      <c r="G2341" s="15">
        <f>'Hoja 4 - Cálculo'!H82</f>
        <v>27.788625</v>
      </c>
      <c r="H2341" s="15">
        <f>IF(D2341="Uso único",'Hoja 4 - Cálculo'!I82,IF(D2341="Uso múltiple",AVERAGE('Hoja 4 - Cálculo'!$I$25:$I$384)+AVERAGE('Hoja 4 - Cálculo'!$J$25:$J$384)+AVERAGE('Hoja 4 - Cálculo'!$K$25:$K$384),IF(D2341="Uso prioritario",'Hoja 4 - Cálculo'!I82+'Hoja 4 - Cálculo'!K82,'Hoja 4 - Cálculo'!I82+'Hoja 4 - Cálculo'!J82+'Hoja 4 - Cálculo'!K82)))</f>
        <v>13.75</v>
      </c>
      <c r="I2341" s="15">
        <f t="shared" si="529"/>
        <v>13.75</v>
      </c>
      <c r="J2341" s="15">
        <f t="shared" si="537"/>
        <v>5</v>
      </c>
      <c r="K2341" s="15">
        <f>MIN(J2341+G2341,(J2341+G2341)*'Hoja 4 - Cálculo'!$B$15)</f>
        <v>0.65577249999999998</v>
      </c>
      <c r="L2341" s="15">
        <f t="shared" si="530"/>
        <v>32.132852499999998</v>
      </c>
      <c r="M2341" s="15">
        <f t="shared" si="531"/>
        <v>13.75</v>
      </c>
      <c r="N2341" s="15">
        <f t="shared" si="532"/>
        <v>5</v>
      </c>
      <c r="O2341" s="15">
        <f t="shared" si="533"/>
        <v>13.382852499999998</v>
      </c>
      <c r="P2341" s="15">
        <f t="shared" si="534"/>
        <v>0</v>
      </c>
      <c r="Q2341" s="14" t="str">
        <f>IF(M2341&gt;=I2341*'Hoja 4 - Cálculo'!$B$16,"Satisfactorio","Falla")</f>
        <v>Satisfactorio</v>
      </c>
      <c r="R2341" s="14">
        <f t="shared" si="538"/>
        <v>0</v>
      </c>
      <c r="S2341" s="14">
        <f t="shared" si="539"/>
        <v>0</v>
      </c>
    </row>
    <row r="2342" spans="1:19">
      <c r="A2342" s="14" t="str">
        <f t="shared" si="535"/>
        <v>CFG-2</v>
      </c>
      <c r="B2342" s="15">
        <f>'Curvas SRY'!$E$11</f>
        <v>5</v>
      </c>
      <c r="C2342" s="15">
        <f>1</f>
        <v>1</v>
      </c>
      <c r="D2342" s="14" t="str">
        <f t="shared" si="536"/>
        <v>Uso múltiple</v>
      </c>
      <c r="E2342" s="14">
        <f>59</f>
        <v>59</v>
      </c>
      <c r="F2342" s="21">
        <f>'Hoja 4 - Cálculo'!A83</f>
        <v>31352</v>
      </c>
      <c r="G2342" s="15">
        <f>'Hoja 4 - Cálculo'!H83</f>
        <v>22.22325</v>
      </c>
      <c r="H2342" s="15">
        <f>IF(D2342="Uso único",'Hoja 4 - Cálculo'!I83,IF(D2342="Uso múltiple",AVERAGE('Hoja 4 - Cálculo'!$I$25:$I$384)+AVERAGE('Hoja 4 - Cálculo'!$J$25:$J$384)+AVERAGE('Hoja 4 - Cálculo'!$K$25:$K$384),IF(D2342="Uso prioritario",'Hoja 4 - Cálculo'!I83+'Hoja 4 - Cálculo'!K83,'Hoja 4 - Cálculo'!I83+'Hoja 4 - Cálculo'!J83+'Hoja 4 - Cálculo'!K83)))</f>
        <v>13.75</v>
      </c>
      <c r="I2342" s="15">
        <f t="shared" si="529"/>
        <v>13.75</v>
      </c>
      <c r="J2342" s="15">
        <f t="shared" si="537"/>
        <v>5</v>
      </c>
      <c r="K2342" s="15">
        <f>MIN(J2342+G2342,(J2342+G2342)*'Hoja 4 - Cálculo'!$B$15)</f>
        <v>0.54446499999999998</v>
      </c>
      <c r="L2342" s="15">
        <f t="shared" si="530"/>
        <v>26.678785000000001</v>
      </c>
      <c r="M2342" s="15">
        <f t="shared" si="531"/>
        <v>13.75</v>
      </c>
      <c r="N2342" s="15">
        <f t="shared" si="532"/>
        <v>5</v>
      </c>
      <c r="O2342" s="15">
        <f t="shared" si="533"/>
        <v>7.9287850000000013</v>
      </c>
      <c r="P2342" s="15">
        <f t="shared" si="534"/>
        <v>0</v>
      </c>
      <c r="Q2342" s="14" t="str">
        <f>IF(M2342&gt;=I2342*'Hoja 4 - Cálculo'!$B$16,"Satisfactorio","Falla")</f>
        <v>Satisfactorio</v>
      </c>
      <c r="R2342" s="14">
        <f t="shared" si="538"/>
        <v>0</v>
      </c>
      <c r="S2342" s="14">
        <f t="shared" si="539"/>
        <v>0</v>
      </c>
    </row>
    <row r="2343" spans="1:19">
      <c r="A2343" s="14" t="str">
        <f t="shared" si="535"/>
        <v>CFG-2</v>
      </c>
      <c r="B2343" s="15">
        <f>'Curvas SRY'!$E$11</f>
        <v>5</v>
      </c>
      <c r="C2343" s="15">
        <f>1</f>
        <v>1</v>
      </c>
      <c r="D2343" s="14" t="str">
        <f t="shared" si="536"/>
        <v>Uso múltiple</v>
      </c>
      <c r="E2343" s="14">
        <f>60</f>
        <v>60</v>
      </c>
      <c r="F2343" s="21">
        <f>'Hoja 4 - Cálculo'!A84</f>
        <v>31382</v>
      </c>
      <c r="G2343" s="15">
        <f>'Hoja 4 - Cálculo'!H84</f>
        <v>14.171625000000001</v>
      </c>
      <c r="H2343" s="15">
        <f>IF(D2343="Uso único",'Hoja 4 - Cálculo'!I84,IF(D2343="Uso múltiple",AVERAGE('Hoja 4 - Cálculo'!$I$25:$I$384)+AVERAGE('Hoja 4 - Cálculo'!$J$25:$J$384)+AVERAGE('Hoja 4 - Cálculo'!$K$25:$K$384),IF(D2343="Uso prioritario",'Hoja 4 - Cálculo'!I84+'Hoja 4 - Cálculo'!K84,'Hoja 4 - Cálculo'!I84+'Hoja 4 - Cálculo'!J84+'Hoja 4 - Cálculo'!K84)))</f>
        <v>13.75</v>
      </c>
      <c r="I2343" s="15">
        <f t="shared" si="529"/>
        <v>13.75</v>
      </c>
      <c r="J2343" s="15">
        <f t="shared" si="537"/>
        <v>5</v>
      </c>
      <c r="K2343" s="15">
        <f>MIN(J2343+G2343,(J2343+G2343)*'Hoja 4 - Cálculo'!$B$15)</f>
        <v>0.38343250000000001</v>
      </c>
      <c r="L2343" s="15">
        <f t="shared" si="530"/>
        <v>18.788192499999997</v>
      </c>
      <c r="M2343" s="15">
        <f t="shared" si="531"/>
        <v>13.75</v>
      </c>
      <c r="N2343" s="15">
        <f t="shared" si="532"/>
        <v>5</v>
      </c>
      <c r="O2343" s="15">
        <f t="shared" si="533"/>
        <v>3.8192499999997409E-2</v>
      </c>
      <c r="P2343" s="15">
        <f t="shared" si="534"/>
        <v>0</v>
      </c>
      <c r="Q2343" s="14" t="str">
        <f>IF(M2343&gt;=I2343*'Hoja 4 - Cálculo'!$B$16,"Satisfactorio","Falla")</f>
        <v>Satisfactorio</v>
      </c>
      <c r="R2343" s="14">
        <f t="shared" si="538"/>
        <v>0</v>
      </c>
      <c r="S2343" s="14">
        <f t="shared" si="539"/>
        <v>0</v>
      </c>
    </row>
    <row r="2344" spans="1:19">
      <c r="A2344" s="14" t="str">
        <f t="shared" si="535"/>
        <v>CFG-2</v>
      </c>
      <c r="B2344" s="15">
        <f>'Curvas SRY'!$E$11</f>
        <v>5</v>
      </c>
      <c r="C2344" s="15">
        <f>1</f>
        <v>1</v>
      </c>
      <c r="D2344" s="14" t="str">
        <f t="shared" si="536"/>
        <v>Uso múltiple</v>
      </c>
      <c r="E2344" s="14">
        <f>61</f>
        <v>61</v>
      </c>
      <c r="F2344" s="21">
        <f>'Hoja 4 - Cálculo'!A85</f>
        <v>31413</v>
      </c>
      <c r="G2344" s="15">
        <f>'Hoja 4 - Cálculo'!H85</f>
        <v>12.641624999999999</v>
      </c>
      <c r="H2344" s="15">
        <f>IF(D2344="Uso único",'Hoja 4 - Cálculo'!I85,IF(D2344="Uso múltiple",AVERAGE('Hoja 4 - Cálculo'!$I$25:$I$384)+AVERAGE('Hoja 4 - Cálculo'!$J$25:$J$384)+AVERAGE('Hoja 4 - Cálculo'!$K$25:$K$384),IF(D2344="Uso prioritario",'Hoja 4 - Cálculo'!I85+'Hoja 4 - Cálculo'!K85,'Hoja 4 - Cálculo'!I85+'Hoja 4 - Cálculo'!J85+'Hoja 4 - Cálculo'!K85)))</f>
        <v>13.75</v>
      </c>
      <c r="I2344" s="15">
        <f t="shared" si="529"/>
        <v>13.75</v>
      </c>
      <c r="J2344" s="15">
        <f t="shared" si="537"/>
        <v>5</v>
      </c>
      <c r="K2344" s="15">
        <f>MIN(J2344+G2344,(J2344+G2344)*'Hoja 4 - Cálculo'!$B$15)</f>
        <v>0.35283249999999994</v>
      </c>
      <c r="L2344" s="15">
        <f t="shared" si="530"/>
        <v>17.288792499999996</v>
      </c>
      <c r="M2344" s="15">
        <f t="shared" si="531"/>
        <v>13.75</v>
      </c>
      <c r="N2344" s="15">
        <f t="shared" si="532"/>
        <v>3.538792499999996</v>
      </c>
      <c r="O2344" s="15">
        <f t="shared" si="533"/>
        <v>0</v>
      </c>
      <c r="P2344" s="15">
        <f t="shared" si="534"/>
        <v>0</v>
      </c>
      <c r="Q2344" s="14" t="str">
        <f>IF(M2344&gt;=I2344*'Hoja 4 - Cálculo'!$B$16,"Satisfactorio","Falla")</f>
        <v>Satisfactorio</v>
      </c>
      <c r="R2344" s="14">
        <f t="shared" si="538"/>
        <v>0</v>
      </c>
      <c r="S2344" s="14">
        <f t="shared" si="539"/>
        <v>0</v>
      </c>
    </row>
    <row r="2345" spans="1:19">
      <c r="A2345" s="14" t="str">
        <f t="shared" si="535"/>
        <v>CFG-2</v>
      </c>
      <c r="B2345" s="15">
        <f>'Curvas SRY'!$E$11</f>
        <v>5</v>
      </c>
      <c r="C2345" s="15">
        <f>1</f>
        <v>1</v>
      </c>
      <c r="D2345" s="14" t="str">
        <f t="shared" si="536"/>
        <v>Uso múltiple</v>
      </c>
      <c r="E2345" s="14">
        <f>62</f>
        <v>62</v>
      </c>
      <c r="F2345" s="21">
        <f>'Hoja 4 - Cálculo'!A86</f>
        <v>31444</v>
      </c>
      <c r="G2345" s="15">
        <f>'Hoja 4 - Cálculo'!H86</f>
        <v>15.357374999999999</v>
      </c>
      <c r="H2345" s="15">
        <f>IF(D2345="Uso único",'Hoja 4 - Cálculo'!I86,IF(D2345="Uso múltiple",AVERAGE('Hoja 4 - Cálculo'!$I$25:$I$384)+AVERAGE('Hoja 4 - Cálculo'!$J$25:$J$384)+AVERAGE('Hoja 4 - Cálculo'!$K$25:$K$384),IF(D2345="Uso prioritario",'Hoja 4 - Cálculo'!I86+'Hoja 4 - Cálculo'!K86,'Hoja 4 - Cálculo'!I86+'Hoja 4 - Cálculo'!J86+'Hoja 4 - Cálculo'!K86)))</f>
        <v>13.75</v>
      </c>
      <c r="I2345" s="15">
        <f t="shared" si="529"/>
        <v>13.75</v>
      </c>
      <c r="J2345" s="15">
        <f t="shared" si="537"/>
        <v>3.538792499999996</v>
      </c>
      <c r="K2345" s="15">
        <f>MIN(J2345+G2345,(J2345+G2345)*'Hoja 4 - Cálculo'!$B$15)</f>
        <v>0.37792334999999994</v>
      </c>
      <c r="L2345" s="15">
        <f t="shared" si="530"/>
        <v>18.518244149999997</v>
      </c>
      <c r="M2345" s="15">
        <f t="shared" si="531"/>
        <v>13.75</v>
      </c>
      <c r="N2345" s="15">
        <f t="shared" si="532"/>
        <v>4.7682441499999975</v>
      </c>
      <c r="O2345" s="15">
        <f t="shared" si="533"/>
        <v>0</v>
      </c>
      <c r="P2345" s="15">
        <f t="shared" si="534"/>
        <v>0</v>
      </c>
      <c r="Q2345" s="14" t="str">
        <f>IF(M2345&gt;=I2345*'Hoja 4 - Cálculo'!$B$16,"Satisfactorio","Falla")</f>
        <v>Satisfactorio</v>
      </c>
      <c r="R2345" s="14">
        <f t="shared" si="538"/>
        <v>0</v>
      </c>
      <c r="S2345" s="14">
        <f t="shared" si="539"/>
        <v>0</v>
      </c>
    </row>
    <row r="2346" spans="1:19">
      <c r="A2346" s="14" t="str">
        <f t="shared" si="535"/>
        <v>CFG-2</v>
      </c>
      <c r="B2346" s="15">
        <f>'Curvas SRY'!$E$11</f>
        <v>5</v>
      </c>
      <c r="C2346" s="15">
        <f>1</f>
        <v>1</v>
      </c>
      <c r="D2346" s="14" t="str">
        <f t="shared" si="536"/>
        <v>Uso múltiple</v>
      </c>
      <c r="E2346" s="14">
        <f>63</f>
        <v>63</v>
      </c>
      <c r="F2346" s="21">
        <f>'Hoja 4 - Cálculo'!A87</f>
        <v>31472</v>
      </c>
      <c r="G2346" s="15">
        <f>'Hoja 4 - Cálculo'!H87</f>
        <v>20.846250000000001</v>
      </c>
      <c r="H2346" s="15">
        <f>IF(D2346="Uso único",'Hoja 4 - Cálculo'!I87,IF(D2346="Uso múltiple",AVERAGE('Hoja 4 - Cálculo'!$I$25:$I$384)+AVERAGE('Hoja 4 - Cálculo'!$J$25:$J$384)+AVERAGE('Hoja 4 - Cálculo'!$K$25:$K$384),IF(D2346="Uso prioritario",'Hoja 4 - Cálculo'!I87+'Hoja 4 - Cálculo'!K87,'Hoja 4 - Cálculo'!I87+'Hoja 4 - Cálculo'!J87+'Hoja 4 - Cálculo'!K87)))</f>
        <v>13.75</v>
      </c>
      <c r="I2346" s="15">
        <f t="shared" si="529"/>
        <v>13.75</v>
      </c>
      <c r="J2346" s="15">
        <f t="shared" si="537"/>
        <v>4.7682441499999975</v>
      </c>
      <c r="K2346" s="15">
        <f>MIN(J2346+G2346,(J2346+G2346)*'Hoja 4 - Cálculo'!$B$15)</f>
        <v>0.512289883</v>
      </c>
      <c r="L2346" s="15">
        <f t="shared" si="530"/>
        <v>25.102204266999998</v>
      </c>
      <c r="M2346" s="15">
        <f t="shared" si="531"/>
        <v>13.75</v>
      </c>
      <c r="N2346" s="15">
        <f t="shared" si="532"/>
        <v>5</v>
      </c>
      <c r="O2346" s="15">
        <f t="shared" si="533"/>
        <v>6.3522042669999976</v>
      </c>
      <c r="P2346" s="15">
        <f t="shared" si="534"/>
        <v>0</v>
      </c>
      <c r="Q2346" s="14" t="str">
        <f>IF(M2346&gt;=I2346*'Hoja 4 - Cálculo'!$B$16,"Satisfactorio","Falla")</f>
        <v>Satisfactorio</v>
      </c>
      <c r="R2346" s="14">
        <f t="shared" si="538"/>
        <v>0</v>
      </c>
      <c r="S2346" s="14">
        <f t="shared" si="539"/>
        <v>0</v>
      </c>
    </row>
    <row r="2347" spans="1:19">
      <c r="A2347" s="14" t="str">
        <f t="shared" si="535"/>
        <v>CFG-2</v>
      </c>
      <c r="B2347" s="15">
        <f>'Curvas SRY'!$E$11</f>
        <v>5</v>
      </c>
      <c r="C2347" s="15">
        <f>1</f>
        <v>1</v>
      </c>
      <c r="D2347" s="14" t="str">
        <f t="shared" si="536"/>
        <v>Uso múltiple</v>
      </c>
      <c r="E2347" s="14">
        <f>64</f>
        <v>64</v>
      </c>
      <c r="F2347" s="21">
        <f>'Hoja 4 - Cálculo'!A88</f>
        <v>31503</v>
      </c>
      <c r="G2347" s="15">
        <f>'Hoja 4 - Cálculo'!H88</f>
        <v>30.638249999999999</v>
      </c>
      <c r="H2347" s="15">
        <f>IF(D2347="Uso único",'Hoja 4 - Cálculo'!I88,IF(D2347="Uso múltiple",AVERAGE('Hoja 4 - Cálculo'!$I$25:$I$384)+AVERAGE('Hoja 4 - Cálculo'!$J$25:$J$384)+AVERAGE('Hoja 4 - Cálculo'!$K$25:$K$384),IF(D2347="Uso prioritario",'Hoja 4 - Cálculo'!I88+'Hoja 4 - Cálculo'!K88,'Hoja 4 - Cálculo'!I88+'Hoja 4 - Cálculo'!J88+'Hoja 4 - Cálculo'!K88)))</f>
        <v>13.75</v>
      </c>
      <c r="I2347" s="15">
        <f t="shared" si="529"/>
        <v>13.75</v>
      </c>
      <c r="J2347" s="15">
        <f t="shared" si="537"/>
        <v>5</v>
      </c>
      <c r="K2347" s="15">
        <f>MIN(J2347+G2347,(J2347+G2347)*'Hoja 4 - Cálculo'!$B$15)</f>
        <v>0.71276499999999998</v>
      </c>
      <c r="L2347" s="15">
        <f t="shared" si="530"/>
        <v>34.925485000000002</v>
      </c>
      <c r="M2347" s="15">
        <f t="shared" si="531"/>
        <v>13.75</v>
      </c>
      <c r="N2347" s="15">
        <f t="shared" si="532"/>
        <v>5</v>
      </c>
      <c r="O2347" s="15">
        <f t="shared" si="533"/>
        <v>16.175485000000002</v>
      </c>
      <c r="P2347" s="15">
        <f t="shared" si="534"/>
        <v>0</v>
      </c>
      <c r="Q2347" s="14" t="str">
        <f>IF(M2347&gt;=I2347*'Hoja 4 - Cálculo'!$B$16,"Satisfactorio","Falla")</f>
        <v>Satisfactorio</v>
      </c>
      <c r="R2347" s="14">
        <f t="shared" si="538"/>
        <v>0</v>
      </c>
      <c r="S2347" s="14">
        <f t="shared" si="539"/>
        <v>0</v>
      </c>
    </row>
    <row r="2348" spans="1:19">
      <c r="A2348" s="14" t="str">
        <f t="shared" ref="A2348:A2379" si="540">"CFG-2"</f>
        <v>CFG-2</v>
      </c>
      <c r="B2348" s="15">
        <f>'Curvas SRY'!$E$11</f>
        <v>5</v>
      </c>
      <c r="C2348" s="15">
        <f>1</f>
        <v>1</v>
      </c>
      <c r="D2348" s="14" t="str">
        <f t="shared" ref="D2348:D2379" si="541">"Uso múltiple"</f>
        <v>Uso múltiple</v>
      </c>
      <c r="E2348" s="14">
        <f>65</f>
        <v>65</v>
      </c>
      <c r="F2348" s="21">
        <f>'Hoja 4 - Cálculo'!A89</f>
        <v>31533</v>
      </c>
      <c r="G2348" s="15">
        <f>'Hoja 4 - Cálculo'!H89</f>
        <v>28.438874999999999</v>
      </c>
      <c r="H2348" s="15">
        <f>IF(D2348="Uso único",'Hoja 4 - Cálculo'!I89,IF(D2348="Uso múltiple",AVERAGE('Hoja 4 - Cálculo'!$I$25:$I$384)+AVERAGE('Hoja 4 - Cálculo'!$J$25:$J$384)+AVERAGE('Hoja 4 - Cálculo'!$K$25:$K$384),IF(D2348="Uso prioritario",'Hoja 4 - Cálculo'!I89+'Hoja 4 - Cálculo'!K89,'Hoja 4 - Cálculo'!I89+'Hoja 4 - Cálculo'!J89+'Hoja 4 - Cálculo'!K89)))</f>
        <v>13.75</v>
      </c>
      <c r="I2348" s="15">
        <f t="shared" si="529"/>
        <v>13.75</v>
      </c>
      <c r="J2348" s="15">
        <f t="shared" si="537"/>
        <v>5</v>
      </c>
      <c r="K2348" s="15">
        <f>MIN(J2348+G2348,(J2348+G2348)*'Hoja 4 - Cálculo'!$B$15)</f>
        <v>0.66877749999999991</v>
      </c>
      <c r="L2348" s="15">
        <f t="shared" si="530"/>
        <v>32.770097499999999</v>
      </c>
      <c r="M2348" s="15">
        <f t="shared" si="531"/>
        <v>13.75</v>
      </c>
      <c r="N2348" s="15">
        <f t="shared" si="532"/>
        <v>5</v>
      </c>
      <c r="O2348" s="15">
        <f t="shared" si="533"/>
        <v>14.020097499999999</v>
      </c>
      <c r="P2348" s="15">
        <f t="shared" si="534"/>
        <v>0</v>
      </c>
      <c r="Q2348" s="14" t="str">
        <f>IF(M2348&gt;=I2348*'Hoja 4 - Cálculo'!$B$16,"Satisfactorio","Falla")</f>
        <v>Satisfactorio</v>
      </c>
      <c r="R2348" s="14">
        <f t="shared" si="538"/>
        <v>0</v>
      </c>
      <c r="S2348" s="14">
        <f t="shared" si="539"/>
        <v>0</v>
      </c>
    </row>
    <row r="2349" spans="1:19">
      <c r="A2349" s="14" t="str">
        <f t="shared" si="540"/>
        <v>CFG-2</v>
      </c>
      <c r="B2349" s="15">
        <f>'Curvas SRY'!$E$11</f>
        <v>5</v>
      </c>
      <c r="C2349" s="15">
        <f>1</f>
        <v>1</v>
      </c>
      <c r="D2349" s="14" t="str">
        <f t="shared" si="541"/>
        <v>Uso múltiple</v>
      </c>
      <c r="E2349" s="14">
        <f>66</f>
        <v>66</v>
      </c>
      <c r="F2349" s="21">
        <f>'Hoja 4 - Cálculo'!A90</f>
        <v>31564</v>
      </c>
      <c r="G2349" s="15">
        <f>'Hoja 4 - Cálculo'!H90</f>
        <v>16.007625000000001</v>
      </c>
      <c r="H2349" s="15">
        <f>IF(D2349="Uso único",'Hoja 4 - Cálculo'!I90,IF(D2349="Uso múltiple",AVERAGE('Hoja 4 - Cálculo'!$I$25:$I$384)+AVERAGE('Hoja 4 - Cálculo'!$J$25:$J$384)+AVERAGE('Hoja 4 - Cálculo'!$K$25:$K$384),IF(D2349="Uso prioritario",'Hoja 4 - Cálculo'!I90+'Hoja 4 - Cálculo'!K90,'Hoja 4 - Cálculo'!I90+'Hoja 4 - Cálculo'!J90+'Hoja 4 - Cálculo'!K90)))</f>
        <v>13.75</v>
      </c>
      <c r="I2349" s="15">
        <f t="shared" si="529"/>
        <v>13.75</v>
      </c>
      <c r="J2349" s="15">
        <f t="shared" ref="J2349:J2380" si="542">N2348</f>
        <v>5</v>
      </c>
      <c r="K2349" s="15">
        <f>MIN(J2349+G2349,(J2349+G2349)*'Hoja 4 - Cálculo'!$B$15)</f>
        <v>0.42015250000000004</v>
      </c>
      <c r="L2349" s="15">
        <f t="shared" si="530"/>
        <v>20.587472500000001</v>
      </c>
      <c r="M2349" s="15">
        <f t="shared" si="531"/>
        <v>13.75</v>
      </c>
      <c r="N2349" s="15">
        <f t="shared" si="532"/>
        <v>5</v>
      </c>
      <c r="O2349" s="15">
        <f t="shared" si="533"/>
        <v>1.8374725000000005</v>
      </c>
      <c r="P2349" s="15">
        <f t="shared" si="534"/>
        <v>0</v>
      </c>
      <c r="Q2349" s="14" t="str">
        <f>IF(M2349&gt;=I2349*'Hoja 4 - Cálculo'!$B$16,"Satisfactorio","Falla")</f>
        <v>Satisfactorio</v>
      </c>
      <c r="R2349" s="14">
        <f t="shared" ref="R2349:R2380" si="543">IF(AND(Q2348="Falla",Q2349="Satisfactorio"),1,0)</f>
        <v>0</v>
      </c>
      <c r="S2349" s="14">
        <f t="shared" ref="S2349:S2380" si="544">IF(AND(Q2349="Falla",Q2348&lt;&gt;"Falla"),1,0)</f>
        <v>0</v>
      </c>
    </row>
    <row r="2350" spans="1:19">
      <c r="A2350" s="14" t="str">
        <f t="shared" si="540"/>
        <v>CFG-2</v>
      </c>
      <c r="B2350" s="15">
        <f>'Curvas SRY'!$E$11</f>
        <v>5</v>
      </c>
      <c r="C2350" s="15">
        <f>1</f>
        <v>1</v>
      </c>
      <c r="D2350" s="14" t="str">
        <f t="shared" si="541"/>
        <v>Uso múltiple</v>
      </c>
      <c r="E2350" s="14">
        <f>67</f>
        <v>67</v>
      </c>
      <c r="F2350" s="21">
        <f>'Hoja 4 - Cálculo'!A91</f>
        <v>31594</v>
      </c>
      <c r="G2350" s="15">
        <f>'Hoja 4 - Cálculo'!H91</f>
        <v>14.056875</v>
      </c>
      <c r="H2350" s="15">
        <f>IF(D2350="Uso único",'Hoja 4 - Cálculo'!I91,IF(D2350="Uso múltiple",AVERAGE('Hoja 4 - Cálculo'!$I$25:$I$384)+AVERAGE('Hoja 4 - Cálculo'!$J$25:$J$384)+AVERAGE('Hoja 4 - Cálculo'!$K$25:$K$384),IF(D2350="Uso prioritario",'Hoja 4 - Cálculo'!I91+'Hoja 4 - Cálculo'!K91,'Hoja 4 - Cálculo'!I91+'Hoja 4 - Cálculo'!J91+'Hoja 4 - Cálculo'!K91)))</f>
        <v>13.75</v>
      </c>
      <c r="I2350" s="15">
        <f t="shared" si="529"/>
        <v>13.75</v>
      </c>
      <c r="J2350" s="15">
        <f t="shared" si="542"/>
        <v>5</v>
      </c>
      <c r="K2350" s="15">
        <f>MIN(J2350+G2350,(J2350+G2350)*'Hoja 4 - Cálculo'!$B$15)</f>
        <v>0.38113749999999996</v>
      </c>
      <c r="L2350" s="15">
        <f t="shared" si="530"/>
        <v>18.675737499999997</v>
      </c>
      <c r="M2350" s="15">
        <f t="shared" si="531"/>
        <v>13.75</v>
      </c>
      <c r="N2350" s="15">
        <f t="shared" si="532"/>
        <v>4.9257374999999968</v>
      </c>
      <c r="O2350" s="15">
        <f t="shared" si="533"/>
        <v>0</v>
      </c>
      <c r="P2350" s="15">
        <f t="shared" si="534"/>
        <v>0</v>
      </c>
      <c r="Q2350" s="14" t="str">
        <f>IF(M2350&gt;=I2350*'Hoja 4 - Cálculo'!$B$16,"Satisfactorio","Falla")</f>
        <v>Satisfactorio</v>
      </c>
      <c r="R2350" s="14">
        <f t="shared" si="543"/>
        <v>0</v>
      </c>
      <c r="S2350" s="14">
        <f t="shared" si="544"/>
        <v>0</v>
      </c>
    </row>
    <row r="2351" spans="1:19">
      <c r="A2351" s="14" t="str">
        <f t="shared" si="540"/>
        <v>CFG-2</v>
      </c>
      <c r="B2351" s="15">
        <f>'Curvas SRY'!$E$11</f>
        <v>5</v>
      </c>
      <c r="C2351" s="15">
        <f>1</f>
        <v>1</v>
      </c>
      <c r="D2351" s="14" t="str">
        <f t="shared" si="541"/>
        <v>Uso múltiple</v>
      </c>
      <c r="E2351" s="14">
        <f>68</f>
        <v>68</v>
      </c>
      <c r="F2351" s="21">
        <f>'Hoja 4 - Cálculo'!A92</f>
        <v>31625</v>
      </c>
      <c r="G2351" s="15">
        <f>'Hoja 4 - Cálculo'!H92</f>
        <v>15.032249999999999</v>
      </c>
      <c r="H2351" s="15">
        <f>IF(D2351="Uso único",'Hoja 4 - Cálculo'!I92,IF(D2351="Uso múltiple",AVERAGE('Hoja 4 - Cálculo'!$I$25:$I$384)+AVERAGE('Hoja 4 - Cálculo'!$J$25:$J$384)+AVERAGE('Hoja 4 - Cálculo'!$K$25:$K$384),IF(D2351="Uso prioritario",'Hoja 4 - Cálculo'!I92+'Hoja 4 - Cálculo'!K92,'Hoja 4 - Cálculo'!I92+'Hoja 4 - Cálculo'!J92+'Hoja 4 - Cálculo'!K92)))</f>
        <v>13.75</v>
      </c>
      <c r="I2351" s="15">
        <f t="shared" si="529"/>
        <v>13.75</v>
      </c>
      <c r="J2351" s="15">
        <f t="shared" si="542"/>
        <v>4.9257374999999968</v>
      </c>
      <c r="K2351" s="15">
        <f>MIN(J2351+G2351,(J2351+G2351)*'Hoja 4 - Cálculo'!$B$15)</f>
        <v>0.39915974999999992</v>
      </c>
      <c r="L2351" s="15">
        <f t="shared" si="530"/>
        <v>19.558827749999995</v>
      </c>
      <c r="M2351" s="15">
        <f t="shared" si="531"/>
        <v>13.75</v>
      </c>
      <c r="N2351" s="15">
        <f t="shared" si="532"/>
        <v>5</v>
      </c>
      <c r="O2351" s="15">
        <f t="shared" si="533"/>
        <v>0.8088277499999954</v>
      </c>
      <c r="P2351" s="15">
        <f t="shared" si="534"/>
        <v>0</v>
      </c>
      <c r="Q2351" s="14" t="str">
        <f>IF(M2351&gt;=I2351*'Hoja 4 - Cálculo'!$B$16,"Satisfactorio","Falla")</f>
        <v>Satisfactorio</v>
      </c>
      <c r="R2351" s="14">
        <f t="shared" si="543"/>
        <v>0</v>
      </c>
      <c r="S2351" s="14">
        <f t="shared" si="544"/>
        <v>0</v>
      </c>
    </row>
    <row r="2352" spans="1:19">
      <c r="A2352" s="14" t="str">
        <f t="shared" si="540"/>
        <v>CFG-2</v>
      </c>
      <c r="B2352" s="15">
        <f>'Curvas SRY'!$E$11</f>
        <v>5</v>
      </c>
      <c r="C2352" s="15">
        <f>1</f>
        <v>1</v>
      </c>
      <c r="D2352" s="14" t="str">
        <f t="shared" si="541"/>
        <v>Uso múltiple</v>
      </c>
      <c r="E2352" s="14">
        <f>69</f>
        <v>69</v>
      </c>
      <c r="F2352" s="21">
        <f>'Hoja 4 - Cálculo'!A93</f>
        <v>31656</v>
      </c>
      <c r="G2352" s="15">
        <f>'Hoja 4 - Cálculo'!H93</f>
        <v>22.60575</v>
      </c>
      <c r="H2352" s="15">
        <f>IF(D2352="Uso único",'Hoja 4 - Cálculo'!I93,IF(D2352="Uso múltiple",AVERAGE('Hoja 4 - Cálculo'!$I$25:$I$384)+AVERAGE('Hoja 4 - Cálculo'!$J$25:$J$384)+AVERAGE('Hoja 4 - Cálculo'!$K$25:$K$384),IF(D2352="Uso prioritario",'Hoja 4 - Cálculo'!I93+'Hoja 4 - Cálculo'!K93,'Hoja 4 - Cálculo'!I93+'Hoja 4 - Cálculo'!J93+'Hoja 4 - Cálculo'!K93)))</f>
        <v>13.75</v>
      </c>
      <c r="I2352" s="15">
        <f t="shared" si="529"/>
        <v>13.75</v>
      </c>
      <c r="J2352" s="15">
        <f t="shared" si="542"/>
        <v>5</v>
      </c>
      <c r="K2352" s="15">
        <f>MIN(J2352+G2352,(J2352+G2352)*'Hoja 4 - Cálculo'!$B$15)</f>
        <v>0.55211500000000002</v>
      </c>
      <c r="L2352" s="15">
        <f t="shared" si="530"/>
        <v>27.053635</v>
      </c>
      <c r="M2352" s="15">
        <f t="shared" si="531"/>
        <v>13.75</v>
      </c>
      <c r="N2352" s="15">
        <f t="shared" si="532"/>
        <v>5</v>
      </c>
      <c r="O2352" s="15">
        <f t="shared" si="533"/>
        <v>8.3036349999999999</v>
      </c>
      <c r="P2352" s="15">
        <f t="shared" si="534"/>
        <v>0</v>
      </c>
      <c r="Q2352" s="14" t="str">
        <f>IF(M2352&gt;=I2352*'Hoja 4 - Cálculo'!$B$16,"Satisfactorio","Falla")</f>
        <v>Satisfactorio</v>
      </c>
      <c r="R2352" s="14">
        <f t="shared" si="543"/>
        <v>0</v>
      </c>
      <c r="S2352" s="14">
        <f t="shared" si="544"/>
        <v>0</v>
      </c>
    </row>
    <row r="2353" spans="1:19">
      <c r="A2353" s="14" t="str">
        <f t="shared" si="540"/>
        <v>CFG-2</v>
      </c>
      <c r="B2353" s="15">
        <f>'Curvas SRY'!$E$11</f>
        <v>5</v>
      </c>
      <c r="C2353" s="15">
        <f>1</f>
        <v>1</v>
      </c>
      <c r="D2353" s="14" t="str">
        <f t="shared" si="541"/>
        <v>Uso múltiple</v>
      </c>
      <c r="E2353" s="14">
        <f>70</f>
        <v>70</v>
      </c>
      <c r="F2353" s="21">
        <f>'Hoja 4 - Cálculo'!A94</f>
        <v>31686</v>
      </c>
      <c r="G2353" s="15">
        <f>'Hoja 4 - Cálculo'!H94</f>
        <v>32.531624999999998</v>
      </c>
      <c r="H2353" s="15">
        <f>IF(D2353="Uso único",'Hoja 4 - Cálculo'!I94,IF(D2353="Uso múltiple",AVERAGE('Hoja 4 - Cálculo'!$I$25:$I$384)+AVERAGE('Hoja 4 - Cálculo'!$J$25:$J$384)+AVERAGE('Hoja 4 - Cálculo'!$K$25:$K$384),IF(D2353="Uso prioritario",'Hoja 4 - Cálculo'!I94+'Hoja 4 - Cálculo'!K94,'Hoja 4 - Cálculo'!I94+'Hoja 4 - Cálculo'!J94+'Hoja 4 - Cálculo'!K94)))</f>
        <v>13.75</v>
      </c>
      <c r="I2353" s="15">
        <f t="shared" si="529"/>
        <v>13.75</v>
      </c>
      <c r="J2353" s="15">
        <f t="shared" si="542"/>
        <v>5</v>
      </c>
      <c r="K2353" s="15">
        <f>MIN(J2353+G2353,(J2353+G2353)*'Hoja 4 - Cálculo'!$B$15)</f>
        <v>0.75063250000000004</v>
      </c>
      <c r="L2353" s="15">
        <f t="shared" si="530"/>
        <v>36.780992499999996</v>
      </c>
      <c r="M2353" s="15">
        <f t="shared" si="531"/>
        <v>13.75</v>
      </c>
      <c r="N2353" s="15">
        <f t="shared" si="532"/>
        <v>5</v>
      </c>
      <c r="O2353" s="15">
        <f t="shared" si="533"/>
        <v>18.030992499999996</v>
      </c>
      <c r="P2353" s="15">
        <f t="shared" si="534"/>
        <v>0</v>
      </c>
      <c r="Q2353" s="14" t="str">
        <f>IF(M2353&gt;=I2353*'Hoja 4 - Cálculo'!$B$16,"Satisfactorio","Falla")</f>
        <v>Satisfactorio</v>
      </c>
      <c r="R2353" s="14">
        <f t="shared" si="543"/>
        <v>0</v>
      </c>
      <c r="S2353" s="14">
        <f t="shared" si="544"/>
        <v>0</v>
      </c>
    </row>
    <row r="2354" spans="1:19">
      <c r="A2354" s="14" t="str">
        <f t="shared" si="540"/>
        <v>CFG-2</v>
      </c>
      <c r="B2354" s="15">
        <f>'Curvas SRY'!$E$11</f>
        <v>5</v>
      </c>
      <c r="C2354" s="15">
        <f>1</f>
        <v>1</v>
      </c>
      <c r="D2354" s="14" t="str">
        <f t="shared" si="541"/>
        <v>Uso múltiple</v>
      </c>
      <c r="E2354" s="14">
        <f>71</f>
        <v>71</v>
      </c>
      <c r="F2354" s="21">
        <f>'Hoja 4 - Cálculo'!A95</f>
        <v>31717</v>
      </c>
      <c r="G2354" s="15">
        <f>'Hoja 4 - Cálculo'!H95</f>
        <v>26.641124999999999</v>
      </c>
      <c r="H2354" s="15">
        <f>IF(D2354="Uso único",'Hoja 4 - Cálculo'!I95,IF(D2354="Uso múltiple",AVERAGE('Hoja 4 - Cálculo'!$I$25:$I$384)+AVERAGE('Hoja 4 - Cálculo'!$J$25:$J$384)+AVERAGE('Hoja 4 - Cálculo'!$K$25:$K$384),IF(D2354="Uso prioritario",'Hoja 4 - Cálculo'!I95+'Hoja 4 - Cálculo'!K95,'Hoja 4 - Cálculo'!I95+'Hoja 4 - Cálculo'!J95+'Hoja 4 - Cálculo'!K95)))</f>
        <v>13.75</v>
      </c>
      <c r="I2354" s="15">
        <f t="shared" si="529"/>
        <v>13.75</v>
      </c>
      <c r="J2354" s="15">
        <f t="shared" si="542"/>
        <v>5</v>
      </c>
      <c r="K2354" s="15">
        <f>MIN(J2354+G2354,(J2354+G2354)*'Hoja 4 - Cálculo'!$B$15)</f>
        <v>0.63282249999999995</v>
      </c>
      <c r="L2354" s="15">
        <f t="shared" si="530"/>
        <v>31.008302499999999</v>
      </c>
      <c r="M2354" s="15">
        <f t="shared" si="531"/>
        <v>13.75</v>
      </c>
      <c r="N2354" s="15">
        <f t="shared" si="532"/>
        <v>5</v>
      </c>
      <c r="O2354" s="15">
        <f t="shared" si="533"/>
        <v>12.258302499999999</v>
      </c>
      <c r="P2354" s="15">
        <f t="shared" si="534"/>
        <v>0</v>
      </c>
      <c r="Q2354" s="14" t="str">
        <f>IF(M2354&gt;=I2354*'Hoja 4 - Cálculo'!$B$16,"Satisfactorio","Falla")</f>
        <v>Satisfactorio</v>
      </c>
      <c r="R2354" s="14">
        <f t="shared" si="543"/>
        <v>0</v>
      </c>
      <c r="S2354" s="14">
        <f t="shared" si="544"/>
        <v>0</v>
      </c>
    </row>
    <row r="2355" spans="1:19">
      <c r="A2355" s="14" t="str">
        <f t="shared" si="540"/>
        <v>CFG-2</v>
      </c>
      <c r="B2355" s="15">
        <f>'Curvas SRY'!$E$11</f>
        <v>5</v>
      </c>
      <c r="C2355" s="15">
        <f>1</f>
        <v>1</v>
      </c>
      <c r="D2355" s="14" t="str">
        <f t="shared" si="541"/>
        <v>Uso múltiple</v>
      </c>
      <c r="E2355" s="14">
        <f>72</f>
        <v>72</v>
      </c>
      <c r="F2355" s="21">
        <f>'Hoja 4 - Cálculo'!A96</f>
        <v>31747</v>
      </c>
      <c r="G2355" s="15">
        <f>'Hoja 4 - Cálculo'!H96</f>
        <v>15.166124999999999</v>
      </c>
      <c r="H2355" s="15">
        <f>IF(D2355="Uso único",'Hoja 4 - Cálculo'!I96,IF(D2355="Uso múltiple",AVERAGE('Hoja 4 - Cálculo'!$I$25:$I$384)+AVERAGE('Hoja 4 - Cálculo'!$J$25:$J$384)+AVERAGE('Hoja 4 - Cálculo'!$K$25:$K$384),IF(D2355="Uso prioritario",'Hoja 4 - Cálculo'!I96+'Hoja 4 - Cálculo'!K96,'Hoja 4 - Cálculo'!I96+'Hoja 4 - Cálculo'!J96+'Hoja 4 - Cálculo'!K96)))</f>
        <v>13.75</v>
      </c>
      <c r="I2355" s="15">
        <f t="shared" si="529"/>
        <v>13.75</v>
      </c>
      <c r="J2355" s="15">
        <f t="shared" si="542"/>
        <v>5</v>
      </c>
      <c r="K2355" s="15">
        <f>MIN(J2355+G2355,(J2355+G2355)*'Hoja 4 - Cálculo'!$B$15)</f>
        <v>0.40332250000000003</v>
      </c>
      <c r="L2355" s="15">
        <f t="shared" si="530"/>
        <v>19.762802499999999</v>
      </c>
      <c r="M2355" s="15">
        <f t="shared" si="531"/>
        <v>13.75</v>
      </c>
      <c r="N2355" s="15">
        <f t="shared" si="532"/>
        <v>5</v>
      </c>
      <c r="O2355" s="15">
        <f t="shared" si="533"/>
        <v>1.0128024999999994</v>
      </c>
      <c r="P2355" s="15">
        <f t="shared" si="534"/>
        <v>0</v>
      </c>
      <c r="Q2355" s="14" t="str">
        <f>IF(M2355&gt;=I2355*'Hoja 4 - Cálculo'!$B$16,"Satisfactorio","Falla")</f>
        <v>Satisfactorio</v>
      </c>
      <c r="R2355" s="14">
        <f t="shared" si="543"/>
        <v>0</v>
      </c>
      <c r="S2355" s="14">
        <f t="shared" si="544"/>
        <v>0</v>
      </c>
    </row>
    <row r="2356" spans="1:19">
      <c r="A2356" s="14" t="str">
        <f t="shared" si="540"/>
        <v>CFG-2</v>
      </c>
      <c r="B2356" s="15">
        <f>'Curvas SRY'!$E$11</f>
        <v>5</v>
      </c>
      <c r="C2356" s="15">
        <f>1</f>
        <v>1</v>
      </c>
      <c r="D2356" s="14" t="str">
        <f t="shared" si="541"/>
        <v>Uso múltiple</v>
      </c>
      <c r="E2356" s="14">
        <f>73</f>
        <v>73</v>
      </c>
      <c r="F2356" s="21">
        <f>'Hoja 4 - Cálculo'!A97</f>
        <v>31778</v>
      </c>
      <c r="G2356" s="15">
        <f>'Hoja 4 - Cálculo'!H97</f>
        <v>14.056875</v>
      </c>
      <c r="H2356" s="15">
        <f>IF(D2356="Uso único",'Hoja 4 - Cálculo'!I97,IF(D2356="Uso múltiple",AVERAGE('Hoja 4 - Cálculo'!$I$25:$I$384)+AVERAGE('Hoja 4 - Cálculo'!$J$25:$J$384)+AVERAGE('Hoja 4 - Cálculo'!$K$25:$K$384),IF(D2356="Uso prioritario",'Hoja 4 - Cálculo'!I97+'Hoja 4 - Cálculo'!K97,'Hoja 4 - Cálculo'!I97+'Hoja 4 - Cálculo'!J97+'Hoja 4 - Cálculo'!K97)))</f>
        <v>13.75</v>
      </c>
      <c r="I2356" s="15">
        <f t="shared" ref="I2356:I2419" si="545">H2356</f>
        <v>13.75</v>
      </c>
      <c r="J2356" s="15">
        <f t="shared" si="542"/>
        <v>5</v>
      </c>
      <c r="K2356" s="15">
        <f>MIN(J2356+G2356,(J2356+G2356)*'Hoja 4 - Cálculo'!$B$15)</f>
        <v>0.38113749999999996</v>
      </c>
      <c r="L2356" s="15">
        <f t="shared" si="530"/>
        <v>18.675737499999997</v>
      </c>
      <c r="M2356" s="15">
        <f t="shared" si="531"/>
        <v>13.75</v>
      </c>
      <c r="N2356" s="15">
        <f t="shared" si="532"/>
        <v>4.9257374999999968</v>
      </c>
      <c r="O2356" s="15">
        <f t="shared" si="533"/>
        <v>0</v>
      </c>
      <c r="P2356" s="15">
        <f t="shared" si="534"/>
        <v>0</v>
      </c>
      <c r="Q2356" s="14" t="str">
        <f>IF(M2356&gt;=I2356*'Hoja 4 - Cálculo'!$B$16,"Satisfactorio","Falla")</f>
        <v>Satisfactorio</v>
      </c>
      <c r="R2356" s="14">
        <f t="shared" si="543"/>
        <v>0</v>
      </c>
      <c r="S2356" s="14">
        <f t="shared" si="544"/>
        <v>0</v>
      </c>
    </row>
    <row r="2357" spans="1:19">
      <c r="A2357" s="14" t="str">
        <f t="shared" si="540"/>
        <v>CFG-2</v>
      </c>
      <c r="B2357" s="15">
        <f>'Curvas SRY'!$E$11</f>
        <v>5</v>
      </c>
      <c r="C2357" s="15">
        <f>1</f>
        <v>1</v>
      </c>
      <c r="D2357" s="14" t="str">
        <f t="shared" si="541"/>
        <v>Uso múltiple</v>
      </c>
      <c r="E2357" s="14">
        <f>74</f>
        <v>74</v>
      </c>
      <c r="F2357" s="21">
        <f>'Hoja 4 - Cálculo'!A98</f>
        <v>31809</v>
      </c>
      <c r="G2357" s="15">
        <f>'Hoja 4 - Cálculo'!H98</f>
        <v>15.969374999999999</v>
      </c>
      <c r="H2357" s="15">
        <f>IF(D2357="Uso único",'Hoja 4 - Cálculo'!I98,IF(D2357="Uso múltiple",AVERAGE('Hoja 4 - Cálculo'!$I$25:$I$384)+AVERAGE('Hoja 4 - Cálculo'!$J$25:$J$384)+AVERAGE('Hoja 4 - Cálculo'!$K$25:$K$384),IF(D2357="Uso prioritario",'Hoja 4 - Cálculo'!I98+'Hoja 4 - Cálculo'!K98,'Hoja 4 - Cálculo'!I98+'Hoja 4 - Cálculo'!J98+'Hoja 4 - Cálculo'!K98)))</f>
        <v>13.75</v>
      </c>
      <c r="I2357" s="15">
        <f t="shared" si="545"/>
        <v>13.75</v>
      </c>
      <c r="J2357" s="15">
        <f t="shared" si="542"/>
        <v>4.9257374999999968</v>
      </c>
      <c r="K2357" s="15">
        <f>MIN(J2357+G2357,(J2357+G2357)*'Hoja 4 - Cálculo'!$B$15)</f>
        <v>0.41790224999999992</v>
      </c>
      <c r="L2357" s="15">
        <f t="shared" si="530"/>
        <v>20.477210249999995</v>
      </c>
      <c r="M2357" s="15">
        <f t="shared" si="531"/>
        <v>13.75</v>
      </c>
      <c r="N2357" s="15">
        <f t="shared" si="532"/>
        <v>5</v>
      </c>
      <c r="O2357" s="15">
        <f t="shared" si="533"/>
        <v>1.7272102499999953</v>
      </c>
      <c r="P2357" s="15">
        <f t="shared" si="534"/>
        <v>0</v>
      </c>
      <c r="Q2357" s="14" t="str">
        <f>IF(M2357&gt;=I2357*'Hoja 4 - Cálculo'!$B$16,"Satisfactorio","Falla")</f>
        <v>Satisfactorio</v>
      </c>
      <c r="R2357" s="14">
        <f t="shared" si="543"/>
        <v>0</v>
      </c>
      <c r="S2357" s="14">
        <f t="shared" si="544"/>
        <v>0</v>
      </c>
    </row>
    <row r="2358" spans="1:19">
      <c r="A2358" s="14" t="str">
        <f t="shared" si="540"/>
        <v>CFG-2</v>
      </c>
      <c r="B2358" s="15">
        <f>'Curvas SRY'!$E$11</f>
        <v>5</v>
      </c>
      <c r="C2358" s="15">
        <f>1</f>
        <v>1</v>
      </c>
      <c r="D2358" s="14" t="str">
        <f t="shared" si="541"/>
        <v>Uso múltiple</v>
      </c>
      <c r="E2358" s="14">
        <f>75</f>
        <v>75</v>
      </c>
      <c r="F2358" s="21">
        <f>'Hoja 4 - Cálculo'!A99</f>
        <v>31837</v>
      </c>
      <c r="G2358" s="15">
        <f>'Hoja 4 - Cálculo'!H99</f>
        <v>22.797000000000001</v>
      </c>
      <c r="H2358" s="15">
        <f>IF(D2358="Uso único",'Hoja 4 - Cálculo'!I99,IF(D2358="Uso múltiple",AVERAGE('Hoja 4 - Cálculo'!$I$25:$I$384)+AVERAGE('Hoja 4 - Cálculo'!$J$25:$J$384)+AVERAGE('Hoja 4 - Cálculo'!$K$25:$K$384),IF(D2358="Uso prioritario",'Hoja 4 - Cálculo'!I99+'Hoja 4 - Cálculo'!K99,'Hoja 4 - Cálculo'!I99+'Hoja 4 - Cálculo'!J99+'Hoja 4 - Cálculo'!K99)))</f>
        <v>13.75</v>
      </c>
      <c r="I2358" s="15">
        <f t="shared" si="545"/>
        <v>13.75</v>
      </c>
      <c r="J2358" s="15">
        <f t="shared" si="542"/>
        <v>5</v>
      </c>
      <c r="K2358" s="15">
        <f>MIN(J2358+G2358,(J2358+G2358)*'Hoja 4 - Cálculo'!$B$15)</f>
        <v>0.55593999999999999</v>
      </c>
      <c r="L2358" s="15">
        <f t="shared" si="530"/>
        <v>27.241060000000001</v>
      </c>
      <c r="M2358" s="15">
        <f t="shared" si="531"/>
        <v>13.75</v>
      </c>
      <c r="N2358" s="15">
        <f t="shared" si="532"/>
        <v>5</v>
      </c>
      <c r="O2358" s="15">
        <f t="shared" si="533"/>
        <v>8.4910600000000009</v>
      </c>
      <c r="P2358" s="15">
        <f t="shared" si="534"/>
        <v>0</v>
      </c>
      <c r="Q2358" s="14" t="str">
        <f>IF(M2358&gt;=I2358*'Hoja 4 - Cálculo'!$B$16,"Satisfactorio","Falla")</f>
        <v>Satisfactorio</v>
      </c>
      <c r="R2358" s="14">
        <f t="shared" si="543"/>
        <v>0</v>
      </c>
      <c r="S2358" s="14">
        <f t="shared" si="544"/>
        <v>0</v>
      </c>
    </row>
    <row r="2359" spans="1:19">
      <c r="A2359" s="14" t="str">
        <f t="shared" si="540"/>
        <v>CFG-2</v>
      </c>
      <c r="B2359" s="15">
        <f>'Curvas SRY'!$E$11</f>
        <v>5</v>
      </c>
      <c r="C2359" s="15">
        <f>1</f>
        <v>1</v>
      </c>
      <c r="D2359" s="14" t="str">
        <f t="shared" si="541"/>
        <v>Uso múltiple</v>
      </c>
      <c r="E2359" s="14">
        <f>76</f>
        <v>76</v>
      </c>
      <c r="F2359" s="21">
        <f>'Hoja 4 - Cálculo'!A100</f>
        <v>31868</v>
      </c>
      <c r="G2359" s="15">
        <f>'Hoja 4 - Cálculo'!H100</f>
        <v>34.138125000000002</v>
      </c>
      <c r="H2359" s="15">
        <f>IF(D2359="Uso único",'Hoja 4 - Cálculo'!I100,IF(D2359="Uso múltiple",AVERAGE('Hoja 4 - Cálculo'!$I$25:$I$384)+AVERAGE('Hoja 4 - Cálculo'!$J$25:$J$384)+AVERAGE('Hoja 4 - Cálculo'!$K$25:$K$384),IF(D2359="Uso prioritario",'Hoja 4 - Cálculo'!I100+'Hoja 4 - Cálculo'!K100,'Hoja 4 - Cálculo'!I100+'Hoja 4 - Cálculo'!J100+'Hoja 4 - Cálculo'!K100)))</f>
        <v>13.75</v>
      </c>
      <c r="I2359" s="15">
        <f t="shared" si="545"/>
        <v>13.75</v>
      </c>
      <c r="J2359" s="15">
        <f t="shared" si="542"/>
        <v>5</v>
      </c>
      <c r="K2359" s="15">
        <f>MIN(J2359+G2359,(J2359+G2359)*'Hoja 4 - Cálculo'!$B$15)</f>
        <v>0.78276250000000003</v>
      </c>
      <c r="L2359" s="15">
        <f t="shared" si="530"/>
        <v>38.355362500000005</v>
      </c>
      <c r="M2359" s="15">
        <f t="shared" si="531"/>
        <v>13.75</v>
      </c>
      <c r="N2359" s="15">
        <f t="shared" si="532"/>
        <v>5</v>
      </c>
      <c r="O2359" s="15">
        <f t="shared" si="533"/>
        <v>19.605362500000005</v>
      </c>
      <c r="P2359" s="15">
        <f t="shared" si="534"/>
        <v>0</v>
      </c>
      <c r="Q2359" s="14" t="str">
        <f>IF(M2359&gt;=I2359*'Hoja 4 - Cálculo'!$B$16,"Satisfactorio","Falla")</f>
        <v>Satisfactorio</v>
      </c>
      <c r="R2359" s="14">
        <f t="shared" si="543"/>
        <v>0</v>
      </c>
      <c r="S2359" s="14">
        <f t="shared" si="544"/>
        <v>0</v>
      </c>
    </row>
    <row r="2360" spans="1:19">
      <c r="A2360" s="14" t="str">
        <f t="shared" si="540"/>
        <v>CFG-2</v>
      </c>
      <c r="B2360" s="15">
        <f>'Curvas SRY'!$E$11</f>
        <v>5</v>
      </c>
      <c r="C2360" s="15">
        <f>1</f>
        <v>1</v>
      </c>
      <c r="D2360" s="14" t="str">
        <f t="shared" si="541"/>
        <v>Uso múltiple</v>
      </c>
      <c r="E2360" s="14">
        <f>77</f>
        <v>77</v>
      </c>
      <c r="F2360" s="21">
        <f>'Hoja 4 - Cálculo'!A101</f>
        <v>31898</v>
      </c>
      <c r="G2360" s="15">
        <f>'Hoja 4 - Cálculo'!H101</f>
        <v>28.534500000000001</v>
      </c>
      <c r="H2360" s="15">
        <f>IF(D2360="Uso único",'Hoja 4 - Cálculo'!I101,IF(D2360="Uso múltiple",AVERAGE('Hoja 4 - Cálculo'!$I$25:$I$384)+AVERAGE('Hoja 4 - Cálculo'!$J$25:$J$384)+AVERAGE('Hoja 4 - Cálculo'!$K$25:$K$384),IF(D2360="Uso prioritario",'Hoja 4 - Cálculo'!I101+'Hoja 4 - Cálculo'!K101,'Hoja 4 - Cálculo'!I101+'Hoja 4 - Cálculo'!J101+'Hoja 4 - Cálculo'!K101)))</f>
        <v>13.75</v>
      </c>
      <c r="I2360" s="15">
        <f t="shared" si="545"/>
        <v>13.75</v>
      </c>
      <c r="J2360" s="15">
        <f t="shared" si="542"/>
        <v>5</v>
      </c>
      <c r="K2360" s="15">
        <f>MIN(J2360+G2360,(J2360+G2360)*'Hoja 4 - Cálculo'!$B$15)</f>
        <v>0.67069000000000001</v>
      </c>
      <c r="L2360" s="15">
        <f t="shared" si="530"/>
        <v>32.863810000000001</v>
      </c>
      <c r="M2360" s="15">
        <f t="shared" si="531"/>
        <v>13.75</v>
      </c>
      <c r="N2360" s="15">
        <f t="shared" si="532"/>
        <v>5</v>
      </c>
      <c r="O2360" s="15">
        <f t="shared" si="533"/>
        <v>14.113810000000001</v>
      </c>
      <c r="P2360" s="15">
        <f t="shared" si="534"/>
        <v>0</v>
      </c>
      <c r="Q2360" s="14" t="str">
        <f>IF(M2360&gt;=I2360*'Hoja 4 - Cálculo'!$B$16,"Satisfactorio","Falla")</f>
        <v>Satisfactorio</v>
      </c>
      <c r="R2360" s="14">
        <f t="shared" si="543"/>
        <v>0</v>
      </c>
      <c r="S2360" s="14">
        <f t="shared" si="544"/>
        <v>0</v>
      </c>
    </row>
    <row r="2361" spans="1:19">
      <c r="A2361" s="14" t="str">
        <f t="shared" si="540"/>
        <v>CFG-2</v>
      </c>
      <c r="B2361" s="15">
        <f>'Curvas SRY'!$E$11</f>
        <v>5</v>
      </c>
      <c r="C2361" s="15">
        <f>1</f>
        <v>1</v>
      </c>
      <c r="D2361" s="14" t="str">
        <f t="shared" si="541"/>
        <v>Uso múltiple</v>
      </c>
      <c r="E2361" s="14">
        <f>78</f>
        <v>78</v>
      </c>
      <c r="F2361" s="21">
        <f>'Hoja 4 - Cálculo'!A102</f>
        <v>31929</v>
      </c>
      <c r="G2361" s="15">
        <f>'Hoja 4 - Cálculo'!H102</f>
        <v>18.589500000000001</v>
      </c>
      <c r="H2361" s="15">
        <f>IF(D2361="Uso único",'Hoja 4 - Cálculo'!I102,IF(D2361="Uso múltiple",AVERAGE('Hoja 4 - Cálculo'!$I$25:$I$384)+AVERAGE('Hoja 4 - Cálculo'!$J$25:$J$384)+AVERAGE('Hoja 4 - Cálculo'!$K$25:$K$384),IF(D2361="Uso prioritario",'Hoja 4 - Cálculo'!I102+'Hoja 4 - Cálculo'!K102,'Hoja 4 - Cálculo'!I102+'Hoja 4 - Cálculo'!J102+'Hoja 4 - Cálculo'!K102)))</f>
        <v>13.75</v>
      </c>
      <c r="I2361" s="15">
        <f t="shared" si="545"/>
        <v>13.75</v>
      </c>
      <c r="J2361" s="15">
        <f t="shared" si="542"/>
        <v>5</v>
      </c>
      <c r="K2361" s="15">
        <f>MIN(J2361+G2361,(J2361+G2361)*'Hoja 4 - Cálculo'!$B$15)</f>
        <v>0.47179000000000004</v>
      </c>
      <c r="L2361" s="15">
        <f t="shared" si="530"/>
        <v>23.117710000000002</v>
      </c>
      <c r="M2361" s="15">
        <f t="shared" si="531"/>
        <v>13.75</v>
      </c>
      <c r="N2361" s="15">
        <f t="shared" si="532"/>
        <v>5</v>
      </c>
      <c r="O2361" s="15">
        <f t="shared" si="533"/>
        <v>4.3677100000000024</v>
      </c>
      <c r="P2361" s="15">
        <f t="shared" si="534"/>
        <v>0</v>
      </c>
      <c r="Q2361" s="14" t="str">
        <f>IF(M2361&gt;=I2361*'Hoja 4 - Cálculo'!$B$16,"Satisfactorio","Falla")</f>
        <v>Satisfactorio</v>
      </c>
      <c r="R2361" s="14">
        <f t="shared" si="543"/>
        <v>0</v>
      </c>
      <c r="S2361" s="14">
        <f t="shared" si="544"/>
        <v>0</v>
      </c>
    </row>
    <row r="2362" spans="1:19">
      <c r="A2362" s="14" t="str">
        <f t="shared" si="540"/>
        <v>CFG-2</v>
      </c>
      <c r="B2362" s="15">
        <f>'Curvas SRY'!$E$11</f>
        <v>5</v>
      </c>
      <c r="C2362" s="15">
        <f>1</f>
        <v>1</v>
      </c>
      <c r="D2362" s="14" t="str">
        <f t="shared" si="541"/>
        <v>Uso múltiple</v>
      </c>
      <c r="E2362" s="14">
        <f>79</f>
        <v>79</v>
      </c>
      <c r="F2362" s="21">
        <f>'Hoja 4 - Cálculo'!A103</f>
        <v>31959</v>
      </c>
      <c r="G2362" s="15">
        <f>'Hoja 4 - Cálculo'!H103</f>
        <v>14.688000000000001</v>
      </c>
      <c r="H2362" s="15">
        <f>IF(D2362="Uso único",'Hoja 4 - Cálculo'!I103,IF(D2362="Uso múltiple",AVERAGE('Hoja 4 - Cálculo'!$I$25:$I$384)+AVERAGE('Hoja 4 - Cálculo'!$J$25:$J$384)+AVERAGE('Hoja 4 - Cálculo'!$K$25:$K$384),IF(D2362="Uso prioritario",'Hoja 4 - Cálculo'!I103+'Hoja 4 - Cálculo'!K103,'Hoja 4 - Cálculo'!I103+'Hoja 4 - Cálculo'!J103+'Hoja 4 - Cálculo'!K103)))</f>
        <v>13.75</v>
      </c>
      <c r="I2362" s="15">
        <f t="shared" si="545"/>
        <v>13.75</v>
      </c>
      <c r="J2362" s="15">
        <f t="shared" si="542"/>
        <v>5</v>
      </c>
      <c r="K2362" s="15">
        <f>MIN(J2362+G2362,(J2362+G2362)*'Hoja 4 - Cálculo'!$B$15)</f>
        <v>0.39376000000000005</v>
      </c>
      <c r="L2362" s="15">
        <f t="shared" si="530"/>
        <v>19.294240000000002</v>
      </c>
      <c r="M2362" s="15">
        <f t="shared" si="531"/>
        <v>13.75</v>
      </c>
      <c r="N2362" s="15">
        <f t="shared" si="532"/>
        <v>5</v>
      </c>
      <c r="O2362" s="15">
        <f t="shared" si="533"/>
        <v>0.54424000000000206</v>
      </c>
      <c r="P2362" s="15">
        <f t="shared" si="534"/>
        <v>0</v>
      </c>
      <c r="Q2362" s="14" t="str">
        <f>IF(M2362&gt;=I2362*'Hoja 4 - Cálculo'!$B$16,"Satisfactorio","Falla")</f>
        <v>Satisfactorio</v>
      </c>
      <c r="R2362" s="14">
        <f t="shared" si="543"/>
        <v>0</v>
      </c>
      <c r="S2362" s="14">
        <f t="shared" si="544"/>
        <v>0</v>
      </c>
    </row>
    <row r="2363" spans="1:19">
      <c r="A2363" s="14" t="str">
        <f t="shared" si="540"/>
        <v>CFG-2</v>
      </c>
      <c r="B2363" s="15">
        <f>'Curvas SRY'!$E$11</f>
        <v>5</v>
      </c>
      <c r="C2363" s="15">
        <f>1</f>
        <v>1</v>
      </c>
      <c r="D2363" s="14" t="str">
        <f t="shared" si="541"/>
        <v>Uso múltiple</v>
      </c>
      <c r="E2363" s="14">
        <f>80</f>
        <v>80</v>
      </c>
      <c r="F2363" s="21">
        <f>'Hoja 4 - Cálculo'!A104</f>
        <v>31990</v>
      </c>
      <c r="G2363" s="15">
        <f>'Hoja 4 - Cálculo'!H104</f>
        <v>15.759</v>
      </c>
      <c r="H2363" s="15">
        <f>IF(D2363="Uso único",'Hoja 4 - Cálculo'!I104,IF(D2363="Uso múltiple",AVERAGE('Hoja 4 - Cálculo'!$I$25:$I$384)+AVERAGE('Hoja 4 - Cálculo'!$J$25:$J$384)+AVERAGE('Hoja 4 - Cálculo'!$K$25:$K$384),IF(D2363="Uso prioritario",'Hoja 4 - Cálculo'!I104+'Hoja 4 - Cálculo'!K104,'Hoja 4 - Cálculo'!I104+'Hoja 4 - Cálculo'!J104+'Hoja 4 - Cálculo'!K104)))</f>
        <v>13.75</v>
      </c>
      <c r="I2363" s="15">
        <f t="shared" si="545"/>
        <v>13.75</v>
      </c>
      <c r="J2363" s="15">
        <f t="shared" si="542"/>
        <v>5</v>
      </c>
      <c r="K2363" s="15">
        <f>MIN(J2363+G2363,(J2363+G2363)*'Hoja 4 - Cálculo'!$B$15)</f>
        <v>0.41517999999999999</v>
      </c>
      <c r="L2363" s="15">
        <f t="shared" si="530"/>
        <v>20.343820000000001</v>
      </c>
      <c r="M2363" s="15">
        <f t="shared" si="531"/>
        <v>13.75</v>
      </c>
      <c r="N2363" s="15">
        <f t="shared" si="532"/>
        <v>5</v>
      </c>
      <c r="O2363" s="15">
        <f t="shared" si="533"/>
        <v>1.5938200000000009</v>
      </c>
      <c r="P2363" s="15">
        <f t="shared" si="534"/>
        <v>0</v>
      </c>
      <c r="Q2363" s="14" t="str">
        <f>IF(M2363&gt;=I2363*'Hoja 4 - Cálculo'!$B$16,"Satisfactorio","Falla")</f>
        <v>Satisfactorio</v>
      </c>
      <c r="R2363" s="14">
        <f t="shared" si="543"/>
        <v>0</v>
      </c>
      <c r="S2363" s="14">
        <f t="shared" si="544"/>
        <v>0</v>
      </c>
    </row>
    <row r="2364" spans="1:19">
      <c r="A2364" s="14" t="str">
        <f t="shared" si="540"/>
        <v>CFG-2</v>
      </c>
      <c r="B2364" s="15">
        <f>'Curvas SRY'!$E$11</f>
        <v>5</v>
      </c>
      <c r="C2364" s="15">
        <f>1</f>
        <v>1</v>
      </c>
      <c r="D2364" s="14" t="str">
        <f t="shared" si="541"/>
        <v>Uso múltiple</v>
      </c>
      <c r="E2364" s="14">
        <f>81</f>
        <v>81</v>
      </c>
      <c r="F2364" s="21">
        <f>'Hoja 4 - Cálculo'!A105</f>
        <v>32021</v>
      </c>
      <c r="G2364" s="15">
        <f>'Hoja 4 - Cálculo'!H105</f>
        <v>26.220375000000001</v>
      </c>
      <c r="H2364" s="15">
        <f>IF(D2364="Uso único",'Hoja 4 - Cálculo'!I105,IF(D2364="Uso múltiple",AVERAGE('Hoja 4 - Cálculo'!$I$25:$I$384)+AVERAGE('Hoja 4 - Cálculo'!$J$25:$J$384)+AVERAGE('Hoja 4 - Cálculo'!$K$25:$K$384),IF(D2364="Uso prioritario",'Hoja 4 - Cálculo'!I105+'Hoja 4 - Cálculo'!K105,'Hoja 4 - Cálculo'!I105+'Hoja 4 - Cálculo'!J105+'Hoja 4 - Cálculo'!K105)))</f>
        <v>13.75</v>
      </c>
      <c r="I2364" s="15">
        <f t="shared" si="545"/>
        <v>13.75</v>
      </c>
      <c r="J2364" s="15">
        <f t="shared" si="542"/>
        <v>5</v>
      </c>
      <c r="K2364" s="15">
        <f>MIN(J2364+G2364,(J2364+G2364)*'Hoja 4 - Cálculo'!$B$15)</f>
        <v>0.6244075</v>
      </c>
      <c r="L2364" s="15">
        <f t="shared" si="530"/>
        <v>30.5959675</v>
      </c>
      <c r="M2364" s="15">
        <f t="shared" si="531"/>
        <v>13.75</v>
      </c>
      <c r="N2364" s="15">
        <f t="shared" si="532"/>
        <v>5</v>
      </c>
      <c r="O2364" s="15">
        <f t="shared" si="533"/>
        <v>11.8459675</v>
      </c>
      <c r="P2364" s="15">
        <f t="shared" si="534"/>
        <v>0</v>
      </c>
      <c r="Q2364" s="14" t="str">
        <f>IF(M2364&gt;=I2364*'Hoja 4 - Cálculo'!$B$16,"Satisfactorio","Falla")</f>
        <v>Satisfactorio</v>
      </c>
      <c r="R2364" s="14">
        <f t="shared" si="543"/>
        <v>0</v>
      </c>
      <c r="S2364" s="14">
        <f t="shared" si="544"/>
        <v>0</v>
      </c>
    </row>
    <row r="2365" spans="1:19">
      <c r="A2365" s="14" t="str">
        <f t="shared" si="540"/>
        <v>CFG-2</v>
      </c>
      <c r="B2365" s="15">
        <f>'Curvas SRY'!$E$11</f>
        <v>5</v>
      </c>
      <c r="C2365" s="15">
        <f>1</f>
        <v>1</v>
      </c>
      <c r="D2365" s="14" t="str">
        <f t="shared" si="541"/>
        <v>Uso múltiple</v>
      </c>
      <c r="E2365" s="14">
        <f>82</f>
        <v>82</v>
      </c>
      <c r="F2365" s="21">
        <f>'Hoja 4 - Cálculo'!A106</f>
        <v>32051</v>
      </c>
      <c r="G2365" s="15">
        <f>'Hoja 4 - Cálculo'!H106</f>
        <v>32.627249999999997</v>
      </c>
      <c r="H2365" s="15">
        <f>IF(D2365="Uso único",'Hoja 4 - Cálculo'!I106,IF(D2365="Uso múltiple",AVERAGE('Hoja 4 - Cálculo'!$I$25:$I$384)+AVERAGE('Hoja 4 - Cálculo'!$J$25:$J$384)+AVERAGE('Hoja 4 - Cálculo'!$K$25:$K$384),IF(D2365="Uso prioritario",'Hoja 4 - Cálculo'!I106+'Hoja 4 - Cálculo'!K106,'Hoja 4 - Cálculo'!I106+'Hoja 4 - Cálculo'!J106+'Hoja 4 - Cálculo'!K106)))</f>
        <v>13.75</v>
      </c>
      <c r="I2365" s="15">
        <f t="shared" si="545"/>
        <v>13.75</v>
      </c>
      <c r="J2365" s="15">
        <f t="shared" si="542"/>
        <v>5</v>
      </c>
      <c r="K2365" s="15">
        <f>MIN(J2365+G2365,(J2365+G2365)*'Hoja 4 - Cálculo'!$B$15)</f>
        <v>0.75254499999999991</v>
      </c>
      <c r="L2365" s="15">
        <f t="shared" si="530"/>
        <v>36.874704999999999</v>
      </c>
      <c r="M2365" s="15">
        <f t="shared" si="531"/>
        <v>13.75</v>
      </c>
      <c r="N2365" s="15">
        <f t="shared" si="532"/>
        <v>5</v>
      </c>
      <c r="O2365" s="15">
        <f t="shared" si="533"/>
        <v>18.124704999999999</v>
      </c>
      <c r="P2365" s="15">
        <f t="shared" si="534"/>
        <v>0</v>
      </c>
      <c r="Q2365" s="14" t="str">
        <f>IF(M2365&gt;=I2365*'Hoja 4 - Cálculo'!$B$16,"Satisfactorio","Falla")</f>
        <v>Satisfactorio</v>
      </c>
      <c r="R2365" s="14">
        <f t="shared" si="543"/>
        <v>0</v>
      </c>
      <c r="S2365" s="14">
        <f t="shared" si="544"/>
        <v>0</v>
      </c>
    </row>
    <row r="2366" spans="1:19">
      <c r="A2366" s="14" t="str">
        <f t="shared" si="540"/>
        <v>CFG-2</v>
      </c>
      <c r="B2366" s="15">
        <f>'Curvas SRY'!$E$11</f>
        <v>5</v>
      </c>
      <c r="C2366" s="15">
        <f>1</f>
        <v>1</v>
      </c>
      <c r="D2366" s="14" t="str">
        <f t="shared" si="541"/>
        <v>Uso múltiple</v>
      </c>
      <c r="E2366" s="14">
        <f>83</f>
        <v>83</v>
      </c>
      <c r="F2366" s="21">
        <f>'Hoja 4 - Cálculo'!A107</f>
        <v>32082</v>
      </c>
      <c r="G2366" s="15">
        <f>'Hoja 4 - Cálculo'!H107</f>
        <v>29.758500000000002</v>
      </c>
      <c r="H2366" s="15">
        <f>IF(D2366="Uso único",'Hoja 4 - Cálculo'!I107,IF(D2366="Uso múltiple",AVERAGE('Hoja 4 - Cálculo'!$I$25:$I$384)+AVERAGE('Hoja 4 - Cálculo'!$J$25:$J$384)+AVERAGE('Hoja 4 - Cálculo'!$K$25:$K$384),IF(D2366="Uso prioritario",'Hoja 4 - Cálculo'!I107+'Hoja 4 - Cálculo'!K107,'Hoja 4 - Cálculo'!I107+'Hoja 4 - Cálculo'!J107+'Hoja 4 - Cálculo'!K107)))</f>
        <v>13.75</v>
      </c>
      <c r="I2366" s="15">
        <f t="shared" si="545"/>
        <v>13.75</v>
      </c>
      <c r="J2366" s="15">
        <f t="shared" si="542"/>
        <v>5</v>
      </c>
      <c r="K2366" s="15">
        <f>MIN(J2366+G2366,(J2366+G2366)*'Hoja 4 - Cálculo'!$B$15)</f>
        <v>0.69516999999999995</v>
      </c>
      <c r="L2366" s="15">
        <f t="shared" si="530"/>
        <v>34.063330000000001</v>
      </c>
      <c r="M2366" s="15">
        <f t="shared" si="531"/>
        <v>13.75</v>
      </c>
      <c r="N2366" s="15">
        <f t="shared" si="532"/>
        <v>5</v>
      </c>
      <c r="O2366" s="15">
        <f t="shared" si="533"/>
        <v>15.313330000000001</v>
      </c>
      <c r="P2366" s="15">
        <f t="shared" si="534"/>
        <v>0</v>
      </c>
      <c r="Q2366" s="14" t="str">
        <f>IF(M2366&gt;=I2366*'Hoja 4 - Cálculo'!$B$16,"Satisfactorio","Falla")</f>
        <v>Satisfactorio</v>
      </c>
      <c r="R2366" s="14">
        <f t="shared" si="543"/>
        <v>0</v>
      </c>
      <c r="S2366" s="14">
        <f t="shared" si="544"/>
        <v>0</v>
      </c>
    </row>
    <row r="2367" spans="1:19">
      <c r="A2367" s="14" t="str">
        <f t="shared" si="540"/>
        <v>CFG-2</v>
      </c>
      <c r="B2367" s="15">
        <f>'Curvas SRY'!$E$11</f>
        <v>5</v>
      </c>
      <c r="C2367" s="15">
        <f>1</f>
        <v>1</v>
      </c>
      <c r="D2367" s="14" t="str">
        <f t="shared" si="541"/>
        <v>Uso múltiple</v>
      </c>
      <c r="E2367" s="14">
        <f>84</f>
        <v>84</v>
      </c>
      <c r="F2367" s="21">
        <f>'Hoja 4 - Cálculo'!A108</f>
        <v>32112</v>
      </c>
      <c r="G2367" s="15">
        <f>'Hoja 4 - Cálculo'!H108</f>
        <v>16.543125</v>
      </c>
      <c r="H2367" s="15">
        <f>IF(D2367="Uso único",'Hoja 4 - Cálculo'!I108,IF(D2367="Uso múltiple",AVERAGE('Hoja 4 - Cálculo'!$I$25:$I$384)+AVERAGE('Hoja 4 - Cálculo'!$J$25:$J$384)+AVERAGE('Hoja 4 - Cálculo'!$K$25:$K$384),IF(D2367="Uso prioritario",'Hoja 4 - Cálculo'!I108+'Hoja 4 - Cálculo'!K108,'Hoja 4 - Cálculo'!I108+'Hoja 4 - Cálculo'!J108+'Hoja 4 - Cálculo'!K108)))</f>
        <v>13.75</v>
      </c>
      <c r="I2367" s="15">
        <f t="shared" si="545"/>
        <v>13.75</v>
      </c>
      <c r="J2367" s="15">
        <f t="shared" si="542"/>
        <v>5</v>
      </c>
      <c r="K2367" s="15">
        <f>MIN(J2367+G2367,(J2367+G2367)*'Hoja 4 - Cálculo'!$B$15)</f>
        <v>0.43086249999999998</v>
      </c>
      <c r="L2367" s="15">
        <f t="shared" si="530"/>
        <v>21.1122625</v>
      </c>
      <c r="M2367" s="15">
        <f t="shared" si="531"/>
        <v>13.75</v>
      </c>
      <c r="N2367" s="15">
        <f t="shared" si="532"/>
        <v>5</v>
      </c>
      <c r="O2367" s="15">
        <f t="shared" si="533"/>
        <v>2.3622624999999999</v>
      </c>
      <c r="P2367" s="15">
        <f t="shared" si="534"/>
        <v>0</v>
      </c>
      <c r="Q2367" s="14" t="str">
        <f>IF(M2367&gt;=I2367*'Hoja 4 - Cálculo'!$B$16,"Satisfactorio","Falla")</f>
        <v>Satisfactorio</v>
      </c>
      <c r="R2367" s="14">
        <f t="shared" si="543"/>
        <v>0</v>
      </c>
      <c r="S2367" s="14">
        <f t="shared" si="544"/>
        <v>0</v>
      </c>
    </row>
    <row r="2368" spans="1:19">
      <c r="A2368" s="14" t="str">
        <f t="shared" si="540"/>
        <v>CFG-2</v>
      </c>
      <c r="B2368" s="15">
        <f>'Curvas SRY'!$E$11</f>
        <v>5</v>
      </c>
      <c r="C2368" s="15">
        <f>1</f>
        <v>1</v>
      </c>
      <c r="D2368" s="14" t="str">
        <f t="shared" si="541"/>
        <v>Uso múltiple</v>
      </c>
      <c r="E2368" s="14">
        <f>85</f>
        <v>85</v>
      </c>
      <c r="F2368" s="21">
        <f>'Hoja 4 - Cálculo'!A109</f>
        <v>32143</v>
      </c>
      <c r="G2368" s="15">
        <f>'Hoja 4 - Cálculo'!H109</f>
        <v>13.291874999999999</v>
      </c>
      <c r="H2368" s="15">
        <f>IF(D2368="Uso único",'Hoja 4 - Cálculo'!I109,IF(D2368="Uso múltiple",AVERAGE('Hoja 4 - Cálculo'!$I$25:$I$384)+AVERAGE('Hoja 4 - Cálculo'!$J$25:$J$384)+AVERAGE('Hoja 4 - Cálculo'!$K$25:$K$384),IF(D2368="Uso prioritario",'Hoja 4 - Cálculo'!I109+'Hoja 4 - Cálculo'!K109,'Hoja 4 - Cálculo'!I109+'Hoja 4 - Cálculo'!J109+'Hoja 4 - Cálculo'!K109)))</f>
        <v>13.75</v>
      </c>
      <c r="I2368" s="15">
        <f t="shared" si="545"/>
        <v>13.75</v>
      </c>
      <c r="J2368" s="15">
        <f t="shared" si="542"/>
        <v>5</v>
      </c>
      <c r="K2368" s="15">
        <f>MIN(J2368+G2368,(J2368+G2368)*'Hoja 4 - Cálculo'!$B$15)</f>
        <v>0.36583749999999998</v>
      </c>
      <c r="L2368" s="15">
        <f t="shared" si="530"/>
        <v>17.926037499999996</v>
      </c>
      <c r="M2368" s="15">
        <f t="shared" si="531"/>
        <v>13.75</v>
      </c>
      <c r="N2368" s="15">
        <f t="shared" si="532"/>
        <v>4.1760374999999961</v>
      </c>
      <c r="O2368" s="15">
        <f t="shared" si="533"/>
        <v>0</v>
      </c>
      <c r="P2368" s="15">
        <f t="shared" si="534"/>
        <v>0</v>
      </c>
      <c r="Q2368" s="14" t="str">
        <f>IF(M2368&gt;=I2368*'Hoja 4 - Cálculo'!$B$16,"Satisfactorio","Falla")</f>
        <v>Satisfactorio</v>
      </c>
      <c r="R2368" s="14">
        <f t="shared" si="543"/>
        <v>0</v>
      </c>
      <c r="S2368" s="14">
        <f t="shared" si="544"/>
        <v>0</v>
      </c>
    </row>
    <row r="2369" spans="1:19">
      <c r="A2369" s="14" t="str">
        <f t="shared" si="540"/>
        <v>CFG-2</v>
      </c>
      <c r="B2369" s="15">
        <f>'Curvas SRY'!$E$11</f>
        <v>5</v>
      </c>
      <c r="C2369" s="15">
        <f>1</f>
        <v>1</v>
      </c>
      <c r="D2369" s="14" t="str">
        <f t="shared" si="541"/>
        <v>Uso múltiple</v>
      </c>
      <c r="E2369" s="14">
        <f>86</f>
        <v>86</v>
      </c>
      <c r="F2369" s="21">
        <f>'Hoja 4 - Cálculo'!A110</f>
        <v>32174</v>
      </c>
      <c r="G2369" s="15">
        <f>'Hoja 4 - Cálculo'!H110</f>
        <v>14.19075</v>
      </c>
      <c r="H2369" s="15">
        <f>IF(D2369="Uso único",'Hoja 4 - Cálculo'!I110,IF(D2369="Uso múltiple",AVERAGE('Hoja 4 - Cálculo'!$I$25:$I$384)+AVERAGE('Hoja 4 - Cálculo'!$J$25:$J$384)+AVERAGE('Hoja 4 - Cálculo'!$K$25:$K$384),IF(D2369="Uso prioritario",'Hoja 4 - Cálculo'!I110+'Hoja 4 - Cálculo'!K110,'Hoja 4 - Cálculo'!I110+'Hoja 4 - Cálculo'!J110+'Hoja 4 - Cálculo'!K110)))</f>
        <v>13.75</v>
      </c>
      <c r="I2369" s="15">
        <f t="shared" si="545"/>
        <v>13.75</v>
      </c>
      <c r="J2369" s="15">
        <f t="shared" si="542"/>
        <v>4.1760374999999961</v>
      </c>
      <c r="K2369" s="15">
        <f>MIN(J2369+G2369,(J2369+G2369)*'Hoja 4 - Cálculo'!$B$15)</f>
        <v>0.36733574999999991</v>
      </c>
      <c r="L2369" s="15">
        <f t="shared" si="530"/>
        <v>17.999451749999995</v>
      </c>
      <c r="M2369" s="15">
        <f t="shared" si="531"/>
        <v>13.75</v>
      </c>
      <c r="N2369" s="15">
        <f t="shared" si="532"/>
        <v>4.2494517499999951</v>
      </c>
      <c r="O2369" s="15">
        <f t="shared" si="533"/>
        <v>0</v>
      </c>
      <c r="P2369" s="15">
        <f t="shared" si="534"/>
        <v>0</v>
      </c>
      <c r="Q2369" s="14" t="str">
        <f>IF(M2369&gt;=I2369*'Hoja 4 - Cálculo'!$B$16,"Satisfactorio","Falla")</f>
        <v>Satisfactorio</v>
      </c>
      <c r="R2369" s="14">
        <f t="shared" si="543"/>
        <v>0</v>
      </c>
      <c r="S2369" s="14">
        <f t="shared" si="544"/>
        <v>0</v>
      </c>
    </row>
    <row r="2370" spans="1:19">
      <c r="A2370" s="14" t="str">
        <f t="shared" si="540"/>
        <v>CFG-2</v>
      </c>
      <c r="B2370" s="15">
        <f>'Curvas SRY'!$E$11</f>
        <v>5</v>
      </c>
      <c r="C2370" s="15">
        <f>1</f>
        <v>1</v>
      </c>
      <c r="D2370" s="14" t="str">
        <f t="shared" si="541"/>
        <v>Uso múltiple</v>
      </c>
      <c r="E2370" s="14">
        <f>87</f>
        <v>87</v>
      </c>
      <c r="F2370" s="21">
        <f>'Hoja 4 - Cálculo'!A111</f>
        <v>32203</v>
      </c>
      <c r="G2370" s="15">
        <f>'Hoja 4 - Cálculo'!H111</f>
        <v>22.338000000000001</v>
      </c>
      <c r="H2370" s="15">
        <f>IF(D2370="Uso único",'Hoja 4 - Cálculo'!I111,IF(D2370="Uso múltiple",AVERAGE('Hoja 4 - Cálculo'!$I$25:$I$384)+AVERAGE('Hoja 4 - Cálculo'!$J$25:$J$384)+AVERAGE('Hoja 4 - Cálculo'!$K$25:$K$384),IF(D2370="Uso prioritario",'Hoja 4 - Cálculo'!I111+'Hoja 4 - Cálculo'!K111,'Hoja 4 - Cálculo'!I111+'Hoja 4 - Cálculo'!J111+'Hoja 4 - Cálculo'!K111)))</f>
        <v>13.75</v>
      </c>
      <c r="I2370" s="15">
        <f t="shared" si="545"/>
        <v>13.75</v>
      </c>
      <c r="J2370" s="15">
        <f t="shared" si="542"/>
        <v>4.2494517499999951</v>
      </c>
      <c r="K2370" s="15">
        <f>MIN(J2370+G2370,(J2370+G2370)*'Hoja 4 - Cálculo'!$B$15)</f>
        <v>0.53174903499999993</v>
      </c>
      <c r="L2370" s="15">
        <f t="shared" si="530"/>
        <v>26.055702714999995</v>
      </c>
      <c r="M2370" s="15">
        <f t="shared" si="531"/>
        <v>13.75</v>
      </c>
      <c r="N2370" s="15">
        <f t="shared" si="532"/>
        <v>5</v>
      </c>
      <c r="O2370" s="15">
        <f t="shared" si="533"/>
        <v>7.3057027149999954</v>
      </c>
      <c r="P2370" s="15">
        <f t="shared" si="534"/>
        <v>0</v>
      </c>
      <c r="Q2370" s="14" t="str">
        <f>IF(M2370&gt;=I2370*'Hoja 4 - Cálculo'!$B$16,"Satisfactorio","Falla")</f>
        <v>Satisfactorio</v>
      </c>
      <c r="R2370" s="14">
        <f t="shared" si="543"/>
        <v>0</v>
      </c>
      <c r="S2370" s="14">
        <f t="shared" si="544"/>
        <v>0</v>
      </c>
    </row>
    <row r="2371" spans="1:19">
      <c r="A2371" s="14" t="str">
        <f t="shared" si="540"/>
        <v>CFG-2</v>
      </c>
      <c r="B2371" s="15">
        <f>'Curvas SRY'!$E$11</f>
        <v>5</v>
      </c>
      <c r="C2371" s="15">
        <f>1</f>
        <v>1</v>
      </c>
      <c r="D2371" s="14" t="str">
        <f t="shared" si="541"/>
        <v>Uso múltiple</v>
      </c>
      <c r="E2371" s="14">
        <f>88</f>
        <v>88</v>
      </c>
      <c r="F2371" s="21">
        <f>'Hoja 4 - Cálculo'!A112</f>
        <v>32234</v>
      </c>
      <c r="G2371" s="15">
        <f>'Hoja 4 - Cálculo'!H112</f>
        <v>29.643750000000001</v>
      </c>
      <c r="H2371" s="15">
        <f>IF(D2371="Uso único",'Hoja 4 - Cálculo'!I112,IF(D2371="Uso múltiple",AVERAGE('Hoja 4 - Cálculo'!$I$25:$I$384)+AVERAGE('Hoja 4 - Cálculo'!$J$25:$J$384)+AVERAGE('Hoja 4 - Cálculo'!$K$25:$K$384),IF(D2371="Uso prioritario",'Hoja 4 - Cálculo'!I112+'Hoja 4 - Cálculo'!K112,'Hoja 4 - Cálculo'!I112+'Hoja 4 - Cálculo'!J112+'Hoja 4 - Cálculo'!K112)))</f>
        <v>13.75</v>
      </c>
      <c r="I2371" s="15">
        <f t="shared" si="545"/>
        <v>13.75</v>
      </c>
      <c r="J2371" s="15">
        <f t="shared" si="542"/>
        <v>5</v>
      </c>
      <c r="K2371" s="15">
        <f>MIN(J2371+G2371,(J2371+G2371)*'Hoja 4 - Cálculo'!$B$15)</f>
        <v>0.69287499999999991</v>
      </c>
      <c r="L2371" s="15">
        <f t="shared" si="530"/>
        <v>33.950874999999996</v>
      </c>
      <c r="M2371" s="15">
        <f t="shared" si="531"/>
        <v>13.75</v>
      </c>
      <c r="N2371" s="15">
        <f t="shared" si="532"/>
        <v>5</v>
      </c>
      <c r="O2371" s="15">
        <f t="shared" si="533"/>
        <v>15.200874999999996</v>
      </c>
      <c r="P2371" s="15">
        <f t="shared" si="534"/>
        <v>0</v>
      </c>
      <c r="Q2371" s="14" t="str">
        <f>IF(M2371&gt;=I2371*'Hoja 4 - Cálculo'!$B$16,"Satisfactorio","Falla")</f>
        <v>Satisfactorio</v>
      </c>
      <c r="R2371" s="14">
        <f t="shared" si="543"/>
        <v>0</v>
      </c>
      <c r="S2371" s="14">
        <f t="shared" si="544"/>
        <v>0</v>
      </c>
    </row>
    <row r="2372" spans="1:19">
      <c r="A2372" s="14" t="str">
        <f t="shared" si="540"/>
        <v>CFG-2</v>
      </c>
      <c r="B2372" s="15">
        <f>'Curvas SRY'!$E$11</f>
        <v>5</v>
      </c>
      <c r="C2372" s="15">
        <f>1</f>
        <v>1</v>
      </c>
      <c r="D2372" s="14" t="str">
        <f t="shared" si="541"/>
        <v>Uso múltiple</v>
      </c>
      <c r="E2372" s="14">
        <f>89</f>
        <v>89</v>
      </c>
      <c r="F2372" s="21">
        <f>'Hoja 4 - Cálculo'!A113</f>
        <v>32264</v>
      </c>
      <c r="G2372" s="15">
        <f>'Hoja 4 - Cálculo'!H113</f>
        <v>28.075500000000002</v>
      </c>
      <c r="H2372" s="15">
        <f>IF(D2372="Uso único",'Hoja 4 - Cálculo'!I113,IF(D2372="Uso múltiple",AVERAGE('Hoja 4 - Cálculo'!$I$25:$I$384)+AVERAGE('Hoja 4 - Cálculo'!$J$25:$J$384)+AVERAGE('Hoja 4 - Cálculo'!$K$25:$K$384),IF(D2372="Uso prioritario",'Hoja 4 - Cálculo'!I113+'Hoja 4 - Cálculo'!K113,'Hoja 4 - Cálculo'!I113+'Hoja 4 - Cálculo'!J113+'Hoja 4 - Cálculo'!K113)))</f>
        <v>13.75</v>
      </c>
      <c r="I2372" s="15">
        <f t="shared" si="545"/>
        <v>13.75</v>
      </c>
      <c r="J2372" s="15">
        <f t="shared" si="542"/>
        <v>5</v>
      </c>
      <c r="K2372" s="15">
        <f>MIN(J2372+G2372,(J2372+G2372)*'Hoja 4 - Cálculo'!$B$15)</f>
        <v>0.66151000000000015</v>
      </c>
      <c r="L2372" s="15">
        <f t="shared" ref="L2372:L2435" si="546">MAX(0,J2372+G2372-K2372)</f>
        <v>32.413990000000005</v>
      </c>
      <c r="M2372" s="15">
        <f t="shared" ref="M2372:M2435" si="547">MIN(I2372,L2372)</f>
        <v>13.75</v>
      </c>
      <c r="N2372" s="15">
        <f t="shared" ref="N2372:N2435" si="548">MIN(B2372,MAX(0,L2372-M2372))</f>
        <v>5</v>
      </c>
      <c r="O2372" s="15">
        <f t="shared" ref="O2372:O2435" si="549">MAX(0,L2372-M2372-B2372)</f>
        <v>13.663990000000005</v>
      </c>
      <c r="P2372" s="15">
        <f t="shared" ref="P2372:P2435" si="550">MAX(0,I2372-M2372)</f>
        <v>0</v>
      </c>
      <c r="Q2372" s="14" t="str">
        <f>IF(M2372&gt;=I2372*'Hoja 4 - Cálculo'!$B$16,"Satisfactorio","Falla")</f>
        <v>Satisfactorio</v>
      </c>
      <c r="R2372" s="14">
        <f t="shared" si="543"/>
        <v>0</v>
      </c>
      <c r="S2372" s="14">
        <f t="shared" si="544"/>
        <v>0</v>
      </c>
    </row>
    <row r="2373" spans="1:19">
      <c r="A2373" s="14" t="str">
        <f t="shared" si="540"/>
        <v>CFG-2</v>
      </c>
      <c r="B2373" s="15">
        <f>'Curvas SRY'!$E$11</f>
        <v>5</v>
      </c>
      <c r="C2373" s="15">
        <f>1</f>
        <v>1</v>
      </c>
      <c r="D2373" s="14" t="str">
        <f t="shared" si="541"/>
        <v>Uso múltiple</v>
      </c>
      <c r="E2373" s="14">
        <f>90</f>
        <v>90</v>
      </c>
      <c r="F2373" s="21">
        <f>'Hoja 4 - Cálculo'!A114</f>
        <v>32295</v>
      </c>
      <c r="G2373" s="15">
        <f>'Hoja 4 - Cálculo'!H114</f>
        <v>16.485749999999999</v>
      </c>
      <c r="H2373" s="15">
        <f>IF(D2373="Uso único",'Hoja 4 - Cálculo'!I114,IF(D2373="Uso múltiple",AVERAGE('Hoja 4 - Cálculo'!$I$25:$I$384)+AVERAGE('Hoja 4 - Cálculo'!$J$25:$J$384)+AVERAGE('Hoja 4 - Cálculo'!$K$25:$K$384),IF(D2373="Uso prioritario",'Hoja 4 - Cálculo'!I114+'Hoja 4 - Cálculo'!K114,'Hoja 4 - Cálculo'!I114+'Hoja 4 - Cálculo'!J114+'Hoja 4 - Cálculo'!K114)))</f>
        <v>13.75</v>
      </c>
      <c r="I2373" s="15">
        <f t="shared" si="545"/>
        <v>13.75</v>
      </c>
      <c r="J2373" s="15">
        <f t="shared" si="542"/>
        <v>5</v>
      </c>
      <c r="K2373" s="15">
        <f>MIN(J2373+G2373,(J2373+G2373)*'Hoja 4 - Cálculo'!$B$15)</f>
        <v>0.42971500000000001</v>
      </c>
      <c r="L2373" s="15">
        <f t="shared" si="546"/>
        <v>21.056034999999998</v>
      </c>
      <c r="M2373" s="15">
        <f t="shared" si="547"/>
        <v>13.75</v>
      </c>
      <c r="N2373" s="15">
        <f t="shared" si="548"/>
        <v>5</v>
      </c>
      <c r="O2373" s="15">
        <f t="shared" si="549"/>
        <v>2.3060349999999978</v>
      </c>
      <c r="P2373" s="15">
        <f t="shared" si="550"/>
        <v>0</v>
      </c>
      <c r="Q2373" s="14" t="str">
        <f>IF(M2373&gt;=I2373*'Hoja 4 - Cálculo'!$B$16,"Satisfactorio","Falla")</f>
        <v>Satisfactorio</v>
      </c>
      <c r="R2373" s="14">
        <f t="shared" si="543"/>
        <v>0</v>
      </c>
      <c r="S2373" s="14">
        <f t="shared" si="544"/>
        <v>0</v>
      </c>
    </row>
    <row r="2374" spans="1:19">
      <c r="A2374" s="14" t="str">
        <f t="shared" si="540"/>
        <v>CFG-2</v>
      </c>
      <c r="B2374" s="15">
        <f>'Curvas SRY'!$E$11</f>
        <v>5</v>
      </c>
      <c r="C2374" s="15">
        <f>1</f>
        <v>1</v>
      </c>
      <c r="D2374" s="14" t="str">
        <f t="shared" si="541"/>
        <v>Uso múltiple</v>
      </c>
      <c r="E2374" s="14">
        <f>91</f>
        <v>91</v>
      </c>
      <c r="F2374" s="21">
        <f>'Hoja 4 - Cálculo'!A115</f>
        <v>32325</v>
      </c>
      <c r="G2374" s="15">
        <f>'Hoja 4 - Cálculo'!H115</f>
        <v>13.827375</v>
      </c>
      <c r="H2374" s="15">
        <f>IF(D2374="Uso único",'Hoja 4 - Cálculo'!I115,IF(D2374="Uso múltiple",AVERAGE('Hoja 4 - Cálculo'!$I$25:$I$384)+AVERAGE('Hoja 4 - Cálculo'!$J$25:$J$384)+AVERAGE('Hoja 4 - Cálculo'!$K$25:$K$384),IF(D2374="Uso prioritario",'Hoja 4 - Cálculo'!I115+'Hoja 4 - Cálculo'!K115,'Hoja 4 - Cálculo'!I115+'Hoja 4 - Cálculo'!J115+'Hoja 4 - Cálculo'!K115)))</f>
        <v>13.75</v>
      </c>
      <c r="I2374" s="15">
        <f t="shared" si="545"/>
        <v>13.75</v>
      </c>
      <c r="J2374" s="15">
        <f t="shared" si="542"/>
        <v>5</v>
      </c>
      <c r="K2374" s="15">
        <f>MIN(J2374+G2374,(J2374+G2374)*'Hoja 4 - Cálculo'!$B$15)</f>
        <v>0.37654750000000003</v>
      </c>
      <c r="L2374" s="15">
        <f t="shared" si="546"/>
        <v>18.450827499999999</v>
      </c>
      <c r="M2374" s="15">
        <f t="shared" si="547"/>
        <v>13.75</v>
      </c>
      <c r="N2374" s="15">
        <f t="shared" si="548"/>
        <v>4.700827499999999</v>
      </c>
      <c r="O2374" s="15">
        <f t="shared" si="549"/>
        <v>0</v>
      </c>
      <c r="P2374" s="15">
        <f t="shared" si="550"/>
        <v>0</v>
      </c>
      <c r="Q2374" s="14" t="str">
        <f>IF(M2374&gt;=I2374*'Hoja 4 - Cálculo'!$B$16,"Satisfactorio","Falla")</f>
        <v>Satisfactorio</v>
      </c>
      <c r="R2374" s="14">
        <f t="shared" si="543"/>
        <v>0</v>
      </c>
      <c r="S2374" s="14">
        <f t="shared" si="544"/>
        <v>0</v>
      </c>
    </row>
    <row r="2375" spans="1:19">
      <c r="A2375" s="14" t="str">
        <f t="shared" si="540"/>
        <v>CFG-2</v>
      </c>
      <c r="B2375" s="15">
        <f>'Curvas SRY'!$E$11</f>
        <v>5</v>
      </c>
      <c r="C2375" s="15">
        <f>1</f>
        <v>1</v>
      </c>
      <c r="D2375" s="14" t="str">
        <f t="shared" si="541"/>
        <v>Uso múltiple</v>
      </c>
      <c r="E2375" s="14">
        <f>92</f>
        <v>92</v>
      </c>
      <c r="F2375" s="21">
        <f>'Hoja 4 - Cálculo'!A116</f>
        <v>32356</v>
      </c>
      <c r="G2375" s="15">
        <f>'Hoja 4 - Cálculo'!H116</f>
        <v>14.783625000000001</v>
      </c>
      <c r="H2375" s="15">
        <f>IF(D2375="Uso único",'Hoja 4 - Cálculo'!I116,IF(D2375="Uso múltiple",AVERAGE('Hoja 4 - Cálculo'!$I$25:$I$384)+AVERAGE('Hoja 4 - Cálculo'!$J$25:$J$384)+AVERAGE('Hoja 4 - Cálculo'!$K$25:$K$384),IF(D2375="Uso prioritario",'Hoja 4 - Cálculo'!I116+'Hoja 4 - Cálculo'!K116,'Hoja 4 - Cálculo'!I116+'Hoja 4 - Cálculo'!J116+'Hoja 4 - Cálculo'!K116)))</f>
        <v>13.75</v>
      </c>
      <c r="I2375" s="15">
        <f t="shared" si="545"/>
        <v>13.75</v>
      </c>
      <c r="J2375" s="15">
        <f t="shared" si="542"/>
        <v>4.700827499999999</v>
      </c>
      <c r="K2375" s="15">
        <f>MIN(J2375+G2375,(J2375+G2375)*'Hoja 4 - Cálculo'!$B$15)</f>
        <v>0.38968904999999998</v>
      </c>
      <c r="L2375" s="15">
        <f t="shared" si="546"/>
        <v>19.094763449999999</v>
      </c>
      <c r="M2375" s="15">
        <f t="shared" si="547"/>
        <v>13.75</v>
      </c>
      <c r="N2375" s="15">
        <f t="shared" si="548"/>
        <v>5</v>
      </c>
      <c r="O2375" s="15">
        <f t="shared" si="549"/>
        <v>0.34476344999999853</v>
      </c>
      <c r="P2375" s="15">
        <f t="shared" si="550"/>
        <v>0</v>
      </c>
      <c r="Q2375" s="14" t="str">
        <f>IF(M2375&gt;=I2375*'Hoja 4 - Cálculo'!$B$16,"Satisfactorio","Falla")</f>
        <v>Satisfactorio</v>
      </c>
      <c r="R2375" s="14">
        <f t="shared" si="543"/>
        <v>0</v>
      </c>
      <c r="S2375" s="14">
        <f t="shared" si="544"/>
        <v>0</v>
      </c>
    </row>
    <row r="2376" spans="1:19">
      <c r="A2376" s="14" t="str">
        <f t="shared" si="540"/>
        <v>CFG-2</v>
      </c>
      <c r="B2376" s="15">
        <f>'Curvas SRY'!$E$11</f>
        <v>5</v>
      </c>
      <c r="C2376" s="15">
        <f>1</f>
        <v>1</v>
      </c>
      <c r="D2376" s="14" t="str">
        <f t="shared" si="541"/>
        <v>Uso múltiple</v>
      </c>
      <c r="E2376" s="14">
        <f>93</f>
        <v>93</v>
      </c>
      <c r="F2376" s="21">
        <f>'Hoja 4 - Cálculo'!A117</f>
        <v>32387</v>
      </c>
      <c r="G2376" s="15">
        <f>'Hoja 4 - Cálculo'!H117</f>
        <v>23.3325</v>
      </c>
      <c r="H2376" s="15">
        <f>IF(D2376="Uso único",'Hoja 4 - Cálculo'!I117,IF(D2376="Uso múltiple",AVERAGE('Hoja 4 - Cálculo'!$I$25:$I$384)+AVERAGE('Hoja 4 - Cálculo'!$J$25:$J$384)+AVERAGE('Hoja 4 - Cálculo'!$K$25:$K$384),IF(D2376="Uso prioritario",'Hoja 4 - Cálculo'!I117+'Hoja 4 - Cálculo'!K117,'Hoja 4 - Cálculo'!I117+'Hoja 4 - Cálculo'!J117+'Hoja 4 - Cálculo'!K117)))</f>
        <v>13.75</v>
      </c>
      <c r="I2376" s="15">
        <f t="shared" si="545"/>
        <v>13.75</v>
      </c>
      <c r="J2376" s="15">
        <f t="shared" si="542"/>
        <v>5</v>
      </c>
      <c r="K2376" s="15">
        <f>MIN(J2376+G2376,(J2376+G2376)*'Hoja 4 - Cálculo'!$B$15)</f>
        <v>0.56664999999999999</v>
      </c>
      <c r="L2376" s="15">
        <f t="shared" si="546"/>
        <v>27.76585</v>
      </c>
      <c r="M2376" s="15">
        <f t="shared" si="547"/>
        <v>13.75</v>
      </c>
      <c r="N2376" s="15">
        <f t="shared" si="548"/>
        <v>5</v>
      </c>
      <c r="O2376" s="15">
        <f t="shared" si="549"/>
        <v>9.0158500000000004</v>
      </c>
      <c r="P2376" s="15">
        <f t="shared" si="550"/>
        <v>0</v>
      </c>
      <c r="Q2376" s="14" t="str">
        <f>IF(M2376&gt;=I2376*'Hoja 4 - Cálculo'!$B$16,"Satisfactorio","Falla")</f>
        <v>Satisfactorio</v>
      </c>
      <c r="R2376" s="14">
        <f t="shared" si="543"/>
        <v>0</v>
      </c>
      <c r="S2376" s="14">
        <f t="shared" si="544"/>
        <v>0</v>
      </c>
    </row>
    <row r="2377" spans="1:19">
      <c r="A2377" s="14" t="str">
        <f t="shared" si="540"/>
        <v>CFG-2</v>
      </c>
      <c r="B2377" s="15">
        <f>'Curvas SRY'!$E$11</f>
        <v>5</v>
      </c>
      <c r="C2377" s="15">
        <f>1</f>
        <v>1</v>
      </c>
      <c r="D2377" s="14" t="str">
        <f t="shared" si="541"/>
        <v>Uso múltiple</v>
      </c>
      <c r="E2377" s="14">
        <f>94</f>
        <v>94</v>
      </c>
      <c r="F2377" s="21">
        <f>'Hoja 4 - Cálculo'!A118</f>
        <v>32417</v>
      </c>
      <c r="G2377" s="15">
        <f>'Hoja 4 - Cálculo'!H118</f>
        <v>32.015250000000002</v>
      </c>
      <c r="H2377" s="15">
        <f>IF(D2377="Uso único",'Hoja 4 - Cálculo'!I118,IF(D2377="Uso múltiple",AVERAGE('Hoja 4 - Cálculo'!$I$25:$I$384)+AVERAGE('Hoja 4 - Cálculo'!$J$25:$J$384)+AVERAGE('Hoja 4 - Cálculo'!$K$25:$K$384),IF(D2377="Uso prioritario",'Hoja 4 - Cálculo'!I118+'Hoja 4 - Cálculo'!K118,'Hoja 4 - Cálculo'!I118+'Hoja 4 - Cálculo'!J118+'Hoja 4 - Cálculo'!K118)))</f>
        <v>13.75</v>
      </c>
      <c r="I2377" s="15">
        <f t="shared" si="545"/>
        <v>13.75</v>
      </c>
      <c r="J2377" s="15">
        <f t="shared" si="542"/>
        <v>5</v>
      </c>
      <c r="K2377" s="15">
        <f>MIN(J2377+G2377,(J2377+G2377)*'Hoja 4 - Cálculo'!$B$15)</f>
        <v>0.7403050000000001</v>
      </c>
      <c r="L2377" s="15">
        <f t="shared" si="546"/>
        <v>36.274945000000002</v>
      </c>
      <c r="M2377" s="15">
        <f t="shared" si="547"/>
        <v>13.75</v>
      </c>
      <c r="N2377" s="15">
        <f t="shared" si="548"/>
        <v>5</v>
      </c>
      <c r="O2377" s="15">
        <f t="shared" si="549"/>
        <v>17.524945000000002</v>
      </c>
      <c r="P2377" s="15">
        <f t="shared" si="550"/>
        <v>0</v>
      </c>
      <c r="Q2377" s="14" t="str">
        <f>IF(M2377&gt;=I2377*'Hoja 4 - Cálculo'!$B$16,"Satisfactorio","Falla")</f>
        <v>Satisfactorio</v>
      </c>
      <c r="R2377" s="14">
        <f t="shared" si="543"/>
        <v>0</v>
      </c>
      <c r="S2377" s="14">
        <f t="shared" si="544"/>
        <v>0</v>
      </c>
    </row>
    <row r="2378" spans="1:19">
      <c r="A2378" s="14" t="str">
        <f t="shared" si="540"/>
        <v>CFG-2</v>
      </c>
      <c r="B2378" s="15">
        <f>'Curvas SRY'!$E$11</f>
        <v>5</v>
      </c>
      <c r="C2378" s="15">
        <f>1</f>
        <v>1</v>
      </c>
      <c r="D2378" s="14" t="str">
        <f t="shared" si="541"/>
        <v>Uso múltiple</v>
      </c>
      <c r="E2378" s="14">
        <f>95</f>
        <v>95</v>
      </c>
      <c r="F2378" s="21">
        <f>'Hoja 4 - Cálculo'!A119</f>
        <v>32448</v>
      </c>
      <c r="G2378" s="15">
        <f>'Hoja 4 - Cálculo'!H119</f>
        <v>25.876124999999998</v>
      </c>
      <c r="H2378" s="15">
        <f>IF(D2378="Uso único",'Hoja 4 - Cálculo'!I119,IF(D2378="Uso múltiple",AVERAGE('Hoja 4 - Cálculo'!$I$25:$I$384)+AVERAGE('Hoja 4 - Cálculo'!$J$25:$J$384)+AVERAGE('Hoja 4 - Cálculo'!$K$25:$K$384),IF(D2378="Uso prioritario",'Hoja 4 - Cálculo'!I119+'Hoja 4 - Cálculo'!K119,'Hoja 4 - Cálculo'!I119+'Hoja 4 - Cálculo'!J119+'Hoja 4 - Cálculo'!K119)))</f>
        <v>13.75</v>
      </c>
      <c r="I2378" s="15">
        <f t="shared" si="545"/>
        <v>13.75</v>
      </c>
      <c r="J2378" s="15">
        <f t="shared" si="542"/>
        <v>5</v>
      </c>
      <c r="K2378" s="15">
        <f>MIN(J2378+G2378,(J2378+G2378)*'Hoja 4 - Cálculo'!$B$15)</f>
        <v>0.61752249999999997</v>
      </c>
      <c r="L2378" s="15">
        <f t="shared" si="546"/>
        <v>30.258602499999999</v>
      </c>
      <c r="M2378" s="15">
        <f t="shared" si="547"/>
        <v>13.75</v>
      </c>
      <c r="N2378" s="15">
        <f t="shared" si="548"/>
        <v>5</v>
      </c>
      <c r="O2378" s="15">
        <f t="shared" si="549"/>
        <v>11.508602499999999</v>
      </c>
      <c r="P2378" s="15">
        <f t="shared" si="550"/>
        <v>0</v>
      </c>
      <c r="Q2378" s="14" t="str">
        <f>IF(M2378&gt;=I2378*'Hoja 4 - Cálculo'!$B$16,"Satisfactorio","Falla")</f>
        <v>Satisfactorio</v>
      </c>
      <c r="R2378" s="14">
        <f t="shared" si="543"/>
        <v>0</v>
      </c>
      <c r="S2378" s="14">
        <f t="shared" si="544"/>
        <v>0</v>
      </c>
    </row>
    <row r="2379" spans="1:19">
      <c r="A2379" s="14" t="str">
        <f t="shared" si="540"/>
        <v>CFG-2</v>
      </c>
      <c r="B2379" s="15">
        <f>'Curvas SRY'!$E$11</f>
        <v>5</v>
      </c>
      <c r="C2379" s="15">
        <f>1</f>
        <v>1</v>
      </c>
      <c r="D2379" s="14" t="str">
        <f t="shared" si="541"/>
        <v>Uso múltiple</v>
      </c>
      <c r="E2379" s="14">
        <f>96</f>
        <v>96</v>
      </c>
      <c r="F2379" s="21">
        <f>'Hoja 4 - Cálculo'!A120</f>
        <v>32478</v>
      </c>
      <c r="G2379" s="15">
        <f>'Hoja 4 - Cálculo'!H120</f>
        <v>16.218</v>
      </c>
      <c r="H2379" s="15">
        <f>IF(D2379="Uso único",'Hoja 4 - Cálculo'!I120,IF(D2379="Uso múltiple",AVERAGE('Hoja 4 - Cálculo'!$I$25:$I$384)+AVERAGE('Hoja 4 - Cálculo'!$J$25:$J$384)+AVERAGE('Hoja 4 - Cálculo'!$K$25:$K$384),IF(D2379="Uso prioritario",'Hoja 4 - Cálculo'!I120+'Hoja 4 - Cálculo'!K120,'Hoja 4 - Cálculo'!I120+'Hoja 4 - Cálculo'!J120+'Hoja 4 - Cálculo'!K120)))</f>
        <v>13.75</v>
      </c>
      <c r="I2379" s="15">
        <f t="shared" si="545"/>
        <v>13.75</v>
      </c>
      <c r="J2379" s="15">
        <f t="shared" si="542"/>
        <v>5</v>
      </c>
      <c r="K2379" s="15">
        <f>MIN(J2379+G2379,(J2379+G2379)*'Hoja 4 - Cálculo'!$B$15)</f>
        <v>0.42436000000000001</v>
      </c>
      <c r="L2379" s="15">
        <f t="shared" si="546"/>
        <v>20.79364</v>
      </c>
      <c r="M2379" s="15">
        <f t="shared" si="547"/>
        <v>13.75</v>
      </c>
      <c r="N2379" s="15">
        <f t="shared" si="548"/>
        <v>5</v>
      </c>
      <c r="O2379" s="15">
        <f t="shared" si="549"/>
        <v>2.0436399999999999</v>
      </c>
      <c r="P2379" s="15">
        <f t="shared" si="550"/>
        <v>0</v>
      </c>
      <c r="Q2379" s="14" t="str">
        <f>IF(M2379&gt;=I2379*'Hoja 4 - Cálculo'!$B$16,"Satisfactorio","Falla")</f>
        <v>Satisfactorio</v>
      </c>
      <c r="R2379" s="14">
        <f t="shared" si="543"/>
        <v>0</v>
      </c>
      <c r="S2379" s="14">
        <f t="shared" si="544"/>
        <v>0</v>
      </c>
    </row>
    <row r="2380" spans="1:19">
      <c r="A2380" s="14" t="str">
        <f t="shared" ref="A2380:A2403" si="551">"CFG-2"</f>
        <v>CFG-2</v>
      </c>
      <c r="B2380" s="15">
        <f>'Curvas SRY'!$E$11</f>
        <v>5</v>
      </c>
      <c r="C2380" s="15">
        <f>1</f>
        <v>1</v>
      </c>
      <c r="D2380" s="14" t="str">
        <f t="shared" ref="D2380:D2403" si="552">"Uso múltiple"</f>
        <v>Uso múltiple</v>
      </c>
      <c r="E2380" s="14">
        <f>97</f>
        <v>97</v>
      </c>
      <c r="F2380" s="21">
        <f>'Hoja 4 - Cálculo'!A121</f>
        <v>32509</v>
      </c>
      <c r="G2380" s="15">
        <f>'Hoja 4 - Cálculo'!H121</f>
        <v>11.761875</v>
      </c>
      <c r="H2380" s="15">
        <f>IF(D2380="Uso único",'Hoja 4 - Cálculo'!I121,IF(D2380="Uso múltiple",AVERAGE('Hoja 4 - Cálculo'!$I$25:$I$384)+AVERAGE('Hoja 4 - Cálculo'!$J$25:$J$384)+AVERAGE('Hoja 4 - Cálculo'!$K$25:$K$384),IF(D2380="Uso prioritario",'Hoja 4 - Cálculo'!I121+'Hoja 4 - Cálculo'!K121,'Hoja 4 - Cálculo'!I121+'Hoja 4 - Cálculo'!J121+'Hoja 4 - Cálculo'!K121)))</f>
        <v>13.75</v>
      </c>
      <c r="I2380" s="15">
        <f t="shared" si="545"/>
        <v>13.75</v>
      </c>
      <c r="J2380" s="15">
        <f t="shared" si="542"/>
        <v>5</v>
      </c>
      <c r="K2380" s="15">
        <f>MIN(J2380+G2380,(J2380+G2380)*'Hoja 4 - Cálculo'!$B$15)</f>
        <v>0.33523750000000002</v>
      </c>
      <c r="L2380" s="15">
        <f t="shared" si="546"/>
        <v>16.426637499999998</v>
      </c>
      <c r="M2380" s="15">
        <f t="shared" si="547"/>
        <v>13.75</v>
      </c>
      <c r="N2380" s="15">
        <f t="shared" si="548"/>
        <v>2.6766374999999982</v>
      </c>
      <c r="O2380" s="15">
        <f t="shared" si="549"/>
        <v>0</v>
      </c>
      <c r="P2380" s="15">
        <f t="shared" si="550"/>
        <v>0</v>
      </c>
      <c r="Q2380" s="14" t="str">
        <f>IF(M2380&gt;=I2380*'Hoja 4 - Cálculo'!$B$16,"Satisfactorio","Falla")</f>
        <v>Satisfactorio</v>
      </c>
      <c r="R2380" s="14">
        <f t="shared" si="543"/>
        <v>0</v>
      </c>
      <c r="S2380" s="14">
        <f t="shared" si="544"/>
        <v>0</v>
      </c>
    </row>
    <row r="2381" spans="1:19">
      <c r="A2381" s="14" t="str">
        <f t="shared" si="551"/>
        <v>CFG-2</v>
      </c>
      <c r="B2381" s="15">
        <f>'Curvas SRY'!$E$11</f>
        <v>5</v>
      </c>
      <c r="C2381" s="15">
        <f>1</f>
        <v>1</v>
      </c>
      <c r="D2381" s="14" t="str">
        <f t="shared" si="552"/>
        <v>Uso múltiple</v>
      </c>
      <c r="E2381" s="14">
        <f>98</f>
        <v>98</v>
      </c>
      <c r="F2381" s="21">
        <f>'Hoja 4 - Cálculo'!A122</f>
        <v>32540</v>
      </c>
      <c r="G2381" s="15">
        <f>'Hoja 4 - Cálculo'!H122</f>
        <v>12.43125</v>
      </c>
      <c r="H2381" s="15">
        <f>IF(D2381="Uso único",'Hoja 4 - Cálculo'!I122,IF(D2381="Uso múltiple",AVERAGE('Hoja 4 - Cálculo'!$I$25:$I$384)+AVERAGE('Hoja 4 - Cálculo'!$J$25:$J$384)+AVERAGE('Hoja 4 - Cálculo'!$K$25:$K$384),IF(D2381="Uso prioritario",'Hoja 4 - Cálculo'!I122+'Hoja 4 - Cálculo'!K122,'Hoja 4 - Cálculo'!I122+'Hoja 4 - Cálculo'!J122+'Hoja 4 - Cálculo'!K122)))</f>
        <v>13.75</v>
      </c>
      <c r="I2381" s="15">
        <f t="shared" si="545"/>
        <v>13.75</v>
      </c>
      <c r="J2381" s="15">
        <f t="shared" ref="J2381:J2403" si="553">N2380</f>
        <v>2.6766374999999982</v>
      </c>
      <c r="K2381" s="15">
        <f>MIN(J2381+G2381,(J2381+G2381)*'Hoja 4 - Cálculo'!$B$15)</f>
        <v>0.30215775</v>
      </c>
      <c r="L2381" s="15">
        <f t="shared" si="546"/>
        <v>14.805729749999999</v>
      </c>
      <c r="M2381" s="15">
        <f t="shared" si="547"/>
        <v>13.75</v>
      </c>
      <c r="N2381" s="15">
        <f t="shared" si="548"/>
        <v>1.0557297499999994</v>
      </c>
      <c r="O2381" s="15">
        <f t="shared" si="549"/>
        <v>0</v>
      </c>
      <c r="P2381" s="15">
        <f t="shared" si="550"/>
        <v>0</v>
      </c>
      <c r="Q2381" s="14" t="str">
        <f>IF(M2381&gt;=I2381*'Hoja 4 - Cálculo'!$B$16,"Satisfactorio","Falla")</f>
        <v>Satisfactorio</v>
      </c>
      <c r="R2381" s="14">
        <f t="shared" ref="R2381:R2412" si="554">IF(AND(Q2380="Falla",Q2381="Satisfactorio"),1,0)</f>
        <v>0</v>
      </c>
      <c r="S2381" s="14">
        <f t="shared" ref="S2381:S2403" si="555">IF(AND(Q2381="Falla",Q2380&lt;&gt;"Falla"),1,0)</f>
        <v>0</v>
      </c>
    </row>
    <row r="2382" spans="1:19">
      <c r="A2382" s="14" t="str">
        <f t="shared" si="551"/>
        <v>CFG-2</v>
      </c>
      <c r="B2382" s="15">
        <f>'Curvas SRY'!$E$11</f>
        <v>5</v>
      </c>
      <c r="C2382" s="15">
        <f>1</f>
        <v>1</v>
      </c>
      <c r="D2382" s="14" t="str">
        <f t="shared" si="552"/>
        <v>Uso múltiple</v>
      </c>
      <c r="E2382" s="14">
        <f>99</f>
        <v>99</v>
      </c>
      <c r="F2382" s="21">
        <f>'Hoja 4 - Cálculo'!A123</f>
        <v>32568</v>
      </c>
      <c r="G2382" s="15">
        <f>'Hoja 4 - Cálculo'!H123</f>
        <v>19.717874999999999</v>
      </c>
      <c r="H2382" s="15">
        <f>IF(D2382="Uso único",'Hoja 4 - Cálculo'!I123,IF(D2382="Uso múltiple",AVERAGE('Hoja 4 - Cálculo'!$I$25:$I$384)+AVERAGE('Hoja 4 - Cálculo'!$J$25:$J$384)+AVERAGE('Hoja 4 - Cálculo'!$K$25:$K$384),IF(D2382="Uso prioritario",'Hoja 4 - Cálculo'!I123+'Hoja 4 - Cálculo'!K123,'Hoja 4 - Cálculo'!I123+'Hoja 4 - Cálculo'!J123+'Hoja 4 - Cálculo'!K123)))</f>
        <v>13.75</v>
      </c>
      <c r="I2382" s="15">
        <f t="shared" si="545"/>
        <v>13.75</v>
      </c>
      <c r="J2382" s="15">
        <f t="shared" si="553"/>
        <v>1.0557297499999994</v>
      </c>
      <c r="K2382" s="15">
        <f>MIN(J2382+G2382,(J2382+G2382)*'Hoja 4 - Cálculo'!$B$15)</f>
        <v>0.41547209499999993</v>
      </c>
      <c r="L2382" s="15">
        <f t="shared" si="546"/>
        <v>20.358132654999999</v>
      </c>
      <c r="M2382" s="15">
        <f t="shared" si="547"/>
        <v>13.75</v>
      </c>
      <c r="N2382" s="15">
        <f t="shared" si="548"/>
        <v>5</v>
      </c>
      <c r="O2382" s="15">
        <f t="shared" si="549"/>
        <v>1.6081326549999986</v>
      </c>
      <c r="P2382" s="15">
        <f t="shared" si="550"/>
        <v>0</v>
      </c>
      <c r="Q2382" s="14" t="str">
        <f>IF(M2382&gt;=I2382*'Hoja 4 - Cálculo'!$B$16,"Satisfactorio","Falla")</f>
        <v>Satisfactorio</v>
      </c>
      <c r="R2382" s="14">
        <f t="shared" si="554"/>
        <v>0</v>
      </c>
      <c r="S2382" s="14">
        <f t="shared" si="555"/>
        <v>0</v>
      </c>
    </row>
    <row r="2383" spans="1:19">
      <c r="A2383" s="14" t="str">
        <f t="shared" si="551"/>
        <v>CFG-2</v>
      </c>
      <c r="B2383" s="15">
        <f>'Curvas SRY'!$E$11</f>
        <v>5</v>
      </c>
      <c r="C2383" s="15">
        <f>1</f>
        <v>1</v>
      </c>
      <c r="D2383" s="14" t="str">
        <f t="shared" si="552"/>
        <v>Uso múltiple</v>
      </c>
      <c r="E2383" s="14">
        <f>100</f>
        <v>100</v>
      </c>
      <c r="F2383" s="21">
        <f>'Hoja 4 - Cálculo'!A124</f>
        <v>32599</v>
      </c>
      <c r="G2383" s="15">
        <f>'Hoja 4 - Cálculo'!H124</f>
        <v>26.029125000000001</v>
      </c>
      <c r="H2383" s="15">
        <f>IF(D2383="Uso único",'Hoja 4 - Cálculo'!I124,IF(D2383="Uso múltiple",AVERAGE('Hoja 4 - Cálculo'!$I$25:$I$384)+AVERAGE('Hoja 4 - Cálculo'!$J$25:$J$384)+AVERAGE('Hoja 4 - Cálculo'!$K$25:$K$384),IF(D2383="Uso prioritario",'Hoja 4 - Cálculo'!I124+'Hoja 4 - Cálculo'!K124,'Hoja 4 - Cálculo'!I124+'Hoja 4 - Cálculo'!J124+'Hoja 4 - Cálculo'!K124)))</f>
        <v>13.75</v>
      </c>
      <c r="I2383" s="15">
        <f t="shared" si="545"/>
        <v>13.75</v>
      </c>
      <c r="J2383" s="15">
        <f t="shared" si="553"/>
        <v>5</v>
      </c>
      <c r="K2383" s="15">
        <f>MIN(J2383+G2383,(J2383+G2383)*'Hoja 4 - Cálculo'!$B$15)</f>
        <v>0.62058250000000004</v>
      </c>
      <c r="L2383" s="15">
        <f t="shared" si="546"/>
        <v>30.408542499999999</v>
      </c>
      <c r="M2383" s="15">
        <f t="shared" si="547"/>
        <v>13.75</v>
      </c>
      <c r="N2383" s="15">
        <f t="shared" si="548"/>
        <v>5</v>
      </c>
      <c r="O2383" s="15">
        <f t="shared" si="549"/>
        <v>11.658542499999999</v>
      </c>
      <c r="P2383" s="15">
        <f t="shared" si="550"/>
        <v>0</v>
      </c>
      <c r="Q2383" s="14" t="str">
        <f>IF(M2383&gt;=I2383*'Hoja 4 - Cálculo'!$B$16,"Satisfactorio","Falla")</f>
        <v>Satisfactorio</v>
      </c>
      <c r="R2383" s="14">
        <f t="shared" si="554"/>
        <v>0</v>
      </c>
      <c r="S2383" s="14">
        <f t="shared" si="555"/>
        <v>0</v>
      </c>
    </row>
    <row r="2384" spans="1:19">
      <c r="A2384" s="14" t="str">
        <f t="shared" si="551"/>
        <v>CFG-2</v>
      </c>
      <c r="B2384" s="15">
        <f>'Curvas SRY'!$E$11</f>
        <v>5</v>
      </c>
      <c r="C2384" s="15">
        <f>1</f>
        <v>1</v>
      </c>
      <c r="D2384" s="14" t="str">
        <f t="shared" si="552"/>
        <v>Uso múltiple</v>
      </c>
      <c r="E2384" s="14">
        <f>101</f>
        <v>101</v>
      </c>
      <c r="F2384" s="21">
        <f>'Hoja 4 - Cálculo'!A125</f>
        <v>32629</v>
      </c>
      <c r="G2384" s="15">
        <f>'Hoja 4 - Cálculo'!H125</f>
        <v>24.728625000000005</v>
      </c>
      <c r="H2384" s="15">
        <f>IF(D2384="Uso único",'Hoja 4 - Cálculo'!I125,IF(D2384="Uso múltiple",AVERAGE('Hoja 4 - Cálculo'!$I$25:$I$384)+AVERAGE('Hoja 4 - Cálculo'!$J$25:$J$384)+AVERAGE('Hoja 4 - Cálculo'!$K$25:$K$384),IF(D2384="Uso prioritario",'Hoja 4 - Cálculo'!I125+'Hoja 4 - Cálculo'!K125,'Hoja 4 - Cálculo'!I125+'Hoja 4 - Cálculo'!J125+'Hoja 4 - Cálculo'!K125)))</f>
        <v>13.75</v>
      </c>
      <c r="I2384" s="15">
        <f t="shared" si="545"/>
        <v>13.75</v>
      </c>
      <c r="J2384" s="15">
        <f t="shared" si="553"/>
        <v>5</v>
      </c>
      <c r="K2384" s="15">
        <f>MIN(J2384+G2384,(J2384+G2384)*'Hoja 4 - Cálculo'!$B$15)</f>
        <v>0.59457250000000006</v>
      </c>
      <c r="L2384" s="15">
        <f t="shared" si="546"/>
        <v>29.134052500000003</v>
      </c>
      <c r="M2384" s="15">
        <f t="shared" si="547"/>
        <v>13.75</v>
      </c>
      <c r="N2384" s="15">
        <f t="shared" si="548"/>
        <v>5</v>
      </c>
      <c r="O2384" s="15">
        <f t="shared" si="549"/>
        <v>10.384052500000003</v>
      </c>
      <c r="P2384" s="15">
        <f t="shared" si="550"/>
        <v>0</v>
      </c>
      <c r="Q2384" s="14" t="str">
        <f>IF(M2384&gt;=I2384*'Hoja 4 - Cálculo'!$B$16,"Satisfactorio","Falla")</f>
        <v>Satisfactorio</v>
      </c>
      <c r="R2384" s="14">
        <f t="shared" si="554"/>
        <v>0</v>
      </c>
      <c r="S2384" s="14">
        <f t="shared" si="555"/>
        <v>0</v>
      </c>
    </row>
    <row r="2385" spans="1:19">
      <c r="A2385" s="14" t="str">
        <f t="shared" si="551"/>
        <v>CFG-2</v>
      </c>
      <c r="B2385" s="15">
        <f>'Curvas SRY'!$E$11</f>
        <v>5</v>
      </c>
      <c r="C2385" s="15">
        <f>1</f>
        <v>1</v>
      </c>
      <c r="D2385" s="14" t="str">
        <f t="shared" si="552"/>
        <v>Uso múltiple</v>
      </c>
      <c r="E2385" s="14">
        <f>102</f>
        <v>102</v>
      </c>
      <c r="F2385" s="21">
        <f>'Hoja 4 - Cálculo'!A126</f>
        <v>32660</v>
      </c>
      <c r="G2385" s="15">
        <f>'Hoja 4 - Cálculo'!H126</f>
        <v>14.515874999999999</v>
      </c>
      <c r="H2385" s="15">
        <f>IF(D2385="Uso único",'Hoja 4 - Cálculo'!I126,IF(D2385="Uso múltiple",AVERAGE('Hoja 4 - Cálculo'!$I$25:$I$384)+AVERAGE('Hoja 4 - Cálculo'!$J$25:$J$384)+AVERAGE('Hoja 4 - Cálculo'!$K$25:$K$384),IF(D2385="Uso prioritario",'Hoja 4 - Cálculo'!I126+'Hoja 4 - Cálculo'!K126,'Hoja 4 - Cálculo'!I126+'Hoja 4 - Cálculo'!J126+'Hoja 4 - Cálculo'!K126)))</f>
        <v>13.75</v>
      </c>
      <c r="I2385" s="15">
        <f t="shared" si="545"/>
        <v>13.75</v>
      </c>
      <c r="J2385" s="15">
        <f t="shared" si="553"/>
        <v>5</v>
      </c>
      <c r="K2385" s="15">
        <f>MIN(J2385+G2385,(J2385+G2385)*'Hoja 4 - Cálculo'!$B$15)</f>
        <v>0.39031750000000004</v>
      </c>
      <c r="L2385" s="15">
        <f t="shared" si="546"/>
        <v>19.125557500000003</v>
      </c>
      <c r="M2385" s="15">
        <f t="shared" si="547"/>
        <v>13.75</v>
      </c>
      <c r="N2385" s="15">
        <f t="shared" si="548"/>
        <v>5</v>
      </c>
      <c r="O2385" s="15">
        <f t="shared" si="549"/>
        <v>0.37555750000000288</v>
      </c>
      <c r="P2385" s="15">
        <f t="shared" si="550"/>
        <v>0</v>
      </c>
      <c r="Q2385" s="14" t="str">
        <f>IF(M2385&gt;=I2385*'Hoja 4 - Cálculo'!$B$16,"Satisfactorio","Falla")</f>
        <v>Satisfactorio</v>
      </c>
      <c r="R2385" s="14">
        <f t="shared" si="554"/>
        <v>0</v>
      </c>
      <c r="S2385" s="14">
        <f t="shared" si="555"/>
        <v>0</v>
      </c>
    </row>
    <row r="2386" spans="1:19">
      <c r="A2386" s="14" t="str">
        <f t="shared" si="551"/>
        <v>CFG-2</v>
      </c>
      <c r="B2386" s="15">
        <f>'Curvas SRY'!$E$11</f>
        <v>5</v>
      </c>
      <c r="C2386" s="15">
        <f>1</f>
        <v>1</v>
      </c>
      <c r="D2386" s="14" t="str">
        <f t="shared" si="552"/>
        <v>Uso múltiple</v>
      </c>
      <c r="E2386" s="14">
        <f>103</f>
        <v>103</v>
      </c>
      <c r="F2386" s="21">
        <f>'Hoja 4 - Cálculo'!A127</f>
        <v>32690</v>
      </c>
      <c r="G2386" s="15">
        <f>'Hoja 4 - Cálculo'!H127</f>
        <v>12.144375</v>
      </c>
      <c r="H2386" s="15">
        <f>IF(D2386="Uso único",'Hoja 4 - Cálculo'!I127,IF(D2386="Uso múltiple",AVERAGE('Hoja 4 - Cálculo'!$I$25:$I$384)+AVERAGE('Hoja 4 - Cálculo'!$J$25:$J$384)+AVERAGE('Hoja 4 - Cálculo'!$K$25:$K$384),IF(D2386="Uso prioritario",'Hoja 4 - Cálculo'!I127+'Hoja 4 - Cálculo'!K127,'Hoja 4 - Cálculo'!I127+'Hoja 4 - Cálculo'!J127+'Hoja 4 - Cálculo'!K127)))</f>
        <v>13.75</v>
      </c>
      <c r="I2386" s="15">
        <f t="shared" si="545"/>
        <v>13.75</v>
      </c>
      <c r="J2386" s="15">
        <f t="shared" si="553"/>
        <v>5</v>
      </c>
      <c r="K2386" s="15">
        <f>MIN(J2386+G2386,(J2386+G2386)*'Hoja 4 - Cálculo'!$B$15)</f>
        <v>0.34288750000000001</v>
      </c>
      <c r="L2386" s="15">
        <f t="shared" si="546"/>
        <v>16.8014875</v>
      </c>
      <c r="M2386" s="15">
        <f t="shared" si="547"/>
        <v>13.75</v>
      </c>
      <c r="N2386" s="15">
        <f t="shared" si="548"/>
        <v>3.0514875000000004</v>
      </c>
      <c r="O2386" s="15">
        <f t="shared" si="549"/>
        <v>0</v>
      </c>
      <c r="P2386" s="15">
        <f t="shared" si="550"/>
        <v>0</v>
      </c>
      <c r="Q2386" s="14" t="str">
        <f>IF(M2386&gt;=I2386*'Hoja 4 - Cálculo'!$B$16,"Satisfactorio","Falla")</f>
        <v>Satisfactorio</v>
      </c>
      <c r="R2386" s="14">
        <f t="shared" si="554"/>
        <v>0</v>
      </c>
      <c r="S2386" s="14">
        <f t="shared" si="555"/>
        <v>0</v>
      </c>
    </row>
    <row r="2387" spans="1:19">
      <c r="A2387" s="14" t="str">
        <f t="shared" si="551"/>
        <v>CFG-2</v>
      </c>
      <c r="B2387" s="15">
        <f>'Curvas SRY'!$E$11</f>
        <v>5</v>
      </c>
      <c r="C2387" s="15">
        <f>1</f>
        <v>1</v>
      </c>
      <c r="D2387" s="14" t="str">
        <f t="shared" si="552"/>
        <v>Uso múltiple</v>
      </c>
      <c r="E2387" s="14">
        <f>104</f>
        <v>104</v>
      </c>
      <c r="F2387" s="21">
        <f>'Hoja 4 - Cálculo'!A128</f>
        <v>32721</v>
      </c>
      <c r="G2387" s="15">
        <f>'Hoja 4 - Cálculo'!H128</f>
        <v>13.04325</v>
      </c>
      <c r="H2387" s="15">
        <f>IF(D2387="Uso único",'Hoja 4 - Cálculo'!I128,IF(D2387="Uso múltiple",AVERAGE('Hoja 4 - Cálculo'!$I$25:$I$384)+AVERAGE('Hoja 4 - Cálculo'!$J$25:$J$384)+AVERAGE('Hoja 4 - Cálculo'!$K$25:$K$384),IF(D2387="Uso prioritario",'Hoja 4 - Cálculo'!I128+'Hoja 4 - Cálculo'!K128,'Hoja 4 - Cálculo'!I128+'Hoja 4 - Cálculo'!J128+'Hoja 4 - Cálculo'!K128)))</f>
        <v>13.75</v>
      </c>
      <c r="I2387" s="15">
        <f t="shared" si="545"/>
        <v>13.75</v>
      </c>
      <c r="J2387" s="15">
        <f t="shared" si="553"/>
        <v>3.0514875000000004</v>
      </c>
      <c r="K2387" s="15">
        <f>MIN(J2387+G2387,(J2387+G2387)*'Hoja 4 - Cálculo'!$B$15)</f>
        <v>0.32189475000000001</v>
      </c>
      <c r="L2387" s="15">
        <f t="shared" si="546"/>
        <v>15.772842750000001</v>
      </c>
      <c r="M2387" s="15">
        <f t="shared" si="547"/>
        <v>13.75</v>
      </c>
      <c r="N2387" s="15">
        <f t="shared" si="548"/>
        <v>2.0228427500000006</v>
      </c>
      <c r="O2387" s="15">
        <f t="shared" si="549"/>
        <v>0</v>
      </c>
      <c r="P2387" s="15">
        <f t="shared" si="550"/>
        <v>0</v>
      </c>
      <c r="Q2387" s="14" t="str">
        <f>IF(M2387&gt;=I2387*'Hoja 4 - Cálculo'!$B$16,"Satisfactorio","Falla")</f>
        <v>Satisfactorio</v>
      </c>
      <c r="R2387" s="14">
        <f t="shared" si="554"/>
        <v>0</v>
      </c>
      <c r="S2387" s="14">
        <f t="shared" si="555"/>
        <v>0</v>
      </c>
    </row>
    <row r="2388" spans="1:19">
      <c r="A2388" s="14" t="str">
        <f t="shared" si="551"/>
        <v>CFG-2</v>
      </c>
      <c r="B2388" s="15">
        <f>'Curvas SRY'!$E$11</f>
        <v>5</v>
      </c>
      <c r="C2388" s="15">
        <f>1</f>
        <v>1</v>
      </c>
      <c r="D2388" s="14" t="str">
        <f t="shared" si="552"/>
        <v>Uso múltiple</v>
      </c>
      <c r="E2388" s="14">
        <f>105</f>
        <v>105</v>
      </c>
      <c r="F2388" s="21">
        <f>'Hoja 4 - Cálculo'!A129</f>
        <v>32752</v>
      </c>
      <c r="G2388" s="15">
        <f>'Hoja 4 - Cálculo'!H129</f>
        <v>20.444624999999998</v>
      </c>
      <c r="H2388" s="15">
        <f>IF(D2388="Uso único",'Hoja 4 - Cálculo'!I129,IF(D2388="Uso múltiple",AVERAGE('Hoja 4 - Cálculo'!$I$25:$I$384)+AVERAGE('Hoja 4 - Cálculo'!$J$25:$J$384)+AVERAGE('Hoja 4 - Cálculo'!$K$25:$K$384),IF(D2388="Uso prioritario",'Hoja 4 - Cálculo'!I129+'Hoja 4 - Cálculo'!K129,'Hoja 4 - Cálculo'!I129+'Hoja 4 - Cálculo'!J129+'Hoja 4 - Cálculo'!K129)))</f>
        <v>13.75</v>
      </c>
      <c r="I2388" s="15">
        <f t="shared" si="545"/>
        <v>13.75</v>
      </c>
      <c r="J2388" s="15">
        <f t="shared" si="553"/>
        <v>2.0228427500000006</v>
      </c>
      <c r="K2388" s="15">
        <f>MIN(J2388+G2388,(J2388+G2388)*'Hoja 4 - Cálculo'!$B$15)</f>
        <v>0.44934935499999995</v>
      </c>
      <c r="L2388" s="15">
        <f t="shared" si="546"/>
        <v>22.018118394999998</v>
      </c>
      <c r="M2388" s="15">
        <f t="shared" si="547"/>
        <v>13.75</v>
      </c>
      <c r="N2388" s="15">
        <f t="shared" si="548"/>
        <v>5</v>
      </c>
      <c r="O2388" s="15">
        <f t="shared" si="549"/>
        <v>3.2681183949999983</v>
      </c>
      <c r="P2388" s="15">
        <f t="shared" si="550"/>
        <v>0</v>
      </c>
      <c r="Q2388" s="14" t="str">
        <f>IF(M2388&gt;=I2388*'Hoja 4 - Cálculo'!$B$16,"Satisfactorio","Falla")</f>
        <v>Satisfactorio</v>
      </c>
      <c r="R2388" s="14">
        <f t="shared" si="554"/>
        <v>0</v>
      </c>
      <c r="S2388" s="14">
        <f t="shared" si="555"/>
        <v>0</v>
      </c>
    </row>
    <row r="2389" spans="1:19">
      <c r="A2389" s="14" t="str">
        <f t="shared" si="551"/>
        <v>CFG-2</v>
      </c>
      <c r="B2389" s="15">
        <f>'Curvas SRY'!$E$11</f>
        <v>5</v>
      </c>
      <c r="C2389" s="15">
        <f>1</f>
        <v>1</v>
      </c>
      <c r="D2389" s="14" t="str">
        <f t="shared" si="552"/>
        <v>Uso múltiple</v>
      </c>
      <c r="E2389" s="14">
        <f>106</f>
        <v>106</v>
      </c>
      <c r="F2389" s="21">
        <f>'Hoja 4 - Cálculo'!A130</f>
        <v>32782</v>
      </c>
      <c r="G2389" s="15">
        <f>'Hoja 4 - Cálculo'!H130</f>
        <v>28.343250000000001</v>
      </c>
      <c r="H2389" s="15">
        <f>IF(D2389="Uso único",'Hoja 4 - Cálculo'!I130,IF(D2389="Uso múltiple",AVERAGE('Hoja 4 - Cálculo'!$I$25:$I$384)+AVERAGE('Hoja 4 - Cálculo'!$J$25:$J$384)+AVERAGE('Hoja 4 - Cálculo'!$K$25:$K$384),IF(D2389="Uso prioritario",'Hoja 4 - Cálculo'!I130+'Hoja 4 - Cálculo'!K130,'Hoja 4 - Cálculo'!I130+'Hoja 4 - Cálculo'!J130+'Hoja 4 - Cálculo'!K130)))</f>
        <v>13.75</v>
      </c>
      <c r="I2389" s="15">
        <f t="shared" si="545"/>
        <v>13.75</v>
      </c>
      <c r="J2389" s="15">
        <f t="shared" si="553"/>
        <v>5</v>
      </c>
      <c r="K2389" s="15">
        <f>MIN(J2389+G2389,(J2389+G2389)*'Hoja 4 - Cálculo'!$B$15)</f>
        <v>0.66686499999999993</v>
      </c>
      <c r="L2389" s="15">
        <f t="shared" si="546"/>
        <v>32.676384999999996</v>
      </c>
      <c r="M2389" s="15">
        <f t="shared" si="547"/>
        <v>13.75</v>
      </c>
      <c r="N2389" s="15">
        <f t="shared" si="548"/>
        <v>5</v>
      </c>
      <c r="O2389" s="15">
        <f t="shared" si="549"/>
        <v>13.926384999999996</v>
      </c>
      <c r="P2389" s="15">
        <f t="shared" si="550"/>
        <v>0</v>
      </c>
      <c r="Q2389" s="14" t="str">
        <f>IF(M2389&gt;=I2389*'Hoja 4 - Cálculo'!$B$16,"Satisfactorio","Falla")</f>
        <v>Satisfactorio</v>
      </c>
      <c r="R2389" s="14">
        <f t="shared" si="554"/>
        <v>0</v>
      </c>
      <c r="S2389" s="14">
        <f t="shared" si="555"/>
        <v>0</v>
      </c>
    </row>
    <row r="2390" spans="1:19">
      <c r="A2390" s="14" t="str">
        <f t="shared" si="551"/>
        <v>CFG-2</v>
      </c>
      <c r="B2390" s="15">
        <f>'Curvas SRY'!$E$11</f>
        <v>5</v>
      </c>
      <c r="C2390" s="15">
        <f>1</f>
        <v>1</v>
      </c>
      <c r="D2390" s="14" t="str">
        <f t="shared" si="552"/>
        <v>Uso múltiple</v>
      </c>
      <c r="E2390" s="14">
        <f>107</f>
        <v>107</v>
      </c>
      <c r="F2390" s="21">
        <f>'Hoja 4 - Cálculo'!A131</f>
        <v>32813</v>
      </c>
      <c r="G2390" s="15">
        <f>'Hoja 4 - Cálculo'!H131</f>
        <v>22.60575</v>
      </c>
      <c r="H2390" s="15">
        <f>IF(D2390="Uso único",'Hoja 4 - Cálculo'!I131,IF(D2390="Uso múltiple",AVERAGE('Hoja 4 - Cálculo'!$I$25:$I$384)+AVERAGE('Hoja 4 - Cálculo'!$J$25:$J$384)+AVERAGE('Hoja 4 - Cálculo'!$K$25:$K$384),IF(D2390="Uso prioritario",'Hoja 4 - Cálculo'!I131+'Hoja 4 - Cálculo'!K131,'Hoja 4 - Cálculo'!I131+'Hoja 4 - Cálculo'!J131+'Hoja 4 - Cálculo'!K131)))</f>
        <v>13.75</v>
      </c>
      <c r="I2390" s="15">
        <f t="shared" si="545"/>
        <v>13.75</v>
      </c>
      <c r="J2390" s="15">
        <f t="shared" si="553"/>
        <v>5</v>
      </c>
      <c r="K2390" s="15">
        <f>MIN(J2390+G2390,(J2390+G2390)*'Hoja 4 - Cálculo'!$B$15)</f>
        <v>0.55211500000000002</v>
      </c>
      <c r="L2390" s="15">
        <f t="shared" si="546"/>
        <v>27.053635</v>
      </c>
      <c r="M2390" s="15">
        <f t="shared" si="547"/>
        <v>13.75</v>
      </c>
      <c r="N2390" s="15">
        <f t="shared" si="548"/>
        <v>5</v>
      </c>
      <c r="O2390" s="15">
        <f t="shared" si="549"/>
        <v>8.3036349999999999</v>
      </c>
      <c r="P2390" s="15">
        <f t="shared" si="550"/>
        <v>0</v>
      </c>
      <c r="Q2390" s="14" t="str">
        <f>IF(M2390&gt;=I2390*'Hoja 4 - Cálculo'!$B$16,"Satisfactorio","Falla")</f>
        <v>Satisfactorio</v>
      </c>
      <c r="R2390" s="14">
        <f t="shared" si="554"/>
        <v>0</v>
      </c>
      <c r="S2390" s="14">
        <f t="shared" si="555"/>
        <v>0</v>
      </c>
    </row>
    <row r="2391" spans="1:19">
      <c r="A2391" s="14" t="str">
        <f t="shared" si="551"/>
        <v>CFG-2</v>
      </c>
      <c r="B2391" s="15">
        <f>'Curvas SRY'!$E$11</f>
        <v>5</v>
      </c>
      <c r="C2391" s="15">
        <f>1</f>
        <v>1</v>
      </c>
      <c r="D2391" s="14" t="str">
        <f t="shared" si="552"/>
        <v>Uso múltiple</v>
      </c>
      <c r="E2391" s="14">
        <f>108</f>
        <v>108</v>
      </c>
      <c r="F2391" s="21">
        <f>'Hoja 4 - Cálculo'!A132</f>
        <v>32843</v>
      </c>
      <c r="G2391" s="15">
        <f>'Hoja 4 - Cálculo'!H132</f>
        <v>14.362875000000001</v>
      </c>
      <c r="H2391" s="15">
        <f>IF(D2391="Uso único",'Hoja 4 - Cálculo'!I132,IF(D2391="Uso múltiple",AVERAGE('Hoja 4 - Cálculo'!$I$25:$I$384)+AVERAGE('Hoja 4 - Cálculo'!$J$25:$J$384)+AVERAGE('Hoja 4 - Cálculo'!$K$25:$K$384),IF(D2391="Uso prioritario",'Hoja 4 - Cálculo'!I132+'Hoja 4 - Cálculo'!K132,'Hoja 4 - Cálculo'!I132+'Hoja 4 - Cálculo'!J132+'Hoja 4 - Cálculo'!K132)))</f>
        <v>13.75</v>
      </c>
      <c r="I2391" s="15">
        <f t="shared" si="545"/>
        <v>13.75</v>
      </c>
      <c r="J2391" s="15">
        <f t="shared" si="553"/>
        <v>5</v>
      </c>
      <c r="K2391" s="15">
        <f>MIN(J2391+G2391,(J2391+G2391)*'Hoja 4 - Cálculo'!$B$15)</f>
        <v>0.38725750000000003</v>
      </c>
      <c r="L2391" s="15">
        <f t="shared" si="546"/>
        <v>18.975617500000002</v>
      </c>
      <c r="M2391" s="15">
        <f t="shared" si="547"/>
        <v>13.75</v>
      </c>
      <c r="N2391" s="15">
        <f t="shared" si="548"/>
        <v>5</v>
      </c>
      <c r="O2391" s="15">
        <f t="shared" si="549"/>
        <v>0.22561750000000202</v>
      </c>
      <c r="P2391" s="15">
        <f t="shared" si="550"/>
        <v>0</v>
      </c>
      <c r="Q2391" s="14" t="str">
        <f>IF(M2391&gt;=I2391*'Hoja 4 - Cálculo'!$B$16,"Satisfactorio","Falla")</f>
        <v>Satisfactorio</v>
      </c>
      <c r="R2391" s="14">
        <f t="shared" si="554"/>
        <v>0</v>
      </c>
      <c r="S2391" s="14">
        <f t="shared" si="555"/>
        <v>0</v>
      </c>
    </row>
    <row r="2392" spans="1:19">
      <c r="A2392" s="14" t="str">
        <f t="shared" si="551"/>
        <v>CFG-2</v>
      </c>
      <c r="B2392" s="15">
        <f>'Curvas SRY'!$E$11</f>
        <v>5</v>
      </c>
      <c r="C2392" s="15">
        <f>1</f>
        <v>1</v>
      </c>
      <c r="D2392" s="14" t="str">
        <f t="shared" si="552"/>
        <v>Uso múltiple</v>
      </c>
      <c r="E2392" s="14">
        <f>109</f>
        <v>109</v>
      </c>
      <c r="F2392" s="21">
        <f>'Hoja 4 - Cálculo'!A133</f>
        <v>32874</v>
      </c>
      <c r="G2392" s="15">
        <f>'Hoja 4 - Cálculo'!H133</f>
        <v>11.723625</v>
      </c>
      <c r="H2392" s="15">
        <f>IF(D2392="Uso único",'Hoja 4 - Cálculo'!I133,IF(D2392="Uso múltiple",AVERAGE('Hoja 4 - Cálculo'!$I$25:$I$384)+AVERAGE('Hoja 4 - Cálculo'!$J$25:$J$384)+AVERAGE('Hoja 4 - Cálculo'!$K$25:$K$384),IF(D2392="Uso prioritario",'Hoja 4 - Cálculo'!I133+'Hoja 4 - Cálculo'!K133,'Hoja 4 - Cálculo'!I133+'Hoja 4 - Cálculo'!J133+'Hoja 4 - Cálculo'!K133)))</f>
        <v>13.75</v>
      </c>
      <c r="I2392" s="15">
        <f t="shared" si="545"/>
        <v>13.75</v>
      </c>
      <c r="J2392" s="15">
        <f t="shared" si="553"/>
        <v>5</v>
      </c>
      <c r="K2392" s="15">
        <f>MIN(J2392+G2392,(J2392+G2392)*'Hoja 4 - Cálculo'!$B$15)</f>
        <v>0.33447249999999995</v>
      </c>
      <c r="L2392" s="15">
        <f t="shared" si="546"/>
        <v>16.389152499999998</v>
      </c>
      <c r="M2392" s="15">
        <f t="shared" si="547"/>
        <v>13.75</v>
      </c>
      <c r="N2392" s="15">
        <f t="shared" si="548"/>
        <v>2.639152499999998</v>
      </c>
      <c r="O2392" s="15">
        <f t="shared" si="549"/>
        <v>0</v>
      </c>
      <c r="P2392" s="15">
        <f t="shared" si="550"/>
        <v>0</v>
      </c>
      <c r="Q2392" s="14" t="str">
        <f>IF(M2392&gt;=I2392*'Hoja 4 - Cálculo'!$B$16,"Satisfactorio","Falla")</f>
        <v>Satisfactorio</v>
      </c>
      <c r="R2392" s="14">
        <f t="shared" si="554"/>
        <v>0</v>
      </c>
      <c r="S2392" s="14">
        <f t="shared" si="555"/>
        <v>0</v>
      </c>
    </row>
    <row r="2393" spans="1:19">
      <c r="A2393" s="14" t="str">
        <f t="shared" si="551"/>
        <v>CFG-2</v>
      </c>
      <c r="B2393" s="15">
        <f>'Curvas SRY'!$E$11</f>
        <v>5</v>
      </c>
      <c r="C2393" s="15">
        <f>1</f>
        <v>1</v>
      </c>
      <c r="D2393" s="14" t="str">
        <f t="shared" si="552"/>
        <v>Uso múltiple</v>
      </c>
      <c r="E2393" s="14">
        <f>110</f>
        <v>110</v>
      </c>
      <c r="F2393" s="21">
        <f>'Hoja 4 - Cálculo'!A134</f>
        <v>32905</v>
      </c>
      <c r="G2393" s="15">
        <f>'Hoja 4 - Cálculo'!H134</f>
        <v>13.311</v>
      </c>
      <c r="H2393" s="15">
        <f>IF(D2393="Uso único",'Hoja 4 - Cálculo'!I134,IF(D2393="Uso múltiple",AVERAGE('Hoja 4 - Cálculo'!$I$25:$I$384)+AVERAGE('Hoja 4 - Cálculo'!$J$25:$J$384)+AVERAGE('Hoja 4 - Cálculo'!$K$25:$K$384),IF(D2393="Uso prioritario",'Hoja 4 - Cálculo'!I134+'Hoja 4 - Cálculo'!K134,'Hoja 4 - Cálculo'!I134+'Hoja 4 - Cálculo'!J134+'Hoja 4 - Cálculo'!K134)))</f>
        <v>13.75</v>
      </c>
      <c r="I2393" s="15">
        <f t="shared" si="545"/>
        <v>13.75</v>
      </c>
      <c r="J2393" s="15">
        <f t="shared" si="553"/>
        <v>2.639152499999998</v>
      </c>
      <c r="K2393" s="15">
        <f>MIN(J2393+G2393,(J2393+G2393)*'Hoja 4 - Cálculo'!$B$15)</f>
        <v>0.31900304999999995</v>
      </c>
      <c r="L2393" s="15">
        <f t="shared" si="546"/>
        <v>15.631149449999999</v>
      </c>
      <c r="M2393" s="15">
        <f t="shared" si="547"/>
        <v>13.75</v>
      </c>
      <c r="N2393" s="15">
        <f t="shared" si="548"/>
        <v>1.8811494499999988</v>
      </c>
      <c r="O2393" s="15">
        <f t="shared" si="549"/>
        <v>0</v>
      </c>
      <c r="P2393" s="15">
        <f t="shared" si="550"/>
        <v>0</v>
      </c>
      <c r="Q2393" s="14" t="str">
        <f>IF(M2393&gt;=I2393*'Hoja 4 - Cálculo'!$B$16,"Satisfactorio","Falla")</f>
        <v>Satisfactorio</v>
      </c>
      <c r="R2393" s="14">
        <f t="shared" si="554"/>
        <v>0</v>
      </c>
      <c r="S2393" s="14">
        <f t="shared" si="555"/>
        <v>0</v>
      </c>
    </row>
    <row r="2394" spans="1:19">
      <c r="A2394" s="14" t="str">
        <f t="shared" si="551"/>
        <v>CFG-2</v>
      </c>
      <c r="B2394" s="15">
        <f>'Curvas SRY'!$E$11</f>
        <v>5</v>
      </c>
      <c r="C2394" s="15">
        <f>1</f>
        <v>1</v>
      </c>
      <c r="D2394" s="14" t="str">
        <f t="shared" si="552"/>
        <v>Uso múltiple</v>
      </c>
      <c r="E2394" s="14">
        <f>111</f>
        <v>111</v>
      </c>
      <c r="F2394" s="21">
        <f>'Hoja 4 - Cálculo'!A135</f>
        <v>32933</v>
      </c>
      <c r="G2394" s="15">
        <f>'Hoja 4 - Cálculo'!H135</f>
        <v>18.838125000000002</v>
      </c>
      <c r="H2394" s="15">
        <f>IF(D2394="Uso único",'Hoja 4 - Cálculo'!I135,IF(D2394="Uso múltiple",AVERAGE('Hoja 4 - Cálculo'!$I$25:$I$384)+AVERAGE('Hoja 4 - Cálculo'!$J$25:$J$384)+AVERAGE('Hoja 4 - Cálculo'!$K$25:$K$384),IF(D2394="Uso prioritario",'Hoja 4 - Cálculo'!I135+'Hoja 4 - Cálculo'!K135,'Hoja 4 - Cálculo'!I135+'Hoja 4 - Cálculo'!J135+'Hoja 4 - Cálculo'!K135)))</f>
        <v>13.75</v>
      </c>
      <c r="I2394" s="15">
        <f t="shared" si="545"/>
        <v>13.75</v>
      </c>
      <c r="J2394" s="15">
        <f t="shared" si="553"/>
        <v>1.8811494499999988</v>
      </c>
      <c r="K2394" s="15">
        <f>MIN(J2394+G2394,(J2394+G2394)*'Hoja 4 - Cálculo'!$B$15)</f>
        <v>0.414385489</v>
      </c>
      <c r="L2394" s="15">
        <f t="shared" si="546"/>
        <v>20.304888961</v>
      </c>
      <c r="M2394" s="15">
        <f t="shared" si="547"/>
        <v>13.75</v>
      </c>
      <c r="N2394" s="15">
        <f t="shared" si="548"/>
        <v>5</v>
      </c>
      <c r="O2394" s="15">
        <f t="shared" si="549"/>
        <v>1.5548889609999996</v>
      </c>
      <c r="P2394" s="15">
        <f t="shared" si="550"/>
        <v>0</v>
      </c>
      <c r="Q2394" s="14" t="str">
        <f>IF(M2394&gt;=I2394*'Hoja 4 - Cálculo'!$B$16,"Satisfactorio","Falla")</f>
        <v>Satisfactorio</v>
      </c>
      <c r="R2394" s="14">
        <f t="shared" si="554"/>
        <v>0</v>
      </c>
      <c r="S2394" s="14">
        <f t="shared" si="555"/>
        <v>0</v>
      </c>
    </row>
    <row r="2395" spans="1:19">
      <c r="A2395" s="14" t="str">
        <f t="shared" si="551"/>
        <v>CFG-2</v>
      </c>
      <c r="B2395" s="15">
        <f>'Curvas SRY'!$E$11</f>
        <v>5</v>
      </c>
      <c r="C2395" s="15">
        <f>1</f>
        <v>1</v>
      </c>
      <c r="D2395" s="14" t="str">
        <f t="shared" si="552"/>
        <v>Uso múltiple</v>
      </c>
      <c r="E2395" s="14">
        <f>112</f>
        <v>112</v>
      </c>
      <c r="F2395" s="21">
        <f>'Hoja 4 - Cálculo'!A136</f>
        <v>32964</v>
      </c>
      <c r="G2395" s="15">
        <f>'Hoja 4 - Cálculo'!H136</f>
        <v>28.611000000000001</v>
      </c>
      <c r="H2395" s="15">
        <f>IF(D2395="Uso único",'Hoja 4 - Cálculo'!I136,IF(D2395="Uso múltiple",AVERAGE('Hoja 4 - Cálculo'!$I$25:$I$384)+AVERAGE('Hoja 4 - Cálculo'!$J$25:$J$384)+AVERAGE('Hoja 4 - Cálculo'!$K$25:$K$384),IF(D2395="Uso prioritario",'Hoja 4 - Cálculo'!I136+'Hoja 4 - Cálculo'!K136,'Hoja 4 - Cálculo'!I136+'Hoja 4 - Cálculo'!J136+'Hoja 4 - Cálculo'!K136)))</f>
        <v>13.75</v>
      </c>
      <c r="I2395" s="15">
        <f t="shared" si="545"/>
        <v>13.75</v>
      </c>
      <c r="J2395" s="15">
        <f t="shared" si="553"/>
        <v>5</v>
      </c>
      <c r="K2395" s="15">
        <f>MIN(J2395+G2395,(J2395+G2395)*'Hoja 4 - Cálculo'!$B$15)</f>
        <v>0.67222000000000015</v>
      </c>
      <c r="L2395" s="15">
        <f t="shared" si="546"/>
        <v>32.938780000000001</v>
      </c>
      <c r="M2395" s="15">
        <f t="shared" si="547"/>
        <v>13.75</v>
      </c>
      <c r="N2395" s="15">
        <f t="shared" si="548"/>
        <v>5</v>
      </c>
      <c r="O2395" s="15">
        <f t="shared" si="549"/>
        <v>14.188780000000001</v>
      </c>
      <c r="P2395" s="15">
        <f t="shared" si="550"/>
        <v>0</v>
      </c>
      <c r="Q2395" s="14" t="str">
        <f>IF(M2395&gt;=I2395*'Hoja 4 - Cálculo'!$B$16,"Satisfactorio","Falla")</f>
        <v>Satisfactorio</v>
      </c>
      <c r="R2395" s="14">
        <f t="shared" si="554"/>
        <v>0</v>
      </c>
      <c r="S2395" s="14">
        <f t="shared" si="555"/>
        <v>0</v>
      </c>
    </row>
    <row r="2396" spans="1:19">
      <c r="A2396" s="14" t="str">
        <f t="shared" si="551"/>
        <v>CFG-2</v>
      </c>
      <c r="B2396" s="15">
        <f>'Curvas SRY'!$E$11</f>
        <v>5</v>
      </c>
      <c r="C2396" s="15">
        <f>1</f>
        <v>1</v>
      </c>
      <c r="D2396" s="14" t="str">
        <f t="shared" si="552"/>
        <v>Uso múltiple</v>
      </c>
      <c r="E2396" s="14">
        <f>113</f>
        <v>113</v>
      </c>
      <c r="F2396" s="21">
        <f>'Hoja 4 - Cálculo'!A137</f>
        <v>32994</v>
      </c>
      <c r="G2396" s="15">
        <f>'Hoja 4 - Cálculo'!H137</f>
        <v>23.52375</v>
      </c>
      <c r="H2396" s="15">
        <f>IF(D2396="Uso único",'Hoja 4 - Cálculo'!I137,IF(D2396="Uso múltiple",AVERAGE('Hoja 4 - Cálculo'!$I$25:$I$384)+AVERAGE('Hoja 4 - Cálculo'!$J$25:$J$384)+AVERAGE('Hoja 4 - Cálculo'!$K$25:$K$384),IF(D2396="Uso prioritario",'Hoja 4 - Cálculo'!I137+'Hoja 4 - Cálculo'!K137,'Hoja 4 - Cálculo'!I137+'Hoja 4 - Cálculo'!J137+'Hoja 4 - Cálculo'!K137)))</f>
        <v>13.75</v>
      </c>
      <c r="I2396" s="15">
        <f t="shared" si="545"/>
        <v>13.75</v>
      </c>
      <c r="J2396" s="15">
        <f t="shared" si="553"/>
        <v>5</v>
      </c>
      <c r="K2396" s="15">
        <f>MIN(J2396+G2396,(J2396+G2396)*'Hoja 4 - Cálculo'!$B$15)</f>
        <v>0.57047499999999995</v>
      </c>
      <c r="L2396" s="15">
        <f t="shared" si="546"/>
        <v>27.953275000000001</v>
      </c>
      <c r="M2396" s="15">
        <f t="shared" si="547"/>
        <v>13.75</v>
      </c>
      <c r="N2396" s="15">
        <f t="shared" si="548"/>
        <v>5</v>
      </c>
      <c r="O2396" s="15">
        <f t="shared" si="549"/>
        <v>9.2032750000000014</v>
      </c>
      <c r="P2396" s="15">
        <f t="shared" si="550"/>
        <v>0</v>
      </c>
      <c r="Q2396" s="14" t="str">
        <f>IF(M2396&gt;=I2396*'Hoja 4 - Cálculo'!$B$16,"Satisfactorio","Falla")</f>
        <v>Satisfactorio</v>
      </c>
      <c r="R2396" s="14">
        <f t="shared" si="554"/>
        <v>0</v>
      </c>
      <c r="S2396" s="14">
        <f t="shared" si="555"/>
        <v>0</v>
      </c>
    </row>
    <row r="2397" spans="1:19">
      <c r="A2397" s="14" t="str">
        <f t="shared" si="551"/>
        <v>CFG-2</v>
      </c>
      <c r="B2397" s="15">
        <f>'Curvas SRY'!$E$11</f>
        <v>5</v>
      </c>
      <c r="C2397" s="15">
        <f>1</f>
        <v>1</v>
      </c>
      <c r="D2397" s="14" t="str">
        <f t="shared" si="552"/>
        <v>Uso múltiple</v>
      </c>
      <c r="E2397" s="14">
        <f>114</f>
        <v>114</v>
      </c>
      <c r="F2397" s="21">
        <f>'Hoja 4 - Cálculo'!A138</f>
        <v>33025</v>
      </c>
      <c r="G2397" s="15">
        <f>'Hoja 4 - Cálculo'!H138</f>
        <v>15.529500000000001</v>
      </c>
      <c r="H2397" s="15">
        <f>IF(D2397="Uso único",'Hoja 4 - Cálculo'!I138,IF(D2397="Uso múltiple",AVERAGE('Hoja 4 - Cálculo'!$I$25:$I$384)+AVERAGE('Hoja 4 - Cálculo'!$J$25:$J$384)+AVERAGE('Hoja 4 - Cálculo'!$K$25:$K$384),IF(D2397="Uso prioritario",'Hoja 4 - Cálculo'!I138+'Hoja 4 - Cálculo'!K138,'Hoja 4 - Cálculo'!I138+'Hoja 4 - Cálculo'!J138+'Hoja 4 - Cálculo'!K138)))</f>
        <v>13.75</v>
      </c>
      <c r="I2397" s="15">
        <f t="shared" si="545"/>
        <v>13.75</v>
      </c>
      <c r="J2397" s="15">
        <f t="shared" si="553"/>
        <v>5</v>
      </c>
      <c r="K2397" s="15">
        <f>MIN(J2397+G2397,(J2397+G2397)*'Hoja 4 - Cálculo'!$B$15)</f>
        <v>0.41059000000000001</v>
      </c>
      <c r="L2397" s="15">
        <f t="shared" si="546"/>
        <v>20.11891</v>
      </c>
      <c r="M2397" s="15">
        <f t="shared" si="547"/>
        <v>13.75</v>
      </c>
      <c r="N2397" s="15">
        <f t="shared" si="548"/>
        <v>5</v>
      </c>
      <c r="O2397" s="15">
        <f t="shared" si="549"/>
        <v>1.3689099999999996</v>
      </c>
      <c r="P2397" s="15">
        <f t="shared" si="550"/>
        <v>0</v>
      </c>
      <c r="Q2397" s="14" t="str">
        <f>IF(M2397&gt;=I2397*'Hoja 4 - Cálculo'!$B$16,"Satisfactorio","Falla")</f>
        <v>Satisfactorio</v>
      </c>
      <c r="R2397" s="14">
        <f t="shared" si="554"/>
        <v>0</v>
      </c>
      <c r="S2397" s="14">
        <f t="shared" si="555"/>
        <v>0</v>
      </c>
    </row>
    <row r="2398" spans="1:19">
      <c r="A2398" s="14" t="str">
        <f t="shared" si="551"/>
        <v>CFG-2</v>
      </c>
      <c r="B2398" s="15">
        <f>'Curvas SRY'!$E$11</f>
        <v>5</v>
      </c>
      <c r="C2398" s="15">
        <f>1</f>
        <v>1</v>
      </c>
      <c r="D2398" s="14" t="str">
        <f t="shared" si="552"/>
        <v>Uso múltiple</v>
      </c>
      <c r="E2398" s="14">
        <f>115</f>
        <v>115</v>
      </c>
      <c r="F2398" s="21">
        <f>'Hoja 4 - Cálculo'!A139</f>
        <v>33055</v>
      </c>
      <c r="G2398" s="15">
        <f>'Hoja 4 - Cálculo'!H139</f>
        <v>12.201750000000001</v>
      </c>
      <c r="H2398" s="15">
        <f>IF(D2398="Uso único",'Hoja 4 - Cálculo'!I139,IF(D2398="Uso múltiple",AVERAGE('Hoja 4 - Cálculo'!$I$25:$I$384)+AVERAGE('Hoja 4 - Cálculo'!$J$25:$J$384)+AVERAGE('Hoja 4 - Cálculo'!$K$25:$K$384),IF(D2398="Uso prioritario",'Hoja 4 - Cálculo'!I139+'Hoja 4 - Cálculo'!K139,'Hoja 4 - Cálculo'!I139+'Hoja 4 - Cálculo'!J139+'Hoja 4 - Cálculo'!K139)))</f>
        <v>13.75</v>
      </c>
      <c r="I2398" s="15">
        <f t="shared" si="545"/>
        <v>13.75</v>
      </c>
      <c r="J2398" s="15">
        <f t="shared" si="553"/>
        <v>5</v>
      </c>
      <c r="K2398" s="15">
        <f>MIN(J2398+G2398,(J2398+G2398)*'Hoja 4 - Cálculo'!$B$15)</f>
        <v>0.34403500000000004</v>
      </c>
      <c r="L2398" s="15">
        <f t="shared" si="546"/>
        <v>16.857714999999999</v>
      </c>
      <c r="M2398" s="15">
        <f t="shared" si="547"/>
        <v>13.75</v>
      </c>
      <c r="N2398" s="15">
        <f t="shared" si="548"/>
        <v>3.1077149999999989</v>
      </c>
      <c r="O2398" s="15">
        <f t="shared" si="549"/>
        <v>0</v>
      </c>
      <c r="P2398" s="15">
        <f t="shared" si="550"/>
        <v>0</v>
      </c>
      <c r="Q2398" s="14" t="str">
        <f>IF(M2398&gt;=I2398*'Hoja 4 - Cálculo'!$B$16,"Satisfactorio","Falla")</f>
        <v>Satisfactorio</v>
      </c>
      <c r="R2398" s="14">
        <f t="shared" si="554"/>
        <v>0</v>
      </c>
      <c r="S2398" s="14">
        <f t="shared" si="555"/>
        <v>0</v>
      </c>
    </row>
    <row r="2399" spans="1:19">
      <c r="A2399" s="14" t="str">
        <f t="shared" si="551"/>
        <v>CFG-2</v>
      </c>
      <c r="B2399" s="15">
        <f>'Curvas SRY'!$E$11</f>
        <v>5</v>
      </c>
      <c r="C2399" s="15">
        <f>1</f>
        <v>1</v>
      </c>
      <c r="D2399" s="14" t="str">
        <f t="shared" si="552"/>
        <v>Uso múltiple</v>
      </c>
      <c r="E2399" s="14">
        <f>116</f>
        <v>116</v>
      </c>
      <c r="F2399" s="21">
        <f>'Hoja 4 - Cálculo'!A140</f>
        <v>33086</v>
      </c>
      <c r="G2399" s="15">
        <f>'Hoja 4 - Cálculo'!H140</f>
        <v>13.04325</v>
      </c>
      <c r="H2399" s="15">
        <f>IF(D2399="Uso único",'Hoja 4 - Cálculo'!I140,IF(D2399="Uso múltiple",AVERAGE('Hoja 4 - Cálculo'!$I$25:$I$384)+AVERAGE('Hoja 4 - Cálculo'!$J$25:$J$384)+AVERAGE('Hoja 4 - Cálculo'!$K$25:$K$384),IF(D2399="Uso prioritario",'Hoja 4 - Cálculo'!I140+'Hoja 4 - Cálculo'!K140,'Hoja 4 - Cálculo'!I140+'Hoja 4 - Cálculo'!J140+'Hoja 4 - Cálculo'!K140)))</f>
        <v>13.75</v>
      </c>
      <c r="I2399" s="15">
        <f t="shared" si="545"/>
        <v>13.75</v>
      </c>
      <c r="J2399" s="15">
        <f t="shared" si="553"/>
        <v>3.1077149999999989</v>
      </c>
      <c r="K2399" s="15">
        <f>MIN(J2399+G2399,(J2399+G2399)*'Hoja 4 - Cálculo'!$B$15)</f>
        <v>0.32301930000000001</v>
      </c>
      <c r="L2399" s="15">
        <f t="shared" si="546"/>
        <v>15.827945699999999</v>
      </c>
      <c r="M2399" s="15">
        <f t="shared" si="547"/>
        <v>13.75</v>
      </c>
      <c r="N2399" s="15">
        <f t="shared" si="548"/>
        <v>2.077945699999999</v>
      </c>
      <c r="O2399" s="15">
        <f t="shared" si="549"/>
        <v>0</v>
      </c>
      <c r="P2399" s="15">
        <f t="shared" si="550"/>
        <v>0</v>
      </c>
      <c r="Q2399" s="14" t="str">
        <f>IF(M2399&gt;=I2399*'Hoja 4 - Cálculo'!$B$16,"Satisfactorio","Falla")</f>
        <v>Satisfactorio</v>
      </c>
      <c r="R2399" s="14">
        <f t="shared" si="554"/>
        <v>0</v>
      </c>
      <c r="S2399" s="14">
        <f t="shared" si="555"/>
        <v>0</v>
      </c>
    </row>
    <row r="2400" spans="1:19">
      <c r="A2400" s="14" t="str">
        <f t="shared" si="551"/>
        <v>CFG-2</v>
      </c>
      <c r="B2400" s="15">
        <f>'Curvas SRY'!$E$11</f>
        <v>5</v>
      </c>
      <c r="C2400" s="15">
        <f>1</f>
        <v>1</v>
      </c>
      <c r="D2400" s="14" t="str">
        <f t="shared" si="552"/>
        <v>Uso múltiple</v>
      </c>
      <c r="E2400" s="14">
        <f>117</f>
        <v>117</v>
      </c>
      <c r="F2400" s="21">
        <f>'Hoja 4 - Cálculo'!A141</f>
        <v>33117</v>
      </c>
      <c r="G2400" s="15">
        <f>'Hoja 4 - Cálculo'!H141</f>
        <v>21.974625</v>
      </c>
      <c r="H2400" s="15">
        <f>IF(D2400="Uso único",'Hoja 4 - Cálculo'!I141,IF(D2400="Uso múltiple",AVERAGE('Hoja 4 - Cálculo'!$I$25:$I$384)+AVERAGE('Hoja 4 - Cálculo'!$J$25:$J$384)+AVERAGE('Hoja 4 - Cálculo'!$K$25:$K$384),IF(D2400="Uso prioritario",'Hoja 4 - Cálculo'!I141+'Hoja 4 - Cálculo'!K141,'Hoja 4 - Cálculo'!I141+'Hoja 4 - Cálculo'!J141+'Hoja 4 - Cálculo'!K141)))</f>
        <v>13.75</v>
      </c>
      <c r="I2400" s="15">
        <f t="shared" si="545"/>
        <v>13.75</v>
      </c>
      <c r="J2400" s="15">
        <f t="shared" si="553"/>
        <v>2.077945699999999</v>
      </c>
      <c r="K2400" s="15">
        <f>MIN(J2400+G2400,(J2400+G2400)*'Hoja 4 - Cálculo'!$B$15)</f>
        <v>0.48105141399999995</v>
      </c>
      <c r="L2400" s="15">
        <f t="shared" si="546"/>
        <v>23.571519285999997</v>
      </c>
      <c r="M2400" s="15">
        <f t="shared" si="547"/>
        <v>13.75</v>
      </c>
      <c r="N2400" s="15">
        <f t="shared" si="548"/>
        <v>5</v>
      </c>
      <c r="O2400" s="15">
        <f t="shared" si="549"/>
        <v>4.8215192859999974</v>
      </c>
      <c r="P2400" s="15">
        <f t="shared" si="550"/>
        <v>0</v>
      </c>
      <c r="Q2400" s="14" t="str">
        <f>IF(M2400&gt;=I2400*'Hoja 4 - Cálculo'!$B$16,"Satisfactorio","Falla")</f>
        <v>Satisfactorio</v>
      </c>
      <c r="R2400" s="14">
        <f t="shared" si="554"/>
        <v>0</v>
      </c>
      <c r="S2400" s="14">
        <f t="shared" si="555"/>
        <v>0</v>
      </c>
    </row>
    <row r="2401" spans="1:19">
      <c r="A2401" s="14" t="str">
        <f t="shared" si="551"/>
        <v>CFG-2</v>
      </c>
      <c r="B2401" s="15">
        <f>'Curvas SRY'!$E$11</f>
        <v>5</v>
      </c>
      <c r="C2401" s="15">
        <f>1</f>
        <v>1</v>
      </c>
      <c r="D2401" s="14" t="str">
        <f t="shared" si="552"/>
        <v>Uso múltiple</v>
      </c>
      <c r="E2401" s="14">
        <f>118</f>
        <v>118</v>
      </c>
      <c r="F2401" s="21">
        <f>'Hoja 4 - Cálculo'!A142</f>
        <v>33147</v>
      </c>
      <c r="G2401" s="15">
        <f>'Hoja 4 - Cálculo'!H142</f>
        <v>26.870625</v>
      </c>
      <c r="H2401" s="15">
        <f>IF(D2401="Uso único",'Hoja 4 - Cálculo'!I142,IF(D2401="Uso múltiple",AVERAGE('Hoja 4 - Cálculo'!$I$25:$I$384)+AVERAGE('Hoja 4 - Cálculo'!$J$25:$J$384)+AVERAGE('Hoja 4 - Cálculo'!$K$25:$K$384),IF(D2401="Uso prioritario",'Hoja 4 - Cálculo'!I142+'Hoja 4 - Cálculo'!K142,'Hoja 4 - Cálculo'!I142+'Hoja 4 - Cálculo'!J142+'Hoja 4 - Cálculo'!K142)))</f>
        <v>13.75</v>
      </c>
      <c r="I2401" s="15">
        <f t="shared" si="545"/>
        <v>13.75</v>
      </c>
      <c r="J2401" s="15">
        <f t="shared" si="553"/>
        <v>5</v>
      </c>
      <c r="K2401" s="15">
        <f>MIN(J2401+G2401,(J2401+G2401)*'Hoja 4 - Cálculo'!$B$15)</f>
        <v>0.63741250000000005</v>
      </c>
      <c r="L2401" s="15">
        <f t="shared" si="546"/>
        <v>31.2332125</v>
      </c>
      <c r="M2401" s="15">
        <f t="shared" si="547"/>
        <v>13.75</v>
      </c>
      <c r="N2401" s="15">
        <f t="shared" si="548"/>
        <v>5</v>
      </c>
      <c r="O2401" s="15">
        <f t="shared" si="549"/>
        <v>12.4832125</v>
      </c>
      <c r="P2401" s="15">
        <f t="shared" si="550"/>
        <v>0</v>
      </c>
      <c r="Q2401" s="14" t="str">
        <f>IF(M2401&gt;=I2401*'Hoja 4 - Cálculo'!$B$16,"Satisfactorio","Falla")</f>
        <v>Satisfactorio</v>
      </c>
      <c r="R2401" s="14">
        <f t="shared" si="554"/>
        <v>0</v>
      </c>
      <c r="S2401" s="14">
        <f t="shared" si="555"/>
        <v>0</v>
      </c>
    </row>
    <row r="2402" spans="1:19">
      <c r="A2402" s="14" t="str">
        <f t="shared" si="551"/>
        <v>CFG-2</v>
      </c>
      <c r="B2402" s="15">
        <f>'Curvas SRY'!$E$11</f>
        <v>5</v>
      </c>
      <c r="C2402" s="15">
        <f>1</f>
        <v>1</v>
      </c>
      <c r="D2402" s="14" t="str">
        <f t="shared" si="552"/>
        <v>Uso múltiple</v>
      </c>
      <c r="E2402" s="14">
        <f>119</f>
        <v>119</v>
      </c>
      <c r="F2402" s="21">
        <f>'Hoja 4 - Cálculo'!A143</f>
        <v>33178</v>
      </c>
      <c r="G2402" s="15">
        <f>'Hoja 4 - Cálculo'!H143</f>
        <v>24.881625</v>
      </c>
      <c r="H2402" s="15">
        <f>IF(D2402="Uso único",'Hoja 4 - Cálculo'!I143,IF(D2402="Uso múltiple",AVERAGE('Hoja 4 - Cálculo'!$I$25:$I$384)+AVERAGE('Hoja 4 - Cálculo'!$J$25:$J$384)+AVERAGE('Hoja 4 - Cálculo'!$K$25:$K$384),IF(D2402="Uso prioritario",'Hoja 4 - Cálculo'!I143+'Hoja 4 - Cálculo'!K143,'Hoja 4 - Cálculo'!I143+'Hoja 4 - Cálculo'!J143+'Hoja 4 - Cálculo'!K143)))</f>
        <v>13.75</v>
      </c>
      <c r="I2402" s="15">
        <f t="shared" si="545"/>
        <v>13.75</v>
      </c>
      <c r="J2402" s="15">
        <f t="shared" si="553"/>
        <v>5</v>
      </c>
      <c r="K2402" s="15">
        <f>MIN(J2402+G2402,(J2402+G2402)*'Hoja 4 - Cálculo'!$B$15)</f>
        <v>0.59763250000000001</v>
      </c>
      <c r="L2402" s="15">
        <f t="shared" si="546"/>
        <v>29.2839925</v>
      </c>
      <c r="M2402" s="15">
        <f t="shared" si="547"/>
        <v>13.75</v>
      </c>
      <c r="N2402" s="15">
        <f t="shared" si="548"/>
        <v>5</v>
      </c>
      <c r="O2402" s="15">
        <f t="shared" si="549"/>
        <v>10.5339925</v>
      </c>
      <c r="P2402" s="15">
        <f t="shared" si="550"/>
        <v>0</v>
      </c>
      <c r="Q2402" s="14" t="str">
        <f>IF(M2402&gt;=I2402*'Hoja 4 - Cálculo'!$B$16,"Satisfactorio","Falla")</f>
        <v>Satisfactorio</v>
      </c>
      <c r="R2402" s="14">
        <f t="shared" si="554"/>
        <v>0</v>
      </c>
      <c r="S2402" s="14">
        <f t="shared" si="555"/>
        <v>0</v>
      </c>
    </row>
    <row r="2403" spans="1:19">
      <c r="A2403" s="14" t="str">
        <f t="shared" si="551"/>
        <v>CFG-2</v>
      </c>
      <c r="B2403" s="15">
        <f>'Curvas SRY'!$E$11</f>
        <v>5</v>
      </c>
      <c r="C2403" s="15">
        <f>1</f>
        <v>1</v>
      </c>
      <c r="D2403" s="14" t="str">
        <f t="shared" si="552"/>
        <v>Uso múltiple</v>
      </c>
      <c r="E2403" s="14">
        <f>120</f>
        <v>120</v>
      </c>
      <c r="F2403" s="21">
        <f>'Hoja 4 - Cálculo'!A144</f>
        <v>33208</v>
      </c>
      <c r="G2403" s="15">
        <f>'Hoja 4 - Cálculo'!H144</f>
        <v>13.73175</v>
      </c>
      <c r="H2403" s="15">
        <f>IF(D2403="Uso único",'Hoja 4 - Cálculo'!I144,IF(D2403="Uso múltiple",AVERAGE('Hoja 4 - Cálculo'!$I$25:$I$384)+AVERAGE('Hoja 4 - Cálculo'!$J$25:$J$384)+AVERAGE('Hoja 4 - Cálculo'!$K$25:$K$384),IF(D2403="Uso prioritario",'Hoja 4 - Cálculo'!I144+'Hoja 4 - Cálculo'!K144,'Hoja 4 - Cálculo'!I144+'Hoja 4 - Cálculo'!J144+'Hoja 4 - Cálculo'!K144)))</f>
        <v>13.75</v>
      </c>
      <c r="I2403" s="15">
        <f t="shared" si="545"/>
        <v>13.75</v>
      </c>
      <c r="J2403" s="15">
        <f t="shared" si="553"/>
        <v>5</v>
      </c>
      <c r="K2403" s="15">
        <f>MIN(J2403+G2403,(J2403+G2403)*'Hoja 4 - Cálculo'!$B$15)</f>
        <v>0.374635</v>
      </c>
      <c r="L2403" s="15">
        <f t="shared" si="546"/>
        <v>18.357114999999997</v>
      </c>
      <c r="M2403" s="15">
        <f t="shared" si="547"/>
        <v>13.75</v>
      </c>
      <c r="N2403" s="15">
        <f t="shared" si="548"/>
        <v>4.6071149999999967</v>
      </c>
      <c r="O2403" s="15">
        <f t="shared" si="549"/>
        <v>0</v>
      </c>
      <c r="P2403" s="15">
        <f t="shared" si="550"/>
        <v>0</v>
      </c>
      <c r="Q2403" s="14" t="str">
        <f>IF(M2403&gt;=I2403*'Hoja 4 - Cálculo'!$B$16,"Satisfactorio","Falla")</f>
        <v>Satisfactorio</v>
      </c>
      <c r="R2403" s="14">
        <f t="shared" si="554"/>
        <v>0</v>
      </c>
      <c r="S2403" s="14">
        <f t="shared" si="555"/>
        <v>0</v>
      </c>
    </row>
    <row r="2404" spans="1:19">
      <c r="A2404" s="14" t="str">
        <f t="shared" ref="A2404:A2435" si="556">"CFG-3"</f>
        <v>CFG-3</v>
      </c>
      <c r="B2404" s="15">
        <f>'Curvas SRY'!$E$11</f>
        <v>5</v>
      </c>
      <c r="C2404" s="15">
        <f>1</f>
        <v>1</v>
      </c>
      <c r="D2404" s="14" t="str">
        <f t="shared" ref="D2404:D2435" si="557">"Uso prioritario"</f>
        <v>Uso prioritario</v>
      </c>
      <c r="E2404" s="14">
        <f>1</f>
        <v>1</v>
      </c>
      <c r="F2404" s="21">
        <f>'Hoja 4 - Cálculo'!A25</f>
        <v>29587</v>
      </c>
      <c r="G2404" s="15">
        <f>'Hoja 4 - Cálculo'!H25</f>
        <v>12.852</v>
      </c>
      <c r="H2404" s="15">
        <f>IF(D2404="Uso único",'Hoja 4 - Cálculo'!I25,IF(D2404="Uso múltiple",AVERAGE('Hoja 4 - Cálculo'!$I$25:$I$384)+AVERAGE('Hoja 4 - Cálculo'!$J$25:$J$384)+AVERAGE('Hoja 4 - Cálculo'!$K$25:$K$384),IF(D2404="Uso prioritario",'Hoja 4 - Cálculo'!I25+'Hoja 4 - Cálculo'!K25,'Hoja 4 - Cálculo'!I25+'Hoja 4 - Cálculo'!J25+'Hoja 4 - Cálculo'!K25)))</f>
        <v>10</v>
      </c>
      <c r="I2404" s="15">
        <f t="shared" si="545"/>
        <v>10</v>
      </c>
      <c r="J2404" s="15">
        <f>0</f>
        <v>0</v>
      </c>
      <c r="K2404" s="15">
        <f>MIN(J2404+G2404,(J2404+G2404)*'Hoja 4 - Cálculo'!$B$15)</f>
        <v>0.25703999999999999</v>
      </c>
      <c r="L2404" s="15">
        <f t="shared" si="546"/>
        <v>12.59496</v>
      </c>
      <c r="M2404" s="15">
        <f t="shared" si="547"/>
        <v>10</v>
      </c>
      <c r="N2404" s="15">
        <f t="shared" si="548"/>
        <v>2.5949600000000004</v>
      </c>
      <c r="O2404" s="15">
        <f t="shared" si="549"/>
        <v>0</v>
      </c>
      <c r="P2404" s="15">
        <f t="shared" si="550"/>
        <v>0</v>
      </c>
      <c r="Q2404" s="14" t="str">
        <f>IF(M2404&gt;=I2404*'Hoja 4 - Cálculo'!$B$16,"Satisfactorio","Falla")</f>
        <v>Satisfactorio</v>
      </c>
      <c r="R2404" s="14">
        <f>0</f>
        <v>0</v>
      </c>
      <c r="S2404" s="14">
        <f>IF(Q2404="Falla",1,0)</f>
        <v>0</v>
      </c>
    </row>
    <row r="2405" spans="1:19">
      <c r="A2405" s="14" t="str">
        <f t="shared" si="556"/>
        <v>CFG-3</v>
      </c>
      <c r="B2405" s="15">
        <f>'Curvas SRY'!$E$11</f>
        <v>5</v>
      </c>
      <c r="C2405" s="15">
        <f>1</f>
        <v>1</v>
      </c>
      <c r="D2405" s="14" t="str">
        <f t="shared" si="557"/>
        <v>Uso prioritario</v>
      </c>
      <c r="E2405" s="14">
        <f>2</f>
        <v>2</v>
      </c>
      <c r="F2405" s="21">
        <f>'Hoja 4 - Cálculo'!A26</f>
        <v>29618</v>
      </c>
      <c r="G2405" s="15">
        <f>'Hoja 4 - Cálculo'!H26</f>
        <v>14.630625</v>
      </c>
      <c r="H2405" s="15">
        <f>IF(D2405="Uso único",'Hoja 4 - Cálculo'!I26,IF(D2405="Uso múltiple",AVERAGE('Hoja 4 - Cálculo'!$I$25:$I$384)+AVERAGE('Hoja 4 - Cálculo'!$J$25:$J$384)+AVERAGE('Hoja 4 - Cálculo'!$K$25:$K$384),IF(D2405="Uso prioritario",'Hoja 4 - Cálculo'!I26+'Hoja 4 - Cálculo'!K26,'Hoja 4 - Cálculo'!I26+'Hoja 4 - Cálculo'!J26+'Hoja 4 - Cálculo'!K26)))</f>
        <v>10</v>
      </c>
      <c r="I2405" s="15">
        <f t="shared" si="545"/>
        <v>10</v>
      </c>
      <c r="J2405" s="15">
        <f t="shared" ref="J2405:J2436" si="558">N2404</f>
        <v>2.5949600000000004</v>
      </c>
      <c r="K2405" s="15">
        <f>MIN(J2405+G2405,(J2405+G2405)*'Hoja 4 - Cálculo'!$B$15)</f>
        <v>0.34451170000000003</v>
      </c>
      <c r="L2405" s="15">
        <f t="shared" si="546"/>
        <v>16.881073300000001</v>
      </c>
      <c r="M2405" s="15">
        <f t="shared" si="547"/>
        <v>10</v>
      </c>
      <c r="N2405" s="15">
        <f t="shared" si="548"/>
        <v>5</v>
      </c>
      <c r="O2405" s="15">
        <f t="shared" si="549"/>
        <v>1.8810733000000006</v>
      </c>
      <c r="P2405" s="15">
        <f t="shared" si="550"/>
        <v>0</v>
      </c>
      <c r="Q2405" s="14" t="str">
        <f>IF(M2405&gt;=I2405*'Hoja 4 - Cálculo'!$B$16,"Satisfactorio","Falla")</f>
        <v>Satisfactorio</v>
      </c>
      <c r="R2405" s="14">
        <f t="shared" ref="R2405:R2436" si="559">IF(AND(Q2404="Falla",Q2405="Satisfactorio"),1,0)</f>
        <v>0</v>
      </c>
      <c r="S2405" s="14">
        <f t="shared" ref="S2405:S2436" si="560">IF(AND(Q2405="Falla",Q2404&lt;&gt;"Falla"),1,0)</f>
        <v>0</v>
      </c>
    </row>
    <row r="2406" spans="1:19">
      <c r="A2406" s="14" t="str">
        <f t="shared" si="556"/>
        <v>CFG-3</v>
      </c>
      <c r="B2406" s="15">
        <f>'Curvas SRY'!$E$11</f>
        <v>5</v>
      </c>
      <c r="C2406" s="15">
        <f>1</f>
        <v>1</v>
      </c>
      <c r="D2406" s="14" t="str">
        <f t="shared" si="557"/>
        <v>Uso prioritario</v>
      </c>
      <c r="E2406" s="14">
        <f>3</f>
        <v>3</v>
      </c>
      <c r="F2406" s="21">
        <f>'Hoja 4 - Cálculo'!A27</f>
        <v>29646</v>
      </c>
      <c r="G2406" s="15">
        <f>'Hoja 4 - Cálculo'!H27</f>
        <v>21.114000000000001</v>
      </c>
      <c r="H2406" s="15">
        <f>IF(D2406="Uso único",'Hoja 4 - Cálculo'!I27,IF(D2406="Uso múltiple",AVERAGE('Hoja 4 - Cálculo'!$I$25:$I$384)+AVERAGE('Hoja 4 - Cálculo'!$J$25:$J$384)+AVERAGE('Hoja 4 - Cálculo'!$K$25:$K$384),IF(D2406="Uso prioritario",'Hoja 4 - Cálculo'!I27+'Hoja 4 - Cálculo'!K27,'Hoja 4 - Cálculo'!I27+'Hoja 4 - Cálculo'!J27+'Hoja 4 - Cálculo'!K27)))</f>
        <v>10</v>
      </c>
      <c r="I2406" s="15">
        <f t="shared" si="545"/>
        <v>10</v>
      </c>
      <c r="J2406" s="15">
        <f t="shared" si="558"/>
        <v>5</v>
      </c>
      <c r="K2406" s="15">
        <f>MIN(J2406+G2406,(J2406+G2406)*'Hoja 4 - Cálculo'!$B$15)</f>
        <v>0.52228000000000008</v>
      </c>
      <c r="L2406" s="15">
        <f t="shared" si="546"/>
        <v>25.591720000000002</v>
      </c>
      <c r="M2406" s="15">
        <f t="shared" si="547"/>
        <v>10</v>
      </c>
      <c r="N2406" s="15">
        <f t="shared" si="548"/>
        <v>5</v>
      </c>
      <c r="O2406" s="15">
        <f t="shared" si="549"/>
        <v>10.591720000000002</v>
      </c>
      <c r="P2406" s="15">
        <f t="shared" si="550"/>
        <v>0</v>
      </c>
      <c r="Q2406" s="14" t="str">
        <f>IF(M2406&gt;=I2406*'Hoja 4 - Cálculo'!$B$16,"Satisfactorio","Falla")</f>
        <v>Satisfactorio</v>
      </c>
      <c r="R2406" s="14">
        <f t="shared" si="559"/>
        <v>0</v>
      </c>
      <c r="S2406" s="14">
        <f t="shared" si="560"/>
        <v>0</v>
      </c>
    </row>
    <row r="2407" spans="1:19">
      <c r="A2407" s="14" t="str">
        <f t="shared" si="556"/>
        <v>CFG-3</v>
      </c>
      <c r="B2407" s="15">
        <f>'Curvas SRY'!$E$11</f>
        <v>5</v>
      </c>
      <c r="C2407" s="15">
        <f>1</f>
        <v>1</v>
      </c>
      <c r="D2407" s="14" t="str">
        <f t="shared" si="557"/>
        <v>Uso prioritario</v>
      </c>
      <c r="E2407" s="14">
        <f>4</f>
        <v>4</v>
      </c>
      <c r="F2407" s="21">
        <f>'Hoja 4 - Cálculo'!A28</f>
        <v>29677</v>
      </c>
      <c r="G2407" s="15">
        <f>'Hoja 4 - Cálculo'!H28</f>
        <v>29.280374999999999</v>
      </c>
      <c r="H2407" s="15">
        <f>IF(D2407="Uso único",'Hoja 4 - Cálculo'!I28,IF(D2407="Uso múltiple",AVERAGE('Hoja 4 - Cálculo'!$I$25:$I$384)+AVERAGE('Hoja 4 - Cálculo'!$J$25:$J$384)+AVERAGE('Hoja 4 - Cálculo'!$K$25:$K$384),IF(D2407="Uso prioritario",'Hoja 4 - Cálculo'!I28+'Hoja 4 - Cálculo'!K28,'Hoja 4 - Cálculo'!I28+'Hoja 4 - Cálculo'!J28+'Hoja 4 - Cálculo'!K28)))</f>
        <v>10</v>
      </c>
      <c r="I2407" s="15">
        <f t="shared" si="545"/>
        <v>10</v>
      </c>
      <c r="J2407" s="15">
        <f t="shared" si="558"/>
        <v>5</v>
      </c>
      <c r="K2407" s="15">
        <f>MIN(J2407+G2407,(J2407+G2407)*'Hoja 4 - Cálculo'!$B$15)</f>
        <v>0.68560750000000004</v>
      </c>
      <c r="L2407" s="15">
        <f t="shared" si="546"/>
        <v>33.594767499999996</v>
      </c>
      <c r="M2407" s="15">
        <f t="shared" si="547"/>
        <v>10</v>
      </c>
      <c r="N2407" s="15">
        <f t="shared" si="548"/>
        <v>5</v>
      </c>
      <c r="O2407" s="15">
        <f t="shared" si="549"/>
        <v>18.594767499999996</v>
      </c>
      <c r="P2407" s="15">
        <f t="shared" si="550"/>
        <v>0</v>
      </c>
      <c r="Q2407" s="14" t="str">
        <f>IF(M2407&gt;=I2407*'Hoja 4 - Cálculo'!$B$16,"Satisfactorio","Falla")</f>
        <v>Satisfactorio</v>
      </c>
      <c r="R2407" s="14">
        <f t="shared" si="559"/>
        <v>0</v>
      </c>
      <c r="S2407" s="14">
        <f t="shared" si="560"/>
        <v>0</v>
      </c>
    </row>
    <row r="2408" spans="1:19">
      <c r="A2408" s="14" t="str">
        <f t="shared" si="556"/>
        <v>CFG-3</v>
      </c>
      <c r="B2408" s="15">
        <f>'Curvas SRY'!$E$11</f>
        <v>5</v>
      </c>
      <c r="C2408" s="15">
        <f>1</f>
        <v>1</v>
      </c>
      <c r="D2408" s="14" t="str">
        <f t="shared" si="557"/>
        <v>Uso prioritario</v>
      </c>
      <c r="E2408" s="14">
        <f>5</f>
        <v>5</v>
      </c>
      <c r="F2408" s="21">
        <f>'Hoja 4 - Cálculo'!A29</f>
        <v>29707</v>
      </c>
      <c r="G2408" s="15">
        <f>'Hoja 4 - Cálculo'!H29</f>
        <v>26.048249999999999</v>
      </c>
      <c r="H2408" s="15">
        <f>IF(D2408="Uso único",'Hoja 4 - Cálculo'!I29,IF(D2408="Uso múltiple",AVERAGE('Hoja 4 - Cálculo'!$I$25:$I$384)+AVERAGE('Hoja 4 - Cálculo'!$J$25:$J$384)+AVERAGE('Hoja 4 - Cálculo'!$K$25:$K$384),IF(D2408="Uso prioritario",'Hoja 4 - Cálculo'!I29+'Hoja 4 - Cálculo'!K29,'Hoja 4 - Cálculo'!I29+'Hoja 4 - Cálculo'!J29+'Hoja 4 - Cálculo'!K29)))</f>
        <v>10</v>
      </c>
      <c r="I2408" s="15">
        <f t="shared" si="545"/>
        <v>10</v>
      </c>
      <c r="J2408" s="15">
        <f t="shared" si="558"/>
        <v>5</v>
      </c>
      <c r="K2408" s="15">
        <f>MIN(J2408+G2408,(J2408+G2408)*'Hoja 4 - Cálculo'!$B$15)</f>
        <v>0.62096499999999999</v>
      </c>
      <c r="L2408" s="15">
        <f t="shared" si="546"/>
        <v>30.427284999999998</v>
      </c>
      <c r="M2408" s="15">
        <f t="shared" si="547"/>
        <v>10</v>
      </c>
      <c r="N2408" s="15">
        <f t="shared" si="548"/>
        <v>5</v>
      </c>
      <c r="O2408" s="15">
        <f t="shared" si="549"/>
        <v>15.427284999999998</v>
      </c>
      <c r="P2408" s="15">
        <f t="shared" si="550"/>
        <v>0</v>
      </c>
      <c r="Q2408" s="14" t="str">
        <f>IF(M2408&gt;=I2408*'Hoja 4 - Cálculo'!$B$16,"Satisfactorio","Falla")</f>
        <v>Satisfactorio</v>
      </c>
      <c r="R2408" s="14">
        <f t="shared" si="559"/>
        <v>0</v>
      </c>
      <c r="S2408" s="14">
        <f t="shared" si="560"/>
        <v>0</v>
      </c>
    </row>
    <row r="2409" spans="1:19">
      <c r="A2409" s="14" t="str">
        <f t="shared" si="556"/>
        <v>CFG-3</v>
      </c>
      <c r="B2409" s="15">
        <f>'Curvas SRY'!$E$11</f>
        <v>5</v>
      </c>
      <c r="C2409" s="15">
        <f>1</f>
        <v>1</v>
      </c>
      <c r="D2409" s="14" t="str">
        <f t="shared" si="557"/>
        <v>Uso prioritario</v>
      </c>
      <c r="E2409" s="14">
        <f>6</f>
        <v>6</v>
      </c>
      <c r="F2409" s="21">
        <f>'Hoja 4 - Cálculo'!A30</f>
        <v>29738</v>
      </c>
      <c r="G2409" s="15">
        <f>'Hoja 4 - Cálculo'!H30</f>
        <v>15.625125000000001</v>
      </c>
      <c r="H2409" s="15">
        <f>IF(D2409="Uso único",'Hoja 4 - Cálculo'!I30,IF(D2409="Uso múltiple",AVERAGE('Hoja 4 - Cálculo'!$I$25:$I$384)+AVERAGE('Hoja 4 - Cálculo'!$J$25:$J$384)+AVERAGE('Hoja 4 - Cálculo'!$K$25:$K$384),IF(D2409="Uso prioritario",'Hoja 4 - Cálculo'!I30+'Hoja 4 - Cálculo'!K30,'Hoja 4 - Cálculo'!I30+'Hoja 4 - Cálculo'!J30+'Hoja 4 - Cálculo'!K30)))</f>
        <v>10</v>
      </c>
      <c r="I2409" s="15">
        <f t="shared" si="545"/>
        <v>10</v>
      </c>
      <c r="J2409" s="15">
        <f t="shared" si="558"/>
        <v>5</v>
      </c>
      <c r="K2409" s="15">
        <f>MIN(J2409+G2409,(J2409+G2409)*'Hoja 4 - Cálculo'!$B$15)</f>
        <v>0.41250249999999999</v>
      </c>
      <c r="L2409" s="15">
        <f t="shared" si="546"/>
        <v>20.212622500000002</v>
      </c>
      <c r="M2409" s="15">
        <f t="shared" si="547"/>
        <v>10</v>
      </c>
      <c r="N2409" s="15">
        <f t="shared" si="548"/>
        <v>5</v>
      </c>
      <c r="O2409" s="15">
        <f t="shared" si="549"/>
        <v>5.2126225000000019</v>
      </c>
      <c r="P2409" s="15">
        <f t="shared" si="550"/>
        <v>0</v>
      </c>
      <c r="Q2409" s="14" t="str">
        <f>IF(M2409&gt;=I2409*'Hoja 4 - Cálculo'!$B$16,"Satisfactorio","Falla")</f>
        <v>Satisfactorio</v>
      </c>
      <c r="R2409" s="14">
        <f t="shared" si="559"/>
        <v>0</v>
      </c>
      <c r="S2409" s="14">
        <f t="shared" si="560"/>
        <v>0</v>
      </c>
    </row>
    <row r="2410" spans="1:19">
      <c r="A2410" s="14" t="str">
        <f t="shared" si="556"/>
        <v>CFG-3</v>
      </c>
      <c r="B2410" s="15">
        <f>'Curvas SRY'!$E$11</f>
        <v>5</v>
      </c>
      <c r="C2410" s="15">
        <f>1</f>
        <v>1</v>
      </c>
      <c r="D2410" s="14" t="str">
        <f t="shared" si="557"/>
        <v>Uso prioritario</v>
      </c>
      <c r="E2410" s="14">
        <f>7</f>
        <v>7</v>
      </c>
      <c r="F2410" s="21">
        <f>'Hoja 4 - Cálculo'!A31</f>
        <v>29768</v>
      </c>
      <c r="G2410" s="15">
        <f>'Hoja 4 - Cálculo'!H31</f>
        <v>12.794625</v>
      </c>
      <c r="H2410" s="15">
        <f>IF(D2410="Uso único",'Hoja 4 - Cálculo'!I31,IF(D2410="Uso múltiple",AVERAGE('Hoja 4 - Cálculo'!$I$25:$I$384)+AVERAGE('Hoja 4 - Cálculo'!$J$25:$J$384)+AVERAGE('Hoja 4 - Cálculo'!$K$25:$K$384),IF(D2410="Uso prioritario",'Hoja 4 - Cálculo'!I31+'Hoja 4 - Cálculo'!K31,'Hoja 4 - Cálculo'!I31+'Hoja 4 - Cálculo'!J31+'Hoja 4 - Cálculo'!K31)))</f>
        <v>10</v>
      </c>
      <c r="I2410" s="15">
        <f t="shared" si="545"/>
        <v>10</v>
      </c>
      <c r="J2410" s="15">
        <f t="shared" si="558"/>
        <v>5</v>
      </c>
      <c r="K2410" s="15">
        <f>MIN(J2410+G2410,(J2410+G2410)*'Hoja 4 - Cálculo'!$B$15)</f>
        <v>0.3558925</v>
      </c>
      <c r="L2410" s="15">
        <f t="shared" si="546"/>
        <v>17.4387325</v>
      </c>
      <c r="M2410" s="15">
        <f t="shared" si="547"/>
        <v>10</v>
      </c>
      <c r="N2410" s="15">
        <f t="shared" si="548"/>
        <v>5</v>
      </c>
      <c r="O2410" s="15">
        <f t="shared" si="549"/>
        <v>2.4387325000000004</v>
      </c>
      <c r="P2410" s="15">
        <f t="shared" si="550"/>
        <v>0</v>
      </c>
      <c r="Q2410" s="14" t="str">
        <f>IF(M2410&gt;=I2410*'Hoja 4 - Cálculo'!$B$16,"Satisfactorio","Falla")</f>
        <v>Satisfactorio</v>
      </c>
      <c r="R2410" s="14">
        <f t="shared" si="559"/>
        <v>0</v>
      </c>
      <c r="S2410" s="14">
        <f t="shared" si="560"/>
        <v>0</v>
      </c>
    </row>
    <row r="2411" spans="1:19">
      <c r="A2411" s="14" t="str">
        <f t="shared" si="556"/>
        <v>CFG-3</v>
      </c>
      <c r="B2411" s="15">
        <f>'Curvas SRY'!$E$11</f>
        <v>5</v>
      </c>
      <c r="C2411" s="15">
        <f>1</f>
        <v>1</v>
      </c>
      <c r="D2411" s="14" t="str">
        <f t="shared" si="557"/>
        <v>Uso prioritario</v>
      </c>
      <c r="E2411" s="14">
        <f>8</f>
        <v>8</v>
      </c>
      <c r="F2411" s="21">
        <f>'Hoja 4 - Cálculo'!A32</f>
        <v>29799</v>
      </c>
      <c r="G2411" s="15">
        <f>'Hoja 4 - Cálculo'!H32</f>
        <v>13.712624999999999</v>
      </c>
      <c r="H2411" s="15">
        <f>IF(D2411="Uso único",'Hoja 4 - Cálculo'!I32,IF(D2411="Uso múltiple",AVERAGE('Hoja 4 - Cálculo'!$I$25:$I$384)+AVERAGE('Hoja 4 - Cálculo'!$J$25:$J$384)+AVERAGE('Hoja 4 - Cálculo'!$K$25:$K$384),IF(D2411="Uso prioritario",'Hoja 4 - Cálculo'!I32+'Hoja 4 - Cálculo'!K32,'Hoja 4 - Cálculo'!I32+'Hoja 4 - Cálculo'!J32+'Hoja 4 - Cálculo'!K32)))</f>
        <v>10</v>
      </c>
      <c r="I2411" s="15">
        <f t="shared" si="545"/>
        <v>10</v>
      </c>
      <c r="J2411" s="15">
        <f t="shared" si="558"/>
        <v>5</v>
      </c>
      <c r="K2411" s="15">
        <f>MIN(J2411+G2411,(J2411+G2411)*'Hoja 4 - Cálculo'!$B$15)</f>
        <v>0.37425249999999999</v>
      </c>
      <c r="L2411" s="15">
        <f t="shared" si="546"/>
        <v>18.338372499999998</v>
      </c>
      <c r="M2411" s="15">
        <f t="shared" si="547"/>
        <v>10</v>
      </c>
      <c r="N2411" s="15">
        <f t="shared" si="548"/>
        <v>5</v>
      </c>
      <c r="O2411" s="15">
        <f t="shared" si="549"/>
        <v>3.3383724999999984</v>
      </c>
      <c r="P2411" s="15">
        <f t="shared" si="550"/>
        <v>0</v>
      </c>
      <c r="Q2411" s="14" t="str">
        <f>IF(M2411&gt;=I2411*'Hoja 4 - Cálculo'!$B$16,"Satisfactorio","Falla")</f>
        <v>Satisfactorio</v>
      </c>
      <c r="R2411" s="14">
        <f t="shared" si="559"/>
        <v>0</v>
      </c>
      <c r="S2411" s="14">
        <f t="shared" si="560"/>
        <v>0</v>
      </c>
    </row>
    <row r="2412" spans="1:19">
      <c r="A2412" s="14" t="str">
        <f t="shared" si="556"/>
        <v>CFG-3</v>
      </c>
      <c r="B2412" s="15">
        <f>'Curvas SRY'!$E$11</f>
        <v>5</v>
      </c>
      <c r="C2412" s="15">
        <f>1</f>
        <v>1</v>
      </c>
      <c r="D2412" s="14" t="str">
        <f t="shared" si="557"/>
        <v>Uso prioritario</v>
      </c>
      <c r="E2412" s="14">
        <f>9</f>
        <v>9</v>
      </c>
      <c r="F2412" s="21">
        <f>'Hoja 4 - Cálculo'!A33</f>
        <v>29830</v>
      </c>
      <c r="G2412" s="15">
        <f>'Hoja 4 - Cálculo'!H33</f>
        <v>22.070250000000001</v>
      </c>
      <c r="H2412" s="15">
        <f>IF(D2412="Uso único",'Hoja 4 - Cálculo'!I33,IF(D2412="Uso múltiple",AVERAGE('Hoja 4 - Cálculo'!$I$25:$I$384)+AVERAGE('Hoja 4 - Cálculo'!$J$25:$J$384)+AVERAGE('Hoja 4 - Cálculo'!$K$25:$K$384),IF(D2412="Uso prioritario",'Hoja 4 - Cálculo'!I33+'Hoja 4 - Cálculo'!K33,'Hoja 4 - Cálculo'!I33+'Hoja 4 - Cálculo'!J33+'Hoja 4 - Cálculo'!K33)))</f>
        <v>10</v>
      </c>
      <c r="I2412" s="15">
        <f t="shared" si="545"/>
        <v>10</v>
      </c>
      <c r="J2412" s="15">
        <f t="shared" si="558"/>
        <v>5</v>
      </c>
      <c r="K2412" s="15">
        <f>MIN(J2412+G2412,(J2412+G2412)*'Hoja 4 - Cálculo'!$B$15)</f>
        <v>0.54140500000000003</v>
      </c>
      <c r="L2412" s="15">
        <f t="shared" si="546"/>
        <v>26.528845</v>
      </c>
      <c r="M2412" s="15">
        <f t="shared" si="547"/>
        <v>10</v>
      </c>
      <c r="N2412" s="15">
        <f t="shared" si="548"/>
        <v>5</v>
      </c>
      <c r="O2412" s="15">
        <f t="shared" si="549"/>
        <v>11.528845</v>
      </c>
      <c r="P2412" s="15">
        <f t="shared" si="550"/>
        <v>0</v>
      </c>
      <c r="Q2412" s="14" t="str">
        <f>IF(M2412&gt;=I2412*'Hoja 4 - Cálculo'!$B$16,"Satisfactorio","Falla")</f>
        <v>Satisfactorio</v>
      </c>
      <c r="R2412" s="14">
        <f t="shared" si="559"/>
        <v>0</v>
      </c>
      <c r="S2412" s="14">
        <f t="shared" si="560"/>
        <v>0</v>
      </c>
    </row>
    <row r="2413" spans="1:19">
      <c r="A2413" s="14" t="str">
        <f t="shared" si="556"/>
        <v>CFG-3</v>
      </c>
      <c r="B2413" s="15">
        <f>'Curvas SRY'!$E$11</f>
        <v>5</v>
      </c>
      <c r="C2413" s="15">
        <f>1</f>
        <v>1</v>
      </c>
      <c r="D2413" s="14" t="str">
        <f t="shared" si="557"/>
        <v>Uso prioritario</v>
      </c>
      <c r="E2413" s="14">
        <f>10</f>
        <v>10</v>
      </c>
      <c r="F2413" s="21">
        <f>'Hoja 4 - Cálculo'!A34</f>
        <v>29860</v>
      </c>
      <c r="G2413" s="15">
        <f>'Hoja 4 - Cálculo'!H34</f>
        <v>29.777625</v>
      </c>
      <c r="H2413" s="15">
        <f>IF(D2413="Uso único",'Hoja 4 - Cálculo'!I34,IF(D2413="Uso múltiple",AVERAGE('Hoja 4 - Cálculo'!$I$25:$I$384)+AVERAGE('Hoja 4 - Cálculo'!$J$25:$J$384)+AVERAGE('Hoja 4 - Cálculo'!$K$25:$K$384),IF(D2413="Uso prioritario",'Hoja 4 - Cálculo'!I34+'Hoja 4 - Cálculo'!K34,'Hoja 4 - Cálculo'!I34+'Hoja 4 - Cálculo'!J34+'Hoja 4 - Cálculo'!K34)))</f>
        <v>10</v>
      </c>
      <c r="I2413" s="15">
        <f t="shared" si="545"/>
        <v>10</v>
      </c>
      <c r="J2413" s="15">
        <f t="shared" si="558"/>
        <v>5</v>
      </c>
      <c r="K2413" s="15">
        <f>MIN(J2413+G2413,(J2413+G2413)*'Hoja 4 - Cálculo'!$B$15)</f>
        <v>0.69555250000000002</v>
      </c>
      <c r="L2413" s="15">
        <f t="shared" si="546"/>
        <v>34.082072500000002</v>
      </c>
      <c r="M2413" s="15">
        <f t="shared" si="547"/>
        <v>10</v>
      </c>
      <c r="N2413" s="15">
        <f t="shared" si="548"/>
        <v>5</v>
      </c>
      <c r="O2413" s="15">
        <f t="shared" si="549"/>
        <v>19.082072500000002</v>
      </c>
      <c r="P2413" s="15">
        <f t="shared" si="550"/>
        <v>0</v>
      </c>
      <c r="Q2413" s="14" t="str">
        <f>IF(M2413&gt;=I2413*'Hoja 4 - Cálculo'!$B$16,"Satisfactorio","Falla")</f>
        <v>Satisfactorio</v>
      </c>
      <c r="R2413" s="14">
        <f t="shared" si="559"/>
        <v>0</v>
      </c>
      <c r="S2413" s="14">
        <f t="shared" si="560"/>
        <v>0</v>
      </c>
    </row>
    <row r="2414" spans="1:19">
      <c r="A2414" s="14" t="str">
        <f t="shared" si="556"/>
        <v>CFG-3</v>
      </c>
      <c r="B2414" s="15">
        <f>'Curvas SRY'!$E$11</f>
        <v>5</v>
      </c>
      <c r="C2414" s="15">
        <f>1</f>
        <v>1</v>
      </c>
      <c r="D2414" s="14" t="str">
        <f t="shared" si="557"/>
        <v>Uso prioritario</v>
      </c>
      <c r="E2414" s="14">
        <f>11</f>
        <v>11</v>
      </c>
      <c r="F2414" s="21">
        <f>'Hoja 4 - Cálculo'!A35</f>
        <v>29891</v>
      </c>
      <c r="G2414" s="15">
        <f>'Hoja 4 - Cálculo'!H35</f>
        <v>25.51275</v>
      </c>
      <c r="H2414" s="15">
        <f>IF(D2414="Uso único",'Hoja 4 - Cálculo'!I35,IF(D2414="Uso múltiple",AVERAGE('Hoja 4 - Cálculo'!$I$25:$I$384)+AVERAGE('Hoja 4 - Cálculo'!$J$25:$J$384)+AVERAGE('Hoja 4 - Cálculo'!$K$25:$K$384),IF(D2414="Uso prioritario",'Hoja 4 - Cálculo'!I35+'Hoja 4 - Cálculo'!K35,'Hoja 4 - Cálculo'!I35+'Hoja 4 - Cálculo'!J35+'Hoja 4 - Cálculo'!K35)))</f>
        <v>10</v>
      </c>
      <c r="I2414" s="15">
        <f t="shared" si="545"/>
        <v>10</v>
      </c>
      <c r="J2414" s="15">
        <f t="shared" si="558"/>
        <v>5</v>
      </c>
      <c r="K2414" s="15">
        <f>MIN(J2414+G2414,(J2414+G2414)*'Hoja 4 - Cálculo'!$B$15)</f>
        <v>0.61025499999999999</v>
      </c>
      <c r="L2414" s="15">
        <f t="shared" si="546"/>
        <v>29.902495000000002</v>
      </c>
      <c r="M2414" s="15">
        <f t="shared" si="547"/>
        <v>10</v>
      </c>
      <c r="N2414" s="15">
        <f t="shared" si="548"/>
        <v>5</v>
      </c>
      <c r="O2414" s="15">
        <f t="shared" si="549"/>
        <v>14.902495000000002</v>
      </c>
      <c r="P2414" s="15">
        <f t="shared" si="550"/>
        <v>0</v>
      </c>
      <c r="Q2414" s="14" t="str">
        <f>IF(M2414&gt;=I2414*'Hoja 4 - Cálculo'!$B$16,"Satisfactorio","Falla")</f>
        <v>Satisfactorio</v>
      </c>
      <c r="R2414" s="14">
        <f t="shared" si="559"/>
        <v>0</v>
      </c>
      <c r="S2414" s="14">
        <f t="shared" si="560"/>
        <v>0</v>
      </c>
    </row>
    <row r="2415" spans="1:19">
      <c r="A2415" s="14" t="str">
        <f t="shared" si="556"/>
        <v>CFG-3</v>
      </c>
      <c r="B2415" s="15">
        <f>'Curvas SRY'!$E$11</f>
        <v>5</v>
      </c>
      <c r="C2415" s="15">
        <f>1</f>
        <v>1</v>
      </c>
      <c r="D2415" s="14" t="str">
        <f t="shared" si="557"/>
        <v>Uso prioritario</v>
      </c>
      <c r="E2415" s="14">
        <f>12</f>
        <v>12</v>
      </c>
      <c r="F2415" s="21">
        <f>'Hoja 4 - Cálculo'!A36</f>
        <v>29921</v>
      </c>
      <c r="G2415" s="15">
        <f>'Hoja 4 - Cálculo'!H36</f>
        <v>15.3765</v>
      </c>
      <c r="H2415" s="15">
        <f>IF(D2415="Uso único",'Hoja 4 - Cálculo'!I36,IF(D2415="Uso múltiple",AVERAGE('Hoja 4 - Cálculo'!$I$25:$I$384)+AVERAGE('Hoja 4 - Cálculo'!$J$25:$J$384)+AVERAGE('Hoja 4 - Cálculo'!$K$25:$K$384),IF(D2415="Uso prioritario",'Hoja 4 - Cálculo'!I36+'Hoja 4 - Cálculo'!K36,'Hoja 4 - Cálculo'!I36+'Hoja 4 - Cálculo'!J36+'Hoja 4 - Cálculo'!K36)))</f>
        <v>10</v>
      </c>
      <c r="I2415" s="15">
        <f t="shared" si="545"/>
        <v>10</v>
      </c>
      <c r="J2415" s="15">
        <f t="shared" si="558"/>
        <v>5</v>
      </c>
      <c r="K2415" s="15">
        <f>MIN(J2415+G2415,(J2415+G2415)*'Hoja 4 - Cálculo'!$B$15)</f>
        <v>0.40753</v>
      </c>
      <c r="L2415" s="15">
        <f t="shared" si="546"/>
        <v>19.968969999999999</v>
      </c>
      <c r="M2415" s="15">
        <f t="shared" si="547"/>
        <v>10</v>
      </c>
      <c r="N2415" s="15">
        <f t="shared" si="548"/>
        <v>5</v>
      </c>
      <c r="O2415" s="15">
        <f t="shared" si="549"/>
        <v>4.9689699999999988</v>
      </c>
      <c r="P2415" s="15">
        <f t="shared" si="550"/>
        <v>0</v>
      </c>
      <c r="Q2415" s="14" t="str">
        <f>IF(M2415&gt;=I2415*'Hoja 4 - Cálculo'!$B$16,"Satisfactorio","Falla")</f>
        <v>Satisfactorio</v>
      </c>
      <c r="R2415" s="14">
        <f t="shared" si="559"/>
        <v>0</v>
      </c>
      <c r="S2415" s="14">
        <f t="shared" si="560"/>
        <v>0</v>
      </c>
    </row>
    <row r="2416" spans="1:19">
      <c r="A2416" s="14" t="str">
        <f t="shared" si="556"/>
        <v>CFG-3</v>
      </c>
      <c r="B2416" s="15">
        <f>'Curvas SRY'!$E$11</f>
        <v>5</v>
      </c>
      <c r="C2416" s="15">
        <f>1</f>
        <v>1</v>
      </c>
      <c r="D2416" s="14" t="str">
        <f t="shared" si="557"/>
        <v>Uso prioritario</v>
      </c>
      <c r="E2416" s="14">
        <f>13</f>
        <v>13</v>
      </c>
      <c r="F2416" s="21">
        <f>'Hoja 4 - Cálculo'!A37</f>
        <v>29952</v>
      </c>
      <c r="G2416" s="15">
        <f>'Hoja 4 - Cálculo'!H37</f>
        <v>13.808249999999999</v>
      </c>
      <c r="H2416" s="15">
        <f>IF(D2416="Uso único",'Hoja 4 - Cálculo'!I37,IF(D2416="Uso múltiple",AVERAGE('Hoja 4 - Cálculo'!$I$25:$I$384)+AVERAGE('Hoja 4 - Cálculo'!$J$25:$J$384)+AVERAGE('Hoja 4 - Cálculo'!$K$25:$K$384),IF(D2416="Uso prioritario",'Hoja 4 - Cálculo'!I37+'Hoja 4 - Cálculo'!K37,'Hoja 4 - Cálculo'!I37+'Hoja 4 - Cálculo'!J37+'Hoja 4 - Cálculo'!K37)))</f>
        <v>10</v>
      </c>
      <c r="I2416" s="15">
        <f t="shared" si="545"/>
        <v>10</v>
      </c>
      <c r="J2416" s="15">
        <f t="shared" si="558"/>
        <v>5</v>
      </c>
      <c r="K2416" s="15">
        <f>MIN(J2416+G2416,(J2416+G2416)*'Hoja 4 - Cálculo'!$B$15)</f>
        <v>0.37616500000000003</v>
      </c>
      <c r="L2416" s="15">
        <f t="shared" si="546"/>
        <v>18.432085000000001</v>
      </c>
      <c r="M2416" s="15">
        <f t="shared" si="547"/>
        <v>10</v>
      </c>
      <c r="N2416" s="15">
        <f t="shared" si="548"/>
        <v>5</v>
      </c>
      <c r="O2416" s="15">
        <f t="shared" si="549"/>
        <v>3.4320850000000007</v>
      </c>
      <c r="P2416" s="15">
        <f t="shared" si="550"/>
        <v>0</v>
      </c>
      <c r="Q2416" s="14" t="str">
        <f>IF(M2416&gt;=I2416*'Hoja 4 - Cálculo'!$B$16,"Satisfactorio","Falla")</f>
        <v>Satisfactorio</v>
      </c>
      <c r="R2416" s="14">
        <f t="shared" si="559"/>
        <v>0</v>
      </c>
      <c r="S2416" s="14">
        <f t="shared" si="560"/>
        <v>0</v>
      </c>
    </row>
    <row r="2417" spans="1:19">
      <c r="A2417" s="14" t="str">
        <f t="shared" si="556"/>
        <v>CFG-3</v>
      </c>
      <c r="B2417" s="15">
        <f>'Curvas SRY'!$E$11</f>
        <v>5</v>
      </c>
      <c r="C2417" s="15">
        <f>1</f>
        <v>1</v>
      </c>
      <c r="D2417" s="14" t="str">
        <f t="shared" si="557"/>
        <v>Uso prioritario</v>
      </c>
      <c r="E2417" s="14">
        <f>14</f>
        <v>14</v>
      </c>
      <c r="F2417" s="21">
        <f>'Hoja 4 - Cálculo'!A38</f>
        <v>29983</v>
      </c>
      <c r="G2417" s="15">
        <f>'Hoja 4 - Cálculo'!H38</f>
        <v>15.472125</v>
      </c>
      <c r="H2417" s="15">
        <f>IF(D2417="Uso único",'Hoja 4 - Cálculo'!I38,IF(D2417="Uso múltiple",AVERAGE('Hoja 4 - Cálculo'!$I$25:$I$384)+AVERAGE('Hoja 4 - Cálculo'!$J$25:$J$384)+AVERAGE('Hoja 4 - Cálculo'!$K$25:$K$384),IF(D2417="Uso prioritario",'Hoja 4 - Cálculo'!I38+'Hoja 4 - Cálculo'!K38,'Hoja 4 - Cálculo'!I38+'Hoja 4 - Cálculo'!J38+'Hoja 4 - Cálculo'!K38)))</f>
        <v>10</v>
      </c>
      <c r="I2417" s="15">
        <f t="shared" si="545"/>
        <v>10</v>
      </c>
      <c r="J2417" s="15">
        <f t="shared" si="558"/>
        <v>5</v>
      </c>
      <c r="K2417" s="15">
        <f>MIN(J2417+G2417,(J2417+G2417)*'Hoja 4 - Cálculo'!$B$15)</f>
        <v>0.40944249999999999</v>
      </c>
      <c r="L2417" s="15">
        <f t="shared" si="546"/>
        <v>20.062682499999998</v>
      </c>
      <c r="M2417" s="15">
        <f t="shared" si="547"/>
        <v>10</v>
      </c>
      <c r="N2417" s="15">
        <f t="shared" si="548"/>
        <v>5</v>
      </c>
      <c r="O2417" s="15">
        <f t="shared" si="549"/>
        <v>5.0626824999999975</v>
      </c>
      <c r="P2417" s="15">
        <f t="shared" si="550"/>
        <v>0</v>
      </c>
      <c r="Q2417" s="14" t="str">
        <f>IF(M2417&gt;=I2417*'Hoja 4 - Cálculo'!$B$16,"Satisfactorio","Falla")</f>
        <v>Satisfactorio</v>
      </c>
      <c r="R2417" s="14">
        <f t="shared" si="559"/>
        <v>0</v>
      </c>
      <c r="S2417" s="14">
        <f t="shared" si="560"/>
        <v>0</v>
      </c>
    </row>
    <row r="2418" spans="1:19">
      <c r="A2418" s="14" t="str">
        <f t="shared" si="556"/>
        <v>CFG-3</v>
      </c>
      <c r="B2418" s="15">
        <f>'Curvas SRY'!$E$11</f>
        <v>5</v>
      </c>
      <c r="C2418" s="15">
        <f>1</f>
        <v>1</v>
      </c>
      <c r="D2418" s="14" t="str">
        <f t="shared" si="557"/>
        <v>Uso prioritario</v>
      </c>
      <c r="E2418" s="14">
        <f>15</f>
        <v>15</v>
      </c>
      <c r="F2418" s="21">
        <f>'Hoja 4 - Cálculo'!A39</f>
        <v>30011</v>
      </c>
      <c r="G2418" s="15">
        <f>'Hoja 4 - Cálculo'!H39</f>
        <v>22.338000000000001</v>
      </c>
      <c r="H2418" s="15">
        <f>IF(D2418="Uso único",'Hoja 4 - Cálculo'!I39,IF(D2418="Uso múltiple",AVERAGE('Hoja 4 - Cálculo'!$I$25:$I$384)+AVERAGE('Hoja 4 - Cálculo'!$J$25:$J$384)+AVERAGE('Hoja 4 - Cálculo'!$K$25:$K$384),IF(D2418="Uso prioritario",'Hoja 4 - Cálculo'!I39+'Hoja 4 - Cálculo'!K39,'Hoja 4 - Cálculo'!I39+'Hoja 4 - Cálculo'!J39+'Hoja 4 - Cálculo'!K39)))</f>
        <v>10</v>
      </c>
      <c r="I2418" s="15">
        <f t="shared" si="545"/>
        <v>10</v>
      </c>
      <c r="J2418" s="15">
        <f t="shared" si="558"/>
        <v>5</v>
      </c>
      <c r="K2418" s="15">
        <f>MIN(J2418+G2418,(J2418+G2418)*'Hoja 4 - Cálculo'!$B$15)</f>
        <v>0.54676000000000002</v>
      </c>
      <c r="L2418" s="15">
        <f t="shared" si="546"/>
        <v>26.791240000000002</v>
      </c>
      <c r="M2418" s="15">
        <f t="shared" si="547"/>
        <v>10</v>
      </c>
      <c r="N2418" s="15">
        <f t="shared" si="548"/>
        <v>5</v>
      </c>
      <c r="O2418" s="15">
        <f t="shared" si="549"/>
        <v>11.791240000000002</v>
      </c>
      <c r="P2418" s="15">
        <f t="shared" si="550"/>
        <v>0</v>
      </c>
      <c r="Q2418" s="14" t="str">
        <f>IF(M2418&gt;=I2418*'Hoja 4 - Cálculo'!$B$16,"Satisfactorio","Falla")</f>
        <v>Satisfactorio</v>
      </c>
      <c r="R2418" s="14">
        <f t="shared" si="559"/>
        <v>0</v>
      </c>
      <c r="S2418" s="14">
        <f t="shared" si="560"/>
        <v>0</v>
      </c>
    </row>
    <row r="2419" spans="1:19">
      <c r="A2419" s="14" t="str">
        <f t="shared" si="556"/>
        <v>CFG-3</v>
      </c>
      <c r="B2419" s="15">
        <f>'Curvas SRY'!$E$11</f>
        <v>5</v>
      </c>
      <c r="C2419" s="15">
        <f>1</f>
        <v>1</v>
      </c>
      <c r="D2419" s="14" t="str">
        <f t="shared" si="557"/>
        <v>Uso prioritario</v>
      </c>
      <c r="E2419" s="14">
        <f>16</f>
        <v>16</v>
      </c>
      <c r="F2419" s="21">
        <f>'Hoja 4 - Cálculo'!A40</f>
        <v>30042</v>
      </c>
      <c r="G2419" s="15">
        <f>'Hoja 4 - Cálculo'!H40</f>
        <v>31.670999999999999</v>
      </c>
      <c r="H2419" s="15">
        <f>IF(D2419="Uso único",'Hoja 4 - Cálculo'!I40,IF(D2419="Uso múltiple",AVERAGE('Hoja 4 - Cálculo'!$I$25:$I$384)+AVERAGE('Hoja 4 - Cálculo'!$J$25:$J$384)+AVERAGE('Hoja 4 - Cálculo'!$K$25:$K$384),IF(D2419="Uso prioritario",'Hoja 4 - Cálculo'!I40+'Hoja 4 - Cálculo'!K40,'Hoja 4 - Cálculo'!I40+'Hoja 4 - Cálculo'!J40+'Hoja 4 - Cálculo'!K40)))</f>
        <v>10</v>
      </c>
      <c r="I2419" s="15">
        <f t="shared" si="545"/>
        <v>10</v>
      </c>
      <c r="J2419" s="15">
        <f t="shared" si="558"/>
        <v>5</v>
      </c>
      <c r="K2419" s="15">
        <f>MIN(J2419+G2419,(J2419+G2419)*'Hoja 4 - Cálculo'!$B$15)</f>
        <v>0.73341999999999996</v>
      </c>
      <c r="L2419" s="15">
        <f t="shared" si="546"/>
        <v>35.937579999999997</v>
      </c>
      <c r="M2419" s="15">
        <f t="shared" si="547"/>
        <v>10</v>
      </c>
      <c r="N2419" s="15">
        <f t="shared" si="548"/>
        <v>5</v>
      </c>
      <c r="O2419" s="15">
        <f t="shared" si="549"/>
        <v>20.937579999999997</v>
      </c>
      <c r="P2419" s="15">
        <f t="shared" si="550"/>
        <v>0</v>
      </c>
      <c r="Q2419" s="14" t="str">
        <f>IF(M2419&gt;=I2419*'Hoja 4 - Cálculo'!$B$16,"Satisfactorio","Falla")</f>
        <v>Satisfactorio</v>
      </c>
      <c r="R2419" s="14">
        <f t="shared" si="559"/>
        <v>0</v>
      </c>
      <c r="S2419" s="14">
        <f t="shared" si="560"/>
        <v>0</v>
      </c>
    </row>
    <row r="2420" spans="1:19">
      <c r="A2420" s="14" t="str">
        <f t="shared" si="556"/>
        <v>CFG-3</v>
      </c>
      <c r="B2420" s="15">
        <f>'Curvas SRY'!$E$11</f>
        <v>5</v>
      </c>
      <c r="C2420" s="15">
        <f>1</f>
        <v>1</v>
      </c>
      <c r="D2420" s="14" t="str">
        <f t="shared" si="557"/>
        <v>Uso prioritario</v>
      </c>
      <c r="E2420" s="14">
        <f>17</f>
        <v>17</v>
      </c>
      <c r="F2420" s="21">
        <f>'Hoja 4 - Cálculo'!A41</f>
        <v>30072</v>
      </c>
      <c r="G2420" s="15">
        <f>'Hoja 4 - Cálculo'!H41</f>
        <v>29.299499999999998</v>
      </c>
      <c r="H2420" s="15">
        <f>IF(D2420="Uso único",'Hoja 4 - Cálculo'!I41,IF(D2420="Uso múltiple",AVERAGE('Hoja 4 - Cálculo'!$I$25:$I$384)+AVERAGE('Hoja 4 - Cálculo'!$J$25:$J$384)+AVERAGE('Hoja 4 - Cálculo'!$K$25:$K$384),IF(D2420="Uso prioritario",'Hoja 4 - Cálculo'!I41+'Hoja 4 - Cálculo'!K41,'Hoja 4 - Cálculo'!I41+'Hoja 4 - Cálculo'!J41+'Hoja 4 - Cálculo'!K41)))</f>
        <v>10</v>
      </c>
      <c r="I2420" s="15">
        <f t="shared" ref="I2420:I2483" si="561">H2420</f>
        <v>10</v>
      </c>
      <c r="J2420" s="15">
        <f t="shared" si="558"/>
        <v>5</v>
      </c>
      <c r="K2420" s="15">
        <f>MIN(J2420+G2420,(J2420+G2420)*'Hoja 4 - Cálculo'!$B$15)</f>
        <v>0.68598999999999988</v>
      </c>
      <c r="L2420" s="15">
        <f t="shared" si="546"/>
        <v>33.613509999999998</v>
      </c>
      <c r="M2420" s="15">
        <f t="shared" si="547"/>
        <v>10</v>
      </c>
      <c r="N2420" s="15">
        <f t="shared" si="548"/>
        <v>5</v>
      </c>
      <c r="O2420" s="15">
        <f t="shared" si="549"/>
        <v>18.613509999999998</v>
      </c>
      <c r="P2420" s="15">
        <f t="shared" si="550"/>
        <v>0</v>
      </c>
      <c r="Q2420" s="14" t="str">
        <f>IF(M2420&gt;=I2420*'Hoja 4 - Cálculo'!$B$16,"Satisfactorio","Falla")</f>
        <v>Satisfactorio</v>
      </c>
      <c r="R2420" s="14">
        <f t="shared" si="559"/>
        <v>0</v>
      </c>
      <c r="S2420" s="14">
        <f t="shared" si="560"/>
        <v>0</v>
      </c>
    </row>
    <row r="2421" spans="1:19">
      <c r="A2421" s="14" t="str">
        <f t="shared" si="556"/>
        <v>CFG-3</v>
      </c>
      <c r="B2421" s="15">
        <f>'Curvas SRY'!$E$11</f>
        <v>5</v>
      </c>
      <c r="C2421" s="15">
        <f>1</f>
        <v>1</v>
      </c>
      <c r="D2421" s="14" t="str">
        <f t="shared" si="557"/>
        <v>Uso prioritario</v>
      </c>
      <c r="E2421" s="14">
        <f>18</f>
        <v>18</v>
      </c>
      <c r="F2421" s="21">
        <f>'Hoja 4 - Cálculo'!A42</f>
        <v>30103</v>
      </c>
      <c r="G2421" s="15">
        <f>'Hoja 4 - Cálculo'!H42</f>
        <v>18.321750000000002</v>
      </c>
      <c r="H2421" s="15">
        <f>IF(D2421="Uso único",'Hoja 4 - Cálculo'!I42,IF(D2421="Uso múltiple",AVERAGE('Hoja 4 - Cálculo'!$I$25:$I$384)+AVERAGE('Hoja 4 - Cálculo'!$J$25:$J$384)+AVERAGE('Hoja 4 - Cálculo'!$K$25:$K$384),IF(D2421="Uso prioritario",'Hoja 4 - Cálculo'!I42+'Hoja 4 - Cálculo'!K42,'Hoja 4 - Cálculo'!I42+'Hoja 4 - Cálculo'!J42+'Hoja 4 - Cálculo'!K42)))</f>
        <v>10</v>
      </c>
      <c r="I2421" s="15">
        <f t="shared" si="561"/>
        <v>10</v>
      </c>
      <c r="J2421" s="15">
        <f t="shared" si="558"/>
        <v>5</v>
      </c>
      <c r="K2421" s="15">
        <f>MIN(J2421+G2421,(J2421+G2421)*'Hoja 4 - Cálculo'!$B$15)</f>
        <v>0.46643500000000004</v>
      </c>
      <c r="L2421" s="15">
        <f t="shared" si="546"/>
        <v>22.855315000000001</v>
      </c>
      <c r="M2421" s="15">
        <f t="shared" si="547"/>
        <v>10</v>
      </c>
      <c r="N2421" s="15">
        <f t="shared" si="548"/>
        <v>5</v>
      </c>
      <c r="O2421" s="15">
        <f t="shared" si="549"/>
        <v>7.8553150000000009</v>
      </c>
      <c r="P2421" s="15">
        <f t="shared" si="550"/>
        <v>0</v>
      </c>
      <c r="Q2421" s="14" t="str">
        <f>IF(M2421&gt;=I2421*'Hoja 4 - Cálculo'!$B$16,"Satisfactorio","Falla")</f>
        <v>Satisfactorio</v>
      </c>
      <c r="R2421" s="14">
        <f t="shared" si="559"/>
        <v>0</v>
      </c>
      <c r="S2421" s="14">
        <f t="shared" si="560"/>
        <v>0</v>
      </c>
    </row>
    <row r="2422" spans="1:19">
      <c r="A2422" s="14" t="str">
        <f t="shared" si="556"/>
        <v>CFG-3</v>
      </c>
      <c r="B2422" s="15">
        <f>'Curvas SRY'!$E$11</f>
        <v>5</v>
      </c>
      <c r="C2422" s="15">
        <f>1</f>
        <v>1</v>
      </c>
      <c r="D2422" s="14" t="str">
        <f t="shared" si="557"/>
        <v>Uso prioritario</v>
      </c>
      <c r="E2422" s="14">
        <f>19</f>
        <v>19</v>
      </c>
      <c r="F2422" s="21">
        <f>'Hoja 4 - Cálculo'!A43</f>
        <v>30133</v>
      </c>
      <c r="G2422" s="15">
        <f>'Hoja 4 - Cálculo'!H43</f>
        <v>15.3765</v>
      </c>
      <c r="H2422" s="15">
        <f>IF(D2422="Uso único",'Hoja 4 - Cálculo'!I43,IF(D2422="Uso múltiple",AVERAGE('Hoja 4 - Cálculo'!$I$25:$I$384)+AVERAGE('Hoja 4 - Cálculo'!$J$25:$J$384)+AVERAGE('Hoja 4 - Cálculo'!$K$25:$K$384),IF(D2422="Uso prioritario",'Hoja 4 - Cálculo'!I43+'Hoja 4 - Cálculo'!K43,'Hoja 4 - Cálculo'!I43+'Hoja 4 - Cálculo'!J43+'Hoja 4 - Cálculo'!K43)))</f>
        <v>10</v>
      </c>
      <c r="I2422" s="15">
        <f t="shared" si="561"/>
        <v>10</v>
      </c>
      <c r="J2422" s="15">
        <f t="shared" si="558"/>
        <v>5</v>
      </c>
      <c r="K2422" s="15">
        <f>MIN(J2422+G2422,(J2422+G2422)*'Hoja 4 - Cálculo'!$B$15)</f>
        <v>0.40753</v>
      </c>
      <c r="L2422" s="15">
        <f t="shared" si="546"/>
        <v>19.968969999999999</v>
      </c>
      <c r="M2422" s="15">
        <f t="shared" si="547"/>
        <v>10</v>
      </c>
      <c r="N2422" s="15">
        <f t="shared" si="548"/>
        <v>5</v>
      </c>
      <c r="O2422" s="15">
        <f t="shared" si="549"/>
        <v>4.9689699999999988</v>
      </c>
      <c r="P2422" s="15">
        <f t="shared" si="550"/>
        <v>0</v>
      </c>
      <c r="Q2422" s="14" t="str">
        <f>IF(M2422&gt;=I2422*'Hoja 4 - Cálculo'!$B$16,"Satisfactorio","Falla")</f>
        <v>Satisfactorio</v>
      </c>
      <c r="R2422" s="14">
        <f t="shared" si="559"/>
        <v>0</v>
      </c>
      <c r="S2422" s="14">
        <f t="shared" si="560"/>
        <v>0</v>
      </c>
    </row>
    <row r="2423" spans="1:19">
      <c r="A2423" s="14" t="str">
        <f t="shared" si="556"/>
        <v>CFG-3</v>
      </c>
      <c r="B2423" s="15">
        <f>'Curvas SRY'!$E$11</f>
        <v>5</v>
      </c>
      <c r="C2423" s="15">
        <f>1</f>
        <v>1</v>
      </c>
      <c r="D2423" s="14" t="str">
        <f t="shared" si="557"/>
        <v>Uso prioritario</v>
      </c>
      <c r="E2423" s="14">
        <f>20</f>
        <v>20</v>
      </c>
      <c r="F2423" s="21">
        <f>'Hoja 4 - Cálculo'!A44</f>
        <v>30164</v>
      </c>
      <c r="G2423" s="15">
        <f>'Hoja 4 - Cálculo'!H44</f>
        <v>16.466625000000001</v>
      </c>
      <c r="H2423" s="15">
        <f>IF(D2423="Uso único",'Hoja 4 - Cálculo'!I44,IF(D2423="Uso múltiple",AVERAGE('Hoja 4 - Cálculo'!$I$25:$I$384)+AVERAGE('Hoja 4 - Cálculo'!$J$25:$J$384)+AVERAGE('Hoja 4 - Cálculo'!$K$25:$K$384),IF(D2423="Uso prioritario",'Hoja 4 - Cálculo'!I44+'Hoja 4 - Cálculo'!K44,'Hoja 4 - Cálculo'!I44+'Hoja 4 - Cálculo'!J44+'Hoja 4 - Cálculo'!K44)))</f>
        <v>10</v>
      </c>
      <c r="I2423" s="15">
        <f t="shared" si="561"/>
        <v>10</v>
      </c>
      <c r="J2423" s="15">
        <f t="shared" si="558"/>
        <v>5</v>
      </c>
      <c r="K2423" s="15">
        <f>MIN(J2423+G2423,(J2423+G2423)*'Hoja 4 - Cálculo'!$B$15)</f>
        <v>0.42933250000000001</v>
      </c>
      <c r="L2423" s="15">
        <f t="shared" si="546"/>
        <v>21.0372925</v>
      </c>
      <c r="M2423" s="15">
        <f t="shared" si="547"/>
        <v>10</v>
      </c>
      <c r="N2423" s="15">
        <f t="shared" si="548"/>
        <v>5</v>
      </c>
      <c r="O2423" s="15">
        <f t="shared" si="549"/>
        <v>6.0372924999999995</v>
      </c>
      <c r="P2423" s="15">
        <f t="shared" si="550"/>
        <v>0</v>
      </c>
      <c r="Q2423" s="14" t="str">
        <f>IF(M2423&gt;=I2423*'Hoja 4 - Cálculo'!$B$16,"Satisfactorio","Falla")</f>
        <v>Satisfactorio</v>
      </c>
      <c r="R2423" s="14">
        <f t="shared" si="559"/>
        <v>0</v>
      </c>
      <c r="S2423" s="14">
        <f t="shared" si="560"/>
        <v>0</v>
      </c>
    </row>
    <row r="2424" spans="1:19">
      <c r="A2424" s="14" t="str">
        <f t="shared" si="556"/>
        <v>CFG-3</v>
      </c>
      <c r="B2424" s="15">
        <f>'Curvas SRY'!$E$11</f>
        <v>5</v>
      </c>
      <c r="C2424" s="15">
        <f>1</f>
        <v>1</v>
      </c>
      <c r="D2424" s="14" t="str">
        <f t="shared" si="557"/>
        <v>Uso prioritario</v>
      </c>
      <c r="E2424" s="14">
        <f>21</f>
        <v>21</v>
      </c>
      <c r="F2424" s="21">
        <f>'Hoja 4 - Cálculo'!A45</f>
        <v>30195</v>
      </c>
      <c r="G2424" s="15">
        <f>'Hoja 4 - Cálculo'!H45</f>
        <v>25.837875</v>
      </c>
      <c r="H2424" s="15">
        <f>IF(D2424="Uso único",'Hoja 4 - Cálculo'!I45,IF(D2424="Uso múltiple",AVERAGE('Hoja 4 - Cálculo'!$I$25:$I$384)+AVERAGE('Hoja 4 - Cálculo'!$J$25:$J$384)+AVERAGE('Hoja 4 - Cálculo'!$K$25:$K$384),IF(D2424="Uso prioritario",'Hoja 4 - Cálculo'!I45+'Hoja 4 - Cálculo'!K45,'Hoja 4 - Cálculo'!I45+'Hoja 4 - Cálculo'!J45+'Hoja 4 - Cálculo'!K45)))</f>
        <v>10</v>
      </c>
      <c r="I2424" s="15">
        <f t="shared" si="561"/>
        <v>10</v>
      </c>
      <c r="J2424" s="15">
        <f t="shared" si="558"/>
        <v>5</v>
      </c>
      <c r="K2424" s="15">
        <f>MIN(J2424+G2424,(J2424+G2424)*'Hoja 4 - Cálculo'!$B$15)</f>
        <v>0.61675750000000007</v>
      </c>
      <c r="L2424" s="15">
        <f t="shared" si="546"/>
        <v>30.221117500000002</v>
      </c>
      <c r="M2424" s="15">
        <f t="shared" si="547"/>
        <v>10</v>
      </c>
      <c r="N2424" s="15">
        <f t="shared" si="548"/>
        <v>5</v>
      </c>
      <c r="O2424" s="15">
        <f t="shared" si="549"/>
        <v>15.221117500000002</v>
      </c>
      <c r="P2424" s="15">
        <f t="shared" si="550"/>
        <v>0</v>
      </c>
      <c r="Q2424" s="14" t="str">
        <f>IF(M2424&gt;=I2424*'Hoja 4 - Cálculo'!$B$16,"Satisfactorio","Falla")</f>
        <v>Satisfactorio</v>
      </c>
      <c r="R2424" s="14">
        <f t="shared" si="559"/>
        <v>0</v>
      </c>
      <c r="S2424" s="14">
        <f t="shared" si="560"/>
        <v>0</v>
      </c>
    </row>
    <row r="2425" spans="1:19">
      <c r="A2425" s="14" t="str">
        <f t="shared" si="556"/>
        <v>CFG-3</v>
      </c>
      <c r="B2425" s="15">
        <f>'Curvas SRY'!$E$11</f>
        <v>5</v>
      </c>
      <c r="C2425" s="15">
        <f>1</f>
        <v>1</v>
      </c>
      <c r="D2425" s="14" t="str">
        <f t="shared" si="557"/>
        <v>Uso prioritario</v>
      </c>
      <c r="E2425" s="14">
        <f>22</f>
        <v>22</v>
      </c>
      <c r="F2425" s="21">
        <f>'Hoja 4 - Cálculo'!A46</f>
        <v>30225</v>
      </c>
      <c r="G2425" s="15">
        <f>'Hoja 4 - Cálculo'!H46</f>
        <v>33.46875</v>
      </c>
      <c r="H2425" s="15">
        <f>IF(D2425="Uso único",'Hoja 4 - Cálculo'!I46,IF(D2425="Uso múltiple",AVERAGE('Hoja 4 - Cálculo'!$I$25:$I$384)+AVERAGE('Hoja 4 - Cálculo'!$J$25:$J$384)+AVERAGE('Hoja 4 - Cálculo'!$K$25:$K$384),IF(D2425="Uso prioritario",'Hoja 4 - Cálculo'!I46+'Hoja 4 - Cálculo'!K46,'Hoja 4 - Cálculo'!I46+'Hoja 4 - Cálculo'!J46+'Hoja 4 - Cálculo'!K46)))</f>
        <v>10</v>
      </c>
      <c r="I2425" s="15">
        <f t="shared" si="561"/>
        <v>10</v>
      </c>
      <c r="J2425" s="15">
        <f t="shared" si="558"/>
        <v>5</v>
      </c>
      <c r="K2425" s="15">
        <f>MIN(J2425+G2425,(J2425+G2425)*'Hoja 4 - Cálculo'!$B$15)</f>
        <v>0.76937500000000003</v>
      </c>
      <c r="L2425" s="15">
        <f t="shared" si="546"/>
        <v>37.699375000000003</v>
      </c>
      <c r="M2425" s="15">
        <f t="shared" si="547"/>
        <v>10</v>
      </c>
      <c r="N2425" s="15">
        <f t="shared" si="548"/>
        <v>5</v>
      </c>
      <c r="O2425" s="15">
        <f t="shared" si="549"/>
        <v>22.699375000000003</v>
      </c>
      <c r="P2425" s="15">
        <f t="shared" si="550"/>
        <v>0</v>
      </c>
      <c r="Q2425" s="14" t="str">
        <f>IF(M2425&gt;=I2425*'Hoja 4 - Cálculo'!$B$16,"Satisfactorio","Falla")</f>
        <v>Satisfactorio</v>
      </c>
      <c r="R2425" s="14">
        <f t="shared" si="559"/>
        <v>0</v>
      </c>
      <c r="S2425" s="14">
        <f t="shared" si="560"/>
        <v>0</v>
      </c>
    </row>
    <row r="2426" spans="1:19">
      <c r="A2426" s="14" t="str">
        <f t="shared" si="556"/>
        <v>CFG-3</v>
      </c>
      <c r="B2426" s="15">
        <f>'Curvas SRY'!$E$11</f>
        <v>5</v>
      </c>
      <c r="C2426" s="15">
        <f>1</f>
        <v>1</v>
      </c>
      <c r="D2426" s="14" t="str">
        <f t="shared" si="557"/>
        <v>Uso prioritario</v>
      </c>
      <c r="E2426" s="14">
        <f>23</f>
        <v>23</v>
      </c>
      <c r="F2426" s="21">
        <f>'Hoja 4 - Cálculo'!A47</f>
        <v>30256</v>
      </c>
      <c r="G2426" s="15">
        <f>'Hoja 4 - Cálculo'!H47</f>
        <v>27.578250000000001</v>
      </c>
      <c r="H2426" s="15">
        <f>IF(D2426="Uso único",'Hoja 4 - Cálculo'!I47,IF(D2426="Uso múltiple",AVERAGE('Hoja 4 - Cálculo'!$I$25:$I$384)+AVERAGE('Hoja 4 - Cálculo'!$J$25:$J$384)+AVERAGE('Hoja 4 - Cálculo'!$K$25:$K$384),IF(D2426="Uso prioritario",'Hoja 4 - Cálculo'!I47+'Hoja 4 - Cálculo'!K47,'Hoja 4 - Cálculo'!I47+'Hoja 4 - Cálculo'!J47+'Hoja 4 - Cálculo'!K47)))</f>
        <v>10</v>
      </c>
      <c r="I2426" s="15">
        <f t="shared" si="561"/>
        <v>10</v>
      </c>
      <c r="J2426" s="15">
        <f t="shared" si="558"/>
        <v>5</v>
      </c>
      <c r="K2426" s="15">
        <f>MIN(J2426+G2426,(J2426+G2426)*'Hoja 4 - Cálculo'!$B$15)</f>
        <v>0.65156499999999995</v>
      </c>
      <c r="L2426" s="15">
        <f t="shared" si="546"/>
        <v>31.926684999999996</v>
      </c>
      <c r="M2426" s="15">
        <f t="shared" si="547"/>
        <v>10</v>
      </c>
      <c r="N2426" s="15">
        <f t="shared" si="548"/>
        <v>5</v>
      </c>
      <c r="O2426" s="15">
        <f t="shared" si="549"/>
        <v>16.926684999999996</v>
      </c>
      <c r="P2426" s="15">
        <f t="shared" si="550"/>
        <v>0</v>
      </c>
      <c r="Q2426" s="14" t="str">
        <f>IF(M2426&gt;=I2426*'Hoja 4 - Cálculo'!$B$16,"Satisfactorio","Falla")</f>
        <v>Satisfactorio</v>
      </c>
      <c r="R2426" s="14">
        <f t="shared" si="559"/>
        <v>0</v>
      </c>
      <c r="S2426" s="14">
        <f t="shared" si="560"/>
        <v>0</v>
      </c>
    </row>
    <row r="2427" spans="1:19">
      <c r="A2427" s="14" t="str">
        <f t="shared" si="556"/>
        <v>CFG-3</v>
      </c>
      <c r="B2427" s="15">
        <f>'Curvas SRY'!$E$11</f>
        <v>5</v>
      </c>
      <c r="C2427" s="15">
        <f>1</f>
        <v>1</v>
      </c>
      <c r="D2427" s="14" t="str">
        <f t="shared" si="557"/>
        <v>Uso prioritario</v>
      </c>
      <c r="E2427" s="14">
        <f>24</f>
        <v>24</v>
      </c>
      <c r="F2427" s="21">
        <f>'Hoja 4 - Cálculo'!A48</f>
        <v>30286</v>
      </c>
      <c r="G2427" s="15">
        <f>'Hoja 4 - Cálculo'!H48</f>
        <v>16.256250000000001</v>
      </c>
      <c r="H2427" s="15">
        <f>IF(D2427="Uso único",'Hoja 4 - Cálculo'!I48,IF(D2427="Uso múltiple",AVERAGE('Hoja 4 - Cálculo'!$I$25:$I$384)+AVERAGE('Hoja 4 - Cálculo'!$J$25:$J$384)+AVERAGE('Hoja 4 - Cálculo'!$K$25:$K$384),IF(D2427="Uso prioritario",'Hoja 4 - Cálculo'!I48+'Hoja 4 - Cálculo'!K48,'Hoja 4 - Cálculo'!I48+'Hoja 4 - Cálculo'!J48+'Hoja 4 - Cálculo'!K48)))</f>
        <v>10</v>
      </c>
      <c r="I2427" s="15">
        <f t="shared" si="561"/>
        <v>10</v>
      </c>
      <c r="J2427" s="15">
        <f t="shared" si="558"/>
        <v>5</v>
      </c>
      <c r="K2427" s="15">
        <f>MIN(J2427+G2427,(J2427+G2427)*'Hoja 4 - Cálculo'!$B$15)</f>
        <v>0.42512500000000003</v>
      </c>
      <c r="L2427" s="15">
        <f t="shared" si="546"/>
        <v>20.831125</v>
      </c>
      <c r="M2427" s="15">
        <f t="shared" si="547"/>
        <v>10</v>
      </c>
      <c r="N2427" s="15">
        <f t="shared" si="548"/>
        <v>5</v>
      </c>
      <c r="O2427" s="15">
        <f t="shared" si="549"/>
        <v>5.8311250000000001</v>
      </c>
      <c r="P2427" s="15">
        <f t="shared" si="550"/>
        <v>0</v>
      </c>
      <c r="Q2427" s="14" t="str">
        <f>IF(M2427&gt;=I2427*'Hoja 4 - Cálculo'!$B$16,"Satisfactorio","Falla")</f>
        <v>Satisfactorio</v>
      </c>
      <c r="R2427" s="14">
        <f t="shared" si="559"/>
        <v>0</v>
      </c>
      <c r="S2427" s="14">
        <f t="shared" si="560"/>
        <v>0</v>
      </c>
    </row>
    <row r="2428" spans="1:19">
      <c r="A2428" s="14" t="str">
        <f t="shared" si="556"/>
        <v>CFG-3</v>
      </c>
      <c r="B2428" s="15">
        <f>'Curvas SRY'!$E$11</f>
        <v>5</v>
      </c>
      <c r="C2428" s="15">
        <f>1</f>
        <v>1</v>
      </c>
      <c r="D2428" s="14" t="str">
        <f t="shared" si="557"/>
        <v>Uso prioritario</v>
      </c>
      <c r="E2428" s="14">
        <f>25</f>
        <v>25</v>
      </c>
      <c r="F2428" s="21">
        <f>'Hoja 4 - Cálculo'!A49</f>
        <v>30317</v>
      </c>
      <c r="G2428" s="15">
        <f>'Hoja 4 - Cálculo'!H49</f>
        <v>12.775499999999999</v>
      </c>
      <c r="H2428" s="15">
        <f>IF(D2428="Uso único",'Hoja 4 - Cálculo'!I49,IF(D2428="Uso múltiple",AVERAGE('Hoja 4 - Cálculo'!$I$25:$I$384)+AVERAGE('Hoja 4 - Cálculo'!$J$25:$J$384)+AVERAGE('Hoja 4 - Cálculo'!$K$25:$K$384),IF(D2428="Uso prioritario",'Hoja 4 - Cálculo'!I49+'Hoja 4 - Cálculo'!K49,'Hoja 4 - Cálculo'!I49+'Hoja 4 - Cálculo'!J49+'Hoja 4 - Cálculo'!K49)))</f>
        <v>10</v>
      </c>
      <c r="I2428" s="15">
        <f t="shared" si="561"/>
        <v>10</v>
      </c>
      <c r="J2428" s="15">
        <f t="shared" si="558"/>
        <v>5</v>
      </c>
      <c r="K2428" s="15">
        <f>MIN(J2428+G2428,(J2428+G2428)*'Hoja 4 - Cálculo'!$B$15)</f>
        <v>0.35551000000000005</v>
      </c>
      <c r="L2428" s="15">
        <f t="shared" si="546"/>
        <v>17.419990000000002</v>
      </c>
      <c r="M2428" s="15">
        <f t="shared" si="547"/>
        <v>10</v>
      </c>
      <c r="N2428" s="15">
        <f t="shared" si="548"/>
        <v>5</v>
      </c>
      <c r="O2428" s="15">
        <f t="shared" si="549"/>
        <v>2.4199900000000021</v>
      </c>
      <c r="P2428" s="15">
        <f t="shared" si="550"/>
        <v>0</v>
      </c>
      <c r="Q2428" s="14" t="str">
        <f>IF(M2428&gt;=I2428*'Hoja 4 - Cálculo'!$B$16,"Satisfactorio","Falla")</f>
        <v>Satisfactorio</v>
      </c>
      <c r="R2428" s="14">
        <f t="shared" si="559"/>
        <v>0</v>
      </c>
      <c r="S2428" s="14">
        <f t="shared" si="560"/>
        <v>0</v>
      </c>
    </row>
    <row r="2429" spans="1:19">
      <c r="A2429" s="14" t="str">
        <f t="shared" si="556"/>
        <v>CFG-3</v>
      </c>
      <c r="B2429" s="15">
        <f>'Curvas SRY'!$E$11</f>
        <v>5</v>
      </c>
      <c r="C2429" s="15">
        <f>1</f>
        <v>1</v>
      </c>
      <c r="D2429" s="14" t="str">
        <f t="shared" si="557"/>
        <v>Uso prioritario</v>
      </c>
      <c r="E2429" s="14">
        <f>26</f>
        <v>26</v>
      </c>
      <c r="F2429" s="21">
        <f>'Hoja 4 - Cálculo'!A50</f>
        <v>30348</v>
      </c>
      <c r="G2429" s="15">
        <f>'Hoja 4 - Cálculo'!H50</f>
        <v>14.49675</v>
      </c>
      <c r="H2429" s="15">
        <f>IF(D2429="Uso único",'Hoja 4 - Cálculo'!I50,IF(D2429="Uso múltiple",AVERAGE('Hoja 4 - Cálculo'!$I$25:$I$384)+AVERAGE('Hoja 4 - Cálculo'!$J$25:$J$384)+AVERAGE('Hoja 4 - Cálculo'!$K$25:$K$384),IF(D2429="Uso prioritario",'Hoja 4 - Cálculo'!I50+'Hoja 4 - Cálculo'!K50,'Hoja 4 - Cálculo'!I50+'Hoja 4 - Cálculo'!J50+'Hoja 4 - Cálculo'!K50)))</f>
        <v>10</v>
      </c>
      <c r="I2429" s="15">
        <f t="shared" si="561"/>
        <v>10</v>
      </c>
      <c r="J2429" s="15">
        <f t="shared" si="558"/>
        <v>5</v>
      </c>
      <c r="K2429" s="15">
        <f>MIN(J2429+G2429,(J2429+G2429)*'Hoja 4 - Cálculo'!$B$15)</f>
        <v>0.38993499999999998</v>
      </c>
      <c r="L2429" s="15">
        <f t="shared" si="546"/>
        <v>19.106814999999997</v>
      </c>
      <c r="M2429" s="15">
        <f t="shared" si="547"/>
        <v>10</v>
      </c>
      <c r="N2429" s="15">
        <f t="shared" si="548"/>
        <v>5</v>
      </c>
      <c r="O2429" s="15">
        <f t="shared" si="549"/>
        <v>4.1068149999999974</v>
      </c>
      <c r="P2429" s="15">
        <f t="shared" si="550"/>
        <v>0</v>
      </c>
      <c r="Q2429" s="14" t="str">
        <f>IF(M2429&gt;=I2429*'Hoja 4 - Cálculo'!$B$16,"Satisfactorio","Falla")</f>
        <v>Satisfactorio</v>
      </c>
      <c r="R2429" s="14">
        <f t="shared" si="559"/>
        <v>0</v>
      </c>
      <c r="S2429" s="14">
        <f t="shared" si="560"/>
        <v>0</v>
      </c>
    </row>
    <row r="2430" spans="1:19">
      <c r="A2430" s="14" t="str">
        <f t="shared" si="556"/>
        <v>CFG-3</v>
      </c>
      <c r="B2430" s="15">
        <f>'Curvas SRY'!$E$11</f>
        <v>5</v>
      </c>
      <c r="C2430" s="15">
        <f>1</f>
        <v>1</v>
      </c>
      <c r="D2430" s="14" t="str">
        <f t="shared" si="557"/>
        <v>Uso prioritario</v>
      </c>
      <c r="E2430" s="14">
        <f>27</f>
        <v>27</v>
      </c>
      <c r="F2430" s="21">
        <f>'Hoja 4 - Cálculo'!A51</f>
        <v>30376</v>
      </c>
      <c r="G2430" s="15">
        <f>'Hoja 4 - Cálculo'!H51</f>
        <v>21.936375000000002</v>
      </c>
      <c r="H2430" s="15">
        <f>IF(D2430="Uso único",'Hoja 4 - Cálculo'!I51,IF(D2430="Uso múltiple",AVERAGE('Hoja 4 - Cálculo'!$I$25:$I$384)+AVERAGE('Hoja 4 - Cálculo'!$J$25:$J$384)+AVERAGE('Hoja 4 - Cálculo'!$K$25:$K$384),IF(D2430="Uso prioritario",'Hoja 4 - Cálculo'!I51+'Hoja 4 - Cálculo'!K51,'Hoja 4 - Cálculo'!I51+'Hoja 4 - Cálculo'!J51+'Hoja 4 - Cálculo'!K51)))</f>
        <v>10</v>
      </c>
      <c r="I2430" s="15">
        <f t="shared" si="561"/>
        <v>10</v>
      </c>
      <c r="J2430" s="15">
        <f t="shared" si="558"/>
        <v>5</v>
      </c>
      <c r="K2430" s="15">
        <f>MIN(J2430+G2430,(J2430+G2430)*'Hoja 4 - Cálculo'!$B$15)</f>
        <v>0.53872750000000003</v>
      </c>
      <c r="L2430" s="15">
        <f t="shared" si="546"/>
        <v>26.397647500000001</v>
      </c>
      <c r="M2430" s="15">
        <f t="shared" si="547"/>
        <v>10</v>
      </c>
      <c r="N2430" s="15">
        <f t="shared" si="548"/>
        <v>5</v>
      </c>
      <c r="O2430" s="15">
        <f t="shared" si="549"/>
        <v>11.397647500000001</v>
      </c>
      <c r="P2430" s="15">
        <f t="shared" si="550"/>
        <v>0</v>
      </c>
      <c r="Q2430" s="14" t="str">
        <f>IF(M2430&gt;=I2430*'Hoja 4 - Cálculo'!$B$16,"Satisfactorio","Falla")</f>
        <v>Satisfactorio</v>
      </c>
      <c r="R2430" s="14">
        <f t="shared" si="559"/>
        <v>0</v>
      </c>
      <c r="S2430" s="14">
        <f t="shared" si="560"/>
        <v>0</v>
      </c>
    </row>
    <row r="2431" spans="1:19">
      <c r="A2431" s="14" t="str">
        <f t="shared" si="556"/>
        <v>CFG-3</v>
      </c>
      <c r="B2431" s="15">
        <f>'Curvas SRY'!$E$11</f>
        <v>5</v>
      </c>
      <c r="C2431" s="15">
        <f>1</f>
        <v>1</v>
      </c>
      <c r="D2431" s="14" t="str">
        <f t="shared" si="557"/>
        <v>Uso prioritario</v>
      </c>
      <c r="E2431" s="14">
        <f>28</f>
        <v>28</v>
      </c>
      <c r="F2431" s="21">
        <f>'Hoja 4 - Cálculo'!A52</f>
        <v>30407</v>
      </c>
      <c r="G2431" s="15">
        <f>'Hoja 4 - Cálculo'!H52</f>
        <v>32.263874999999999</v>
      </c>
      <c r="H2431" s="15">
        <f>IF(D2431="Uso único",'Hoja 4 - Cálculo'!I52,IF(D2431="Uso múltiple",AVERAGE('Hoja 4 - Cálculo'!$I$25:$I$384)+AVERAGE('Hoja 4 - Cálculo'!$J$25:$J$384)+AVERAGE('Hoja 4 - Cálculo'!$K$25:$K$384),IF(D2431="Uso prioritario",'Hoja 4 - Cálculo'!I52+'Hoja 4 - Cálculo'!K52,'Hoja 4 - Cálculo'!I52+'Hoja 4 - Cálculo'!J52+'Hoja 4 - Cálculo'!K52)))</f>
        <v>10</v>
      </c>
      <c r="I2431" s="15">
        <f t="shared" si="561"/>
        <v>10</v>
      </c>
      <c r="J2431" s="15">
        <f t="shared" si="558"/>
        <v>5</v>
      </c>
      <c r="K2431" s="15">
        <f>MIN(J2431+G2431,(J2431+G2431)*'Hoja 4 - Cálculo'!$B$15)</f>
        <v>0.74527750000000004</v>
      </c>
      <c r="L2431" s="15">
        <f t="shared" si="546"/>
        <v>36.518597499999998</v>
      </c>
      <c r="M2431" s="15">
        <f t="shared" si="547"/>
        <v>10</v>
      </c>
      <c r="N2431" s="15">
        <f t="shared" si="548"/>
        <v>5</v>
      </c>
      <c r="O2431" s="15">
        <f t="shared" si="549"/>
        <v>21.518597499999998</v>
      </c>
      <c r="P2431" s="15">
        <f t="shared" si="550"/>
        <v>0</v>
      </c>
      <c r="Q2431" s="14" t="str">
        <f>IF(M2431&gt;=I2431*'Hoja 4 - Cálculo'!$B$16,"Satisfactorio","Falla")</f>
        <v>Satisfactorio</v>
      </c>
      <c r="R2431" s="14">
        <f t="shared" si="559"/>
        <v>0</v>
      </c>
      <c r="S2431" s="14">
        <f t="shared" si="560"/>
        <v>0</v>
      </c>
    </row>
    <row r="2432" spans="1:19">
      <c r="A2432" s="14" t="str">
        <f t="shared" si="556"/>
        <v>CFG-3</v>
      </c>
      <c r="B2432" s="15">
        <f>'Curvas SRY'!$E$11</f>
        <v>5</v>
      </c>
      <c r="C2432" s="15">
        <f>1</f>
        <v>1</v>
      </c>
      <c r="D2432" s="14" t="str">
        <f t="shared" si="557"/>
        <v>Uso prioritario</v>
      </c>
      <c r="E2432" s="14">
        <f>29</f>
        <v>29</v>
      </c>
      <c r="F2432" s="21">
        <f>'Hoja 4 - Cálculo'!A53</f>
        <v>30437</v>
      </c>
      <c r="G2432" s="15">
        <f>'Hoja 4 - Cálculo'!H53</f>
        <v>29.356874999999999</v>
      </c>
      <c r="H2432" s="15">
        <f>IF(D2432="Uso único",'Hoja 4 - Cálculo'!I53,IF(D2432="Uso múltiple",AVERAGE('Hoja 4 - Cálculo'!$I$25:$I$384)+AVERAGE('Hoja 4 - Cálculo'!$J$25:$J$384)+AVERAGE('Hoja 4 - Cálculo'!$K$25:$K$384),IF(D2432="Uso prioritario",'Hoja 4 - Cálculo'!I53+'Hoja 4 - Cálculo'!K53,'Hoja 4 - Cálculo'!I53+'Hoja 4 - Cálculo'!J53+'Hoja 4 - Cálculo'!K53)))</f>
        <v>10</v>
      </c>
      <c r="I2432" s="15">
        <f t="shared" si="561"/>
        <v>10</v>
      </c>
      <c r="J2432" s="15">
        <f t="shared" si="558"/>
        <v>5</v>
      </c>
      <c r="K2432" s="15">
        <f>MIN(J2432+G2432,(J2432+G2432)*'Hoja 4 - Cálculo'!$B$15)</f>
        <v>0.68713750000000007</v>
      </c>
      <c r="L2432" s="15">
        <f t="shared" si="546"/>
        <v>33.669737500000004</v>
      </c>
      <c r="M2432" s="15">
        <f t="shared" si="547"/>
        <v>10</v>
      </c>
      <c r="N2432" s="15">
        <f t="shared" si="548"/>
        <v>5</v>
      </c>
      <c r="O2432" s="15">
        <f t="shared" si="549"/>
        <v>18.669737500000004</v>
      </c>
      <c r="P2432" s="15">
        <f t="shared" si="550"/>
        <v>0</v>
      </c>
      <c r="Q2432" s="14" t="str">
        <f>IF(M2432&gt;=I2432*'Hoja 4 - Cálculo'!$B$16,"Satisfactorio","Falla")</f>
        <v>Satisfactorio</v>
      </c>
      <c r="R2432" s="14">
        <f t="shared" si="559"/>
        <v>0</v>
      </c>
      <c r="S2432" s="14">
        <f t="shared" si="560"/>
        <v>0</v>
      </c>
    </row>
    <row r="2433" spans="1:19">
      <c r="A2433" s="14" t="str">
        <f t="shared" si="556"/>
        <v>CFG-3</v>
      </c>
      <c r="B2433" s="15">
        <f>'Curvas SRY'!$E$11</f>
        <v>5</v>
      </c>
      <c r="C2433" s="15">
        <f>1</f>
        <v>1</v>
      </c>
      <c r="D2433" s="14" t="str">
        <f t="shared" si="557"/>
        <v>Uso prioritario</v>
      </c>
      <c r="E2433" s="14">
        <f>30</f>
        <v>30</v>
      </c>
      <c r="F2433" s="21">
        <f>'Hoja 4 - Cálculo'!A54</f>
        <v>30468</v>
      </c>
      <c r="G2433" s="15">
        <f>'Hoja 4 - Cálculo'!H54</f>
        <v>17.212499999999999</v>
      </c>
      <c r="H2433" s="15">
        <f>IF(D2433="Uso único",'Hoja 4 - Cálculo'!I54,IF(D2433="Uso múltiple",AVERAGE('Hoja 4 - Cálculo'!$I$25:$I$384)+AVERAGE('Hoja 4 - Cálculo'!$J$25:$J$384)+AVERAGE('Hoja 4 - Cálculo'!$K$25:$K$384),IF(D2433="Uso prioritario",'Hoja 4 - Cálculo'!I54+'Hoja 4 - Cálculo'!K54,'Hoja 4 - Cálculo'!I54+'Hoja 4 - Cálculo'!J54+'Hoja 4 - Cálculo'!K54)))</f>
        <v>10</v>
      </c>
      <c r="I2433" s="15">
        <f t="shared" si="561"/>
        <v>10</v>
      </c>
      <c r="J2433" s="15">
        <f t="shared" si="558"/>
        <v>5</v>
      </c>
      <c r="K2433" s="15">
        <f>MIN(J2433+G2433,(J2433+G2433)*'Hoja 4 - Cálculo'!$B$15)</f>
        <v>0.44424999999999998</v>
      </c>
      <c r="L2433" s="15">
        <f t="shared" si="546"/>
        <v>21.768249999999998</v>
      </c>
      <c r="M2433" s="15">
        <f t="shared" si="547"/>
        <v>10</v>
      </c>
      <c r="N2433" s="15">
        <f t="shared" si="548"/>
        <v>5</v>
      </c>
      <c r="O2433" s="15">
        <f t="shared" si="549"/>
        <v>6.7682499999999983</v>
      </c>
      <c r="P2433" s="15">
        <f t="shared" si="550"/>
        <v>0</v>
      </c>
      <c r="Q2433" s="14" t="str">
        <f>IF(M2433&gt;=I2433*'Hoja 4 - Cálculo'!$B$16,"Satisfactorio","Falla")</f>
        <v>Satisfactorio</v>
      </c>
      <c r="R2433" s="14">
        <f t="shared" si="559"/>
        <v>0</v>
      </c>
      <c r="S2433" s="14">
        <f t="shared" si="560"/>
        <v>0</v>
      </c>
    </row>
    <row r="2434" spans="1:19">
      <c r="A2434" s="14" t="str">
        <f t="shared" si="556"/>
        <v>CFG-3</v>
      </c>
      <c r="B2434" s="15">
        <f>'Curvas SRY'!$E$11</f>
        <v>5</v>
      </c>
      <c r="C2434" s="15">
        <f>1</f>
        <v>1</v>
      </c>
      <c r="D2434" s="14" t="str">
        <f t="shared" si="557"/>
        <v>Uso prioritario</v>
      </c>
      <c r="E2434" s="14">
        <f>31</f>
        <v>31</v>
      </c>
      <c r="F2434" s="21">
        <f>'Hoja 4 - Cálculo'!A55</f>
        <v>30498</v>
      </c>
      <c r="G2434" s="15">
        <f>'Hoja 4 - Cálculo'!H55</f>
        <v>13.597875</v>
      </c>
      <c r="H2434" s="15">
        <f>IF(D2434="Uso único",'Hoja 4 - Cálculo'!I55,IF(D2434="Uso múltiple",AVERAGE('Hoja 4 - Cálculo'!$I$25:$I$384)+AVERAGE('Hoja 4 - Cálculo'!$J$25:$J$384)+AVERAGE('Hoja 4 - Cálculo'!$K$25:$K$384),IF(D2434="Uso prioritario",'Hoja 4 - Cálculo'!I55+'Hoja 4 - Cálculo'!K55,'Hoja 4 - Cálculo'!I55+'Hoja 4 - Cálculo'!J55+'Hoja 4 - Cálculo'!K55)))</f>
        <v>10</v>
      </c>
      <c r="I2434" s="15">
        <f t="shared" si="561"/>
        <v>10</v>
      </c>
      <c r="J2434" s="15">
        <f t="shared" si="558"/>
        <v>5</v>
      </c>
      <c r="K2434" s="15">
        <f>MIN(J2434+G2434,(J2434+G2434)*'Hoja 4 - Cálculo'!$B$15)</f>
        <v>0.37195750000000005</v>
      </c>
      <c r="L2434" s="15">
        <f t="shared" si="546"/>
        <v>18.225917500000001</v>
      </c>
      <c r="M2434" s="15">
        <f t="shared" si="547"/>
        <v>10</v>
      </c>
      <c r="N2434" s="15">
        <f t="shared" si="548"/>
        <v>5</v>
      </c>
      <c r="O2434" s="15">
        <f t="shared" si="549"/>
        <v>3.2259175000000013</v>
      </c>
      <c r="P2434" s="15">
        <f t="shared" si="550"/>
        <v>0</v>
      </c>
      <c r="Q2434" s="14" t="str">
        <f>IF(M2434&gt;=I2434*'Hoja 4 - Cálculo'!$B$16,"Satisfactorio","Falla")</f>
        <v>Satisfactorio</v>
      </c>
      <c r="R2434" s="14">
        <f t="shared" si="559"/>
        <v>0</v>
      </c>
      <c r="S2434" s="14">
        <f t="shared" si="560"/>
        <v>0</v>
      </c>
    </row>
    <row r="2435" spans="1:19">
      <c r="A2435" s="14" t="str">
        <f t="shared" si="556"/>
        <v>CFG-3</v>
      </c>
      <c r="B2435" s="15">
        <f>'Curvas SRY'!$E$11</f>
        <v>5</v>
      </c>
      <c r="C2435" s="15">
        <f>1</f>
        <v>1</v>
      </c>
      <c r="D2435" s="14" t="str">
        <f t="shared" si="557"/>
        <v>Uso prioritario</v>
      </c>
      <c r="E2435" s="14">
        <f>32</f>
        <v>32</v>
      </c>
      <c r="F2435" s="21">
        <f>'Hoja 4 - Cálculo'!A56</f>
        <v>30529</v>
      </c>
      <c r="G2435" s="15">
        <f>'Hoja 4 - Cálculo'!H56</f>
        <v>14.592375000000001</v>
      </c>
      <c r="H2435" s="15">
        <f>IF(D2435="Uso único",'Hoja 4 - Cálculo'!I56,IF(D2435="Uso múltiple",AVERAGE('Hoja 4 - Cálculo'!$I$25:$I$384)+AVERAGE('Hoja 4 - Cálculo'!$J$25:$J$384)+AVERAGE('Hoja 4 - Cálculo'!$K$25:$K$384),IF(D2435="Uso prioritario",'Hoja 4 - Cálculo'!I56+'Hoja 4 - Cálculo'!K56,'Hoja 4 - Cálculo'!I56+'Hoja 4 - Cálculo'!J56+'Hoja 4 - Cálculo'!K56)))</f>
        <v>10</v>
      </c>
      <c r="I2435" s="15">
        <f t="shared" si="561"/>
        <v>10</v>
      </c>
      <c r="J2435" s="15">
        <f t="shared" si="558"/>
        <v>5</v>
      </c>
      <c r="K2435" s="15">
        <f>MIN(J2435+G2435,(J2435+G2435)*'Hoja 4 - Cálculo'!$B$15)</f>
        <v>0.39184750000000002</v>
      </c>
      <c r="L2435" s="15">
        <f t="shared" si="546"/>
        <v>19.2005275</v>
      </c>
      <c r="M2435" s="15">
        <f t="shared" si="547"/>
        <v>10</v>
      </c>
      <c r="N2435" s="15">
        <f t="shared" si="548"/>
        <v>5</v>
      </c>
      <c r="O2435" s="15">
        <f t="shared" si="549"/>
        <v>4.2005274999999997</v>
      </c>
      <c r="P2435" s="15">
        <f t="shared" si="550"/>
        <v>0</v>
      </c>
      <c r="Q2435" s="14" t="str">
        <f>IF(M2435&gt;=I2435*'Hoja 4 - Cálculo'!$B$16,"Satisfactorio","Falla")</f>
        <v>Satisfactorio</v>
      </c>
      <c r="R2435" s="14">
        <f t="shared" si="559"/>
        <v>0</v>
      </c>
      <c r="S2435" s="14">
        <f t="shared" si="560"/>
        <v>0</v>
      </c>
    </row>
    <row r="2436" spans="1:19">
      <c r="A2436" s="14" t="str">
        <f t="shared" ref="A2436:A2467" si="562">"CFG-3"</f>
        <v>CFG-3</v>
      </c>
      <c r="B2436" s="15">
        <f>'Curvas SRY'!$E$11</f>
        <v>5</v>
      </c>
      <c r="C2436" s="15">
        <f>1</f>
        <v>1</v>
      </c>
      <c r="D2436" s="14" t="str">
        <f t="shared" ref="D2436:D2467" si="563">"Uso prioritario"</f>
        <v>Uso prioritario</v>
      </c>
      <c r="E2436" s="14">
        <f>33</f>
        <v>33</v>
      </c>
      <c r="F2436" s="21">
        <f>'Hoja 4 - Cálculo'!A57</f>
        <v>30560</v>
      </c>
      <c r="G2436" s="15">
        <f>'Hoja 4 - Cálculo'!H57</f>
        <v>24.307874999999999</v>
      </c>
      <c r="H2436" s="15">
        <f>IF(D2436="Uso único",'Hoja 4 - Cálculo'!I57,IF(D2436="Uso múltiple",AVERAGE('Hoja 4 - Cálculo'!$I$25:$I$384)+AVERAGE('Hoja 4 - Cálculo'!$J$25:$J$384)+AVERAGE('Hoja 4 - Cálculo'!$K$25:$K$384),IF(D2436="Uso prioritario",'Hoja 4 - Cálculo'!I57+'Hoja 4 - Cálculo'!K57,'Hoja 4 - Cálculo'!I57+'Hoja 4 - Cálculo'!J57+'Hoja 4 - Cálculo'!K57)))</f>
        <v>10</v>
      </c>
      <c r="I2436" s="15">
        <f t="shared" si="561"/>
        <v>10</v>
      </c>
      <c r="J2436" s="15">
        <f t="shared" si="558"/>
        <v>5</v>
      </c>
      <c r="K2436" s="15">
        <f>MIN(J2436+G2436,(J2436+G2436)*'Hoja 4 - Cálculo'!$B$15)</f>
        <v>0.5861575</v>
      </c>
      <c r="L2436" s="15">
        <f t="shared" ref="L2436:L2499" si="564">MAX(0,J2436+G2436-K2436)</f>
        <v>28.7217175</v>
      </c>
      <c r="M2436" s="15">
        <f t="shared" ref="M2436:M2499" si="565">MIN(I2436,L2436)</f>
        <v>10</v>
      </c>
      <c r="N2436" s="15">
        <f t="shared" ref="N2436:N2499" si="566">MIN(B2436,MAX(0,L2436-M2436))</f>
        <v>5</v>
      </c>
      <c r="O2436" s="15">
        <f t="shared" ref="O2436:O2499" si="567">MAX(0,L2436-M2436-B2436)</f>
        <v>13.7217175</v>
      </c>
      <c r="P2436" s="15">
        <f t="shared" ref="P2436:P2499" si="568">MAX(0,I2436-M2436)</f>
        <v>0</v>
      </c>
      <c r="Q2436" s="14" t="str">
        <f>IF(M2436&gt;=I2436*'Hoja 4 - Cálculo'!$B$16,"Satisfactorio","Falla")</f>
        <v>Satisfactorio</v>
      </c>
      <c r="R2436" s="14">
        <f t="shared" si="559"/>
        <v>0</v>
      </c>
      <c r="S2436" s="14">
        <f t="shared" si="560"/>
        <v>0</v>
      </c>
    </row>
    <row r="2437" spans="1:19">
      <c r="A2437" s="14" t="str">
        <f t="shared" si="562"/>
        <v>CFG-3</v>
      </c>
      <c r="B2437" s="15">
        <f>'Curvas SRY'!$E$11</f>
        <v>5</v>
      </c>
      <c r="C2437" s="15">
        <f>1</f>
        <v>1</v>
      </c>
      <c r="D2437" s="14" t="str">
        <f t="shared" si="563"/>
        <v>Uso prioritario</v>
      </c>
      <c r="E2437" s="14">
        <f>34</f>
        <v>34</v>
      </c>
      <c r="F2437" s="21">
        <f>'Hoja 4 - Cálculo'!A58</f>
        <v>30590</v>
      </c>
      <c r="G2437" s="15">
        <f>'Hoja 4 - Cálculo'!H58</f>
        <v>33.564374999999998</v>
      </c>
      <c r="H2437" s="15">
        <f>IF(D2437="Uso único",'Hoja 4 - Cálculo'!I58,IF(D2437="Uso múltiple",AVERAGE('Hoja 4 - Cálculo'!$I$25:$I$384)+AVERAGE('Hoja 4 - Cálculo'!$J$25:$J$384)+AVERAGE('Hoja 4 - Cálculo'!$K$25:$K$384),IF(D2437="Uso prioritario",'Hoja 4 - Cálculo'!I58+'Hoja 4 - Cálculo'!K58,'Hoja 4 - Cálculo'!I58+'Hoja 4 - Cálculo'!J58+'Hoja 4 - Cálculo'!K58)))</f>
        <v>10</v>
      </c>
      <c r="I2437" s="15">
        <f t="shared" si="561"/>
        <v>10</v>
      </c>
      <c r="J2437" s="15">
        <f t="shared" ref="J2437:J2468" si="569">N2436</f>
        <v>5</v>
      </c>
      <c r="K2437" s="15">
        <f>MIN(J2437+G2437,(J2437+G2437)*'Hoja 4 - Cálculo'!$B$15)</f>
        <v>0.77128750000000001</v>
      </c>
      <c r="L2437" s="15">
        <f t="shared" si="564"/>
        <v>37.793087499999999</v>
      </c>
      <c r="M2437" s="15">
        <f t="shared" si="565"/>
        <v>10</v>
      </c>
      <c r="N2437" s="15">
        <f t="shared" si="566"/>
        <v>5</v>
      </c>
      <c r="O2437" s="15">
        <f t="shared" si="567"/>
        <v>22.793087499999999</v>
      </c>
      <c r="P2437" s="15">
        <f t="shared" si="568"/>
        <v>0</v>
      </c>
      <c r="Q2437" s="14" t="str">
        <f>IF(M2437&gt;=I2437*'Hoja 4 - Cálculo'!$B$16,"Satisfactorio","Falla")</f>
        <v>Satisfactorio</v>
      </c>
      <c r="R2437" s="14">
        <f t="shared" ref="R2437:R2468" si="570">IF(AND(Q2436="Falla",Q2437="Satisfactorio"),1,0)</f>
        <v>0</v>
      </c>
      <c r="S2437" s="14">
        <f t="shared" ref="S2437:S2468" si="571">IF(AND(Q2437="Falla",Q2436&lt;&gt;"Falla"),1,0)</f>
        <v>0</v>
      </c>
    </row>
    <row r="2438" spans="1:19">
      <c r="A2438" s="14" t="str">
        <f t="shared" si="562"/>
        <v>CFG-3</v>
      </c>
      <c r="B2438" s="15">
        <f>'Curvas SRY'!$E$11</f>
        <v>5</v>
      </c>
      <c r="C2438" s="15">
        <f>1</f>
        <v>1</v>
      </c>
      <c r="D2438" s="14" t="str">
        <f t="shared" si="563"/>
        <v>Uso prioritario</v>
      </c>
      <c r="E2438" s="14">
        <f>35</f>
        <v>35</v>
      </c>
      <c r="F2438" s="21">
        <f>'Hoja 4 - Cálculo'!A59</f>
        <v>30621</v>
      </c>
      <c r="G2438" s="15">
        <f>'Hoja 4 - Cálculo'!H59</f>
        <v>28.075500000000002</v>
      </c>
      <c r="H2438" s="15">
        <f>IF(D2438="Uso único",'Hoja 4 - Cálculo'!I59,IF(D2438="Uso múltiple",AVERAGE('Hoja 4 - Cálculo'!$I$25:$I$384)+AVERAGE('Hoja 4 - Cálculo'!$J$25:$J$384)+AVERAGE('Hoja 4 - Cálculo'!$K$25:$K$384),IF(D2438="Uso prioritario",'Hoja 4 - Cálculo'!I59+'Hoja 4 - Cálculo'!K59,'Hoja 4 - Cálculo'!I59+'Hoja 4 - Cálculo'!J59+'Hoja 4 - Cálculo'!K59)))</f>
        <v>10</v>
      </c>
      <c r="I2438" s="15">
        <f t="shared" si="561"/>
        <v>10</v>
      </c>
      <c r="J2438" s="15">
        <f t="shared" si="569"/>
        <v>5</v>
      </c>
      <c r="K2438" s="15">
        <f>MIN(J2438+G2438,(J2438+G2438)*'Hoja 4 - Cálculo'!$B$15)</f>
        <v>0.66151000000000015</v>
      </c>
      <c r="L2438" s="15">
        <f t="shared" si="564"/>
        <v>32.413990000000005</v>
      </c>
      <c r="M2438" s="15">
        <f t="shared" si="565"/>
        <v>10</v>
      </c>
      <c r="N2438" s="15">
        <f t="shared" si="566"/>
        <v>5</v>
      </c>
      <c r="O2438" s="15">
        <f t="shared" si="567"/>
        <v>17.413990000000005</v>
      </c>
      <c r="P2438" s="15">
        <f t="shared" si="568"/>
        <v>0</v>
      </c>
      <c r="Q2438" s="14" t="str">
        <f>IF(M2438&gt;=I2438*'Hoja 4 - Cálculo'!$B$16,"Satisfactorio","Falla")</f>
        <v>Satisfactorio</v>
      </c>
      <c r="R2438" s="14">
        <f t="shared" si="570"/>
        <v>0</v>
      </c>
      <c r="S2438" s="14">
        <f t="shared" si="571"/>
        <v>0</v>
      </c>
    </row>
    <row r="2439" spans="1:19">
      <c r="A2439" s="14" t="str">
        <f t="shared" si="562"/>
        <v>CFG-3</v>
      </c>
      <c r="B2439" s="15">
        <f>'Curvas SRY'!$E$11</f>
        <v>5</v>
      </c>
      <c r="C2439" s="15">
        <f>1</f>
        <v>1</v>
      </c>
      <c r="D2439" s="14" t="str">
        <f t="shared" si="563"/>
        <v>Uso prioritario</v>
      </c>
      <c r="E2439" s="14">
        <f>36</f>
        <v>36</v>
      </c>
      <c r="F2439" s="21">
        <f>'Hoja 4 - Cálculo'!A60</f>
        <v>30651</v>
      </c>
      <c r="G2439" s="15">
        <f>'Hoja 4 - Cálculo'!H60</f>
        <v>15.931125</v>
      </c>
      <c r="H2439" s="15">
        <f>IF(D2439="Uso único",'Hoja 4 - Cálculo'!I60,IF(D2439="Uso múltiple",AVERAGE('Hoja 4 - Cálculo'!$I$25:$I$384)+AVERAGE('Hoja 4 - Cálculo'!$J$25:$J$384)+AVERAGE('Hoja 4 - Cálculo'!$K$25:$K$384),IF(D2439="Uso prioritario",'Hoja 4 - Cálculo'!I60+'Hoja 4 - Cálculo'!K60,'Hoja 4 - Cálculo'!I60+'Hoja 4 - Cálculo'!J60+'Hoja 4 - Cálculo'!K60)))</f>
        <v>10</v>
      </c>
      <c r="I2439" s="15">
        <f t="shared" si="561"/>
        <v>10</v>
      </c>
      <c r="J2439" s="15">
        <f t="shared" si="569"/>
        <v>5</v>
      </c>
      <c r="K2439" s="15">
        <f>MIN(J2439+G2439,(J2439+G2439)*'Hoja 4 - Cálculo'!$B$15)</f>
        <v>0.41862250000000006</v>
      </c>
      <c r="L2439" s="15">
        <f t="shared" si="564"/>
        <v>20.5125025</v>
      </c>
      <c r="M2439" s="15">
        <f t="shared" si="565"/>
        <v>10</v>
      </c>
      <c r="N2439" s="15">
        <f t="shared" si="566"/>
        <v>5</v>
      </c>
      <c r="O2439" s="15">
        <f t="shared" si="567"/>
        <v>5.5125025000000001</v>
      </c>
      <c r="P2439" s="15">
        <f t="shared" si="568"/>
        <v>0</v>
      </c>
      <c r="Q2439" s="14" t="str">
        <f>IF(M2439&gt;=I2439*'Hoja 4 - Cálculo'!$B$16,"Satisfactorio","Falla")</f>
        <v>Satisfactorio</v>
      </c>
      <c r="R2439" s="14">
        <f t="shared" si="570"/>
        <v>0</v>
      </c>
      <c r="S2439" s="14">
        <f t="shared" si="571"/>
        <v>0</v>
      </c>
    </row>
    <row r="2440" spans="1:19">
      <c r="A2440" s="14" t="str">
        <f t="shared" si="562"/>
        <v>CFG-3</v>
      </c>
      <c r="B2440" s="15">
        <f>'Curvas SRY'!$E$11</f>
        <v>5</v>
      </c>
      <c r="C2440" s="15">
        <f>1</f>
        <v>1</v>
      </c>
      <c r="D2440" s="14" t="str">
        <f t="shared" si="563"/>
        <v>Uso prioritario</v>
      </c>
      <c r="E2440" s="14">
        <f>37</f>
        <v>37</v>
      </c>
      <c r="F2440" s="21">
        <f>'Hoja 4 - Cálculo'!A61</f>
        <v>30682</v>
      </c>
      <c r="G2440" s="15">
        <f>'Hoja 4 - Cálculo'!H61</f>
        <v>10.920375</v>
      </c>
      <c r="H2440" s="15">
        <f>IF(D2440="Uso único",'Hoja 4 - Cálculo'!I61,IF(D2440="Uso múltiple",AVERAGE('Hoja 4 - Cálculo'!$I$25:$I$384)+AVERAGE('Hoja 4 - Cálculo'!$J$25:$J$384)+AVERAGE('Hoja 4 - Cálculo'!$K$25:$K$384),IF(D2440="Uso prioritario",'Hoja 4 - Cálculo'!I61+'Hoja 4 - Cálculo'!K61,'Hoja 4 - Cálculo'!I61+'Hoja 4 - Cálculo'!J61+'Hoja 4 - Cálculo'!K61)))</f>
        <v>10</v>
      </c>
      <c r="I2440" s="15">
        <f t="shared" si="561"/>
        <v>10</v>
      </c>
      <c r="J2440" s="15">
        <f t="shared" si="569"/>
        <v>5</v>
      </c>
      <c r="K2440" s="15">
        <f>MIN(J2440+G2440,(J2440+G2440)*'Hoja 4 - Cálculo'!$B$15)</f>
        <v>0.31840750000000001</v>
      </c>
      <c r="L2440" s="15">
        <f t="shared" si="564"/>
        <v>15.601967500000001</v>
      </c>
      <c r="M2440" s="15">
        <f t="shared" si="565"/>
        <v>10</v>
      </c>
      <c r="N2440" s="15">
        <f t="shared" si="566"/>
        <v>5</v>
      </c>
      <c r="O2440" s="15">
        <f t="shared" si="567"/>
        <v>0.60196750000000065</v>
      </c>
      <c r="P2440" s="15">
        <f t="shared" si="568"/>
        <v>0</v>
      </c>
      <c r="Q2440" s="14" t="str">
        <f>IF(M2440&gt;=I2440*'Hoja 4 - Cálculo'!$B$16,"Satisfactorio","Falla")</f>
        <v>Satisfactorio</v>
      </c>
      <c r="R2440" s="14">
        <f t="shared" si="570"/>
        <v>0</v>
      </c>
      <c r="S2440" s="14">
        <f t="shared" si="571"/>
        <v>0</v>
      </c>
    </row>
    <row r="2441" spans="1:19">
      <c r="A2441" s="14" t="str">
        <f t="shared" si="562"/>
        <v>CFG-3</v>
      </c>
      <c r="B2441" s="15">
        <f>'Curvas SRY'!$E$11</f>
        <v>5</v>
      </c>
      <c r="C2441" s="15">
        <f>1</f>
        <v>1</v>
      </c>
      <c r="D2441" s="14" t="str">
        <f t="shared" si="563"/>
        <v>Uso prioritario</v>
      </c>
      <c r="E2441" s="14">
        <f>38</f>
        <v>38</v>
      </c>
      <c r="F2441" s="21">
        <f>'Hoja 4 - Cálculo'!A62</f>
        <v>30713</v>
      </c>
      <c r="G2441" s="15">
        <f>'Hoja 4 - Cálculo'!H62</f>
        <v>13.04325</v>
      </c>
      <c r="H2441" s="15">
        <f>IF(D2441="Uso único",'Hoja 4 - Cálculo'!I62,IF(D2441="Uso múltiple",AVERAGE('Hoja 4 - Cálculo'!$I$25:$I$384)+AVERAGE('Hoja 4 - Cálculo'!$J$25:$J$384)+AVERAGE('Hoja 4 - Cálculo'!$K$25:$K$384),IF(D2441="Uso prioritario",'Hoja 4 - Cálculo'!I62+'Hoja 4 - Cálculo'!K62,'Hoja 4 - Cálculo'!I62+'Hoja 4 - Cálculo'!J62+'Hoja 4 - Cálculo'!K62)))</f>
        <v>10</v>
      </c>
      <c r="I2441" s="15">
        <f t="shared" si="561"/>
        <v>10</v>
      </c>
      <c r="J2441" s="15">
        <f t="shared" si="569"/>
        <v>5</v>
      </c>
      <c r="K2441" s="15">
        <f>MIN(J2441+G2441,(J2441+G2441)*'Hoja 4 - Cálculo'!$B$15)</f>
        <v>0.36086499999999999</v>
      </c>
      <c r="L2441" s="15">
        <f t="shared" si="564"/>
        <v>17.682385</v>
      </c>
      <c r="M2441" s="15">
        <f t="shared" si="565"/>
        <v>10</v>
      </c>
      <c r="N2441" s="15">
        <f t="shared" si="566"/>
        <v>5</v>
      </c>
      <c r="O2441" s="15">
        <f t="shared" si="567"/>
        <v>2.682385</v>
      </c>
      <c r="P2441" s="15">
        <f t="shared" si="568"/>
        <v>0</v>
      </c>
      <c r="Q2441" s="14" t="str">
        <f>IF(M2441&gt;=I2441*'Hoja 4 - Cálculo'!$B$16,"Satisfactorio","Falla")</f>
        <v>Satisfactorio</v>
      </c>
      <c r="R2441" s="14">
        <f t="shared" si="570"/>
        <v>0</v>
      </c>
      <c r="S2441" s="14">
        <f t="shared" si="571"/>
        <v>0</v>
      </c>
    </row>
    <row r="2442" spans="1:19">
      <c r="A2442" s="14" t="str">
        <f t="shared" si="562"/>
        <v>CFG-3</v>
      </c>
      <c r="B2442" s="15">
        <f>'Curvas SRY'!$E$11</f>
        <v>5</v>
      </c>
      <c r="C2442" s="15">
        <f>1</f>
        <v>1</v>
      </c>
      <c r="D2442" s="14" t="str">
        <f t="shared" si="563"/>
        <v>Uso prioritario</v>
      </c>
      <c r="E2442" s="14">
        <f>39</f>
        <v>39</v>
      </c>
      <c r="F2442" s="21">
        <f>'Hoja 4 - Cálculo'!A63</f>
        <v>30742</v>
      </c>
      <c r="G2442" s="15">
        <f>'Hoja 4 - Cálculo'!H63</f>
        <v>20.272500000000001</v>
      </c>
      <c r="H2442" s="15">
        <f>IF(D2442="Uso único",'Hoja 4 - Cálculo'!I63,IF(D2442="Uso múltiple",AVERAGE('Hoja 4 - Cálculo'!$I$25:$I$384)+AVERAGE('Hoja 4 - Cálculo'!$J$25:$J$384)+AVERAGE('Hoja 4 - Cálculo'!$K$25:$K$384),IF(D2442="Uso prioritario",'Hoja 4 - Cálculo'!I63+'Hoja 4 - Cálculo'!K63,'Hoja 4 - Cálculo'!I63+'Hoja 4 - Cálculo'!J63+'Hoja 4 - Cálculo'!K63)))</f>
        <v>10</v>
      </c>
      <c r="I2442" s="15">
        <f t="shared" si="561"/>
        <v>10</v>
      </c>
      <c r="J2442" s="15">
        <f t="shared" si="569"/>
        <v>5</v>
      </c>
      <c r="K2442" s="15">
        <f>MIN(J2442+G2442,(J2442+G2442)*'Hoja 4 - Cálculo'!$B$15)</f>
        <v>0.50545000000000007</v>
      </c>
      <c r="L2442" s="15">
        <f t="shared" si="564"/>
        <v>24.767050000000001</v>
      </c>
      <c r="M2442" s="15">
        <f t="shared" si="565"/>
        <v>10</v>
      </c>
      <c r="N2442" s="15">
        <f t="shared" si="566"/>
        <v>5</v>
      </c>
      <c r="O2442" s="15">
        <f t="shared" si="567"/>
        <v>9.7670500000000011</v>
      </c>
      <c r="P2442" s="15">
        <f t="shared" si="568"/>
        <v>0</v>
      </c>
      <c r="Q2442" s="14" t="str">
        <f>IF(M2442&gt;=I2442*'Hoja 4 - Cálculo'!$B$16,"Satisfactorio","Falla")</f>
        <v>Satisfactorio</v>
      </c>
      <c r="R2442" s="14">
        <f t="shared" si="570"/>
        <v>0</v>
      </c>
      <c r="S2442" s="14">
        <f t="shared" si="571"/>
        <v>0</v>
      </c>
    </row>
    <row r="2443" spans="1:19">
      <c r="A2443" s="14" t="str">
        <f t="shared" si="562"/>
        <v>CFG-3</v>
      </c>
      <c r="B2443" s="15">
        <f>'Curvas SRY'!$E$11</f>
        <v>5</v>
      </c>
      <c r="C2443" s="15">
        <f>1</f>
        <v>1</v>
      </c>
      <c r="D2443" s="14" t="str">
        <f t="shared" si="563"/>
        <v>Uso prioritario</v>
      </c>
      <c r="E2443" s="14">
        <f>40</f>
        <v>40</v>
      </c>
      <c r="F2443" s="21">
        <f>'Hoja 4 - Cálculo'!A64</f>
        <v>30773</v>
      </c>
      <c r="G2443" s="15">
        <f>'Hoja 4 - Cálculo'!H64</f>
        <v>27.922499999999999</v>
      </c>
      <c r="H2443" s="15">
        <f>IF(D2443="Uso único",'Hoja 4 - Cálculo'!I64,IF(D2443="Uso múltiple",AVERAGE('Hoja 4 - Cálculo'!$I$25:$I$384)+AVERAGE('Hoja 4 - Cálculo'!$J$25:$J$384)+AVERAGE('Hoja 4 - Cálculo'!$K$25:$K$384),IF(D2443="Uso prioritario",'Hoja 4 - Cálculo'!I64+'Hoja 4 - Cálculo'!K64,'Hoja 4 - Cálculo'!I64+'Hoja 4 - Cálculo'!J64+'Hoja 4 - Cálculo'!K64)))</f>
        <v>10</v>
      </c>
      <c r="I2443" s="15">
        <f t="shared" si="561"/>
        <v>10</v>
      </c>
      <c r="J2443" s="15">
        <f t="shared" si="569"/>
        <v>5</v>
      </c>
      <c r="K2443" s="15">
        <f>MIN(J2443+G2443,(J2443+G2443)*'Hoja 4 - Cálculo'!$B$15)</f>
        <v>0.65844999999999998</v>
      </c>
      <c r="L2443" s="15">
        <f t="shared" si="564"/>
        <v>32.264049999999997</v>
      </c>
      <c r="M2443" s="15">
        <f t="shared" si="565"/>
        <v>10</v>
      </c>
      <c r="N2443" s="15">
        <f t="shared" si="566"/>
        <v>5</v>
      </c>
      <c r="O2443" s="15">
        <f t="shared" si="567"/>
        <v>17.264049999999997</v>
      </c>
      <c r="P2443" s="15">
        <f t="shared" si="568"/>
        <v>0</v>
      </c>
      <c r="Q2443" s="14" t="str">
        <f>IF(M2443&gt;=I2443*'Hoja 4 - Cálculo'!$B$16,"Satisfactorio","Falla")</f>
        <v>Satisfactorio</v>
      </c>
      <c r="R2443" s="14">
        <f t="shared" si="570"/>
        <v>0</v>
      </c>
      <c r="S2443" s="14">
        <f t="shared" si="571"/>
        <v>0</v>
      </c>
    </row>
    <row r="2444" spans="1:19">
      <c r="A2444" s="14" t="str">
        <f t="shared" si="562"/>
        <v>CFG-3</v>
      </c>
      <c r="B2444" s="15">
        <f>'Curvas SRY'!$E$11</f>
        <v>5</v>
      </c>
      <c r="C2444" s="15">
        <f>1</f>
        <v>1</v>
      </c>
      <c r="D2444" s="14" t="str">
        <f t="shared" si="563"/>
        <v>Uso prioritario</v>
      </c>
      <c r="E2444" s="14">
        <f>41</f>
        <v>41</v>
      </c>
      <c r="F2444" s="21">
        <f>'Hoja 4 - Cálculo'!A65</f>
        <v>30803</v>
      </c>
      <c r="G2444" s="15">
        <f>'Hoja 4 - Cálculo'!H65</f>
        <v>23.657624999999999</v>
      </c>
      <c r="H2444" s="15">
        <f>IF(D2444="Uso único",'Hoja 4 - Cálculo'!I65,IF(D2444="Uso múltiple",AVERAGE('Hoja 4 - Cálculo'!$I$25:$I$384)+AVERAGE('Hoja 4 - Cálculo'!$J$25:$J$384)+AVERAGE('Hoja 4 - Cálculo'!$K$25:$K$384),IF(D2444="Uso prioritario",'Hoja 4 - Cálculo'!I65+'Hoja 4 - Cálculo'!K65,'Hoja 4 - Cálculo'!I65+'Hoja 4 - Cálculo'!J65+'Hoja 4 - Cálculo'!K65)))</f>
        <v>10</v>
      </c>
      <c r="I2444" s="15">
        <f t="shared" si="561"/>
        <v>10</v>
      </c>
      <c r="J2444" s="15">
        <f t="shared" si="569"/>
        <v>5</v>
      </c>
      <c r="K2444" s="15">
        <f>MIN(J2444+G2444,(J2444+G2444)*'Hoja 4 - Cálculo'!$B$15)</f>
        <v>0.57315249999999995</v>
      </c>
      <c r="L2444" s="15">
        <f t="shared" si="564"/>
        <v>28.0844725</v>
      </c>
      <c r="M2444" s="15">
        <f t="shared" si="565"/>
        <v>10</v>
      </c>
      <c r="N2444" s="15">
        <f t="shared" si="566"/>
        <v>5</v>
      </c>
      <c r="O2444" s="15">
        <f t="shared" si="567"/>
        <v>13.0844725</v>
      </c>
      <c r="P2444" s="15">
        <f t="shared" si="568"/>
        <v>0</v>
      </c>
      <c r="Q2444" s="14" t="str">
        <f>IF(M2444&gt;=I2444*'Hoja 4 - Cálculo'!$B$16,"Satisfactorio","Falla")</f>
        <v>Satisfactorio</v>
      </c>
      <c r="R2444" s="14">
        <f t="shared" si="570"/>
        <v>0</v>
      </c>
      <c r="S2444" s="14">
        <f t="shared" si="571"/>
        <v>0</v>
      </c>
    </row>
    <row r="2445" spans="1:19">
      <c r="A2445" s="14" t="str">
        <f t="shared" si="562"/>
        <v>CFG-3</v>
      </c>
      <c r="B2445" s="15">
        <f>'Curvas SRY'!$E$11</f>
        <v>5</v>
      </c>
      <c r="C2445" s="15">
        <f>1</f>
        <v>1</v>
      </c>
      <c r="D2445" s="14" t="str">
        <f t="shared" si="563"/>
        <v>Uso prioritario</v>
      </c>
      <c r="E2445" s="14">
        <f>42</f>
        <v>42</v>
      </c>
      <c r="F2445" s="21">
        <f>'Hoja 4 - Cálculo'!A66</f>
        <v>30834</v>
      </c>
      <c r="G2445" s="15">
        <f>'Hoja 4 - Cálculo'!H66</f>
        <v>14.554125000000001</v>
      </c>
      <c r="H2445" s="15">
        <f>IF(D2445="Uso único",'Hoja 4 - Cálculo'!I66,IF(D2445="Uso múltiple",AVERAGE('Hoja 4 - Cálculo'!$I$25:$I$384)+AVERAGE('Hoja 4 - Cálculo'!$J$25:$J$384)+AVERAGE('Hoja 4 - Cálculo'!$K$25:$K$384),IF(D2445="Uso prioritario",'Hoja 4 - Cálculo'!I66+'Hoja 4 - Cálculo'!K66,'Hoja 4 - Cálculo'!I66+'Hoja 4 - Cálculo'!J66+'Hoja 4 - Cálculo'!K66)))</f>
        <v>10</v>
      </c>
      <c r="I2445" s="15">
        <f t="shared" si="561"/>
        <v>10</v>
      </c>
      <c r="J2445" s="15">
        <f t="shared" si="569"/>
        <v>5</v>
      </c>
      <c r="K2445" s="15">
        <f>MIN(J2445+G2445,(J2445+G2445)*'Hoja 4 - Cálculo'!$B$15)</f>
        <v>0.3910825</v>
      </c>
      <c r="L2445" s="15">
        <f t="shared" si="564"/>
        <v>19.1630425</v>
      </c>
      <c r="M2445" s="15">
        <f t="shared" si="565"/>
        <v>10</v>
      </c>
      <c r="N2445" s="15">
        <f t="shared" si="566"/>
        <v>5</v>
      </c>
      <c r="O2445" s="15">
        <f t="shared" si="567"/>
        <v>4.1630424999999995</v>
      </c>
      <c r="P2445" s="15">
        <f t="shared" si="568"/>
        <v>0</v>
      </c>
      <c r="Q2445" s="14" t="str">
        <f>IF(M2445&gt;=I2445*'Hoja 4 - Cálculo'!$B$16,"Satisfactorio","Falla")</f>
        <v>Satisfactorio</v>
      </c>
      <c r="R2445" s="14">
        <f t="shared" si="570"/>
        <v>0</v>
      </c>
      <c r="S2445" s="14">
        <f t="shared" si="571"/>
        <v>0</v>
      </c>
    </row>
    <row r="2446" spans="1:19">
      <c r="A2446" s="14" t="str">
        <f t="shared" si="562"/>
        <v>CFG-3</v>
      </c>
      <c r="B2446" s="15">
        <f>'Curvas SRY'!$E$11</f>
        <v>5</v>
      </c>
      <c r="C2446" s="15">
        <f>1</f>
        <v>1</v>
      </c>
      <c r="D2446" s="14" t="str">
        <f t="shared" si="563"/>
        <v>Uso prioritario</v>
      </c>
      <c r="E2446" s="14">
        <f>43</f>
        <v>43</v>
      </c>
      <c r="F2446" s="21">
        <f>'Hoja 4 - Cálculo'!A67</f>
        <v>30864</v>
      </c>
      <c r="G2446" s="15">
        <f>'Hoja 4 - Cálculo'!H67</f>
        <v>12.794625</v>
      </c>
      <c r="H2446" s="15">
        <f>IF(D2446="Uso único",'Hoja 4 - Cálculo'!I67,IF(D2446="Uso múltiple",AVERAGE('Hoja 4 - Cálculo'!$I$25:$I$384)+AVERAGE('Hoja 4 - Cálculo'!$J$25:$J$384)+AVERAGE('Hoja 4 - Cálculo'!$K$25:$K$384),IF(D2446="Uso prioritario",'Hoja 4 - Cálculo'!I67+'Hoja 4 - Cálculo'!K67,'Hoja 4 - Cálculo'!I67+'Hoja 4 - Cálculo'!J67+'Hoja 4 - Cálculo'!K67)))</f>
        <v>10</v>
      </c>
      <c r="I2446" s="15">
        <f t="shared" si="561"/>
        <v>10</v>
      </c>
      <c r="J2446" s="15">
        <f t="shared" si="569"/>
        <v>5</v>
      </c>
      <c r="K2446" s="15">
        <f>MIN(J2446+G2446,(J2446+G2446)*'Hoja 4 - Cálculo'!$B$15)</f>
        <v>0.3558925</v>
      </c>
      <c r="L2446" s="15">
        <f t="shared" si="564"/>
        <v>17.4387325</v>
      </c>
      <c r="M2446" s="15">
        <f t="shared" si="565"/>
        <v>10</v>
      </c>
      <c r="N2446" s="15">
        <f t="shared" si="566"/>
        <v>5</v>
      </c>
      <c r="O2446" s="15">
        <f t="shared" si="567"/>
        <v>2.4387325000000004</v>
      </c>
      <c r="P2446" s="15">
        <f t="shared" si="568"/>
        <v>0</v>
      </c>
      <c r="Q2446" s="14" t="str">
        <f>IF(M2446&gt;=I2446*'Hoja 4 - Cálculo'!$B$16,"Satisfactorio","Falla")</f>
        <v>Satisfactorio</v>
      </c>
      <c r="R2446" s="14">
        <f t="shared" si="570"/>
        <v>0</v>
      </c>
      <c r="S2446" s="14">
        <f t="shared" si="571"/>
        <v>0</v>
      </c>
    </row>
    <row r="2447" spans="1:19">
      <c r="A2447" s="14" t="str">
        <f t="shared" si="562"/>
        <v>CFG-3</v>
      </c>
      <c r="B2447" s="15">
        <f>'Curvas SRY'!$E$11</f>
        <v>5</v>
      </c>
      <c r="C2447" s="15">
        <f>1</f>
        <v>1</v>
      </c>
      <c r="D2447" s="14" t="str">
        <f t="shared" si="563"/>
        <v>Uso prioritario</v>
      </c>
      <c r="E2447" s="14">
        <f>44</f>
        <v>44</v>
      </c>
      <c r="F2447" s="21">
        <f>'Hoja 4 - Cálculo'!A68</f>
        <v>30895</v>
      </c>
      <c r="G2447" s="15">
        <f>'Hoja 4 - Cálculo'!H68</f>
        <v>13.6935</v>
      </c>
      <c r="H2447" s="15">
        <f>IF(D2447="Uso único",'Hoja 4 - Cálculo'!I68,IF(D2447="Uso múltiple",AVERAGE('Hoja 4 - Cálculo'!$I$25:$I$384)+AVERAGE('Hoja 4 - Cálculo'!$J$25:$J$384)+AVERAGE('Hoja 4 - Cálculo'!$K$25:$K$384),IF(D2447="Uso prioritario",'Hoja 4 - Cálculo'!I68+'Hoja 4 - Cálculo'!K68,'Hoja 4 - Cálculo'!I68+'Hoja 4 - Cálculo'!J68+'Hoja 4 - Cálculo'!K68)))</f>
        <v>10</v>
      </c>
      <c r="I2447" s="15">
        <f t="shared" si="561"/>
        <v>10</v>
      </c>
      <c r="J2447" s="15">
        <f t="shared" si="569"/>
        <v>5</v>
      </c>
      <c r="K2447" s="15">
        <f>MIN(J2447+G2447,(J2447+G2447)*'Hoja 4 - Cálculo'!$B$15)</f>
        <v>0.37387000000000004</v>
      </c>
      <c r="L2447" s="15">
        <f t="shared" si="564"/>
        <v>18.31963</v>
      </c>
      <c r="M2447" s="15">
        <f t="shared" si="565"/>
        <v>10</v>
      </c>
      <c r="N2447" s="15">
        <f t="shared" si="566"/>
        <v>5</v>
      </c>
      <c r="O2447" s="15">
        <f t="shared" si="567"/>
        <v>3.3196300000000001</v>
      </c>
      <c r="P2447" s="15">
        <f t="shared" si="568"/>
        <v>0</v>
      </c>
      <c r="Q2447" s="14" t="str">
        <f>IF(M2447&gt;=I2447*'Hoja 4 - Cálculo'!$B$16,"Satisfactorio","Falla")</f>
        <v>Satisfactorio</v>
      </c>
      <c r="R2447" s="14">
        <f t="shared" si="570"/>
        <v>0</v>
      </c>
      <c r="S2447" s="14">
        <f t="shared" si="571"/>
        <v>0</v>
      </c>
    </row>
    <row r="2448" spans="1:19">
      <c r="A2448" s="14" t="str">
        <f t="shared" si="562"/>
        <v>CFG-3</v>
      </c>
      <c r="B2448" s="15">
        <f>'Curvas SRY'!$E$11</f>
        <v>5</v>
      </c>
      <c r="C2448" s="15">
        <f>1</f>
        <v>1</v>
      </c>
      <c r="D2448" s="14" t="str">
        <f t="shared" si="563"/>
        <v>Uso prioritario</v>
      </c>
      <c r="E2448" s="14">
        <f>45</f>
        <v>45</v>
      </c>
      <c r="F2448" s="21">
        <f>'Hoja 4 - Cálculo'!A69</f>
        <v>30926</v>
      </c>
      <c r="G2448" s="15">
        <f>'Hoja 4 - Cálculo'!H69</f>
        <v>20.521125000000001</v>
      </c>
      <c r="H2448" s="15">
        <f>IF(D2448="Uso único",'Hoja 4 - Cálculo'!I69,IF(D2448="Uso múltiple",AVERAGE('Hoja 4 - Cálculo'!$I$25:$I$384)+AVERAGE('Hoja 4 - Cálculo'!$J$25:$J$384)+AVERAGE('Hoja 4 - Cálculo'!$K$25:$K$384),IF(D2448="Uso prioritario",'Hoja 4 - Cálculo'!I69+'Hoja 4 - Cálculo'!K69,'Hoja 4 - Cálculo'!I69+'Hoja 4 - Cálculo'!J69+'Hoja 4 - Cálculo'!K69)))</f>
        <v>10</v>
      </c>
      <c r="I2448" s="15">
        <f t="shared" si="561"/>
        <v>10</v>
      </c>
      <c r="J2448" s="15">
        <f t="shared" si="569"/>
        <v>5</v>
      </c>
      <c r="K2448" s="15">
        <f>MIN(J2448+G2448,(J2448+G2448)*'Hoja 4 - Cálculo'!$B$15)</f>
        <v>0.5104225</v>
      </c>
      <c r="L2448" s="15">
        <f t="shared" si="564"/>
        <v>25.010702500000001</v>
      </c>
      <c r="M2448" s="15">
        <f t="shared" si="565"/>
        <v>10</v>
      </c>
      <c r="N2448" s="15">
        <f t="shared" si="566"/>
        <v>5</v>
      </c>
      <c r="O2448" s="15">
        <f t="shared" si="567"/>
        <v>10.010702500000001</v>
      </c>
      <c r="P2448" s="15">
        <f t="shared" si="568"/>
        <v>0</v>
      </c>
      <c r="Q2448" s="14" t="str">
        <f>IF(M2448&gt;=I2448*'Hoja 4 - Cálculo'!$B$16,"Satisfactorio","Falla")</f>
        <v>Satisfactorio</v>
      </c>
      <c r="R2448" s="14">
        <f t="shared" si="570"/>
        <v>0</v>
      </c>
      <c r="S2448" s="14">
        <f t="shared" si="571"/>
        <v>0</v>
      </c>
    </row>
    <row r="2449" spans="1:19">
      <c r="A2449" s="14" t="str">
        <f t="shared" si="562"/>
        <v>CFG-3</v>
      </c>
      <c r="B2449" s="15">
        <f>'Curvas SRY'!$E$11</f>
        <v>5</v>
      </c>
      <c r="C2449" s="15">
        <f>1</f>
        <v>1</v>
      </c>
      <c r="D2449" s="14" t="str">
        <f t="shared" si="563"/>
        <v>Uso prioritario</v>
      </c>
      <c r="E2449" s="14">
        <f>46</f>
        <v>46</v>
      </c>
      <c r="F2449" s="21">
        <f>'Hoja 4 - Cálculo'!A70</f>
        <v>30956</v>
      </c>
      <c r="G2449" s="15">
        <f>'Hoja 4 - Cálculo'!H70</f>
        <v>27.061875000000001</v>
      </c>
      <c r="H2449" s="15">
        <f>IF(D2449="Uso único",'Hoja 4 - Cálculo'!I70,IF(D2449="Uso múltiple",AVERAGE('Hoja 4 - Cálculo'!$I$25:$I$384)+AVERAGE('Hoja 4 - Cálculo'!$J$25:$J$384)+AVERAGE('Hoja 4 - Cálculo'!$K$25:$K$384),IF(D2449="Uso prioritario",'Hoja 4 - Cálculo'!I70+'Hoja 4 - Cálculo'!K70,'Hoja 4 - Cálculo'!I70+'Hoja 4 - Cálculo'!J70+'Hoja 4 - Cálculo'!K70)))</f>
        <v>10</v>
      </c>
      <c r="I2449" s="15">
        <f t="shared" si="561"/>
        <v>10</v>
      </c>
      <c r="J2449" s="15">
        <f t="shared" si="569"/>
        <v>5</v>
      </c>
      <c r="K2449" s="15">
        <f>MIN(J2449+G2449,(J2449+G2449)*'Hoja 4 - Cálculo'!$B$15)</f>
        <v>0.64123750000000002</v>
      </c>
      <c r="L2449" s="15">
        <f t="shared" si="564"/>
        <v>31.420637500000002</v>
      </c>
      <c r="M2449" s="15">
        <f t="shared" si="565"/>
        <v>10</v>
      </c>
      <c r="N2449" s="15">
        <f t="shared" si="566"/>
        <v>5</v>
      </c>
      <c r="O2449" s="15">
        <f t="shared" si="567"/>
        <v>16.420637500000002</v>
      </c>
      <c r="P2449" s="15">
        <f t="shared" si="568"/>
        <v>0</v>
      </c>
      <c r="Q2449" s="14" t="str">
        <f>IF(M2449&gt;=I2449*'Hoja 4 - Cálculo'!$B$16,"Satisfactorio","Falla")</f>
        <v>Satisfactorio</v>
      </c>
      <c r="R2449" s="14">
        <f t="shared" si="570"/>
        <v>0</v>
      </c>
      <c r="S2449" s="14">
        <f t="shared" si="571"/>
        <v>0</v>
      </c>
    </row>
    <row r="2450" spans="1:19">
      <c r="A2450" s="14" t="str">
        <f t="shared" si="562"/>
        <v>CFG-3</v>
      </c>
      <c r="B2450" s="15">
        <f>'Curvas SRY'!$E$11</f>
        <v>5</v>
      </c>
      <c r="C2450" s="15">
        <f>1</f>
        <v>1</v>
      </c>
      <c r="D2450" s="14" t="str">
        <f t="shared" si="563"/>
        <v>Uso prioritario</v>
      </c>
      <c r="E2450" s="14">
        <f>47</f>
        <v>47</v>
      </c>
      <c r="F2450" s="21">
        <f>'Hoja 4 - Cálculo'!A71</f>
        <v>30987</v>
      </c>
      <c r="G2450" s="15">
        <f>'Hoja 4 - Cálculo'!H71</f>
        <v>24.346125000000001</v>
      </c>
      <c r="H2450" s="15">
        <f>IF(D2450="Uso único",'Hoja 4 - Cálculo'!I71,IF(D2450="Uso múltiple",AVERAGE('Hoja 4 - Cálculo'!$I$25:$I$384)+AVERAGE('Hoja 4 - Cálculo'!$J$25:$J$384)+AVERAGE('Hoja 4 - Cálculo'!$K$25:$K$384),IF(D2450="Uso prioritario",'Hoja 4 - Cálculo'!I71+'Hoja 4 - Cálculo'!K71,'Hoja 4 - Cálculo'!I71+'Hoja 4 - Cálculo'!J71+'Hoja 4 - Cálculo'!K71)))</f>
        <v>10</v>
      </c>
      <c r="I2450" s="15">
        <f t="shared" si="561"/>
        <v>10</v>
      </c>
      <c r="J2450" s="15">
        <f t="shared" si="569"/>
        <v>5</v>
      </c>
      <c r="K2450" s="15">
        <f>MIN(J2450+G2450,(J2450+G2450)*'Hoja 4 - Cálculo'!$B$15)</f>
        <v>0.58692250000000001</v>
      </c>
      <c r="L2450" s="15">
        <f t="shared" si="564"/>
        <v>28.759202500000001</v>
      </c>
      <c r="M2450" s="15">
        <f t="shared" si="565"/>
        <v>10</v>
      </c>
      <c r="N2450" s="15">
        <f t="shared" si="566"/>
        <v>5</v>
      </c>
      <c r="O2450" s="15">
        <f t="shared" si="567"/>
        <v>13.759202500000001</v>
      </c>
      <c r="P2450" s="15">
        <f t="shared" si="568"/>
        <v>0</v>
      </c>
      <c r="Q2450" s="14" t="str">
        <f>IF(M2450&gt;=I2450*'Hoja 4 - Cálculo'!$B$16,"Satisfactorio","Falla")</f>
        <v>Satisfactorio</v>
      </c>
      <c r="R2450" s="14">
        <f t="shared" si="570"/>
        <v>0</v>
      </c>
      <c r="S2450" s="14">
        <f t="shared" si="571"/>
        <v>0</v>
      </c>
    </row>
    <row r="2451" spans="1:19">
      <c r="A2451" s="14" t="str">
        <f t="shared" si="562"/>
        <v>CFG-3</v>
      </c>
      <c r="B2451" s="15">
        <f>'Curvas SRY'!$E$11</f>
        <v>5</v>
      </c>
      <c r="C2451" s="15">
        <f>1</f>
        <v>1</v>
      </c>
      <c r="D2451" s="14" t="str">
        <f t="shared" si="563"/>
        <v>Uso prioritario</v>
      </c>
      <c r="E2451" s="14">
        <f>48</f>
        <v>48</v>
      </c>
      <c r="F2451" s="21">
        <f>'Hoja 4 - Cálculo'!A72</f>
        <v>31017</v>
      </c>
      <c r="G2451" s="15">
        <f>'Hoja 4 - Cálculo'!H72</f>
        <v>14.745374999999999</v>
      </c>
      <c r="H2451" s="15">
        <f>IF(D2451="Uso único",'Hoja 4 - Cálculo'!I72,IF(D2451="Uso múltiple",AVERAGE('Hoja 4 - Cálculo'!$I$25:$I$384)+AVERAGE('Hoja 4 - Cálculo'!$J$25:$J$384)+AVERAGE('Hoja 4 - Cálculo'!$K$25:$K$384),IF(D2451="Uso prioritario",'Hoja 4 - Cálculo'!I72+'Hoja 4 - Cálculo'!K72,'Hoja 4 - Cálculo'!I72+'Hoja 4 - Cálculo'!J72+'Hoja 4 - Cálculo'!K72)))</f>
        <v>10</v>
      </c>
      <c r="I2451" s="15">
        <f t="shared" si="561"/>
        <v>10</v>
      </c>
      <c r="J2451" s="15">
        <f t="shared" si="569"/>
        <v>5</v>
      </c>
      <c r="K2451" s="15">
        <f>MIN(J2451+G2451,(J2451+G2451)*'Hoja 4 - Cálculo'!$B$15)</f>
        <v>0.39490749999999997</v>
      </c>
      <c r="L2451" s="15">
        <f t="shared" si="564"/>
        <v>19.350467500000001</v>
      </c>
      <c r="M2451" s="15">
        <f t="shared" si="565"/>
        <v>10</v>
      </c>
      <c r="N2451" s="15">
        <f t="shared" si="566"/>
        <v>5</v>
      </c>
      <c r="O2451" s="15">
        <f t="shared" si="567"/>
        <v>4.3504675000000006</v>
      </c>
      <c r="P2451" s="15">
        <f t="shared" si="568"/>
        <v>0</v>
      </c>
      <c r="Q2451" s="14" t="str">
        <f>IF(M2451&gt;=I2451*'Hoja 4 - Cálculo'!$B$16,"Satisfactorio","Falla")</f>
        <v>Satisfactorio</v>
      </c>
      <c r="R2451" s="14">
        <f t="shared" si="570"/>
        <v>0</v>
      </c>
      <c r="S2451" s="14">
        <f t="shared" si="571"/>
        <v>0</v>
      </c>
    </row>
    <row r="2452" spans="1:19">
      <c r="A2452" s="14" t="str">
        <f t="shared" si="562"/>
        <v>CFG-3</v>
      </c>
      <c r="B2452" s="15">
        <f>'Curvas SRY'!$E$11</f>
        <v>5</v>
      </c>
      <c r="C2452" s="15">
        <f>1</f>
        <v>1</v>
      </c>
      <c r="D2452" s="14" t="str">
        <f t="shared" si="563"/>
        <v>Uso prioritario</v>
      </c>
      <c r="E2452" s="14">
        <f>49</f>
        <v>49</v>
      </c>
      <c r="F2452" s="21">
        <f>'Hoja 4 - Cálculo'!A73</f>
        <v>31048</v>
      </c>
      <c r="G2452" s="15">
        <f>'Hoja 4 - Cálculo'!H73</f>
        <v>10.767374999999999</v>
      </c>
      <c r="H2452" s="15">
        <f>IF(D2452="Uso único",'Hoja 4 - Cálculo'!I73,IF(D2452="Uso múltiple",AVERAGE('Hoja 4 - Cálculo'!$I$25:$I$384)+AVERAGE('Hoja 4 - Cálculo'!$J$25:$J$384)+AVERAGE('Hoja 4 - Cálculo'!$K$25:$K$384),IF(D2452="Uso prioritario",'Hoja 4 - Cálculo'!I73+'Hoja 4 - Cálculo'!K73,'Hoja 4 - Cálculo'!I73+'Hoja 4 - Cálculo'!J73+'Hoja 4 - Cálculo'!K73)))</f>
        <v>10</v>
      </c>
      <c r="I2452" s="15">
        <f t="shared" si="561"/>
        <v>10</v>
      </c>
      <c r="J2452" s="15">
        <f t="shared" si="569"/>
        <v>5</v>
      </c>
      <c r="K2452" s="15">
        <f>MIN(J2452+G2452,(J2452+G2452)*'Hoja 4 - Cálculo'!$B$15)</f>
        <v>0.3153475</v>
      </c>
      <c r="L2452" s="15">
        <f t="shared" si="564"/>
        <v>15.4520275</v>
      </c>
      <c r="M2452" s="15">
        <f t="shared" si="565"/>
        <v>10</v>
      </c>
      <c r="N2452" s="15">
        <f t="shared" si="566"/>
        <v>5</v>
      </c>
      <c r="O2452" s="15">
        <f t="shared" si="567"/>
        <v>0.4520274999999998</v>
      </c>
      <c r="P2452" s="15">
        <f t="shared" si="568"/>
        <v>0</v>
      </c>
      <c r="Q2452" s="14" t="str">
        <f>IF(M2452&gt;=I2452*'Hoja 4 - Cálculo'!$B$16,"Satisfactorio","Falla")</f>
        <v>Satisfactorio</v>
      </c>
      <c r="R2452" s="14">
        <f t="shared" si="570"/>
        <v>0</v>
      </c>
      <c r="S2452" s="14">
        <f t="shared" si="571"/>
        <v>0</v>
      </c>
    </row>
    <row r="2453" spans="1:19">
      <c r="A2453" s="14" t="str">
        <f t="shared" si="562"/>
        <v>CFG-3</v>
      </c>
      <c r="B2453" s="15">
        <f>'Curvas SRY'!$E$11</f>
        <v>5</v>
      </c>
      <c r="C2453" s="15">
        <f>1</f>
        <v>1</v>
      </c>
      <c r="D2453" s="14" t="str">
        <f t="shared" si="563"/>
        <v>Uso prioritario</v>
      </c>
      <c r="E2453" s="14">
        <f>50</f>
        <v>50</v>
      </c>
      <c r="F2453" s="21">
        <f>'Hoja 4 - Cálculo'!A74</f>
        <v>31079</v>
      </c>
      <c r="G2453" s="15">
        <f>'Hoja 4 - Cálculo'!H74</f>
        <v>13.464</v>
      </c>
      <c r="H2453" s="15">
        <f>IF(D2453="Uso único",'Hoja 4 - Cálculo'!I74,IF(D2453="Uso múltiple",AVERAGE('Hoja 4 - Cálculo'!$I$25:$I$384)+AVERAGE('Hoja 4 - Cálculo'!$J$25:$J$384)+AVERAGE('Hoja 4 - Cálculo'!$K$25:$K$384),IF(D2453="Uso prioritario",'Hoja 4 - Cálculo'!I74+'Hoja 4 - Cálculo'!K74,'Hoja 4 - Cálculo'!I74+'Hoja 4 - Cálculo'!J74+'Hoja 4 - Cálculo'!K74)))</f>
        <v>10</v>
      </c>
      <c r="I2453" s="15">
        <f t="shared" si="561"/>
        <v>10</v>
      </c>
      <c r="J2453" s="15">
        <f t="shared" si="569"/>
        <v>5</v>
      </c>
      <c r="K2453" s="15">
        <f>MIN(J2453+G2453,(J2453+G2453)*'Hoja 4 - Cálculo'!$B$15)</f>
        <v>0.36928</v>
      </c>
      <c r="L2453" s="15">
        <f t="shared" si="564"/>
        <v>18.094719999999999</v>
      </c>
      <c r="M2453" s="15">
        <f t="shared" si="565"/>
        <v>10</v>
      </c>
      <c r="N2453" s="15">
        <f t="shared" si="566"/>
        <v>5</v>
      </c>
      <c r="O2453" s="15">
        <f t="shared" si="567"/>
        <v>3.0947199999999988</v>
      </c>
      <c r="P2453" s="15">
        <f t="shared" si="568"/>
        <v>0</v>
      </c>
      <c r="Q2453" s="14" t="str">
        <f>IF(M2453&gt;=I2453*'Hoja 4 - Cálculo'!$B$16,"Satisfactorio","Falla")</f>
        <v>Satisfactorio</v>
      </c>
      <c r="R2453" s="14">
        <f t="shared" si="570"/>
        <v>0</v>
      </c>
      <c r="S2453" s="14">
        <f t="shared" si="571"/>
        <v>0</v>
      </c>
    </row>
    <row r="2454" spans="1:19">
      <c r="A2454" s="14" t="str">
        <f t="shared" si="562"/>
        <v>CFG-3</v>
      </c>
      <c r="B2454" s="15">
        <f>'Curvas SRY'!$E$11</f>
        <v>5</v>
      </c>
      <c r="C2454" s="15">
        <f>1</f>
        <v>1</v>
      </c>
      <c r="D2454" s="14" t="str">
        <f t="shared" si="563"/>
        <v>Uso prioritario</v>
      </c>
      <c r="E2454" s="14">
        <f>51</f>
        <v>51</v>
      </c>
      <c r="F2454" s="21">
        <f>'Hoja 4 - Cálculo'!A75</f>
        <v>31107</v>
      </c>
      <c r="G2454" s="15">
        <f>'Hoja 4 - Cálculo'!H75</f>
        <v>19.450125</v>
      </c>
      <c r="H2454" s="15">
        <f>IF(D2454="Uso único",'Hoja 4 - Cálculo'!I75,IF(D2454="Uso múltiple",AVERAGE('Hoja 4 - Cálculo'!$I$25:$I$384)+AVERAGE('Hoja 4 - Cálculo'!$J$25:$J$384)+AVERAGE('Hoja 4 - Cálculo'!$K$25:$K$384),IF(D2454="Uso prioritario",'Hoja 4 - Cálculo'!I75+'Hoja 4 - Cálculo'!K75,'Hoja 4 - Cálculo'!I75+'Hoja 4 - Cálculo'!J75+'Hoja 4 - Cálculo'!K75)))</f>
        <v>10</v>
      </c>
      <c r="I2454" s="15">
        <f t="shared" si="561"/>
        <v>10</v>
      </c>
      <c r="J2454" s="15">
        <f t="shared" si="569"/>
        <v>5</v>
      </c>
      <c r="K2454" s="15">
        <f>MIN(J2454+G2454,(J2454+G2454)*'Hoja 4 - Cálculo'!$B$15)</f>
        <v>0.48900250000000001</v>
      </c>
      <c r="L2454" s="15">
        <f t="shared" si="564"/>
        <v>23.961122499999998</v>
      </c>
      <c r="M2454" s="15">
        <f t="shared" si="565"/>
        <v>10</v>
      </c>
      <c r="N2454" s="15">
        <f t="shared" si="566"/>
        <v>5</v>
      </c>
      <c r="O2454" s="15">
        <f t="shared" si="567"/>
        <v>8.9611224999999983</v>
      </c>
      <c r="P2454" s="15">
        <f t="shared" si="568"/>
        <v>0</v>
      </c>
      <c r="Q2454" s="14" t="str">
        <f>IF(M2454&gt;=I2454*'Hoja 4 - Cálculo'!$B$16,"Satisfactorio","Falla")</f>
        <v>Satisfactorio</v>
      </c>
      <c r="R2454" s="14">
        <f t="shared" si="570"/>
        <v>0</v>
      </c>
      <c r="S2454" s="14">
        <f t="shared" si="571"/>
        <v>0</v>
      </c>
    </row>
    <row r="2455" spans="1:19">
      <c r="A2455" s="14" t="str">
        <f t="shared" si="562"/>
        <v>CFG-3</v>
      </c>
      <c r="B2455" s="15">
        <f>'Curvas SRY'!$E$11</f>
        <v>5</v>
      </c>
      <c r="C2455" s="15">
        <f>1</f>
        <v>1</v>
      </c>
      <c r="D2455" s="14" t="str">
        <f t="shared" si="563"/>
        <v>Uso prioritario</v>
      </c>
      <c r="E2455" s="14">
        <f>52</f>
        <v>52</v>
      </c>
      <c r="F2455" s="21">
        <f>'Hoja 4 - Cálculo'!A76</f>
        <v>31138</v>
      </c>
      <c r="G2455" s="15">
        <f>'Hoja 4 - Cálculo'!H76</f>
        <v>25.51275</v>
      </c>
      <c r="H2455" s="15">
        <f>IF(D2455="Uso único",'Hoja 4 - Cálculo'!I76,IF(D2455="Uso múltiple",AVERAGE('Hoja 4 - Cálculo'!$I$25:$I$384)+AVERAGE('Hoja 4 - Cálculo'!$J$25:$J$384)+AVERAGE('Hoja 4 - Cálculo'!$K$25:$K$384),IF(D2455="Uso prioritario",'Hoja 4 - Cálculo'!I76+'Hoja 4 - Cálculo'!K76,'Hoja 4 - Cálculo'!I76+'Hoja 4 - Cálculo'!J76+'Hoja 4 - Cálculo'!K76)))</f>
        <v>10</v>
      </c>
      <c r="I2455" s="15">
        <f t="shared" si="561"/>
        <v>10</v>
      </c>
      <c r="J2455" s="15">
        <f t="shared" si="569"/>
        <v>5</v>
      </c>
      <c r="K2455" s="15">
        <f>MIN(J2455+G2455,(J2455+G2455)*'Hoja 4 - Cálculo'!$B$15)</f>
        <v>0.61025499999999999</v>
      </c>
      <c r="L2455" s="15">
        <f t="shared" si="564"/>
        <v>29.902495000000002</v>
      </c>
      <c r="M2455" s="15">
        <f t="shared" si="565"/>
        <v>10</v>
      </c>
      <c r="N2455" s="15">
        <f t="shared" si="566"/>
        <v>5</v>
      </c>
      <c r="O2455" s="15">
        <f t="shared" si="567"/>
        <v>14.902495000000002</v>
      </c>
      <c r="P2455" s="15">
        <f t="shared" si="568"/>
        <v>0</v>
      </c>
      <c r="Q2455" s="14" t="str">
        <f>IF(M2455&gt;=I2455*'Hoja 4 - Cálculo'!$B$16,"Satisfactorio","Falla")</f>
        <v>Satisfactorio</v>
      </c>
      <c r="R2455" s="14">
        <f t="shared" si="570"/>
        <v>0</v>
      </c>
      <c r="S2455" s="14">
        <f t="shared" si="571"/>
        <v>0</v>
      </c>
    </row>
    <row r="2456" spans="1:19">
      <c r="A2456" s="14" t="str">
        <f t="shared" si="562"/>
        <v>CFG-3</v>
      </c>
      <c r="B2456" s="15">
        <f>'Curvas SRY'!$E$11</f>
        <v>5</v>
      </c>
      <c r="C2456" s="15">
        <f>1</f>
        <v>1</v>
      </c>
      <c r="D2456" s="14" t="str">
        <f t="shared" si="563"/>
        <v>Uso prioritario</v>
      </c>
      <c r="E2456" s="14">
        <f>53</f>
        <v>53</v>
      </c>
      <c r="F2456" s="21">
        <f>'Hoja 4 - Cálculo'!A77</f>
        <v>31168</v>
      </c>
      <c r="G2456" s="15">
        <f>'Hoja 4 - Cálculo'!H77</f>
        <v>24.36525</v>
      </c>
      <c r="H2456" s="15">
        <f>IF(D2456="Uso único",'Hoja 4 - Cálculo'!I77,IF(D2456="Uso múltiple",AVERAGE('Hoja 4 - Cálculo'!$I$25:$I$384)+AVERAGE('Hoja 4 - Cálculo'!$J$25:$J$384)+AVERAGE('Hoja 4 - Cálculo'!$K$25:$K$384),IF(D2456="Uso prioritario",'Hoja 4 - Cálculo'!I77+'Hoja 4 - Cálculo'!K77,'Hoja 4 - Cálculo'!I77+'Hoja 4 - Cálculo'!J77+'Hoja 4 - Cálculo'!K77)))</f>
        <v>10</v>
      </c>
      <c r="I2456" s="15">
        <f t="shared" si="561"/>
        <v>10</v>
      </c>
      <c r="J2456" s="15">
        <f t="shared" si="569"/>
        <v>5</v>
      </c>
      <c r="K2456" s="15">
        <f>MIN(J2456+G2456,(J2456+G2456)*'Hoja 4 - Cálculo'!$B$15)</f>
        <v>0.58730499999999997</v>
      </c>
      <c r="L2456" s="15">
        <f t="shared" si="564"/>
        <v>28.777944999999999</v>
      </c>
      <c r="M2456" s="15">
        <f t="shared" si="565"/>
        <v>10</v>
      </c>
      <c r="N2456" s="15">
        <f t="shared" si="566"/>
        <v>5</v>
      </c>
      <c r="O2456" s="15">
        <f t="shared" si="567"/>
        <v>13.777944999999999</v>
      </c>
      <c r="P2456" s="15">
        <f t="shared" si="568"/>
        <v>0</v>
      </c>
      <c r="Q2456" s="14" t="str">
        <f>IF(M2456&gt;=I2456*'Hoja 4 - Cálculo'!$B$16,"Satisfactorio","Falla")</f>
        <v>Satisfactorio</v>
      </c>
      <c r="R2456" s="14">
        <f t="shared" si="570"/>
        <v>0</v>
      </c>
      <c r="S2456" s="14">
        <f t="shared" si="571"/>
        <v>0</v>
      </c>
    </row>
    <row r="2457" spans="1:19">
      <c r="A2457" s="14" t="str">
        <f t="shared" si="562"/>
        <v>CFG-3</v>
      </c>
      <c r="B2457" s="15">
        <f>'Curvas SRY'!$E$11</f>
        <v>5</v>
      </c>
      <c r="C2457" s="15">
        <f>1</f>
        <v>1</v>
      </c>
      <c r="D2457" s="14" t="str">
        <f t="shared" si="563"/>
        <v>Uso prioritario</v>
      </c>
      <c r="E2457" s="14">
        <f>54</f>
        <v>54</v>
      </c>
      <c r="F2457" s="21">
        <f>'Hoja 4 - Cálculo'!A78</f>
        <v>31199</v>
      </c>
      <c r="G2457" s="15">
        <f>'Hoja 4 - Cálculo'!H78</f>
        <v>15.395625000000001</v>
      </c>
      <c r="H2457" s="15">
        <f>IF(D2457="Uso único",'Hoja 4 - Cálculo'!I78,IF(D2457="Uso múltiple",AVERAGE('Hoja 4 - Cálculo'!$I$25:$I$384)+AVERAGE('Hoja 4 - Cálculo'!$J$25:$J$384)+AVERAGE('Hoja 4 - Cálculo'!$K$25:$K$384),IF(D2457="Uso prioritario",'Hoja 4 - Cálculo'!I78+'Hoja 4 - Cálculo'!K78,'Hoja 4 - Cálculo'!I78+'Hoja 4 - Cálculo'!J78+'Hoja 4 - Cálculo'!K78)))</f>
        <v>10</v>
      </c>
      <c r="I2457" s="15">
        <f t="shared" si="561"/>
        <v>10</v>
      </c>
      <c r="J2457" s="15">
        <f t="shared" si="569"/>
        <v>5</v>
      </c>
      <c r="K2457" s="15">
        <f>MIN(J2457+G2457,(J2457+G2457)*'Hoja 4 - Cálculo'!$B$15)</f>
        <v>0.40791250000000007</v>
      </c>
      <c r="L2457" s="15">
        <f t="shared" si="564"/>
        <v>19.987712500000004</v>
      </c>
      <c r="M2457" s="15">
        <f t="shared" si="565"/>
        <v>10</v>
      </c>
      <c r="N2457" s="15">
        <f t="shared" si="566"/>
        <v>5</v>
      </c>
      <c r="O2457" s="15">
        <f t="shared" si="567"/>
        <v>4.9877125000000042</v>
      </c>
      <c r="P2457" s="15">
        <f t="shared" si="568"/>
        <v>0</v>
      </c>
      <c r="Q2457" s="14" t="str">
        <f>IF(M2457&gt;=I2457*'Hoja 4 - Cálculo'!$B$16,"Satisfactorio","Falla")</f>
        <v>Satisfactorio</v>
      </c>
      <c r="R2457" s="14">
        <f t="shared" si="570"/>
        <v>0</v>
      </c>
      <c r="S2457" s="14">
        <f t="shared" si="571"/>
        <v>0</v>
      </c>
    </row>
    <row r="2458" spans="1:19">
      <c r="A2458" s="14" t="str">
        <f t="shared" si="562"/>
        <v>CFG-3</v>
      </c>
      <c r="B2458" s="15">
        <f>'Curvas SRY'!$E$11</f>
        <v>5</v>
      </c>
      <c r="C2458" s="15">
        <f>1</f>
        <v>1</v>
      </c>
      <c r="D2458" s="14" t="str">
        <f t="shared" si="563"/>
        <v>Uso prioritario</v>
      </c>
      <c r="E2458" s="14">
        <f>55</f>
        <v>55</v>
      </c>
      <c r="F2458" s="21">
        <f>'Hoja 4 - Cálculo'!A79</f>
        <v>31229</v>
      </c>
      <c r="G2458" s="15">
        <f>'Hoja 4 - Cálculo'!H79</f>
        <v>11.742749999999999</v>
      </c>
      <c r="H2458" s="15">
        <f>IF(D2458="Uso único",'Hoja 4 - Cálculo'!I79,IF(D2458="Uso múltiple",AVERAGE('Hoja 4 - Cálculo'!$I$25:$I$384)+AVERAGE('Hoja 4 - Cálculo'!$J$25:$J$384)+AVERAGE('Hoja 4 - Cálculo'!$K$25:$K$384),IF(D2458="Uso prioritario",'Hoja 4 - Cálculo'!I79+'Hoja 4 - Cálculo'!K79,'Hoja 4 - Cálculo'!I79+'Hoja 4 - Cálculo'!J79+'Hoja 4 - Cálculo'!K79)))</f>
        <v>10</v>
      </c>
      <c r="I2458" s="15">
        <f t="shared" si="561"/>
        <v>10</v>
      </c>
      <c r="J2458" s="15">
        <f t="shared" si="569"/>
        <v>5</v>
      </c>
      <c r="K2458" s="15">
        <f>MIN(J2458+G2458,(J2458+G2458)*'Hoja 4 - Cálculo'!$B$15)</f>
        <v>0.33485500000000001</v>
      </c>
      <c r="L2458" s="15">
        <f t="shared" si="564"/>
        <v>16.407895</v>
      </c>
      <c r="M2458" s="15">
        <f t="shared" si="565"/>
        <v>10</v>
      </c>
      <c r="N2458" s="15">
        <f t="shared" si="566"/>
        <v>5</v>
      </c>
      <c r="O2458" s="15">
        <f t="shared" si="567"/>
        <v>1.4078949999999999</v>
      </c>
      <c r="P2458" s="15">
        <f t="shared" si="568"/>
        <v>0</v>
      </c>
      <c r="Q2458" s="14" t="str">
        <f>IF(M2458&gt;=I2458*'Hoja 4 - Cálculo'!$B$16,"Satisfactorio","Falla")</f>
        <v>Satisfactorio</v>
      </c>
      <c r="R2458" s="14">
        <f t="shared" si="570"/>
        <v>0</v>
      </c>
      <c r="S2458" s="14">
        <f t="shared" si="571"/>
        <v>0</v>
      </c>
    </row>
    <row r="2459" spans="1:19">
      <c r="A2459" s="14" t="str">
        <f t="shared" si="562"/>
        <v>CFG-3</v>
      </c>
      <c r="B2459" s="15">
        <f>'Curvas SRY'!$E$11</f>
        <v>5</v>
      </c>
      <c r="C2459" s="15">
        <f>1</f>
        <v>1</v>
      </c>
      <c r="D2459" s="14" t="str">
        <f t="shared" si="563"/>
        <v>Uso prioritario</v>
      </c>
      <c r="E2459" s="14">
        <f>56</f>
        <v>56</v>
      </c>
      <c r="F2459" s="21">
        <f>'Hoja 4 - Cálculo'!A80</f>
        <v>31260</v>
      </c>
      <c r="G2459" s="15">
        <f>'Hoja 4 - Cálculo'!H80</f>
        <v>12.603375</v>
      </c>
      <c r="H2459" s="15">
        <f>IF(D2459="Uso único",'Hoja 4 - Cálculo'!I80,IF(D2459="Uso múltiple",AVERAGE('Hoja 4 - Cálculo'!$I$25:$I$384)+AVERAGE('Hoja 4 - Cálculo'!$J$25:$J$384)+AVERAGE('Hoja 4 - Cálculo'!$K$25:$K$384),IF(D2459="Uso prioritario",'Hoja 4 - Cálculo'!I80+'Hoja 4 - Cálculo'!K80,'Hoja 4 - Cálculo'!I80+'Hoja 4 - Cálculo'!J80+'Hoja 4 - Cálculo'!K80)))</f>
        <v>10</v>
      </c>
      <c r="I2459" s="15">
        <f t="shared" si="561"/>
        <v>10</v>
      </c>
      <c r="J2459" s="15">
        <f t="shared" si="569"/>
        <v>5</v>
      </c>
      <c r="K2459" s="15">
        <f>MIN(J2459+G2459,(J2459+G2459)*'Hoja 4 - Cálculo'!$B$15)</f>
        <v>0.35206749999999998</v>
      </c>
      <c r="L2459" s="15">
        <f t="shared" si="564"/>
        <v>17.251307499999999</v>
      </c>
      <c r="M2459" s="15">
        <f t="shared" si="565"/>
        <v>10</v>
      </c>
      <c r="N2459" s="15">
        <f t="shared" si="566"/>
        <v>5</v>
      </c>
      <c r="O2459" s="15">
        <f t="shared" si="567"/>
        <v>2.2513074999999994</v>
      </c>
      <c r="P2459" s="15">
        <f t="shared" si="568"/>
        <v>0</v>
      </c>
      <c r="Q2459" s="14" t="str">
        <f>IF(M2459&gt;=I2459*'Hoja 4 - Cálculo'!$B$16,"Satisfactorio","Falla")</f>
        <v>Satisfactorio</v>
      </c>
      <c r="R2459" s="14">
        <f t="shared" si="570"/>
        <v>0</v>
      </c>
      <c r="S2459" s="14">
        <f t="shared" si="571"/>
        <v>0</v>
      </c>
    </row>
    <row r="2460" spans="1:19">
      <c r="A2460" s="14" t="str">
        <f t="shared" si="562"/>
        <v>CFG-3</v>
      </c>
      <c r="B2460" s="15">
        <f>'Curvas SRY'!$E$11</f>
        <v>5</v>
      </c>
      <c r="C2460" s="15">
        <f>1</f>
        <v>1</v>
      </c>
      <c r="D2460" s="14" t="str">
        <f t="shared" si="563"/>
        <v>Uso prioritario</v>
      </c>
      <c r="E2460" s="14">
        <f>57</f>
        <v>57</v>
      </c>
      <c r="F2460" s="21">
        <f>'Hoja 4 - Cálculo'!A81</f>
        <v>31291</v>
      </c>
      <c r="G2460" s="15">
        <f>'Hoja 4 - Cálculo'!H81</f>
        <v>21.745125000000002</v>
      </c>
      <c r="H2460" s="15">
        <f>IF(D2460="Uso único",'Hoja 4 - Cálculo'!I81,IF(D2460="Uso múltiple",AVERAGE('Hoja 4 - Cálculo'!$I$25:$I$384)+AVERAGE('Hoja 4 - Cálculo'!$J$25:$J$384)+AVERAGE('Hoja 4 - Cálculo'!$K$25:$K$384),IF(D2460="Uso prioritario",'Hoja 4 - Cálculo'!I81+'Hoja 4 - Cálculo'!K81,'Hoja 4 - Cálculo'!I81+'Hoja 4 - Cálculo'!J81+'Hoja 4 - Cálculo'!K81)))</f>
        <v>10</v>
      </c>
      <c r="I2460" s="15">
        <f t="shared" si="561"/>
        <v>10</v>
      </c>
      <c r="J2460" s="15">
        <f t="shared" si="569"/>
        <v>5</v>
      </c>
      <c r="K2460" s="15">
        <f>MIN(J2460+G2460,(J2460+G2460)*'Hoja 4 - Cálculo'!$B$15)</f>
        <v>0.53490250000000006</v>
      </c>
      <c r="L2460" s="15">
        <f t="shared" si="564"/>
        <v>26.2102225</v>
      </c>
      <c r="M2460" s="15">
        <f t="shared" si="565"/>
        <v>10</v>
      </c>
      <c r="N2460" s="15">
        <f t="shared" si="566"/>
        <v>5</v>
      </c>
      <c r="O2460" s="15">
        <f t="shared" si="567"/>
        <v>11.2102225</v>
      </c>
      <c r="P2460" s="15">
        <f t="shared" si="568"/>
        <v>0</v>
      </c>
      <c r="Q2460" s="14" t="str">
        <f>IF(M2460&gt;=I2460*'Hoja 4 - Cálculo'!$B$16,"Satisfactorio","Falla")</f>
        <v>Satisfactorio</v>
      </c>
      <c r="R2460" s="14">
        <f t="shared" si="570"/>
        <v>0</v>
      </c>
      <c r="S2460" s="14">
        <f t="shared" si="571"/>
        <v>0</v>
      </c>
    </row>
    <row r="2461" spans="1:19">
      <c r="A2461" s="14" t="str">
        <f t="shared" si="562"/>
        <v>CFG-3</v>
      </c>
      <c r="B2461" s="15">
        <f>'Curvas SRY'!$E$11</f>
        <v>5</v>
      </c>
      <c r="C2461" s="15">
        <f>1</f>
        <v>1</v>
      </c>
      <c r="D2461" s="14" t="str">
        <f t="shared" si="563"/>
        <v>Uso prioritario</v>
      </c>
      <c r="E2461" s="14">
        <f>58</f>
        <v>58</v>
      </c>
      <c r="F2461" s="21">
        <f>'Hoja 4 - Cálculo'!A82</f>
        <v>31321</v>
      </c>
      <c r="G2461" s="15">
        <f>'Hoja 4 - Cálculo'!H82</f>
        <v>27.788625</v>
      </c>
      <c r="H2461" s="15">
        <f>IF(D2461="Uso único",'Hoja 4 - Cálculo'!I82,IF(D2461="Uso múltiple",AVERAGE('Hoja 4 - Cálculo'!$I$25:$I$384)+AVERAGE('Hoja 4 - Cálculo'!$J$25:$J$384)+AVERAGE('Hoja 4 - Cálculo'!$K$25:$K$384),IF(D2461="Uso prioritario",'Hoja 4 - Cálculo'!I82+'Hoja 4 - Cálculo'!K82,'Hoja 4 - Cálculo'!I82+'Hoja 4 - Cálculo'!J82+'Hoja 4 - Cálculo'!K82)))</f>
        <v>10</v>
      </c>
      <c r="I2461" s="15">
        <f t="shared" si="561"/>
        <v>10</v>
      </c>
      <c r="J2461" s="15">
        <f t="shared" si="569"/>
        <v>5</v>
      </c>
      <c r="K2461" s="15">
        <f>MIN(J2461+G2461,(J2461+G2461)*'Hoja 4 - Cálculo'!$B$15)</f>
        <v>0.65577249999999998</v>
      </c>
      <c r="L2461" s="15">
        <f t="shared" si="564"/>
        <v>32.132852499999998</v>
      </c>
      <c r="M2461" s="15">
        <f t="shared" si="565"/>
        <v>10</v>
      </c>
      <c r="N2461" s="15">
        <f t="shared" si="566"/>
        <v>5</v>
      </c>
      <c r="O2461" s="15">
        <f t="shared" si="567"/>
        <v>17.132852499999998</v>
      </c>
      <c r="P2461" s="15">
        <f t="shared" si="568"/>
        <v>0</v>
      </c>
      <c r="Q2461" s="14" t="str">
        <f>IF(M2461&gt;=I2461*'Hoja 4 - Cálculo'!$B$16,"Satisfactorio","Falla")</f>
        <v>Satisfactorio</v>
      </c>
      <c r="R2461" s="14">
        <f t="shared" si="570"/>
        <v>0</v>
      </c>
      <c r="S2461" s="14">
        <f t="shared" si="571"/>
        <v>0</v>
      </c>
    </row>
    <row r="2462" spans="1:19">
      <c r="A2462" s="14" t="str">
        <f t="shared" si="562"/>
        <v>CFG-3</v>
      </c>
      <c r="B2462" s="15">
        <f>'Curvas SRY'!$E$11</f>
        <v>5</v>
      </c>
      <c r="C2462" s="15">
        <f>1</f>
        <v>1</v>
      </c>
      <c r="D2462" s="14" t="str">
        <f t="shared" si="563"/>
        <v>Uso prioritario</v>
      </c>
      <c r="E2462" s="14">
        <f>59</f>
        <v>59</v>
      </c>
      <c r="F2462" s="21">
        <f>'Hoja 4 - Cálculo'!A83</f>
        <v>31352</v>
      </c>
      <c r="G2462" s="15">
        <f>'Hoja 4 - Cálculo'!H83</f>
        <v>22.22325</v>
      </c>
      <c r="H2462" s="15">
        <f>IF(D2462="Uso único",'Hoja 4 - Cálculo'!I83,IF(D2462="Uso múltiple",AVERAGE('Hoja 4 - Cálculo'!$I$25:$I$384)+AVERAGE('Hoja 4 - Cálculo'!$J$25:$J$384)+AVERAGE('Hoja 4 - Cálculo'!$K$25:$K$384),IF(D2462="Uso prioritario",'Hoja 4 - Cálculo'!I83+'Hoja 4 - Cálculo'!K83,'Hoja 4 - Cálculo'!I83+'Hoja 4 - Cálculo'!J83+'Hoja 4 - Cálculo'!K83)))</f>
        <v>10</v>
      </c>
      <c r="I2462" s="15">
        <f t="shared" si="561"/>
        <v>10</v>
      </c>
      <c r="J2462" s="15">
        <f t="shared" si="569"/>
        <v>5</v>
      </c>
      <c r="K2462" s="15">
        <f>MIN(J2462+G2462,(J2462+G2462)*'Hoja 4 - Cálculo'!$B$15)</f>
        <v>0.54446499999999998</v>
      </c>
      <c r="L2462" s="15">
        <f t="shared" si="564"/>
        <v>26.678785000000001</v>
      </c>
      <c r="M2462" s="15">
        <f t="shared" si="565"/>
        <v>10</v>
      </c>
      <c r="N2462" s="15">
        <f t="shared" si="566"/>
        <v>5</v>
      </c>
      <c r="O2462" s="15">
        <f t="shared" si="567"/>
        <v>11.678785000000001</v>
      </c>
      <c r="P2462" s="15">
        <f t="shared" si="568"/>
        <v>0</v>
      </c>
      <c r="Q2462" s="14" t="str">
        <f>IF(M2462&gt;=I2462*'Hoja 4 - Cálculo'!$B$16,"Satisfactorio","Falla")</f>
        <v>Satisfactorio</v>
      </c>
      <c r="R2462" s="14">
        <f t="shared" si="570"/>
        <v>0</v>
      </c>
      <c r="S2462" s="14">
        <f t="shared" si="571"/>
        <v>0</v>
      </c>
    </row>
    <row r="2463" spans="1:19">
      <c r="A2463" s="14" t="str">
        <f t="shared" si="562"/>
        <v>CFG-3</v>
      </c>
      <c r="B2463" s="15">
        <f>'Curvas SRY'!$E$11</f>
        <v>5</v>
      </c>
      <c r="C2463" s="15">
        <f>1</f>
        <v>1</v>
      </c>
      <c r="D2463" s="14" t="str">
        <f t="shared" si="563"/>
        <v>Uso prioritario</v>
      </c>
      <c r="E2463" s="14">
        <f>60</f>
        <v>60</v>
      </c>
      <c r="F2463" s="21">
        <f>'Hoja 4 - Cálculo'!A84</f>
        <v>31382</v>
      </c>
      <c r="G2463" s="15">
        <f>'Hoja 4 - Cálculo'!H84</f>
        <v>14.171625000000001</v>
      </c>
      <c r="H2463" s="15">
        <f>IF(D2463="Uso único",'Hoja 4 - Cálculo'!I84,IF(D2463="Uso múltiple",AVERAGE('Hoja 4 - Cálculo'!$I$25:$I$384)+AVERAGE('Hoja 4 - Cálculo'!$J$25:$J$384)+AVERAGE('Hoja 4 - Cálculo'!$K$25:$K$384),IF(D2463="Uso prioritario",'Hoja 4 - Cálculo'!I84+'Hoja 4 - Cálculo'!K84,'Hoja 4 - Cálculo'!I84+'Hoja 4 - Cálculo'!J84+'Hoja 4 - Cálculo'!K84)))</f>
        <v>10</v>
      </c>
      <c r="I2463" s="15">
        <f t="shared" si="561"/>
        <v>10</v>
      </c>
      <c r="J2463" s="15">
        <f t="shared" si="569"/>
        <v>5</v>
      </c>
      <c r="K2463" s="15">
        <f>MIN(J2463+G2463,(J2463+G2463)*'Hoja 4 - Cálculo'!$B$15)</f>
        <v>0.38343250000000001</v>
      </c>
      <c r="L2463" s="15">
        <f t="shared" si="564"/>
        <v>18.788192499999997</v>
      </c>
      <c r="M2463" s="15">
        <f t="shared" si="565"/>
        <v>10</v>
      </c>
      <c r="N2463" s="15">
        <f t="shared" si="566"/>
        <v>5</v>
      </c>
      <c r="O2463" s="15">
        <f t="shared" si="567"/>
        <v>3.7881924999999974</v>
      </c>
      <c r="P2463" s="15">
        <f t="shared" si="568"/>
        <v>0</v>
      </c>
      <c r="Q2463" s="14" t="str">
        <f>IF(M2463&gt;=I2463*'Hoja 4 - Cálculo'!$B$16,"Satisfactorio","Falla")</f>
        <v>Satisfactorio</v>
      </c>
      <c r="R2463" s="14">
        <f t="shared" si="570"/>
        <v>0</v>
      </c>
      <c r="S2463" s="14">
        <f t="shared" si="571"/>
        <v>0</v>
      </c>
    </row>
    <row r="2464" spans="1:19">
      <c r="A2464" s="14" t="str">
        <f t="shared" si="562"/>
        <v>CFG-3</v>
      </c>
      <c r="B2464" s="15">
        <f>'Curvas SRY'!$E$11</f>
        <v>5</v>
      </c>
      <c r="C2464" s="15">
        <f>1</f>
        <v>1</v>
      </c>
      <c r="D2464" s="14" t="str">
        <f t="shared" si="563"/>
        <v>Uso prioritario</v>
      </c>
      <c r="E2464" s="14">
        <f>61</f>
        <v>61</v>
      </c>
      <c r="F2464" s="21">
        <f>'Hoja 4 - Cálculo'!A85</f>
        <v>31413</v>
      </c>
      <c r="G2464" s="15">
        <f>'Hoja 4 - Cálculo'!H85</f>
        <v>12.641624999999999</v>
      </c>
      <c r="H2464" s="15">
        <f>IF(D2464="Uso único",'Hoja 4 - Cálculo'!I85,IF(D2464="Uso múltiple",AVERAGE('Hoja 4 - Cálculo'!$I$25:$I$384)+AVERAGE('Hoja 4 - Cálculo'!$J$25:$J$384)+AVERAGE('Hoja 4 - Cálculo'!$K$25:$K$384),IF(D2464="Uso prioritario",'Hoja 4 - Cálculo'!I85+'Hoja 4 - Cálculo'!K85,'Hoja 4 - Cálculo'!I85+'Hoja 4 - Cálculo'!J85+'Hoja 4 - Cálculo'!K85)))</f>
        <v>10</v>
      </c>
      <c r="I2464" s="15">
        <f t="shared" si="561"/>
        <v>10</v>
      </c>
      <c r="J2464" s="15">
        <f t="shared" si="569"/>
        <v>5</v>
      </c>
      <c r="K2464" s="15">
        <f>MIN(J2464+G2464,(J2464+G2464)*'Hoja 4 - Cálculo'!$B$15)</f>
        <v>0.35283249999999994</v>
      </c>
      <c r="L2464" s="15">
        <f t="shared" si="564"/>
        <v>17.288792499999996</v>
      </c>
      <c r="M2464" s="15">
        <f t="shared" si="565"/>
        <v>10</v>
      </c>
      <c r="N2464" s="15">
        <f t="shared" si="566"/>
        <v>5</v>
      </c>
      <c r="O2464" s="15">
        <f t="shared" si="567"/>
        <v>2.288792499999996</v>
      </c>
      <c r="P2464" s="15">
        <f t="shared" si="568"/>
        <v>0</v>
      </c>
      <c r="Q2464" s="14" t="str">
        <f>IF(M2464&gt;=I2464*'Hoja 4 - Cálculo'!$B$16,"Satisfactorio","Falla")</f>
        <v>Satisfactorio</v>
      </c>
      <c r="R2464" s="14">
        <f t="shared" si="570"/>
        <v>0</v>
      </c>
      <c r="S2464" s="14">
        <f t="shared" si="571"/>
        <v>0</v>
      </c>
    </row>
    <row r="2465" spans="1:19">
      <c r="A2465" s="14" t="str">
        <f t="shared" si="562"/>
        <v>CFG-3</v>
      </c>
      <c r="B2465" s="15">
        <f>'Curvas SRY'!$E$11</f>
        <v>5</v>
      </c>
      <c r="C2465" s="15">
        <f>1</f>
        <v>1</v>
      </c>
      <c r="D2465" s="14" t="str">
        <f t="shared" si="563"/>
        <v>Uso prioritario</v>
      </c>
      <c r="E2465" s="14">
        <f>62</f>
        <v>62</v>
      </c>
      <c r="F2465" s="21">
        <f>'Hoja 4 - Cálculo'!A86</f>
        <v>31444</v>
      </c>
      <c r="G2465" s="15">
        <f>'Hoja 4 - Cálculo'!H86</f>
        <v>15.357374999999999</v>
      </c>
      <c r="H2465" s="15">
        <f>IF(D2465="Uso único",'Hoja 4 - Cálculo'!I86,IF(D2465="Uso múltiple",AVERAGE('Hoja 4 - Cálculo'!$I$25:$I$384)+AVERAGE('Hoja 4 - Cálculo'!$J$25:$J$384)+AVERAGE('Hoja 4 - Cálculo'!$K$25:$K$384),IF(D2465="Uso prioritario",'Hoja 4 - Cálculo'!I86+'Hoja 4 - Cálculo'!K86,'Hoja 4 - Cálculo'!I86+'Hoja 4 - Cálculo'!J86+'Hoja 4 - Cálculo'!K86)))</f>
        <v>10</v>
      </c>
      <c r="I2465" s="15">
        <f t="shared" si="561"/>
        <v>10</v>
      </c>
      <c r="J2465" s="15">
        <f t="shared" si="569"/>
        <v>5</v>
      </c>
      <c r="K2465" s="15">
        <f>MIN(J2465+G2465,(J2465+G2465)*'Hoja 4 - Cálculo'!$B$15)</f>
        <v>0.40714749999999994</v>
      </c>
      <c r="L2465" s="15">
        <f t="shared" si="564"/>
        <v>19.950227499999997</v>
      </c>
      <c r="M2465" s="15">
        <f t="shared" si="565"/>
        <v>10</v>
      </c>
      <c r="N2465" s="15">
        <f t="shared" si="566"/>
        <v>5</v>
      </c>
      <c r="O2465" s="15">
        <f t="shared" si="567"/>
        <v>4.9502274999999969</v>
      </c>
      <c r="P2465" s="15">
        <f t="shared" si="568"/>
        <v>0</v>
      </c>
      <c r="Q2465" s="14" t="str">
        <f>IF(M2465&gt;=I2465*'Hoja 4 - Cálculo'!$B$16,"Satisfactorio","Falla")</f>
        <v>Satisfactorio</v>
      </c>
      <c r="R2465" s="14">
        <f t="shared" si="570"/>
        <v>0</v>
      </c>
      <c r="S2465" s="14">
        <f t="shared" si="571"/>
        <v>0</v>
      </c>
    </row>
    <row r="2466" spans="1:19">
      <c r="A2466" s="14" t="str">
        <f t="shared" si="562"/>
        <v>CFG-3</v>
      </c>
      <c r="B2466" s="15">
        <f>'Curvas SRY'!$E$11</f>
        <v>5</v>
      </c>
      <c r="C2466" s="15">
        <f>1</f>
        <v>1</v>
      </c>
      <c r="D2466" s="14" t="str">
        <f t="shared" si="563"/>
        <v>Uso prioritario</v>
      </c>
      <c r="E2466" s="14">
        <f>63</f>
        <v>63</v>
      </c>
      <c r="F2466" s="21">
        <f>'Hoja 4 - Cálculo'!A87</f>
        <v>31472</v>
      </c>
      <c r="G2466" s="15">
        <f>'Hoja 4 - Cálculo'!H87</f>
        <v>20.846250000000001</v>
      </c>
      <c r="H2466" s="15">
        <f>IF(D2466="Uso único",'Hoja 4 - Cálculo'!I87,IF(D2466="Uso múltiple",AVERAGE('Hoja 4 - Cálculo'!$I$25:$I$384)+AVERAGE('Hoja 4 - Cálculo'!$J$25:$J$384)+AVERAGE('Hoja 4 - Cálculo'!$K$25:$K$384),IF(D2466="Uso prioritario",'Hoja 4 - Cálculo'!I87+'Hoja 4 - Cálculo'!K87,'Hoja 4 - Cálculo'!I87+'Hoja 4 - Cálculo'!J87+'Hoja 4 - Cálculo'!K87)))</f>
        <v>10</v>
      </c>
      <c r="I2466" s="15">
        <f t="shared" si="561"/>
        <v>10</v>
      </c>
      <c r="J2466" s="15">
        <f t="shared" si="569"/>
        <v>5</v>
      </c>
      <c r="K2466" s="15">
        <f>MIN(J2466+G2466,(J2466+G2466)*'Hoja 4 - Cálculo'!$B$15)</f>
        <v>0.51692500000000008</v>
      </c>
      <c r="L2466" s="15">
        <f t="shared" si="564"/>
        <v>25.329325000000001</v>
      </c>
      <c r="M2466" s="15">
        <f t="shared" si="565"/>
        <v>10</v>
      </c>
      <c r="N2466" s="15">
        <f t="shared" si="566"/>
        <v>5</v>
      </c>
      <c r="O2466" s="15">
        <f t="shared" si="567"/>
        <v>10.329325000000001</v>
      </c>
      <c r="P2466" s="15">
        <f t="shared" si="568"/>
        <v>0</v>
      </c>
      <c r="Q2466" s="14" t="str">
        <f>IF(M2466&gt;=I2466*'Hoja 4 - Cálculo'!$B$16,"Satisfactorio","Falla")</f>
        <v>Satisfactorio</v>
      </c>
      <c r="R2466" s="14">
        <f t="shared" si="570"/>
        <v>0</v>
      </c>
      <c r="S2466" s="14">
        <f t="shared" si="571"/>
        <v>0</v>
      </c>
    </row>
    <row r="2467" spans="1:19">
      <c r="A2467" s="14" t="str">
        <f t="shared" si="562"/>
        <v>CFG-3</v>
      </c>
      <c r="B2467" s="15">
        <f>'Curvas SRY'!$E$11</f>
        <v>5</v>
      </c>
      <c r="C2467" s="15">
        <f>1</f>
        <v>1</v>
      </c>
      <c r="D2467" s="14" t="str">
        <f t="shared" si="563"/>
        <v>Uso prioritario</v>
      </c>
      <c r="E2467" s="14">
        <f>64</f>
        <v>64</v>
      </c>
      <c r="F2467" s="21">
        <f>'Hoja 4 - Cálculo'!A88</f>
        <v>31503</v>
      </c>
      <c r="G2467" s="15">
        <f>'Hoja 4 - Cálculo'!H88</f>
        <v>30.638249999999999</v>
      </c>
      <c r="H2467" s="15">
        <f>IF(D2467="Uso único",'Hoja 4 - Cálculo'!I88,IF(D2467="Uso múltiple",AVERAGE('Hoja 4 - Cálculo'!$I$25:$I$384)+AVERAGE('Hoja 4 - Cálculo'!$J$25:$J$384)+AVERAGE('Hoja 4 - Cálculo'!$K$25:$K$384),IF(D2467="Uso prioritario",'Hoja 4 - Cálculo'!I88+'Hoja 4 - Cálculo'!K88,'Hoja 4 - Cálculo'!I88+'Hoja 4 - Cálculo'!J88+'Hoja 4 - Cálculo'!K88)))</f>
        <v>10</v>
      </c>
      <c r="I2467" s="15">
        <f t="shared" si="561"/>
        <v>10</v>
      </c>
      <c r="J2467" s="15">
        <f t="shared" si="569"/>
        <v>5</v>
      </c>
      <c r="K2467" s="15">
        <f>MIN(J2467+G2467,(J2467+G2467)*'Hoja 4 - Cálculo'!$B$15)</f>
        <v>0.71276499999999998</v>
      </c>
      <c r="L2467" s="15">
        <f t="shared" si="564"/>
        <v>34.925485000000002</v>
      </c>
      <c r="M2467" s="15">
        <f t="shared" si="565"/>
        <v>10</v>
      </c>
      <c r="N2467" s="15">
        <f t="shared" si="566"/>
        <v>5</v>
      </c>
      <c r="O2467" s="15">
        <f t="shared" si="567"/>
        <v>19.925485000000002</v>
      </c>
      <c r="P2467" s="15">
        <f t="shared" si="568"/>
        <v>0</v>
      </c>
      <c r="Q2467" s="14" t="str">
        <f>IF(M2467&gt;=I2467*'Hoja 4 - Cálculo'!$B$16,"Satisfactorio","Falla")</f>
        <v>Satisfactorio</v>
      </c>
      <c r="R2467" s="14">
        <f t="shared" si="570"/>
        <v>0</v>
      </c>
      <c r="S2467" s="14">
        <f t="shared" si="571"/>
        <v>0</v>
      </c>
    </row>
    <row r="2468" spans="1:19">
      <c r="A2468" s="14" t="str">
        <f t="shared" ref="A2468:A2499" si="572">"CFG-3"</f>
        <v>CFG-3</v>
      </c>
      <c r="B2468" s="15">
        <f>'Curvas SRY'!$E$11</f>
        <v>5</v>
      </c>
      <c r="C2468" s="15">
        <f>1</f>
        <v>1</v>
      </c>
      <c r="D2468" s="14" t="str">
        <f t="shared" ref="D2468:D2499" si="573">"Uso prioritario"</f>
        <v>Uso prioritario</v>
      </c>
      <c r="E2468" s="14">
        <f>65</f>
        <v>65</v>
      </c>
      <c r="F2468" s="21">
        <f>'Hoja 4 - Cálculo'!A89</f>
        <v>31533</v>
      </c>
      <c r="G2468" s="15">
        <f>'Hoja 4 - Cálculo'!H89</f>
        <v>28.438874999999999</v>
      </c>
      <c r="H2468" s="15">
        <f>IF(D2468="Uso único",'Hoja 4 - Cálculo'!I89,IF(D2468="Uso múltiple",AVERAGE('Hoja 4 - Cálculo'!$I$25:$I$384)+AVERAGE('Hoja 4 - Cálculo'!$J$25:$J$384)+AVERAGE('Hoja 4 - Cálculo'!$K$25:$K$384),IF(D2468="Uso prioritario",'Hoja 4 - Cálculo'!I89+'Hoja 4 - Cálculo'!K89,'Hoja 4 - Cálculo'!I89+'Hoja 4 - Cálculo'!J89+'Hoja 4 - Cálculo'!K89)))</f>
        <v>10</v>
      </c>
      <c r="I2468" s="15">
        <f t="shared" si="561"/>
        <v>10</v>
      </c>
      <c r="J2468" s="15">
        <f t="shared" si="569"/>
        <v>5</v>
      </c>
      <c r="K2468" s="15">
        <f>MIN(J2468+G2468,(J2468+G2468)*'Hoja 4 - Cálculo'!$B$15)</f>
        <v>0.66877749999999991</v>
      </c>
      <c r="L2468" s="15">
        <f t="shared" si="564"/>
        <v>32.770097499999999</v>
      </c>
      <c r="M2468" s="15">
        <f t="shared" si="565"/>
        <v>10</v>
      </c>
      <c r="N2468" s="15">
        <f t="shared" si="566"/>
        <v>5</v>
      </c>
      <c r="O2468" s="15">
        <f t="shared" si="567"/>
        <v>17.770097499999999</v>
      </c>
      <c r="P2468" s="15">
        <f t="shared" si="568"/>
        <v>0</v>
      </c>
      <c r="Q2468" s="14" t="str">
        <f>IF(M2468&gt;=I2468*'Hoja 4 - Cálculo'!$B$16,"Satisfactorio","Falla")</f>
        <v>Satisfactorio</v>
      </c>
      <c r="R2468" s="14">
        <f t="shared" si="570"/>
        <v>0</v>
      </c>
      <c r="S2468" s="14">
        <f t="shared" si="571"/>
        <v>0</v>
      </c>
    </row>
    <row r="2469" spans="1:19">
      <c r="A2469" s="14" t="str">
        <f t="shared" si="572"/>
        <v>CFG-3</v>
      </c>
      <c r="B2469" s="15">
        <f>'Curvas SRY'!$E$11</f>
        <v>5</v>
      </c>
      <c r="C2469" s="15">
        <f>1</f>
        <v>1</v>
      </c>
      <c r="D2469" s="14" t="str">
        <f t="shared" si="573"/>
        <v>Uso prioritario</v>
      </c>
      <c r="E2469" s="14">
        <f>66</f>
        <v>66</v>
      </c>
      <c r="F2469" s="21">
        <f>'Hoja 4 - Cálculo'!A90</f>
        <v>31564</v>
      </c>
      <c r="G2469" s="15">
        <f>'Hoja 4 - Cálculo'!H90</f>
        <v>16.007625000000001</v>
      </c>
      <c r="H2469" s="15">
        <f>IF(D2469="Uso único",'Hoja 4 - Cálculo'!I90,IF(D2469="Uso múltiple",AVERAGE('Hoja 4 - Cálculo'!$I$25:$I$384)+AVERAGE('Hoja 4 - Cálculo'!$J$25:$J$384)+AVERAGE('Hoja 4 - Cálculo'!$K$25:$K$384),IF(D2469="Uso prioritario",'Hoja 4 - Cálculo'!I90+'Hoja 4 - Cálculo'!K90,'Hoja 4 - Cálculo'!I90+'Hoja 4 - Cálculo'!J90+'Hoja 4 - Cálculo'!K90)))</f>
        <v>10</v>
      </c>
      <c r="I2469" s="15">
        <f t="shared" si="561"/>
        <v>10</v>
      </c>
      <c r="J2469" s="15">
        <f t="shared" ref="J2469:J2500" si="574">N2468</f>
        <v>5</v>
      </c>
      <c r="K2469" s="15">
        <f>MIN(J2469+G2469,(J2469+G2469)*'Hoja 4 - Cálculo'!$B$15)</f>
        <v>0.42015250000000004</v>
      </c>
      <c r="L2469" s="15">
        <f t="shared" si="564"/>
        <v>20.587472500000001</v>
      </c>
      <c r="M2469" s="15">
        <f t="shared" si="565"/>
        <v>10</v>
      </c>
      <c r="N2469" s="15">
        <f t="shared" si="566"/>
        <v>5</v>
      </c>
      <c r="O2469" s="15">
        <f t="shared" si="567"/>
        <v>5.5874725000000005</v>
      </c>
      <c r="P2469" s="15">
        <f t="shared" si="568"/>
        <v>0</v>
      </c>
      <c r="Q2469" s="14" t="str">
        <f>IF(M2469&gt;=I2469*'Hoja 4 - Cálculo'!$B$16,"Satisfactorio","Falla")</f>
        <v>Satisfactorio</v>
      </c>
      <c r="R2469" s="14">
        <f t="shared" ref="R2469:R2500" si="575">IF(AND(Q2468="Falla",Q2469="Satisfactorio"),1,0)</f>
        <v>0</v>
      </c>
      <c r="S2469" s="14">
        <f t="shared" ref="S2469:S2500" si="576">IF(AND(Q2469="Falla",Q2468&lt;&gt;"Falla"),1,0)</f>
        <v>0</v>
      </c>
    </row>
    <row r="2470" spans="1:19">
      <c r="A2470" s="14" t="str">
        <f t="shared" si="572"/>
        <v>CFG-3</v>
      </c>
      <c r="B2470" s="15">
        <f>'Curvas SRY'!$E$11</f>
        <v>5</v>
      </c>
      <c r="C2470" s="15">
        <f>1</f>
        <v>1</v>
      </c>
      <c r="D2470" s="14" t="str">
        <f t="shared" si="573"/>
        <v>Uso prioritario</v>
      </c>
      <c r="E2470" s="14">
        <f>67</f>
        <v>67</v>
      </c>
      <c r="F2470" s="21">
        <f>'Hoja 4 - Cálculo'!A91</f>
        <v>31594</v>
      </c>
      <c r="G2470" s="15">
        <f>'Hoja 4 - Cálculo'!H91</f>
        <v>14.056875</v>
      </c>
      <c r="H2470" s="15">
        <f>IF(D2470="Uso único",'Hoja 4 - Cálculo'!I91,IF(D2470="Uso múltiple",AVERAGE('Hoja 4 - Cálculo'!$I$25:$I$384)+AVERAGE('Hoja 4 - Cálculo'!$J$25:$J$384)+AVERAGE('Hoja 4 - Cálculo'!$K$25:$K$384),IF(D2470="Uso prioritario",'Hoja 4 - Cálculo'!I91+'Hoja 4 - Cálculo'!K91,'Hoja 4 - Cálculo'!I91+'Hoja 4 - Cálculo'!J91+'Hoja 4 - Cálculo'!K91)))</f>
        <v>10</v>
      </c>
      <c r="I2470" s="15">
        <f t="shared" si="561"/>
        <v>10</v>
      </c>
      <c r="J2470" s="15">
        <f t="shared" si="574"/>
        <v>5</v>
      </c>
      <c r="K2470" s="15">
        <f>MIN(J2470+G2470,(J2470+G2470)*'Hoja 4 - Cálculo'!$B$15)</f>
        <v>0.38113749999999996</v>
      </c>
      <c r="L2470" s="15">
        <f t="shared" si="564"/>
        <v>18.675737499999997</v>
      </c>
      <c r="M2470" s="15">
        <f t="shared" si="565"/>
        <v>10</v>
      </c>
      <c r="N2470" s="15">
        <f t="shared" si="566"/>
        <v>5</v>
      </c>
      <c r="O2470" s="15">
        <f t="shared" si="567"/>
        <v>3.6757374999999968</v>
      </c>
      <c r="P2470" s="15">
        <f t="shared" si="568"/>
        <v>0</v>
      </c>
      <c r="Q2470" s="14" t="str">
        <f>IF(M2470&gt;=I2470*'Hoja 4 - Cálculo'!$B$16,"Satisfactorio","Falla")</f>
        <v>Satisfactorio</v>
      </c>
      <c r="R2470" s="14">
        <f t="shared" si="575"/>
        <v>0</v>
      </c>
      <c r="S2470" s="14">
        <f t="shared" si="576"/>
        <v>0</v>
      </c>
    </row>
    <row r="2471" spans="1:19">
      <c r="A2471" s="14" t="str">
        <f t="shared" si="572"/>
        <v>CFG-3</v>
      </c>
      <c r="B2471" s="15">
        <f>'Curvas SRY'!$E$11</f>
        <v>5</v>
      </c>
      <c r="C2471" s="15">
        <f>1</f>
        <v>1</v>
      </c>
      <c r="D2471" s="14" t="str">
        <f t="shared" si="573"/>
        <v>Uso prioritario</v>
      </c>
      <c r="E2471" s="14">
        <f>68</f>
        <v>68</v>
      </c>
      <c r="F2471" s="21">
        <f>'Hoja 4 - Cálculo'!A92</f>
        <v>31625</v>
      </c>
      <c r="G2471" s="15">
        <f>'Hoja 4 - Cálculo'!H92</f>
        <v>15.032249999999999</v>
      </c>
      <c r="H2471" s="15">
        <f>IF(D2471="Uso único",'Hoja 4 - Cálculo'!I92,IF(D2471="Uso múltiple",AVERAGE('Hoja 4 - Cálculo'!$I$25:$I$384)+AVERAGE('Hoja 4 - Cálculo'!$J$25:$J$384)+AVERAGE('Hoja 4 - Cálculo'!$K$25:$K$384),IF(D2471="Uso prioritario",'Hoja 4 - Cálculo'!I92+'Hoja 4 - Cálculo'!K92,'Hoja 4 - Cálculo'!I92+'Hoja 4 - Cálculo'!J92+'Hoja 4 - Cálculo'!K92)))</f>
        <v>10</v>
      </c>
      <c r="I2471" s="15">
        <f t="shared" si="561"/>
        <v>10</v>
      </c>
      <c r="J2471" s="15">
        <f t="shared" si="574"/>
        <v>5</v>
      </c>
      <c r="K2471" s="15">
        <f>MIN(J2471+G2471,(J2471+G2471)*'Hoja 4 - Cálculo'!$B$15)</f>
        <v>0.40064499999999997</v>
      </c>
      <c r="L2471" s="15">
        <f t="shared" si="564"/>
        <v>19.631604999999997</v>
      </c>
      <c r="M2471" s="15">
        <f t="shared" si="565"/>
        <v>10</v>
      </c>
      <c r="N2471" s="15">
        <f t="shared" si="566"/>
        <v>5</v>
      </c>
      <c r="O2471" s="15">
        <f t="shared" si="567"/>
        <v>4.6316049999999969</v>
      </c>
      <c r="P2471" s="15">
        <f t="shared" si="568"/>
        <v>0</v>
      </c>
      <c r="Q2471" s="14" t="str">
        <f>IF(M2471&gt;=I2471*'Hoja 4 - Cálculo'!$B$16,"Satisfactorio","Falla")</f>
        <v>Satisfactorio</v>
      </c>
      <c r="R2471" s="14">
        <f t="shared" si="575"/>
        <v>0</v>
      </c>
      <c r="S2471" s="14">
        <f t="shared" si="576"/>
        <v>0</v>
      </c>
    </row>
    <row r="2472" spans="1:19">
      <c r="A2472" s="14" t="str">
        <f t="shared" si="572"/>
        <v>CFG-3</v>
      </c>
      <c r="B2472" s="15">
        <f>'Curvas SRY'!$E$11</f>
        <v>5</v>
      </c>
      <c r="C2472" s="15">
        <f>1</f>
        <v>1</v>
      </c>
      <c r="D2472" s="14" t="str">
        <f t="shared" si="573"/>
        <v>Uso prioritario</v>
      </c>
      <c r="E2472" s="14">
        <f>69</f>
        <v>69</v>
      </c>
      <c r="F2472" s="21">
        <f>'Hoja 4 - Cálculo'!A93</f>
        <v>31656</v>
      </c>
      <c r="G2472" s="15">
        <f>'Hoja 4 - Cálculo'!H93</f>
        <v>22.60575</v>
      </c>
      <c r="H2472" s="15">
        <f>IF(D2472="Uso único",'Hoja 4 - Cálculo'!I93,IF(D2472="Uso múltiple",AVERAGE('Hoja 4 - Cálculo'!$I$25:$I$384)+AVERAGE('Hoja 4 - Cálculo'!$J$25:$J$384)+AVERAGE('Hoja 4 - Cálculo'!$K$25:$K$384),IF(D2472="Uso prioritario",'Hoja 4 - Cálculo'!I93+'Hoja 4 - Cálculo'!K93,'Hoja 4 - Cálculo'!I93+'Hoja 4 - Cálculo'!J93+'Hoja 4 - Cálculo'!K93)))</f>
        <v>10</v>
      </c>
      <c r="I2472" s="15">
        <f t="shared" si="561"/>
        <v>10</v>
      </c>
      <c r="J2472" s="15">
        <f t="shared" si="574"/>
        <v>5</v>
      </c>
      <c r="K2472" s="15">
        <f>MIN(J2472+G2472,(J2472+G2472)*'Hoja 4 - Cálculo'!$B$15)</f>
        <v>0.55211500000000002</v>
      </c>
      <c r="L2472" s="15">
        <f t="shared" si="564"/>
        <v>27.053635</v>
      </c>
      <c r="M2472" s="15">
        <f t="shared" si="565"/>
        <v>10</v>
      </c>
      <c r="N2472" s="15">
        <f t="shared" si="566"/>
        <v>5</v>
      </c>
      <c r="O2472" s="15">
        <f t="shared" si="567"/>
        <v>12.053635</v>
      </c>
      <c r="P2472" s="15">
        <f t="shared" si="568"/>
        <v>0</v>
      </c>
      <c r="Q2472" s="14" t="str">
        <f>IF(M2472&gt;=I2472*'Hoja 4 - Cálculo'!$B$16,"Satisfactorio","Falla")</f>
        <v>Satisfactorio</v>
      </c>
      <c r="R2472" s="14">
        <f t="shared" si="575"/>
        <v>0</v>
      </c>
      <c r="S2472" s="14">
        <f t="shared" si="576"/>
        <v>0</v>
      </c>
    </row>
    <row r="2473" spans="1:19">
      <c r="A2473" s="14" t="str">
        <f t="shared" si="572"/>
        <v>CFG-3</v>
      </c>
      <c r="B2473" s="15">
        <f>'Curvas SRY'!$E$11</f>
        <v>5</v>
      </c>
      <c r="C2473" s="15">
        <f>1</f>
        <v>1</v>
      </c>
      <c r="D2473" s="14" t="str">
        <f t="shared" si="573"/>
        <v>Uso prioritario</v>
      </c>
      <c r="E2473" s="14">
        <f>70</f>
        <v>70</v>
      </c>
      <c r="F2473" s="21">
        <f>'Hoja 4 - Cálculo'!A94</f>
        <v>31686</v>
      </c>
      <c r="G2473" s="15">
        <f>'Hoja 4 - Cálculo'!H94</f>
        <v>32.531624999999998</v>
      </c>
      <c r="H2473" s="15">
        <f>IF(D2473="Uso único",'Hoja 4 - Cálculo'!I94,IF(D2473="Uso múltiple",AVERAGE('Hoja 4 - Cálculo'!$I$25:$I$384)+AVERAGE('Hoja 4 - Cálculo'!$J$25:$J$384)+AVERAGE('Hoja 4 - Cálculo'!$K$25:$K$384),IF(D2473="Uso prioritario",'Hoja 4 - Cálculo'!I94+'Hoja 4 - Cálculo'!K94,'Hoja 4 - Cálculo'!I94+'Hoja 4 - Cálculo'!J94+'Hoja 4 - Cálculo'!K94)))</f>
        <v>10</v>
      </c>
      <c r="I2473" s="15">
        <f t="shared" si="561"/>
        <v>10</v>
      </c>
      <c r="J2473" s="15">
        <f t="shared" si="574"/>
        <v>5</v>
      </c>
      <c r="K2473" s="15">
        <f>MIN(J2473+G2473,(J2473+G2473)*'Hoja 4 - Cálculo'!$B$15)</f>
        <v>0.75063250000000004</v>
      </c>
      <c r="L2473" s="15">
        <f t="shared" si="564"/>
        <v>36.780992499999996</v>
      </c>
      <c r="M2473" s="15">
        <f t="shared" si="565"/>
        <v>10</v>
      </c>
      <c r="N2473" s="15">
        <f t="shared" si="566"/>
        <v>5</v>
      </c>
      <c r="O2473" s="15">
        <f t="shared" si="567"/>
        <v>21.780992499999996</v>
      </c>
      <c r="P2473" s="15">
        <f t="shared" si="568"/>
        <v>0</v>
      </c>
      <c r="Q2473" s="14" t="str">
        <f>IF(M2473&gt;=I2473*'Hoja 4 - Cálculo'!$B$16,"Satisfactorio","Falla")</f>
        <v>Satisfactorio</v>
      </c>
      <c r="R2473" s="14">
        <f t="shared" si="575"/>
        <v>0</v>
      </c>
      <c r="S2473" s="14">
        <f t="shared" si="576"/>
        <v>0</v>
      </c>
    </row>
    <row r="2474" spans="1:19">
      <c r="A2474" s="14" t="str">
        <f t="shared" si="572"/>
        <v>CFG-3</v>
      </c>
      <c r="B2474" s="15">
        <f>'Curvas SRY'!$E$11</f>
        <v>5</v>
      </c>
      <c r="C2474" s="15">
        <f>1</f>
        <v>1</v>
      </c>
      <c r="D2474" s="14" t="str">
        <f t="shared" si="573"/>
        <v>Uso prioritario</v>
      </c>
      <c r="E2474" s="14">
        <f>71</f>
        <v>71</v>
      </c>
      <c r="F2474" s="21">
        <f>'Hoja 4 - Cálculo'!A95</f>
        <v>31717</v>
      </c>
      <c r="G2474" s="15">
        <f>'Hoja 4 - Cálculo'!H95</f>
        <v>26.641124999999999</v>
      </c>
      <c r="H2474" s="15">
        <f>IF(D2474="Uso único",'Hoja 4 - Cálculo'!I95,IF(D2474="Uso múltiple",AVERAGE('Hoja 4 - Cálculo'!$I$25:$I$384)+AVERAGE('Hoja 4 - Cálculo'!$J$25:$J$384)+AVERAGE('Hoja 4 - Cálculo'!$K$25:$K$384),IF(D2474="Uso prioritario",'Hoja 4 - Cálculo'!I95+'Hoja 4 - Cálculo'!K95,'Hoja 4 - Cálculo'!I95+'Hoja 4 - Cálculo'!J95+'Hoja 4 - Cálculo'!K95)))</f>
        <v>10</v>
      </c>
      <c r="I2474" s="15">
        <f t="shared" si="561"/>
        <v>10</v>
      </c>
      <c r="J2474" s="15">
        <f t="shared" si="574"/>
        <v>5</v>
      </c>
      <c r="K2474" s="15">
        <f>MIN(J2474+G2474,(J2474+G2474)*'Hoja 4 - Cálculo'!$B$15)</f>
        <v>0.63282249999999995</v>
      </c>
      <c r="L2474" s="15">
        <f t="shared" si="564"/>
        <v>31.008302499999999</v>
      </c>
      <c r="M2474" s="15">
        <f t="shared" si="565"/>
        <v>10</v>
      </c>
      <c r="N2474" s="15">
        <f t="shared" si="566"/>
        <v>5</v>
      </c>
      <c r="O2474" s="15">
        <f t="shared" si="567"/>
        <v>16.008302499999999</v>
      </c>
      <c r="P2474" s="15">
        <f t="shared" si="568"/>
        <v>0</v>
      </c>
      <c r="Q2474" s="14" t="str">
        <f>IF(M2474&gt;=I2474*'Hoja 4 - Cálculo'!$B$16,"Satisfactorio","Falla")</f>
        <v>Satisfactorio</v>
      </c>
      <c r="R2474" s="14">
        <f t="shared" si="575"/>
        <v>0</v>
      </c>
      <c r="S2474" s="14">
        <f t="shared" si="576"/>
        <v>0</v>
      </c>
    </row>
    <row r="2475" spans="1:19">
      <c r="A2475" s="14" t="str">
        <f t="shared" si="572"/>
        <v>CFG-3</v>
      </c>
      <c r="B2475" s="15">
        <f>'Curvas SRY'!$E$11</f>
        <v>5</v>
      </c>
      <c r="C2475" s="15">
        <f>1</f>
        <v>1</v>
      </c>
      <c r="D2475" s="14" t="str">
        <f t="shared" si="573"/>
        <v>Uso prioritario</v>
      </c>
      <c r="E2475" s="14">
        <f>72</f>
        <v>72</v>
      </c>
      <c r="F2475" s="21">
        <f>'Hoja 4 - Cálculo'!A96</f>
        <v>31747</v>
      </c>
      <c r="G2475" s="15">
        <f>'Hoja 4 - Cálculo'!H96</f>
        <v>15.166124999999999</v>
      </c>
      <c r="H2475" s="15">
        <f>IF(D2475="Uso único",'Hoja 4 - Cálculo'!I96,IF(D2475="Uso múltiple",AVERAGE('Hoja 4 - Cálculo'!$I$25:$I$384)+AVERAGE('Hoja 4 - Cálculo'!$J$25:$J$384)+AVERAGE('Hoja 4 - Cálculo'!$K$25:$K$384),IF(D2475="Uso prioritario",'Hoja 4 - Cálculo'!I96+'Hoja 4 - Cálculo'!K96,'Hoja 4 - Cálculo'!I96+'Hoja 4 - Cálculo'!J96+'Hoja 4 - Cálculo'!K96)))</f>
        <v>10</v>
      </c>
      <c r="I2475" s="15">
        <f t="shared" si="561"/>
        <v>10</v>
      </c>
      <c r="J2475" s="15">
        <f t="shared" si="574"/>
        <v>5</v>
      </c>
      <c r="K2475" s="15">
        <f>MIN(J2475+G2475,(J2475+G2475)*'Hoja 4 - Cálculo'!$B$15)</f>
        <v>0.40332250000000003</v>
      </c>
      <c r="L2475" s="15">
        <f t="shared" si="564"/>
        <v>19.762802499999999</v>
      </c>
      <c r="M2475" s="15">
        <f t="shared" si="565"/>
        <v>10</v>
      </c>
      <c r="N2475" s="15">
        <f t="shared" si="566"/>
        <v>5</v>
      </c>
      <c r="O2475" s="15">
        <f t="shared" si="567"/>
        <v>4.7628024999999994</v>
      </c>
      <c r="P2475" s="15">
        <f t="shared" si="568"/>
        <v>0</v>
      </c>
      <c r="Q2475" s="14" t="str">
        <f>IF(M2475&gt;=I2475*'Hoja 4 - Cálculo'!$B$16,"Satisfactorio","Falla")</f>
        <v>Satisfactorio</v>
      </c>
      <c r="R2475" s="14">
        <f t="shared" si="575"/>
        <v>0</v>
      </c>
      <c r="S2475" s="14">
        <f t="shared" si="576"/>
        <v>0</v>
      </c>
    </row>
    <row r="2476" spans="1:19">
      <c r="A2476" s="14" t="str">
        <f t="shared" si="572"/>
        <v>CFG-3</v>
      </c>
      <c r="B2476" s="15">
        <f>'Curvas SRY'!$E$11</f>
        <v>5</v>
      </c>
      <c r="C2476" s="15">
        <f>1</f>
        <v>1</v>
      </c>
      <c r="D2476" s="14" t="str">
        <f t="shared" si="573"/>
        <v>Uso prioritario</v>
      </c>
      <c r="E2476" s="14">
        <f>73</f>
        <v>73</v>
      </c>
      <c r="F2476" s="21">
        <f>'Hoja 4 - Cálculo'!A97</f>
        <v>31778</v>
      </c>
      <c r="G2476" s="15">
        <f>'Hoja 4 - Cálculo'!H97</f>
        <v>14.056875</v>
      </c>
      <c r="H2476" s="15">
        <f>IF(D2476="Uso único",'Hoja 4 - Cálculo'!I97,IF(D2476="Uso múltiple",AVERAGE('Hoja 4 - Cálculo'!$I$25:$I$384)+AVERAGE('Hoja 4 - Cálculo'!$J$25:$J$384)+AVERAGE('Hoja 4 - Cálculo'!$K$25:$K$384),IF(D2476="Uso prioritario",'Hoja 4 - Cálculo'!I97+'Hoja 4 - Cálculo'!K97,'Hoja 4 - Cálculo'!I97+'Hoja 4 - Cálculo'!J97+'Hoja 4 - Cálculo'!K97)))</f>
        <v>10</v>
      </c>
      <c r="I2476" s="15">
        <f t="shared" si="561"/>
        <v>10</v>
      </c>
      <c r="J2476" s="15">
        <f t="shared" si="574"/>
        <v>5</v>
      </c>
      <c r="K2476" s="15">
        <f>MIN(J2476+G2476,(J2476+G2476)*'Hoja 4 - Cálculo'!$B$15)</f>
        <v>0.38113749999999996</v>
      </c>
      <c r="L2476" s="15">
        <f t="shared" si="564"/>
        <v>18.675737499999997</v>
      </c>
      <c r="M2476" s="15">
        <f t="shared" si="565"/>
        <v>10</v>
      </c>
      <c r="N2476" s="15">
        <f t="shared" si="566"/>
        <v>5</v>
      </c>
      <c r="O2476" s="15">
        <f t="shared" si="567"/>
        <v>3.6757374999999968</v>
      </c>
      <c r="P2476" s="15">
        <f t="shared" si="568"/>
        <v>0</v>
      </c>
      <c r="Q2476" s="14" t="str">
        <f>IF(M2476&gt;=I2476*'Hoja 4 - Cálculo'!$B$16,"Satisfactorio","Falla")</f>
        <v>Satisfactorio</v>
      </c>
      <c r="R2476" s="14">
        <f t="shared" si="575"/>
        <v>0</v>
      </c>
      <c r="S2476" s="14">
        <f t="shared" si="576"/>
        <v>0</v>
      </c>
    </row>
    <row r="2477" spans="1:19">
      <c r="A2477" s="14" t="str">
        <f t="shared" si="572"/>
        <v>CFG-3</v>
      </c>
      <c r="B2477" s="15">
        <f>'Curvas SRY'!$E$11</f>
        <v>5</v>
      </c>
      <c r="C2477" s="15">
        <f>1</f>
        <v>1</v>
      </c>
      <c r="D2477" s="14" t="str">
        <f t="shared" si="573"/>
        <v>Uso prioritario</v>
      </c>
      <c r="E2477" s="14">
        <f>74</f>
        <v>74</v>
      </c>
      <c r="F2477" s="21">
        <f>'Hoja 4 - Cálculo'!A98</f>
        <v>31809</v>
      </c>
      <c r="G2477" s="15">
        <f>'Hoja 4 - Cálculo'!H98</f>
        <v>15.969374999999999</v>
      </c>
      <c r="H2477" s="15">
        <f>IF(D2477="Uso único",'Hoja 4 - Cálculo'!I98,IF(D2477="Uso múltiple",AVERAGE('Hoja 4 - Cálculo'!$I$25:$I$384)+AVERAGE('Hoja 4 - Cálculo'!$J$25:$J$384)+AVERAGE('Hoja 4 - Cálculo'!$K$25:$K$384),IF(D2477="Uso prioritario",'Hoja 4 - Cálculo'!I98+'Hoja 4 - Cálculo'!K98,'Hoja 4 - Cálculo'!I98+'Hoja 4 - Cálculo'!J98+'Hoja 4 - Cálculo'!K98)))</f>
        <v>10</v>
      </c>
      <c r="I2477" s="15">
        <f t="shared" si="561"/>
        <v>10</v>
      </c>
      <c r="J2477" s="15">
        <f t="shared" si="574"/>
        <v>5</v>
      </c>
      <c r="K2477" s="15">
        <f>MIN(J2477+G2477,(J2477+G2477)*'Hoja 4 - Cálculo'!$B$15)</f>
        <v>0.41938750000000002</v>
      </c>
      <c r="L2477" s="15">
        <f t="shared" si="564"/>
        <v>20.5499875</v>
      </c>
      <c r="M2477" s="15">
        <f t="shared" si="565"/>
        <v>10</v>
      </c>
      <c r="N2477" s="15">
        <f t="shared" si="566"/>
        <v>5</v>
      </c>
      <c r="O2477" s="15">
        <f t="shared" si="567"/>
        <v>5.5499875000000003</v>
      </c>
      <c r="P2477" s="15">
        <f t="shared" si="568"/>
        <v>0</v>
      </c>
      <c r="Q2477" s="14" t="str">
        <f>IF(M2477&gt;=I2477*'Hoja 4 - Cálculo'!$B$16,"Satisfactorio","Falla")</f>
        <v>Satisfactorio</v>
      </c>
      <c r="R2477" s="14">
        <f t="shared" si="575"/>
        <v>0</v>
      </c>
      <c r="S2477" s="14">
        <f t="shared" si="576"/>
        <v>0</v>
      </c>
    </row>
    <row r="2478" spans="1:19">
      <c r="A2478" s="14" t="str">
        <f t="shared" si="572"/>
        <v>CFG-3</v>
      </c>
      <c r="B2478" s="15">
        <f>'Curvas SRY'!$E$11</f>
        <v>5</v>
      </c>
      <c r="C2478" s="15">
        <f>1</f>
        <v>1</v>
      </c>
      <c r="D2478" s="14" t="str">
        <f t="shared" si="573"/>
        <v>Uso prioritario</v>
      </c>
      <c r="E2478" s="14">
        <f>75</f>
        <v>75</v>
      </c>
      <c r="F2478" s="21">
        <f>'Hoja 4 - Cálculo'!A99</f>
        <v>31837</v>
      </c>
      <c r="G2478" s="15">
        <f>'Hoja 4 - Cálculo'!H99</f>
        <v>22.797000000000001</v>
      </c>
      <c r="H2478" s="15">
        <f>IF(D2478="Uso único",'Hoja 4 - Cálculo'!I99,IF(D2478="Uso múltiple",AVERAGE('Hoja 4 - Cálculo'!$I$25:$I$384)+AVERAGE('Hoja 4 - Cálculo'!$J$25:$J$384)+AVERAGE('Hoja 4 - Cálculo'!$K$25:$K$384),IF(D2478="Uso prioritario",'Hoja 4 - Cálculo'!I99+'Hoja 4 - Cálculo'!K99,'Hoja 4 - Cálculo'!I99+'Hoja 4 - Cálculo'!J99+'Hoja 4 - Cálculo'!K99)))</f>
        <v>10</v>
      </c>
      <c r="I2478" s="15">
        <f t="shared" si="561"/>
        <v>10</v>
      </c>
      <c r="J2478" s="15">
        <f t="shared" si="574"/>
        <v>5</v>
      </c>
      <c r="K2478" s="15">
        <f>MIN(J2478+G2478,(J2478+G2478)*'Hoja 4 - Cálculo'!$B$15)</f>
        <v>0.55593999999999999</v>
      </c>
      <c r="L2478" s="15">
        <f t="shared" si="564"/>
        <v>27.241060000000001</v>
      </c>
      <c r="M2478" s="15">
        <f t="shared" si="565"/>
        <v>10</v>
      </c>
      <c r="N2478" s="15">
        <f t="shared" si="566"/>
        <v>5</v>
      </c>
      <c r="O2478" s="15">
        <f t="shared" si="567"/>
        <v>12.241060000000001</v>
      </c>
      <c r="P2478" s="15">
        <f t="shared" si="568"/>
        <v>0</v>
      </c>
      <c r="Q2478" s="14" t="str">
        <f>IF(M2478&gt;=I2478*'Hoja 4 - Cálculo'!$B$16,"Satisfactorio","Falla")</f>
        <v>Satisfactorio</v>
      </c>
      <c r="R2478" s="14">
        <f t="shared" si="575"/>
        <v>0</v>
      </c>
      <c r="S2478" s="14">
        <f t="shared" si="576"/>
        <v>0</v>
      </c>
    </row>
    <row r="2479" spans="1:19">
      <c r="A2479" s="14" t="str">
        <f t="shared" si="572"/>
        <v>CFG-3</v>
      </c>
      <c r="B2479" s="15">
        <f>'Curvas SRY'!$E$11</f>
        <v>5</v>
      </c>
      <c r="C2479" s="15">
        <f>1</f>
        <v>1</v>
      </c>
      <c r="D2479" s="14" t="str">
        <f t="shared" si="573"/>
        <v>Uso prioritario</v>
      </c>
      <c r="E2479" s="14">
        <f>76</f>
        <v>76</v>
      </c>
      <c r="F2479" s="21">
        <f>'Hoja 4 - Cálculo'!A100</f>
        <v>31868</v>
      </c>
      <c r="G2479" s="15">
        <f>'Hoja 4 - Cálculo'!H100</f>
        <v>34.138125000000002</v>
      </c>
      <c r="H2479" s="15">
        <f>IF(D2479="Uso único",'Hoja 4 - Cálculo'!I100,IF(D2479="Uso múltiple",AVERAGE('Hoja 4 - Cálculo'!$I$25:$I$384)+AVERAGE('Hoja 4 - Cálculo'!$J$25:$J$384)+AVERAGE('Hoja 4 - Cálculo'!$K$25:$K$384),IF(D2479="Uso prioritario",'Hoja 4 - Cálculo'!I100+'Hoja 4 - Cálculo'!K100,'Hoja 4 - Cálculo'!I100+'Hoja 4 - Cálculo'!J100+'Hoja 4 - Cálculo'!K100)))</f>
        <v>10</v>
      </c>
      <c r="I2479" s="15">
        <f t="shared" si="561"/>
        <v>10</v>
      </c>
      <c r="J2479" s="15">
        <f t="shared" si="574"/>
        <v>5</v>
      </c>
      <c r="K2479" s="15">
        <f>MIN(J2479+G2479,(J2479+G2479)*'Hoja 4 - Cálculo'!$B$15)</f>
        <v>0.78276250000000003</v>
      </c>
      <c r="L2479" s="15">
        <f t="shared" si="564"/>
        <v>38.355362500000005</v>
      </c>
      <c r="M2479" s="15">
        <f t="shared" si="565"/>
        <v>10</v>
      </c>
      <c r="N2479" s="15">
        <f t="shared" si="566"/>
        <v>5</v>
      </c>
      <c r="O2479" s="15">
        <f t="shared" si="567"/>
        <v>23.355362500000005</v>
      </c>
      <c r="P2479" s="15">
        <f t="shared" si="568"/>
        <v>0</v>
      </c>
      <c r="Q2479" s="14" t="str">
        <f>IF(M2479&gt;=I2479*'Hoja 4 - Cálculo'!$B$16,"Satisfactorio","Falla")</f>
        <v>Satisfactorio</v>
      </c>
      <c r="R2479" s="14">
        <f t="shared" si="575"/>
        <v>0</v>
      </c>
      <c r="S2479" s="14">
        <f t="shared" si="576"/>
        <v>0</v>
      </c>
    </row>
    <row r="2480" spans="1:19">
      <c r="A2480" s="14" t="str">
        <f t="shared" si="572"/>
        <v>CFG-3</v>
      </c>
      <c r="B2480" s="15">
        <f>'Curvas SRY'!$E$11</f>
        <v>5</v>
      </c>
      <c r="C2480" s="15">
        <f>1</f>
        <v>1</v>
      </c>
      <c r="D2480" s="14" t="str">
        <f t="shared" si="573"/>
        <v>Uso prioritario</v>
      </c>
      <c r="E2480" s="14">
        <f>77</f>
        <v>77</v>
      </c>
      <c r="F2480" s="21">
        <f>'Hoja 4 - Cálculo'!A101</f>
        <v>31898</v>
      </c>
      <c r="G2480" s="15">
        <f>'Hoja 4 - Cálculo'!H101</f>
        <v>28.534500000000001</v>
      </c>
      <c r="H2480" s="15">
        <f>IF(D2480="Uso único",'Hoja 4 - Cálculo'!I101,IF(D2480="Uso múltiple",AVERAGE('Hoja 4 - Cálculo'!$I$25:$I$384)+AVERAGE('Hoja 4 - Cálculo'!$J$25:$J$384)+AVERAGE('Hoja 4 - Cálculo'!$K$25:$K$384),IF(D2480="Uso prioritario",'Hoja 4 - Cálculo'!I101+'Hoja 4 - Cálculo'!K101,'Hoja 4 - Cálculo'!I101+'Hoja 4 - Cálculo'!J101+'Hoja 4 - Cálculo'!K101)))</f>
        <v>10</v>
      </c>
      <c r="I2480" s="15">
        <f t="shared" si="561"/>
        <v>10</v>
      </c>
      <c r="J2480" s="15">
        <f t="shared" si="574"/>
        <v>5</v>
      </c>
      <c r="K2480" s="15">
        <f>MIN(J2480+G2480,(J2480+G2480)*'Hoja 4 - Cálculo'!$B$15)</f>
        <v>0.67069000000000001</v>
      </c>
      <c r="L2480" s="15">
        <f t="shared" si="564"/>
        <v>32.863810000000001</v>
      </c>
      <c r="M2480" s="15">
        <f t="shared" si="565"/>
        <v>10</v>
      </c>
      <c r="N2480" s="15">
        <f t="shared" si="566"/>
        <v>5</v>
      </c>
      <c r="O2480" s="15">
        <f t="shared" si="567"/>
        <v>17.863810000000001</v>
      </c>
      <c r="P2480" s="15">
        <f t="shared" si="568"/>
        <v>0</v>
      </c>
      <c r="Q2480" s="14" t="str">
        <f>IF(M2480&gt;=I2480*'Hoja 4 - Cálculo'!$B$16,"Satisfactorio","Falla")</f>
        <v>Satisfactorio</v>
      </c>
      <c r="R2480" s="14">
        <f t="shared" si="575"/>
        <v>0</v>
      </c>
      <c r="S2480" s="14">
        <f t="shared" si="576"/>
        <v>0</v>
      </c>
    </row>
    <row r="2481" spans="1:19">
      <c r="A2481" s="14" t="str">
        <f t="shared" si="572"/>
        <v>CFG-3</v>
      </c>
      <c r="B2481" s="15">
        <f>'Curvas SRY'!$E$11</f>
        <v>5</v>
      </c>
      <c r="C2481" s="15">
        <f>1</f>
        <v>1</v>
      </c>
      <c r="D2481" s="14" t="str">
        <f t="shared" si="573"/>
        <v>Uso prioritario</v>
      </c>
      <c r="E2481" s="14">
        <f>78</f>
        <v>78</v>
      </c>
      <c r="F2481" s="21">
        <f>'Hoja 4 - Cálculo'!A102</f>
        <v>31929</v>
      </c>
      <c r="G2481" s="15">
        <f>'Hoja 4 - Cálculo'!H102</f>
        <v>18.589500000000001</v>
      </c>
      <c r="H2481" s="15">
        <f>IF(D2481="Uso único",'Hoja 4 - Cálculo'!I102,IF(D2481="Uso múltiple",AVERAGE('Hoja 4 - Cálculo'!$I$25:$I$384)+AVERAGE('Hoja 4 - Cálculo'!$J$25:$J$384)+AVERAGE('Hoja 4 - Cálculo'!$K$25:$K$384),IF(D2481="Uso prioritario",'Hoja 4 - Cálculo'!I102+'Hoja 4 - Cálculo'!K102,'Hoja 4 - Cálculo'!I102+'Hoja 4 - Cálculo'!J102+'Hoja 4 - Cálculo'!K102)))</f>
        <v>10</v>
      </c>
      <c r="I2481" s="15">
        <f t="shared" si="561"/>
        <v>10</v>
      </c>
      <c r="J2481" s="15">
        <f t="shared" si="574"/>
        <v>5</v>
      </c>
      <c r="K2481" s="15">
        <f>MIN(J2481+G2481,(J2481+G2481)*'Hoja 4 - Cálculo'!$B$15)</f>
        <v>0.47179000000000004</v>
      </c>
      <c r="L2481" s="15">
        <f t="shared" si="564"/>
        <v>23.117710000000002</v>
      </c>
      <c r="M2481" s="15">
        <f t="shared" si="565"/>
        <v>10</v>
      </c>
      <c r="N2481" s="15">
        <f t="shared" si="566"/>
        <v>5</v>
      </c>
      <c r="O2481" s="15">
        <f t="shared" si="567"/>
        <v>8.1177100000000024</v>
      </c>
      <c r="P2481" s="15">
        <f t="shared" si="568"/>
        <v>0</v>
      </c>
      <c r="Q2481" s="14" t="str">
        <f>IF(M2481&gt;=I2481*'Hoja 4 - Cálculo'!$B$16,"Satisfactorio","Falla")</f>
        <v>Satisfactorio</v>
      </c>
      <c r="R2481" s="14">
        <f t="shared" si="575"/>
        <v>0</v>
      </c>
      <c r="S2481" s="14">
        <f t="shared" si="576"/>
        <v>0</v>
      </c>
    </row>
    <row r="2482" spans="1:19">
      <c r="A2482" s="14" t="str">
        <f t="shared" si="572"/>
        <v>CFG-3</v>
      </c>
      <c r="B2482" s="15">
        <f>'Curvas SRY'!$E$11</f>
        <v>5</v>
      </c>
      <c r="C2482" s="15">
        <f>1</f>
        <v>1</v>
      </c>
      <c r="D2482" s="14" t="str">
        <f t="shared" si="573"/>
        <v>Uso prioritario</v>
      </c>
      <c r="E2482" s="14">
        <f>79</f>
        <v>79</v>
      </c>
      <c r="F2482" s="21">
        <f>'Hoja 4 - Cálculo'!A103</f>
        <v>31959</v>
      </c>
      <c r="G2482" s="15">
        <f>'Hoja 4 - Cálculo'!H103</f>
        <v>14.688000000000001</v>
      </c>
      <c r="H2482" s="15">
        <f>IF(D2482="Uso único",'Hoja 4 - Cálculo'!I103,IF(D2482="Uso múltiple",AVERAGE('Hoja 4 - Cálculo'!$I$25:$I$384)+AVERAGE('Hoja 4 - Cálculo'!$J$25:$J$384)+AVERAGE('Hoja 4 - Cálculo'!$K$25:$K$384),IF(D2482="Uso prioritario",'Hoja 4 - Cálculo'!I103+'Hoja 4 - Cálculo'!K103,'Hoja 4 - Cálculo'!I103+'Hoja 4 - Cálculo'!J103+'Hoja 4 - Cálculo'!K103)))</f>
        <v>10</v>
      </c>
      <c r="I2482" s="15">
        <f t="shared" si="561"/>
        <v>10</v>
      </c>
      <c r="J2482" s="15">
        <f t="shared" si="574"/>
        <v>5</v>
      </c>
      <c r="K2482" s="15">
        <f>MIN(J2482+G2482,(J2482+G2482)*'Hoja 4 - Cálculo'!$B$15)</f>
        <v>0.39376000000000005</v>
      </c>
      <c r="L2482" s="15">
        <f t="shared" si="564"/>
        <v>19.294240000000002</v>
      </c>
      <c r="M2482" s="15">
        <f t="shared" si="565"/>
        <v>10</v>
      </c>
      <c r="N2482" s="15">
        <f t="shared" si="566"/>
        <v>5</v>
      </c>
      <c r="O2482" s="15">
        <f t="shared" si="567"/>
        <v>4.2942400000000021</v>
      </c>
      <c r="P2482" s="15">
        <f t="shared" si="568"/>
        <v>0</v>
      </c>
      <c r="Q2482" s="14" t="str">
        <f>IF(M2482&gt;=I2482*'Hoja 4 - Cálculo'!$B$16,"Satisfactorio","Falla")</f>
        <v>Satisfactorio</v>
      </c>
      <c r="R2482" s="14">
        <f t="shared" si="575"/>
        <v>0</v>
      </c>
      <c r="S2482" s="14">
        <f t="shared" si="576"/>
        <v>0</v>
      </c>
    </row>
    <row r="2483" spans="1:19">
      <c r="A2483" s="14" t="str">
        <f t="shared" si="572"/>
        <v>CFG-3</v>
      </c>
      <c r="B2483" s="15">
        <f>'Curvas SRY'!$E$11</f>
        <v>5</v>
      </c>
      <c r="C2483" s="15">
        <f>1</f>
        <v>1</v>
      </c>
      <c r="D2483" s="14" t="str">
        <f t="shared" si="573"/>
        <v>Uso prioritario</v>
      </c>
      <c r="E2483" s="14">
        <f>80</f>
        <v>80</v>
      </c>
      <c r="F2483" s="21">
        <f>'Hoja 4 - Cálculo'!A104</f>
        <v>31990</v>
      </c>
      <c r="G2483" s="15">
        <f>'Hoja 4 - Cálculo'!H104</f>
        <v>15.759</v>
      </c>
      <c r="H2483" s="15">
        <f>IF(D2483="Uso único",'Hoja 4 - Cálculo'!I104,IF(D2483="Uso múltiple",AVERAGE('Hoja 4 - Cálculo'!$I$25:$I$384)+AVERAGE('Hoja 4 - Cálculo'!$J$25:$J$384)+AVERAGE('Hoja 4 - Cálculo'!$K$25:$K$384),IF(D2483="Uso prioritario",'Hoja 4 - Cálculo'!I104+'Hoja 4 - Cálculo'!K104,'Hoja 4 - Cálculo'!I104+'Hoja 4 - Cálculo'!J104+'Hoja 4 - Cálculo'!K104)))</f>
        <v>10</v>
      </c>
      <c r="I2483" s="15">
        <f t="shared" si="561"/>
        <v>10</v>
      </c>
      <c r="J2483" s="15">
        <f t="shared" si="574"/>
        <v>5</v>
      </c>
      <c r="K2483" s="15">
        <f>MIN(J2483+G2483,(J2483+G2483)*'Hoja 4 - Cálculo'!$B$15)</f>
        <v>0.41517999999999999</v>
      </c>
      <c r="L2483" s="15">
        <f t="shared" si="564"/>
        <v>20.343820000000001</v>
      </c>
      <c r="M2483" s="15">
        <f t="shared" si="565"/>
        <v>10</v>
      </c>
      <c r="N2483" s="15">
        <f t="shared" si="566"/>
        <v>5</v>
      </c>
      <c r="O2483" s="15">
        <f t="shared" si="567"/>
        <v>5.3438200000000009</v>
      </c>
      <c r="P2483" s="15">
        <f t="shared" si="568"/>
        <v>0</v>
      </c>
      <c r="Q2483" s="14" t="str">
        <f>IF(M2483&gt;=I2483*'Hoja 4 - Cálculo'!$B$16,"Satisfactorio","Falla")</f>
        <v>Satisfactorio</v>
      </c>
      <c r="R2483" s="14">
        <f t="shared" si="575"/>
        <v>0</v>
      </c>
      <c r="S2483" s="14">
        <f t="shared" si="576"/>
        <v>0</v>
      </c>
    </row>
    <row r="2484" spans="1:19">
      <c r="A2484" s="14" t="str">
        <f t="shared" si="572"/>
        <v>CFG-3</v>
      </c>
      <c r="B2484" s="15">
        <f>'Curvas SRY'!$E$11</f>
        <v>5</v>
      </c>
      <c r="C2484" s="15">
        <f>1</f>
        <v>1</v>
      </c>
      <c r="D2484" s="14" t="str">
        <f t="shared" si="573"/>
        <v>Uso prioritario</v>
      </c>
      <c r="E2484" s="14">
        <f>81</f>
        <v>81</v>
      </c>
      <c r="F2484" s="21">
        <f>'Hoja 4 - Cálculo'!A105</f>
        <v>32021</v>
      </c>
      <c r="G2484" s="15">
        <f>'Hoja 4 - Cálculo'!H105</f>
        <v>26.220375000000001</v>
      </c>
      <c r="H2484" s="15">
        <f>IF(D2484="Uso único",'Hoja 4 - Cálculo'!I105,IF(D2484="Uso múltiple",AVERAGE('Hoja 4 - Cálculo'!$I$25:$I$384)+AVERAGE('Hoja 4 - Cálculo'!$J$25:$J$384)+AVERAGE('Hoja 4 - Cálculo'!$K$25:$K$384),IF(D2484="Uso prioritario",'Hoja 4 - Cálculo'!I105+'Hoja 4 - Cálculo'!K105,'Hoja 4 - Cálculo'!I105+'Hoja 4 - Cálculo'!J105+'Hoja 4 - Cálculo'!K105)))</f>
        <v>10</v>
      </c>
      <c r="I2484" s="15">
        <f t="shared" ref="I2484:I2547" si="577">H2484</f>
        <v>10</v>
      </c>
      <c r="J2484" s="15">
        <f t="shared" si="574"/>
        <v>5</v>
      </c>
      <c r="K2484" s="15">
        <f>MIN(J2484+G2484,(J2484+G2484)*'Hoja 4 - Cálculo'!$B$15)</f>
        <v>0.6244075</v>
      </c>
      <c r="L2484" s="15">
        <f t="shared" si="564"/>
        <v>30.5959675</v>
      </c>
      <c r="M2484" s="15">
        <f t="shared" si="565"/>
        <v>10</v>
      </c>
      <c r="N2484" s="15">
        <f t="shared" si="566"/>
        <v>5</v>
      </c>
      <c r="O2484" s="15">
        <f t="shared" si="567"/>
        <v>15.5959675</v>
      </c>
      <c r="P2484" s="15">
        <f t="shared" si="568"/>
        <v>0</v>
      </c>
      <c r="Q2484" s="14" t="str">
        <f>IF(M2484&gt;=I2484*'Hoja 4 - Cálculo'!$B$16,"Satisfactorio","Falla")</f>
        <v>Satisfactorio</v>
      </c>
      <c r="R2484" s="14">
        <f t="shared" si="575"/>
        <v>0</v>
      </c>
      <c r="S2484" s="14">
        <f t="shared" si="576"/>
        <v>0</v>
      </c>
    </row>
    <row r="2485" spans="1:19">
      <c r="A2485" s="14" t="str">
        <f t="shared" si="572"/>
        <v>CFG-3</v>
      </c>
      <c r="B2485" s="15">
        <f>'Curvas SRY'!$E$11</f>
        <v>5</v>
      </c>
      <c r="C2485" s="15">
        <f>1</f>
        <v>1</v>
      </c>
      <c r="D2485" s="14" t="str">
        <f t="shared" si="573"/>
        <v>Uso prioritario</v>
      </c>
      <c r="E2485" s="14">
        <f>82</f>
        <v>82</v>
      </c>
      <c r="F2485" s="21">
        <f>'Hoja 4 - Cálculo'!A106</f>
        <v>32051</v>
      </c>
      <c r="G2485" s="15">
        <f>'Hoja 4 - Cálculo'!H106</f>
        <v>32.627249999999997</v>
      </c>
      <c r="H2485" s="15">
        <f>IF(D2485="Uso único",'Hoja 4 - Cálculo'!I106,IF(D2485="Uso múltiple",AVERAGE('Hoja 4 - Cálculo'!$I$25:$I$384)+AVERAGE('Hoja 4 - Cálculo'!$J$25:$J$384)+AVERAGE('Hoja 4 - Cálculo'!$K$25:$K$384),IF(D2485="Uso prioritario",'Hoja 4 - Cálculo'!I106+'Hoja 4 - Cálculo'!K106,'Hoja 4 - Cálculo'!I106+'Hoja 4 - Cálculo'!J106+'Hoja 4 - Cálculo'!K106)))</f>
        <v>10</v>
      </c>
      <c r="I2485" s="15">
        <f t="shared" si="577"/>
        <v>10</v>
      </c>
      <c r="J2485" s="15">
        <f t="shared" si="574"/>
        <v>5</v>
      </c>
      <c r="K2485" s="15">
        <f>MIN(J2485+G2485,(J2485+G2485)*'Hoja 4 - Cálculo'!$B$15)</f>
        <v>0.75254499999999991</v>
      </c>
      <c r="L2485" s="15">
        <f t="shared" si="564"/>
        <v>36.874704999999999</v>
      </c>
      <c r="M2485" s="15">
        <f t="shared" si="565"/>
        <v>10</v>
      </c>
      <c r="N2485" s="15">
        <f t="shared" si="566"/>
        <v>5</v>
      </c>
      <c r="O2485" s="15">
        <f t="shared" si="567"/>
        <v>21.874704999999999</v>
      </c>
      <c r="P2485" s="15">
        <f t="shared" si="568"/>
        <v>0</v>
      </c>
      <c r="Q2485" s="14" t="str">
        <f>IF(M2485&gt;=I2485*'Hoja 4 - Cálculo'!$B$16,"Satisfactorio","Falla")</f>
        <v>Satisfactorio</v>
      </c>
      <c r="R2485" s="14">
        <f t="shared" si="575"/>
        <v>0</v>
      </c>
      <c r="S2485" s="14">
        <f t="shared" si="576"/>
        <v>0</v>
      </c>
    </row>
    <row r="2486" spans="1:19">
      <c r="A2486" s="14" t="str">
        <f t="shared" si="572"/>
        <v>CFG-3</v>
      </c>
      <c r="B2486" s="15">
        <f>'Curvas SRY'!$E$11</f>
        <v>5</v>
      </c>
      <c r="C2486" s="15">
        <f>1</f>
        <v>1</v>
      </c>
      <c r="D2486" s="14" t="str">
        <f t="shared" si="573"/>
        <v>Uso prioritario</v>
      </c>
      <c r="E2486" s="14">
        <f>83</f>
        <v>83</v>
      </c>
      <c r="F2486" s="21">
        <f>'Hoja 4 - Cálculo'!A107</f>
        <v>32082</v>
      </c>
      <c r="G2486" s="15">
        <f>'Hoja 4 - Cálculo'!H107</f>
        <v>29.758500000000002</v>
      </c>
      <c r="H2486" s="15">
        <f>IF(D2486="Uso único",'Hoja 4 - Cálculo'!I107,IF(D2486="Uso múltiple",AVERAGE('Hoja 4 - Cálculo'!$I$25:$I$384)+AVERAGE('Hoja 4 - Cálculo'!$J$25:$J$384)+AVERAGE('Hoja 4 - Cálculo'!$K$25:$K$384),IF(D2486="Uso prioritario",'Hoja 4 - Cálculo'!I107+'Hoja 4 - Cálculo'!K107,'Hoja 4 - Cálculo'!I107+'Hoja 4 - Cálculo'!J107+'Hoja 4 - Cálculo'!K107)))</f>
        <v>10</v>
      </c>
      <c r="I2486" s="15">
        <f t="shared" si="577"/>
        <v>10</v>
      </c>
      <c r="J2486" s="15">
        <f t="shared" si="574"/>
        <v>5</v>
      </c>
      <c r="K2486" s="15">
        <f>MIN(J2486+G2486,(J2486+G2486)*'Hoja 4 - Cálculo'!$B$15)</f>
        <v>0.69516999999999995</v>
      </c>
      <c r="L2486" s="15">
        <f t="shared" si="564"/>
        <v>34.063330000000001</v>
      </c>
      <c r="M2486" s="15">
        <f t="shared" si="565"/>
        <v>10</v>
      </c>
      <c r="N2486" s="15">
        <f t="shared" si="566"/>
        <v>5</v>
      </c>
      <c r="O2486" s="15">
        <f t="shared" si="567"/>
        <v>19.063330000000001</v>
      </c>
      <c r="P2486" s="15">
        <f t="shared" si="568"/>
        <v>0</v>
      </c>
      <c r="Q2486" s="14" t="str">
        <f>IF(M2486&gt;=I2486*'Hoja 4 - Cálculo'!$B$16,"Satisfactorio","Falla")</f>
        <v>Satisfactorio</v>
      </c>
      <c r="R2486" s="14">
        <f t="shared" si="575"/>
        <v>0</v>
      </c>
      <c r="S2486" s="14">
        <f t="shared" si="576"/>
        <v>0</v>
      </c>
    </row>
    <row r="2487" spans="1:19">
      <c r="A2487" s="14" t="str">
        <f t="shared" si="572"/>
        <v>CFG-3</v>
      </c>
      <c r="B2487" s="15">
        <f>'Curvas SRY'!$E$11</f>
        <v>5</v>
      </c>
      <c r="C2487" s="15">
        <f>1</f>
        <v>1</v>
      </c>
      <c r="D2487" s="14" t="str">
        <f t="shared" si="573"/>
        <v>Uso prioritario</v>
      </c>
      <c r="E2487" s="14">
        <f>84</f>
        <v>84</v>
      </c>
      <c r="F2487" s="21">
        <f>'Hoja 4 - Cálculo'!A108</f>
        <v>32112</v>
      </c>
      <c r="G2487" s="15">
        <f>'Hoja 4 - Cálculo'!H108</f>
        <v>16.543125</v>
      </c>
      <c r="H2487" s="15">
        <f>IF(D2487="Uso único",'Hoja 4 - Cálculo'!I108,IF(D2487="Uso múltiple",AVERAGE('Hoja 4 - Cálculo'!$I$25:$I$384)+AVERAGE('Hoja 4 - Cálculo'!$J$25:$J$384)+AVERAGE('Hoja 4 - Cálculo'!$K$25:$K$384),IF(D2487="Uso prioritario",'Hoja 4 - Cálculo'!I108+'Hoja 4 - Cálculo'!K108,'Hoja 4 - Cálculo'!I108+'Hoja 4 - Cálculo'!J108+'Hoja 4 - Cálculo'!K108)))</f>
        <v>10</v>
      </c>
      <c r="I2487" s="15">
        <f t="shared" si="577"/>
        <v>10</v>
      </c>
      <c r="J2487" s="15">
        <f t="shared" si="574"/>
        <v>5</v>
      </c>
      <c r="K2487" s="15">
        <f>MIN(J2487+G2487,(J2487+G2487)*'Hoja 4 - Cálculo'!$B$15)</f>
        <v>0.43086249999999998</v>
      </c>
      <c r="L2487" s="15">
        <f t="shared" si="564"/>
        <v>21.1122625</v>
      </c>
      <c r="M2487" s="15">
        <f t="shared" si="565"/>
        <v>10</v>
      </c>
      <c r="N2487" s="15">
        <f t="shared" si="566"/>
        <v>5</v>
      </c>
      <c r="O2487" s="15">
        <f t="shared" si="567"/>
        <v>6.1122624999999999</v>
      </c>
      <c r="P2487" s="15">
        <f t="shared" si="568"/>
        <v>0</v>
      </c>
      <c r="Q2487" s="14" t="str">
        <f>IF(M2487&gt;=I2487*'Hoja 4 - Cálculo'!$B$16,"Satisfactorio","Falla")</f>
        <v>Satisfactorio</v>
      </c>
      <c r="R2487" s="14">
        <f t="shared" si="575"/>
        <v>0</v>
      </c>
      <c r="S2487" s="14">
        <f t="shared" si="576"/>
        <v>0</v>
      </c>
    </row>
    <row r="2488" spans="1:19">
      <c r="A2488" s="14" t="str">
        <f t="shared" si="572"/>
        <v>CFG-3</v>
      </c>
      <c r="B2488" s="15">
        <f>'Curvas SRY'!$E$11</f>
        <v>5</v>
      </c>
      <c r="C2488" s="15">
        <f>1</f>
        <v>1</v>
      </c>
      <c r="D2488" s="14" t="str">
        <f t="shared" si="573"/>
        <v>Uso prioritario</v>
      </c>
      <c r="E2488" s="14">
        <f>85</f>
        <v>85</v>
      </c>
      <c r="F2488" s="21">
        <f>'Hoja 4 - Cálculo'!A109</f>
        <v>32143</v>
      </c>
      <c r="G2488" s="15">
        <f>'Hoja 4 - Cálculo'!H109</f>
        <v>13.291874999999999</v>
      </c>
      <c r="H2488" s="15">
        <f>IF(D2488="Uso único",'Hoja 4 - Cálculo'!I109,IF(D2488="Uso múltiple",AVERAGE('Hoja 4 - Cálculo'!$I$25:$I$384)+AVERAGE('Hoja 4 - Cálculo'!$J$25:$J$384)+AVERAGE('Hoja 4 - Cálculo'!$K$25:$K$384),IF(D2488="Uso prioritario",'Hoja 4 - Cálculo'!I109+'Hoja 4 - Cálculo'!K109,'Hoja 4 - Cálculo'!I109+'Hoja 4 - Cálculo'!J109+'Hoja 4 - Cálculo'!K109)))</f>
        <v>10</v>
      </c>
      <c r="I2488" s="15">
        <f t="shared" si="577"/>
        <v>10</v>
      </c>
      <c r="J2488" s="15">
        <f t="shared" si="574"/>
        <v>5</v>
      </c>
      <c r="K2488" s="15">
        <f>MIN(J2488+G2488,(J2488+G2488)*'Hoja 4 - Cálculo'!$B$15)</f>
        <v>0.36583749999999998</v>
      </c>
      <c r="L2488" s="15">
        <f t="shared" si="564"/>
        <v>17.926037499999996</v>
      </c>
      <c r="M2488" s="15">
        <f t="shared" si="565"/>
        <v>10</v>
      </c>
      <c r="N2488" s="15">
        <f t="shared" si="566"/>
        <v>5</v>
      </c>
      <c r="O2488" s="15">
        <f t="shared" si="567"/>
        <v>2.9260374999999961</v>
      </c>
      <c r="P2488" s="15">
        <f t="shared" si="568"/>
        <v>0</v>
      </c>
      <c r="Q2488" s="14" t="str">
        <f>IF(M2488&gt;=I2488*'Hoja 4 - Cálculo'!$B$16,"Satisfactorio","Falla")</f>
        <v>Satisfactorio</v>
      </c>
      <c r="R2488" s="14">
        <f t="shared" si="575"/>
        <v>0</v>
      </c>
      <c r="S2488" s="14">
        <f t="shared" si="576"/>
        <v>0</v>
      </c>
    </row>
    <row r="2489" spans="1:19">
      <c r="A2489" s="14" t="str">
        <f t="shared" si="572"/>
        <v>CFG-3</v>
      </c>
      <c r="B2489" s="15">
        <f>'Curvas SRY'!$E$11</f>
        <v>5</v>
      </c>
      <c r="C2489" s="15">
        <f>1</f>
        <v>1</v>
      </c>
      <c r="D2489" s="14" t="str">
        <f t="shared" si="573"/>
        <v>Uso prioritario</v>
      </c>
      <c r="E2489" s="14">
        <f>86</f>
        <v>86</v>
      </c>
      <c r="F2489" s="21">
        <f>'Hoja 4 - Cálculo'!A110</f>
        <v>32174</v>
      </c>
      <c r="G2489" s="15">
        <f>'Hoja 4 - Cálculo'!H110</f>
        <v>14.19075</v>
      </c>
      <c r="H2489" s="15">
        <f>IF(D2489="Uso único",'Hoja 4 - Cálculo'!I110,IF(D2489="Uso múltiple",AVERAGE('Hoja 4 - Cálculo'!$I$25:$I$384)+AVERAGE('Hoja 4 - Cálculo'!$J$25:$J$384)+AVERAGE('Hoja 4 - Cálculo'!$K$25:$K$384),IF(D2489="Uso prioritario",'Hoja 4 - Cálculo'!I110+'Hoja 4 - Cálculo'!K110,'Hoja 4 - Cálculo'!I110+'Hoja 4 - Cálculo'!J110+'Hoja 4 - Cálculo'!K110)))</f>
        <v>10</v>
      </c>
      <c r="I2489" s="15">
        <f t="shared" si="577"/>
        <v>10</v>
      </c>
      <c r="J2489" s="15">
        <f t="shared" si="574"/>
        <v>5</v>
      </c>
      <c r="K2489" s="15">
        <f>MIN(J2489+G2489,(J2489+G2489)*'Hoja 4 - Cálculo'!$B$15)</f>
        <v>0.38381500000000002</v>
      </c>
      <c r="L2489" s="15">
        <f t="shared" si="564"/>
        <v>18.806935000000003</v>
      </c>
      <c r="M2489" s="15">
        <f t="shared" si="565"/>
        <v>10</v>
      </c>
      <c r="N2489" s="15">
        <f t="shared" si="566"/>
        <v>5</v>
      </c>
      <c r="O2489" s="15">
        <f t="shared" si="567"/>
        <v>3.8069350000000028</v>
      </c>
      <c r="P2489" s="15">
        <f t="shared" si="568"/>
        <v>0</v>
      </c>
      <c r="Q2489" s="14" t="str">
        <f>IF(M2489&gt;=I2489*'Hoja 4 - Cálculo'!$B$16,"Satisfactorio","Falla")</f>
        <v>Satisfactorio</v>
      </c>
      <c r="R2489" s="14">
        <f t="shared" si="575"/>
        <v>0</v>
      </c>
      <c r="S2489" s="14">
        <f t="shared" si="576"/>
        <v>0</v>
      </c>
    </row>
    <row r="2490" spans="1:19">
      <c r="A2490" s="14" t="str">
        <f t="shared" si="572"/>
        <v>CFG-3</v>
      </c>
      <c r="B2490" s="15">
        <f>'Curvas SRY'!$E$11</f>
        <v>5</v>
      </c>
      <c r="C2490" s="15">
        <f>1</f>
        <v>1</v>
      </c>
      <c r="D2490" s="14" t="str">
        <f t="shared" si="573"/>
        <v>Uso prioritario</v>
      </c>
      <c r="E2490" s="14">
        <f>87</f>
        <v>87</v>
      </c>
      <c r="F2490" s="21">
        <f>'Hoja 4 - Cálculo'!A111</f>
        <v>32203</v>
      </c>
      <c r="G2490" s="15">
        <f>'Hoja 4 - Cálculo'!H111</f>
        <v>22.338000000000001</v>
      </c>
      <c r="H2490" s="15">
        <f>IF(D2490="Uso único",'Hoja 4 - Cálculo'!I111,IF(D2490="Uso múltiple",AVERAGE('Hoja 4 - Cálculo'!$I$25:$I$384)+AVERAGE('Hoja 4 - Cálculo'!$J$25:$J$384)+AVERAGE('Hoja 4 - Cálculo'!$K$25:$K$384),IF(D2490="Uso prioritario",'Hoja 4 - Cálculo'!I111+'Hoja 4 - Cálculo'!K111,'Hoja 4 - Cálculo'!I111+'Hoja 4 - Cálculo'!J111+'Hoja 4 - Cálculo'!K111)))</f>
        <v>10</v>
      </c>
      <c r="I2490" s="15">
        <f t="shared" si="577"/>
        <v>10</v>
      </c>
      <c r="J2490" s="15">
        <f t="shared" si="574"/>
        <v>5</v>
      </c>
      <c r="K2490" s="15">
        <f>MIN(J2490+G2490,(J2490+G2490)*'Hoja 4 - Cálculo'!$B$15)</f>
        <v>0.54676000000000002</v>
      </c>
      <c r="L2490" s="15">
        <f t="shared" si="564"/>
        <v>26.791240000000002</v>
      </c>
      <c r="M2490" s="15">
        <f t="shared" si="565"/>
        <v>10</v>
      </c>
      <c r="N2490" s="15">
        <f t="shared" si="566"/>
        <v>5</v>
      </c>
      <c r="O2490" s="15">
        <f t="shared" si="567"/>
        <v>11.791240000000002</v>
      </c>
      <c r="P2490" s="15">
        <f t="shared" si="568"/>
        <v>0</v>
      </c>
      <c r="Q2490" s="14" t="str">
        <f>IF(M2490&gt;=I2490*'Hoja 4 - Cálculo'!$B$16,"Satisfactorio","Falla")</f>
        <v>Satisfactorio</v>
      </c>
      <c r="R2490" s="14">
        <f t="shared" si="575"/>
        <v>0</v>
      </c>
      <c r="S2490" s="14">
        <f t="shared" si="576"/>
        <v>0</v>
      </c>
    </row>
    <row r="2491" spans="1:19">
      <c r="A2491" s="14" t="str">
        <f t="shared" si="572"/>
        <v>CFG-3</v>
      </c>
      <c r="B2491" s="15">
        <f>'Curvas SRY'!$E$11</f>
        <v>5</v>
      </c>
      <c r="C2491" s="15">
        <f>1</f>
        <v>1</v>
      </c>
      <c r="D2491" s="14" t="str">
        <f t="shared" si="573"/>
        <v>Uso prioritario</v>
      </c>
      <c r="E2491" s="14">
        <f>88</f>
        <v>88</v>
      </c>
      <c r="F2491" s="21">
        <f>'Hoja 4 - Cálculo'!A112</f>
        <v>32234</v>
      </c>
      <c r="G2491" s="15">
        <f>'Hoja 4 - Cálculo'!H112</f>
        <v>29.643750000000001</v>
      </c>
      <c r="H2491" s="15">
        <f>IF(D2491="Uso único",'Hoja 4 - Cálculo'!I112,IF(D2491="Uso múltiple",AVERAGE('Hoja 4 - Cálculo'!$I$25:$I$384)+AVERAGE('Hoja 4 - Cálculo'!$J$25:$J$384)+AVERAGE('Hoja 4 - Cálculo'!$K$25:$K$384),IF(D2491="Uso prioritario",'Hoja 4 - Cálculo'!I112+'Hoja 4 - Cálculo'!K112,'Hoja 4 - Cálculo'!I112+'Hoja 4 - Cálculo'!J112+'Hoja 4 - Cálculo'!K112)))</f>
        <v>10</v>
      </c>
      <c r="I2491" s="15">
        <f t="shared" si="577"/>
        <v>10</v>
      </c>
      <c r="J2491" s="15">
        <f t="shared" si="574"/>
        <v>5</v>
      </c>
      <c r="K2491" s="15">
        <f>MIN(J2491+G2491,(J2491+G2491)*'Hoja 4 - Cálculo'!$B$15)</f>
        <v>0.69287499999999991</v>
      </c>
      <c r="L2491" s="15">
        <f t="shared" si="564"/>
        <v>33.950874999999996</v>
      </c>
      <c r="M2491" s="15">
        <f t="shared" si="565"/>
        <v>10</v>
      </c>
      <c r="N2491" s="15">
        <f t="shared" si="566"/>
        <v>5</v>
      </c>
      <c r="O2491" s="15">
        <f t="shared" si="567"/>
        <v>18.950874999999996</v>
      </c>
      <c r="P2491" s="15">
        <f t="shared" si="568"/>
        <v>0</v>
      </c>
      <c r="Q2491" s="14" t="str">
        <f>IF(M2491&gt;=I2491*'Hoja 4 - Cálculo'!$B$16,"Satisfactorio","Falla")</f>
        <v>Satisfactorio</v>
      </c>
      <c r="R2491" s="14">
        <f t="shared" si="575"/>
        <v>0</v>
      </c>
      <c r="S2491" s="14">
        <f t="shared" si="576"/>
        <v>0</v>
      </c>
    </row>
    <row r="2492" spans="1:19">
      <c r="A2492" s="14" t="str">
        <f t="shared" si="572"/>
        <v>CFG-3</v>
      </c>
      <c r="B2492" s="15">
        <f>'Curvas SRY'!$E$11</f>
        <v>5</v>
      </c>
      <c r="C2492" s="15">
        <f>1</f>
        <v>1</v>
      </c>
      <c r="D2492" s="14" t="str">
        <f t="shared" si="573"/>
        <v>Uso prioritario</v>
      </c>
      <c r="E2492" s="14">
        <f>89</f>
        <v>89</v>
      </c>
      <c r="F2492" s="21">
        <f>'Hoja 4 - Cálculo'!A113</f>
        <v>32264</v>
      </c>
      <c r="G2492" s="15">
        <f>'Hoja 4 - Cálculo'!H113</f>
        <v>28.075500000000002</v>
      </c>
      <c r="H2492" s="15">
        <f>IF(D2492="Uso único",'Hoja 4 - Cálculo'!I113,IF(D2492="Uso múltiple",AVERAGE('Hoja 4 - Cálculo'!$I$25:$I$384)+AVERAGE('Hoja 4 - Cálculo'!$J$25:$J$384)+AVERAGE('Hoja 4 - Cálculo'!$K$25:$K$384),IF(D2492="Uso prioritario",'Hoja 4 - Cálculo'!I113+'Hoja 4 - Cálculo'!K113,'Hoja 4 - Cálculo'!I113+'Hoja 4 - Cálculo'!J113+'Hoja 4 - Cálculo'!K113)))</f>
        <v>10</v>
      </c>
      <c r="I2492" s="15">
        <f t="shared" si="577"/>
        <v>10</v>
      </c>
      <c r="J2492" s="15">
        <f t="shared" si="574"/>
        <v>5</v>
      </c>
      <c r="K2492" s="15">
        <f>MIN(J2492+G2492,(J2492+G2492)*'Hoja 4 - Cálculo'!$B$15)</f>
        <v>0.66151000000000015</v>
      </c>
      <c r="L2492" s="15">
        <f t="shared" si="564"/>
        <v>32.413990000000005</v>
      </c>
      <c r="M2492" s="15">
        <f t="shared" si="565"/>
        <v>10</v>
      </c>
      <c r="N2492" s="15">
        <f t="shared" si="566"/>
        <v>5</v>
      </c>
      <c r="O2492" s="15">
        <f t="shared" si="567"/>
        <v>17.413990000000005</v>
      </c>
      <c r="P2492" s="15">
        <f t="shared" si="568"/>
        <v>0</v>
      </c>
      <c r="Q2492" s="14" t="str">
        <f>IF(M2492&gt;=I2492*'Hoja 4 - Cálculo'!$B$16,"Satisfactorio","Falla")</f>
        <v>Satisfactorio</v>
      </c>
      <c r="R2492" s="14">
        <f t="shared" si="575"/>
        <v>0</v>
      </c>
      <c r="S2492" s="14">
        <f t="shared" si="576"/>
        <v>0</v>
      </c>
    </row>
    <row r="2493" spans="1:19">
      <c r="A2493" s="14" t="str">
        <f t="shared" si="572"/>
        <v>CFG-3</v>
      </c>
      <c r="B2493" s="15">
        <f>'Curvas SRY'!$E$11</f>
        <v>5</v>
      </c>
      <c r="C2493" s="15">
        <f>1</f>
        <v>1</v>
      </c>
      <c r="D2493" s="14" t="str">
        <f t="shared" si="573"/>
        <v>Uso prioritario</v>
      </c>
      <c r="E2493" s="14">
        <f>90</f>
        <v>90</v>
      </c>
      <c r="F2493" s="21">
        <f>'Hoja 4 - Cálculo'!A114</f>
        <v>32295</v>
      </c>
      <c r="G2493" s="15">
        <f>'Hoja 4 - Cálculo'!H114</f>
        <v>16.485749999999999</v>
      </c>
      <c r="H2493" s="15">
        <f>IF(D2493="Uso único",'Hoja 4 - Cálculo'!I114,IF(D2493="Uso múltiple",AVERAGE('Hoja 4 - Cálculo'!$I$25:$I$384)+AVERAGE('Hoja 4 - Cálculo'!$J$25:$J$384)+AVERAGE('Hoja 4 - Cálculo'!$K$25:$K$384),IF(D2493="Uso prioritario",'Hoja 4 - Cálculo'!I114+'Hoja 4 - Cálculo'!K114,'Hoja 4 - Cálculo'!I114+'Hoja 4 - Cálculo'!J114+'Hoja 4 - Cálculo'!K114)))</f>
        <v>10</v>
      </c>
      <c r="I2493" s="15">
        <f t="shared" si="577"/>
        <v>10</v>
      </c>
      <c r="J2493" s="15">
        <f t="shared" si="574"/>
        <v>5</v>
      </c>
      <c r="K2493" s="15">
        <f>MIN(J2493+G2493,(J2493+G2493)*'Hoja 4 - Cálculo'!$B$15)</f>
        <v>0.42971500000000001</v>
      </c>
      <c r="L2493" s="15">
        <f t="shared" si="564"/>
        <v>21.056034999999998</v>
      </c>
      <c r="M2493" s="15">
        <f t="shared" si="565"/>
        <v>10</v>
      </c>
      <c r="N2493" s="15">
        <f t="shared" si="566"/>
        <v>5</v>
      </c>
      <c r="O2493" s="15">
        <f t="shared" si="567"/>
        <v>6.0560349999999978</v>
      </c>
      <c r="P2493" s="15">
        <f t="shared" si="568"/>
        <v>0</v>
      </c>
      <c r="Q2493" s="14" t="str">
        <f>IF(M2493&gt;=I2493*'Hoja 4 - Cálculo'!$B$16,"Satisfactorio","Falla")</f>
        <v>Satisfactorio</v>
      </c>
      <c r="R2493" s="14">
        <f t="shared" si="575"/>
        <v>0</v>
      </c>
      <c r="S2493" s="14">
        <f t="shared" si="576"/>
        <v>0</v>
      </c>
    </row>
    <row r="2494" spans="1:19">
      <c r="A2494" s="14" t="str">
        <f t="shared" si="572"/>
        <v>CFG-3</v>
      </c>
      <c r="B2494" s="15">
        <f>'Curvas SRY'!$E$11</f>
        <v>5</v>
      </c>
      <c r="C2494" s="15">
        <f>1</f>
        <v>1</v>
      </c>
      <c r="D2494" s="14" t="str">
        <f t="shared" si="573"/>
        <v>Uso prioritario</v>
      </c>
      <c r="E2494" s="14">
        <f>91</f>
        <v>91</v>
      </c>
      <c r="F2494" s="21">
        <f>'Hoja 4 - Cálculo'!A115</f>
        <v>32325</v>
      </c>
      <c r="G2494" s="15">
        <f>'Hoja 4 - Cálculo'!H115</f>
        <v>13.827375</v>
      </c>
      <c r="H2494" s="15">
        <f>IF(D2494="Uso único",'Hoja 4 - Cálculo'!I115,IF(D2494="Uso múltiple",AVERAGE('Hoja 4 - Cálculo'!$I$25:$I$384)+AVERAGE('Hoja 4 - Cálculo'!$J$25:$J$384)+AVERAGE('Hoja 4 - Cálculo'!$K$25:$K$384),IF(D2494="Uso prioritario",'Hoja 4 - Cálculo'!I115+'Hoja 4 - Cálculo'!K115,'Hoja 4 - Cálculo'!I115+'Hoja 4 - Cálculo'!J115+'Hoja 4 - Cálculo'!K115)))</f>
        <v>10</v>
      </c>
      <c r="I2494" s="15">
        <f t="shared" si="577"/>
        <v>10</v>
      </c>
      <c r="J2494" s="15">
        <f t="shared" si="574"/>
        <v>5</v>
      </c>
      <c r="K2494" s="15">
        <f>MIN(J2494+G2494,(J2494+G2494)*'Hoja 4 - Cálculo'!$B$15)</f>
        <v>0.37654750000000003</v>
      </c>
      <c r="L2494" s="15">
        <f t="shared" si="564"/>
        <v>18.450827499999999</v>
      </c>
      <c r="M2494" s="15">
        <f t="shared" si="565"/>
        <v>10</v>
      </c>
      <c r="N2494" s="15">
        <f t="shared" si="566"/>
        <v>5</v>
      </c>
      <c r="O2494" s="15">
        <f t="shared" si="567"/>
        <v>3.450827499999999</v>
      </c>
      <c r="P2494" s="15">
        <f t="shared" si="568"/>
        <v>0</v>
      </c>
      <c r="Q2494" s="14" t="str">
        <f>IF(M2494&gt;=I2494*'Hoja 4 - Cálculo'!$B$16,"Satisfactorio","Falla")</f>
        <v>Satisfactorio</v>
      </c>
      <c r="R2494" s="14">
        <f t="shared" si="575"/>
        <v>0</v>
      </c>
      <c r="S2494" s="14">
        <f t="shared" si="576"/>
        <v>0</v>
      </c>
    </row>
    <row r="2495" spans="1:19">
      <c r="A2495" s="14" t="str">
        <f t="shared" si="572"/>
        <v>CFG-3</v>
      </c>
      <c r="B2495" s="15">
        <f>'Curvas SRY'!$E$11</f>
        <v>5</v>
      </c>
      <c r="C2495" s="15">
        <f>1</f>
        <v>1</v>
      </c>
      <c r="D2495" s="14" t="str">
        <f t="shared" si="573"/>
        <v>Uso prioritario</v>
      </c>
      <c r="E2495" s="14">
        <f>92</f>
        <v>92</v>
      </c>
      <c r="F2495" s="21">
        <f>'Hoja 4 - Cálculo'!A116</f>
        <v>32356</v>
      </c>
      <c r="G2495" s="15">
        <f>'Hoja 4 - Cálculo'!H116</f>
        <v>14.783625000000001</v>
      </c>
      <c r="H2495" s="15">
        <f>IF(D2495="Uso único",'Hoja 4 - Cálculo'!I116,IF(D2495="Uso múltiple",AVERAGE('Hoja 4 - Cálculo'!$I$25:$I$384)+AVERAGE('Hoja 4 - Cálculo'!$J$25:$J$384)+AVERAGE('Hoja 4 - Cálculo'!$K$25:$K$384),IF(D2495="Uso prioritario",'Hoja 4 - Cálculo'!I116+'Hoja 4 - Cálculo'!K116,'Hoja 4 - Cálculo'!I116+'Hoja 4 - Cálculo'!J116+'Hoja 4 - Cálculo'!K116)))</f>
        <v>10</v>
      </c>
      <c r="I2495" s="15">
        <f t="shared" si="577"/>
        <v>10</v>
      </c>
      <c r="J2495" s="15">
        <f t="shared" si="574"/>
        <v>5</v>
      </c>
      <c r="K2495" s="15">
        <f>MIN(J2495+G2495,(J2495+G2495)*'Hoja 4 - Cálculo'!$B$15)</f>
        <v>0.39567250000000004</v>
      </c>
      <c r="L2495" s="15">
        <f t="shared" si="564"/>
        <v>19.387952500000001</v>
      </c>
      <c r="M2495" s="15">
        <f t="shared" si="565"/>
        <v>10</v>
      </c>
      <c r="N2495" s="15">
        <f t="shared" si="566"/>
        <v>5</v>
      </c>
      <c r="O2495" s="15">
        <f t="shared" si="567"/>
        <v>4.3879525000000008</v>
      </c>
      <c r="P2495" s="15">
        <f t="shared" si="568"/>
        <v>0</v>
      </c>
      <c r="Q2495" s="14" t="str">
        <f>IF(M2495&gt;=I2495*'Hoja 4 - Cálculo'!$B$16,"Satisfactorio","Falla")</f>
        <v>Satisfactorio</v>
      </c>
      <c r="R2495" s="14">
        <f t="shared" si="575"/>
        <v>0</v>
      </c>
      <c r="S2495" s="14">
        <f t="shared" si="576"/>
        <v>0</v>
      </c>
    </row>
    <row r="2496" spans="1:19">
      <c r="A2496" s="14" t="str">
        <f t="shared" si="572"/>
        <v>CFG-3</v>
      </c>
      <c r="B2496" s="15">
        <f>'Curvas SRY'!$E$11</f>
        <v>5</v>
      </c>
      <c r="C2496" s="15">
        <f>1</f>
        <v>1</v>
      </c>
      <c r="D2496" s="14" t="str">
        <f t="shared" si="573"/>
        <v>Uso prioritario</v>
      </c>
      <c r="E2496" s="14">
        <f>93</f>
        <v>93</v>
      </c>
      <c r="F2496" s="21">
        <f>'Hoja 4 - Cálculo'!A117</f>
        <v>32387</v>
      </c>
      <c r="G2496" s="15">
        <f>'Hoja 4 - Cálculo'!H117</f>
        <v>23.3325</v>
      </c>
      <c r="H2496" s="15">
        <f>IF(D2496="Uso único",'Hoja 4 - Cálculo'!I117,IF(D2496="Uso múltiple",AVERAGE('Hoja 4 - Cálculo'!$I$25:$I$384)+AVERAGE('Hoja 4 - Cálculo'!$J$25:$J$384)+AVERAGE('Hoja 4 - Cálculo'!$K$25:$K$384),IF(D2496="Uso prioritario",'Hoja 4 - Cálculo'!I117+'Hoja 4 - Cálculo'!K117,'Hoja 4 - Cálculo'!I117+'Hoja 4 - Cálculo'!J117+'Hoja 4 - Cálculo'!K117)))</f>
        <v>10</v>
      </c>
      <c r="I2496" s="15">
        <f t="shared" si="577"/>
        <v>10</v>
      </c>
      <c r="J2496" s="15">
        <f t="shared" si="574"/>
        <v>5</v>
      </c>
      <c r="K2496" s="15">
        <f>MIN(J2496+G2496,(J2496+G2496)*'Hoja 4 - Cálculo'!$B$15)</f>
        <v>0.56664999999999999</v>
      </c>
      <c r="L2496" s="15">
        <f t="shared" si="564"/>
        <v>27.76585</v>
      </c>
      <c r="M2496" s="15">
        <f t="shared" si="565"/>
        <v>10</v>
      </c>
      <c r="N2496" s="15">
        <f t="shared" si="566"/>
        <v>5</v>
      </c>
      <c r="O2496" s="15">
        <f t="shared" si="567"/>
        <v>12.76585</v>
      </c>
      <c r="P2496" s="15">
        <f t="shared" si="568"/>
        <v>0</v>
      </c>
      <c r="Q2496" s="14" t="str">
        <f>IF(M2496&gt;=I2496*'Hoja 4 - Cálculo'!$B$16,"Satisfactorio","Falla")</f>
        <v>Satisfactorio</v>
      </c>
      <c r="R2496" s="14">
        <f t="shared" si="575"/>
        <v>0</v>
      </c>
      <c r="S2496" s="14">
        <f t="shared" si="576"/>
        <v>0</v>
      </c>
    </row>
    <row r="2497" spans="1:19">
      <c r="A2497" s="14" t="str">
        <f t="shared" si="572"/>
        <v>CFG-3</v>
      </c>
      <c r="B2497" s="15">
        <f>'Curvas SRY'!$E$11</f>
        <v>5</v>
      </c>
      <c r="C2497" s="15">
        <f>1</f>
        <v>1</v>
      </c>
      <c r="D2497" s="14" t="str">
        <f t="shared" si="573"/>
        <v>Uso prioritario</v>
      </c>
      <c r="E2497" s="14">
        <f>94</f>
        <v>94</v>
      </c>
      <c r="F2497" s="21">
        <f>'Hoja 4 - Cálculo'!A118</f>
        <v>32417</v>
      </c>
      <c r="G2497" s="15">
        <f>'Hoja 4 - Cálculo'!H118</f>
        <v>32.015250000000002</v>
      </c>
      <c r="H2497" s="15">
        <f>IF(D2497="Uso único",'Hoja 4 - Cálculo'!I118,IF(D2497="Uso múltiple",AVERAGE('Hoja 4 - Cálculo'!$I$25:$I$384)+AVERAGE('Hoja 4 - Cálculo'!$J$25:$J$384)+AVERAGE('Hoja 4 - Cálculo'!$K$25:$K$384),IF(D2497="Uso prioritario",'Hoja 4 - Cálculo'!I118+'Hoja 4 - Cálculo'!K118,'Hoja 4 - Cálculo'!I118+'Hoja 4 - Cálculo'!J118+'Hoja 4 - Cálculo'!K118)))</f>
        <v>10</v>
      </c>
      <c r="I2497" s="15">
        <f t="shared" si="577"/>
        <v>10</v>
      </c>
      <c r="J2497" s="15">
        <f t="shared" si="574"/>
        <v>5</v>
      </c>
      <c r="K2497" s="15">
        <f>MIN(J2497+G2497,(J2497+G2497)*'Hoja 4 - Cálculo'!$B$15)</f>
        <v>0.7403050000000001</v>
      </c>
      <c r="L2497" s="15">
        <f t="shared" si="564"/>
        <v>36.274945000000002</v>
      </c>
      <c r="M2497" s="15">
        <f t="shared" si="565"/>
        <v>10</v>
      </c>
      <c r="N2497" s="15">
        <f t="shared" si="566"/>
        <v>5</v>
      </c>
      <c r="O2497" s="15">
        <f t="shared" si="567"/>
        <v>21.274945000000002</v>
      </c>
      <c r="P2497" s="15">
        <f t="shared" si="568"/>
        <v>0</v>
      </c>
      <c r="Q2497" s="14" t="str">
        <f>IF(M2497&gt;=I2497*'Hoja 4 - Cálculo'!$B$16,"Satisfactorio","Falla")</f>
        <v>Satisfactorio</v>
      </c>
      <c r="R2497" s="14">
        <f t="shared" si="575"/>
        <v>0</v>
      </c>
      <c r="S2497" s="14">
        <f t="shared" si="576"/>
        <v>0</v>
      </c>
    </row>
    <row r="2498" spans="1:19">
      <c r="A2498" s="14" t="str">
        <f t="shared" si="572"/>
        <v>CFG-3</v>
      </c>
      <c r="B2498" s="15">
        <f>'Curvas SRY'!$E$11</f>
        <v>5</v>
      </c>
      <c r="C2498" s="15">
        <f>1</f>
        <v>1</v>
      </c>
      <c r="D2498" s="14" t="str">
        <f t="shared" si="573"/>
        <v>Uso prioritario</v>
      </c>
      <c r="E2498" s="14">
        <f>95</f>
        <v>95</v>
      </c>
      <c r="F2498" s="21">
        <f>'Hoja 4 - Cálculo'!A119</f>
        <v>32448</v>
      </c>
      <c r="G2498" s="15">
        <f>'Hoja 4 - Cálculo'!H119</f>
        <v>25.876124999999998</v>
      </c>
      <c r="H2498" s="15">
        <f>IF(D2498="Uso único",'Hoja 4 - Cálculo'!I119,IF(D2498="Uso múltiple",AVERAGE('Hoja 4 - Cálculo'!$I$25:$I$384)+AVERAGE('Hoja 4 - Cálculo'!$J$25:$J$384)+AVERAGE('Hoja 4 - Cálculo'!$K$25:$K$384),IF(D2498="Uso prioritario",'Hoja 4 - Cálculo'!I119+'Hoja 4 - Cálculo'!K119,'Hoja 4 - Cálculo'!I119+'Hoja 4 - Cálculo'!J119+'Hoja 4 - Cálculo'!K119)))</f>
        <v>10</v>
      </c>
      <c r="I2498" s="15">
        <f t="shared" si="577"/>
        <v>10</v>
      </c>
      <c r="J2498" s="15">
        <f t="shared" si="574"/>
        <v>5</v>
      </c>
      <c r="K2498" s="15">
        <f>MIN(J2498+G2498,(J2498+G2498)*'Hoja 4 - Cálculo'!$B$15)</f>
        <v>0.61752249999999997</v>
      </c>
      <c r="L2498" s="15">
        <f t="shared" si="564"/>
        <v>30.258602499999999</v>
      </c>
      <c r="M2498" s="15">
        <f t="shared" si="565"/>
        <v>10</v>
      </c>
      <c r="N2498" s="15">
        <f t="shared" si="566"/>
        <v>5</v>
      </c>
      <c r="O2498" s="15">
        <f t="shared" si="567"/>
        <v>15.258602499999999</v>
      </c>
      <c r="P2498" s="15">
        <f t="shared" si="568"/>
        <v>0</v>
      </c>
      <c r="Q2498" s="14" t="str">
        <f>IF(M2498&gt;=I2498*'Hoja 4 - Cálculo'!$B$16,"Satisfactorio","Falla")</f>
        <v>Satisfactorio</v>
      </c>
      <c r="R2498" s="14">
        <f t="shared" si="575"/>
        <v>0</v>
      </c>
      <c r="S2498" s="14">
        <f t="shared" si="576"/>
        <v>0</v>
      </c>
    </row>
    <row r="2499" spans="1:19">
      <c r="A2499" s="14" t="str">
        <f t="shared" si="572"/>
        <v>CFG-3</v>
      </c>
      <c r="B2499" s="15">
        <f>'Curvas SRY'!$E$11</f>
        <v>5</v>
      </c>
      <c r="C2499" s="15">
        <f>1</f>
        <v>1</v>
      </c>
      <c r="D2499" s="14" t="str">
        <f t="shared" si="573"/>
        <v>Uso prioritario</v>
      </c>
      <c r="E2499" s="14">
        <f>96</f>
        <v>96</v>
      </c>
      <c r="F2499" s="21">
        <f>'Hoja 4 - Cálculo'!A120</f>
        <v>32478</v>
      </c>
      <c r="G2499" s="15">
        <f>'Hoja 4 - Cálculo'!H120</f>
        <v>16.218</v>
      </c>
      <c r="H2499" s="15">
        <f>IF(D2499="Uso único",'Hoja 4 - Cálculo'!I120,IF(D2499="Uso múltiple",AVERAGE('Hoja 4 - Cálculo'!$I$25:$I$384)+AVERAGE('Hoja 4 - Cálculo'!$J$25:$J$384)+AVERAGE('Hoja 4 - Cálculo'!$K$25:$K$384),IF(D2499="Uso prioritario",'Hoja 4 - Cálculo'!I120+'Hoja 4 - Cálculo'!K120,'Hoja 4 - Cálculo'!I120+'Hoja 4 - Cálculo'!J120+'Hoja 4 - Cálculo'!K120)))</f>
        <v>10</v>
      </c>
      <c r="I2499" s="15">
        <f t="shared" si="577"/>
        <v>10</v>
      </c>
      <c r="J2499" s="15">
        <f t="shared" si="574"/>
        <v>5</v>
      </c>
      <c r="K2499" s="15">
        <f>MIN(J2499+G2499,(J2499+G2499)*'Hoja 4 - Cálculo'!$B$15)</f>
        <v>0.42436000000000001</v>
      </c>
      <c r="L2499" s="15">
        <f t="shared" si="564"/>
        <v>20.79364</v>
      </c>
      <c r="M2499" s="15">
        <f t="shared" si="565"/>
        <v>10</v>
      </c>
      <c r="N2499" s="15">
        <f t="shared" si="566"/>
        <v>5</v>
      </c>
      <c r="O2499" s="15">
        <f t="shared" si="567"/>
        <v>5.7936399999999999</v>
      </c>
      <c r="P2499" s="15">
        <f t="shared" si="568"/>
        <v>0</v>
      </c>
      <c r="Q2499" s="14" t="str">
        <f>IF(M2499&gt;=I2499*'Hoja 4 - Cálculo'!$B$16,"Satisfactorio","Falla")</f>
        <v>Satisfactorio</v>
      </c>
      <c r="R2499" s="14">
        <f t="shared" si="575"/>
        <v>0</v>
      </c>
      <c r="S2499" s="14">
        <f t="shared" si="576"/>
        <v>0</v>
      </c>
    </row>
    <row r="2500" spans="1:19">
      <c r="A2500" s="14" t="str">
        <f t="shared" ref="A2500:A2523" si="578">"CFG-3"</f>
        <v>CFG-3</v>
      </c>
      <c r="B2500" s="15">
        <f>'Curvas SRY'!$E$11</f>
        <v>5</v>
      </c>
      <c r="C2500" s="15">
        <f>1</f>
        <v>1</v>
      </c>
      <c r="D2500" s="14" t="str">
        <f t="shared" ref="D2500:D2523" si="579">"Uso prioritario"</f>
        <v>Uso prioritario</v>
      </c>
      <c r="E2500" s="14">
        <f>97</f>
        <v>97</v>
      </c>
      <c r="F2500" s="21">
        <f>'Hoja 4 - Cálculo'!A121</f>
        <v>32509</v>
      </c>
      <c r="G2500" s="15">
        <f>'Hoja 4 - Cálculo'!H121</f>
        <v>11.761875</v>
      </c>
      <c r="H2500" s="15">
        <f>IF(D2500="Uso único",'Hoja 4 - Cálculo'!I121,IF(D2500="Uso múltiple",AVERAGE('Hoja 4 - Cálculo'!$I$25:$I$384)+AVERAGE('Hoja 4 - Cálculo'!$J$25:$J$384)+AVERAGE('Hoja 4 - Cálculo'!$K$25:$K$384),IF(D2500="Uso prioritario",'Hoja 4 - Cálculo'!I121+'Hoja 4 - Cálculo'!K121,'Hoja 4 - Cálculo'!I121+'Hoja 4 - Cálculo'!J121+'Hoja 4 - Cálculo'!K121)))</f>
        <v>10</v>
      </c>
      <c r="I2500" s="15">
        <f t="shared" si="577"/>
        <v>10</v>
      </c>
      <c r="J2500" s="15">
        <f t="shared" si="574"/>
        <v>5</v>
      </c>
      <c r="K2500" s="15">
        <f>MIN(J2500+G2500,(J2500+G2500)*'Hoja 4 - Cálculo'!$B$15)</f>
        <v>0.33523750000000002</v>
      </c>
      <c r="L2500" s="15">
        <f t="shared" ref="L2500:L2563" si="580">MAX(0,J2500+G2500-K2500)</f>
        <v>16.426637499999998</v>
      </c>
      <c r="M2500" s="15">
        <f t="shared" ref="M2500:M2563" si="581">MIN(I2500,L2500)</f>
        <v>10</v>
      </c>
      <c r="N2500" s="15">
        <f t="shared" ref="N2500:N2563" si="582">MIN(B2500,MAX(0,L2500-M2500))</f>
        <v>5</v>
      </c>
      <c r="O2500" s="15">
        <f t="shared" ref="O2500:O2563" si="583">MAX(0,L2500-M2500-B2500)</f>
        <v>1.4266374999999982</v>
      </c>
      <c r="P2500" s="15">
        <f t="shared" ref="P2500:P2563" si="584">MAX(0,I2500-M2500)</f>
        <v>0</v>
      </c>
      <c r="Q2500" s="14" t="str">
        <f>IF(M2500&gt;=I2500*'Hoja 4 - Cálculo'!$B$16,"Satisfactorio","Falla")</f>
        <v>Satisfactorio</v>
      </c>
      <c r="R2500" s="14">
        <f t="shared" si="575"/>
        <v>0</v>
      </c>
      <c r="S2500" s="14">
        <f t="shared" si="576"/>
        <v>0</v>
      </c>
    </row>
    <row r="2501" spans="1:19">
      <c r="A2501" s="14" t="str">
        <f t="shared" si="578"/>
        <v>CFG-3</v>
      </c>
      <c r="B2501" s="15">
        <f>'Curvas SRY'!$E$11</f>
        <v>5</v>
      </c>
      <c r="C2501" s="15">
        <f>1</f>
        <v>1</v>
      </c>
      <c r="D2501" s="14" t="str">
        <f t="shared" si="579"/>
        <v>Uso prioritario</v>
      </c>
      <c r="E2501" s="14">
        <f>98</f>
        <v>98</v>
      </c>
      <c r="F2501" s="21">
        <f>'Hoja 4 - Cálculo'!A122</f>
        <v>32540</v>
      </c>
      <c r="G2501" s="15">
        <f>'Hoja 4 - Cálculo'!H122</f>
        <v>12.43125</v>
      </c>
      <c r="H2501" s="15">
        <f>IF(D2501="Uso único",'Hoja 4 - Cálculo'!I122,IF(D2501="Uso múltiple",AVERAGE('Hoja 4 - Cálculo'!$I$25:$I$384)+AVERAGE('Hoja 4 - Cálculo'!$J$25:$J$384)+AVERAGE('Hoja 4 - Cálculo'!$K$25:$K$384),IF(D2501="Uso prioritario",'Hoja 4 - Cálculo'!I122+'Hoja 4 - Cálculo'!K122,'Hoja 4 - Cálculo'!I122+'Hoja 4 - Cálculo'!J122+'Hoja 4 - Cálculo'!K122)))</f>
        <v>10</v>
      </c>
      <c r="I2501" s="15">
        <f t="shared" si="577"/>
        <v>10</v>
      </c>
      <c r="J2501" s="15">
        <f t="shared" ref="J2501:J2523" si="585">N2500</f>
        <v>5</v>
      </c>
      <c r="K2501" s="15">
        <f>MIN(J2501+G2501,(J2501+G2501)*'Hoja 4 - Cálculo'!$B$15)</f>
        <v>0.34862499999999996</v>
      </c>
      <c r="L2501" s="15">
        <f t="shared" si="580"/>
        <v>17.082625</v>
      </c>
      <c r="M2501" s="15">
        <f t="shared" si="581"/>
        <v>10</v>
      </c>
      <c r="N2501" s="15">
        <f t="shared" si="582"/>
        <v>5</v>
      </c>
      <c r="O2501" s="15">
        <f t="shared" si="583"/>
        <v>2.0826250000000002</v>
      </c>
      <c r="P2501" s="15">
        <f t="shared" si="584"/>
        <v>0</v>
      </c>
      <c r="Q2501" s="14" t="str">
        <f>IF(M2501&gt;=I2501*'Hoja 4 - Cálculo'!$B$16,"Satisfactorio","Falla")</f>
        <v>Satisfactorio</v>
      </c>
      <c r="R2501" s="14">
        <f t="shared" ref="R2501:R2532" si="586">IF(AND(Q2500="Falla",Q2501="Satisfactorio"),1,0)</f>
        <v>0</v>
      </c>
      <c r="S2501" s="14">
        <f t="shared" ref="S2501:S2523" si="587">IF(AND(Q2501="Falla",Q2500&lt;&gt;"Falla"),1,0)</f>
        <v>0</v>
      </c>
    </row>
    <row r="2502" spans="1:19">
      <c r="A2502" s="14" t="str">
        <f t="shared" si="578"/>
        <v>CFG-3</v>
      </c>
      <c r="B2502" s="15">
        <f>'Curvas SRY'!$E$11</f>
        <v>5</v>
      </c>
      <c r="C2502" s="15">
        <f>1</f>
        <v>1</v>
      </c>
      <c r="D2502" s="14" t="str">
        <f t="shared" si="579"/>
        <v>Uso prioritario</v>
      </c>
      <c r="E2502" s="14">
        <f>99</f>
        <v>99</v>
      </c>
      <c r="F2502" s="21">
        <f>'Hoja 4 - Cálculo'!A123</f>
        <v>32568</v>
      </c>
      <c r="G2502" s="15">
        <f>'Hoja 4 - Cálculo'!H123</f>
        <v>19.717874999999999</v>
      </c>
      <c r="H2502" s="15">
        <f>IF(D2502="Uso único",'Hoja 4 - Cálculo'!I123,IF(D2502="Uso múltiple",AVERAGE('Hoja 4 - Cálculo'!$I$25:$I$384)+AVERAGE('Hoja 4 - Cálculo'!$J$25:$J$384)+AVERAGE('Hoja 4 - Cálculo'!$K$25:$K$384),IF(D2502="Uso prioritario",'Hoja 4 - Cálculo'!I123+'Hoja 4 - Cálculo'!K123,'Hoja 4 - Cálculo'!I123+'Hoja 4 - Cálculo'!J123+'Hoja 4 - Cálculo'!K123)))</f>
        <v>10</v>
      </c>
      <c r="I2502" s="15">
        <f t="shared" si="577"/>
        <v>10</v>
      </c>
      <c r="J2502" s="15">
        <f t="shared" si="585"/>
        <v>5</v>
      </c>
      <c r="K2502" s="15">
        <f>MIN(J2502+G2502,(J2502+G2502)*'Hoja 4 - Cálculo'!$B$15)</f>
        <v>0.49435750000000001</v>
      </c>
      <c r="L2502" s="15">
        <f t="shared" si="580"/>
        <v>24.2235175</v>
      </c>
      <c r="M2502" s="15">
        <f t="shared" si="581"/>
        <v>10</v>
      </c>
      <c r="N2502" s="15">
        <f t="shared" si="582"/>
        <v>5</v>
      </c>
      <c r="O2502" s="15">
        <f t="shared" si="583"/>
        <v>9.2235174999999998</v>
      </c>
      <c r="P2502" s="15">
        <f t="shared" si="584"/>
        <v>0</v>
      </c>
      <c r="Q2502" s="14" t="str">
        <f>IF(M2502&gt;=I2502*'Hoja 4 - Cálculo'!$B$16,"Satisfactorio","Falla")</f>
        <v>Satisfactorio</v>
      </c>
      <c r="R2502" s="14">
        <f t="shared" si="586"/>
        <v>0</v>
      </c>
      <c r="S2502" s="14">
        <f t="shared" si="587"/>
        <v>0</v>
      </c>
    </row>
    <row r="2503" spans="1:19">
      <c r="A2503" s="14" t="str">
        <f t="shared" si="578"/>
        <v>CFG-3</v>
      </c>
      <c r="B2503" s="15">
        <f>'Curvas SRY'!$E$11</f>
        <v>5</v>
      </c>
      <c r="C2503" s="15">
        <f>1</f>
        <v>1</v>
      </c>
      <c r="D2503" s="14" t="str">
        <f t="shared" si="579"/>
        <v>Uso prioritario</v>
      </c>
      <c r="E2503" s="14">
        <f>100</f>
        <v>100</v>
      </c>
      <c r="F2503" s="21">
        <f>'Hoja 4 - Cálculo'!A124</f>
        <v>32599</v>
      </c>
      <c r="G2503" s="15">
        <f>'Hoja 4 - Cálculo'!H124</f>
        <v>26.029125000000001</v>
      </c>
      <c r="H2503" s="15">
        <f>IF(D2503="Uso único",'Hoja 4 - Cálculo'!I124,IF(D2503="Uso múltiple",AVERAGE('Hoja 4 - Cálculo'!$I$25:$I$384)+AVERAGE('Hoja 4 - Cálculo'!$J$25:$J$384)+AVERAGE('Hoja 4 - Cálculo'!$K$25:$K$384),IF(D2503="Uso prioritario",'Hoja 4 - Cálculo'!I124+'Hoja 4 - Cálculo'!K124,'Hoja 4 - Cálculo'!I124+'Hoja 4 - Cálculo'!J124+'Hoja 4 - Cálculo'!K124)))</f>
        <v>10</v>
      </c>
      <c r="I2503" s="15">
        <f t="shared" si="577"/>
        <v>10</v>
      </c>
      <c r="J2503" s="15">
        <f t="shared" si="585"/>
        <v>5</v>
      </c>
      <c r="K2503" s="15">
        <f>MIN(J2503+G2503,(J2503+G2503)*'Hoja 4 - Cálculo'!$B$15)</f>
        <v>0.62058250000000004</v>
      </c>
      <c r="L2503" s="15">
        <f t="shared" si="580"/>
        <v>30.408542499999999</v>
      </c>
      <c r="M2503" s="15">
        <f t="shared" si="581"/>
        <v>10</v>
      </c>
      <c r="N2503" s="15">
        <f t="shared" si="582"/>
        <v>5</v>
      </c>
      <c r="O2503" s="15">
        <f t="shared" si="583"/>
        <v>15.408542499999999</v>
      </c>
      <c r="P2503" s="15">
        <f t="shared" si="584"/>
        <v>0</v>
      </c>
      <c r="Q2503" s="14" t="str">
        <f>IF(M2503&gt;=I2503*'Hoja 4 - Cálculo'!$B$16,"Satisfactorio","Falla")</f>
        <v>Satisfactorio</v>
      </c>
      <c r="R2503" s="14">
        <f t="shared" si="586"/>
        <v>0</v>
      </c>
      <c r="S2503" s="14">
        <f t="shared" si="587"/>
        <v>0</v>
      </c>
    </row>
    <row r="2504" spans="1:19">
      <c r="A2504" s="14" t="str">
        <f t="shared" si="578"/>
        <v>CFG-3</v>
      </c>
      <c r="B2504" s="15">
        <f>'Curvas SRY'!$E$11</f>
        <v>5</v>
      </c>
      <c r="C2504" s="15">
        <f>1</f>
        <v>1</v>
      </c>
      <c r="D2504" s="14" t="str">
        <f t="shared" si="579"/>
        <v>Uso prioritario</v>
      </c>
      <c r="E2504" s="14">
        <f>101</f>
        <v>101</v>
      </c>
      <c r="F2504" s="21">
        <f>'Hoja 4 - Cálculo'!A125</f>
        <v>32629</v>
      </c>
      <c r="G2504" s="15">
        <f>'Hoja 4 - Cálculo'!H125</f>
        <v>24.728625000000005</v>
      </c>
      <c r="H2504" s="15">
        <f>IF(D2504="Uso único",'Hoja 4 - Cálculo'!I125,IF(D2504="Uso múltiple",AVERAGE('Hoja 4 - Cálculo'!$I$25:$I$384)+AVERAGE('Hoja 4 - Cálculo'!$J$25:$J$384)+AVERAGE('Hoja 4 - Cálculo'!$K$25:$K$384),IF(D2504="Uso prioritario",'Hoja 4 - Cálculo'!I125+'Hoja 4 - Cálculo'!K125,'Hoja 4 - Cálculo'!I125+'Hoja 4 - Cálculo'!J125+'Hoja 4 - Cálculo'!K125)))</f>
        <v>10</v>
      </c>
      <c r="I2504" s="15">
        <f t="shared" si="577"/>
        <v>10</v>
      </c>
      <c r="J2504" s="15">
        <f t="shared" si="585"/>
        <v>5</v>
      </c>
      <c r="K2504" s="15">
        <f>MIN(J2504+G2504,(J2504+G2504)*'Hoja 4 - Cálculo'!$B$15)</f>
        <v>0.59457250000000006</v>
      </c>
      <c r="L2504" s="15">
        <f t="shared" si="580"/>
        <v>29.134052500000003</v>
      </c>
      <c r="M2504" s="15">
        <f t="shared" si="581"/>
        <v>10</v>
      </c>
      <c r="N2504" s="15">
        <f t="shared" si="582"/>
        <v>5</v>
      </c>
      <c r="O2504" s="15">
        <f t="shared" si="583"/>
        <v>14.134052500000003</v>
      </c>
      <c r="P2504" s="15">
        <f t="shared" si="584"/>
        <v>0</v>
      </c>
      <c r="Q2504" s="14" t="str">
        <f>IF(M2504&gt;=I2504*'Hoja 4 - Cálculo'!$B$16,"Satisfactorio","Falla")</f>
        <v>Satisfactorio</v>
      </c>
      <c r="R2504" s="14">
        <f t="shared" si="586"/>
        <v>0</v>
      </c>
      <c r="S2504" s="14">
        <f t="shared" si="587"/>
        <v>0</v>
      </c>
    </row>
    <row r="2505" spans="1:19">
      <c r="A2505" s="14" t="str">
        <f t="shared" si="578"/>
        <v>CFG-3</v>
      </c>
      <c r="B2505" s="15">
        <f>'Curvas SRY'!$E$11</f>
        <v>5</v>
      </c>
      <c r="C2505" s="15">
        <f>1</f>
        <v>1</v>
      </c>
      <c r="D2505" s="14" t="str">
        <f t="shared" si="579"/>
        <v>Uso prioritario</v>
      </c>
      <c r="E2505" s="14">
        <f>102</f>
        <v>102</v>
      </c>
      <c r="F2505" s="21">
        <f>'Hoja 4 - Cálculo'!A126</f>
        <v>32660</v>
      </c>
      <c r="G2505" s="15">
        <f>'Hoja 4 - Cálculo'!H126</f>
        <v>14.515874999999999</v>
      </c>
      <c r="H2505" s="15">
        <f>IF(D2505="Uso único",'Hoja 4 - Cálculo'!I126,IF(D2505="Uso múltiple",AVERAGE('Hoja 4 - Cálculo'!$I$25:$I$384)+AVERAGE('Hoja 4 - Cálculo'!$J$25:$J$384)+AVERAGE('Hoja 4 - Cálculo'!$K$25:$K$384),IF(D2505="Uso prioritario",'Hoja 4 - Cálculo'!I126+'Hoja 4 - Cálculo'!K126,'Hoja 4 - Cálculo'!I126+'Hoja 4 - Cálculo'!J126+'Hoja 4 - Cálculo'!K126)))</f>
        <v>10</v>
      </c>
      <c r="I2505" s="15">
        <f t="shared" si="577"/>
        <v>10</v>
      </c>
      <c r="J2505" s="15">
        <f t="shared" si="585"/>
        <v>5</v>
      </c>
      <c r="K2505" s="15">
        <f>MIN(J2505+G2505,(J2505+G2505)*'Hoja 4 - Cálculo'!$B$15)</f>
        <v>0.39031750000000004</v>
      </c>
      <c r="L2505" s="15">
        <f t="shared" si="580"/>
        <v>19.125557500000003</v>
      </c>
      <c r="M2505" s="15">
        <f t="shared" si="581"/>
        <v>10</v>
      </c>
      <c r="N2505" s="15">
        <f t="shared" si="582"/>
        <v>5</v>
      </c>
      <c r="O2505" s="15">
        <f t="shared" si="583"/>
        <v>4.1255575000000029</v>
      </c>
      <c r="P2505" s="15">
        <f t="shared" si="584"/>
        <v>0</v>
      </c>
      <c r="Q2505" s="14" t="str">
        <f>IF(M2505&gt;=I2505*'Hoja 4 - Cálculo'!$B$16,"Satisfactorio","Falla")</f>
        <v>Satisfactorio</v>
      </c>
      <c r="R2505" s="14">
        <f t="shared" si="586"/>
        <v>0</v>
      </c>
      <c r="S2505" s="14">
        <f t="shared" si="587"/>
        <v>0</v>
      </c>
    </row>
    <row r="2506" spans="1:19">
      <c r="A2506" s="14" t="str">
        <f t="shared" si="578"/>
        <v>CFG-3</v>
      </c>
      <c r="B2506" s="15">
        <f>'Curvas SRY'!$E$11</f>
        <v>5</v>
      </c>
      <c r="C2506" s="15">
        <f>1</f>
        <v>1</v>
      </c>
      <c r="D2506" s="14" t="str">
        <f t="shared" si="579"/>
        <v>Uso prioritario</v>
      </c>
      <c r="E2506" s="14">
        <f>103</f>
        <v>103</v>
      </c>
      <c r="F2506" s="21">
        <f>'Hoja 4 - Cálculo'!A127</f>
        <v>32690</v>
      </c>
      <c r="G2506" s="15">
        <f>'Hoja 4 - Cálculo'!H127</f>
        <v>12.144375</v>
      </c>
      <c r="H2506" s="15">
        <f>IF(D2506="Uso único",'Hoja 4 - Cálculo'!I127,IF(D2506="Uso múltiple",AVERAGE('Hoja 4 - Cálculo'!$I$25:$I$384)+AVERAGE('Hoja 4 - Cálculo'!$J$25:$J$384)+AVERAGE('Hoja 4 - Cálculo'!$K$25:$K$384),IF(D2506="Uso prioritario",'Hoja 4 - Cálculo'!I127+'Hoja 4 - Cálculo'!K127,'Hoja 4 - Cálculo'!I127+'Hoja 4 - Cálculo'!J127+'Hoja 4 - Cálculo'!K127)))</f>
        <v>10</v>
      </c>
      <c r="I2506" s="15">
        <f t="shared" si="577"/>
        <v>10</v>
      </c>
      <c r="J2506" s="15">
        <f t="shared" si="585"/>
        <v>5</v>
      </c>
      <c r="K2506" s="15">
        <f>MIN(J2506+G2506,(J2506+G2506)*'Hoja 4 - Cálculo'!$B$15)</f>
        <v>0.34288750000000001</v>
      </c>
      <c r="L2506" s="15">
        <f t="shared" si="580"/>
        <v>16.8014875</v>
      </c>
      <c r="M2506" s="15">
        <f t="shared" si="581"/>
        <v>10</v>
      </c>
      <c r="N2506" s="15">
        <f t="shared" si="582"/>
        <v>5</v>
      </c>
      <c r="O2506" s="15">
        <f t="shared" si="583"/>
        <v>1.8014875000000004</v>
      </c>
      <c r="P2506" s="15">
        <f t="shared" si="584"/>
        <v>0</v>
      </c>
      <c r="Q2506" s="14" t="str">
        <f>IF(M2506&gt;=I2506*'Hoja 4 - Cálculo'!$B$16,"Satisfactorio","Falla")</f>
        <v>Satisfactorio</v>
      </c>
      <c r="R2506" s="14">
        <f t="shared" si="586"/>
        <v>0</v>
      </c>
      <c r="S2506" s="14">
        <f t="shared" si="587"/>
        <v>0</v>
      </c>
    </row>
    <row r="2507" spans="1:19">
      <c r="A2507" s="14" t="str">
        <f t="shared" si="578"/>
        <v>CFG-3</v>
      </c>
      <c r="B2507" s="15">
        <f>'Curvas SRY'!$E$11</f>
        <v>5</v>
      </c>
      <c r="C2507" s="15">
        <f>1</f>
        <v>1</v>
      </c>
      <c r="D2507" s="14" t="str">
        <f t="shared" si="579"/>
        <v>Uso prioritario</v>
      </c>
      <c r="E2507" s="14">
        <f>104</f>
        <v>104</v>
      </c>
      <c r="F2507" s="21">
        <f>'Hoja 4 - Cálculo'!A128</f>
        <v>32721</v>
      </c>
      <c r="G2507" s="15">
        <f>'Hoja 4 - Cálculo'!H128</f>
        <v>13.04325</v>
      </c>
      <c r="H2507" s="15">
        <f>IF(D2507="Uso único",'Hoja 4 - Cálculo'!I128,IF(D2507="Uso múltiple",AVERAGE('Hoja 4 - Cálculo'!$I$25:$I$384)+AVERAGE('Hoja 4 - Cálculo'!$J$25:$J$384)+AVERAGE('Hoja 4 - Cálculo'!$K$25:$K$384),IF(D2507="Uso prioritario",'Hoja 4 - Cálculo'!I128+'Hoja 4 - Cálculo'!K128,'Hoja 4 - Cálculo'!I128+'Hoja 4 - Cálculo'!J128+'Hoja 4 - Cálculo'!K128)))</f>
        <v>10</v>
      </c>
      <c r="I2507" s="15">
        <f t="shared" si="577"/>
        <v>10</v>
      </c>
      <c r="J2507" s="15">
        <f t="shared" si="585"/>
        <v>5</v>
      </c>
      <c r="K2507" s="15">
        <f>MIN(J2507+G2507,(J2507+G2507)*'Hoja 4 - Cálculo'!$B$15)</f>
        <v>0.36086499999999999</v>
      </c>
      <c r="L2507" s="15">
        <f t="shared" si="580"/>
        <v>17.682385</v>
      </c>
      <c r="M2507" s="15">
        <f t="shared" si="581"/>
        <v>10</v>
      </c>
      <c r="N2507" s="15">
        <f t="shared" si="582"/>
        <v>5</v>
      </c>
      <c r="O2507" s="15">
        <f t="shared" si="583"/>
        <v>2.682385</v>
      </c>
      <c r="P2507" s="15">
        <f t="shared" si="584"/>
        <v>0</v>
      </c>
      <c r="Q2507" s="14" t="str">
        <f>IF(M2507&gt;=I2507*'Hoja 4 - Cálculo'!$B$16,"Satisfactorio","Falla")</f>
        <v>Satisfactorio</v>
      </c>
      <c r="R2507" s="14">
        <f t="shared" si="586"/>
        <v>0</v>
      </c>
      <c r="S2507" s="14">
        <f t="shared" si="587"/>
        <v>0</v>
      </c>
    </row>
    <row r="2508" spans="1:19">
      <c r="A2508" s="14" t="str">
        <f t="shared" si="578"/>
        <v>CFG-3</v>
      </c>
      <c r="B2508" s="15">
        <f>'Curvas SRY'!$E$11</f>
        <v>5</v>
      </c>
      <c r="C2508" s="15">
        <f>1</f>
        <v>1</v>
      </c>
      <c r="D2508" s="14" t="str">
        <f t="shared" si="579"/>
        <v>Uso prioritario</v>
      </c>
      <c r="E2508" s="14">
        <f>105</f>
        <v>105</v>
      </c>
      <c r="F2508" s="21">
        <f>'Hoja 4 - Cálculo'!A129</f>
        <v>32752</v>
      </c>
      <c r="G2508" s="15">
        <f>'Hoja 4 - Cálculo'!H129</f>
        <v>20.444624999999998</v>
      </c>
      <c r="H2508" s="15">
        <f>IF(D2508="Uso único",'Hoja 4 - Cálculo'!I129,IF(D2508="Uso múltiple",AVERAGE('Hoja 4 - Cálculo'!$I$25:$I$384)+AVERAGE('Hoja 4 - Cálculo'!$J$25:$J$384)+AVERAGE('Hoja 4 - Cálculo'!$K$25:$K$384),IF(D2508="Uso prioritario",'Hoja 4 - Cálculo'!I129+'Hoja 4 - Cálculo'!K129,'Hoja 4 - Cálculo'!I129+'Hoja 4 - Cálculo'!J129+'Hoja 4 - Cálculo'!K129)))</f>
        <v>10</v>
      </c>
      <c r="I2508" s="15">
        <f t="shared" si="577"/>
        <v>10</v>
      </c>
      <c r="J2508" s="15">
        <f t="shared" si="585"/>
        <v>5</v>
      </c>
      <c r="K2508" s="15">
        <f>MIN(J2508+G2508,(J2508+G2508)*'Hoja 4 - Cálculo'!$B$15)</f>
        <v>0.50889249999999997</v>
      </c>
      <c r="L2508" s="15">
        <f t="shared" si="580"/>
        <v>24.9357325</v>
      </c>
      <c r="M2508" s="15">
        <f t="shared" si="581"/>
        <v>10</v>
      </c>
      <c r="N2508" s="15">
        <f t="shared" si="582"/>
        <v>5</v>
      </c>
      <c r="O2508" s="15">
        <f t="shared" si="583"/>
        <v>9.9357325000000003</v>
      </c>
      <c r="P2508" s="15">
        <f t="shared" si="584"/>
        <v>0</v>
      </c>
      <c r="Q2508" s="14" t="str">
        <f>IF(M2508&gt;=I2508*'Hoja 4 - Cálculo'!$B$16,"Satisfactorio","Falla")</f>
        <v>Satisfactorio</v>
      </c>
      <c r="R2508" s="14">
        <f t="shared" si="586"/>
        <v>0</v>
      </c>
      <c r="S2508" s="14">
        <f t="shared" si="587"/>
        <v>0</v>
      </c>
    </row>
    <row r="2509" spans="1:19">
      <c r="A2509" s="14" t="str">
        <f t="shared" si="578"/>
        <v>CFG-3</v>
      </c>
      <c r="B2509" s="15">
        <f>'Curvas SRY'!$E$11</f>
        <v>5</v>
      </c>
      <c r="C2509" s="15">
        <f>1</f>
        <v>1</v>
      </c>
      <c r="D2509" s="14" t="str">
        <f t="shared" si="579"/>
        <v>Uso prioritario</v>
      </c>
      <c r="E2509" s="14">
        <f>106</f>
        <v>106</v>
      </c>
      <c r="F2509" s="21">
        <f>'Hoja 4 - Cálculo'!A130</f>
        <v>32782</v>
      </c>
      <c r="G2509" s="15">
        <f>'Hoja 4 - Cálculo'!H130</f>
        <v>28.343250000000001</v>
      </c>
      <c r="H2509" s="15">
        <f>IF(D2509="Uso único",'Hoja 4 - Cálculo'!I130,IF(D2509="Uso múltiple",AVERAGE('Hoja 4 - Cálculo'!$I$25:$I$384)+AVERAGE('Hoja 4 - Cálculo'!$J$25:$J$384)+AVERAGE('Hoja 4 - Cálculo'!$K$25:$K$384),IF(D2509="Uso prioritario",'Hoja 4 - Cálculo'!I130+'Hoja 4 - Cálculo'!K130,'Hoja 4 - Cálculo'!I130+'Hoja 4 - Cálculo'!J130+'Hoja 4 - Cálculo'!K130)))</f>
        <v>10</v>
      </c>
      <c r="I2509" s="15">
        <f t="shared" si="577"/>
        <v>10</v>
      </c>
      <c r="J2509" s="15">
        <f t="shared" si="585"/>
        <v>5</v>
      </c>
      <c r="K2509" s="15">
        <f>MIN(J2509+G2509,(J2509+G2509)*'Hoja 4 - Cálculo'!$B$15)</f>
        <v>0.66686499999999993</v>
      </c>
      <c r="L2509" s="15">
        <f t="shared" si="580"/>
        <v>32.676384999999996</v>
      </c>
      <c r="M2509" s="15">
        <f t="shared" si="581"/>
        <v>10</v>
      </c>
      <c r="N2509" s="15">
        <f t="shared" si="582"/>
        <v>5</v>
      </c>
      <c r="O2509" s="15">
        <f t="shared" si="583"/>
        <v>17.676384999999996</v>
      </c>
      <c r="P2509" s="15">
        <f t="shared" si="584"/>
        <v>0</v>
      </c>
      <c r="Q2509" s="14" t="str">
        <f>IF(M2509&gt;=I2509*'Hoja 4 - Cálculo'!$B$16,"Satisfactorio","Falla")</f>
        <v>Satisfactorio</v>
      </c>
      <c r="R2509" s="14">
        <f t="shared" si="586"/>
        <v>0</v>
      </c>
      <c r="S2509" s="14">
        <f t="shared" si="587"/>
        <v>0</v>
      </c>
    </row>
    <row r="2510" spans="1:19">
      <c r="A2510" s="14" t="str">
        <f t="shared" si="578"/>
        <v>CFG-3</v>
      </c>
      <c r="B2510" s="15">
        <f>'Curvas SRY'!$E$11</f>
        <v>5</v>
      </c>
      <c r="C2510" s="15">
        <f>1</f>
        <v>1</v>
      </c>
      <c r="D2510" s="14" t="str">
        <f t="shared" si="579"/>
        <v>Uso prioritario</v>
      </c>
      <c r="E2510" s="14">
        <f>107</f>
        <v>107</v>
      </c>
      <c r="F2510" s="21">
        <f>'Hoja 4 - Cálculo'!A131</f>
        <v>32813</v>
      </c>
      <c r="G2510" s="15">
        <f>'Hoja 4 - Cálculo'!H131</f>
        <v>22.60575</v>
      </c>
      <c r="H2510" s="15">
        <f>IF(D2510="Uso único",'Hoja 4 - Cálculo'!I131,IF(D2510="Uso múltiple",AVERAGE('Hoja 4 - Cálculo'!$I$25:$I$384)+AVERAGE('Hoja 4 - Cálculo'!$J$25:$J$384)+AVERAGE('Hoja 4 - Cálculo'!$K$25:$K$384),IF(D2510="Uso prioritario",'Hoja 4 - Cálculo'!I131+'Hoja 4 - Cálculo'!K131,'Hoja 4 - Cálculo'!I131+'Hoja 4 - Cálculo'!J131+'Hoja 4 - Cálculo'!K131)))</f>
        <v>10</v>
      </c>
      <c r="I2510" s="15">
        <f t="shared" si="577"/>
        <v>10</v>
      </c>
      <c r="J2510" s="15">
        <f t="shared" si="585"/>
        <v>5</v>
      </c>
      <c r="K2510" s="15">
        <f>MIN(J2510+G2510,(J2510+G2510)*'Hoja 4 - Cálculo'!$B$15)</f>
        <v>0.55211500000000002</v>
      </c>
      <c r="L2510" s="15">
        <f t="shared" si="580"/>
        <v>27.053635</v>
      </c>
      <c r="M2510" s="15">
        <f t="shared" si="581"/>
        <v>10</v>
      </c>
      <c r="N2510" s="15">
        <f t="shared" si="582"/>
        <v>5</v>
      </c>
      <c r="O2510" s="15">
        <f t="shared" si="583"/>
        <v>12.053635</v>
      </c>
      <c r="P2510" s="15">
        <f t="shared" si="584"/>
        <v>0</v>
      </c>
      <c r="Q2510" s="14" t="str">
        <f>IF(M2510&gt;=I2510*'Hoja 4 - Cálculo'!$B$16,"Satisfactorio","Falla")</f>
        <v>Satisfactorio</v>
      </c>
      <c r="R2510" s="14">
        <f t="shared" si="586"/>
        <v>0</v>
      </c>
      <c r="S2510" s="14">
        <f t="shared" si="587"/>
        <v>0</v>
      </c>
    </row>
    <row r="2511" spans="1:19">
      <c r="A2511" s="14" t="str">
        <f t="shared" si="578"/>
        <v>CFG-3</v>
      </c>
      <c r="B2511" s="15">
        <f>'Curvas SRY'!$E$11</f>
        <v>5</v>
      </c>
      <c r="C2511" s="15">
        <f>1</f>
        <v>1</v>
      </c>
      <c r="D2511" s="14" t="str">
        <f t="shared" si="579"/>
        <v>Uso prioritario</v>
      </c>
      <c r="E2511" s="14">
        <f>108</f>
        <v>108</v>
      </c>
      <c r="F2511" s="21">
        <f>'Hoja 4 - Cálculo'!A132</f>
        <v>32843</v>
      </c>
      <c r="G2511" s="15">
        <f>'Hoja 4 - Cálculo'!H132</f>
        <v>14.362875000000001</v>
      </c>
      <c r="H2511" s="15">
        <f>IF(D2511="Uso único",'Hoja 4 - Cálculo'!I132,IF(D2511="Uso múltiple",AVERAGE('Hoja 4 - Cálculo'!$I$25:$I$384)+AVERAGE('Hoja 4 - Cálculo'!$J$25:$J$384)+AVERAGE('Hoja 4 - Cálculo'!$K$25:$K$384),IF(D2511="Uso prioritario",'Hoja 4 - Cálculo'!I132+'Hoja 4 - Cálculo'!K132,'Hoja 4 - Cálculo'!I132+'Hoja 4 - Cálculo'!J132+'Hoja 4 - Cálculo'!K132)))</f>
        <v>10</v>
      </c>
      <c r="I2511" s="15">
        <f t="shared" si="577"/>
        <v>10</v>
      </c>
      <c r="J2511" s="15">
        <f t="shared" si="585"/>
        <v>5</v>
      </c>
      <c r="K2511" s="15">
        <f>MIN(J2511+G2511,(J2511+G2511)*'Hoja 4 - Cálculo'!$B$15)</f>
        <v>0.38725750000000003</v>
      </c>
      <c r="L2511" s="15">
        <f t="shared" si="580"/>
        <v>18.975617500000002</v>
      </c>
      <c r="M2511" s="15">
        <f t="shared" si="581"/>
        <v>10</v>
      </c>
      <c r="N2511" s="15">
        <f t="shared" si="582"/>
        <v>5</v>
      </c>
      <c r="O2511" s="15">
        <f t="shared" si="583"/>
        <v>3.975617500000002</v>
      </c>
      <c r="P2511" s="15">
        <f t="shared" si="584"/>
        <v>0</v>
      </c>
      <c r="Q2511" s="14" t="str">
        <f>IF(M2511&gt;=I2511*'Hoja 4 - Cálculo'!$B$16,"Satisfactorio","Falla")</f>
        <v>Satisfactorio</v>
      </c>
      <c r="R2511" s="14">
        <f t="shared" si="586"/>
        <v>0</v>
      </c>
      <c r="S2511" s="14">
        <f t="shared" si="587"/>
        <v>0</v>
      </c>
    </row>
    <row r="2512" spans="1:19">
      <c r="A2512" s="14" t="str">
        <f t="shared" si="578"/>
        <v>CFG-3</v>
      </c>
      <c r="B2512" s="15">
        <f>'Curvas SRY'!$E$11</f>
        <v>5</v>
      </c>
      <c r="C2512" s="15">
        <f>1</f>
        <v>1</v>
      </c>
      <c r="D2512" s="14" t="str">
        <f t="shared" si="579"/>
        <v>Uso prioritario</v>
      </c>
      <c r="E2512" s="14">
        <f>109</f>
        <v>109</v>
      </c>
      <c r="F2512" s="21">
        <f>'Hoja 4 - Cálculo'!A133</f>
        <v>32874</v>
      </c>
      <c r="G2512" s="15">
        <f>'Hoja 4 - Cálculo'!H133</f>
        <v>11.723625</v>
      </c>
      <c r="H2512" s="15">
        <f>IF(D2512="Uso único",'Hoja 4 - Cálculo'!I133,IF(D2512="Uso múltiple",AVERAGE('Hoja 4 - Cálculo'!$I$25:$I$384)+AVERAGE('Hoja 4 - Cálculo'!$J$25:$J$384)+AVERAGE('Hoja 4 - Cálculo'!$K$25:$K$384),IF(D2512="Uso prioritario",'Hoja 4 - Cálculo'!I133+'Hoja 4 - Cálculo'!K133,'Hoja 4 - Cálculo'!I133+'Hoja 4 - Cálculo'!J133+'Hoja 4 - Cálculo'!K133)))</f>
        <v>10</v>
      </c>
      <c r="I2512" s="15">
        <f t="shared" si="577"/>
        <v>10</v>
      </c>
      <c r="J2512" s="15">
        <f t="shared" si="585"/>
        <v>5</v>
      </c>
      <c r="K2512" s="15">
        <f>MIN(J2512+G2512,(J2512+G2512)*'Hoja 4 - Cálculo'!$B$15)</f>
        <v>0.33447249999999995</v>
      </c>
      <c r="L2512" s="15">
        <f t="shared" si="580"/>
        <v>16.389152499999998</v>
      </c>
      <c r="M2512" s="15">
        <f t="shared" si="581"/>
        <v>10</v>
      </c>
      <c r="N2512" s="15">
        <f t="shared" si="582"/>
        <v>5</v>
      </c>
      <c r="O2512" s="15">
        <f t="shared" si="583"/>
        <v>1.389152499999998</v>
      </c>
      <c r="P2512" s="15">
        <f t="shared" si="584"/>
        <v>0</v>
      </c>
      <c r="Q2512" s="14" t="str">
        <f>IF(M2512&gt;=I2512*'Hoja 4 - Cálculo'!$B$16,"Satisfactorio","Falla")</f>
        <v>Satisfactorio</v>
      </c>
      <c r="R2512" s="14">
        <f t="shared" si="586"/>
        <v>0</v>
      </c>
      <c r="S2512" s="14">
        <f t="shared" si="587"/>
        <v>0</v>
      </c>
    </row>
    <row r="2513" spans="1:19">
      <c r="A2513" s="14" t="str">
        <f t="shared" si="578"/>
        <v>CFG-3</v>
      </c>
      <c r="B2513" s="15">
        <f>'Curvas SRY'!$E$11</f>
        <v>5</v>
      </c>
      <c r="C2513" s="15">
        <f>1</f>
        <v>1</v>
      </c>
      <c r="D2513" s="14" t="str">
        <f t="shared" si="579"/>
        <v>Uso prioritario</v>
      </c>
      <c r="E2513" s="14">
        <f>110</f>
        <v>110</v>
      </c>
      <c r="F2513" s="21">
        <f>'Hoja 4 - Cálculo'!A134</f>
        <v>32905</v>
      </c>
      <c r="G2513" s="15">
        <f>'Hoja 4 - Cálculo'!H134</f>
        <v>13.311</v>
      </c>
      <c r="H2513" s="15">
        <f>IF(D2513="Uso único",'Hoja 4 - Cálculo'!I134,IF(D2513="Uso múltiple",AVERAGE('Hoja 4 - Cálculo'!$I$25:$I$384)+AVERAGE('Hoja 4 - Cálculo'!$J$25:$J$384)+AVERAGE('Hoja 4 - Cálculo'!$K$25:$K$384),IF(D2513="Uso prioritario",'Hoja 4 - Cálculo'!I134+'Hoja 4 - Cálculo'!K134,'Hoja 4 - Cálculo'!I134+'Hoja 4 - Cálculo'!J134+'Hoja 4 - Cálculo'!K134)))</f>
        <v>10</v>
      </c>
      <c r="I2513" s="15">
        <f t="shared" si="577"/>
        <v>10</v>
      </c>
      <c r="J2513" s="15">
        <f t="shared" si="585"/>
        <v>5</v>
      </c>
      <c r="K2513" s="15">
        <f>MIN(J2513+G2513,(J2513+G2513)*'Hoja 4 - Cálculo'!$B$15)</f>
        <v>0.36621999999999999</v>
      </c>
      <c r="L2513" s="15">
        <f t="shared" si="580"/>
        <v>17.944780000000002</v>
      </c>
      <c r="M2513" s="15">
        <f t="shared" si="581"/>
        <v>10</v>
      </c>
      <c r="N2513" s="15">
        <f t="shared" si="582"/>
        <v>5</v>
      </c>
      <c r="O2513" s="15">
        <f t="shared" si="583"/>
        <v>2.9447800000000015</v>
      </c>
      <c r="P2513" s="15">
        <f t="shared" si="584"/>
        <v>0</v>
      </c>
      <c r="Q2513" s="14" t="str">
        <f>IF(M2513&gt;=I2513*'Hoja 4 - Cálculo'!$B$16,"Satisfactorio","Falla")</f>
        <v>Satisfactorio</v>
      </c>
      <c r="R2513" s="14">
        <f t="shared" si="586"/>
        <v>0</v>
      </c>
      <c r="S2513" s="14">
        <f t="shared" si="587"/>
        <v>0</v>
      </c>
    </row>
    <row r="2514" spans="1:19">
      <c r="A2514" s="14" t="str">
        <f t="shared" si="578"/>
        <v>CFG-3</v>
      </c>
      <c r="B2514" s="15">
        <f>'Curvas SRY'!$E$11</f>
        <v>5</v>
      </c>
      <c r="C2514" s="15">
        <f>1</f>
        <v>1</v>
      </c>
      <c r="D2514" s="14" t="str">
        <f t="shared" si="579"/>
        <v>Uso prioritario</v>
      </c>
      <c r="E2514" s="14">
        <f>111</f>
        <v>111</v>
      </c>
      <c r="F2514" s="21">
        <f>'Hoja 4 - Cálculo'!A135</f>
        <v>32933</v>
      </c>
      <c r="G2514" s="15">
        <f>'Hoja 4 - Cálculo'!H135</f>
        <v>18.838125000000002</v>
      </c>
      <c r="H2514" s="15">
        <f>IF(D2514="Uso único",'Hoja 4 - Cálculo'!I135,IF(D2514="Uso múltiple",AVERAGE('Hoja 4 - Cálculo'!$I$25:$I$384)+AVERAGE('Hoja 4 - Cálculo'!$J$25:$J$384)+AVERAGE('Hoja 4 - Cálculo'!$K$25:$K$384),IF(D2514="Uso prioritario",'Hoja 4 - Cálculo'!I135+'Hoja 4 - Cálculo'!K135,'Hoja 4 - Cálculo'!I135+'Hoja 4 - Cálculo'!J135+'Hoja 4 - Cálculo'!K135)))</f>
        <v>10</v>
      </c>
      <c r="I2514" s="15">
        <f t="shared" si="577"/>
        <v>10</v>
      </c>
      <c r="J2514" s="15">
        <f t="shared" si="585"/>
        <v>5</v>
      </c>
      <c r="K2514" s="15">
        <f>MIN(J2514+G2514,(J2514+G2514)*'Hoja 4 - Cálculo'!$B$15)</f>
        <v>0.47676250000000003</v>
      </c>
      <c r="L2514" s="15">
        <f t="shared" si="580"/>
        <v>23.361362500000002</v>
      </c>
      <c r="M2514" s="15">
        <f t="shared" si="581"/>
        <v>10</v>
      </c>
      <c r="N2514" s="15">
        <f t="shared" si="582"/>
        <v>5</v>
      </c>
      <c r="O2514" s="15">
        <f t="shared" si="583"/>
        <v>8.361362500000002</v>
      </c>
      <c r="P2514" s="15">
        <f t="shared" si="584"/>
        <v>0</v>
      </c>
      <c r="Q2514" s="14" t="str">
        <f>IF(M2514&gt;=I2514*'Hoja 4 - Cálculo'!$B$16,"Satisfactorio","Falla")</f>
        <v>Satisfactorio</v>
      </c>
      <c r="R2514" s="14">
        <f t="shared" si="586"/>
        <v>0</v>
      </c>
      <c r="S2514" s="14">
        <f t="shared" si="587"/>
        <v>0</v>
      </c>
    </row>
    <row r="2515" spans="1:19">
      <c r="A2515" s="14" t="str">
        <f t="shared" si="578"/>
        <v>CFG-3</v>
      </c>
      <c r="B2515" s="15">
        <f>'Curvas SRY'!$E$11</f>
        <v>5</v>
      </c>
      <c r="C2515" s="15">
        <f>1</f>
        <v>1</v>
      </c>
      <c r="D2515" s="14" t="str">
        <f t="shared" si="579"/>
        <v>Uso prioritario</v>
      </c>
      <c r="E2515" s="14">
        <f>112</f>
        <v>112</v>
      </c>
      <c r="F2515" s="21">
        <f>'Hoja 4 - Cálculo'!A136</f>
        <v>32964</v>
      </c>
      <c r="G2515" s="15">
        <f>'Hoja 4 - Cálculo'!H136</f>
        <v>28.611000000000001</v>
      </c>
      <c r="H2515" s="15">
        <f>IF(D2515="Uso único",'Hoja 4 - Cálculo'!I136,IF(D2515="Uso múltiple",AVERAGE('Hoja 4 - Cálculo'!$I$25:$I$384)+AVERAGE('Hoja 4 - Cálculo'!$J$25:$J$384)+AVERAGE('Hoja 4 - Cálculo'!$K$25:$K$384),IF(D2515="Uso prioritario",'Hoja 4 - Cálculo'!I136+'Hoja 4 - Cálculo'!K136,'Hoja 4 - Cálculo'!I136+'Hoja 4 - Cálculo'!J136+'Hoja 4 - Cálculo'!K136)))</f>
        <v>10</v>
      </c>
      <c r="I2515" s="15">
        <f t="shared" si="577"/>
        <v>10</v>
      </c>
      <c r="J2515" s="15">
        <f t="shared" si="585"/>
        <v>5</v>
      </c>
      <c r="K2515" s="15">
        <f>MIN(J2515+G2515,(J2515+G2515)*'Hoja 4 - Cálculo'!$B$15)</f>
        <v>0.67222000000000015</v>
      </c>
      <c r="L2515" s="15">
        <f t="shared" si="580"/>
        <v>32.938780000000001</v>
      </c>
      <c r="M2515" s="15">
        <f t="shared" si="581"/>
        <v>10</v>
      </c>
      <c r="N2515" s="15">
        <f t="shared" si="582"/>
        <v>5</v>
      </c>
      <c r="O2515" s="15">
        <f t="shared" si="583"/>
        <v>17.938780000000001</v>
      </c>
      <c r="P2515" s="15">
        <f t="shared" si="584"/>
        <v>0</v>
      </c>
      <c r="Q2515" s="14" t="str">
        <f>IF(M2515&gt;=I2515*'Hoja 4 - Cálculo'!$B$16,"Satisfactorio","Falla")</f>
        <v>Satisfactorio</v>
      </c>
      <c r="R2515" s="14">
        <f t="shared" si="586"/>
        <v>0</v>
      </c>
      <c r="S2515" s="14">
        <f t="shared" si="587"/>
        <v>0</v>
      </c>
    </row>
    <row r="2516" spans="1:19">
      <c r="A2516" s="14" t="str">
        <f t="shared" si="578"/>
        <v>CFG-3</v>
      </c>
      <c r="B2516" s="15">
        <f>'Curvas SRY'!$E$11</f>
        <v>5</v>
      </c>
      <c r="C2516" s="15">
        <f>1</f>
        <v>1</v>
      </c>
      <c r="D2516" s="14" t="str">
        <f t="shared" si="579"/>
        <v>Uso prioritario</v>
      </c>
      <c r="E2516" s="14">
        <f>113</f>
        <v>113</v>
      </c>
      <c r="F2516" s="21">
        <f>'Hoja 4 - Cálculo'!A137</f>
        <v>32994</v>
      </c>
      <c r="G2516" s="15">
        <f>'Hoja 4 - Cálculo'!H137</f>
        <v>23.52375</v>
      </c>
      <c r="H2516" s="15">
        <f>IF(D2516="Uso único",'Hoja 4 - Cálculo'!I137,IF(D2516="Uso múltiple",AVERAGE('Hoja 4 - Cálculo'!$I$25:$I$384)+AVERAGE('Hoja 4 - Cálculo'!$J$25:$J$384)+AVERAGE('Hoja 4 - Cálculo'!$K$25:$K$384),IF(D2516="Uso prioritario",'Hoja 4 - Cálculo'!I137+'Hoja 4 - Cálculo'!K137,'Hoja 4 - Cálculo'!I137+'Hoja 4 - Cálculo'!J137+'Hoja 4 - Cálculo'!K137)))</f>
        <v>10</v>
      </c>
      <c r="I2516" s="15">
        <f t="shared" si="577"/>
        <v>10</v>
      </c>
      <c r="J2516" s="15">
        <f t="shared" si="585"/>
        <v>5</v>
      </c>
      <c r="K2516" s="15">
        <f>MIN(J2516+G2516,(J2516+G2516)*'Hoja 4 - Cálculo'!$B$15)</f>
        <v>0.57047499999999995</v>
      </c>
      <c r="L2516" s="15">
        <f t="shared" si="580"/>
        <v>27.953275000000001</v>
      </c>
      <c r="M2516" s="15">
        <f t="shared" si="581"/>
        <v>10</v>
      </c>
      <c r="N2516" s="15">
        <f t="shared" si="582"/>
        <v>5</v>
      </c>
      <c r="O2516" s="15">
        <f t="shared" si="583"/>
        <v>12.953275000000001</v>
      </c>
      <c r="P2516" s="15">
        <f t="shared" si="584"/>
        <v>0</v>
      </c>
      <c r="Q2516" s="14" t="str">
        <f>IF(M2516&gt;=I2516*'Hoja 4 - Cálculo'!$B$16,"Satisfactorio","Falla")</f>
        <v>Satisfactorio</v>
      </c>
      <c r="R2516" s="14">
        <f t="shared" si="586"/>
        <v>0</v>
      </c>
      <c r="S2516" s="14">
        <f t="shared" si="587"/>
        <v>0</v>
      </c>
    </row>
    <row r="2517" spans="1:19">
      <c r="A2517" s="14" t="str">
        <f t="shared" si="578"/>
        <v>CFG-3</v>
      </c>
      <c r="B2517" s="15">
        <f>'Curvas SRY'!$E$11</f>
        <v>5</v>
      </c>
      <c r="C2517" s="15">
        <f>1</f>
        <v>1</v>
      </c>
      <c r="D2517" s="14" t="str">
        <f t="shared" si="579"/>
        <v>Uso prioritario</v>
      </c>
      <c r="E2517" s="14">
        <f>114</f>
        <v>114</v>
      </c>
      <c r="F2517" s="21">
        <f>'Hoja 4 - Cálculo'!A138</f>
        <v>33025</v>
      </c>
      <c r="G2517" s="15">
        <f>'Hoja 4 - Cálculo'!H138</f>
        <v>15.529500000000001</v>
      </c>
      <c r="H2517" s="15">
        <f>IF(D2517="Uso único",'Hoja 4 - Cálculo'!I138,IF(D2517="Uso múltiple",AVERAGE('Hoja 4 - Cálculo'!$I$25:$I$384)+AVERAGE('Hoja 4 - Cálculo'!$J$25:$J$384)+AVERAGE('Hoja 4 - Cálculo'!$K$25:$K$384),IF(D2517="Uso prioritario",'Hoja 4 - Cálculo'!I138+'Hoja 4 - Cálculo'!K138,'Hoja 4 - Cálculo'!I138+'Hoja 4 - Cálculo'!J138+'Hoja 4 - Cálculo'!K138)))</f>
        <v>10</v>
      </c>
      <c r="I2517" s="15">
        <f t="shared" si="577"/>
        <v>10</v>
      </c>
      <c r="J2517" s="15">
        <f t="shared" si="585"/>
        <v>5</v>
      </c>
      <c r="K2517" s="15">
        <f>MIN(J2517+G2517,(J2517+G2517)*'Hoja 4 - Cálculo'!$B$15)</f>
        <v>0.41059000000000001</v>
      </c>
      <c r="L2517" s="15">
        <f t="shared" si="580"/>
        <v>20.11891</v>
      </c>
      <c r="M2517" s="15">
        <f t="shared" si="581"/>
        <v>10</v>
      </c>
      <c r="N2517" s="15">
        <f t="shared" si="582"/>
        <v>5</v>
      </c>
      <c r="O2517" s="15">
        <f t="shared" si="583"/>
        <v>5.1189099999999996</v>
      </c>
      <c r="P2517" s="15">
        <f t="shared" si="584"/>
        <v>0</v>
      </c>
      <c r="Q2517" s="14" t="str">
        <f>IF(M2517&gt;=I2517*'Hoja 4 - Cálculo'!$B$16,"Satisfactorio","Falla")</f>
        <v>Satisfactorio</v>
      </c>
      <c r="R2517" s="14">
        <f t="shared" si="586"/>
        <v>0</v>
      </c>
      <c r="S2517" s="14">
        <f t="shared" si="587"/>
        <v>0</v>
      </c>
    </row>
    <row r="2518" spans="1:19">
      <c r="A2518" s="14" t="str">
        <f t="shared" si="578"/>
        <v>CFG-3</v>
      </c>
      <c r="B2518" s="15">
        <f>'Curvas SRY'!$E$11</f>
        <v>5</v>
      </c>
      <c r="C2518" s="15">
        <f>1</f>
        <v>1</v>
      </c>
      <c r="D2518" s="14" t="str">
        <f t="shared" si="579"/>
        <v>Uso prioritario</v>
      </c>
      <c r="E2518" s="14">
        <f>115</f>
        <v>115</v>
      </c>
      <c r="F2518" s="21">
        <f>'Hoja 4 - Cálculo'!A139</f>
        <v>33055</v>
      </c>
      <c r="G2518" s="15">
        <f>'Hoja 4 - Cálculo'!H139</f>
        <v>12.201750000000001</v>
      </c>
      <c r="H2518" s="15">
        <f>IF(D2518="Uso único",'Hoja 4 - Cálculo'!I139,IF(D2518="Uso múltiple",AVERAGE('Hoja 4 - Cálculo'!$I$25:$I$384)+AVERAGE('Hoja 4 - Cálculo'!$J$25:$J$384)+AVERAGE('Hoja 4 - Cálculo'!$K$25:$K$384),IF(D2518="Uso prioritario",'Hoja 4 - Cálculo'!I139+'Hoja 4 - Cálculo'!K139,'Hoja 4 - Cálculo'!I139+'Hoja 4 - Cálculo'!J139+'Hoja 4 - Cálculo'!K139)))</f>
        <v>10</v>
      </c>
      <c r="I2518" s="15">
        <f t="shared" si="577"/>
        <v>10</v>
      </c>
      <c r="J2518" s="15">
        <f t="shared" si="585"/>
        <v>5</v>
      </c>
      <c r="K2518" s="15">
        <f>MIN(J2518+G2518,(J2518+G2518)*'Hoja 4 - Cálculo'!$B$15)</f>
        <v>0.34403500000000004</v>
      </c>
      <c r="L2518" s="15">
        <f t="shared" si="580"/>
        <v>16.857714999999999</v>
      </c>
      <c r="M2518" s="15">
        <f t="shared" si="581"/>
        <v>10</v>
      </c>
      <c r="N2518" s="15">
        <f t="shared" si="582"/>
        <v>5</v>
      </c>
      <c r="O2518" s="15">
        <f t="shared" si="583"/>
        <v>1.8577149999999989</v>
      </c>
      <c r="P2518" s="15">
        <f t="shared" si="584"/>
        <v>0</v>
      </c>
      <c r="Q2518" s="14" t="str">
        <f>IF(M2518&gt;=I2518*'Hoja 4 - Cálculo'!$B$16,"Satisfactorio","Falla")</f>
        <v>Satisfactorio</v>
      </c>
      <c r="R2518" s="14">
        <f t="shared" si="586"/>
        <v>0</v>
      </c>
      <c r="S2518" s="14">
        <f t="shared" si="587"/>
        <v>0</v>
      </c>
    </row>
    <row r="2519" spans="1:19">
      <c r="A2519" s="14" t="str">
        <f t="shared" si="578"/>
        <v>CFG-3</v>
      </c>
      <c r="B2519" s="15">
        <f>'Curvas SRY'!$E$11</f>
        <v>5</v>
      </c>
      <c r="C2519" s="15">
        <f>1</f>
        <v>1</v>
      </c>
      <c r="D2519" s="14" t="str">
        <f t="shared" si="579"/>
        <v>Uso prioritario</v>
      </c>
      <c r="E2519" s="14">
        <f>116</f>
        <v>116</v>
      </c>
      <c r="F2519" s="21">
        <f>'Hoja 4 - Cálculo'!A140</f>
        <v>33086</v>
      </c>
      <c r="G2519" s="15">
        <f>'Hoja 4 - Cálculo'!H140</f>
        <v>13.04325</v>
      </c>
      <c r="H2519" s="15">
        <f>IF(D2519="Uso único",'Hoja 4 - Cálculo'!I140,IF(D2519="Uso múltiple",AVERAGE('Hoja 4 - Cálculo'!$I$25:$I$384)+AVERAGE('Hoja 4 - Cálculo'!$J$25:$J$384)+AVERAGE('Hoja 4 - Cálculo'!$K$25:$K$384),IF(D2519="Uso prioritario",'Hoja 4 - Cálculo'!I140+'Hoja 4 - Cálculo'!K140,'Hoja 4 - Cálculo'!I140+'Hoja 4 - Cálculo'!J140+'Hoja 4 - Cálculo'!K140)))</f>
        <v>10</v>
      </c>
      <c r="I2519" s="15">
        <f t="shared" si="577"/>
        <v>10</v>
      </c>
      <c r="J2519" s="15">
        <f t="shared" si="585"/>
        <v>5</v>
      </c>
      <c r="K2519" s="15">
        <f>MIN(J2519+G2519,(J2519+G2519)*'Hoja 4 - Cálculo'!$B$15)</f>
        <v>0.36086499999999999</v>
      </c>
      <c r="L2519" s="15">
        <f t="shared" si="580"/>
        <v>17.682385</v>
      </c>
      <c r="M2519" s="15">
        <f t="shared" si="581"/>
        <v>10</v>
      </c>
      <c r="N2519" s="15">
        <f t="shared" si="582"/>
        <v>5</v>
      </c>
      <c r="O2519" s="15">
        <f t="shared" si="583"/>
        <v>2.682385</v>
      </c>
      <c r="P2519" s="15">
        <f t="shared" si="584"/>
        <v>0</v>
      </c>
      <c r="Q2519" s="14" t="str">
        <f>IF(M2519&gt;=I2519*'Hoja 4 - Cálculo'!$B$16,"Satisfactorio","Falla")</f>
        <v>Satisfactorio</v>
      </c>
      <c r="R2519" s="14">
        <f t="shared" si="586"/>
        <v>0</v>
      </c>
      <c r="S2519" s="14">
        <f t="shared" si="587"/>
        <v>0</v>
      </c>
    </row>
    <row r="2520" spans="1:19">
      <c r="A2520" s="14" t="str">
        <f t="shared" si="578"/>
        <v>CFG-3</v>
      </c>
      <c r="B2520" s="15">
        <f>'Curvas SRY'!$E$11</f>
        <v>5</v>
      </c>
      <c r="C2520" s="15">
        <f>1</f>
        <v>1</v>
      </c>
      <c r="D2520" s="14" t="str">
        <f t="shared" si="579"/>
        <v>Uso prioritario</v>
      </c>
      <c r="E2520" s="14">
        <f>117</f>
        <v>117</v>
      </c>
      <c r="F2520" s="21">
        <f>'Hoja 4 - Cálculo'!A141</f>
        <v>33117</v>
      </c>
      <c r="G2520" s="15">
        <f>'Hoja 4 - Cálculo'!H141</f>
        <v>21.974625</v>
      </c>
      <c r="H2520" s="15">
        <f>IF(D2520="Uso único",'Hoja 4 - Cálculo'!I141,IF(D2520="Uso múltiple",AVERAGE('Hoja 4 - Cálculo'!$I$25:$I$384)+AVERAGE('Hoja 4 - Cálculo'!$J$25:$J$384)+AVERAGE('Hoja 4 - Cálculo'!$K$25:$K$384),IF(D2520="Uso prioritario",'Hoja 4 - Cálculo'!I141+'Hoja 4 - Cálculo'!K141,'Hoja 4 - Cálculo'!I141+'Hoja 4 - Cálculo'!J141+'Hoja 4 - Cálculo'!K141)))</f>
        <v>10</v>
      </c>
      <c r="I2520" s="15">
        <f t="shared" si="577"/>
        <v>10</v>
      </c>
      <c r="J2520" s="15">
        <f t="shared" si="585"/>
        <v>5</v>
      </c>
      <c r="K2520" s="15">
        <f>MIN(J2520+G2520,(J2520+G2520)*'Hoja 4 - Cálculo'!$B$15)</f>
        <v>0.53949250000000004</v>
      </c>
      <c r="L2520" s="15">
        <f t="shared" si="580"/>
        <v>26.435132499999998</v>
      </c>
      <c r="M2520" s="15">
        <f t="shared" si="581"/>
        <v>10</v>
      </c>
      <c r="N2520" s="15">
        <f t="shared" si="582"/>
        <v>5</v>
      </c>
      <c r="O2520" s="15">
        <f t="shared" si="583"/>
        <v>11.435132499999998</v>
      </c>
      <c r="P2520" s="15">
        <f t="shared" si="584"/>
        <v>0</v>
      </c>
      <c r="Q2520" s="14" t="str">
        <f>IF(M2520&gt;=I2520*'Hoja 4 - Cálculo'!$B$16,"Satisfactorio","Falla")</f>
        <v>Satisfactorio</v>
      </c>
      <c r="R2520" s="14">
        <f t="shared" si="586"/>
        <v>0</v>
      </c>
      <c r="S2520" s="14">
        <f t="shared" si="587"/>
        <v>0</v>
      </c>
    </row>
    <row r="2521" spans="1:19">
      <c r="A2521" s="14" t="str">
        <f t="shared" si="578"/>
        <v>CFG-3</v>
      </c>
      <c r="B2521" s="15">
        <f>'Curvas SRY'!$E$11</f>
        <v>5</v>
      </c>
      <c r="C2521" s="15">
        <f>1</f>
        <v>1</v>
      </c>
      <c r="D2521" s="14" t="str">
        <f t="shared" si="579"/>
        <v>Uso prioritario</v>
      </c>
      <c r="E2521" s="14">
        <f>118</f>
        <v>118</v>
      </c>
      <c r="F2521" s="21">
        <f>'Hoja 4 - Cálculo'!A142</f>
        <v>33147</v>
      </c>
      <c r="G2521" s="15">
        <f>'Hoja 4 - Cálculo'!H142</f>
        <v>26.870625</v>
      </c>
      <c r="H2521" s="15">
        <f>IF(D2521="Uso único",'Hoja 4 - Cálculo'!I142,IF(D2521="Uso múltiple",AVERAGE('Hoja 4 - Cálculo'!$I$25:$I$384)+AVERAGE('Hoja 4 - Cálculo'!$J$25:$J$384)+AVERAGE('Hoja 4 - Cálculo'!$K$25:$K$384),IF(D2521="Uso prioritario",'Hoja 4 - Cálculo'!I142+'Hoja 4 - Cálculo'!K142,'Hoja 4 - Cálculo'!I142+'Hoja 4 - Cálculo'!J142+'Hoja 4 - Cálculo'!K142)))</f>
        <v>10</v>
      </c>
      <c r="I2521" s="15">
        <f t="shared" si="577"/>
        <v>10</v>
      </c>
      <c r="J2521" s="15">
        <f t="shared" si="585"/>
        <v>5</v>
      </c>
      <c r="K2521" s="15">
        <f>MIN(J2521+G2521,(J2521+G2521)*'Hoja 4 - Cálculo'!$B$15)</f>
        <v>0.63741250000000005</v>
      </c>
      <c r="L2521" s="15">
        <f t="shared" si="580"/>
        <v>31.2332125</v>
      </c>
      <c r="M2521" s="15">
        <f t="shared" si="581"/>
        <v>10</v>
      </c>
      <c r="N2521" s="15">
        <f t="shared" si="582"/>
        <v>5</v>
      </c>
      <c r="O2521" s="15">
        <f t="shared" si="583"/>
        <v>16.2332125</v>
      </c>
      <c r="P2521" s="15">
        <f t="shared" si="584"/>
        <v>0</v>
      </c>
      <c r="Q2521" s="14" t="str">
        <f>IF(M2521&gt;=I2521*'Hoja 4 - Cálculo'!$B$16,"Satisfactorio","Falla")</f>
        <v>Satisfactorio</v>
      </c>
      <c r="R2521" s="14">
        <f t="shared" si="586"/>
        <v>0</v>
      </c>
      <c r="S2521" s="14">
        <f t="shared" si="587"/>
        <v>0</v>
      </c>
    </row>
    <row r="2522" spans="1:19">
      <c r="A2522" s="14" t="str">
        <f t="shared" si="578"/>
        <v>CFG-3</v>
      </c>
      <c r="B2522" s="15">
        <f>'Curvas SRY'!$E$11</f>
        <v>5</v>
      </c>
      <c r="C2522" s="15">
        <f>1</f>
        <v>1</v>
      </c>
      <c r="D2522" s="14" t="str">
        <f t="shared" si="579"/>
        <v>Uso prioritario</v>
      </c>
      <c r="E2522" s="14">
        <f>119</f>
        <v>119</v>
      </c>
      <c r="F2522" s="21">
        <f>'Hoja 4 - Cálculo'!A143</f>
        <v>33178</v>
      </c>
      <c r="G2522" s="15">
        <f>'Hoja 4 - Cálculo'!H143</f>
        <v>24.881625</v>
      </c>
      <c r="H2522" s="15">
        <f>IF(D2522="Uso único",'Hoja 4 - Cálculo'!I143,IF(D2522="Uso múltiple",AVERAGE('Hoja 4 - Cálculo'!$I$25:$I$384)+AVERAGE('Hoja 4 - Cálculo'!$J$25:$J$384)+AVERAGE('Hoja 4 - Cálculo'!$K$25:$K$384),IF(D2522="Uso prioritario",'Hoja 4 - Cálculo'!I143+'Hoja 4 - Cálculo'!K143,'Hoja 4 - Cálculo'!I143+'Hoja 4 - Cálculo'!J143+'Hoja 4 - Cálculo'!K143)))</f>
        <v>10</v>
      </c>
      <c r="I2522" s="15">
        <f t="shared" si="577"/>
        <v>10</v>
      </c>
      <c r="J2522" s="15">
        <f t="shared" si="585"/>
        <v>5</v>
      </c>
      <c r="K2522" s="15">
        <f>MIN(J2522+G2522,(J2522+G2522)*'Hoja 4 - Cálculo'!$B$15)</f>
        <v>0.59763250000000001</v>
      </c>
      <c r="L2522" s="15">
        <f t="shared" si="580"/>
        <v>29.2839925</v>
      </c>
      <c r="M2522" s="15">
        <f t="shared" si="581"/>
        <v>10</v>
      </c>
      <c r="N2522" s="15">
        <f t="shared" si="582"/>
        <v>5</v>
      </c>
      <c r="O2522" s="15">
        <f t="shared" si="583"/>
        <v>14.2839925</v>
      </c>
      <c r="P2522" s="15">
        <f t="shared" si="584"/>
        <v>0</v>
      </c>
      <c r="Q2522" s="14" t="str">
        <f>IF(M2522&gt;=I2522*'Hoja 4 - Cálculo'!$B$16,"Satisfactorio","Falla")</f>
        <v>Satisfactorio</v>
      </c>
      <c r="R2522" s="14">
        <f t="shared" si="586"/>
        <v>0</v>
      </c>
      <c r="S2522" s="14">
        <f t="shared" si="587"/>
        <v>0</v>
      </c>
    </row>
    <row r="2523" spans="1:19">
      <c r="A2523" s="14" t="str">
        <f t="shared" si="578"/>
        <v>CFG-3</v>
      </c>
      <c r="B2523" s="15">
        <f>'Curvas SRY'!$E$11</f>
        <v>5</v>
      </c>
      <c r="C2523" s="15">
        <f>1</f>
        <v>1</v>
      </c>
      <c r="D2523" s="14" t="str">
        <f t="shared" si="579"/>
        <v>Uso prioritario</v>
      </c>
      <c r="E2523" s="14">
        <f>120</f>
        <v>120</v>
      </c>
      <c r="F2523" s="21">
        <f>'Hoja 4 - Cálculo'!A144</f>
        <v>33208</v>
      </c>
      <c r="G2523" s="15">
        <f>'Hoja 4 - Cálculo'!H144</f>
        <v>13.73175</v>
      </c>
      <c r="H2523" s="15">
        <f>IF(D2523="Uso único",'Hoja 4 - Cálculo'!I144,IF(D2523="Uso múltiple",AVERAGE('Hoja 4 - Cálculo'!$I$25:$I$384)+AVERAGE('Hoja 4 - Cálculo'!$J$25:$J$384)+AVERAGE('Hoja 4 - Cálculo'!$K$25:$K$384),IF(D2523="Uso prioritario",'Hoja 4 - Cálculo'!I144+'Hoja 4 - Cálculo'!K144,'Hoja 4 - Cálculo'!I144+'Hoja 4 - Cálculo'!J144+'Hoja 4 - Cálculo'!K144)))</f>
        <v>10</v>
      </c>
      <c r="I2523" s="15">
        <f t="shared" si="577"/>
        <v>10</v>
      </c>
      <c r="J2523" s="15">
        <f t="shared" si="585"/>
        <v>5</v>
      </c>
      <c r="K2523" s="15">
        <f>MIN(J2523+G2523,(J2523+G2523)*'Hoja 4 - Cálculo'!$B$15)</f>
        <v>0.374635</v>
      </c>
      <c r="L2523" s="15">
        <f t="shared" si="580"/>
        <v>18.357114999999997</v>
      </c>
      <c r="M2523" s="15">
        <f t="shared" si="581"/>
        <v>10</v>
      </c>
      <c r="N2523" s="15">
        <f t="shared" si="582"/>
        <v>5</v>
      </c>
      <c r="O2523" s="15">
        <f t="shared" si="583"/>
        <v>3.3571149999999967</v>
      </c>
      <c r="P2523" s="15">
        <f t="shared" si="584"/>
        <v>0</v>
      </c>
      <c r="Q2523" s="14" t="str">
        <f>IF(M2523&gt;=I2523*'Hoja 4 - Cálculo'!$B$16,"Satisfactorio","Falla")</f>
        <v>Satisfactorio</v>
      </c>
      <c r="R2523" s="14">
        <f t="shared" si="586"/>
        <v>0</v>
      </c>
      <c r="S2523" s="14">
        <f t="shared" si="587"/>
        <v>0</v>
      </c>
    </row>
    <row r="2524" spans="1:19">
      <c r="A2524" s="14" t="str">
        <f t="shared" ref="A2524:A2555" si="588">"CFG-4"</f>
        <v>CFG-4</v>
      </c>
      <c r="B2524" s="15">
        <f>'Curvas SRY'!$E$11</f>
        <v>5</v>
      </c>
      <c r="C2524" s="15">
        <f>1</f>
        <v>1</v>
      </c>
      <c r="D2524" s="14" t="str">
        <f t="shared" ref="D2524:D2555" si="589">"Uso variable"</f>
        <v>Uso variable</v>
      </c>
      <c r="E2524" s="14">
        <f>1</f>
        <v>1</v>
      </c>
      <c r="F2524" s="21">
        <f>'Hoja 4 - Cálculo'!A25</f>
        <v>29587</v>
      </c>
      <c r="G2524" s="15">
        <f>'Hoja 4 - Cálculo'!H25</f>
        <v>12.852</v>
      </c>
      <c r="H2524" s="15">
        <f>IF(D2524="Uso único",'Hoja 4 - Cálculo'!I25,IF(D2524="Uso múltiple",AVERAGE('Hoja 4 - Cálculo'!$I$25:$I$384)+AVERAGE('Hoja 4 - Cálculo'!$J$25:$J$384)+AVERAGE('Hoja 4 - Cálculo'!$K$25:$K$384),IF(D2524="Uso prioritario",'Hoja 4 - Cálculo'!I25+'Hoja 4 - Cálculo'!K25,'Hoja 4 - Cálculo'!I25+'Hoja 4 - Cálculo'!J25+'Hoja 4 - Cálculo'!K25)))</f>
        <v>16</v>
      </c>
      <c r="I2524" s="15">
        <f t="shared" si="577"/>
        <v>16</v>
      </c>
      <c r="J2524" s="15">
        <f>0</f>
        <v>0</v>
      </c>
      <c r="K2524" s="15">
        <f>MIN(J2524+G2524,(J2524+G2524)*'Hoja 4 - Cálculo'!$B$15)</f>
        <v>0.25703999999999999</v>
      </c>
      <c r="L2524" s="15">
        <f t="shared" si="580"/>
        <v>12.59496</v>
      </c>
      <c r="M2524" s="15">
        <f t="shared" si="581"/>
        <v>12.59496</v>
      </c>
      <c r="N2524" s="15">
        <f t="shared" si="582"/>
        <v>0</v>
      </c>
      <c r="O2524" s="15">
        <f t="shared" si="583"/>
        <v>0</v>
      </c>
      <c r="P2524" s="15">
        <f t="shared" si="584"/>
        <v>3.4050399999999996</v>
      </c>
      <c r="Q2524" s="14" t="str">
        <f>IF(M2524&gt;=I2524*'Hoja 4 - Cálculo'!$B$16,"Satisfactorio","Falla")</f>
        <v>Falla</v>
      </c>
      <c r="R2524" s="14">
        <f>0</f>
        <v>0</v>
      </c>
      <c r="S2524" s="14">
        <f>IF(Q2524="Falla",1,0)</f>
        <v>1</v>
      </c>
    </row>
    <row r="2525" spans="1:19">
      <c r="A2525" s="14" t="str">
        <f t="shared" si="588"/>
        <v>CFG-4</v>
      </c>
      <c r="B2525" s="15">
        <f>'Curvas SRY'!$E$11</f>
        <v>5</v>
      </c>
      <c r="C2525" s="15">
        <f>1</f>
        <v>1</v>
      </c>
      <c r="D2525" s="14" t="str">
        <f t="shared" si="589"/>
        <v>Uso variable</v>
      </c>
      <c r="E2525" s="14">
        <f>2</f>
        <v>2</v>
      </c>
      <c r="F2525" s="21">
        <f>'Hoja 4 - Cálculo'!A26</f>
        <v>29618</v>
      </c>
      <c r="G2525" s="15">
        <f>'Hoja 4 - Cálculo'!H26</f>
        <v>14.630625</v>
      </c>
      <c r="H2525" s="15">
        <f>IF(D2525="Uso único",'Hoja 4 - Cálculo'!I26,IF(D2525="Uso múltiple",AVERAGE('Hoja 4 - Cálculo'!$I$25:$I$384)+AVERAGE('Hoja 4 - Cálculo'!$J$25:$J$384)+AVERAGE('Hoja 4 - Cálculo'!$K$25:$K$384),IF(D2525="Uso prioritario",'Hoja 4 - Cálculo'!I26+'Hoja 4 - Cálculo'!K26,'Hoja 4 - Cálculo'!I26+'Hoja 4 - Cálculo'!J26+'Hoja 4 - Cálculo'!K26)))</f>
        <v>16</v>
      </c>
      <c r="I2525" s="15">
        <f t="shared" si="577"/>
        <v>16</v>
      </c>
      <c r="J2525" s="15">
        <f t="shared" ref="J2525:J2556" si="590">N2524</f>
        <v>0</v>
      </c>
      <c r="K2525" s="15">
        <f>MIN(J2525+G2525,(J2525+G2525)*'Hoja 4 - Cálculo'!$B$15)</f>
        <v>0.2926125</v>
      </c>
      <c r="L2525" s="15">
        <f t="shared" si="580"/>
        <v>14.3380125</v>
      </c>
      <c r="M2525" s="15">
        <f t="shared" si="581"/>
        <v>14.3380125</v>
      </c>
      <c r="N2525" s="15">
        <f t="shared" si="582"/>
        <v>0</v>
      </c>
      <c r="O2525" s="15">
        <f t="shared" si="583"/>
        <v>0</v>
      </c>
      <c r="P2525" s="15">
        <f t="shared" si="584"/>
        <v>1.6619875000000004</v>
      </c>
      <c r="Q2525" s="14" t="str">
        <f>IF(M2525&gt;=I2525*'Hoja 4 - Cálculo'!$B$16,"Satisfactorio","Falla")</f>
        <v>Falla</v>
      </c>
      <c r="R2525" s="14">
        <f t="shared" ref="R2525:R2556" si="591">IF(AND(Q2524="Falla",Q2525="Satisfactorio"),1,0)</f>
        <v>0</v>
      </c>
      <c r="S2525" s="14">
        <f t="shared" ref="S2525:S2556" si="592">IF(AND(Q2525="Falla",Q2524&lt;&gt;"Falla"),1,0)</f>
        <v>0</v>
      </c>
    </row>
    <row r="2526" spans="1:19">
      <c r="A2526" s="14" t="str">
        <f t="shared" si="588"/>
        <v>CFG-4</v>
      </c>
      <c r="B2526" s="15">
        <f>'Curvas SRY'!$E$11</f>
        <v>5</v>
      </c>
      <c r="C2526" s="15">
        <f>1</f>
        <v>1</v>
      </c>
      <c r="D2526" s="14" t="str">
        <f t="shared" si="589"/>
        <v>Uso variable</v>
      </c>
      <c r="E2526" s="14">
        <f>3</f>
        <v>3</v>
      </c>
      <c r="F2526" s="21">
        <f>'Hoja 4 - Cálculo'!A27</f>
        <v>29646</v>
      </c>
      <c r="G2526" s="15">
        <f>'Hoja 4 - Cálculo'!H27</f>
        <v>21.114000000000001</v>
      </c>
      <c r="H2526" s="15">
        <f>IF(D2526="Uso único",'Hoja 4 - Cálculo'!I27,IF(D2526="Uso múltiple",AVERAGE('Hoja 4 - Cálculo'!$I$25:$I$384)+AVERAGE('Hoja 4 - Cálculo'!$J$25:$J$384)+AVERAGE('Hoja 4 - Cálculo'!$K$25:$K$384),IF(D2526="Uso prioritario",'Hoja 4 - Cálculo'!I27+'Hoja 4 - Cálculo'!K27,'Hoja 4 - Cálculo'!I27+'Hoja 4 - Cálculo'!J27+'Hoja 4 - Cálculo'!K27)))</f>
        <v>16</v>
      </c>
      <c r="I2526" s="15">
        <f t="shared" si="577"/>
        <v>16</v>
      </c>
      <c r="J2526" s="15">
        <f t="shared" si="590"/>
        <v>0</v>
      </c>
      <c r="K2526" s="15">
        <f>MIN(J2526+G2526,(J2526+G2526)*'Hoja 4 - Cálculo'!$B$15)</f>
        <v>0.42228000000000004</v>
      </c>
      <c r="L2526" s="15">
        <f t="shared" si="580"/>
        <v>20.69172</v>
      </c>
      <c r="M2526" s="15">
        <f t="shared" si="581"/>
        <v>16</v>
      </c>
      <c r="N2526" s="15">
        <f t="shared" si="582"/>
        <v>4.6917200000000001</v>
      </c>
      <c r="O2526" s="15">
        <f t="shared" si="583"/>
        <v>0</v>
      </c>
      <c r="P2526" s="15">
        <f t="shared" si="584"/>
        <v>0</v>
      </c>
      <c r="Q2526" s="14" t="str">
        <f>IF(M2526&gt;=I2526*'Hoja 4 - Cálculo'!$B$16,"Satisfactorio","Falla")</f>
        <v>Satisfactorio</v>
      </c>
      <c r="R2526" s="14">
        <f t="shared" si="591"/>
        <v>1</v>
      </c>
      <c r="S2526" s="14">
        <f t="shared" si="592"/>
        <v>0</v>
      </c>
    </row>
    <row r="2527" spans="1:19">
      <c r="A2527" s="14" t="str">
        <f t="shared" si="588"/>
        <v>CFG-4</v>
      </c>
      <c r="B2527" s="15">
        <f>'Curvas SRY'!$E$11</f>
        <v>5</v>
      </c>
      <c r="C2527" s="15">
        <f>1</f>
        <v>1</v>
      </c>
      <c r="D2527" s="14" t="str">
        <f t="shared" si="589"/>
        <v>Uso variable</v>
      </c>
      <c r="E2527" s="14">
        <f>4</f>
        <v>4</v>
      </c>
      <c r="F2527" s="21">
        <f>'Hoja 4 - Cálculo'!A28</f>
        <v>29677</v>
      </c>
      <c r="G2527" s="15">
        <f>'Hoja 4 - Cálculo'!H28</f>
        <v>29.280374999999999</v>
      </c>
      <c r="H2527" s="15">
        <f>IF(D2527="Uso único",'Hoja 4 - Cálculo'!I28,IF(D2527="Uso múltiple",AVERAGE('Hoja 4 - Cálculo'!$I$25:$I$384)+AVERAGE('Hoja 4 - Cálculo'!$J$25:$J$384)+AVERAGE('Hoja 4 - Cálculo'!$K$25:$K$384),IF(D2527="Uso prioritario",'Hoja 4 - Cálculo'!I28+'Hoja 4 - Cálculo'!K28,'Hoja 4 - Cálculo'!I28+'Hoja 4 - Cálculo'!J28+'Hoja 4 - Cálculo'!K28)))</f>
        <v>11.5</v>
      </c>
      <c r="I2527" s="15">
        <f t="shared" si="577"/>
        <v>11.5</v>
      </c>
      <c r="J2527" s="15">
        <f t="shared" si="590"/>
        <v>4.6917200000000001</v>
      </c>
      <c r="K2527" s="15">
        <f>MIN(J2527+G2527,(J2527+G2527)*'Hoja 4 - Cálculo'!$B$15)</f>
        <v>0.67944189999999993</v>
      </c>
      <c r="L2527" s="15">
        <f t="shared" si="580"/>
        <v>33.292653099999995</v>
      </c>
      <c r="M2527" s="15">
        <f t="shared" si="581"/>
        <v>11.5</v>
      </c>
      <c r="N2527" s="15">
        <f t="shared" si="582"/>
        <v>5</v>
      </c>
      <c r="O2527" s="15">
        <f t="shared" si="583"/>
        <v>16.792653099999995</v>
      </c>
      <c r="P2527" s="15">
        <f t="shared" si="584"/>
        <v>0</v>
      </c>
      <c r="Q2527" s="14" t="str">
        <f>IF(M2527&gt;=I2527*'Hoja 4 - Cálculo'!$B$16,"Satisfactorio","Falla")</f>
        <v>Satisfactorio</v>
      </c>
      <c r="R2527" s="14">
        <f t="shared" si="591"/>
        <v>0</v>
      </c>
      <c r="S2527" s="14">
        <f t="shared" si="592"/>
        <v>0</v>
      </c>
    </row>
    <row r="2528" spans="1:19">
      <c r="A2528" s="14" t="str">
        <f t="shared" si="588"/>
        <v>CFG-4</v>
      </c>
      <c r="B2528" s="15">
        <f>'Curvas SRY'!$E$11</f>
        <v>5</v>
      </c>
      <c r="C2528" s="15">
        <f>1</f>
        <v>1</v>
      </c>
      <c r="D2528" s="14" t="str">
        <f t="shared" si="589"/>
        <v>Uso variable</v>
      </c>
      <c r="E2528" s="14">
        <f>5</f>
        <v>5</v>
      </c>
      <c r="F2528" s="21">
        <f>'Hoja 4 - Cálculo'!A29</f>
        <v>29707</v>
      </c>
      <c r="G2528" s="15">
        <f>'Hoja 4 - Cálculo'!H29</f>
        <v>26.048249999999999</v>
      </c>
      <c r="H2528" s="15">
        <f>IF(D2528="Uso único",'Hoja 4 - Cálculo'!I29,IF(D2528="Uso múltiple",AVERAGE('Hoja 4 - Cálculo'!$I$25:$I$384)+AVERAGE('Hoja 4 - Cálculo'!$J$25:$J$384)+AVERAGE('Hoja 4 - Cálculo'!$K$25:$K$384),IF(D2528="Uso prioritario",'Hoja 4 - Cálculo'!I29+'Hoja 4 - Cálculo'!K29,'Hoja 4 - Cálculo'!I29+'Hoja 4 - Cálculo'!J29+'Hoja 4 - Cálculo'!K29)))</f>
        <v>11.5</v>
      </c>
      <c r="I2528" s="15">
        <f t="shared" si="577"/>
        <v>11.5</v>
      </c>
      <c r="J2528" s="15">
        <f t="shared" si="590"/>
        <v>5</v>
      </c>
      <c r="K2528" s="15">
        <f>MIN(J2528+G2528,(J2528+G2528)*'Hoja 4 - Cálculo'!$B$15)</f>
        <v>0.62096499999999999</v>
      </c>
      <c r="L2528" s="15">
        <f t="shared" si="580"/>
        <v>30.427284999999998</v>
      </c>
      <c r="M2528" s="15">
        <f t="shared" si="581"/>
        <v>11.5</v>
      </c>
      <c r="N2528" s="15">
        <f t="shared" si="582"/>
        <v>5</v>
      </c>
      <c r="O2528" s="15">
        <f t="shared" si="583"/>
        <v>13.927284999999998</v>
      </c>
      <c r="P2528" s="15">
        <f t="shared" si="584"/>
        <v>0</v>
      </c>
      <c r="Q2528" s="14" t="str">
        <f>IF(M2528&gt;=I2528*'Hoja 4 - Cálculo'!$B$16,"Satisfactorio","Falla")</f>
        <v>Satisfactorio</v>
      </c>
      <c r="R2528" s="14">
        <f t="shared" si="591"/>
        <v>0</v>
      </c>
      <c r="S2528" s="14">
        <f t="shared" si="592"/>
        <v>0</v>
      </c>
    </row>
    <row r="2529" spans="1:19">
      <c r="A2529" s="14" t="str">
        <f t="shared" si="588"/>
        <v>CFG-4</v>
      </c>
      <c r="B2529" s="15">
        <f>'Curvas SRY'!$E$11</f>
        <v>5</v>
      </c>
      <c r="C2529" s="15">
        <f>1</f>
        <v>1</v>
      </c>
      <c r="D2529" s="14" t="str">
        <f t="shared" si="589"/>
        <v>Uso variable</v>
      </c>
      <c r="E2529" s="14">
        <f>6</f>
        <v>6</v>
      </c>
      <c r="F2529" s="21">
        <f>'Hoja 4 - Cálculo'!A30</f>
        <v>29738</v>
      </c>
      <c r="G2529" s="15">
        <f>'Hoja 4 - Cálculo'!H30</f>
        <v>15.625125000000001</v>
      </c>
      <c r="H2529" s="15">
        <f>IF(D2529="Uso único",'Hoja 4 - Cálculo'!I30,IF(D2529="Uso múltiple",AVERAGE('Hoja 4 - Cálculo'!$I$25:$I$384)+AVERAGE('Hoja 4 - Cálculo'!$J$25:$J$384)+AVERAGE('Hoja 4 - Cálculo'!$K$25:$K$384),IF(D2529="Uso prioritario",'Hoja 4 - Cálculo'!I30+'Hoja 4 - Cálculo'!K30,'Hoja 4 - Cálculo'!I30+'Hoja 4 - Cálculo'!J30+'Hoja 4 - Cálculo'!K30)))</f>
        <v>11.5</v>
      </c>
      <c r="I2529" s="15">
        <f t="shared" si="577"/>
        <v>11.5</v>
      </c>
      <c r="J2529" s="15">
        <f t="shared" si="590"/>
        <v>5</v>
      </c>
      <c r="K2529" s="15">
        <f>MIN(J2529+G2529,(J2529+G2529)*'Hoja 4 - Cálculo'!$B$15)</f>
        <v>0.41250249999999999</v>
      </c>
      <c r="L2529" s="15">
        <f t="shared" si="580"/>
        <v>20.212622500000002</v>
      </c>
      <c r="M2529" s="15">
        <f t="shared" si="581"/>
        <v>11.5</v>
      </c>
      <c r="N2529" s="15">
        <f t="shared" si="582"/>
        <v>5</v>
      </c>
      <c r="O2529" s="15">
        <f t="shared" si="583"/>
        <v>3.7126225000000019</v>
      </c>
      <c r="P2529" s="15">
        <f t="shared" si="584"/>
        <v>0</v>
      </c>
      <c r="Q2529" s="14" t="str">
        <f>IF(M2529&gt;=I2529*'Hoja 4 - Cálculo'!$B$16,"Satisfactorio","Falla")</f>
        <v>Satisfactorio</v>
      </c>
      <c r="R2529" s="14">
        <f t="shared" si="591"/>
        <v>0</v>
      </c>
      <c r="S2529" s="14">
        <f t="shared" si="592"/>
        <v>0</v>
      </c>
    </row>
    <row r="2530" spans="1:19">
      <c r="A2530" s="14" t="str">
        <f t="shared" si="588"/>
        <v>CFG-4</v>
      </c>
      <c r="B2530" s="15">
        <f>'Curvas SRY'!$E$11</f>
        <v>5</v>
      </c>
      <c r="C2530" s="15">
        <f>1</f>
        <v>1</v>
      </c>
      <c r="D2530" s="14" t="str">
        <f t="shared" si="589"/>
        <v>Uso variable</v>
      </c>
      <c r="E2530" s="14">
        <f>7</f>
        <v>7</v>
      </c>
      <c r="F2530" s="21">
        <f>'Hoja 4 - Cálculo'!A31</f>
        <v>29768</v>
      </c>
      <c r="G2530" s="15">
        <f>'Hoja 4 - Cálculo'!H31</f>
        <v>12.794625</v>
      </c>
      <c r="H2530" s="15">
        <f>IF(D2530="Uso único",'Hoja 4 - Cálculo'!I31,IF(D2530="Uso múltiple",AVERAGE('Hoja 4 - Cálculo'!$I$25:$I$384)+AVERAGE('Hoja 4 - Cálculo'!$J$25:$J$384)+AVERAGE('Hoja 4 - Cálculo'!$K$25:$K$384),IF(D2530="Uso prioritario",'Hoja 4 - Cálculo'!I31+'Hoja 4 - Cálculo'!K31,'Hoja 4 - Cálculo'!I31+'Hoja 4 - Cálculo'!J31+'Hoja 4 - Cálculo'!K31)))</f>
        <v>16</v>
      </c>
      <c r="I2530" s="15">
        <f t="shared" si="577"/>
        <v>16</v>
      </c>
      <c r="J2530" s="15">
        <f t="shared" si="590"/>
        <v>5</v>
      </c>
      <c r="K2530" s="15">
        <f>MIN(J2530+G2530,(J2530+G2530)*'Hoja 4 - Cálculo'!$B$15)</f>
        <v>0.3558925</v>
      </c>
      <c r="L2530" s="15">
        <f t="shared" si="580"/>
        <v>17.4387325</v>
      </c>
      <c r="M2530" s="15">
        <f t="shared" si="581"/>
        <v>16</v>
      </c>
      <c r="N2530" s="15">
        <f t="shared" si="582"/>
        <v>1.4387325000000004</v>
      </c>
      <c r="O2530" s="15">
        <f t="shared" si="583"/>
        <v>0</v>
      </c>
      <c r="P2530" s="15">
        <f t="shared" si="584"/>
        <v>0</v>
      </c>
      <c r="Q2530" s="14" t="str">
        <f>IF(M2530&gt;=I2530*'Hoja 4 - Cálculo'!$B$16,"Satisfactorio","Falla")</f>
        <v>Satisfactorio</v>
      </c>
      <c r="R2530" s="14">
        <f t="shared" si="591"/>
        <v>0</v>
      </c>
      <c r="S2530" s="14">
        <f t="shared" si="592"/>
        <v>0</v>
      </c>
    </row>
    <row r="2531" spans="1:19">
      <c r="A2531" s="14" t="str">
        <f t="shared" si="588"/>
        <v>CFG-4</v>
      </c>
      <c r="B2531" s="15">
        <f>'Curvas SRY'!$E$11</f>
        <v>5</v>
      </c>
      <c r="C2531" s="15">
        <f>1</f>
        <v>1</v>
      </c>
      <c r="D2531" s="14" t="str">
        <f t="shared" si="589"/>
        <v>Uso variable</v>
      </c>
      <c r="E2531" s="14">
        <f>8</f>
        <v>8</v>
      </c>
      <c r="F2531" s="21">
        <f>'Hoja 4 - Cálculo'!A32</f>
        <v>29799</v>
      </c>
      <c r="G2531" s="15">
        <f>'Hoja 4 - Cálculo'!H32</f>
        <v>13.712624999999999</v>
      </c>
      <c r="H2531" s="15">
        <f>IF(D2531="Uso único",'Hoja 4 - Cálculo'!I32,IF(D2531="Uso múltiple",AVERAGE('Hoja 4 - Cálculo'!$I$25:$I$384)+AVERAGE('Hoja 4 - Cálculo'!$J$25:$J$384)+AVERAGE('Hoja 4 - Cálculo'!$K$25:$K$384),IF(D2531="Uso prioritario",'Hoja 4 - Cálculo'!I32+'Hoja 4 - Cálculo'!K32,'Hoja 4 - Cálculo'!I32+'Hoja 4 - Cálculo'!J32+'Hoja 4 - Cálculo'!K32)))</f>
        <v>16</v>
      </c>
      <c r="I2531" s="15">
        <f t="shared" si="577"/>
        <v>16</v>
      </c>
      <c r="J2531" s="15">
        <f t="shared" si="590"/>
        <v>1.4387325000000004</v>
      </c>
      <c r="K2531" s="15">
        <f>MIN(J2531+G2531,(J2531+G2531)*'Hoja 4 - Cálculo'!$B$15)</f>
        <v>0.30302715000000002</v>
      </c>
      <c r="L2531" s="15">
        <f t="shared" si="580"/>
        <v>14.848330349999999</v>
      </c>
      <c r="M2531" s="15">
        <f t="shared" si="581"/>
        <v>14.848330349999999</v>
      </c>
      <c r="N2531" s="15">
        <f t="shared" si="582"/>
        <v>0</v>
      </c>
      <c r="O2531" s="15">
        <f t="shared" si="583"/>
        <v>0</v>
      </c>
      <c r="P2531" s="15">
        <f t="shared" si="584"/>
        <v>1.1516696500000005</v>
      </c>
      <c r="Q2531" s="14" t="str">
        <f>IF(M2531&gt;=I2531*'Hoja 4 - Cálculo'!$B$16,"Satisfactorio","Falla")</f>
        <v>Falla</v>
      </c>
      <c r="R2531" s="14">
        <f t="shared" si="591"/>
        <v>0</v>
      </c>
      <c r="S2531" s="14">
        <f t="shared" si="592"/>
        <v>1</v>
      </c>
    </row>
    <row r="2532" spans="1:19">
      <c r="A2532" s="14" t="str">
        <f t="shared" si="588"/>
        <v>CFG-4</v>
      </c>
      <c r="B2532" s="15">
        <f>'Curvas SRY'!$E$11</f>
        <v>5</v>
      </c>
      <c r="C2532" s="15">
        <f>1</f>
        <v>1</v>
      </c>
      <c r="D2532" s="14" t="str">
        <f t="shared" si="589"/>
        <v>Uso variable</v>
      </c>
      <c r="E2532" s="14">
        <f>9</f>
        <v>9</v>
      </c>
      <c r="F2532" s="21">
        <f>'Hoja 4 - Cálculo'!A33</f>
        <v>29830</v>
      </c>
      <c r="G2532" s="15">
        <f>'Hoja 4 - Cálculo'!H33</f>
        <v>22.070250000000001</v>
      </c>
      <c r="H2532" s="15">
        <f>IF(D2532="Uso único",'Hoja 4 - Cálculo'!I33,IF(D2532="Uso múltiple",AVERAGE('Hoja 4 - Cálculo'!$I$25:$I$384)+AVERAGE('Hoja 4 - Cálculo'!$J$25:$J$384)+AVERAGE('Hoja 4 - Cálculo'!$K$25:$K$384),IF(D2532="Uso prioritario",'Hoja 4 - Cálculo'!I33+'Hoja 4 - Cálculo'!K33,'Hoja 4 - Cálculo'!I33+'Hoja 4 - Cálculo'!J33+'Hoja 4 - Cálculo'!K33)))</f>
        <v>11.5</v>
      </c>
      <c r="I2532" s="15">
        <f t="shared" si="577"/>
        <v>11.5</v>
      </c>
      <c r="J2532" s="15">
        <f t="shared" si="590"/>
        <v>0</v>
      </c>
      <c r="K2532" s="15">
        <f>MIN(J2532+G2532,(J2532+G2532)*'Hoja 4 - Cálculo'!$B$15)</f>
        <v>0.44140500000000005</v>
      </c>
      <c r="L2532" s="15">
        <f t="shared" si="580"/>
        <v>21.628845000000002</v>
      </c>
      <c r="M2532" s="15">
        <f t="shared" si="581"/>
        <v>11.5</v>
      </c>
      <c r="N2532" s="15">
        <f t="shared" si="582"/>
        <v>5</v>
      </c>
      <c r="O2532" s="15">
        <f t="shared" si="583"/>
        <v>5.1288450000000019</v>
      </c>
      <c r="P2532" s="15">
        <f t="shared" si="584"/>
        <v>0</v>
      </c>
      <c r="Q2532" s="14" t="str">
        <f>IF(M2532&gt;=I2532*'Hoja 4 - Cálculo'!$B$16,"Satisfactorio","Falla")</f>
        <v>Satisfactorio</v>
      </c>
      <c r="R2532" s="14">
        <f t="shared" si="591"/>
        <v>1</v>
      </c>
      <c r="S2532" s="14">
        <f t="shared" si="592"/>
        <v>0</v>
      </c>
    </row>
    <row r="2533" spans="1:19">
      <c r="A2533" s="14" t="str">
        <f t="shared" si="588"/>
        <v>CFG-4</v>
      </c>
      <c r="B2533" s="15">
        <f>'Curvas SRY'!$E$11</f>
        <v>5</v>
      </c>
      <c r="C2533" s="15">
        <f>1</f>
        <v>1</v>
      </c>
      <c r="D2533" s="14" t="str">
        <f t="shared" si="589"/>
        <v>Uso variable</v>
      </c>
      <c r="E2533" s="14">
        <f>10</f>
        <v>10</v>
      </c>
      <c r="F2533" s="21">
        <f>'Hoja 4 - Cálculo'!A34</f>
        <v>29860</v>
      </c>
      <c r="G2533" s="15">
        <f>'Hoja 4 - Cálculo'!H34</f>
        <v>29.777625</v>
      </c>
      <c r="H2533" s="15">
        <f>IF(D2533="Uso único",'Hoja 4 - Cálculo'!I34,IF(D2533="Uso múltiple",AVERAGE('Hoja 4 - Cálculo'!$I$25:$I$384)+AVERAGE('Hoja 4 - Cálculo'!$J$25:$J$384)+AVERAGE('Hoja 4 - Cálculo'!$K$25:$K$384),IF(D2533="Uso prioritario",'Hoja 4 - Cálculo'!I34+'Hoja 4 - Cálculo'!K34,'Hoja 4 - Cálculo'!I34+'Hoja 4 - Cálculo'!J34+'Hoja 4 - Cálculo'!K34)))</f>
        <v>11.5</v>
      </c>
      <c r="I2533" s="15">
        <f t="shared" si="577"/>
        <v>11.5</v>
      </c>
      <c r="J2533" s="15">
        <f t="shared" si="590"/>
        <v>5</v>
      </c>
      <c r="K2533" s="15">
        <f>MIN(J2533+G2533,(J2533+G2533)*'Hoja 4 - Cálculo'!$B$15)</f>
        <v>0.69555250000000002</v>
      </c>
      <c r="L2533" s="15">
        <f t="shared" si="580"/>
        <v>34.082072500000002</v>
      </c>
      <c r="M2533" s="15">
        <f t="shared" si="581"/>
        <v>11.5</v>
      </c>
      <c r="N2533" s="15">
        <f t="shared" si="582"/>
        <v>5</v>
      </c>
      <c r="O2533" s="15">
        <f t="shared" si="583"/>
        <v>17.582072500000002</v>
      </c>
      <c r="P2533" s="15">
        <f t="shared" si="584"/>
        <v>0</v>
      </c>
      <c r="Q2533" s="14" t="str">
        <f>IF(M2533&gt;=I2533*'Hoja 4 - Cálculo'!$B$16,"Satisfactorio","Falla")</f>
        <v>Satisfactorio</v>
      </c>
      <c r="R2533" s="14">
        <f t="shared" si="591"/>
        <v>0</v>
      </c>
      <c r="S2533" s="14">
        <f t="shared" si="592"/>
        <v>0</v>
      </c>
    </row>
    <row r="2534" spans="1:19">
      <c r="A2534" s="14" t="str">
        <f t="shared" si="588"/>
        <v>CFG-4</v>
      </c>
      <c r="B2534" s="15">
        <f>'Curvas SRY'!$E$11</f>
        <v>5</v>
      </c>
      <c r="C2534" s="15">
        <f>1</f>
        <v>1</v>
      </c>
      <c r="D2534" s="14" t="str">
        <f t="shared" si="589"/>
        <v>Uso variable</v>
      </c>
      <c r="E2534" s="14">
        <f>11</f>
        <v>11</v>
      </c>
      <c r="F2534" s="21">
        <f>'Hoja 4 - Cálculo'!A35</f>
        <v>29891</v>
      </c>
      <c r="G2534" s="15">
        <f>'Hoja 4 - Cálculo'!H35</f>
        <v>25.51275</v>
      </c>
      <c r="H2534" s="15">
        <f>IF(D2534="Uso único",'Hoja 4 - Cálculo'!I35,IF(D2534="Uso múltiple",AVERAGE('Hoja 4 - Cálculo'!$I$25:$I$384)+AVERAGE('Hoja 4 - Cálculo'!$J$25:$J$384)+AVERAGE('Hoja 4 - Cálculo'!$K$25:$K$384),IF(D2534="Uso prioritario",'Hoja 4 - Cálculo'!I35+'Hoja 4 - Cálculo'!K35,'Hoja 4 - Cálculo'!I35+'Hoja 4 - Cálculo'!J35+'Hoja 4 - Cálculo'!K35)))</f>
        <v>11.5</v>
      </c>
      <c r="I2534" s="15">
        <f t="shared" si="577"/>
        <v>11.5</v>
      </c>
      <c r="J2534" s="15">
        <f t="shared" si="590"/>
        <v>5</v>
      </c>
      <c r="K2534" s="15">
        <f>MIN(J2534+G2534,(J2534+G2534)*'Hoja 4 - Cálculo'!$B$15)</f>
        <v>0.61025499999999999</v>
      </c>
      <c r="L2534" s="15">
        <f t="shared" si="580"/>
        <v>29.902495000000002</v>
      </c>
      <c r="M2534" s="15">
        <f t="shared" si="581"/>
        <v>11.5</v>
      </c>
      <c r="N2534" s="15">
        <f t="shared" si="582"/>
        <v>5</v>
      </c>
      <c r="O2534" s="15">
        <f t="shared" si="583"/>
        <v>13.402495000000002</v>
      </c>
      <c r="P2534" s="15">
        <f t="shared" si="584"/>
        <v>0</v>
      </c>
      <c r="Q2534" s="14" t="str">
        <f>IF(M2534&gt;=I2534*'Hoja 4 - Cálculo'!$B$16,"Satisfactorio","Falla")</f>
        <v>Satisfactorio</v>
      </c>
      <c r="R2534" s="14">
        <f t="shared" si="591"/>
        <v>0</v>
      </c>
      <c r="S2534" s="14">
        <f t="shared" si="592"/>
        <v>0</v>
      </c>
    </row>
    <row r="2535" spans="1:19">
      <c r="A2535" s="14" t="str">
        <f t="shared" si="588"/>
        <v>CFG-4</v>
      </c>
      <c r="B2535" s="15">
        <f>'Curvas SRY'!$E$11</f>
        <v>5</v>
      </c>
      <c r="C2535" s="15">
        <f>1</f>
        <v>1</v>
      </c>
      <c r="D2535" s="14" t="str">
        <f t="shared" si="589"/>
        <v>Uso variable</v>
      </c>
      <c r="E2535" s="14">
        <f>12</f>
        <v>12</v>
      </c>
      <c r="F2535" s="21">
        <f>'Hoja 4 - Cálculo'!A36</f>
        <v>29921</v>
      </c>
      <c r="G2535" s="15">
        <f>'Hoja 4 - Cálculo'!H36</f>
        <v>15.3765</v>
      </c>
      <c r="H2535" s="15">
        <f>IF(D2535="Uso único",'Hoja 4 - Cálculo'!I36,IF(D2535="Uso múltiple",AVERAGE('Hoja 4 - Cálculo'!$I$25:$I$384)+AVERAGE('Hoja 4 - Cálculo'!$J$25:$J$384)+AVERAGE('Hoja 4 - Cálculo'!$K$25:$K$384),IF(D2535="Uso prioritario",'Hoja 4 - Cálculo'!I36+'Hoja 4 - Cálculo'!K36,'Hoja 4 - Cálculo'!I36+'Hoja 4 - Cálculo'!J36+'Hoja 4 - Cálculo'!K36)))</f>
        <v>16</v>
      </c>
      <c r="I2535" s="15">
        <f t="shared" si="577"/>
        <v>16</v>
      </c>
      <c r="J2535" s="15">
        <f t="shared" si="590"/>
        <v>5</v>
      </c>
      <c r="K2535" s="15">
        <f>MIN(J2535+G2535,(J2535+G2535)*'Hoja 4 - Cálculo'!$B$15)</f>
        <v>0.40753</v>
      </c>
      <c r="L2535" s="15">
        <f t="shared" si="580"/>
        <v>19.968969999999999</v>
      </c>
      <c r="M2535" s="15">
        <f t="shared" si="581"/>
        <v>16</v>
      </c>
      <c r="N2535" s="15">
        <f t="shared" si="582"/>
        <v>3.9689699999999988</v>
      </c>
      <c r="O2535" s="15">
        <f t="shared" si="583"/>
        <v>0</v>
      </c>
      <c r="P2535" s="15">
        <f t="shared" si="584"/>
        <v>0</v>
      </c>
      <c r="Q2535" s="14" t="str">
        <f>IF(M2535&gt;=I2535*'Hoja 4 - Cálculo'!$B$16,"Satisfactorio","Falla")</f>
        <v>Satisfactorio</v>
      </c>
      <c r="R2535" s="14">
        <f t="shared" si="591"/>
        <v>0</v>
      </c>
      <c r="S2535" s="14">
        <f t="shared" si="592"/>
        <v>0</v>
      </c>
    </row>
    <row r="2536" spans="1:19">
      <c r="A2536" s="14" t="str">
        <f t="shared" si="588"/>
        <v>CFG-4</v>
      </c>
      <c r="B2536" s="15">
        <f>'Curvas SRY'!$E$11</f>
        <v>5</v>
      </c>
      <c r="C2536" s="15">
        <f>1</f>
        <v>1</v>
      </c>
      <c r="D2536" s="14" t="str">
        <f t="shared" si="589"/>
        <v>Uso variable</v>
      </c>
      <c r="E2536" s="14">
        <f>13</f>
        <v>13</v>
      </c>
      <c r="F2536" s="21">
        <f>'Hoja 4 - Cálculo'!A37</f>
        <v>29952</v>
      </c>
      <c r="G2536" s="15">
        <f>'Hoja 4 - Cálculo'!H37</f>
        <v>13.808249999999999</v>
      </c>
      <c r="H2536" s="15">
        <f>IF(D2536="Uso único",'Hoja 4 - Cálculo'!I37,IF(D2536="Uso múltiple",AVERAGE('Hoja 4 - Cálculo'!$I$25:$I$384)+AVERAGE('Hoja 4 - Cálculo'!$J$25:$J$384)+AVERAGE('Hoja 4 - Cálculo'!$K$25:$K$384),IF(D2536="Uso prioritario",'Hoja 4 - Cálculo'!I37+'Hoja 4 - Cálculo'!K37,'Hoja 4 - Cálculo'!I37+'Hoja 4 - Cálculo'!J37+'Hoja 4 - Cálculo'!K37)))</f>
        <v>16</v>
      </c>
      <c r="I2536" s="15">
        <f t="shared" si="577"/>
        <v>16</v>
      </c>
      <c r="J2536" s="15">
        <f t="shared" si="590"/>
        <v>3.9689699999999988</v>
      </c>
      <c r="K2536" s="15">
        <f>MIN(J2536+G2536,(J2536+G2536)*'Hoja 4 - Cálculo'!$B$15)</f>
        <v>0.35554439999999998</v>
      </c>
      <c r="L2536" s="15">
        <f t="shared" si="580"/>
        <v>17.4216756</v>
      </c>
      <c r="M2536" s="15">
        <f t="shared" si="581"/>
        <v>16</v>
      </c>
      <c r="N2536" s="15">
        <f t="shared" si="582"/>
        <v>1.4216756000000004</v>
      </c>
      <c r="O2536" s="15">
        <f t="shared" si="583"/>
        <v>0</v>
      </c>
      <c r="P2536" s="15">
        <f t="shared" si="584"/>
        <v>0</v>
      </c>
      <c r="Q2536" s="14" t="str">
        <f>IF(M2536&gt;=I2536*'Hoja 4 - Cálculo'!$B$16,"Satisfactorio","Falla")</f>
        <v>Satisfactorio</v>
      </c>
      <c r="R2536" s="14">
        <f t="shared" si="591"/>
        <v>0</v>
      </c>
      <c r="S2536" s="14">
        <f t="shared" si="592"/>
        <v>0</v>
      </c>
    </row>
    <row r="2537" spans="1:19">
      <c r="A2537" s="14" t="str">
        <f t="shared" si="588"/>
        <v>CFG-4</v>
      </c>
      <c r="B2537" s="15">
        <f>'Curvas SRY'!$E$11</f>
        <v>5</v>
      </c>
      <c r="C2537" s="15">
        <f>1</f>
        <v>1</v>
      </c>
      <c r="D2537" s="14" t="str">
        <f t="shared" si="589"/>
        <v>Uso variable</v>
      </c>
      <c r="E2537" s="14">
        <f>14</f>
        <v>14</v>
      </c>
      <c r="F2537" s="21">
        <f>'Hoja 4 - Cálculo'!A38</f>
        <v>29983</v>
      </c>
      <c r="G2537" s="15">
        <f>'Hoja 4 - Cálculo'!H38</f>
        <v>15.472125</v>
      </c>
      <c r="H2537" s="15">
        <f>IF(D2537="Uso único",'Hoja 4 - Cálculo'!I38,IF(D2537="Uso múltiple",AVERAGE('Hoja 4 - Cálculo'!$I$25:$I$384)+AVERAGE('Hoja 4 - Cálculo'!$J$25:$J$384)+AVERAGE('Hoja 4 - Cálculo'!$K$25:$K$384),IF(D2537="Uso prioritario",'Hoja 4 - Cálculo'!I38+'Hoja 4 - Cálculo'!K38,'Hoja 4 - Cálculo'!I38+'Hoja 4 - Cálculo'!J38+'Hoja 4 - Cálculo'!K38)))</f>
        <v>16</v>
      </c>
      <c r="I2537" s="15">
        <f t="shared" si="577"/>
        <v>16</v>
      </c>
      <c r="J2537" s="15">
        <f t="shared" si="590"/>
        <v>1.4216756000000004</v>
      </c>
      <c r="K2537" s="15">
        <f>MIN(J2537+G2537,(J2537+G2537)*'Hoja 4 - Cálculo'!$B$15)</f>
        <v>0.337876012</v>
      </c>
      <c r="L2537" s="15">
        <f t="shared" si="580"/>
        <v>16.555924588</v>
      </c>
      <c r="M2537" s="15">
        <f t="shared" si="581"/>
        <v>16</v>
      </c>
      <c r="N2537" s="15">
        <f t="shared" si="582"/>
        <v>0.55592458799999989</v>
      </c>
      <c r="O2537" s="15">
        <f t="shared" si="583"/>
        <v>0</v>
      </c>
      <c r="P2537" s="15">
        <f t="shared" si="584"/>
        <v>0</v>
      </c>
      <c r="Q2537" s="14" t="str">
        <f>IF(M2537&gt;=I2537*'Hoja 4 - Cálculo'!$B$16,"Satisfactorio","Falla")</f>
        <v>Satisfactorio</v>
      </c>
      <c r="R2537" s="14">
        <f t="shared" si="591"/>
        <v>0</v>
      </c>
      <c r="S2537" s="14">
        <f t="shared" si="592"/>
        <v>0</v>
      </c>
    </row>
    <row r="2538" spans="1:19">
      <c r="A2538" s="14" t="str">
        <f t="shared" si="588"/>
        <v>CFG-4</v>
      </c>
      <c r="B2538" s="15">
        <f>'Curvas SRY'!$E$11</f>
        <v>5</v>
      </c>
      <c r="C2538" s="15">
        <f>1</f>
        <v>1</v>
      </c>
      <c r="D2538" s="14" t="str">
        <f t="shared" si="589"/>
        <v>Uso variable</v>
      </c>
      <c r="E2538" s="14">
        <f>15</f>
        <v>15</v>
      </c>
      <c r="F2538" s="21">
        <f>'Hoja 4 - Cálculo'!A39</f>
        <v>30011</v>
      </c>
      <c r="G2538" s="15">
        <f>'Hoja 4 - Cálculo'!H39</f>
        <v>22.338000000000001</v>
      </c>
      <c r="H2538" s="15">
        <f>IF(D2538="Uso único",'Hoja 4 - Cálculo'!I39,IF(D2538="Uso múltiple",AVERAGE('Hoja 4 - Cálculo'!$I$25:$I$384)+AVERAGE('Hoja 4 - Cálculo'!$J$25:$J$384)+AVERAGE('Hoja 4 - Cálculo'!$K$25:$K$384),IF(D2538="Uso prioritario",'Hoja 4 - Cálculo'!I39+'Hoja 4 - Cálculo'!K39,'Hoja 4 - Cálculo'!I39+'Hoja 4 - Cálculo'!J39+'Hoja 4 - Cálculo'!K39)))</f>
        <v>16</v>
      </c>
      <c r="I2538" s="15">
        <f t="shared" si="577"/>
        <v>16</v>
      </c>
      <c r="J2538" s="15">
        <f t="shared" si="590"/>
        <v>0.55592458799999989</v>
      </c>
      <c r="K2538" s="15">
        <f>MIN(J2538+G2538,(J2538+G2538)*'Hoja 4 - Cálculo'!$B$15)</f>
        <v>0.45787849176000001</v>
      </c>
      <c r="L2538" s="15">
        <f t="shared" si="580"/>
        <v>22.436046096240002</v>
      </c>
      <c r="M2538" s="15">
        <f t="shared" si="581"/>
        <v>16</v>
      </c>
      <c r="N2538" s="15">
        <f t="shared" si="582"/>
        <v>5</v>
      </c>
      <c r="O2538" s="15">
        <f t="shared" si="583"/>
        <v>1.4360460962400019</v>
      </c>
      <c r="P2538" s="15">
        <f t="shared" si="584"/>
        <v>0</v>
      </c>
      <c r="Q2538" s="14" t="str">
        <f>IF(M2538&gt;=I2538*'Hoja 4 - Cálculo'!$B$16,"Satisfactorio","Falla")</f>
        <v>Satisfactorio</v>
      </c>
      <c r="R2538" s="14">
        <f t="shared" si="591"/>
        <v>0</v>
      </c>
      <c r="S2538" s="14">
        <f t="shared" si="592"/>
        <v>0</v>
      </c>
    </row>
    <row r="2539" spans="1:19">
      <c r="A2539" s="14" t="str">
        <f t="shared" si="588"/>
        <v>CFG-4</v>
      </c>
      <c r="B2539" s="15">
        <f>'Curvas SRY'!$E$11</f>
        <v>5</v>
      </c>
      <c r="C2539" s="15">
        <f>1</f>
        <v>1</v>
      </c>
      <c r="D2539" s="14" t="str">
        <f t="shared" si="589"/>
        <v>Uso variable</v>
      </c>
      <c r="E2539" s="14">
        <f>16</f>
        <v>16</v>
      </c>
      <c r="F2539" s="21">
        <f>'Hoja 4 - Cálculo'!A40</f>
        <v>30042</v>
      </c>
      <c r="G2539" s="15">
        <f>'Hoja 4 - Cálculo'!H40</f>
        <v>31.670999999999999</v>
      </c>
      <c r="H2539" s="15">
        <f>IF(D2539="Uso único",'Hoja 4 - Cálculo'!I40,IF(D2539="Uso múltiple",AVERAGE('Hoja 4 - Cálculo'!$I$25:$I$384)+AVERAGE('Hoja 4 - Cálculo'!$J$25:$J$384)+AVERAGE('Hoja 4 - Cálculo'!$K$25:$K$384),IF(D2539="Uso prioritario",'Hoja 4 - Cálculo'!I40+'Hoja 4 - Cálculo'!K40,'Hoja 4 - Cálculo'!I40+'Hoja 4 - Cálculo'!J40+'Hoja 4 - Cálculo'!K40)))</f>
        <v>11.5</v>
      </c>
      <c r="I2539" s="15">
        <f t="shared" si="577"/>
        <v>11.5</v>
      </c>
      <c r="J2539" s="15">
        <f t="shared" si="590"/>
        <v>5</v>
      </c>
      <c r="K2539" s="15">
        <f>MIN(J2539+G2539,(J2539+G2539)*'Hoja 4 - Cálculo'!$B$15)</f>
        <v>0.73341999999999996</v>
      </c>
      <c r="L2539" s="15">
        <f t="shared" si="580"/>
        <v>35.937579999999997</v>
      </c>
      <c r="M2539" s="15">
        <f t="shared" si="581"/>
        <v>11.5</v>
      </c>
      <c r="N2539" s="15">
        <f t="shared" si="582"/>
        <v>5</v>
      </c>
      <c r="O2539" s="15">
        <f t="shared" si="583"/>
        <v>19.437579999999997</v>
      </c>
      <c r="P2539" s="15">
        <f t="shared" si="584"/>
        <v>0</v>
      </c>
      <c r="Q2539" s="14" t="str">
        <f>IF(M2539&gt;=I2539*'Hoja 4 - Cálculo'!$B$16,"Satisfactorio","Falla")</f>
        <v>Satisfactorio</v>
      </c>
      <c r="R2539" s="14">
        <f t="shared" si="591"/>
        <v>0</v>
      </c>
      <c r="S2539" s="14">
        <f t="shared" si="592"/>
        <v>0</v>
      </c>
    </row>
    <row r="2540" spans="1:19">
      <c r="A2540" s="14" t="str">
        <f t="shared" si="588"/>
        <v>CFG-4</v>
      </c>
      <c r="B2540" s="15">
        <f>'Curvas SRY'!$E$11</f>
        <v>5</v>
      </c>
      <c r="C2540" s="15">
        <f>1</f>
        <v>1</v>
      </c>
      <c r="D2540" s="14" t="str">
        <f t="shared" si="589"/>
        <v>Uso variable</v>
      </c>
      <c r="E2540" s="14">
        <f>17</f>
        <v>17</v>
      </c>
      <c r="F2540" s="21">
        <f>'Hoja 4 - Cálculo'!A41</f>
        <v>30072</v>
      </c>
      <c r="G2540" s="15">
        <f>'Hoja 4 - Cálculo'!H41</f>
        <v>29.299499999999998</v>
      </c>
      <c r="H2540" s="15">
        <f>IF(D2540="Uso único",'Hoja 4 - Cálculo'!I41,IF(D2540="Uso múltiple",AVERAGE('Hoja 4 - Cálculo'!$I$25:$I$384)+AVERAGE('Hoja 4 - Cálculo'!$J$25:$J$384)+AVERAGE('Hoja 4 - Cálculo'!$K$25:$K$384),IF(D2540="Uso prioritario",'Hoja 4 - Cálculo'!I41+'Hoja 4 - Cálculo'!K41,'Hoja 4 - Cálculo'!I41+'Hoja 4 - Cálculo'!J41+'Hoja 4 - Cálculo'!K41)))</f>
        <v>11.5</v>
      </c>
      <c r="I2540" s="15">
        <f t="shared" si="577"/>
        <v>11.5</v>
      </c>
      <c r="J2540" s="15">
        <f t="shared" si="590"/>
        <v>5</v>
      </c>
      <c r="K2540" s="15">
        <f>MIN(J2540+G2540,(J2540+G2540)*'Hoja 4 - Cálculo'!$B$15)</f>
        <v>0.68598999999999988</v>
      </c>
      <c r="L2540" s="15">
        <f t="shared" si="580"/>
        <v>33.613509999999998</v>
      </c>
      <c r="M2540" s="15">
        <f t="shared" si="581"/>
        <v>11.5</v>
      </c>
      <c r="N2540" s="15">
        <f t="shared" si="582"/>
        <v>5</v>
      </c>
      <c r="O2540" s="15">
        <f t="shared" si="583"/>
        <v>17.113509999999998</v>
      </c>
      <c r="P2540" s="15">
        <f t="shared" si="584"/>
        <v>0</v>
      </c>
      <c r="Q2540" s="14" t="str">
        <f>IF(M2540&gt;=I2540*'Hoja 4 - Cálculo'!$B$16,"Satisfactorio","Falla")</f>
        <v>Satisfactorio</v>
      </c>
      <c r="R2540" s="14">
        <f t="shared" si="591"/>
        <v>0</v>
      </c>
      <c r="S2540" s="14">
        <f t="shared" si="592"/>
        <v>0</v>
      </c>
    </row>
    <row r="2541" spans="1:19">
      <c r="A2541" s="14" t="str">
        <f t="shared" si="588"/>
        <v>CFG-4</v>
      </c>
      <c r="B2541" s="15">
        <f>'Curvas SRY'!$E$11</f>
        <v>5</v>
      </c>
      <c r="C2541" s="15">
        <f>1</f>
        <v>1</v>
      </c>
      <c r="D2541" s="14" t="str">
        <f t="shared" si="589"/>
        <v>Uso variable</v>
      </c>
      <c r="E2541" s="14">
        <f>18</f>
        <v>18</v>
      </c>
      <c r="F2541" s="21">
        <f>'Hoja 4 - Cálculo'!A42</f>
        <v>30103</v>
      </c>
      <c r="G2541" s="15">
        <f>'Hoja 4 - Cálculo'!H42</f>
        <v>18.321750000000002</v>
      </c>
      <c r="H2541" s="15">
        <f>IF(D2541="Uso único",'Hoja 4 - Cálculo'!I42,IF(D2541="Uso múltiple",AVERAGE('Hoja 4 - Cálculo'!$I$25:$I$384)+AVERAGE('Hoja 4 - Cálculo'!$J$25:$J$384)+AVERAGE('Hoja 4 - Cálculo'!$K$25:$K$384),IF(D2541="Uso prioritario",'Hoja 4 - Cálculo'!I42+'Hoja 4 - Cálculo'!K42,'Hoja 4 - Cálculo'!I42+'Hoja 4 - Cálculo'!J42+'Hoja 4 - Cálculo'!K42)))</f>
        <v>11.5</v>
      </c>
      <c r="I2541" s="15">
        <f t="shared" si="577"/>
        <v>11.5</v>
      </c>
      <c r="J2541" s="15">
        <f t="shared" si="590"/>
        <v>5</v>
      </c>
      <c r="K2541" s="15">
        <f>MIN(J2541+G2541,(J2541+G2541)*'Hoja 4 - Cálculo'!$B$15)</f>
        <v>0.46643500000000004</v>
      </c>
      <c r="L2541" s="15">
        <f t="shared" si="580"/>
        <v>22.855315000000001</v>
      </c>
      <c r="M2541" s="15">
        <f t="shared" si="581"/>
        <v>11.5</v>
      </c>
      <c r="N2541" s="15">
        <f t="shared" si="582"/>
        <v>5</v>
      </c>
      <c r="O2541" s="15">
        <f t="shared" si="583"/>
        <v>6.3553150000000009</v>
      </c>
      <c r="P2541" s="15">
        <f t="shared" si="584"/>
        <v>0</v>
      </c>
      <c r="Q2541" s="14" t="str">
        <f>IF(M2541&gt;=I2541*'Hoja 4 - Cálculo'!$B$16,"Satisfactorio","Falla")</f>
        <v>Satisfactorio</v>
      </c>
      <c r="R2541" s="14">
        <f t="shared" si="591"/>
        <v>0</v>
      </c>
      <c r="S2541" s="14">
        <f t="shared" si="592"/>
        <v>0</v>
      </c>
    </row>
    <row r="2542" spans="1:19">
      <c r="A2542" s="14" t="str">
        <f t="shared" si="588"/>
        <v>CFG-4</v>
      </c>
      <c r="B2542" s="15">
        <f>'Curvas SRY'!$E$11</f>
        <v>5</v>
      </c>
      <c r="C2542" s="15">
        <f>1</f>
        <v>1</v>
      </c>
      <c r="D2542" s="14" t="str">
        <f t="shared" si="589"/>
        <v>Uso variable</v>
      </c>
      <c r="E2542" s="14">
        <f>19</f>
        <v>19</v>
      </c>
      <c r="F2542" s="21">
        <f>'Hoja 4 - Cálculo'!A43</f>
        <v>30133</v>
      </c>
      <c r="G2542" s="15">
        <f>'Hoja 4 - Cálculo'!H43</f>
        <v>15.3765</v>
      </c>
      <c r="H2542" s="15">
        <f>IF(D2542="Uso único",'Hoja 4 - Cálculo'!I43,IF(D2542="Uso múltiple",AVERAGE('Hoja 4 - Cálculo'!$I$25:$I$384)+AVERAGE('Hoja 4 - Cálculo'!$J$25:$J$384)+AVERAGE('Hoja 4 - Cálculo'!$K$25:$K$384),IF(D2542="Uso prioritario",'Hoja 4 - Cálculo'!I43+'Hoja 4 - Cálculo'!K43,'Hoja 4 - Cálculo'!I43+'Hoja 4 - Cálculo'!J43+'Hoja 4 - Cálculo'!K43)))</f>
        <v>16</v>
      </c>
      <c r="I2542" s="15">
        <f t="shared" si="577"/>
        <v>16</v>
      </c>
      <c r="J2542" s="15">
        <f t="shared" si="590"/>
        <v>5</v>
      </c>
      <c r="K2542" s="15">
        <f>MIN(J2542+G2542,(J2542+G2542)*'Hoja 4 - Cálculo'!$B$15)</f>
        <v>0.40753</v>
      </c>
      <c r="L2542" s="15">
        <f t="shared" si="580"/>
        <v>19.968969999999999</v>
      </c>
      <c r="M2542" s="15">
        <f t="shared" si="581"/>
        <v>16</v>
      </c>
      <c r="N2542" s="15">
        <f t="shared" si="582"/>
        <v>3.9689699999999988</v>
      </c>
      <c r="O2542" s="15">
        <f t="shared" si="583"/>
        <v>0</v>
      </c>
      <c r="P2542" s="15">
        <f t="shared" si="584"/>
        <v>0</v>
      </c>
      <c r="Q2542" s="14" t="str">
        <f>IF(M2542&gt;=I2542*'Hoja 4 - Cálculo'!$B$16,"Satisfactorio","Falla")</f>
        <v>Satisfactorio</v>
      </c>
      <c r="R2542" s="14">
        <f t="shared" si="591"/>
        <v>0</v>
      </c>
      <c r="S2542" s="14">
        <f t="shared" si="592"/>
        <v>0</v>
      </c>
    </row>
    <row r="2543" spans="1:19">
      <c r="A2543" s="14" t="str">
        <f t="shared" si="588"/>
        <v>CFG-4</v>
      </c>
      <c r="B2543" s="15">
        <f>'Curvas SRY'!$E$11</f>
        <v>5</v>
      </c>
      <c r="C2543" s="15">
        <f>1</f>
        <v>1</v>
      </c>
      <c r="D2543" s="14" t="str">
        <f t="shared" si="589"/>
        <v>Uso variable</v>
      </c>
      <c r="E2543" s="14">
        <f>20</f>
        <v>20</v>
      </c>
      <c r="F2543" s="21">
        <f>'Hoja 4 - Cálculo'!A44</f>
        <v>30164</v>
      </c>
      <c r="G2543" s="15">
        <f>'Hoja 4 - Cálculo'!H44</f>
        <v>16.466625000000001</v>
      </c>
      <c r="H2543" s="15">
        <f>IF(D2543="Uso único",'Hoja 4 - Cálculo'!I44,IF(D2543="Uso múltiple",AVERAGE('Hoja 4 - Cálculo'!$I$25:$I$384)+AVERAGE('Hoja 4 - Cálculo'!$J$25:$J$384)+AVERAGE('Hoja 4 - Cálculo'!$K$25:$K$384),IF(D2543="Uso prioritario",'Hoja 4 - Cálculo'!I44+'Hoja 4 - Cálculo'!K44,'Hoja 4 - Cálculo'!I44+'Hoja 4 - Cálculo'!J44+'Hoja 4 - Cálculo'!K44)))</f>
        <v>16</v>
      </c>
      <c r="I2543" s="15">
        <f t="shared" si="577"/>
        <v>16</v>
      </c>
      <c r="J2543" s="15">
        <f t="shared" si="590"/>
        <v>3.9689699999999988</v>
      </c>
      <c r="K2543" s="15">
        <f>MIN(J2543+G2543,(J2543+G2543)*'Hoja 4 - Cálculo'!$B$15)</f>
        <v>0.40871190000000002</v>
      </c>
      <c r="L2543" s="15">
        <f t="shared" si="580"/>
        <v>20.026883099999999</v>
      </c>
      <c r="M2543" s="15">
        <f t="shared" si="581"/>
        <v>16</v>
      </c>
      <c r="N2543" s="15">
        <f t="shared" si="582"/>
        <v>4.0268830999999992</v>
      </c>
      <c r="O2543" s="15">
        <f t="shared" si="583"/>
        <v>0</v>
      </c>
      <c r="P2543" s="15">
        <f t="shared" si="584"/>
        <v>0</v>
      </c>
      <c r="Q2543" s="14" t="str">
        <f>IF(M2543&gt;=I2543*'Hoja 4 - Cálculo'!$B$16,"Satisfactorio","Falla")</f>
        <v>Satisfactorio</v>
      </c>
      <c r="R2543" s="14">
        <f t="shared" si="591"/>
        <v>0</v>
      </c>
      <c r="S2543" s="14">
        <f t="shared" si="592"/>
        <v>0</v>
      </c>
    </row>
    <row r="2544" spans="1:19">
      <c r="A2544" s="14" t="str">
        <f t="shared" si="588"/>
        <v>CFG-4</v>
      </c>
      <c r="B2544" s="15">
        <f>'Curvas SRY'!$E$11</f>
        <v>5</v>
      </c>
      <c r="C2544" s="15">
        <f>1</f>
        <v>1</v>
      </c>
      <c r="D2544" s="14" t="str">
        <f t="shared" si="589"/>
        <v>Uso variable</v>
      </c>
      <c r="E2544" s="14">
        <f>21</f>
        <v>21</v>
      </c>
      <c r="F2544" s="21">
        <f>'Hoja 4 - Cálculo'!A45</f>
        <v>30195</v>
      </c>
      <c r="G2544" s="15">
        <f>'Hoja 4 - Cálculo'!H45</f>
        <v>25.837875</v>
      </c>
      <c r="H2544" s="15">
        <f>IF(D2544="Uso único",'Hoja 4 - Cálculo'!I45,IF(D2544="Uso múltiple",AVERAGE('Hoja 4 - Cálculo'!$I$25:$I$384)+AVERAGE('Hoja 4 - Cálculo'!$J$25:$J$384)+AVERAGE('Hoja 4 - Cálculo'!$K$25:$K$384),IF(D2544="Uso prioritario",'Hoja 4 - Cálculo'!I45+'Hoja 4 - Cálculo'!K45,'Hoja 4 - Cálculo'!I45+'Hoja 4 - Cálculo'!J45+'Hoja 4 - Cálculo'!K45)))</f>
        <v>11.5</v>
      </c>
      <c r="I2544" s="15">
        <f t="shared" si="577"/>
        <v>11.5</v>
      </c>
      <c r="J2544" s="15">
        <f t="shared" si="590"/>
        <v>4.0268830999999992</v>
      </c>
      <c r="K2544" s="15">
        <f>MIN(J2544+G2544,(J2544+G2544)*'Hoja 4 - Cálculo'!$B$15)</f>
        <v>0.59729516199999999</v>
      </c>
      <c r="L2544" s="15">
        <f t="shared" si="580"/>
        <v>29.267462938000001</v>
      </c>
      <c r="M2544" s="15">
        <f t="shared" si="581"/>
        <v>11.5</v>
      </c>
      <c r="N2544" s="15">
        <f t="shared" si="582"/>
        <v>5</v>
      </c>
      <c r="O2544" s="15">
        <f t="shared" si="583"/>
        <v>12.767462938000001</v>
      </c>
      <c r="P2544" s="15">
        <f t="shared" si="584"/>
        <v>0</v>
      </c>
      <c r="Q2544" s="14" t="str">
        <f>IF(M2544&gt;=I2544*'Hoja 4 - Cálculo'!$B$16,"Satisfactorio","Falla")</f>
        <v>Satisfactorio</v>
      </c>
      <c r="R2544" s="14">
        <f t="shared" si="591"/>
        <v>0</v>
      </c>
      <c r="S2544" s="14">
        <f t="shared" si="592"/>
        <v>0</v>
      </c>
    </row>
    <row r="2545" spans="1:19">
      <c r="A2545" s="14" t="str">
        <f t="shared" si="588"/>
        <v>CFG-4</v>
      </c>
      <c r="B2545" s="15">
        <f>'Curvas SRY'!$E$11</f>
        <v>5</v>
      </c>
      <c r="C2545" s="15">
        <f>1</f>
        <v>1</v>
      </c>
      <c r="D2545" s="14" t="str">
        <f t="shared" si="589"/>
        <v>Uso variable</v>
      </c>
      <c r="E2545" s="14">
        <f>22</f>
        <v>22</v>
      </c>
      <c r="F2545" s="21">
        <f>'Hoja 4 - Cálculo'!A46</f>
        <v>30225</v>
      </c>
      <c r="G2545" s="15">
        <f>'Hoja 4 - Cálculo'!H46</f>
        <v>33.46875</v>
      </c>
      <c r="H2545" s="15">
        <f>IF(D2545="Uso único",'Hoja 4 - Cálculo'!I46,IF(D2545="Uso múltiple",AVERAGE('Hoja 4 - Cálculo'!$I$25:$I$384)+AVERAGE('Hoja 4 - Cálculo'!$J$25:$J$384)+AVERAGE('Hoja 4 - Cálculo'!$K$25:$K$384),IF(D2545="Uso prioritario",'Hoja 4 - Cálculo'!I46+'Hoja 4 - Cálculo'!K46,'Hoja 4 - Cálculo'!I46+'Hoja 4 - Cálculo'!J46+'Hoja 4 - Cálculo'!K46)))</f>
        <v>11.5</v>
      </c>
      <c r="I2545" s="15">
        <f t="shared" si="577"/>
        <v>11.5</v>
      </c>
      <c r="J2545" s="15">
        <f t="shared" si="590"/>
        <v>5</v>
      </c>
      <c r="K2545" s="15">
        <f>MIN(J2545+G2545,(J2545+G2545)*'Hoja 4 - Cálculo'!$B$15)</f>
        <v>0.76937500000000003</v>
      </c>
      <c r="L2545" s="15">
        <f t="shared" si="580"/>
        <v>37.699375000000003</v>
      </c>
      <c r="M2545" s="15">
        <f t="shared" si="581"/>
        <v>11.5</v>
      </c>
      <c r="N2545" s="15">
        <f t="shared" si="582"/>
        <v>5</v>
      </c>
      <c r="O2545" s="15">
        <f t="shared" si="583"/>
        <v>21.199375000000003</v>
      </c>
      <c r="P2545" s="15">
        <f t="shared" si="584"/>
        <v>0</v>
      </c>
      <c r="Q2545" s="14" t="str">
        <f>IF(M2545&gt;=I2545*'Hoja 4 - Cálculo'!$B$16,"Satisfactorio","Falla")</f>
        <v>Satisfactorio</v>
      </c>
      <c r="R2545" s="14">
        <f t="shared" si="591"/>
        <v>0</v>
      </c>
      <c r="S2545" s="14">
        <f t="shared" si="592"/>
        <v>0</v>
      </c>
    </row>
    <row r="2546" spans="1:19">
      <c r="A2546" s="14" t="str">
        <f t="shared" si="588"/>
        <v>CFG-4</v>
      </c>
      <c r="B2546" s="15">
        <f>'Curvas SRY'!$E$11</f>
        <v>5</v>
      </c>
      <c r="C2546" s="15">
        <f>1</f>
        <v>1</v>
      </c>
      <c r="D2546" s="14" t="str">
        <f t="shared" si="589"/>
        <v>Uso variable</v>
      </c>
      <c r="E2546" s="14">
        <f>23</f>
        <v>23</v>
      </c>
      <c r="F2546" s="21">
        <f>'Hoja 4 - Cálculo'!A47</f>
        <v>30256</v>
      </c>
      <c r="G2546" s="15">
        <f>'Hoja 4 - Cálculo'!H47</f>
        <v>27.578250000000001</v>
      </c>
      <c r="H2546" s="15">
        <f>IF(D2546="Uso único",'Hoja 4 - Cálculo'!I47,IF(D2546="Uso múltiple",AVERAGE('Hoja 4 - Cálculo'!$I$25:$I$384)+AVERAGE('Hoja 4 - Cálculo'!$J$25:$J$384)+AVERAGE('Hoja 4 - Cálculo'!$K$25:$K$384),IF(D2546="Uso prioritario",'Hoja 4 - Cálculo'!I47+'Hoja 4 - Cálculo'!K47,'Hoja 4 - Cálculo'!I47+'Hoja 4 - Cálculo'!J47+'Hoja 4 - Cálculo'!K47)))</f>
        <v>11.5</v>
      </c>
      <c r="I2546" s="15">
        <f t="shared" si="577"/>
        <v>11.5</v>
      </c>
      <c r="J2546" s="15">
        <f t="shared" si="590"/>
        <v>5</v>
      </c>
      <c r="K2546" s="15">
        <f>MIN(J2546+G2546,(J2546+G2546)*'Hoja 4 - Cálculo'!$B$15)</f>
        <v>0.65156499999999995</v>
      </c>
      <c r="L2546" s="15">
        <f t="shared" si="580"/>
        <v>31.926684999999996</v>
      </c>
      <c r="M2546" s="15">
        <f t="shared" si="581"/>
        <v>11.5</v>
      </c>
      <c r="N2546" s="15">
        <f t="shared" si="582"/>
        <v>5</v>
      </c>
      <c r="O2546" s="15">
        <f t="shared" si="583"/>
        <v>15.426684999999996</v>
      </c>
      <c r="P2546" s="15">
        <f t="shared" si="584"/>
        <v>0</v>
      </c>
      <c r="Q2546" s="14" t="str">
        <f>IF(M2546&gt;=I2546*'Hoja 4 - Cálculo'!$B$16,"Satisfactorio","Falla")</f>
        <v>Satisfactorio</v>
      </c>
      <c r="R2546" s="14">
        <f t="shared" si="591"/>
        <v>0</v>
      </c>
      <c r="S2546" s="14">
        <f t="shared" si="592"/>
        <v>0</v>
      </c>
    </row>
    <row r="2547" spans="1:19">
      <c r="A2547" s="14" t="str">
        <f t="shared" si="588"/>
        <v>CFG-4</v>
      </c>
      <c r="B2547" s="15">
        <f>'Curvas SRY'!$E$11</f>
        <v>5</v>
      </c>
      <c r="C2547" s="15">
        <f>1</f>
        <v>1</v>
      </c>
      <c r="D2547" s="14" t="str">
        <f t="shared" si="589"/>
        <v>Uso variable</v>
      </c>
      <c r="E2547" s="14">
        <f>24</f>
        <v>24</v>
      </c>
      <c r="F2547" s="21">
        <f>'Hoja 4 - Cálculo'!A48</f>
        <v>30286</v>
      </c>
      <c r="G2547" s="15">
        <f>'Hoja 4 - Cálculo'!H48</f>
        <v>16.256250000000001</v>
      </c>
      <c r="H2547" s="15">
        <f>IF(D2547="Uso único",'Hoja 4 - Cálculo'!I48,IF(D2547="Uso múltiple",AVERAGE('Hoja 4 - Cálculo'!$I$25:$I$384)+AVERAGE('Hoja 4 - Cálculo'!$J$25:$J$384)+AVERAGE('Hoja 4 - Cálculo'!$K$25:$K$384),IF(D2547="Uso prioritario",'Hoja 4 - Cálculo'!I48+'Hoja 4 - Cálculo'!K48,'Hoja 4 - Cálculo'!I48+'Hoja 4 - Cálculo'!J48+'Hoja 4 - Cálculo'!K48)))</f>
        <v>16</v>
      </c>
      <c r="I2547" s="15">
        <f t="shared" si="577"/>
        <v>16</v>
      </c>
      <c r="J2547" s="15">
        <f t="shared" si="590"/>
        <v>5</v>
      </c>
      <c r="K2547" s="15">
        <f>MIN(J2547+G2547,(J2547+G2547)*'Hoja 4 - Cálculo'!$B$15)</f>
        <v>0.42512500000000003</v>
      </c>
      <c r="L2547" s="15">
        <f t="shared" si="580"/>
        <v>20.831125</v>
      </c>
      <c r="M2547" s="15">
        <f t="shared" si="581"/>
        <v>16</v>
      </c>
      <c r="N2547" s="15">
        <f t="shared" si="582"/>
        <v>4.8311250000000001</v>
      </c>
      <c r="O2547" s="15">
        <f t="shared" si="583"/>
        <v>0</v>
      </c>
      <c r="P2547" s="15">
        <f t="shared" si="584"/>
        <v>0</v>
      </c>
      <c r="Q2547" s="14" t="str">
        <f>IF(M2547&gt;=I2547*'Hoja 4 - Cálculo'!$B$16,"Satisfactorio","Falla")</f>
        <v>Satisfactorio</v>
      </c>
      <c r="R2547" s="14">
        <f t="shared" si="591"/>
        <v>0</v>
      </c>
      <c r="S2547" s="14">
        <f t="shared" si="592"/>
        <v>0</v>
      </c>
    </row>
    <row r="2548" spans="1:19">
      <c r="A2548" s="14" t="str">
        <f t="shared" si="588"/>
        <v>CFG-4</v>
      </c>
      <c r="B2548" s="15">
        <f>'Curvas SRY'!$E$11</f>
        <v>5</v>
      </c>
      <c r="C2548" s="15">
        <f>1</f>
        <v>1</v>
      </c>
      <c r="D2548" s="14" t="str">
        <f t="shared" si="589"/>
        <v>Uso variable</v>
      </c>
      <c r="E2548" s="14">
        <f>25</f>
        <v>25</v>
      </c>
      <c r="F2548" s="21">
        <f>'Hoja 4 - Cálculo'!A49</f>
        <v>30317</v>
      </c>
      <c r="G2548" s="15">
        <f>'Hoja 4 - Cálculo'!H49</f>
        <v>12.775499999999999</v>
      </c>
      <c r="H2548" s="15">
        <f>IF(D2548="Uso único",'Hoja 4 - Cálculo'!I49,IF(D2548="Uso múltiple",AVERAGE('Hoja 4 - Cálculo'!$I$25:$I$384)+AVERAGE('Hoja 4 - Cálculo'!$J$25:$J$384)+AVERAGE('Hoja 4 - Cálculo'!$K$25:$K$384),IF(D2548="Uso prioritario",'Hoja 4 - Cálculo'!I49+'Hoja 4 - Cálculo'!K49,'Hoja 4 - Cálculo'!I49+'Hoja 4 - Cálculo'!J49+'Hoja 4 - Cálculo'!K49)))</f>
        <v>16</v>
      </c>
      <c r="I2548" s="15">
        <f t="shared" ref="I2548:I2611" si="593">H2548</f>
        <v>16</v>
      </c>
      <c r="J2548" s="15">
        <f t="shared" si="590"/>
        <v>4.8311250000000001</v>
      </c>
      <c r="K2548" s="15">
        <f>MIN(J2548+G2548,(J2548+G2548)*'Hoja 4 - Cálculo'!$B$15)</f>
        <v>0.35213250000000001</v>
      </c>
      <c r="L2548" s="15">
        <f t="shared" si="580"/>
        <v>17.254492500000001</v>
      </c>
      <c r="M2548" s="15">
        <f t="shared" si="581"/>
        <v>16</v>
      </c>
      <c r="N2548" s="15">
        <f t="shared" si="582"/>
        <v>1.2544925000000013</v>
      </c>
      <c r="O2548" s="15">
        <f t="shared" si="583"/>
        <v>0</v>
      </c>
      <c r="P2548" s="15">
        <f t="shared" si="584"/>
        <v>0</v>
      </c>
      <c r="Q2548" s="14" t="str">
        <f>IF(M2548&gt;=I2548*'Hoja 4 - Cálculo'!$B$16,"Satisfactorio","Falla")</f>
        <v>Satisfactorio</v>
      </c>
      <c r="R2548" s="14">
        <f t="shared" si="591"/>
        <v>0</v>
      </c>
      <c r="S2548" s="14">
        <f t="shared" si="592"/>
        <v>0</v>
      </c>
    </row>
    <row r="2549" spans="1:19">
      <c r="A2549" s="14" t="str">
        <f t="shared" si="588"/>
        <v>CFG-4</v>
      </c>
      <c r="B2549" s="15">
        <f>'Curvas SRY'!$E$11</f>
        <v>5</v>
      </c>
      <c r="C2549" s="15">
        <f>1</f>
        <v>1</v>
      </c>
      <c r="D2549" s="14" t="str">
        <f t="shared" si="589"/>
        <v>Uso variable</v>
      </c>
      <c r="E2549" s="14">
        <f>26</f>
        <v>26</v>
      </c>
      <c r="F2549" s="21">
        <f>'Hoja 4 - Cálculo'!A50</f>
        <v>30348</v>
      </c>
      <c r="G2549" s="15">
        <f>'Hoja 4 - Cálculo'!H50</f>
        <v>14.49675</v>
      </c>
      <c r="H2549" s="15">
        <f>IF(D2549="Uso único",'Hoja 4 - Cálculo'!I50,IF(D2549="Uso múltiple",AVERAGE('Hoja 4 - Cálculo'!$I$25:$I$384)+AVERAGE('Hoja 4 - Cálculo'!$J$25:$J$384)+AVERAGE('Hoja 4 - Cálculo'!$K$25:$K$384),IF(D2549="Uso prioritario",'Hoja 4 - Cálculo'!I50+'Hoja 4 - Cálculo'!K50,'Hoja 4 - Cálculo'!I50+'Hoja 4 - Cálculo'!J50+'Hoja 4 - Cálculo'!K50)))</f>
        <v>16</v>
      </c>
      <c r="I2549" s="15">
        <f t="shared" si="593"/>
        <v>16</v>
      </c>
      <c r="J2549" s="15">
        <f t="shared" si="590"/>
        <v>1.2544925000000013</v>
      </c>
      <c r="K2549" s="15">
        <f>MIN(J2549+G2549,(J2549+G2549)*'Hoja 4 - Cálculo'!$B$15)</f>
        <v>0.31502485000000002</v>
      </c>
      <c r="L2549" s="15">
        <f t="shared" si="580"/>
        <v>15.436217650000001</v>
      </c>
      <c r="M2549" s="15">
        <f t="shared" si="581"/>
        <v>15.436217650000001</v>
      </c>
      <c r="N2549" s="15">
        <f t="shared" si="582"/>
        <v>0</v>
      </c>
      <c r="O2549" s="15">
        <f t="shared" si="583"/>
        <v>0</v>
      </c>
      <c r="P2549" s="15">
        <f t="shared" si="584"/>
        <v>0.56378234999999854</v>
      </c>
      <c r="Q2549" s="14" t="str">
        <f>IF(M2549&gt;=I2549*'Hoja 4 - Cálculo'!$B$16,"Satisfactorio","Falla")</f>
        <v>Falla</v>
      </c>
      <c r="R2549" s="14">
        <f t="shared" si="591"/>
        <v>0</v>
      </c>
      <c r="S2549" s="14">
        <f t="shared" si="592"/>
        <v>1</v>
      </c>
    </row>
    <row r="2550" spans="1:19">
      <c r="A2550" s="14" t="str">
        <f t="shared" si="588"/>
        <v>CFG-4</v>
      </c>
      <c r="B2550" s="15">
        <f>'Curvas SRY'!$E$11</f>
        <v>5</v>
      </c>
      <c r="C2550" s="15">
        <f>1</f>
        <v>1</v>
      </c>
      <c r="D2550" s="14" t="str">
        <f t="shared" si="589"/>
        <v>Uso variable</v>
      </c>
      <c r="E2550" s="14">
        <f>27</f>
        <v>27</v>
      </c>
      <c r="F2550" s="21">
        <f>'Hoja 4 - Cálculo'!A51</f>
        <v>30376</v>
      </c>
      <c r="G2550" s="15">
        <f>'Hoja 4 - Cálculo'!H51</f>
        <v>21.936375000000002</v>
      </c>
      <c r="H2550" s="15">
        <f>IF(D2550="Uso único",'Hoja 4 - Cálculo'!I51,IF(D2550="Uso múltiple",AVERAGE('Hoja 4 - Cálculo'!$I$25:$I$384)+AVERAGE('Hoja 4 - Cálculo'!$J$25:$J$384)+AVERAGE('Hoja 4 - Cálculo'!$K$25:$K$384),IF(D2550="Uso prioritario",'Hoja 4 - Cálculo'!I51+'Hoja 4 - Cálculo'!K51,'Hoja 4 - Cálculo'!I51+'Hoja 4 - Cálculo'!J51+'Hoja 4 - Cálculo'!K51)))</f>
        <v>16</v>
      </c>
      <c r="I2550" s="15">
        <f t="shared" si="593"/>
        <v>16</v>
      </c>
      <c r="J2550" s="15">
        <f t="shared" si="590"/>
        <v>0</v>
      </c>
      <c r="K2550" s="15">
        <f>MIN(J2550+G2550,(J2550+G2550)*'Hoja 4 - Cálculo'!$B$15)</f>
        <v>0.43872750000000005</v>
      </c>
      <c r="L2550" s="15">
        <f t="shared" si="580"/>
        <v>21.497647500000003</v>
      </c>
      <c r="M2550" s="15">
        <f t="shared" si="581"/>
        <v>16</v>
      </c>
      <c r="N2550" s="15">
        <f t="shared" si="582"/>
        <v>5</v>
      </c>
      <c r="O2550" s="15">
        <f t="shared" si="583"/>
        <v>0.49764750000000291</v>
      </c>
      <c r="P2550" s="15">
        <f t="shared" si="584"/>
        <v>0</v>
      </c>
      <c r="Q2550" s="14" t="str">
        <f>IF(M2550&gt;=I2550*'Hoja 4 - Cálculo'!$B$16,"Satisfactorio","Falla")</f>
        <v>Satisfactorio</v>
      </c>
      <c r="R2550" s="14">
        <f t="shared" si="591"/>
        <v>1</v>
      </c>
      <c r="S2550" s="14">
        <f t="shared" si="592"/>
        <v>0</v>
      </c>
    </row>
    <row r="2551" spans="1:19">
      <c r="A2551" s="14" t="str">
        <f t="shared" si="588"/>
        <v>CFG-4</v>
      </c>
      <c r="B2551" s="15">
        <f>'Curvas SRY'!$E$11</f>
        <v>5</v>
      </c>
      <c r="C2551" s="15">
        <f>1</f>
        <v>1</v>
      </c>
      <c r="D2551" s="14" t="str">
        <f t="shared" si="589"/>
        <v>Uso variable</v>
      </c>
      <c r="E2551" s="14">
        <f>28</f>
        <v>28</v>
      </c>
      <c r="F2551" s="21">
        <f>'Hoja 4 - Cálculo'!A52</f>
        <v>30407</v>
      </c>
      <c r="G2551" s="15">
        <f>'Hoja 4 - Cálculo'!H52</f>
        <v>32.263874999999999</v>
      </c>
      <c r="H2551" s="15">
        <f>IF(D2551="Uso único",'Hoja 4 - Cálculo'!I52,IF(D2551="Uso múltiple",AVERAGE('Hoja 4 - Cálculo'!$I$25:$I$384)+AVERAGE('Hoja 4 - Cálculo'!$J$25:$J$384)+AVERAGE('Hoja 4 - Cálculo'!$K$25:$K$384),IF(D2551="Uso prioritario",'Hoja 4 - Cálculo'!I52+'Hoja 4 - Cálculo'!K52,'Hoja 4 - Cálculo'!I52+'Hoja 4 - Cálculo'!J52+'Hoja 4 - Cálculo'!K52)))</f>
        <v>11.5</v>
      </c>
      <c r="I2551" s="15">
        <f t="shared" si="593"/>
        <v>11.5</v>
      </c>
      <c r="J2551" s="15">
        <f t="shared" si="590"/>
        <v>5</v>
      </c>
      <c r="K2551" s="15">
        <f>MIN(J2551+G2551,(J2551+G2551)*'Hoja 4 - Cálculo'!$B$15)</f>
        <v>0.74527750000000004</v>
      </c>
      <c r="L2551" s="15">
        <f t="shared" si="580"/>
        <v>36.518597499999998</v>
      </c>
      <c r="M2551" s="15">
        <f t="shared" si="581"/>
        <v>11.5</v>
      </c>
      <c r="N2551" s="15">
        <f t="shared" si="582"/>
        <v>5</v>
      </c>
      <c r="O2551" s="15">
        <f t="shared" si="583"/>
        <v>20.018597499999998</v>
      </c>
      <c r="P2551" s="15">
        <f t="shared" si="584"/>
        <v>0</v>
      </c>
      <c r="Q2551" s="14" t="str">
        <f>IF(M2551&gt;=I2551*'Hoja 4 - Cálculo'!$B$16,"Satisfactorio","Falla")</f>
        <v>Satisfactorio</v>
      </c>
      <c r="R2551" s="14">
        <f t="shared" si="591"/>
        <v>0</v>
      </c>
      <c r="S2551" s="14">
        <f t="shared" si="592"/>
        <v>0</v>
      </c>
    </row>
    <row r="2552" spans="1:19">
      <c r="A2552" s="14" t="str">
        <f t="shared" si="588"/>
        <v>CFG-4</v>
      </c>
      <c r="B2552" s="15">
        <f>'Curvas SRY'!$E$11</f>
        <v>5</v>
      </c>
      <c r="C2552" s="15">
        <f>1</f>
        <v>1</v>
      </c>
      <c r="D2552" s="14" t="str">
        <f t="shared" si="589"/>
        <v>Uso variable</v>
      </c>
      <c r="E2552" s="14">
        <f>29</f>
        <v>29</v>
      </c>
      <c r="F2552" s="21">
        <f>'Hoja 4 - Cálculo'!A53</f>
        <v>30437</v>
      </c>
      <c r="G2552" s="15">
        <f>'Hoja 4 - Cálculo'!H53</f>
        <v>29.356874999999999</v>
      </c>
      <c r="H2552" s="15">
        <f>IF(D2552="Uso único",'Hoja 4 - Cálculo'!I53,IF(D2552="Uso múltiple",AVERAGE('Hoja 4 - Cálculo'!$I$25:$I$384)+AVERAGE('Hoja 4 - Cálculo'!$J$25:$J$384)+AVERAGE('Hoja 4 - Cálculo'!$K$25:$K$384),IF(D2552="Uso prioritario",'Hoja 4 - Cálculo'!I53+'Hoja 4 - Cálculo'!K53,'Hoja 4 - Cálculo'!I53+'Hoja 4 - Cálculo'!J53+'Hoja 4 - Cálculo'!K53)))</f>
        <v>11.5</v>
      </c>
      <c r="I2552" s="15">
        <f t="shared" si="593"/>
        <v>11.5</v>
      </c>
      <c r="J2552" s="15">
        <f t="shared" si="590"/>
        <v>5</v>
      </c>
      <c r="K2552" s="15">
        <f>MIN(J2552+G2552,(J2552+G2552)*'Hoja 4 - Cálculo'!$B$15)</f>
        <v>0.68713750000000007</v>
      </c>
      <c r="L2552" s="15">
        <f t="shared" si="580"/>
        <v>33.669737500000004</v>
      </c>
      <c r="M2552" s="15">
        <f t="shared" si="581"/>
        <v>11.5</v>
      </c>
      <c r="N2552" s="15">
        <f t="shared" si="582"/>
        <v>5</v>
      </c>
      <c r="O2552" s="15">
        <f t="shared" si="583"/>
        <v>17.169737500000004</v>
      </c>
      <c r="P2552" s="15">
        <f t="shared" si="584"/>
        <v>0</v>
      </c>
      <c r="Q2552" s="14" t="str">
        <f>IF(M2552&gt;=I2552*'Hoja 4 - Cálculo'!$B$16,"Satisfactorio","Falla")</f>
        <v>Satisfactorio</v>
      </c>
      <c r="R2552" s="14">
        <f t="shared" si="591"/>
        <v>0</v>
      </c>
      <c r="S2552" s="14">
        <f t="shared" si="592"/>
        <v>0</v>
      </c>
    </row>
    <row r="2553" spans="1:19">
      <c r="A2553" s="14" t="str">
        <f t="shared" si="588"/>
        <v>CFG-4</v>
      </c>
      <c r="B2553" s="15">
        <f>'Curvas SRY'!$E$11</f>
        <v>5</v>
      </c>
      <c r="C2553" s="15">
        <f>1</f>
        <v>1</v>
      </c>
      <c r="D2553" s="14" t="str">
        <f t="shared" si="589"/>
        <v>Uso variable</v>
      </c>
      <c r="E2553" s="14">
        <f>30</f>
        <v>30</v>
      </c>
      <c r="F2553" s="21">
        <f>'Hoja 4 - Cálculo'!A54</f>
        <v>30468</v>
      </c>
      <c r="G2553" s="15">
        <f>'Hoja 4 - Cálculo'!H54</f>
        <v>17.212499999999999</v>
      </c>
      <c r="H2553" s="15">
        <f>IF(D2553="Uso único",'Hoja 4 - Cálculo'!I54,IF(D2553="Uso múltiple",AVERAGE('Hoja 4 - Cálculo'!$I$25:$I$384)+AVERAGE('Hoja 4 - Cálculo'!$J$25:$J$384)+AVERAGE('Hoja 4 - Cálculo'!$K$25:$K$384),IF(D2553="Uso prioritario",'Hoja 4 - Cálculo'!I54+'Hoja 4 - Cálculo'!K54,'Hoja 4 - Cálculo'!I54+'Hoja 4 - Cálculo'!J54+'Hoja 4 - Cálculo'!K54)))</f>
        <v>11.5</v>
      </c>
      <c r="I2553" s="15">
        <f t="shared" si="593"/>
        <v>11.5</v>
      </c>
      <c r="J2553" s="15">
        <f t="shared" si="590"/>
        <v>5</v>
      </c>
      <c r="K2553" s="15">
        <f>MIN(J2553+G2553,(J2553+G2553)*'Hoja 4 - Cálculo'!$B$15)</f>
        <v>0.44424999999999998</v>
      </c>
      <c r="L2553" s="15">
        <f t="shared" si="580"/>
        <v>21.768249999999998</v>
      </c>
      <c r="M2553" s="15">
        <f t="shared" si="581"/>
        <v>11.5</v>
      </c>
      <c r="N2553" s="15">
        <f t="shared" si="582"/>
        <v>5</v>
      </c>
      <c r="O2553" s="15">
        <f t="shared" si="583"/>
        <v>5.2682499999999983</v>
      </c>
      <c r="P2553" s="15">
        <f t="shared" si="584"/>
        <v>0</v>
      </c>
      <c r="Q2553" s="14" t="str">
        <f>IF(M2553&gt;=I2553*'Hoja 4 - Cálculo'!$B$16,"Satisfactorio","Falla")</f>
        <v>Satisfactorio</v>
      </c>
      <c r="R2553" s="14">
        <f t="shared" si="591"/>
        <v>0</v>
      </c>
      <c r="S2553" s="14">
        <f t="shared" si="592"/>
        <v>0</v>
      </c>
    </row>
    <row r="2554" spans="1:19">
      <c r="A2554" s="14" t="str">
        <f t="shared" si="588"/>
        <v>CFG-4</v>
      </c>
      <c r="B2554" s="15">
        <f>'Curvas SRY'!$E$11</f>
        <v>5</v>
      </c>
      <c r="C2554" s="15">
        <f>1</f>
        <v>1</v>
      </c>
      <c r="D2554" s="14" t="str">
        <f t="shared" si="589"/>
        <v>Uso variable</v>
      </c>
      <c r="E2554" s="14">
        <f>31</f>
        <v>31</v>
      </c>
      <c r="F2554" s="21">
        <f>'Hoja 4 - Cálculo'!A55</f>
        <v>30498</v>
      </c>
      <c r="G2554" s="15">
        <f>'Hoja 4 - Cálculo'!H55</f>
        <v>13.597875</v>
      </c>
      <c r="H2554" s="15">
        <f>IF(D2554="Uso único",'Hoja 4 - Cálculo'!I55,IF(D2554="Uso múltiple",AVERAGE('Hoja 4 - Cálculo'!$I$25:$I$384)+AVERAGE('Hoja 4 - Cálculo'!$J$25:$J$384)+AVERAGE('Hoja 4 - Cálculo'!$K$25:$K$384),IF(D2554="Uso prioritario",'Hoja 4 - Cálculo'!I55+'Hoja 4 - Cálculo'!K55,'Hoja 4 - Cálculo'!I55+'Hoja 4 - Cálculo'!J55+'Hoja 4 - Cálculo'!K55)))</f>
        <v>16</v>
      </c>
      <c r="I2554" s="15">
        <f t="shared" si="593"/>
        <v>16</v>
      </c>
      <c r="J2554" s="15">
        <f t="shared" si="590"/>
        <v>5</v>
      </c>
      <c r="K2554" s="15">
        <f>MIN(J2554+G2554,(J2554+G2554)*'Hoja 4 - Cálculo'!$B$15)</f>
        <v>0.37195750000000005</v>
      </c>
      <c r="L2554" s="15">
        <f t="shared" si="580"/>
        <v>18.225917500000001</v>
      </c>
      <c r="M2554" s="15">
        <f t="shared" si="581"/>
        <v>16</v>
      </c>
      <c r="N2554" s="15">
        <f t="shared" si="582"/>
        <v>2.2259175000000013</v>
      </c>
      <c r="O2554" s="15">
        <f t="shared" si="583"/>
        <v>0</v>
      </c>
      <c r="P2554" s="15">
        <f t="shared" si="584"/>
        <v>0</v>
      </c>
      <c r="Q2554" s="14" t="str">
        <f>IF(M2554&gt;=I2554*'Hoja 4 - Cálculo'!$B$16,"Satisfactorio","Falla")</f>
        <v>Satisfactorio</v>
      </c>
      <c r="R2554" s="14">
        <f t="shared" si="591"/>
        <v>0</v>
      </c>
      <c r="S2554" s="14">
        <f t="shared" si="592"/>
        <v>0</v>
      </c>
    </row>
    <row r="2555" spans="1:19">
      <c r="A2555" s="14" t="str">
        <f t="shared" si="588"/>
        <v>CFG-4</v>
      </c>
      <c r="B2555" s="15">
        <f>'Curvas SRY'!$E$11</f>
        <v>5</v>
      </c>
      <c r="C2555" s="15">
        <f>1</f>
        <v>1</v>
      </c>
      <c r="D2555" s="14" t="str">
        <f t="shared" si="589"/>
        <v>Uso variable</v>
      </c>
      <c r="E2555" s="14">
        <f>32</f>
        <v>32</v>
      </c>
      <c r="F2555" s="21">
        <f>'Hoja 4 - Cálculo'!A56</f>
        <v>30529</v>
      </c>
      <c r="G2555" s="15">
        <f>'Hoja 4 - Cálculo'!H56</f>
        <v>14.592375000000001</v>
      </c>
      <c r="H2555" s="15">
        <f>IF(D2555="Uso único",'Hoja 4 - Cálculo'!I56,IF(D2555="Uso múltiple",AVERAGE('Hoja 4 - Cálculo'!$I$25:$I$384)+AVERAGE('Hoja 4 - Cálculo'!$J$25:$J$384)+AVERAGE('Hoja 4 - Cálculo'!$K$25:$K$384),IF(D2555="Uso prioritario",'Hoja 4 - Cálculo'!I56+'Hoja 4 - Cálculo'!K56,'Hoja 4 - Cálculo'!I56+'Hoja 4 - Cálculo'!J56+'Hoja 4 - Cálculo'!K56)))</f>
        <v>16</v>
      </c>
      <c r="I2555" s="15">
        <f t="shared" si="593"/>
        <v>16</v>
      </c>
      <c r="J2555" s="15">
        <f t="shared" si="590"/>
        <v>2.2259175000000013</v>
      </c>
      <c r="K2555" s="15">
        <f>MIN(J2555+G2555,(J2555+G2555)*'Hoja 4 - Cálculo'!$B$15)</f>
        <v>0.33636585000000002</v>
      </c>
      <c r="L2555" s="15">
        <f t="shared" si="580"/>
        <v>16.481926650000002</v>
      </c>
      <c r="M2555" s="15">
        <f t="shared" si="581"/>
        <v>16</v>
      </c>
      <c r="N2555" s="15">
        <f t="shared" si="582"/>
        <v>0.4819266500000019</v>
      </c>
      <c r="O2555" s="15">
        <f t="shared" si="583"/>
        <v>0</v>
      </c>
      <c r="P2555" s="15">
        <f t="shared" si="584"/>
        <v>0</v>
      </c>
      <c r="Q2555" s="14" t="str">
        <f>IF(M2555&gt;=I2555*'Hoja 4 - Cálculo'!$B$16,"Satisfactorio","Falla")</f>
        <v>Satisfactorio</v>
      </c>
      <c r="R2555" s="14">
        <f t="shared" si="591"/>
        <v>0</v>
      </c>
      <c r="S2555" s="14">
        <f t="shared" si="592"/>
        <v>0</v>
      </c>
    </row>
    <row r="2556" spans="1:19">
      <c r="A2556" s="14" t="str">
        <f t="shared" ref="A2556:A2587" si="594">"CFG-4"</f>
        <v>CFG-4</v>
      </c>
      <c r="B2556" s="15">
        <f>'Curvas SRY'!$E$11</f>
        <v>5</v>
      </c>
      <c r="C2556" s="15">
        <f>1</f>
        <v>1</v>
      </c>
      <c r="D2556" s="14" t="str">
        <f t="shared" ref="D2556:D2587" si="595">"Uso variable"</f>
        <v>Uso variable</v>
      </c>
      <c r="E2556" s="14">
        <f>33</f>
        <v>33</v>
      </c>
      <c r="F2556" s="21">
        <f>'Hoja 4 - Cálculo'!A57</f>
        <v>30560</v>
      </c>
      <c r="G2556" s="15">
        <f>'Hoja 4 - Cálculo'!H57</f>
        <v>24.307874999999999</v>
      </c>
      <c r="H2556" s="15">
        <f>IF(D2556="Uso único",'Hoja 4 - Cálculo'!I57,IF(D2556="Uso múltiple",AVERAGE('Hoja 4 - Cálculo'!$I$25:$I$384)+AVERAGE('Hoja 4 - Cálculo'!$J$25:$J$384)+AVERAGE('Hoja 4 - Cálculo'!$K$25:$K$384),IF(D2556="Uso prioritario",'Hoja 4 - Cálculo'!I57+'Hoja 4 - Cálculo'!K57,'Hoja 4 - Cálculo'!I57+'Hoja 4 - Cálculo'!J57+'Hoja 4 - Cálculo'!K57)))</f>
        <v>11.5</v>
      </c>
      <c r="I2556" s="15">
        <f t="shared" si="593"/>
        <v>11.5</v>
      </c>
      <c r="J2556" s="15">
        <f t="shared" si="590"/>
        <v>0.4819266500000019</v>
      </c>
      <c r="K2556" s="15">
        <f>MIN(J2556+G2556,(J2556+G2556)*'Hoja 4 - Cálculo'!$B$15)</f>
        <v>0.49579603300000002</v>
      </c>
      <c r="L2556" s="15">
        <f t="shared" si="580"/>
        <v>24.294005617</v>
      </c>
      <c r="M2556" s="15">
        <f t="shared" si="581"/>
        <v>11.5</v>
      </c>
      <c r="N2556" s="15">
        <f t="shared" si="582"/>
        <v>5</v>
      </c>
      <c r="O2556" s="15">
        <f t="shared" si="583"/>
        <v>7.7940056169999998</v>
      </c>
      <c r="P2556" s="15">
        <f t="shared" si="584"/>
        <v>0</v>
      </c>
      <c r="Q2556" s="14" t="str">
        <f>IF(M2556&gt;=I2556*'Hoja 4 - Cálculo'!$B$16,"Satisfactorio","Falla")</f>
        <v>Satisfactorio</v>
      </c>
      <c r="R2556" s="14">
        <f t="shared" si="591"/>
        <v>0</v>
      </c>
      <c r="S2556" s="14">
        <f t="shared" si="592"/>
        <v>0</v>
      </c>
    </row>
    <row r="2557" spans="1:19">
      <c r="A2557" s="14" t="str">
        <f t="shared" si="594"/>
        <v>CFG-4</v>
      </c>
      <c r="B2557" s="15">
        <f>'Curvas SRY'!$E$11</f>
        <v>5</v>
      </c>
      <c r="C2557" s="15">
        <f>1</f>
        <v>1</v>
      </c>
      <c r="D2557" s="14" t="str">
        <f t="shared" si="595"/>
        <v>Uso variable</v>
      </c>
      <c r="E2557" s="14">
        <f>34</f>
        <v>34</v>
      </c>
      <c r="F2557" s="21">
        <f>'Hoja 4 - Cálculo'!A58</f>
        <v>30590</v>
      </c>
      <c r="G2557" s="15">
        <f>'Hoja 4 - Cálculo'!H58</f>
        <v>33.564374999999998</v>
      </c>
      <c r="H2557" s="15">
        <f>IF(D2557="Uso único",'Hoja 4 - Cálculo'!I58,IF(D2557="Uso múltiple",AVERAGE('Hoja 4 - Cálculo'!$I$25:$I$384)+AVERAGE('Hoja 4 - Cálculo'!$J$25:$J$384)+AVERAGE('Hoja 4 - Cálculo'!$K$25:$K$384),IF(D2557="Uso prioritario",'Hoja 4 - Cálculo'!I58+'Hoja 4 - Cálculo'!K58,'Hoja 4 - Cálculo'!I58+'Hoja 4 - Cálculo'!J58+'Hoja 4 - Cálculo'!K58)))</f>
        <v>11.5</v>
      </c>
      <c r="I2557" s="15">
        <f t="shared" si="593"/>
        <v>11.5</v>
      </c>
      <c r="J2557" s="15">
        <f t="shared" ref="J2557:J2588" si="596">N2556</f>
        <v>5</v>
      </c>
      <c r="K2557" s="15">
        <f>MIN(J2557+G2557,(J2557+G2557)*'Hoja 4 - Cálculo'!$B$15)</f>
        <v>0.77128750000000001</v>
      </c>
      <c r="L2557" s="15">
        <f t="shared" si="580"/>
        <v>37.793087499999999</v>
      </c>
      <c r="M2557" s="15">
        <f t="shared" si="581"/>
        <v>11.5</v>
      </c>
      <c r="N2557" s="15">
        <f t="shared" si="582"/>
        <v>5</v>
      </c>
      <c r="O2557" s="15">
        <f t="shared" si="583"/>
        <v>21.293087499999999</v>
      </c>
      <c r="P2557" s="15">
        <f t="shared" si="584"/>
        <v>0</v>
      </c>
      <c r="Q2557" s="14" t="str">
        <f>IF(M2557&gt;=I2557*'Hoja 4 - Cálculo'!$B$16,"Satisfactorio","Falla")</f>
        <v>Satisfactorio</v>
      </c>
      <c r="R2557" s="14">
        <f t="shared" ref="R2557:R2588" si="597">IF(AND(Q2556="Falla",Q2557="Satisfactorio"),1,0)</f>
        <v>0</v>
      </c>
      <c r="S2557" s="14">
        <f t="shared" ref="S2557:S2588" si="598">IF(AND(Q2557="Falla",Q2556&lt;&gt;"Falla"),1,0)</f>
        <v>0</v>
      </c>
    </row>
    <row r="2558" spans="1:19">
      <c r="A2558" s="14" t="str">
        <f t="shared" si="594"/>
        <v>CFG-4</v>
      </c>
      <c r="B2558" s="15">
        <f>'Curvas SRY'!$E$11</f>
        <v>5</v>
      </c>
      <c r="C2558" s="15">
        <f>1</f>
        <v>1</v>
      </c>
      <c r="D2558" s="14" t="str">
        <f t="shared" si="595"/>
        <v>Uso variable</v>
      </c>
      <c r="E2558" s="14">
        <f>35</f>
        <v>35</v>
      </c>
      <c r="F2558" s="21">
        <f>'Hoja 4 - Cálculo'!A59</f>
        <v>30621</v>
      </c>
      <c r="G2558" s="15">
        <f>'Hoja 4 - Cálculo'!H59</f>
        <v>28.075500000000002</v>
      </c>
      <c r="H2558" s="15">
        <f>IF(D2558="Uso único",'Hoja 4 - Cálculo'!I59,IF(D2558="Uso múltiple",AVERAGE('Hoja 4 - Cálculo'!$I$25:$I$384)+AVERAGE('Hoja 4 - Cálculo'!$J$25:$J$384)+AVERAGE('Hoja 4 - Cálculo'!$K$25:$K$384),IF(D2558="Uso prioritario",'Hoja 4 - Cálculo'!I59+'Hoja 4 - Cálculo'!K59,'Hoja 4 - Cálculo'!I59+'Hoja 4 - Cálculo'!J59+'Hoja 4 - Cálculo'!K59)))</f>
        <v>11.5</v>
      </c>
      <c r="I2558" s="15">
        <f t="shared" si="593"/>
        <v>11.5</v>
      </c>
      <c r="J2558" s="15">
        <f t="shared" si="596"/>
        <v>5</v>
      </c>
      <c r="K2558" s="15">
        <f>MIN(J2558+G2558,(J2558+G2558)*'Hoja 4 - Cálculo'!$B$15)</f>
        <v>0.66151000000000015</v>
      </c>
      <c r="L2558" s="15">
        <f t="shared" si="580"/>
        <v>32.413990000000005</v>
      </c>
      <c r="M2558" s="15">
        <f t="shared" si="581"/>
        <v>11.5</v>
      </c>
      <c r="N2558" s="15">
        <f t="shared" si="582"/>
        <v>5</v>
      </c>
      <c r="O2558" s="15">
        <f t="shared" si="583"/>
        <v>15.913990000000005</v>
      </c>
      <c r="P2558" s="15">
        <f t="shared" si="584"/>
        <v>0</v>
      </c>
      <c r="Q2558" s="14" t="str">
        <f>IF(M2558&gt;=I2558*'Hoja 4 - Cálculo'!$B$16,"Satisfactorio","Falla")</f>
        <v>Satisfactorio</v>
      </c>
      <c r="R2558" s="14">
        <f t="shared" si="597"/>
        <v>0</v>
      </c>
      <c r="S2558" s="14">
        <f t="shared" si="598"/>
        <v>0</v>
      </c>
    </row>
    <row r="2559" spans="1:19">
      <c r="A2559" s="14" t="str">
        <f t="shared" si="594"/>
        <v>CFG-4</v>
      </c>
      <c r="B2559" s="15">
        <f>'Curvas SRY'!$E$11</f>
        <v>5</v>
      </c>
      <c r="C2559" s="15">
        <f>1</f>
        <v>1</v>
      </c>
      <c r="D2559" s="14" t="str">
        <f t="shared" si="595"/>
        <v>Uso variable</v>
      </c>
      <c r="E2559" s="14">
        <f>36</f>
        <v>36</v>
      </c>
      <c r="F2559" s="21">
        <f>'Hoja 4 - Cálculo'!A60</f>
        <v>30651</v>
      </c>
      <c r="G2559" s="15">
        <f>'Hoja 4 - Cálculo'!H60</f>
        <v>15.931125</v>
      </c>
      <c r="H2559" s="15">
        <f>IF(D2559="Uso único",'Hoja 4 - Cálculo'!I60,IF(D2559="Uso múltiple",AVERAGE('Hoja 4 - Cálculo'!$I$25:$I$384)+AVERAGE('Hoja 4 - Cálculo'!$J$25:$J$384)+AVERAGE('Hoja 4 - Cálculo'!$K$25:$K$384),IF(D2559="Uso prioritario",'Hoja 4 - Cálculo'!I60+'Hoja 4 - Cálculo'!K60,'Hoja 4 - Cálculo'!I60+'Hoja 4 - Cálculo'!J60+'Hoja 4 - Cálculo'!K60)))</f>
        <v>16</v>
      </c>
      <c r="I2559" s="15">
        <f t="shared" si="593"/>
        <v>16</v>
      </c>
      <c r="J2559" s="15">
        <f t="shared" si="596"/>
        <v>5</v>
      </c>
      <c r="K2559" s="15">
        <f>MIN(J2559+G2559,(J2559+G2559)*'Hoja 4 - Cálculo'!$B$15)</f>
        <v>0.41862250000000006</v>
      </c>
      <c r="L2559" s="15">
        <f t="shared" si="580"/>
        <v>20.5125025</v>
      </c>
      <c r="M2559" s="15">
        <f t="shared" si="581"/>
        <v>16</v>
      </c>
      <c r="N2559" s="15">
        <f t="shared" si="582"/>
        <v>4.5125025000000001</v>
      </c>
      <c r="O2559" s="15">
        <f t="shared" si="583"/>
        <v>0</v>
      </c>
      <c r="P2559" s="15">
        <f t="shared" si="584"/>
        <v>0</v>
      </c>
      <c r="Q2559" s="14" t="str">
        <f>IF(M2559&gt;=I2559*'Hoja 4 - Cálculo'!$B$16,"Satisfactorio","Falla")</f>
        <v>Satisfactorio</v>
      </c>
      <c r="R2559" s="14">
        <f t="shared" si="597"/>
        <v>0</v>
      </c>
      <c r="S2559" s="14">
        <f t="shared" si="598"/>
        <v>0</v>
      </c>
    </row>
    <row r="2560" spans="1:19">
      <c r="A2560" s="14" t="str">
        <f t="shared" si="594"/>
        <v>CFG-4</v>
      </c>
      <c r="B2560" s="15">
        <f>'Curvas SRY'!$E$11</f>
        <v>5</v>
      </c>
      <c r="C2560" s="15">
        <f>1</f>
        <v>1</v>
      </c>
      <c r="D2560" s="14" t="str">
        <f t="shared" si="595"/>
        <v>Uso variable</v>
      </c>
      <c r="E2560" s="14">
        <f>37</f>
        <v>37</v>
      </c>
      <c r="F2560" s="21">
        <f>'Hoja 4 - Cálculo'!A61</f>
        <v>30682</v>
      </c>
      <c r="G2560" s="15">
        <f>'Hoja 4 - Cálculo'!H61</f>
        <v>10.920375</v>
      </c>
      <c r="H2560" s="15">
        <f>IF(D2560="Uso único",'Hoja 4 - Cálculo'!I61,IF(D2560="Uso múltiple",AVERAGE('Hoja 4 - Cálculo'!$I$25:$I$384)+AVERAGE('Hoja 4 - Cálculo'!$J$25:$J$384)+AVERAGE('Hoja 4 - Cálculo'!$K$25:$K$384),IF(D2560="Uso prioritario",'Hoja 4 - Cálculo'!I61+'Hoja 4 - Cálculo'!K61,'Hoja 4 - Cálculo'!I61+'Hoja 4 - Cálculo'!J61+'Hoja 4 - Cálculo'!K61)))</f>
        <v>16</v>
      </c>
      <c r="I2560" s="15">
        <f t="shared" si="593"/>
        <v>16</v>
      </c>
      <c r="J2560" s="15">
        <f t="shared" si="596"/>
        <v>4.5125025000000001</v>
      </c>
      <c r="K2560" s="15">
        <f>MIN(J2560+G2560,(J2560+G2560)*'Hoja 4 - Cálculo'!$B$15)</f>
        <v>0.30865755</v>
      </c>
      <c r="L2560" s="15">
        <f t="shared" si="580"/>
        <v>15.124219950000001</v>
      </c>
      <c r="M2560" s="15">
        <f t="shared" si="581"/>
        <v>15.124219950000001</v>
      </c>
      <c r="N2560" s="15">
        <f t="shared" si="582"/>
        <v>0</v>
      </c>
      <c r="O2560" s="15">
        <f t="shared" si="583"/>
        <v>0</v>
      </c>
      <c r="P2560" s="15">
        <f t="shared" si="584"/>
        <v>0.87578004999999948</v>
      </c>
      <c r="Q2560" s="14" t="str">
        <f>IF(M2560&gt;=I2560*'Hoja 4 - Cálculo'!$B$16,"Satisfactorio","Falla")</f>
        <v>Falla</v>
      </c>
      <c r="R2560" s="14">
        <f t="shared" si="597"/>
        <v>0</v>
      </c>
      <c r="S2560" s="14">
        <f t="shared" si="598"/>
        <v>1</v>
      </c>
    </row>
    <row r="2561" spans="1:19">
      <c r="A2561" s="14" t="str">
        <f t="shared" si="594"/>
        <v>CFG-4</v>
      </c>
      <c r="B2561" s="15">
        <f>'Curvas SRY'!$E$11</f>
        <v>5</v>
      </c>
      <c r="C2561" s="15">
        <f>1</f>
        <v>1</v>
      </c>
      <c r="D2561" s="14" t="str">
        <f t="shared" si="595"/>
        <v>Uso variable</v>
      </c>
      <c r="E2561" s="14">
        <f>38</f>
        <v>38</v>
      </c>
      <c r="F2561" s="21">
        <f>'Hoja 4 - Cálculo'!A62</f>
        <v>30713</v>
      </c>
      <c r="G2561" s="15">
        <f>'Hoja 4 - Cálculo'!H62</f>
        <v>13.04325</v>
      </c>
      <c r="H2561" s="15">
        <f>IF(D2561="Uso único",'Hoja 4 - Cálculo'!I62,IF(D2561="Uso múltiple",AVERAGE('Hoja 4 - Cálculo'!$I$25:$I$384)+AVERAGE('Hoja 4 - Cálculo'!$J$25:$J$384)+AVERAGE('Hoja 4 - Cálculo'!$K$25:$K$384),IF(D2561="Uso prioritario",'Hoja 4 - Cálculo'!I62+'Hoja 4 - Cálculo'!K62,'Hoja 4 - Cálculo'!I62+'Hoja 4 - Cálculo'!J62+'Hoja 4 - Cálculo'!K62)))</f>
        <v>16</v>
      </c>
      <c r="I2561" s="15">
        <f t="shared" si="593"/>
        <v>16</v>
      </c>
      <c r="J2561" s="15">
        <f t="shared" si="596"/>
        <v>0</v>
      </c>
      <c r="K2561" s="15">
        <f>MIN(J2561+G2561,(J2561+G2561)*'Hoja 4 - Cálculo'!$B$15)</f>
        <v>0.26086500000000001</v>
      </c>
      <c r="L2561" s="15">
        <f t="shared" si="580"/>
        <v>12.782385</v>
      </c>
      <c r="M2561" s="15">
        <f t="shared" si="581"/>
        <v>12.782385</v>
      </c>
      <c r="N2561" s="15">
        <f t="shared" si="582"/>
        <v>0</v>
      </c>
      <c r="O2561" s="15">
        <f t="shared" si="583"/>
        <v>0</v>
      </c>
      <c r="P2561" s="15">
        <f t="shared" si="584"/>
        <v>3.2176150000000003</v>
      </c>
      <c r="Q2561" s="14" t="str">
        <f>IF(M2561&gt;=I2561*'Hoja 4 - Cálculo'!$B$16,"Satisfactorio","Falla")</f>
        <v>Falla</v>
      </c>
      <c r="R2561" s="14">
        <f t="shared" si="597"/>
        <v>0</v>
      </c>
      <c r="S2561" s="14">
        <f t="shared" si="598"/>
        <v>0</v>
      </c>
    </row>
    <row r="2562" spans="1:19">
      <c r="A2562" s="14" t="str">
        <f t="shared" si="594"/>
        <v>CFG-4</v>
      </c>
      <c r="B2562" s="15">
        <f>'Curvas SRY'!$E$11</f>
        <v>5</v>
      </c>
      <c r="C2562" s="15">
        <f>1</f>
        <v>1</v>
      </c>
      <c r="D2562" s="14" t="str">
        <f t="shared" si="595"/>
        <v>Uso variable</v>
      </c>
      <c r="E2562" s="14">
        <f>39</f>
        <v>39</v>
      </c>
      <c r="F2562" s="21">
        <f>'Hoja 4 - Cálculo'!A63</f>
        <v>30742</v>
      </c>
      <c r="G2562" s="15">
        <f>'Hoja 4 - Cálculo'!H63</f>
        <v>20.272500000000001</v>
      </c>
      <c r="H2562" s="15">
        <f>IF(D2562="Uso único",'Hoja 4 - Cálculo'!I63,IF(D2562="Uso múltiple",AVERAGE('Hoja 4 - Cálculo'!$I$25:$I$384)+AVERAGE('Hoja 4 - Cálculo'!$J$25:$J$384)+AVERAGE('Hoja 4 - Cálculo'!$K$25:$K$384),IF(D2562="Uso prioritario",'Hoja 4 - Cálculo'!I63+'Hoja 4 - Cálculo'!K63,'Hoja 4 - Cálculo'!I63+'Hoja 4 - Cálculo'!J63+'Hoja 4 - Cálculo'!K63)))</f>
        <v>16</v>
      </c>
      <c r="I2562" s="15">
        <f t="shared" si="593"/>
        <v>16</v>
      </c>
      <c r="J2562" s="15">
        <f t="shared" si="596"/>
        <v>0</v>
      </c>
      <c r="K2562" s="15">
        <f>MIN(J2562+G2562,(J2562+G2562)*'Hoja 4 - Cálculo'!$B$15)</f>
        <v>0.40545000000000003</v>
      </c>
      <c r="L2562" s="15">
        <f t="shared" si="580"/>
        <v>19.867050000000003</v>
      </c>
      <c r="M2562" s="15">
        <f t="shared" si="581"/>
        <v>16</v>
      </c>
      <c r="N2562" s="15">
        <f t="shared" si="582"/>
        <v>3.8670500000000025</v>
      </c>
      <c r="O2562" s="15">
        <f t="shared" si="583"/>
        <v>0</v>
      </c>
      <c r="P2562" s="15">
        <f t="shared" si="584"/>
        <v>0</v>
      </c>
      <c r="Q2562" s="14" t="str">
        <f>IF(M2562&gt;=I2562*'Hoja 4 - Cálculo'!$B$16,"Satisfactorio","Falla")</f>
        <v>Satisfactorio</v>
      </c>
      <c r="R2562" s="14">
        <f t="shared" si="597"/>
        <v>1</v>
      </c>
      <c r="S2562" s="14">
        <f t="shared" si="598"/>
        <v>0</v>
      </c>
    </row>
    <row r="2563" spans="1:19">
      <c r="A2563" s="14" t="str">
        <f t="shared" si="594"/>
        <v>CFG-4</v>
      </c>
      <c r="B2563" s="15">
        <f>'Curvas SRY'!$E$11</f>
        <v>5</v>
      </c>
      <c r="C2563" s="15">
        <f>1</f>
        <v>1</v>
      </c>
      <c r="D2563" s="14" t="str">
        <f t="shared" si="595"/>
        <v>Uso variable</v>
      </c>
      <c r="E2563" s="14">
        <f>40</f>
        <v>40</v>
      </c>
      <c r="F2563" s="21">
        <f>'Hoja 4 - Cálculo'!A64</f>
        <v>30773</v>
      </c>
      <c r="G2563" s="15">
        <f>'Hoja 4 - Cálculo'!H64</f>
        <v>27.922499999999999</v>
      </c>
      <c r="H2563" s="15">
        <f>IF(D2563="Uso único",'Hoja 4 - Cálculo'!I64,IF(D2563="Uso múltiple",AVERAGE('Hoja 4 - Cálculo'!$I$25:$I$384)+AVERAGE('Hoja 4 - Cálculo'!$J$25:$J$384)+AVERAGE('Hoja 4 - Cálculo'!$K$25:$K$384),IF(D2563="Uso prioritario",'Hoja 4 - Cálculo'!I64+'Hoja 4 - Cálculo'!K64,'Hoja 4 - Cálculo'!I64+'Hoja 4 - Cálculo'!J64+'Hoja 4 - Cálculo'!K64)))</f>
        <v>11.5</v>
      </c>
      <c r="I2563" s="15">
        <f t="shared" si="593"/>
        <v>11.5</v>
      </c>
      <c r="J2563" s="15">
        <f t="shared" si="596"/>
        <v>3.8670500000000025</v>
      </c>
      <c r="K2563" s="15">
        <f>MIN(J2563+G2563,(J2563+G2563)*'Hoja 4 - Cálculo'!$B$15)</f>
        <v>0.63579100000000011</v>
      </c>
      <c r="L2563" s="15">
        <f t="shared" si="580"/>
        <v>31.153759000000001</v>
      </c>
      <c r="M2563" s="15">
        <f t="shared" si="581"/>
        <v>11.5</v>
      </c>
      <c r="N2563" s="15">
        <f t="shared" si="582"/>
        <v>5</v>
      </c>
      <c r="O2563" s="15">
        <f t="shared" si="583"/>
        <v>14.653759000000001</v>
      </c>
      <c r="P2563" s="15">
        <f t="shared" si="584"/>
        <v>0</v>
      </c>
      <c r="Q2563" s="14" t="str">
        <f>IF(M2563&gt;=I2563*'Hoja 4 - Cálculo'!$B$16,"Satisfactorio","Falla")</f>
        <v>Satisfactorio</v>
      </c>
      <c r="R2563" s="14">
        <f t="shared" si="597"/>
        <v>0</v>
      </c>
      <c r="S2563" s="14">
        <f t="shared" si="598"/>
        <v>0</v>
      </c>
    </row>
    <row r="2564" spans="1:19">
      <c r="A2564" s="14" t="str">
        <f t="shared" si="594"/>
        <v>CFG-4</v>
      </c>
      <c r="B2564" s="15">
        <f>'Curvas SRY'!$E$11</f>
        <v>5</v>
      </c>
      <c r="C2564" s="15">
        <f>1</f>
        <v>1</v>
      </c>
      <c r="D2564" s="14" t="str">
        <f t="shared" si="595"/>
        <v>Uso variable</v>
      </c>
      <c r="E2564" s="14">
        <f>41</f>
        <v>41</v>
      </c>
      <c r="F2564" s="21">
        <f>'Hoja 4 - Cálculo'!A65</f>
        <v>30803</v>
      </c>
      <c r="G2564" s="15">
        <f>'Hoja 4 - Cálculo'!H65</f>
        <v>23.657624999999999</v>
      </c>
      <c r="H2564" s="15">
        <f>IF(D2564="Uso único",'Hoja 4 - Cálculo'!I65,IF(D2564="Uso múltiple",AVERAGE('Hoja 4 - Cálculo'!$I$25:$I$384)+AVERAGE('Hoja 4 - Cálculo'!$J$25:$J$384)+AVERAGE('Hoja 4 - Cálculo'!$K$25:$K$384),IF(D2564="Uso prioritario",'Hoja 4 - Cálculo'!I65+'Hoja 4 - Cálculo'!K65,'Hoja 4 - Cálculo'!I65+'Hoja 4 - Cálculo'!J65+'Hoja 4 - Cálculo'!K65)))</f>
        <v>11.5</v>
      </c>
      <c r="I2564" s="15">
        <f t="shared" si="593"/>
        <v>11.5</v>
      </c>
      <c r="J2564" s="15">
        <f t="shared" si="596"/>
        <v>5</v>
      </c>
      <c r="K2564" s="15">
        <f>MIN(J2564+G2564,(J2564+G2564)*'Hoja 4 - Cálculo'!$B$15)</f>
        <v>0.57315249999999995</v>
      </c>
      <c r="L2564" s="15">
        <f t="shared" ref="L2564:L2627" si="599">MAX(0,J2564+G2564-K2564)</f>
        <v>28.0844725</v>
      </c>
      <c r="M2564" s="15">
        <f t="shared" ref="M2564:M2627" si="600">MIN(I2564,L2564)</f>
        <v>11.5</v>
      </c>
      <c r="N2564" s="15">
        <f t="shared" ref="N2564:N2627" si="601">MIN(B2564,MAX(0,L2564-M2564))</f>
        <v>5</v>
      </c>
      <c r="O2564" s="15">
        <f t="shared" ref="O2564:O2627" si="602">MAX(0,L2564-M2564-B2564)</f>
        <v>11.5844725</v>
      </c>
      <c r="P2564" s="15">
        <f t="shared" ref="P2564:P2627" si="603">MAX(0,I2564-M2564)</f>
        <v>0</v>
      </c>
      <c r="Q2564" s="14" t="str">
        <f>IF(M2564&gt;=I2564*'Hoja 4 - Cálculo'!$B$16,"Satisfactorio","Falla")</f>
        <v>Satisfactorio</v>
      </c>
      <c r="R2564" s="14">
        <f t="shared" si="597"/>
        <v>0</v>
      </c>
      <c r="S2564" s="14">
        <f t="shared" si="598"/>
        <v>0</v>
      </c>
    </row>
    <row r="2565" spans="1:19">
      <c r="A2565" s="14" t="str">
        <f t="shared" si="594"/>
        <v>CFG-4</v>
      </c>
      <c r="B2565" s="15">
        <f>'Curvas SRY'!$E$11</f>
        <v>5</v>
      </c>
      <c r="C2565" s="15">
        <f>1</f>
        <v>1</v>
      </c>
      <c r="D2565" s="14" t="str">
        <f t="shared" si="595"/>
        <v>Uso variable</v>
      </c>
      <c r="E2565" s="14">
        <f>42</f>
        <v>42</v>
      </c>
      <c r="F2565" s="21">
        <f>'Hoja 4 - Cálculo'!A66</f>
        <v>30834</v>
      </c>
      <c r="G2565" s="15">
        <f>'Hoja 4 - Cálculo'!H66</f>
        <v>14.554125000000001</v>
      </c>
      <c r="H2565" s="15">
        <f>IF(D2565="Uso único",'Hoja 4 - Cálculo'!I66,IF(D2565="Uso múltiple",AVERAGE('Hoja 4 - Cálculo'!$I$25:$I$384)+AVERAGE('Hoja 4 - Cálculo'!$J$25:$J$384)+AVERAGE('Hoja 4 - Cálculo'!$K$25:$K$384),IF(D2565="Uso prioritario",'Hoja 4 - Cálculo'!I66+'Hoja 4 - Cálculo'!K66,'Hoja 4 - Cálculo'!I66+'Hoja 4 - Cálculo'!J66+'Hoja 4 - Cálculo'!K66)))</f>
        <v>11.5</v>
      </c>
      <c r="I2565" s="15">
        <f t="shared" si="593"/>
        <v>11.5</v>
      </c>
      <c r="J2565" s="15">
        <f t="shared" si="596"/>
        <v>5</v>
      </c>
      <c r="K2565" s="15">
        <f>MIN(J2565+G2565,(J2565+G2565)*'Hoja 4 - Cálculo'!$B$15)</f>
        <v>0.3910825</v>
      </c>
      <c r="L2565" s="15">
        <f t="shared" si="599"/>
        <v>19.1630425</v>
      </c>
      <c r="M2565" s="15">
        <f t="shared" si="600"/>
        <v>11.5</v>
      </c>
      <c r="N2565" s="15">
        <f t="shared" si="601"/>
        <v>5</v>
      </c>
      <c r="O2565" s="15">
        <f t="shared" si="602"/>
        <v>2.6630424999999995</v>
      </c>
      <c r="P2565" s="15">
        <f t="shared" si="603"/>
        <v>0</v>
      </c>
      <c r="Q2565" s="14" t="str">
        <f>IF(M2565&gt;=I2565*'Hoja 4 - Cálculo'!$B$16,"Satisfactorio","Falla")</f>
        <v>Satisfactorio</v>
      </c>
      <c r="R2565" s="14">
        <f t="shared" si="597"/>
        <v>0</v>
      </c>
      <c r="S2565" s="14">
        <f t="shared" si="598"/>
        <v>0</v>
      </c>
    </row>
    <row r="2566" spans="1:19">
      <c r="A2566" s="14" t="str">
        <f t="shared" si="594"/>
        <v>CFG-4</v>
      </c>
      <c r="B2566" s="15">
        <f>'Curvas SRY'!$E$11</f>
        <v>5</v>
      </c>
      <c r="C2566" s="15">
        <f>1</f>
        <v>1</v>
      </c>
      <c r="D2566" s="14" t="str">
        <f t="shared" si="595"/>
        <v>Uso variable</v>
      </c>
      <c r="E2566" s="14">
        <f>43</f>
        <v>43</v>
      </c>
      <c r="F2566" s="21">
        <f>'Hoja 4 - Cálculo'!A67</f>
        <v>30864</v>
      </c>
      <c r="G2566" s="15">
        <f>'Hoja 4 - Cálculo'!H67</f>
        <v>12.794625</v>
      </c>
      <c r="H2566" s="15">
        <f>IF(D2566="Uso único",'Hoja 4 - Cálculo'!I67,IF(D2566="Uso múltiple",AVERAGE('Hoja 4 - Cálculo'!$I$25:$I$384)+AVERAGE('Hoja 4 - Cálculo'!$J$25:$J$384)+AVERAGE('Hoja 4 - Cálculo'!$K$25:$K$384),IF(D2566="Uso prioritario",'Hoja 4 - Cálculo'!I67+'Hoja 4 - Cálculo'!K67,'Hoja 4 - Cálculo'!I67+'Hoja 4 - Cálculo'!J67+'Hoja 4 - Cálculo'!K67)))</f>
        <v>16</v>
      </c>
      <c r="I2566" s="15">
        <f t="shared" si="593"/>
        <v>16</v>
      </c>
      <c r="J2566" s="15">
        <f t="shared" si="596"/>
        <v>5</v>
      </c>
      <c r="K2566" s="15">
        <f>MIN(J2566+G2566,(J2566+G2566)*'Hoja 4 - Cálculo'!$B$15)</f>
        <v>0.3558925</v>
      </c>
      <c r="L2566" s="15">
        <f t="shared" si="599"/>
        <v>17.4387325</v>
      </c>
      <c r="M2566" s="15">
        <f t="shared" si="600"/>
        <v>16</v>
      </c>
      <c r="N2566" s="15">
        <f t="shared" si="601"/>
        <v>1.4387325000000004</v>
      </c>
      <c r="O2566" s="15">
        <f t="shared" si="602"/>
        <v>0</v>
      </c>
      <c r="P2566" s="15">
        <f t="shared" si="603"/>
        <v>0</v>
      </c>
      <c r="Q2566" s="14" t="str">
        <f>IF(M2566&gt;=I2566*'Hoja 4 - Cálculo'!$B$16,"Satisfactorio","Falla")</f>
        <v>Satisfactorio</v>
      </c>
      <c r="R2566" s="14">
        <f t="shared" si="597"/>
        <v>0</v>
      </c>
      <c r="S2566" s="14">
        <f t="shared" si="598"/>
        <v>0</v>
      </c>
    </row>
    <row r="2567" spans="1:19">
      <c r="A2567" s="14" t="str">
        <f t="shared" si="594"/>
        <v>CFG-4</v>
      </c>
      <c r="B2567" s="15">
        <f>'Curvas SRY'!$E$11</f>
        <v>5</v>
      </c>
      <c r="C2567" s="15">
        <f>1</f>
        <v>1</v>
      </c>
      <c r="D2567" s="14" t="str">
        <f t="shared" si="595"/>
        <v>Uso variable</v>
      </c>
      <c r="E2567" s="14">
        <f>44</f>
        <v>44</v>
      </c>
      <c r="F2567" s="21">
        <f>'Hoja 4 - Cálculo'!A68</f>
        <v>30895</v>
      </c>
      <c r="G2567" s="15">
        <f>'Hoja 4 - Cálculo'!H68</f>
        <v>13.6935</v>
      </c>
      <c r="H2567" s="15">
        <f>IF(D2567="Uso único",'Hoja 4 - Cálculo'!I68,IF(D2567="Uso múltiple",AVERAGE('Hoja 4 - Cálculo'!$I$25:$I$384)+AVERAGE('Hoja 4 - Cálculo'!$J$25:$J$384)+AVERAGE('Hoja 4 - Cálculo'!$K$25:$K$384),IF(D2567="Uso prioritario",'Hoja 4 - Cálculo'!I68+'Hoja 4 - Cálculo'!K68,'Hoja 4 - Cálculo'!I68+'Hoja 4 - Cálculo'!J68+'Hoja 4 - Cálculo'!K68)))</f>
        <v>16</v>
      </c>
      <c r="I2567" s="15">
        <f t="shared" si="593"/>
        <v>16</v>
      </c>
      <c r="J2567" s="15">
        <f t="shared" si="596"/>
        <v>1.4387325000000004</v>
      </c>
      <c r="K2567" s="15">
        <f>MIN(J2567+G2567,(J2567+G2567)*'Hoja 4 - Cálculo'!$B$15)</f>
        <v>0.30264465000000002</v>
      </c>
      <c r="L2567" s="15">
        <f t="shared" si="599"/>
        <v>14.829587850000001</v>
      </c>
      <c r="M2567" s="15">
        <f t="shared" si="600"/>
        <v>14.829587850000001</v>
      </c>
      <c r="N2567" s="15">
        <f t="shared" si="601"/>
        <v>0</v>
      </c>
      <c r="O2567" s="15">
        <f t="shared" si="602"/>
        <v>0</v>
      </c>
      <c r="P2567" s="15">
        <f t="shared" si="603"/>
        <v>1.1704121499999989</v>
      </c>
      <c r="Q2567" s="14" t="str">
        <f>IF(M2567&gt;=I2567*'Hoja 4 - Cálculo'!$B$16,"Satisfactorio","Falla")</f>
        <v>Falla</v>
      </c>
      <c r="R2567" s="14">
        <f t="shared" si="597"/>
        <v>0</v>
      </c>
      <c r="S2567" s="14">
        <f t="shared" si="598"/>
        <v>1</v>
      </c>
    </row>
    <row r="2568" spans="1:19">
      <c r="A2568" s="14" t="str">
        <f t="shared" si="594"/>
        <v>CFG-4</v>
      </c>
      <c r="B2568" s="15">
        <f>'Curvas SRY'!$E$11</f>
        <v>5</v>
      </c>
      <c r="C2568" s="15">
        <f>1</f>
        <v>1</v>
      </c>
      <c r="D2568" s="14" t="str">
        <f t="shared" si="595"/>
        <v>Uso variable</v>
      </c>
      <c r="E2568" s="14">
        <f>45</f>
        <v>45</v>
      </c>
      <c r="F2568" s="21">
        <f>'Hoja 4 - Cálculo'!A69</f>
        <v>30926</v>
      </c>
      <c r="G2568" s="15">
        <f>'Hoja 4 - Cálculo'!H69</f>
        <v>20.521125000000001</v>
      </c>
      <c r="H2568" s="15">
        <f>IF(D2568="Uso único",'Hoja 4 - Cálculo'!I69,IF(D2568="Uso múltiple",AVERAGE('Hoja 4 - Cálculo'!$I$25:$I$384)+AVERAGE('Hoja 4 - Cálculo'!$J$25:$J$384)+AVERAGE('Hoja 4 - Cálculo'!$K$25:$K$384),IF(D2568="Uso prioritario",'Hoja 4 - Cálculo'!I69+'Hoja 4 - Cálculo'!K69,'Hoja 4 - Cálculo'!I69+'Hoja 4 - Cálculo'!J69+'Hoja 4 - Cálculo'!K69)))</f>
        <v>11.5</v>
      </c>
      <c r="I2568" s="15">
        <f t="shared" si="593"/>
        <v>11.5</v>
      </c>
      <c r="J2568" s="15">
        <f t="shared" si="596"/>
        <v>0</v>
      </c>
      <c r="K2568" s="15">
        <f>MIN(J2568+G2568,(J2568+G2568)*'Hoja 4 - Cálculo'!$B$15)</f>
        <v>0.41042250000000002</v>
      </c>
      <c r="L2568" s="15">
        <f t="shared" si="599"/>
        <v>20.110702500000002</v>
      </c>
      <c r="M2568" s="15">
        <f t="shared" si="600"/>
        <v>11.5</v>
      </c>
      <c r="N2568" s="15">
        <f t="shared" si="601"/>
        <v>5</v>
      </c>
      <c r="O2568" s="15">
        <f t="shared" si="602"/>
        <v>3.6107025000000021</v>
      </c>
      <c r="P2568" s="15">
        <f t="shared" si="603"/>
        <v>0</v>
      </c>
      <c r="Q2568" s="14" t="str">
        <f>IF(M2568&gt;=I2568*'Hoja 4 - Cálculo'!$B$16,"Satisfactorio","Falla")</f>
        <v>Satisfactorio</v>
      </c>
      <c r="R2568" s="14">
        <f t="shared" si="597"/>
        <v>1</v>
      </c>
      <c r="S2568" s="14">
        <f t="shared" si="598"/>
        <v>0</v>
      </c>
    </row>
    <row r="2569" spans="1:19">
      <c r="A2569" s="14" t="str">
        <f t="shared" si="594"/>
        <v>CFG-4</v>
      </c>
      <c r="B2569" s="15">
        <f>'Curvas SRY'!$E$11</f>
        <v>5</v>
      </c>
      <c r="C2569" s="15">
        <f>1</f>
        <v>1</v>
      </c>
      <c r="D2569" s="14" t="str">
        <f t="shared" si="595"/>
        <v>Uso variable</v>
      </c>
      <c r="E2569" s="14">
        <f>46</f>
        <v>46</v>
      </c>
      <c r="F2569" s="21">
        <f>'Hoja 4 - Cálculo'!A70</f>
        <v>30956</v>
      </c>
      <c r="G2569" s="15">
        <f>'Hoja 4 - Cálculo'!H70</f>
        <v>27.061875000000001</v>
      </c>
      <c r="H2569" s="15">
        <f>IF(D2569="Uso único",'Hoja 4 - Cálculo'!I70,IF(D2569="Uso múltiple",AVERAGE('Hoja 4 - Cálculo'!$I$25:$I$384)+AVERAGE('Hoja 4 - Cálculo'!$J$25:$J$384)+AVERAGE('Hoja 4 - Cálculo'!$K$25:$K$384),IF(D2569="Uso prioritario",'Hoja 4 - Cálculo'!I70+'Hoja 4 - Cálculo'!K70,'Hoja 4 - Cálculo'!I70+'Hoja 4 - Cálculo'!J70+'Hoja 4 - Cálculo'!K70)))</f>
        <v>11.5</v>
      </c>
      <c r="I2569" s="15">
        <f t="shared" si="593"/>
        <v>11.5</v>
      </c>
      <c r="J2569" s="15">
        <f t="shared" si="596"/>
        <v>5</v>
      </c>
      <c r="K2569" s="15">
        <f>MIN(J2569+G2569,(J2569+G2569)*'Hoja 4 - Cálculo'!$B$15)</f>
        <v>0.64123750000000002</v>
      </c>
      <c r="L2569" s="15">
        <f t="shared" si="599"/>
        <v>31.420637500000002</v>
      </c>
      <c r="M2569" s="15">
        <f t="shared" si="600"/>
        <v>11.5</v>
      </c>
      <c r="N2569" s="15">
        <f t="shared" si="601"/>
        <v>5</v>
      </c>
      <c r="O2569" s="15">
        <f t="shared" si="602"/>
        <v>14.920637500000002</v>
      </c>
      <c r="P2569" s="15">
        <f t="shared" si="603"/>
        <v>0</v>
      </c>
      <c r="Q2569" s="14" t="str">
        <f>IF(M2569&gt;=I2569*'Hoja 4 - Cálculo'!$B$16,"Satisfactorio","Falla")</f>
        <v>Satisfactorio</v>
      </c>
      <c r="R2569" s="14">
        <f t="shared" si="597"/>
        <v>0</v>
      </c>
      <c r="S2569" s="14">
        <f t="shared" si="598"/>
        <v>0</v>
      </c>
    </row>
    <row r="2570" spans="1:19">
      <c r="A2570" s="14" t="str">
        <f t="shared" si="594"/>
        <v>CFG-4</v>
      </c>
      <c r="B2570" s="15">
        <f>'Curvas SRY'!$E$11</f>
        <v>5</v>
      </c>
      <c r="C2570" s="15">
        <f>1</f>
        <v>1</v>
      </c>
      <c r="D2570" s="14" t="str">
        <f t="shared" si="595"/>
        <v>Uso variable</v>
      </c>
      <c r="E2570" s="14">
        <f>47</f>
        <v>47</v>
      </c>
      <c r="F2570" s="21">
        <f>'Hoja 4 - Cálculo'!A71</f>
        <v>30987</v>
      </c>
      <c r="G2570" s="15">
        <f>'Hoja 4 - Cálculo'!H71</f>
        <v>24.346125000000001</v>
      </c>
      <c r="H2570" s="15">
        <f>IF(D2570="Uso único",'Hoja 4 - Cálculo'!I71,IF(D2570="Uso múltiple",AVERAGE('Hoja 4 - Cálculo'!$I$25:$I$384)+AVERAGE('Hoja 4 - Cálculo'!$J$25:$J$384)+AVERAGE('Hoja 4 - Cálculo'!$K$25:$K$384),IF(D2570="Uso prioritario",'Hoja 4 - Cálculo'!I71+'Hoja 4 - Cálculo'!K71,'Hoja 4 - Cálculo'!I71+'Hoja 4 - Cálculo'!J71+'Hoja 4 - Cálculo'!K71)))</f>
        <v>11.5</v>
      </c>
      <c r="I2570" s="15">
        <f t="shared" si="593"/>
        <v>11.5</v>
      </c>
      <c r="J2570" s="15">
        <f t="shared" si="596"/>
        <v>5</v>
      </c>
      <c r="K2570" s="15">
        <f>MIN(J2570+G2570,(J2570+G2570)*'Hoja 4 - Cálculo'!$B$15)</f>
        <v>0.58692250000000001</v>
      </c>
      <c r="L2570" s="15">
        <f t="shared" si="599"/>
        <v>28.759202500000001</v>
      </c>
      <c r="M2570" s="15">
        <f t="shared" si="600"/>
        <v>11.5</v>
      </c>
      <c r="N2570" s="15">
        <f t="shared" si="601"/>
        <v>5</v>
      </c>
      <c r="O2570" s="15">
        <f t="shared" si="602"/>
        <v>12.259202500000001</v>
      </c>
      <c r="P2570" s="15">
        <f t="shared" si="603"/>
        <v>0</v>
      </c>
      <c r="Q2570" s="14" t="str">
        <f>IF(M2570&gt;=I2570*'Hoja 4 - Cálculo'!$B$16,"Satisfactorio","Falla")</f>
        <v>Satisfactorio</v>
      </c>
      <c r="R2570" s="14">
        <f t="shared" si="597"/>
        <v>0</v>
      </c>
      <c r="S2570" s="14">
        <f t="shared" si="598"/>
        <v>0</v>
      </c>
    </row>
    <row r="2571" spans="1:19">
      <c r="A2571" s="14" t="str">
        <f t="shared" si="594"/>
        <v>CFG-4</v>
      </c>
      <c r="B2571" s="15">
        <f>'Curvas SRY'!$E$11</f>
        <v>5</v>
      </c>
      <c r="C2571" s="15">
        <f>1</f>
        <v>1</v>
      </c>
      <c r="D2571" s="14" t="str">
        <f t="shared" si="595"/>
        <v>Uso variable</v>
      </c>
      <c r="E2571" s="14">
        <f>48</f>
        <v>48</v>
      </c>
      <c r="F2571" s="21">
        <f>'Hoja 4 - Cálculo'!A72</f>
        <v>31017</v>
      </c>
      <c r="G2571" s="15">
        <f>'Hoja 4 - Cálculo'!H72</f>
        <v>14.745374999999999</v>
      </c>
      <c r="H2571" s="15">
        <f>IF(D2571="Uso único",'Hoja 4 - Cálculo'!I72,IF(D2571="Uso múltiple",AVERAGE('Hoja 4 - Cálculo'!$I$25:$I$384)+AVERAGE('Hoja 4 - Cálculo'!$J$25:$J$384)+AVERAGE('Hoja 4 - Cálculo'!$K$25:$K$384),IF(D2571="Uso prioritario",'Hoja 4 - Cálculo'!I72+'Hoja 4 - Cálculo'!K72,'Hoja 4 - Cálculo'!I72+'Hoja 4 - Cálculo'!J72+'Hoja 4 - Cálculo'!K72)))</f>
        <v>16</v>
      </c>
      <c r="I2571" s="15">
        <f t="shared" si="593"/>
        <v>16</v>
      </c>
      <c r="J2571" s="15">
        <f t="shared" si="596"/>
        <v>5</v>
      </c>
      <c r="K2571" s="15">
        <f>MIN(J2571+G2571,(J2571+G2571)*'Hoja 4 - Cálculo'!$B$15)</f>
        <v>0.39490749999999997</v>
      </c>
      <c r="L2571" s="15">
        <f t="shared" si="599"/>
        <v>19.350467500000001</v>
      </c>
      <c r="M2571" s="15">
        <f t="shared" si="600"/>
        <v>16</v>
      </c>
      <c r="N2571" s="15">
        <f t="shared" si="601"/>
        <v>3.3504675000000006</v>
      </c>
      <c r="O2571" s="15">
        <f t="shared" si="602"/>
        <v>0</v>
      </c>
      <c r="P2571" s="15">
        <f t="shared" si="603"/>
        <v>0</v>
      </c>
      <c r="Q2571" s="14" t="str">
        <f>IF(M2571&gt;=I2571*'Hoja 4 - Cálculo'!$B$16,"Satisfactorio","Falla")</f>
        <v>Satisfactorio</v>
      </c>
      <c r="R2571" s="14">
        <f t="shared" si="597"/>
        <v>0</v>
      </c>
      <c r="S2571" s="14">
        <f t="shared" si="598"/>
        <v>0</v>
      </c>
    </row>
    <row r="2572" spans="1:19">
      <c r="A2572" s="14" t="str">
        <f t="shared" si="594"/>
        <v>CFG-4</v>
      </c>
      <c r="B2572" s="15">
        <f>'Curvas SRY'!$E$11</f>
        <v>5</v>
      </c>
      <c r="C2572" s="15">
        <f>1</f>
        <v>1</v>
      </c>
      <c r="D2572" s="14" t="str">
        <f t="shared" si="595"/>
        <v>Uso variable</v>
      </c>
      <c r="E2572" s="14">
        <f>49</f>
        <v>49</v>
      </c>
      <c r="F2572" s="21">
        <f>'Hoja 4 - Cálculo'!A73</f>
        <v>31048</v>
      </c>
      <c r="G2572" s="15">
        <f>'Hoja 4 - Cálculo'!H73</f>
        <v>10.767374999999999</v>
      </c>
      <c r="H2572" s="15">
        <f>IF(D2572="Uso único",'Hoja 4 - Cálculo'!I73,IF(D2572="Uso múltiple",AVERAGE('Hoja 4 - Cálculo'!$I$25:$I$384)+AVERAGE('Hoja 4 - Cálculo'!$J$25:$J$384)+AVERAGE('Hoja 4 - Cálculo'!$K$25:$K$384),IF(D2572="Uso prioritario",'Hoja 4 - Cálculo'!I73+'Hoja 4 - Cálculo'!K73,'Hoja 4 - Cálculo'!I73+'Hoja 4 - Cálculo'!J73+'Hoja 4 - Cálculo'!K73)))</f>
        <v>16</v>
      </c>
      <c r="I2572" s="15">
        <f t="shared" si="593"/>
        <v>16</v>
      </c>
      <c r="J2572" s="15">
        <f t="shared" si="596"/>
        <v>3.3504675000000006</v>
      </c>
      <c r="K2572" s="15">
        <f>MIN(J2572+G2572,(J2572+G2572)*'Hoja 4 - Cálculo'!$B$15)</f>
        <v>0.28235684999999999</v>
      </c>
      <c r="L2572" s="15">
        <f t="shared" si="599"/>
        <v>13.835485650000001</v>
      </c>
      <c r="M2572" s="15">
        <f t="shared" si="600"/>
        <v>13.835485650000001</v>
      </c>
      <c r="N2572" s="15">
        <f t="shared" si="601"/>
        <v>0</v>
      </c>
      <c r="O2572" s="15">
        <f t="shared" si="602"/>
        <v>0</v>
      </c>
      <c r="P2572" s="15">
        <f t="shared" si="603"/>
        <v>2.1645143499999993</v>
      </c>
      <c r="Q2572" s="14" t="str">
        <f>IF(M2572&gt;=I2572*'Hoja 4 - Cálculo'!$B$16,"Satisfactorio","Falla")</f>
        <v>Falla</v>
      </c>
      <c r="R2572" s="14">
        <f t="shared" si="597"/>
        <v>0</v>
      </c>
      <c r="S2572" s="14">
        <f t="shared" si="598"/>
        <v>1</v>
      </c>
    </row>
    <row r="2573" spans="1:19">
      <c r="A2573" s="14" t="str">
        <f t="shared" si="594"/>
        <v>CFG-4</v>
      </c>
      <c r="B2573" s="15">
        <f>'Curvas SRY'!$E$11</f>
        <v>5</v>
      </c>
      <c r="C2573" s="15">
        <f>1</f>
        <v>1</v>
      </c>
      <c r="D2573" s="14" t="str">
        <f t="shared" si="595"/>
        <v>Uso variable</v>
      </c>
      <c r="E2573" s="14">
        <f>50</f>
        <v>50</v>
      </c>
      <c r="F2573" s="21">
        <f>'Hoja 4 - Cálculo'!A74</f>
        <v>31079</v>
      </c>
      <c r="G2573" s="15">
        <f>'Hoja 4 - Cálculo'!H74</f>
        <v>13.464</v>
      </c>
      <c r="H2573" s="15">
        <f>IF(D2573="Uso único",'Hoja 4 - Cálculo'!I74,IF(D2573="Uso múltiple",AVERAGE('Hoja 4 - Cálculo'!$I$25:$I$384)+AVERAGE('Hoja 4 - Cálculo'!$J$25:$J$384)+AVERAGE('Hoja 4 - Cálculo'!$K$25:$K$384),IF(D2573="Uso prioritario",'Hoja 4 - Cálculo'!I74+'Hoja 4 - Cálculo'!K74,'Hoja 4 - Cálculo'!I74+'Hoja 4 - Cálculo'!J74+'Hoja 4 - Cálculo'!K74)))</f>
        <v>16</v>
      </c>
      <c r="I2573" s="15">
        <f t="shared" si="593"/>
        <v>16</v>
      </c>
      <c r="J2573" s="15">
        <f t="shared" si="596"/>
        <v>0</v>
      </c>
      <c r="K2573" s="15">
        <f>MIN(J2573+G2573,(J2573+G2573)*'Hoja 4 - Cálculo'!$B$15)</f>
        <v>0.26928000000000002</v>
      </c>
      <c r="L2573" s="15">
        <f t="shared" si="599"/>
        <v>13.19472</v>
      </c>
      <c r="M2573" s="15">
        <f t="shared" si="600"/>
        <v>13.19472</v>
      </c>
      <c r="N2573" s="15">
        <f t="shared" si="601"/>
        <v>0</v>
      </c>
      <c r="O2573" s="15">
        <f t="shared" si="602"/>
        <v>0</v>
      </c>
      <c r="P2573" s="15">
        <f t="shared" si="603"/>
        <v>2.8052799999999998</v>
      </c>
      <c r="Q2573" s="14" t="str">
        <f>IF(M2573&gt;=I2573*'Hoja 4 - Cálculo'!$B$16,"Satisfactorio","Falla")</f>
        <v>Falla</v>
      </c>
      <c r="R2573" s="14">
        <f t="shared" si="597"/>
        <v>0</v>
      </c>
      <c r="S2573" s="14">
        <f t="shared" si="598"/>
        <v>0</v>
      </c>
    </row>
    <row r="2574" spans="1:19">
      <c r="A2574" s="14" t="str">
        <f t="shared" si="594"/>
        <v>CFG-4</v>
      </c>
      <c r="B2574" s="15">
        <f>'Curvas SRY'!$E$11</f>
        <v>5</v>
      </c>
      <c r="C2574" s="15">
        <f>1</f>
        <v>1</v>
      </c>
      <c r="D2574" s="14" t="str">
        <f t="shared" si="595"/>
        <v>Uso variable</v>
      </c>
      <c r="E2574" s="14">
        <f>51</f>
        <v>51</v>
      </c>
      <c r="F2574" s="21">
        <f>'Hoja 4 - Cálculo'!A75</f>
        <v>31107</v>
      </c>
      <c r="G2574" s="15">
        <f>'Hoja 4 - Cálculo'!H75</f>
        <v>19.450125</v>
      </c>
      <c r="H2574" s="15">
        <f>IF(D2574="Uso único",'Hoja 4 - Cálculo'!I75,IF(D2574="Uso múltiple",AVERAGE('Hoja 4 - Cálculo'!$I$25:$I$384)+AVERAGE('Hoja 4 - Cálculo'!$J$25:$J$384)+AVERAGE('Hoja 4 - Cálculo'!$K$25:$K$384),IF(D2574="Uso prioritario",'Hoja 4 - Cálculo'!I75+'Hoja 4 - Cálculo'!K75,'Hoja 4 - Cálculo'!I75+'Hoja 4 - Cálculo'!J75+'Hoja 4 - Cálculo'!K75)))</f>
        <v>16</v>
      </c>
      <c r="I2574" s="15">
        <f t="shared" si="593"/>
        <v>16</v>
      </c>
      <c r="J2574" s="15">
        <f t="shared" si="596"/>
        <v>0</v>
      </c>
      <c r="K2574" s="15">
        <f>MIN(J2574+G2574,(J2574+G2574)*'Hoja 4 - Cálculo'!$B$15)</f>
        <v>0.38900250000000003</v>
      </c>
      <c r="L2574" s="15">
        <f t="shared" si="599"/>
        <v>19.0611225</v>
      </c>
      <c r="M2574" s="15">
        <f t="shared" si="600"/>
        <v>16</v>
      </c>
      <c r="N2574" s="15">
        <f t="shared" si="601"/>
        <v>3.0611224999999997</v>
      </c>
      <c r="O2574" s="15">
        <f t="shared" si="602"/>
        <v>0</v>
      </c>
      <c r="P2574" s="15">
        <f t="shared" si="603"/>
        <v>0</v>
      </c>
      <c r="Q2574" s="14" t="str">
        <f>IF(M2574&gt;=I2574*'Hoja 4 - Cálculo'!$B$16,"Satisfactorio","Falla")</f>
        <v>Satisfactorio</v>
      </c>
      <c r="R2574" s="14">
        <f t="shared" si="597"/>
        <v>1</v>
      </c>
      <c r="S2574" s="14">
        <f t="shared" si="598"/>
        <v>0</v>
      </c>
    </row>
    <row r="2575" spans="1:19">
      <c r="A2575" s="14" t="str">
        <f t="shared" si="594"/>
        <v>CFG-4</v>
      </c>
      <c r="B2575" s="15">
        <f>'Curvas SRY'!$E$11</f>
        <v>5</v>
      </c>
      <c r="C2575" s="15">
        <f>1</f>
        <v>1</v>
      </c>
      <c r="D2575" s="14" t="str">
        <f t="shared" si="595"/>
        <v>Uso variable</v>
      </c>
      <c r="E2575" s="14">
        <f>52</f>
        <v>52</v>
      </c>
      <c r="F2575" s="21">
        <f>'Hoja 4 - Cálculo'!A76</f>
        <v>31138</v>
      </c>
      <c r="G2575" s="15">
        <f>'Hoja 4 - Cálculo'!H76</f>
        <v>25.51275</v>
      </c>
      <c r="H2575" s="15">
        <f>IF(D2575="Uso único",'Hoja 4 - Cálculo'!I76,IF(D2575="Uso múltiple",AVERAGE('Hoja 4 - Cálculo'!$I$25:$I$384)+AVERAGE('Hoja 4 - Cálculo'!$J$25:$J$384)+AVERAGE('Hoja 4 - Cálculo'!$K$25:$K$384),IF(D2575="Uso prioritario",'Hoja 4 - Cálculo'!I76+'Hoja 4 - Cálculo'!K76,'Hoja 4 - Cálculo'!I76+'Hoja 4 - Cálculo'!J76+'Hoja 4 - Cálculo'!K76)))</f>
        <v>11.5</v>
      </c>
      <c r="I2575" s="15">
        <f t="shared" si="593"/>
        <v>11.5</v>
      </c>
      <c r="J2575" s="15">
        <f t="shared" si="596"/>
        <v>3.0611224999999997</v>
      </c>
      <c r="K2575" s="15">
        <f>MIN(J2575+G2575,(J2575+G2575)*'Hoja 4 - Cálculo'!$B$15)</f>
        <v>0.57147745000000005</v>
      </c>
      <c r="L2575" s="15">
        <f t="shared" si="599"/>
        <v>28.002395050000001</v>
      </c>
      <c r="M2575" s="15">
        <f t="shared" si="600"/>
        <v>11.5</v>
      </c>
      <c r="N2575" s="15">
        <f t="shared" si="601"/>
        <v>5</v>
      </c>
      <c r="O2575" s="15">
        <f t="shared" si="602"/>
        <v>11.502395050000001</v>
      </c>
      <c r="P2575" s="15">
        <f t="shared" si="603"/>
        <v>0</v>
      </c>
      <c r="Q2575" s="14" t="str">
        <f>IF(M2575&gt;=I2575*'Hoja 4 - Cálculo'!$B$16,"Satisfactorio","Falla")</f>
        <v>Satisfactorio</v>
      </c>
      <c r="R2575" s="14">
        <f t="shared" si="597"/>
        <v>0</v>
      </c>
      <c r="S2575" s="14">
        <f t="shared" si="598"/>
        <v>0</v>
      </c>
    </row>
    <row r="2576" spans="1:19">
      <c r="A2576" s="14" t="str">
        <f t="shared" si="594"/>
        <v>CFG-4</v>
      </c>
      <c r="B2576" s="15">
        <f>'Curvas SRY'!$E$11</f>
        <v>5</v>
      </c>
      <c r="C2576" s="15">
        <f>1</f>
        <v>1</v>
      </c>
      <c r="D2576" s="14" t="str">
        <f t="shared" si="595"/>
        <v>Uso variable</v>
      </c>
      <c r="E2576" s="14">
        <f>53</f>
        <v>53</v>
      </c>
      <c r="F2576" s="21">
        <f>'Hoja 4 - Cálculo'!A77</f>
        <v>31168</v>
      </c>
      <c r="G2576" s="15">
        <f>'Hoja 4 - Cálculo'!H77</f>
        <v>24.36525</v>
      </c>
      <c r="H2576" s="15">
        <f>IF(D2576="Uso único",'Hoja 4 - Cálculo'!I77,IF(D2576="Uso múltiple",AVERAGE('Hoja 4 - Cálculo'!$I$25:$I$384)+AVERAGE('Hoja 4 - Cálculo'!$J$25:$J$384)+AVERAGE('Hoja 4 - Cálculo'!$K$25:$K$384),IF(D2576="Uso prioritario",'Hoja 4 - Cálculo'!I77+'Hoja 4 - Cálculo'!K77,'Hoja 4 - Cálculo'!I77+'Hoja 4 - Cálculo'!J77+'Hoja 4 - Cálculo'!K77)))</f>
        <v>11.5</v>
      </c>
      <c r="I2576" s="15">
        <f t="shared" si="593"/>
        <v>11.5</v>
      </c>
      <c r="J2576" s="15">
        <f t="shared" si="596"/>
        <v>5</v>
      </c>
      <c r="K2576" s="15">
        <f>MIN(J2576+G2576,(J2576+G2576)*'Hoja 4 - Cálculo'!$B$15)</f>
        <v>0.58730499999999997</v>
      </c>
      <c r="L2576" s="15">
        <f t="shared" si="599"/>
        <v>28.777944999999999</v>
      </c>
      <c r="M2576" s="15">
        <f t="shared" si="600"/>
        <v>11.5</v>
      </c>
      <c r="N2576" s="15">
        <f t="shared" si="601"/>
        <v>5</v>
      </c>
      <c r="O2576" s="15">
        <f t="shared" si="602"/>
        <v>12.277944999999999</v>
      </c>
      <c r="P2576" s="15">
        <f t="shared" si="603"/>
        <v>0</v>
      </c>
      <c r="Q2576" s="14" t="str">
        <f>IF(M2576&gt;=I2576*'Hoja 4 - Cálculo'!$B$16,"Satisfactorio","Falla")</f>
        <v>Satisfactorio</v>
      </c>
      <c r="R2576" s="14">
        <f t="shared" si="597"/>
        <v>0</v>
      </c>
      <c r="S2576" s="14">
        <f t="shared" si="598"/>
        <v>0</v>
      </c>
    </row>
    <row r="2577" spans="1:19">
      <c r="A2577" s="14" t="str">
        <f t="shared" si="594"/>
        <v>CFG-4</v>
      </c>
      <c r="B2577" s="15">
        <f>'Curvas SRY'!$E$11</f>
        <v>5</v>
      </c>
      <c r="C2577" s="15">
        <f>1</f>
        <v>1</v>
      </c>
      <c r="D2577" s="14" t="str">
        <f t="shared" si="595"/>
        <v>Uso variable</v>
      </c>
      <c r="E2577" s="14">
        <f>54</f>
        <v>54</v>
      </c>
      <c r="F2577" s="21">
        <f>'Hoja 4 - Cálculo'!A78</f>
        <v>31199</v>
      </c>
      <c r="G2577" s="15">
        <f>'Hoja 4 - Cálculo'!H78</f>
        <v>15.395625000000001</v>
      </c>
      <c r="H2577" s="15">
        <f>IF(D2577="Uso único",'Hoja 4 - Cálculo'!I78,IF(D2577="Uso múltiple",AVERAGE('Hoja 4 - Cálculo'!$I$25:$I$384)+AVERAGE('Hoja 4 - Cálculo'!$J$25:$J$384)+AVERAGE('Hoja 4 - Cálculo'!$K$25:$K$384),IF(D2577="Uso prioritario",'Hoja 4 - Cálculo'!I78+'Hoja 4 - Cálculo'!K78,'Hoja 4 - Cálculo'!I78+'Hoja 4 - Cálculo'!J78+'Hoja 4 - Cálculo'!K78)))</f>
        <v>11.5</v>
      </c>
      <c r="I2577" s="15">
        <f t="shared" si="593"/>
        <v>11.5</v>
      </c>
      <c r="J2577" s="15">
        <f t="shared" si="596"/>
        <v>5</v>
      </c>
      <c r="K2577" s="15">
        <f>MIN(J2577+G2577,(J2577+G2577)*'Hoja 4 - Cálculo'!$B$15)</f>
        <v>0.40791250000000007</v>
      </c>
      <c r="L2577" s="15">
        <f t="shared" si="599"/>
        <v>19.987712500000004</v>
      </c>
      <c r="M2577" s="15">
        <f t="shared" si="600"/>
        <v>11.5</v>
      </c>
      <c r="N2577" s="15">
        <f t="shared" si="601"/>
        <v>5</v>
      </c>
      <c r="O2577" s="15">
        <f t="shared" si="602"/>
        <v>3.4877125000000042</v>
      </c>
      <c r="P2577" s="15">
        <f t="shared" si="603"/>
        <v>0</v>
      </c>
      <c r="Q2577" s="14" t="str">
        <f>IF(M2577&gt;=I2577*'Hoja 4 - Cálculo'!$B$16,"Satisfactorio","Falla")</f>
        <v>Satisfactorio</v>
      </c>
      <c r="R2577" s="14">
        <f t="shared" si="597"/>
        <v>0</v>
      </c>
      <c r="S2577" s="14">
        <f t="shared" si="598"/>
        <v>0</v>
      </c>
    </row>
    <row r="2578" spans="1:19">
      <c r="A2578" s="14" t="str">
        <f t="shared" si="594"/>
        <v>CFG-4</v>
      </c>
      <c r="B2578" s="15">
        <f>'Curvas SRY'!$E$11</f>
        <v>5</v>
      </c>
      <c r="C2578" s="15">
        <f>1</f>
        <v>1</v>
      </c>
      <c r="D2578" s="14" t="str">
        <f t="shared" si="595"/>
        <v>Uso variable</v>
      </c>
      <c r="E2578" s="14">
        <f>55</f>
        <v>55</v>
      </c>
      <c r="F2578" s="21">
        <f>'Hoja 4 - Cálculo'!A79</f>
        <v>31229</v>
      </c>
      <c r="G2578" s="15">
        <f>'Hoja 4 - Cálculo'!H79</f>
        <v>11.742749999999999</v>
      </c>
      <c r="H2578" s="15">
        <f>IF(D2578="Uso único",'Hoja 4 - Cálculo'!I79,IF(D2578="Uso múltiple",AVERAGE('Hoja 4 - Cálculo'!$I$25:$I$384)+AVERAGE('Hoja 4 - Cálculo'!$J$25:$J$384)+AVERAGE('Hoja 4 - Cálculo'!$K$25:$K$384),IF(D2578="Uso prioritario",'Hoja 4 - Cálculo'!I79+'Hoja 4 - Cálculo'!K79,'Hoja 4 - Cálculo'!I79+'Hoja 4 - Cálculo'!J79+'Hoja 4 - Cálculo'!K79)))</f>
        <v>16</v>
      </c>
      <c r="I2578" s="15">
        <f t="shared" si="593"/>
        <v>16</v>
      </c>
      <c r="J2578" s="15">
        <f t="shared" si="596"/>
        <v>5</v>
      </c>
      <c r="K2578" s="15">
        <f>MIN(J2578+G2578,(J2578+G2578)*'Hoja 4 - Cálculo'!$B$15)</f>
        <v>0.33485500000000001</v>
      </c>
      <c r="L2578" s="15">
        <f t="shared" si="599"/>
        <v>16.407895</v>
      </c>
      <c r="M2578" s="15">
        <f t="shared" si="600"/>
        <v>16</v>
      </c>
      <c r="N2578" s="15">
        <f t="shared" si="601"/>
        <v>0.4078949999999999</v>
      </c>
      <c r="O2578" s="15">
        <f t="shared" si="602"/>
        <v>0</v>
      </c>
      <c r="P2578" s="15">
        <f t="shared" si="603"/>
        <v>0</v>
      </c>
      <c r="Q2578" s="14" t="str">
        <f>IF(M2578&gt;=I2578*'Hoja 4 - Cálculo'!$B$16,"Satisfactorio","Falla")</f>
        <v>Satisfactorio</v>
      </c>
      <c r="R2578" s="14">
        <f t="shared" si="597"/>
        <v>0</v>
      </c>
      <c r="S2578" s="14">
        <f t="shared" si="598"/>
        <v>0</v>
      </c>
    </row>
    <row r="2579" spans="1:19">
      <c r="A2579" s="14" t="str">
        <f t="shared" si="594"/>
        <v>CFG-4</v>
      </c>
      <c r="B2579" s="15">
        <f>'Curvas SRY'!$E$11</f>
        <v>5</v>
      </c>
      <c r="C2579" s="15">
        <f>1</f>
        <v>1</v>
      </c>
      <c r="D2579" s="14" t="str">
        <f t="shared" si="595"/>
        <v>Uso variable</v>
      </c>
      <c r="E2579" s="14">
        <f>56</f>
        <v>56</v>
      </c>
      <c r="F2579" s="21">
        <f>'Hoja 4 - Cálculo'!A80</f>
        <v>31260</v>
      </c>
      <c r="G2579" s="15">
        <f>'Hoja 4 - Cálculo'!H80</f>
        <v>12.603375</v>
      </c>
      <c r="H2579" s="15">
        <f>IF(D2579="Uso único",'Hoja 4 - Cálculo'!I80,IF(D2579="Uso múltiple",AVERAGE('Hoja 4 - Cálculo'!$I$25:$I$384)+AVERAGE('Hoja 4 - Cálculo'!$J$25:$J$384)+AVERAGE('Hoja 4 - Cálculo'!$K$25:$K$384),IF(D2579="Uso prioritario",'Hoja 4 - Cálculo'!I80+'Hoja 4 - Cálculo'!K80,'Hoja 4 - Cálculo'!I80+'Hoja 4 - Cálculo'!J80+'Hoja 4 - Cálculo'!K80)))</f>
        <v>16</v>
      </c>
      <c r="I2579" s="15">
        <f t="shared" si="593"/>
        <v>16</v>
      </c>
      <c r="J2579" s="15">
        <f t="shared" si="596"/>
        <v>0.4078949999999999</v>
      </c>
      <c r="K2579" s="15">
        <f>MIN(J2579+G2579,(J2579+G2579)*'Hoja 4 - Cálculo'!$B$15)</f>
        <v>0.2602254</v>
      </c>
      <c r="L2579" s="15">
        <f t="shared" si="599"/>
        <v>12.7510446</v>
      </c>
      <c r="M2579" s="15">
        <f t="shared" si="600"/>
        <v>12.7510446</v>
      </c>
      <c r="N2579" s="15">
        <f t="shared" si="601"/>
        <v>0</v>
      </c>
      <c r="O2579" s="15">
        <f t="shared" si="602"/>
        <v>0</v>
      </c>
      <c r="P2579" s="15">
        <f t="shared" si="603"/>
        <v>3.2489553999999998</v>
      </c>
      <c r="Q2579" s="14" t="str">
        <f>IF(M2579&gt;=I2579*'Hoja 4 - Cálculo'!$B$16,"Satisfactorio","Falla")</f>
        <v>Falla</v>
      </c>
      <c r="R2579" s="14">
        <f t="shared" si="597"/>
        <v>0</v>
      </c>
      <c r="S2579" s="14">
        <f t="shared" si="598"/>
        <v>1</v>
      </c>
    </row>
    <row r="2580" spans="1:19">
      <c r="A2580" s="14" t="str">
        <f t="shared" si="594"/>
        <v>CFG-4</v>
      </c>
      <c r="B2580" s="15">
        <f>'Curvas SRY'!$E$11</f>
        <v>5</v>
      </c>
      <c r="C2580" s="15">
        <f>1</f>
        <v>1</v>
      </c>
      <c r="D2580" s="14" t="str">
        <f t="shared" si="595"/>
        <v>Uso variable</v>
      </c>
      <c r="E2580" s="14">
        <f>57</f>
        <v>57</v>
      </c>
      <c r="F2580" s="21">
        <f>'Hoja 4 - Cálculo'!A81</f>
        <v>31291</v>
      </c>
      <c r="G2580" s="15">
        <f>'Hoja 4 - Cálculo'!H81</f>
        <v>21.745125000000002</v>
      </c>
      <c r="H2580" s="15">
        <f>IF(D2580="Uso único",'Hoja 4 - Cálculo'!I81,IF(D2580="Uso múltiple",AVERAGE('Hoja 4 - Cálculo'!$I$25:$I$384)+AVERAGE('Hoja 4 - Cálculo'!$J$25:$J$384)+AVERAGE('Hoja 4 - Cálculo'!$K$25:$K$384),IF(D2580="Uso prioritario",'Hoja 4 - Cálculo'!I81+'Hoja 4 - Cálculo'!K81,'Hoja 4 - Cálculo'!I81+'Hoja 4 - Cálculo'!J81+'Hoja 4 - Cálculo'!K81)))</f>
        <v>11.5</v>
      </c>
      <c r="I2580" s="15">
        <f t="shared" si="593"/>
        <v>11.5</v>
      </c>
      <c r="J2580" s="15">
        <f t="shared" si="596"/>
        <v>0</v>
      </c>
      <c r="K2580" s="15">
        <f>MIN(J2580+G2580,(J2580+G2580)*'Hoja 4 - Cálculo'!$B$15)</f>
        <v>0.43490250000000003</v>
      </c>
      <c r="L2580" s="15">
        <f t="shared" si="599"/>
        <v>21.310222500000002</v>
      </c>
      <c r="M2580" s="15">
        <f t="shared" si="600"/>
        <v>11.5</v>
      </c>
      <c r="N2580" s="15">
        <f t="shared" si="601"/>
        <v>5</v>
      </c>
      <c r="O2580" s="15">
        <f t="shared" si="602"/>
        <v>4.8102225000000018</v>
      </c>
      <c r="P2580" s="15">
        <f t="shared" si="603"/>
        <v>0</v>
      </c>
      <c r="Q2580" s="14" t="str">
        <f>IF(M2580&gt;=I2580*'Hoja 4 - Cálculo'!$B$16,"Satisfactorio","Falla")</f>
        <v>Satisfactorio</v>
      </c>
      <c r="R2580" s="14">
        <f t="shared" si="597"/>
        <v>1</v>
      </c>
      <c r="S2580" s="14">
        <f t="shared" si="598"/>
        <v>0</v>
      </c>
    </row>
    <row r="2581" spans="1:19">
      <c r="A2581" s="14" t="str">
        <f t="shared" si="594"/>
        <v>CFG-4</v>
      </c>
      <c r="B2581" s="15">
        <f>'Curvas SRY'!$E$11</f>
        <v>5</v>
      </c>
      <c r="C2581" s="15">
        <f>1</f>
        <v>1</v>
      </c>
      <c r="D2581" s="14" t="str">
        <f t="shared" si="595"/>
        <v>Uso variable</v>
      </c>
      <c r="E2581" s="14">
        <f>58</f>
        <v>58</v>
      </c>
      <c r="F2581" s="21">
        <f>'Hoja 4 - Cálculo'!A82</f>
        <v>31321</v>
      </c>
      <c r="G2581" s="15">
        <f>'Hoja 4 - Cálculo'!H82</f>
        <v>27.788625</v>
      </c>
      <c r="H2581" s="15">
        <f>IF(D2581="Uso único",'Hoja 4 - Cálculo'!I82,IF(D2581="Uso múltiple",AVERAGE('Hoja 4 - Cálculo'!$I$25:$I$384)+AVERAGE('Hoja 4 - Cálculo'!$J$25:$J$384)+AVERAGE('Hoja 4 - Cálculo'!$K$25:$K$384),IF(D2581="Uso prioritario",'Hoja 4 - Cálculo'!I82+'Hoja 4 - Cálculo'!K82,'Hoja 4 - Cálculo'!I82+'Hoja 4 - Cálculo'!J82+'Hoja 4 - Cálculo'!K82)))</f>
        <v>11.5</v>
      </c>
      <c r="I2581" s="15">
        <f t="shared" si="593"/>
        <v>11.5</v>
      </c>
      <c r="J2581" s="15">
        <f t="shared" si="596"/>
        <v>5</v>
      </c>
      <c r="K2581" s="15">
        <f>MIN(J2581+G2581,(J2581+G2581)*'Hoja 4 - Cálculo'!$B$15)</f>
        <v>0.65577249999999998</v>
      </c>
      <c r="L2581" s="15">
        <f t="shared" si="599"/>
        <v>32.132852499999998</v>
      </c>
      <c r="M2581" s="15">
        <f t="shared" si="600"/>
        <v>11.5</v>
      </c>
      <c r="N2581" s="15">
        <f t="shared" si="601"/>
        <v>5</v>
      </c>
      <c r="O2581" s="15">
        <f t="shared" si="602"/>
        <v>15.632852499999998</v>
      </c>
      <c r="P2581" s="15">
        <f t="shared" si="603"/>
        <v>0</v>
      </c>
      <c r="Q2581" s="14" t="str">
        <f>IF(M2581&gt;=I2581*'Hoja 4 - Cálculo'!$B$16,"Satisfactorio","Falla")</f>
        <v>Satisfactorio</v>
      </c>
      <c r="R2581" s="14">
        <f t="shared" si="597"/>
        <v>0</v>
      </c>
      <c r="S2581" s="14">
        <f t="shared" si="598"/>
        <v>0</v>
      </c>
    </row>
    <row r="2582" spans="1:19">
      <c r="A2582" s="14" t="str">
        <f t="shared" si="594"/>
        <v>CFG-4</v>
      </c>
      <c r="B2582" s="15">
        <f>'Curvas SRY'!$E$11</f>
        <v>5</v>
      </c>
      <c r="C2582" s="15">
        <f>1</f>
        <v>1</v>
      </c>
      <c r="D2582" s="14" t="str">
        <f t="shared" si="595"/>
        <v>Uso variable</v>
      </c>
      <c r="E2582" s="14">
        <f>59</f>
        <v>59</v>
      </c>
      <c r="F2582" s="21">
        <f>'Hoja 4 - Cálculo'!A83</f>
        <v>31352</v>
      </c>
      <c r="G2582" s="15">
        <f>'Hoja 4 - Cálculo'!H83</f>
        <v>22.22325</v>
      </c>
      <c r="H2582" s="15">
        <f>IF(D2582="Uso único",'Hoja 4 - Cálculo'!I83,IF(D2582="Uso múltiple",AVERAGE('Hoja 4 - Cálculo'!$I$25:$I$384)+AVERAGE('Hoja 4 - Cálculo'!$J$25:$J$384)+AVERAGE('Hoja 4 - Cálculo'!$K$25:$K$384),IF(D2582="Uso prioritario",'Hoja 4 - Cálculo'!I83+'Hoja 4 - Cálculo'!K83,'Hoja 4 - Cálculo'!I83+'Hoja 4 - Cálculo'!J83+'Hoja 4 - Cálculo'!K83)))</f>
        <v>11.5</v>
      </c>
      <c r="I2582" s="15">
        <f t="shared" si="593"/>
        <v>11.5</v>
      </c>
      <c r="J2582" s="15">
        <f t="shared" si="596"/>
        <v>5</v>
      </c>
      <c r="K2582" s="15">
        <f>MIN(J2582+G2582,(J2582+G2582)*'Hoja 4 - Cálculo'!$B$15)</f>
        <v>0.54446499999999998</v>
      </c>
      <c r="L2582" s="15">
        <f t="shared" si="599"/>
        <v>26.678785000000001</v>
      </c>
      <c r="M2582" s="15">
        <f t="shared" si="600"/>
        <v>11.5</v>
      </c>
      <c r="N2582" s="15">
        <f t="shared" si="601"/>
        <v>5</v>
      </c>
      <c r="O2582" s="15">
        <f t="shared" si="602"/>
        <v>10.178785000000001</v>
      </c>
      <c r="P2582" s="15">
        <f t="shared" si="603"/>
        <v>0</v>
      </c>
      <c r="Q2582" s="14" t="str">
        <f>IF(M2582&gt;=I2582*'Hoja 4 - Cálculo'!$B$16,"Satisfactorio","Falla")</f>
        <v>Satisfactorio</v>
      </c>
      <c r="R2582" s="14">
        <f t="shared" si="597"/>
        <v>0</v>
      </c>
      <c r="S2582" s="14">
        <f t="shared" si="598"/>
        <v>0</v>
      </c>
    </row>
    <row r="2583" spans="1:19">
      <c r="A2583" s="14" t="str">
        <f t="shared" si="594"/>
        <v>CFG-4</v>
      </c>
      <c r="B2583" s="15">
        <f>'Curvas SRY'!$E$11</f>
        <v>5</v>
      </c>
      <c r="C2583" s="15">
        <f>1</f>
        <v>1</v>
      </c>
      <c r="D2583" s="14" t="str">
        <f t="shared" si="595"/>
        <v>Uso variable</v>
      </c>
      <c r="E2583" s="14">
        <f>60</f>
        <v>60</v>
      </c>
      <c r="F2583" s="21">
        <f>'Hoja 4 - Cálculo'!A84</f>
        <v>31382</v>
      </c>
      <c r="G2583" s="15">
        <f>'Hoja 4 - Cálculo'!H84</f>
        <v>14.171625000000001</v>
      </c>
      <c r="H2583" s="15">
        <f>IF(D2583="Uso único",'Hoja 4 - Cálculo'!I84,IF(D2583="Uso múltiple",AVERAGE('Hoja 4 - Cálculo'!$I$25:$I$384)+AVERAGE('Hoja 4 - Cálculo'!$J$25:$J$384)+AVERAGE('Hoja 4 - Cálculo'!$K$25:$K$384),IF(D2583="Uso prioritario",'Hoja 4 - Cálculo'!I84+'Hoja 4 - Cálculo'!K84,'Hoja 4 - Cálculo'!I84+'Hoja 4 - Cálculo'!J84+'Hoja 4 - Cálculo'!K84)))</f>
        <v>16</v>
      </c>
      <c r="I2583" s="15">
        <f t="shared" si="593"/>
        <v>16</v>
      </c>
      <c r="J2583" s="15">
        <f t="shared" si="596"/>
        <v>5</v>
      </c>
      <c r="K2583" s="15">
        <f>MIN(J2583+G2583,(J2583+G2583)*'Hoja 4 - Cálculo'!$B$15)</f>
        <v>0.38343250000000001</v>
      </c>
      <c r="L2583" s="15">
        <f t="shared" si="599"/>
        <v>18.788192499999997</v>
      </c>
      <c r="M2583" s="15">
        <f t="shared" si="600"/>
        <v>16</v>
      </c>
      <c r="N2583" s="15">
        <f t="shared" si="601"/>
        <v>2.7881924999999974</v>
      </c>
      <c r="O2583" s="15">
        <f t="shared" si="602"/>
        <v>0</v>
      </c>
      <c r="P2583" s="15">
        <f t="shared" si="603"/>
        <v>0</v>
      </c>
      <c r="Q2583" s="14" t="str">
        <f>IF(M2583&gt;=I2583*'Hoja 4 - Cálculo'!$B$16,"Satisfactorio","Falla")</f>
        <v>Satisfactorio</v>
      </c>
      <c r="R2583" s="14">
        <f t="shared" si="597"/>
        <v>0</v>
      </c>
      <c r="S2583" s="14">
        <f t="shared" si="598"/>
        <v>0</v>
      </c>
    </row>
    <row r="2584" spans="1:19">
      <c r="A2584" s="14" t="str">
        <f t="shared" si="594"/>
        <v>CFG-4</v>
      </c>
      <c r="B2584" s="15">
        <f>'Curvas SRY'!$E$11</f>
        <v>5</v>
      </c>
      <c r="C2584" s="15">
        <f>1</f>
        <v>1</v>
      </c>
      <c r="D2584" s="14" t="str">
        <f t="shared" si="595"/>
        <v>Uso variable</v>
      </c>
      <c r="E2584" s="14">
        <f>61</f>
        <v>61</v>
      </c>
      <c r="F2584" s="21">
        <f>'Hoja 4 - Cálculo'!A85</f>
        <v>31413</v>
      </c>
      <c r="G2584" s="15">
        <f>'Hoja 4 - Cálculo'!H85</f>
        <v>12.641624999999999</v>
      </c>
      <c r="H2584" s="15">
        <f>IF(D2584="Uso único",'Hoja 4 - Cálculo'!I85,IF(D2584="Uso múltiple",AVERAGE('Hoja 4 - Cálculo'!$I$25:$I$384)+AVERAGE('Hoja 4 - Cálculo'!$J$25:$J$384)+AVERAGE('Hoja 4 - Cálculo'!$K$25:$K$384),IF(D2584="Uso prioritario",'Hoja 4 - Cálculo'!I85+'Hoja 4 - Cálculo'!K85,'Hoja 4 - Cálculo'!I85+'Hoja 4 - Cálculo'!J85+'Hoja 4 - Cálculo'!K85)))</f>
        <v>16</v>
      </c>
      <c r="I2584" s="15">
        <f t="shared" si="593"/>
        <v>16</v>
      </c>
      <c r="J2584" s="15">
        <f t="shared" si="596"/>
        <v>2.7881924999999974</v>
      </c>
      <c r="K2584" s="15">
        <f>MIN(J2584+G2584,(J2584+G2584)*'Hoja 4 - Cálculo'!$B$15)</f>
        <v>0.30859634999999996</v>
      </c>
      <c r="L2584" s="15">
        <f t="shared" si="599"/>
        <v>15.121221149999997</v>
      </c>
      <c r="M2584" s="15">
        <f t="shared" si="600"/>
        <v>15.121221149999997</v>
      </c>
      <c r="N2584" s="15">
        <f t="shared" si="601"/>
        <v>0</v>
      </c>
      <c r="O2584" s="15">
        <f t="shared" si="602"/>
        <v>0</v>
      </c>
      <c r="P2584" s="15">
        <f t="shared" si="603"/>
        <v>0.87877885000000333</v>
      </c>
      <c r="Q2584" s="14" t="str">
        <f>IF(M2584&gt;=I2584*'Hoja 4 - Cálculo'!$B$16,"Satisfactorio","Falla")</f>
        <v>Falla</v>
      </c>
      <c r="R2584" s="14">
        <f t="shared" si="597"/>
        <v>0</v>
      </c>
      <c r="S2584" s="14">
        <f t="shared" si="598"/>
        <v>1</v>
      </c>
    </row>
    <row r="2585" spans="1:19">
      <c r="A2585" s="14" t="str">
        <f t="shared" si="594"/>
        <v>CFG-4</v>
      </c>
      <c r="B2585" s="15">
        <f>'Curvas SRY'!$E$11</f>
        <v>5</v>
      </c>
      <c r="C2585" s="15">
        <f>1</f>
        <v>1</v>
      </c>
      <c r="D2585" s="14" t="str">
        <f t="shared" si="595"/>
        <v>Uso variable</v>
      </c>
      <c r="E2585" s="14">
        <f>62</f>
        <v>62</v>
      </c>
      <c r="F2585" s="21">
        <f>'Hoja 4 - Cálculo'!A86</f>
        <v>31444</v>
      </c>
      <c r="G2585" s="15">
        <f>'Hoja 4 - Cálculo'!H86</f>
        <v>15.357374999999999</v>
      </c>
      <c r="H2585" s="15">
        <f>IF(D2585="Uso único",'Hoja 4 - Cálculo'!I86,IF(D2585="Uso múltiple",AVERAGE('Hoja 4 - Cálculo'!$I$25:$I$384)+AVERAGE('Hoja 4 - Cálculo'!$J$25:$J$384)+AVERAGE('Hoja 4 - Cálculo'!$K$25:$K$384),IF(D2585="Uso prioritario",'Hoja 4 - Cálculo'!I86+'Hoja 4 - Cálculo'!K86,'Hoja 4 - Cálculo'!I86+'Hoja 4 - Cálculo'!J86+'Hoja 4 - Cálculo'!K86)))</f>
        <v>16</v>
      </c>
      <c r="I2585" s="15">
        <f t="shared" si="593"/>
        <v>16</v>
      </c>
      <c r="J2585" s="15">
        <f t="shared" si="596"/>
        <v>0</v>
      </c>
      <c r="K2585" s="15">
        <f>MIN(J2585+G2585,(J2585+G2585)*'Hoja 4 - Cálculo'!$B$15)</f>
        <v>0.30714750000000002</v>
      </c>
      <c r="L2585" s="15">
        <f t="shared" si="599"/>
        <v>15.0502275</v>
      </c>
      <c r="M2585" s="15">
        <f t="shared" si="600"/>
        <v>15.0502275</v>
      </c>
      <c r="N2585" s="15">
        <f t="shared" si="601"/>
        <v>0</v>
      </c>
      <c r="O2585" s="15">
        <f t="shared" si="602"/>
        <v>0</v>
      </c>
      <c r="P2585" s="15">
        <f t="shared" si="603"/>
        <v>0.94977249999999991</v>
      </c>
      <c r="Q2585" s="14" t="str">
        <f>IF(M2585&gt;=I2585*'Hoja 4 - Cálculo'!$B$16,"Satisfactorio","Falla")</f>
        <v>Falla</v>
      </c>
      <c r="R2585" s="14">
        <f t="shared" si="597"/>
        <v>0</v>
      </c>
      <c r="S2585" s="14">
        <f t="shared" si="598"/>
        <v>0</v>
      </c>
    </row>
    <row r="2586" spans="1:19">
      <c r="A2586" s="14" t="str">
        <f t="shared" si="594"/>
        <v>CFG-4</v>
      </c>
      <c r="B2586" s="15">
        <f>'Curvas SRY'!$E$11</f>
        <v>5</v>
      </c>
      <c r="C2586" s="15">
        <f>1</f>
        <v>1</v>
      </c>
      <c r="D2586" s="14" t="str">
        <f t="shared" si="595"/>
        <v>Uso variable</v>
      </c>
      <c r="E2586" s="14">
        <f>63</f>
        <v>63</v>
      </c>
      <c r="F2586" s="21">
        <f>'Hoja 4 - Cálculo'!A87</f>
        <v>31472</v>
      </c>
      <c r="G2586" s="15">
        <f>'Hoja 4 - Cálculo'!H87</f>
        <v>20.846250000000001</v>
      </c>
      <c r="H2586" s="15">
        <f>IF(D2586="Uso único",'Hoja 4 - Cálculo'!I87,IF(D2586="Uso múltiple",AVERAGE('Hoja 4 - Cálculo'!$I$25:$I$384)+AVERAGE('Hoja 4 - Cálculo'!$J$25:$J$384)+AVERAGE('Hoja 4 - Cálculo'!$K$25:$K$384),IF(D2586="Uso prioritario",'Hoja 4 - Cálculo'!I87+'Hoja 4 - Cálculo'!K87,'Hoja 4 - Cálculo'!I87+'Hoja 4 - Cálculo'!J87+'Hoja 4 - Cálculo'!K87)))</f>
        <v>16</v>
      </c>
      <c r="I2586" s="15">
        <f t="shared" si="593"/>
        <v>16</v>
      </c>
      <c r="J2586" s="15">
        <f t="shared" si="596"/>
        <v>0</v>
      </c>
      <c r="K2586" s="15">
        <f>MIN(J2586+G2586,(J2586+G2586)*'Hoja 4 - Cálculo'!$B$15)</f>
        <v>0.41692500000000005</v>
      </c>
      <c r="L2586" s="15">
        <f t="shared" si="599"/>
        <v>20.429325000000002</v>
      </c>
      <c r="M2586" s="15">
        <f t="shared" si="600"/>
        <v>16</v>
      </c>
      <c r="N2586" s="15">
        <f t="shared" si="601"/>
        <v>4.4293250000000022</v>
      </c>
      <c r="O2586" s="15">
        <f t="shared" si="602"/>
        <v>0</v>
      </c>
      <c r="P2586" s="15">
        <f t="shared" si="603"/>
        <v>0</v>
      </c>
      <c r="Q2586" s="14" t="str">
        <f>IF(M2586&gt;=I2586*'Hoja 4 - Cálculo'!$B$16,"Satisfactorio","Falla")</f>
        <v>Satisfactorio</v>
      </c>
      <c r="R2586" s="14">
        <f t="shared" si="597"/>
        <v>1</v>
      </c>
      <c r="S2586" s="14">
        <f t="shared" si="598"/>
        <v>0</v>
      </c>
    </row>
    <row r="2587" spans="1:19">
      <c r="A2587" s="14" t="str">
        <f t="shared" si="594"/>
        <v>CFG-4</v>
      </c>
      <c r="B2587" s="15">
        <f>'Curvas SRY'!$E$11</f>
        <v>5</v>
      </c>
      <c r="C2587" s="15">
        <f>1</f>
        <v>1</v>
      </c>
      <c r="D2587" s="14" t="str">
        <f t="shared" si="595"/>
        <v>Uso variable</v>
      </c>
      <c r="E2587" s="14">
        <f>64</f>
        <v>64</v>
      </c>
      <c r="F2587" s="21">
        <f>'Hoja 4 - Cálculo'!A88</f>
        <v>31503</v>
      </c>
      <c r="G2587" s="15">
        <f>'Hoja 4 - Cálculo'!H88</f>
        <v>30.638249999999999</v>
      </c>
      <c r="H2587" s="15">
        <f>IF(D2587="Uso único",'Hoja 4 - Cálculo'!I88,IF(D2587="Uso múltiple",AVERAGE('Hoja 4 - Cálculo'!$I$25:$I$384)+AVERAGE('Hoja 4 - Cálculo'!$J$25:$J$384)+AVERAGE('Hoja 4 - Cálculo'!$K$25:$K$384),IF(D2587="Uso prioritario",'Hoja 4 - Cálculo'!I88+'Hoja 4 - Cálculo'!K88,'Hoja 4 - Cálculo'!I88+'Hoja 4 - Cálculo'!J88+'Hoja 4 - Cálculo'!K88)))</f>
        <v>11.5</v>
      </c>
      <c r="I2587" s="15">
        <f t="shared" si="593"/>
        <v>11.5</v>
      </c>
      <c r="J2587" s="15">
        <f t="shared" si="596"/>
        <v>4.4293250000000022</v>
      </c>
      <c r="K2587" s="15">
        <f>MIN(J2587+G2587,(J2587+G2587)*'Hoja 4 - Cálculo'!$B$15)</f>
        <v>0.70135150000000013</v>
      </c>
      <c r="L2587" s="15">
        <f t="shared" si="599"/>
        <v>34.366223500000004</v>
      </c>
      <c r="M2587" s="15">
        <f t="shared" si="600"/>
        <v>11.5</v>
      </c>
      <c r="N2587" s="15">
        <f t="shared" si="601"/>
        <v>5</v>
      </c>
      <c r="O2587" s="15">
        <f t="shared" si="602"/>
        <v>17.866223500000004</v>
      </c>
      <c r="P2587" s="15">
        <f t="shared" si="603"/>
        <v>0</v>
      </c>
      <c r="Q2587" s="14" t="str">
        <f>IF(M2587&gt;=I2587*'Hoja 4 - Cálculo'!$B$16,"Satisfactorio","Falla")</f>
        <v>Satisfactorio</v>
      </c>
      <c r="R2587" s="14">
        <f t="shared" si="597"/>
        <v>0</v>
      </c>
      <c r="S2587" s="14">
        <f t="shared" si="598"/>
        <v>0</v>
      </c>
    </row>
    <row r="2588" spans="1:19">
      <c r="A2588" s="14" t="str">
        <f t="shared" ref="A2588:A2619" si="604">"CFG-4"</f>
        <v>CFG-4</v>
      </c>
      <c r="B2588" s="15">
        <f>'Curvas SRY'!$E$11</f>
        <v>5</v>
      </c>
      <c r="C2588" s="15">
        <f>1</f>
        <v>1</v>
      </c>
      <c r="D2588" s="14" t="str">
        <f t="shared" ref="D2588:D2619" si="605">"Uso variable"</f>
        <v>Uso variable</v>
      </c>
      <c r="E2588" s="14">
        <f>65</f>
        <v>65</v>
      </c>
      <c r="F2588" s="21">
        <f>'Hoja 4 - Cálculo'!A89</f>
        <v>31533</v>
      </c>
      <c r="G2588" s="15">
        <f>'Hoja 4 - Cálculo'!H89</f>
        <v>28.438874999999999</v>
      </c>
      <c r="H2588" s="15">
        <f>IF(D2588="Uso único",'Hoja 4 - Cálculo'!I89,IF(D2588="Uso múltiple",AVERAGE('Hoja 4 - Cálculo'!$I$25:$I$384)+AVERAGE('Hoja 4 - Cálculo'!$J$25:$J$384)+AVERAGE('Hoja 4 - Cálculo'!$K$25:$K$384),IF(D2588="Uso prioritario",'Hoja 4 - Cálculo'!I89+'Hoja 4 - Cálculo'!K89,'Hoja 4 - Cálculo'!I89+'Hoja 4 - Cálculo'!J89+'Hoja 4 - Cálculo'!K89)))</f>
        <v>11.5</v>
      </c>
      <c r="I2588" s="15">
        <f t="shared" si="593"/>
        <v>11.5</v>
      </c>
      <c r="J2588" s="15">
        <f t="shared" si="596"/>
        <v>5</v>
      </c>
      <c r="K2588" s="15">
        <f>MIN(J2588+G2588,(J2588+G2588)*'Hoja 4 - Cálculo'!$B$15)</f>
        <v>0.66877749999999991</v>
      </c>
      <c r="L2588" s="15">
        <f t="shared" si="599"/>
        <v>32.770097499999999</v>
      </c>
      <c r="M2588" s="15">
        <f t="shared" si="600"/>
        <v>11.5</v>
      </c>
      <c r="N2588" s="15">
        <f t="shared" si="601"/>
        <v>5</v>
      </c>
      <c r="O2588" s="15">
        <f t="shared" si="602"/>
        <v>16.270097499999999</v>
      </c>
      <c r="P2588" s="15">
        <f t="shared" si="603"/>
        <v>0</v>
      </c>
      <c r="Q2588" s="14" t="str">
        <f>IF(M2588&gt;=I2588*'Hoja 4 - Cálculo'!$B$16,"Satisfactorio","Falla")</f>
        <v>Satisfactorio</v>
      </c>
      <c r="R2588" s="14">
        <f t="shared" si="597"/>
        <v>0</v>
      </c>
      <c r="S2588" s="14">
        <f t="shared" si="598"/>
        <v>0</v>
      </c>
    </row>
    <row r="2589" spans="1:19">
      <c r="A2589" s="14" t="str">
        <f t="shared" si="604"/>
        <v>CFG-4</v>
      </c>
      <c r="B2589" s="15">
        <f>'Curvas SRY'!$E$11</f>
        <v>5</v>
      </c>
      <c r="C2589" s="15">
        <f>1</f>
        <v>1</v>
      </c>
      <c r="D2589" s="14" t="str">
        <f t="shared" si="605"/>
        <v>Uso variable</v>
      </c>
      <c r="E2589" s="14">
        <f>66</f>
        <v>66</v>
      </c>
      <c r="F2589" s="21">
        <f>'Hoja 4 - Cálculo'!A90</f>
        <v>31564</v>
      </c>
      <c r="G2589" s="15">
        <f>'Hoja 4 - Cálculo'!H90</f>
        <v>16.007625000000001</v>
      </c>
      <c r="H2589" s="15">
        <f>IF(D2589="Uso único",'Hoja 4 - Cálculo'!I90,IF(D2589="Uso múltiple",AVERAGE('Hoja 4 - Cálculo'!$I$25:$I$384)+AVERAGE('Hoja 4 - Cálculo'!$J$25:$J$384)+AVERAGE('Hoja 4 - Cálculo'!$K$25:$K$384),IF(D2589="Uso prioritario",'Hoja 4 - Cálculo'!I90+'Hoja 4 - Cálculo'!K90,'Hoja 4 - Cálculo'!I90+'Hoja 4 - Cálculo'!J90+'Hoja 4 - Cálculo'!K90)))</f>
        <v>11.5</v>
      </c>
      <c r="I2589" s="15">
        <f t="shared" si="593"/>
        <v>11.5</v>
      </c>
      <c r="J2589" s="15">
        <f t="shared" ref="J2589:J2620" si="606">N2588</f>
        <v>5</v>
      </c>
      <c r="K2589" s="15">
        <f>MIN(J2589+G2589,(J2589+G2589)*'Hoja 4 - Cálculo'!$B$15)</f>
        <v>0.42015250000000004</v>
      </c>
      <c r="L2589" s="15">
        <f t="shared" si="599"/>
        <v>20.587472500000001</v>
      </c>
      <c r="M2589" s="15">
        <f t="shared" si="600"/>
        <v>11.5</v>
      </c>
      <c r="N2589" s="15">
        <f t="shared" si="601"/>
        <v>5</v>
      </c>
      <c r="O2589" s="15">
        <f t="shared" si="602"/>
        <v>4.0874725000000005</v>
      </c>
      <c r="P2589" s="15">
        <f t="shared" si="603"/>
        <v>0</v>
      </c>
      <c r="Q2589" s="14" t="str">
        <f>IF(M2589&gt;=I2589*'Hoja 4 - Cálculo'!$B$16,"Satisfactorio","Falla")</f>
        <v>Satisfactorio</v>
      </c>
      <c r="R2589" s="14">
        <f t="shared" ref="R2589:R2620" si="607">IF(AND(Q2588="Falla",Q2589="Satisfactorio"),1,0)</f>
        <v>0</v>
      </c>
      <c r="S2589" s="14">
        <f t="shared" ref="S2589:S2620" si="608">IF(AND(Q2589="Falla",Q2588&lt;&gt;"Falla"),1,0)</f>
        <v>0</v>
      </c>
    </row>
    <row r="2590" spans="1:19">
      <c r="A2590" s="14" t="str">
        <f t="shared" si="604"/>
        <v>CFG-4</v>
      </c>
      <c r="B2590" s="15">
        <f>'Curvas SRY'!$E$11</f>
        <v>5</v>
      </c>
      <c r="C2590" s="15">
        <f>1</f>
        <v>1</v>
      </c>
      <c r="D2590" s="14" t="str">
        <f t="shared" si="605"/>
        <v>Uso variable</v>
      </c>
      <c r="E2590" s="14">
        <f>67</f>
        <v>67</v>
      </c>
      <c r="F2590" s="21">
        <f>'Hoja 4 - Cálculo'!A91</f>
        <v>31594</v>
      </c>
      <c r="G2590" s="15">
        <f>'Hoja 4 - Cálculo'!H91</f>
        <v>14.056875</v>
      </c>
      <c r="H2590" s="15">
        <f>IF(D2590="Uso único",'Hoja 4 - Cálculo'!I91,IF(D2590="Uso múltiple",AVERAGE('Hoja 4 - Cálculo'!$I$25:$I$384)+AVERAGE('Hoja 4 - Cálculo'!$J$25:$J$384)+AVERAGE('Hoja 4 - Cálculo'!$K$25:$K$384),IF(D2590="Uso prioritario",'Hoja 4 - Cálculo'!I91+'Hoja 4 - Cálculo'!K91,'Hoja 4 - Cálculo'!I91+'Hoja 4 - Cálculo'!J91+'Hoja 4 - Cálculo'!K91)))</f>
        <v>16</v>
      </c>
      <c r="I2590" s="15">
        <f t="shared" si="593"/>
        <v>16</v>
      </c>
      <c r="J2590" s="15">
        <f t="shared" si="606"/>
        <v>5</v>
      </c>
      <c r="K2590" s="15">
        <f>MIN(J2590+G2590,(J2590+G2590)*'Hoja 4 - Cálculo'!$B$15)</f>
        <v>0.38113749999999996</v>
      </c>
      <c r="L2590" s="15">
        <f t="shared" si="599"/>
        <v>18.675737499999997</v>
      </c>
      <c r="M2590" s="15">
        <f t="shared" si="600"/>
        <v>16</v>
      </c>
      <c r="N2590" s="15">
        <f t="shared" si="601"/>
        <v>2.6757374999999968</v>
      </c>
      <c r="O2590" s="15">
        <f t="shared" si="602"/>
        <v>0</v>
      </c>
      <c r="P2590" s="15">
        <f t="shared" si="603"/>
        <v>0</v>
      </c>
      <c r="Q2590" s="14" t="str">
        <f>IF(M2590&gt;=I2590*'Hoja 4 - Cálculo'!$B$16,"Satisfactorio","Falla")</f>
        <v>Satisfactorio</v>
      </c>
      <c r="R2590" s="14">
        <f t="shared" si="607"/>
        <v>0</v>
      </c>
      <c r="S2590" s="14">
        <f t="shared" si="608"/>
        <v>0</v>
      </c>
    </row>
    <row r="2591" spans="1:19">
      <c r="A2591" s="14" t="str">
        <f t="shared" si="604"/>
        <v>CFG-4</v>
      </c>
      <c r="B2591" s="15">
        <f>'Curvas SRY'!$E$11</f>
        <v>5</v>
      </c>
      <c r="C2591" s="15">
        <f>1</f>
        <v>1</v>
      </c>
      <c r="D2591" s="14" t="str">
        <f t="shared" si="605"/>
        <v>Uso variable</v>
      </c>
      <c r="E2591" s="14">
        <f>68</f>
        <v>68</v>
      </c>
      <c r="F2591" s="21">
        <f>'Hoja 4 - Cálculo'!A92</f>
        <v>31625</v>
      </c>
      <c r="G2591" s="15">
        <f>'Hoja 4 - Cálculo'!H92</f>
        <v>15.032249999999999</v>
      </c>
      <c r="H2591" s="15">
        <f>IF(D2591="Uso único",'Hoja 4 - Cálculo'!I92,IF(D2591="Uso múltiple",AVERAGE('Hoja 4 - Cálculo'!$I$25:$I$384)+AVERAGE('Hoja 4 - Cálculo'!$J$25:$J$384)+AVERAGE('Hoja 4 - Cálculo'!$K$25:$K$384),IF(D2591="Uso prioritario",'Hoja 4 - Cálculo'!I92+'Hoja 4 - Cálculo'!K92,'Hoja 4 - Cálculo'!I92+'Hoja 4 - Cálculo'!J92+'Hoja 4 - Cálculo'!K92)))</f>
        <v>16</v>
      </c>
      <c r="I2591" s="15">
        <f t="shared" si="593"/>
        <v>16</v>
      </c>
      <c r="J2591" s="15">
        <f t="shared" si="606"/>
        <v>2.6757374999999968</v>
      </c>
      <c r="K2591" s="15">
        <f>MIN(J2591+G2591,(J2591+G2591)*'Hoja 4 - Cálculo'!$B$15)</f>
        <v>0.35415974999999988</v>
      </c>
      <c r="L2591" s="15">
        <f t="shared" si="599"/>
        <v>17.353827749999994</v>
      </c>
      <c r="M2591" s="15">
        <f t="shared" si="600"/>
        <v>16</v>
      </c>
      <c r="N2591" s="15">
        <f t="shared" si="601"/>
        <v>1.3538277499999936</v>
      </c>
      <c r="O2591" s="15">
        <f t="shared" si="602"/>
        <v>0</v>
      </c>
      <c r="P2591" s="15">
        <f t="shared" si="603"/>
        <v>0</v>
      </c>
      <c r="Q2591" s="14" t="str">
        <f>IF(M2591&gt;=I2591*'Hoja 4 - Cálculo'!$B$16,"Satisfactorio","Falla")</f>
        <v>Satisfactorio</v>
      </c>
      <c r="R2591" s="14">
        <f t="shared" si="607"/>
        <v>0</v>
      </c>
      <c r="S2591" s="14">
        <f t="shared" si="608"/>
        <v>0</v>
      </c>
    </row>
    <row r="2592" spans="1:19">
      <c r="A2592" s="14" t="str">
        <f t="shared" si="604"/>
        <v>CFG-4</v>
      </c>
      <c r="B2592" s="15">
        <f>'Curvas SRY'!$E$11</f>
        <v>5</v>
      </c>
      <c r="C2592" s="15">
        <f>1</f>
        <v>1</v>
      </c>
      <c r="D2592" s="14" t="str">
        <f t="shared" si="605"/>
        <v>Uso variable</v>
      </c>
      <c r="E2592" s="14">
        <f>69</f>
        <v>69</v>
      </c>
      <c r="F2592" s="21">
        <f>'Hoja 4 - Cálculo'!A93</f>
        <v>31656</v>
      </c>
      <c r="G2592" s="15">
        <f>'Hoja 4 - Cálculo'!H93</f>
        <v>22.60575</v>
      </c>
      <c r="H2592" s="15">
        <f>IF(D2592="Uso único",'Hoja 4 - Cálculo'!I93,IF(D2592="Uso múltiple",AVERAGE('Hoja 4 - Cálculo'!$I$25:$I$384)+AVERAGE('Hoja 4 - Cálculo'!$J$25:$J$384)+AVERAGE('Hoja 4 - Cálculo'!$K$25:$K$384),IF(D2592="Uso prioritario",'Hoja 4 - Cálculo'!I93+'Hoja 4 - Cálculo'!K93,'Hoja 4 - Cálculo'!I93+'Hoja 4 - Cálculo'!J93+'Hoja 4 - Cálculo'!K93)))</f>
        <v>11.5</v>
      </c>
      <c r="I2592" s="15">
        <f t="shared" si="593"/>
        <v>11.5</v>
      </c>
      <c r="J2592" s="15">
        <f t="shared" si="606"/>
        <v>1.3538277499999936</v>
      </c>
      <c r="K2592" s="15">
        <f>MIN(J2592+G2592,(J2592+G2592)*'Hoja 4 - Cálculo'!$B$15)</f>
        <v>0.47919155499999988</v>
      </c>
      <c r="L2592" s="15">
        <f t="shared" si="599"/>
        <v>23.480386194999994</v>
      </c>
      <c r="M2592" s="15">
        <f t="shared" si="600"/>
        <v>11.5</v>
      </c>
      <c r="N2592" s="15">
        <f t="shared" si="601"/>
        <v>5</v>
      </c>
      <c r="O2592" s="15">
        <f t="shared" si="602"/>
        <v>6.9803861949999941</v>
      </c>
      <c r="P2592" s="15">
        <f t="shared" si="603"/>
        <v>0</v>
      </c>
      <c r="Q2592" s="14" t="str">
        <f>IF(M2592&gt;=I2592*'Hoja 4 - Cálculo'!$B$16,"Satisfactorio","Falla")</f>
        <v>Satisfactorio</v>
      </c>
      <c r="R2592" s="14">
        <f t="shared" si="607"/>
        <v>0</v>
      </c>
      <c r="S2592" s="14">
        <f t="shared" si="608"/>
        <v>0</v>
      </c>
    </row>
    <row r="2593" spans="1:19">
      <c r="A2593" s="14" t="str">
        <f t="shared" si="604"/>
        <v>CFG-4</v>
      </c>
      <c r="B2593" s="15">
        <f>'Curvas SRY'!$E$11</f>
        <v>5</v>
      </c>
      <c r="C2593" s="15">
        <f>1</f>
        <v>1</v>
      </c>
      <c r="D2593" s="14" t="str">
        <f t="shared" si="605"/>
        <v>Uso variable</v>
      </c>
      <c r="E2593" s="14">
        <f>70</f>
        <v>70</v>
      </c>
      <c r="F2593" s="21">
        <f>'Hoja 4 - Cálculo'!A94</f>
        <v>31686</v>
      </c>
      <c r="G2593" s="15">
        <f>'Hoja 4 - Cálculo'!H94</f>
        <v>32.531624999999998</v>
      </c>
      <c r="H2593" s="15">
        <f>IF(D2593="Uso único",'Hoja 4 - Cálculo'!I94,IF(D2593="Uso múltiple",AVERAGE('Hoja 4 - Cálculo'!$I$25:$I$384)+AVERAGE('Hoja 4 - Cálculo'!$J$25:$J$384)+AVERAGE('Hoja 4 - Cálculo'!$K$25:$K$384),IF(D2593="Uso prioritario",'Hoja 4 - Cálculo'!I94+'Hoja 4 - Cálculo'!K94,'Hoja 4 - Cálculo'!I94+'Hoja 4 - Cálculo'!J94+'Hoja 4 - Cálculo'!K94)))</f>
        <v>11.5</v>
      </c>
      <c r="I2593" s="15">
        <f t="shared" si="593"/>
        <v>11.5</v>
      </c>
      <c r="J2593" s="15">
        <f t="shared" si="606"/>
        <v>5</v>
      </c>
      <c r="K2593" s="15">
        <f>MIN(J2593+G2593,(J2593+G2593)*'Hoja 4 - Cálculo'!$B$15)</f>
        <v>0.75063250000000004</v>
      </c>
      <c r="L2593" s="15">
        <f t="shared" si="599"/>
        <v>36.780992499999996</v>
      </c>
      <c r="M2593" s="15">
        <f t="shared" si="600"/>
        <v>11.5</v>
      </c>
      <c r="N2593" s="15">
        <f t="shared" si="601"/>
        <v>5</v>
      </c>
      <c r="O2593" s="15">
        <f t="shared" si="602"/>
        <v>20.280992499999996</v>
      </c>
      <c r="P2593" s="15">
        <f t="shared" si="603"/>
        <v>0</v>
      </c>
      <c r="Q2593" s="14" t="str">
        <f>IF(M2593&gt;=I2593*'Hoja 4 - Cálculo'!$B$16,"Satisfactorio","Falla")</f>
        <v>Satisfactorio</v>
      </c>
      <c r="R2593" s="14">
        <f t="shared" si="607"/>
        <v>0</v>
      </c>
      <c r="S2593" s="14">
        <f t="shared" si="608"/>
        <v>0</v>
      </c>
    </row>
    <row r="2594" spans="1:19">
      <c r="A2594" s="14" t="str">
        <f t="shared" si="604"/>
        <v>CFG-4</v>
      </c>
      <c r="B2594" s="15">
        <f>'Curvas SRY'!$E$11</f>
        <v>5</v>
      </c>
      <c r="C2594" s="15">
        <f>1</f>
        <v>1</v>
      </c>
      <c r="D2594" s="14" t="str">
        <f t="shared" si="605"/>
        <v>Uso variable</v>
      </c>
      <c r="E2594" s="14">
        <f>71</f>
        <v>71</v>
      </c>
      <c r="F2594" s="21">
        <f>'Hoja 4 - Cálculo'!A95</f>
        <v>31717</v>
      </c>
      <c r="G2594" s="15">
        <f>'Hoja 4 - Cálculo'!H95</f>
        <v>26.641124999999999</v>
      </c>
      <c r="H2594" s="15">
        <f>IF(D2594="Uso único",'Hoja 4 - Cálculo'!I95,IF(D2594="Uso múltiple",AVERAGE('Hoja 4 - Cálculo'!$I$25:$I$384)+AVERAGE('Hoja 4 - Cálculo'!$J$25:$J$384)+AVERAGE('Hoja 4 - Cálculo'!$K$25:$K$384),IF(D2594="Uso prioritario",'Hoja 4 - Cálculo'!I95+'Hoja 4 - Cálculo'!K95,'Hoja 4 - Cálculo'!I95+'Hoja 4 - Cálculo'!J95+'Hoja 4 - Cálculo'!K95)))</f>
        <v>11.5</v>
      </c>
      <c r="I2594" s="15">
        <f t="shared" si="593"/>
        <v>11.5</v>
      </c>
      <c r="J2594" s="15">
        <f t="shared" si="606"/>
        <v>5</v>
      </c>
      <c r="K2594" s="15">
        <f>MIN(J2594+G2594,(J2594+G2594)*'Hoja 4 - Cálculo'!$B$15)</f>
        <v>0.63282249999999995</v>
      </c>
      <c r="L2594" s="15">
        <f t="shared" si="599"/>
        <v>31.008302499999999</v>
      </c>
      <c r="M2594" s="15">
        <f t="shared" si="600"/>
        <v>11.5</v>
      </c>
      <c r="N2594" s="15">
        <f t="shared" si="601"/>
        <v>5</v>
      </c>
      <c r="O2594" s="15">
        <f t="shared" si="602"/>
        <v>14.508302499999999</v>
      </c>
      <c r="P2594" s="15">
        <f t="shared" si="603"/>
        <v>0</v>
      </c>
      <c r="Q2594" s="14" t="str">
        <f>IF(M2594&gt;=I2594*'Hoja 4 - Cálculo'!$B$16,"Satisfactorio","Falla")</f>
        <v>Satisfactorio</v>
      </c>
      <c r="R2594" s="14">
        <f t="shared" si="607"/>
        <v>0</v>
      </c>
      <c r="S2594" s="14">
        <f t="shared" si="608"/>
        <v>0</v>
      </c>
    </row>
    <row r="2595" spans="1:19">
      <c r="A2595" s="14" t="str">
        <f t="shared" si="604"/>
        <v>CFG-4</v>
      </c>
      <c r="B2595" s="15">
        <f>'Curvas SRY'!$E$11</f>
        <v>5</v>
      </c>
      <c r="C2595" s="15">
        <f>1</f>
        <v>1</v>
      </c>
      <c r="D2595" s="14" t="str">
        <f t="shared" si="605"/>
        <v>Uso variable</v>
      </c>
      <c r="E2595" s="14">
        <f>72</f>
        <v>72</v>
      </c>
      <c r="F2595" s="21">
        <f>'Hoja 4 - Cálculo'!A96</f>
        <v>31747</v>
      </c>
      <c r="G2595" s="15">
        <f>'Hoja 4 - Cálculo'!H96</f>
        <v>15.166124999999999</v>
      </c>
      <c r="H2595" s="15">
        <f>IF(D2595="Uso único",'Hoja 4 - Cálculo'!I96,IF(D2595="Uso múltiple",AVERAGE('Hoja 4 - Cálculo'!$I$25:$I$384)+AVERAGE('Hoja 4 - Cálculo'!$J$25:$J$384)+AVERAGE('Hoja 4 - Cálculo'!$K$25:$K$384),IF(D2595="Uso prioritario",'Hoja 4 - Cálculo'!I96+'Hoja 4 - Cálculo'!K96,'Hoja 4 - Cálculo'!I96+'Hoja 4 - Cálculo'!J96+'Hoja 4 - Cálculo'!K96)))</f>
        <v>16</v>
      </c>
      <c r="I2595" s="15">
        <f t="shared" si="593"/>
        <v>16</v>
      </c>
      <c r="J2595" s="15">
        <f t="shared" si="606"/>
        <v>5</v>
      </c>
      <c r="K2595" s="15">
        <f>MIN(J2595+G2595,(J2595+G2595)*'Hoja 4 - Cálculo'!$B$15)</f>
        <v>0.40332250000000003</v>
      </c>
      <c r="L2595" s="15">
        <f t="shared" si="599"/>
        <v>19.762802499999999</v>
      </c>
      <c r="M2595" s="15">
        <f t="shared" si="600"/>
        <v>16</v>
      </c>
      <c r="N2595" s="15">
        <f t="shared" si="601"/>
        <v>3.7628024999999994</v>
      </c>
      <c r="O2595" s="15">
        <f t="shared" si="602"/>
        <v>0</v>
      </c>
      <c r="P2595" s="15">
        <f t="shared" si="603"/>
        <v>0</v>
      </c>
      <c r="Q2595" s="14" t="str">
        <f>IF(M2595&gt;=I2595*'Hoja 4 - Cálculo'!$B$16,"Satisfactorio","Falla")</f>
        <v>Satisfactorio</v>
      </c>
      <c r="R2595" s="14">
        <f t="shared" si="607"/>
        <v>0</v>
      </c>
      <c r="S2595" s="14">
        <f t="shared" si="608"/>
        <v>0</v>
      </c>
    </row>
    <row r="2596" spans="1:19">
      <c r="A2596" s="14" t="str">
        <f t="shared" si="604"/>
        <v>CFG-4</v>
      </c>
      <c r="B2596" s="15">
        <f>'Curvas SRY'!$E$11</f>
        <v>5</v>
      </c>
      <c r="C2596" s="15">
        <f>1</f>
        <v>1</v>
      </c>
      <c r="D2596" s="14" t="str">
        <f t="shared" si="605"/>
        <v>Uso variable</v>
      </c>
      <c r="E2596" s="14">
        <f>73</f>
        <v>73</v>
      </c>
      <c r="F2596" s="21">
        <f>'Hoja 4 - Cálculo'!A97</f>
        <v>31778</v>
      </c>
      <c r="G2596" s="15">
        <f>'Hoja 4 - Cálculo'!H97</f>
        <v>14.056875</v>
      </c>
      <c r="H2596" s="15">
        <f>IF(D2596="Uso único",'Hoja 4 - Cálculo'!I97,IF(D2596="Uso múltiple",AVERAGE('Hoja 4 - Cálculo'!$I$25:$I$384)+AVERAGE('Hoja 4 - Cálculo'!$J$25:$J$384)+AVERAGE('Hoja 4 - Cálculo'!$K$25:$K$384),IF(D2596="Uso prioritario",'Hoja 4 - Cálculo'!I97+'Hoja 4 - Cálculo'!K97,'Hoja 4 - Cálculo'!I97+'Hoja 4 - Cálculo'!J97+'Hoja 4 - Cálculo'!K97)))</f>
        <v>16</v>
      </c>
      <c r="I2596" s="15">
        <f t="shared" si="593"/>
        <v>16</v>
      </c>
      <c r="J2596" s="15">
        <f t="shared" si="606"/>
        <v>3.7628024999999994</v>
      </c>
      <c r="K2596" s="15">
        <f>MIN(J2596+G2596,(J2596+G2596)*'Hoja 4 - Cálculo'!$B$15)</f>
        <v>0.35639354999999995</v>
      </c>
      <c r="L2596" s="15">
        <f t="shared" si="599"/>
        <v>17.463283949999997</v>
      </c>
      <c r="M2596" s="15">
        <f t="shared" si="600"/>
        <v>16</v>
      </c>
      <c r="N2596" s="15">
        <f t="shared" si="601"/>
        <v>1.4632839499999974</v>
      </c>
      <c r="O2596" s="15">
        <f t="shared" si="602"/>
        <v>0</v>
      </c>
      <c r="P2596" s="15">
        <f t="shared" si="603"/>
        <v>0</v>
      </c>
      <c r="Q2596" s="14" t="str">
        <f>IF(M2596&gt;=I2596*'Hoja 4 - Cálculo'!$B$16,"Satisfactorio","Falla")</f>
        <v>Satisfactorio</v>
      </c>
      <c r="R2596" s="14">
        <f t="shared" si="607"/>
        <v>0</v>
      </c>
      <c r="S2596" s="14">
        <f t="shared" si="608"/>
        <v>0</v>
      </c>
    </row>
    <row r="2597" spans="1:19">
      <c r="A2597" s="14" t="str">
        <f t="shared" si="604"/>
        <v>CFG-4</v>
      </c>
      <c r="B2597" s="15">
        <f>'Curvas SRY'!$E$11</f>
        <v>5</v>
      </c>
      <c r="C2597" s="15">
        <f>1</f>
        <v>1</v>
      </c>
      <c r="D2597" s="14" t="str">
        <f t="shared" si="605"/>
        <v>Uso variable</v>
      </c>
      <c r="E2597" s="14">
        <f>74</f>
        <v>74</v>
      </c>
      <c r="F2597" s="21">
        <f>'Hoja 4 - Cálculo'!A98</f>
        <v>31809</v>
      </c>
      <c r="G2597" s="15">
        <f>'Hoja 4 - Cálculo'!H98</f>
        <v>15.969374999999999</v>
      </c>
      <c r="H2597" s="15">
        <f>IF(D2597="Uso único",'Hoja 4 - Cálculo'!I98,IF(D2597="Uso múltiple",AVERAGE('Hoja 4 - Cálculo'!$I$25:$I$384)+AVERAGE('Hoja 4 - Cálculo'!$J$25:$J$384)+AVERAGE('Hoja 4 - Cálculo'!$K$25:$K$384),IF(D2597="Uso prioritario",'Hoja 4 - Cálculo'!I98+'Hoja 4 - Cálculo'!K98,'Hoja 4 - Cálculo'!I98+'Hoja 4 - Cálculo'!J98+'Hoja 4 - Cálculo'!K98)))</f>
        <v>16</v>
      </c>
      <c r="I2597" s="15">
        <f t="shared" si="593"/>
        <v>16</v>
      </c>
      <c r="J2597" s="15">
        <f t="shared" si="606"/>
        <v>1.4632839499999974</v>
      </c>
      <c r="K2597" s="15">
        <f>MIN(J2597+G2597,(J2597+G2597)*'Hoja 4 - Cálculo'!$B$15)</f>
        <v>0.34865317899999992</v>
      </c>
      <c r="L2597" s="15">
        <f t="shared" si="599"/>
        <v>17.084005770999998</v>
      </c>
      <c r="M2597" s="15">
        <f t="shared" si="600"/>
        <v>16</v>
      </c>
      <c r="N2597" s="15">
        <f t="shared" si="601"/>
        <v>1.0840057709999975</v>
      </c>
      <c r="O2597" s="15">
        <f t="shared" si="602"/>
        <v>0</v>
      </c>
      <c r="P2597" s="15">
        <f t="shared" si="603"/>
        <v>0</v>
      </c>
      <c r="Q2597" s="14" t="str">
        <f>IF(M2597&gt;=I2597*'Hoja 4 - Cálculo'!$B$16,"Satisfactorio","Falla")</f>
        <v>Satisfactorio</v>
      </c>
      <c r="R2597" s="14">
        <f t="shared" si="607"/>
        <v>0</v>
      </c>
      <c r="S2597" s="14">
        <f t="shared" si="608"/>
        <v>0</v>
      </c>
    </row>
    <row r="2598" spans="1:19">
      <c r="A2598" s="14" t="str">
        <f t="shared" si="604"/>
        <v>CFG-4</v>
      </c>
      <c r="B2598" s="15">
        <f>'Curvas SRY'!$E$11</f>
        <v>5</v>
      </c>
      <c r="C2598" s="15">
        <f>1</f>
        <v>1</v>
      </c>
      <c r="D2598" s="14" t="str">
        <f t="shared" si="605"/>
        <v>Uso variable</v>
      </c>
      <c r="E2598" s="14">
        <f>75</f>
        <v>75</v>
      </c>
      <c r="F2598" s="21">
        <f>'Hoja 4 - Cálculo'!A99</f>
        <v>31837</v>
      </c>
      <c r="G2598" s="15">
        <f>'Hoja 4 - Cálculo'!H99</f>
        <v>22.797000000000001</v>
      </c>
      <c r="H2598" s="15">
        <f>IF(D2598="Uso único",'Hoja 4 - Cálculo'!I99,IF(D2598="Uso múltiple",AVERAGE('Hoja 4 - Cálculo'!$I$25:$I$384)+AVERAGE('Hoja 4 - Cálculo'!$J$25:$J$384)+AVERAGE('Hoja 4 - Cálculo'!$K$25:$K$384),IF(D2598="Uso prioritario",'Hoja 4 - Cálculo'!I99+'Hoja 4 - Cálculo'!K99,'Hoja 4 - Cálculo'!I99+'Hoja 4 - Cálculo'!J99+'Hoja 4 - Cálculo'!K99)))</f>
        <v>16</v>
      </c>
      <c r="I2598" s="15">
        <f t="shared" si="593"/>
        <v>16</v>
      </c>
      <c r="J2598" s="15">
        <f t="shared" si="606"/>
        <v>1.0840057709999975</v>
      </c>
      <c r="K2598" s="15">
        <f>MIN(J2598+G2598,(J2598+G2598)*'Hoja 4 - Cálculo'!$B$15)</f>
        <v>0.47762011541999999</v>
      </c>
      <c r="L2598" s="15">
        <f t="shared" si="599"/>
        <v>23.403385655579999</v>
      </c>
      <c r="M2598" s="15">
        <f t="shared" si="600"/>
        <v>16</v>
      </c>
      <c r="N2598" s="15">
        <f t="shared" si="601"/>
        <v>5</v>
      </c>
      <c r="O2598" s="15">
        <f t="shared" si="602"/>
        <v>2.4033856555799993</v>
      </c>
      <c r="P2598" s="15">
        <f t="shared" si="603"/>
        <v>0</v>
      </c>
      <c r="Q2598" s="14" t="str">
        <f>IF(M2598&gt;=I2598*'Hoja 4 - Cálculo'!$B$16,"Satisfactorio","Falla")</f>
        <v>Satisfactorio</v>
      </c>
      <c r="R2598" s="14">
        <f t="shared" si="607"/>
        <v>0</v>
      </c>
      <c r="S2598" s="14">
        <f t="shared" si="608"/>
        <v>0</v>
      </c>
    </row>
    <row r="2599" spans="1:19">
      <c r="A2599" s="14" t="str">
        <f t="shared" si="604"/>
        <v>CFG-4</v>
      </c>
      <c r="B2599" s="15">
        <f>'Curvas SRY'!$E$11</f>
        <v>5</v>
      </c>
      <c r="C2599" s="15">
        <f>1</f>
        <v>1</v>
      </c>
      <c r="D2599" s="14" t="str">
        <f t="shared" si="605"/>
        <v>Uso variable</v>
      </c>
      <c r="E2599" s="14">
        <f>76</f>
        <v>76</v>
      </c>
      <c r="F2599" s="21">
        <f>'Hoja 4 - Cálculo'!A100</f>
        <v>31868</v>
      </c>
      <c r="G2599" s="15">
        <f>'Hoja 4 - Cálculo'!H100</f>
        <v>34.138125000000002</v>
      </c>
      <c r="H2599" s="15">
        <f>IF(D2599="Uso único",'Hoja 4 - Cálculo'!I100,IF(D2599="Uso múltiple",AVERAGE('Hoja 4 - Cálculo'!$I$25:$I$384)+AVERAGE('Hoja 4 - Cálculo'!$J$25:$J$384)+AVERAGE('Hoja 4 - Cálculo'!$K$25:$K$384),IF(D2599="Uso prioritario",'Hoja 4 - Cálculo'!I100+'Hoja 4 - Cálculo'!K100,'Hoja 4 - Cálculo'!I100+'Hoja 4 - Cálculo'!J100+'Hoja 4 - Cálculo'!K100)))</f>
        <v>11.5</v>
      </c>
      <c r="I2599" s="15">
        <f t="shared" si="593"/>
        <v>11.5</v>
      </c>
      <c r="J2599" s="15">
        <f t="shared" si="606"/>
        <v>5</v>
      </c>
      <c r="K2599" s="15">
        <f>MIN(J2599+G2599,(J2599+G2599)*'Hoja 4 - Cálculo'!$B$15)</f>
        <v>0.78276250000000003</v>
      </c>
      <c r="L2599" s="15">
        <f t="shared" si="599"/>
        <v>38.355362500000005</v>
      </c>
      <c r="M2599" s="15">
        <f t="shared" si="600"/>
        <v>11.5</v>
      </c>
      <c r="N2599" s="15">
        <f t="shared" si="601"/>
        <v>5</v>
      </c>
      <c r="O2599" s="15">
        <f t="shared" si="602"/>
        <v>21.855362500000005</v>
      </c>
      <c r="P2599" s="15">
        <f t="shared" si="603"/>
        <v>0</v>
      </c>
      <c r="Q2599" s="14" t="str">
        <f>IF(M2599&gt;=I2599*'Hoja 4 - Cálculo'!$B$16,"Satisfactorio","Falla")</f>
        <v>Satisfactorio</v>
      </c>
      <c r="R2599" s="14">
        <f t="shared" si="607"/>
        <v>0</v>
      </c>
      <c r="S2599" s="14">
        <f t="shared" si="608"/>
        <v>0</v>
      </c>
    </row>
    <row r="2600" spans="1:19">
      <c r="A2600" s="14" t="str">
        <f t="shared" si="604"/>
        <v>CFG-4</v>
      </c>
      <c r="B2600" s="15">
        <f>'Curvas SRY'!$E$11</f>
        <v>5</v>
      </c>
      <c r="C2600" s="15">
        <f>1</f>
        <v>1</v>
      </c>
      <c r="D2600" s="14" t="str">
        <f t="shared" si="605"/>
        <v>Uso variable</v>
      </c>
      <c r="E2600" s="14">
        <f>77</f>
        <v>77</v>
      </c>
      <c r="F2600" s="21">
        <f>'Hoja 4 - Cálculo'!A101</f>
        <v>31898</v>
      </c>
      <c r="G2600" s="15">
        <f>'Hoja 4 - Cálculo'!H101</f>
        <v>28.534500000000001</v>
      </c>
      <c r="H2600" s="15">
        <f>IF(D2600="Uso único",'Hoja 4 - Cálculo'!I101,IF(D2600="Uso múltiple",AVERAGE('Hoja 4 - Cálculo'!$I$25:$I$384)+AVERAGE('Hoja 4 - Cálculo'!$J$25:$J$384)+AVERAGE('Hoja 4 - Cálculo'!$K$25:$K$384),IF(D2600="Uso prioritario",'Hoja 4 - Cálculo'!I101+'Hoja 4 - Cálculo'!K101,'Hoja 4 - Cálculo'!I101+'Hoja 4 - Cálculo'!J101+'Hoja 4 - Cálculo'!K101)))</f>
        <v>11.5</v>
      </c>
      <c r="I2600" s="15">
        <f t="shared" si="593"/>
        <v>11.5</v>
      </c>
      <c r="J2600" s="15">
        <f t="shared" si="606"/>
        <v>5</v>
      </c>
      <c r="K2600" s="15">
        <f>MIN(J2600+G2600,(J2600+G2600)*'Hoja 4 - Cálculo'!$B$15)</f>
        <v>0.67069000000000001</v>
      </c>
      <c r="L2600" s="15">
        <f t="shared" si="599"/>
        <v>32.863810000000001</v>
      </c>
      <c r="M2600" s="15">
        <f t="shared" si="600"/>
        <v>11.5</v>
      </c>
      <c r="N2600" s="15">
        <f t="shared" si="601"/>
        <v>5</v>
      </c>
      <c r="O2600" s="15">
        <f t="shared" si="602"/>
        <v>16.363810000000001</v>
      </c>
      <c r="P2600" s="15">
        <f t="shared" si="603"/>
        <v>0</v>
      </c>
      <c r="Q2600" s="14" t="str">
        <f>IF(M2600&gt;=I2600*'Hoja 4 - Cálculo'!$B$16,"Satisfactorio","Falla")</f>
        <v>Satisfactorio</v>
      </c>
      <c r="R2600" s="14">
        <f t="shared" si="607"/>
        <v>0</v>
      </c>
      <c r="S2600" s="14">
        <f t="shared" si="608"/>
        <v>0</v>
      </c>
    </row>
    <row r="2601" spans="1:19">
      <c r="A2601" s="14" t="str">
        <f t="shared" si="604"/>
        <v>CFG-4</v>
      </c>
      <c r="B2601" s="15">
        <f>'Curvas SRY'!$E$11</f>
        <v>5</v>
      </c>
      <c r="C2601" s="15">
        <f>1</f>
        <v>1</v>
      </c>
      <c r="D2601" s="14" t="str">
        <f t="shared" si="605"/>
        <v>Uso variable</v>
      </c>
      <c r="E2601" s="14">
        <f>78</f>
        <v>78</v>
      </c>
      <c r="F2601" s="21">
        <f>'Hoja 4 - Cálculo'!A102</f>
        <v>31929</v>
      </c>
      <c r="G2601" s="15">
        <f>'Hoja 4 - Cálculo'!H102</f>
        <v>18.589500000000001</v>
      </c>
      <c r="H2601" s="15">
        <f>IF(D2601="Uso único",'Hoja 4 - Cálculo'!I102,IF(D2601="Uso múltiple",AVERAGE('Hoja 4 - Cálculo'!$I$25:$I$384)+AVERAGE('Hoja 4 - Cálculo'!$J$25:$J$384)+AVERAGE('Hoja 4 - Cálculo'!$K$25:$K$384),IF(D2601="Uso prioritario",'Hoja 4 - Cálculo'!I102+'Hoja 4 - Cálculo'!K102,'Hoja 4 - Cálculo'!I102+'Hoja 4 - Cálculo'!J102+'Hoja 4 - Cálculo'!K102)))</f>
        <v>11.5</v>
      </c>
      <c r="I2601" s="15">
        <f t="shared" si="593"/>
        <v>11.5</v>
      </c>
      <c r="J2601" s="15">
        <f t="shared" si="606"/>
        <v>5</v>
      </c>
      <c r="K2601" s="15">
        <f>MIN(J2601+G2601,(J2601+G2601)*'Hoja 4 - Cálculo'!$B$15)</f>
        <v>0.47179000000000004</v>
      </c>
      <c r="L2601" s="15">
        <f t="shared" si="599"/>
        <v>23.117710000000002</v>
      </c>
      <c r="M2601" s="15">
        <f t="shared" si="600"/>
        <v>11.5</v>
      </c>
      <c r="N2601" s="15">
        <f t="shared" si="601"/>
        <v>5</v>
      </c>
      <c r="O2601" s="15">
        <f t="shared" si="602"/>
        <v>6.6177100000000024</v>
      </c>
      <c r="P2601" s="15">
        <f t="shared" si="603"/>
        <v>0</v>
      </c>
      <c r="Q2601" s="14" t="str">
        <f>IF(M2601&gt;=I2601*'Hoja 4 - Cálculo'!$B$16,"Satisfactorio","Falla")</f>
        <v>Satisfactorio</v>
      </c>
      <c r="R2601" s="14">
        <f t="shared" si="607"/>
        <v>0</v>
      </c>
      <c r="S2601" s="14">
        <f t="shared" si="608"/>
        <v>0</v>
      </c>
    </row>
    <row r="2602" spans="1:19">
      <c r="A2602" s="14" t="str">
        <f t="shared" si="604"/>
        <v>CFG-4</v>
      </c>
      <c r="B2602" s="15">
        <f>'Curvas SRY'!$E$11</f>
        <v>5</v>
      </c>
      <c r="C2602" s="15">
        <f>1</f>
        <v>1</v>
      </c>
      <c r="D2602" s="14" t="str">
        <f t="shared" si="605"/>
        <v>Uso variable</v>
      </c>
      <c r="E2602" s="14">
        <f>79</f>
        <v>79</v>
      </c>
      <c r="F2602" s="21">
        <f>'Hoja 4 - Cálculo'!A103</f>
        <v>31959</v>
      </c>
      <c r="G2602" s="15">
        <f>'Hoja 4 - Cálculo'!H103</f>
        <v>14.688000000000001</v>
      </c>
      <c r="H2602" s="15">
        <f>IF(D2602="Uso único",'Hoja 4 - Cálculo'!I103,IF(D2602="Uso múltiple",AVERAGE('Hoja 4 - Cálculo'!$I$25:$I$384)+AVERAGE('Hoja 4 - Cálculo'!$J$25:$J$384)+AVERAGE('Hoja 4 - Cálculo'!$K$25:$K$384),IF(D2602="Uso prioritario",'Hoja 4 - Cálculo'!I103+'Hoja 4 - Cálculo'!K103,'Hoja 4 - Cálculo'!I103+'Hoja 4 - Cálculo'!J103+'Hoja 4 - Cálculo'!K103)))</f>
        <v>16</v>
      </c>
      <c r="I2602" s="15">
        <f t="shared" si="593"/>
        <v>16</v>
      </c>
      <c r="J2602" s="15">
        <f t="shared" si="606"/>
        <v>5</v>
      </c>
      <c r="K2602" s="15">
        <f>MIN(J2602+G2602,(J2602+G2602)*'Hoja 4 - Cálculo'!$B$15)</f>
        <v>0.39376000000000005</v>
      </c>
      <c r="L2602" s="15">
        <f t="shared" si="599"/>
        <v>19.294240000000002</v>
      </c>
      <c r="M2602" s="15">
        <f t="shared" si="600"/>
        <v>16</v>
      </c>
      <c r="N2602" s="15">
        <f t="shared" si="601"/>
        <v>3.2942400000000021</v>
      </c>
      <c r="O2602" s="15">
        <f t="shared" si="602"/>
        <v>0</v>
      </c>
      <c r="P2602" s="15">
        <f t="shared" si="603"/>
        <v>0</v>
      </c>
      <c r="Q2602" s="14" t="str">
        <f>IF(M2602&gt;=I2602*'Hoja 4 - Cálculo'!$B$16,"Satisfactorio","Falla")</f>
        <v>Satisfactorio</v>
      </c>
      <c r="R2602" s="14">
        <f t="shared" si="607"/>
        <v>0</v>
      </c>
      <c r="S2602" s="14">
        <f t="shared" si="608"/>
        <v>0</v>
      </c>
    </row>
    <row r="2603" spans="1:19">
      <c r="A2603" s="14" t="str">
        <f t="shared" si="604"/>
        <v>CFG-4</v>
      </c>
      <c r="B2603" s="15">
        <f>'Curvas SRY'!$E$11</f>
        <v>5</v>
      </c>
      <c r="C2603" s="15">
        <f>1</f>
        <v>1</v>
      </c>
      <c r="D2603" s="14" t="str">
        <f t="shared" si="605"/>
        <v>Uso variable</v>
      </c>
      <c r="E2603" s="14">
        <f>80</f>
        <v>80</v>
      </c>
      <c r="F2603" s="21">
        <f>'Hoja 4 - Cálculo'!A104</f>
        <v>31990</v>
      </c>
      <c r="G2603" s="15">
        <f>'Hoja 4 - Cálculo'!H104</f>
        <v>15.759</v>
      </c>
      <c r="H2603" s="15">
        <f>IF(D2603="Uso único",'Hoja 4 - Cálculo'!I104,IF(D2603="Uso múltiple",AVERAGE('Hoja 4 - Cálculo'!$I$25:$I$384)+AVERAGE('Hoja 4 - Cálculo'!$J$25:$J$384)+AVERAGE('Hoja 4 - Cálculo'!$K$25:$K$384),IF(D2603="Uso prioritario",'Hoja 4 - Cálculo'!I104+'Hoja 4 - Cálculo'!K104,'Hoja 4 - Cálculo'!I104+'Hoja 4 - Cálculo'!J104+'Hoja 4 - Cálculo'!K104)))</f>
        <v>16</v>
      </c>
      <c r="I2603" s="15">
        <f t="shared" si="593"/>
        <v>16</v>
      </c>
      <c r="J2603" s="15">
        <f t="shared" si="606"/>
        <v>3.2942400000000021</v>
      </c>
      <c r="K2603" s="15">
        <f>MIN(J2603+G2603,(J2603+G2603)*'Hoja 4 - Cálculo'!$B$15)</f>
        <v>0.38106480000000004</v>
      </c>
      <c r="L2603" s="15">
        <f t="shared" si="599"/>
        <v>18.672175200000002</v>
      </c>
      <c r="M2603" s="15">
        <f t="shared" si="600"/>
        <v>16</v>
      </c>
      <c r="N2603" s="15">
        <f t="shared" si="601"/>
        <v>2.6721752000000016</v>
      </c>
      <c r="O2603" s="15">
        <f t="shared" si="602"/>
        <v>0</v>
      </c>
      <c r="P2603" s="15">
        <f t="shared" si="603"/>
        <v>0</v>
      </c>
      <c r="Q2603" s="14" t="str">
        <f>IF(M2603&gt;=I2603*'Hoja 4 - Cálculo'!$B$16,"Satisfactorio","Falla")</f>
        <v>Satisfactorio</v>
      </c>
      <c r="R2603" s="14">
        <f t="shared" si="607"/>
        <v>0</v>
      </c>
      <c r="S2603" s="14">
        <f t="shared" si="608"/>
        <v>0</v>
      </c>
    </row>
    <row r="2604" spans="1:19">
      <c r="A2604" s="14" t="str">
        <f t="shared" si="604"/>
        <v>CFG-4</v>
      </c>
      <c r="B2604" s="15">
        <f>'Curvas SRY'!$E$11</f>
        <v>5</v>
      </c>
      <c r="C2604" s="15">
        <f>1</f>
        <v>1</v>
      </c>
      <c r="D2604" s="14" t="str">
        <f t="shared" si="605"/>
        <v>Uso variable</v>
      </c>
      <c r="E2604" s="14">
        <f>81</f>
        <v>81</v>
      </c>
      <c r="F2604" s="21">
        <f>'Hoja 4 - Cálculo'!A105</f>
        <v>32021</v>
      </c>
      <c r="G2604" s="15">
        <f>'Hoja 4 - Cálculo'!H105</f>
        <v>26.220375000000001</v>
      </c>
      <c r="H2604" s="15">
        <f>IF(D2604="Uso único",'Hoja 4 - Cálculo'!I105,IF(D2604="Uso múltiple",AVERAGE('Hoja 4 - Cálculo'!$I$25:$I$384)+AVERAGE('Hoja 4 - Cálculo'!$J$25:$J$384)+AVERAGE('Hoja 4 - Cálculo'!$K$25:$K$384),IF(D2604="Uso prioritario",'Hoja 4 - Cálculo'!I105+'Hoja 4 - Cálculo'!K105,'Hoja 4 - Cálculo'!I105+'Hoja 4 - Cálculo'!J105+'Hoja 4 - Cálculo'!K105)))</f>
        <v>11.5</v>
      </c>
      <c r="I2604" s="15">
        <f t="shared" si="593"/>
        <v>11.5</v>
      </c>
      <c r="J2604" s="15">
        <f t="shared" si="606"/>
        <v>2.6721752000000016</v>
      </c>
      <c r="K2604" s="15">
        <f>MIN(J2604+G2604,(J2604+G2604)*'Hoja 4 - Cálculo'!$B$15)</f>
        <v>0.57785100400000011</v>
      </c>
      <c r="L2604" s="15">
        <f t="shared" si="599"/>
        <v>28.314699196000003</v>
      </c>
      <c r="M2604" s="15">
        <f t="shared" si="600"/>
        <v>11.5</v>
      </c>
      <c r="N2604" s="15">
        <f t="shared" si="601"/>
        <v>5</v>
      </c>
      <c r="O2604" s="15">
        <f t="shared" si="602"/>
        <v>11.814699196000003</v>
      </c>
      <c r="P2604" s="15">
        <f t="shared" si="603"/>
        <v>0</v>
      </c>
      <c r="Q2604" s="14" t="str">
        <f>IF(M2604&gt;=I2604*'Hoja 4 - Cálculo'!$B$16,"Satisfactorio","Falla")</f>
        <v>Satisfactorio</v>
      </c>
      <c r="R2604" s="14">
        <f t="shared" si="607"/>
        <v>0</v>
      </c>
      <c r="S2604" s="14">
        <f t="shared" si="608"/>
        <v>0</v>
      </c>
    </row>
    <row r="2605" spans="1:19">
      <c r="A2605" s="14" t="str">
        <f t="shared" si="604"/>
        <v>CFG-4</v>
      </c>
      <c r="B2605" s="15">
        <f>'Curvas SRY'!$E$11</f>
        <v>5</v>
      </c>
      <c r="C2605" s="15">
        <f>1</f>
        <v>1</v>
      </c>
      <c r="D2605" s="14" t="str">
        <f t="shared" si="605"/>
        <v>Uso variable</v>
      </c>
      <c r="E2605" s="14">
        <f>82</f>
        <v>82</v>
      </c>
      <c r="F2605" s="21">
        <f>'Hoja 4 - Cálculo'!A106</f>
        <v>32051</v>
      </c>
      <c r="G2605" s="15">
        <f>'Hoja 4 - Cálculo'!H106</f>
        <v>32.627249999999997</v>
      </c>
      <c r="H2605" s="15">
        <f>IF(D2605="Uso único",'Hoja 4 - Cálculo'!I106,IF(D2605="Uso múltiple",AVERAGE('Hoja 4 - Cálculo'!$I$25:$I$384)+AVERAGE('Hoja 4 - Cálculo'!$J$25:$J$384)+AVERAGE('Hoja 4 - Cálculo'!$K$25:$K$384),IF(D2605="Uso prioritario",'Hoja 4 - Cálculo'!I106+'Hoja 4 - Cálculo'!K106,'Hoja 4 - Cálculo'!I106+'Hoja 4 - Cálculo'!J106+'Hoja 4 - Cálculo'!K106)))</f>
        <v>11.5</v>
      </c>
      <c r="I2605" s="15">
        <f t="shared" si="593"/>
        <v>11.5</v>
      </c>
      <c r="J2605" s="15">
        <f t="shared" si="606"/>
        <v>5</v>
      </c>
      <c r="K2605" s="15">
        <f>MIN(J2605+G2605,(J2605+G2605)*'Hoja 4 - Cálculo'!$B$15)</f>
        <v>0.75254499999999991</v>
      </c>
      <c r="L2605" s="15">
        <f t="shared" si="599"/>
        <v>36.874704999999999</v>
      </c>
      <c r="M2605" s="15">
        <f t="shared" si="600"/>
        <v>11.5</v>
      </c>
      <c r="N2605" s="15">
        <f t="shared" si="601"/>
        <v>5</v>
      </c>
      <c r="O2605" s="15">
        <f t="shared" si="602"/>
        <v>20.374704999999999</v>
      </c>
      <c r="P2605" s="15">
        <f t="shared" si="603"/>
        <v>0</v>
      </c>
      <c r="Q2605" s="14" t="str">
        <f>IF(M2605&gt;=I2605*'Hoja 4 - Cálculo'!$B$16,"Satisfactorio","Falla")</f>
        <v>Satisfactorio</v>
      </c>
      <c r="R2605" s="14">
        <f t="shared" si="607"/>
        <v>0</v>
      </c>
      <c r="S2605" s="14">
        <f t="shared" si="608"/>
        <v>0</v>
      </c>
    </row>
    <row r="2606" spans="1:19">
      <c r="A2606" s="14" t="str">
        <f t="shared" si="604"/>
        <v>CFG-4</v>
      </c>
      <c r="B2606" s="15">
        <f>'Curvas SRY'!$E$11</f>
        <v>5</v>
      </c>
      <c r="C2606" s="15">
        <f>1</f>
        <v>1</v>
      </c>
      <c r="D2606" s="14" t="str">
        <f t="shared" si="605"/>
        <v>Uso variable</v>
      </c>
      <c r="E2606" s="14">
        <f>83</f>
        <v>83</v>
      </c>
      <c r="F2606" s="21">
        <f>'Hoja 4 - Cálculo'!A107</f>
        <v>32082</v>
      </c>
      <c r="G2606" s="15">
        <f>'Hoja 4 - Cálculo'!H107</f>
        <v>29.758500000000002</v>
      </c>
      <c r="H2606" s="15">
        <f>IF(D2606="Uso único",'Hoja 4 - Cálculo'!I107,IF(D2606="Uso múltiple",AVERAGE('Hoja 4 - Cálculo'!$I$25:$I$384)+AVERAGE('Hoja 4 - Cálculo'!$J$25:$J$384)+AVERAGE('Hoja 4 - Cálculo'!$K$25:$K$384),IF(D2606="Uso prioritario",'Hoja 4 - Cálculo'!I107+'Hoja 4 - Cálculo'!K107,'Hoja 4 - Cálculo'!I107+'Hoja 4 - Cálculo'!J107+'Hoja 4 - Cálculo'!K107)))</f>
        <v>11.5</v>
      </c>
      <c r="I2606" s="15">
        <f t="shared" si="593"/>
        <v>11.5</v>
      </c>
      <c r="J2606" s="15">
        <f t="shared" si="606"/>
        <v>5</v>
      </c>
      <c r="K2606" s="15">
        <f>MIN(J2606+G2606,(J2606+G2606)*'Hoja 4 - Cálculo'!$B$15)</f>
        <v>0.69516999999999995</v>
      </c>
      <c r="L2606" s="15">
        <f t="shared" si="599"/>
        <v>34.063330000000001</v>
      </c>
      <c r="M2606" s="15">
        <f t="shared" si="600"/>
        <v>11.5</v>
      </c>
      <c r="N2606" s="15">
        <f t="shared" si="601"/>
        <v>5</v>
      </c>
      <c r="O2606" s="15">
        <f t="shared" si="602"/>
        <v>17.563330000000001</v>
      </c>
      <c r="P2606" s="15">
        <f t="shared" si="603"/>
        <v>0</v>
      </c>
      <c r="Q2606" s="14" t="str">
        <f>IF(M2606&gt;=I2606*'Hoja 4 - Cálculo'!$B$16,"Satisfactorio","Falla")</f>
        <v>Satisfactorio</v>
      </c>
      <c r="R2606" s="14">
        <f t="shared" si="607"/>
        <v>0</v>
      </c>
      <c r="S2606" s="14">
        <f t="shared" si="608"/>
        <v>0</v>
      </c>
    </row>
    <row r="2607" spans="1:19">
      <c r="A2607" s="14" t="str">
        <f t="shared" si="604"/>
        <v>CFG-4</v>
      </c>
      <c r="B2607" s="15">
        <f>'Curvas SRY'!$E$11</f>
        <v>5</v>
      </c>
      <c r="C2607" s="15">
        <f>1</f>
        <v>1</v>
      </c>
      <c r="D2607" s="14" t="str">
        <f t="shared" si="605"/>
        <v>Uso variable</v>
      </c>
      <c r="E2607" s="14">
        <f>84</f>
        <v>84</v>
      </c>
      <c r="F2607" s="21">
        <f>'Hoja 4 - Cálculo'!A108</f>
        <v>32112</v>
      </c>
      <c r="G2607" s="15">
        <f>'Hoja 4 - Cálculo'!H108</f>
        <v>16.543125</v>
      </c>
      <c r="H2607" s="15">
        <f>IF(D2607="Uso único",'Hoja 4 - Cálculo'!I108,IF(D2607="Uso múltiple",AVERAGE('Hoja 4 - Cálculo'!$I$25:$I$384)+AVERAGE('Hoja 4 - Cálculo'!$J$25:$J$384)+AVERAGE('Hoja 4 - Cálculo'!$K$25:$K$384),IF(D2607="Uso prioritario",'Hoja 4 - Cálculo'!I108+'Hoja 4 - Cálculo'!K108,'Hoja 4 - Cálculo'!I108+'Hoja 4 - Cálculo'!J108+'Hoja 4 - Cálculo'!K108)))</f>
        <v>16</v>
      </c>
      <c r="I2607" s="15">
        <f t="shared" si="593"/>
        <v>16</v>
      </c>
      <c r="J2607" s="15">
        <f t="shared" si="606"/>
        <v>5</v>
      </c>
      <c r="K2607" s="15">
        <f>MIN(J2607+G2607,(J2607+G2607)*'Hoja 4 - Cálculo'!$B$15)</f>
        <v>0.43086249999999998</v>
      </c>
      <c r="L2607" s="15">
        <f t="shared" si="599"/>
        <v>21.1122625</v>
      </c>
      <c r="M2607" s="15">
        <f t="shared" si="600"/>
        <v>16</v>
      </c>
      <c r="N2607" s="15">
        <f t="shared" si="601"/>
        <v>5</v>
      </c>
      <c r="O2607" s="15">
        <f t="shared" si="602"/>
        <v>0.11226249999999993</v>
      </c>
      <c r="P2607" s="15">
        <f t="shared" si="603"/>
        <v>0</v>
      </c>
      <c r="Q2607" s="14" t="str">
        <f>IF(M2607&gt;=I2607*'Hoja 4 - Cálculo'!$B$16,"Satisfactorio","Falla")</f>
        <v>Satisfactorio</v>
      </c>
      <c r="R2607" s="14">
        <f t="shared" si="607"/>
        <v>0</v>
      </c>
      <c r="S2607" s="14">
        <f t="shared" si="608"/>
        <v>0</v>
      </c>
    </row>
    <row r="2608" spans="1:19">
      <c r="A2608" s="14" t="str">
        <f t="shared" si="604"/>
        <v>CFG-4</v>
      </c>
      <c r="B2608" s="15">
        <f>'Curvas SRY'!$E$11</f>
        <v>5</v>
      </c>
      <c r="C2608" s="15">
        <f>1</f>
        <v>1</v>
      </c>
      <c r="D2608" s="14" t="str">
        <f t="shared" si="605"/>
        <v>Uso variable</v>
      </c>
      <c r="E2608" s="14">
        <f>85</f>
        <v>85</v>
      </c>
      <c r="F2608" s="21">
        <f>'Hoja 4 - Cálculo'!A109</f>
        <v>32143</v>
      </c>
      <c r="G2608" s="15">
        <f>'Hoja 4 - Cálculo'!H109</f>
        <v>13.291874999999999</v>
      </c>
      <c r="H2608" s="15">
        <f>IF(D2608="Uso único",'Hoja 4 - Cálculo'!I109,IF(D2608="Uso múltiple",AVERAGE('Hoja 4 - Cálculo'!$I$25:$I$384)+AVERAGE('Hoja 4 - Cálculo'!$J$25:$J$384)+AVERAGE('Hoja 4 - Cálculo'!$K$25:$K$384),IF(D2608="Uso prioritario",'Hoja 4 - Cálculo'!I109+'Hoja 4 - Cálculo'!K109,'Hoja 4 - Cálculo'!I109+'Hoja 4 - Cálculo'!J109+'Hoja 4 - Cálculo'!K109)))</f>
        <v>16</v>
      </c>
      <c r="I2608" s="15">
        <f t="shared" si="593"/>
        <v>16</v>
      </c>
      <c r="J2608" s="15">
        <f t="shared" si="606"/>
        <v>5</v>
      </c>
      <c r="K2608" s="15">
        <f>MIN(J2608+G2608,(J2608+G2608)*'Hoja 4 - Cálculo'!$B$15)</f>
        <v>0.36583749999999998</v>
      </c>
      <c r="L2608" s="15">
        <f t="shared" si="599"/>
        <v>17.926037499999996</v>
      </c>
      <c r="M2608" s="15">
        <f t="shared" si="600"/>
        <v>16</v>
      </c>
      <c r="N2608" s="15">
        <f t="shared" si="601"/>
        <v>1.9260374999999961</v>
      </c>
      <c r="O2608" s="15">
        <f t="shared" si="602"/>
        <v>0</v>
      </c>
      <c r="P2608" s="15">
        <f t="shared" si="603"/>
        <v>0</v>
      </c>
      <c r="Q2608" s="14" t="str">
        <f>IF(M2608&gt;=I2608*'Hoja 4 - Cálculo'!$B$16,"Satisfactorio","Falla")</f>
        <v>Satisfactorio</v>
      </c>
      <c r="R2608" s="14">
        <f t="shared" si="607"/>
        <v>0</v>
      </c>
      <c r="S2608" s="14">
        <f t="shared" si="608"/>
        <v>0</v>
      </c>
    </row>
    <row r="2609" spans="1:19">
      <c r="A2609" s="14" t="str">
        <f t="shared" si="604"/>
        <v>CFG-4</v>
      </c>
      <c r="B2609" s="15">
        <f>'Curvas SRY'!$E$11</f>
        <v>5</v>
      </c>
      <c r="C2609" s="15">
        <f>1</f>
        <v>1</v>
      </c>
      <c r="D2609" s="14" t="str">
        <f t="shared" si="605"/>
        <v>Uso variable</v>
      </c>
      <c r="E2609" s="14">
        <f>86</f>
        <v>86</v>
      </c>
      <c r="F2609" s="21">
        <f>'Hoja 4 - Cálculo'!A110</f>
        <v>32174</v>
      </c>
      <c r="G2609" s="15">
        <f>'Hoja 4 - Cálculo'!H110</f>
        <v>14.19075</v>
      </c>
      <c r="H2609" s="15">
        <f>IF(D2609="Uso único",'Hoja 4 - Cálculo'!I110,IF(D2609="Uso múltiple",AVERAGE('Hoja 4 - Cálculo'!$I$25:$I$384)+AVERAGE('Hoja 4 - Cálculo'!$J$25:$J$384)+AVERAGE('Hoja 4 - Cálculo'!$K$25:$K$384),IF(D2609="Uso prioritario",'Hoja 4 - Cálculo'!I110+'Hoja 4 - Cálculo'!K110,'Hoja 4 - Cálculo'!I110+'Hoja 4 - Cálculo'!J110+'Hoja 4 - Cálculo'!K110)))</f>
        <v>16</v>
      </c>
      <c r="I2609" s="15">
        <f t="shared" si="593"/>
        <v>16</v>
      </c>
      <c r="J2609" s="15">
        <f t="shared" si="606"/>
        <v>1.9260374999999961</v>
      </c>
      <c r="K2609" s="15">
        <f>MIN(J2609+G2609,(J2609+G2609)*'Hoja 4 - Cálculo'!$B$15)</f>
        <v>0.32233574999999987</v>
      </c>
      <c r="L2609" s="15">
        <f t="shared" si="599"/>
        <v>15.794451749999993</v>
      </c>
      <c r="M2609" s="15">
        <f t="shared" si="600"/>
        <v>15.794451749999993</v>
      </c>
      <c r="N2609" s="15">
        <f t="shared" si="601"/>
        <v>0</v>
      </c>
      <c r="O2609" s="15">
        <f t="shared" si="602"/>
        <v>0</v>
      </c>
      <c r="P2609" s="15">
        <f t="shared" si="603"/>
        <v>0.20554825000000676</v>
      </c>
      <c r="Q2609" s="14" t="str">
        <f>IF(M2609&gt;=I2609*'Hoja 4 - Cálculo'!$B$16,"Satisfactorio","Falla")</f>
        <v>Falla</v>
      </c>
      <c r="R2609" s="14">
        <f t="shared" si="607"/>
        <v>0</v>
      </c>
      <c r="S2609" s="14">
        <f t="shared" si="608"/>
        <v>1</v>
      </c>
    </row>
    <row r="2610" spans="1:19">
      <c r="A2610" s="14" t="str">
        <f t="shared" si="604"/>
        <v>CFG-4</v>
      </c>
      <c r="B2610" s="15">
        <f>'Curvas SRY'!$E$11</f>
        <v>5</v>
      </c>
      <c r="C2610" s="15">
        <f>1</f>
        <v>1</v>
      </c>
      <c r="D2610" s="14" t="str">
        <f t="shared" si="605"/>
        <v>Uso variable</v>
      </c>
      <c r="E2610" s="14">
        <f>87</f>
        <v>87</v>
      </c>
      <c r="F2610" s="21">
        <f>'Hoja 4 - Cálculo'!A111</f>
        <v>32203</v>
      </c>
      <c r="G2610" s="15">
        <f>'Hoja 4 - Cálculo'!H111</f>
        <v>22.338000000000001</v>
      </c>
      <c r="H2610" s="15">
        <f>IF(D2610="Uso único",'Hoja 4 - Cálculo'!I111,IF(D2610="Uso múltiple",AVERAGE('Hoja 4 - Cálculo'!$I$25:$I$384)+AVERAGE('Hoja 4 - Cálculo'!$J$25:$J$384)+AVERAGE('Hoja 4 - Cálculo'!$K$25:$K$384),IF(D2610="Uso prioritario",'Hoja 4 - Cálculo'!I111+'Hoja 4 - Cálculo'!K111,'Hoja 4 - Cálculo'!I111+'Hoja 4 - Cálculo'!J111+'Hoja 4 - Cálculo'!K111)))</f>
        <v>16</v>
      </c>
      <c r="I2610" s="15">
        <f t="shared" si="593"/>
        <v>16</v>
      </c>
      <c r="J2610" s="15">
        <f t="shared" si="606"/>
        <v>0</v>
      </c>
      <c r="K2610" s="15">
        <f>MIN(J2610+G2610,(J2610+G2610)*'Hoja 4 - Cálculo'!$B$15)</f>
        <v>0.44676000000000005</v>
      </c>
      <c r="L2610" s="15">
        <f t="shared" si="599"/>
        <v>21.89124</v>
      </c>
      <c r="M2610" s="15">
        <f t="shared" si="600"/>
        <v>16</v>
      </c>
      <c r="N2610" s="15">
        <f t="shared" si="601"/>
        <v>5</v>
      </c>
      <c r="O2610" s="15">
        <f t="shared" si="602"/>
        <v>0.89123999999999981</v>
      </c>
      <c r="P2610" s="15">
        <f t="shared" si="603"/>
        <v>0</v>
      </c>
      <c r="Q2610" s="14" t="str">
        <f>IF(M2610&gt;=I2610*'Hoja 4 - Cálculo'!$B$16,"Satisfactorio","Falla")</f>
        <v>Satisfactorio</v>
      </c>
      <c r="R2610" s="14">
        <f t="shared" si="607"/>
        <v>1</v>
      </c>
      <c r="S2610" s="14">
        <f t="shared" si="608"/>
        <v>0</v>
      </c>
    </row>
    <row r="2611" spans="1:19">
      <c r="A2611" s="14" t="str">
        <f t="shared" si="604"/>
        <v>CFG-4</v>
      </c>
      <c r="B2611" s="15">
        <f>'Curvas SRY'!$E$11</f>
        <v>5</v>
      </c>
      <c r="C2611" s="15">
        <f>1</f>
        <v>1</v>
      </c>
      <c r="D2611" s="14" t="str">
        <f t="shared" si="605"/>
        <v>Uso variable</v>
      </c>
      <c r="E2611" s="14">
        <f>88</f>
        <v>88</v>
      </c>
      <c r="F2611" s="21">
        <f>'Hoja 4 - Cálculo'!A112</f>
        <v>32234</v>
      </c>
      <c r="G2611" s="15">
        <f>'Hoja 4 - Cálculo'!H112</f>
        <v>29.643750000000001</v>
      </c>
      <c r="H2611" s="15">
        <f>IF(D2611="Uso único",'Hoja 4 - Cálculo'!I112,IF(D2611="Uso múltiple",AVERAGE('Hoja 4 - Cálculo'!$I$25:$I$384)+AVERAGE('Hoja 4 - Cálculo'!$J$25:$J$384)+AVERAGE('Hoja 4 - Cálculo'!$K$25:$K$384),IF(D2611="Uso prioritario",'Hoja 4 - Cálculo'!I112+'Hoja 4 - Cálculo'!K112,'Hoja 4 - Cálculo'!I112+'Hoja 4 - Cálculo'!J112+'Hoja 4 - Cálculo'!K112)))</f>
        <v>11.5</v>
      </c>
      <c r="I2611" s="15">
        <f t="shared" si="593"/>
        <v>11.5</v>
      </c>
      <c r="J2611" s="15">
        <f t="shared" si="606"/>
        <v>5</v>
      </c>
      <c r="K2611" s="15">
        <f>MIN(J2611+G2611,(J2611+G2611)*'Hoja 4 - Cálculo'!$B$15)</f>
        <v>0.69287499999999991</v>
      </c>
      <c r="L2611" s="15">
        <f t="shared" si="599"/>
        <v>33.950874999999996</v>
      </c>
      <c r="M2611" s="15">
        <f t="shared" si="600"/>
        <v>11.5</v>
      </c>
      <c r="N2611" s="15">
        <f t="shared" si="601"/>
        <v>5</v>
      </c>
      <c r="O2611" s="15">
        <f t="shared" si="602"/>
        <v>17.450874999999996</v>
      </c>
      <c r="P2611" s="15">
        <f t="shared" si="603"/>
        <v>0</v>
      </c>
      <c r="Q2611" s="14" t="str">
        <f>IF(M2611&gt;=I2611*'Hoja 4 - Cálculo'!$B$16,"Satisfactorio","Falla")</f>
        <v>Satisfactorio</v>
      </c>
      <c r="R2611" s="14">
        <f t="shared" si="607"/>
        <v>0</v>
      </c>
      <c r="S2611" s="14">
        <f t="shared" si="608"/>
        <v>0</v>
      </c>
    </row>
    <row r="2612" spans="1:19">
      <c r="A2612" s="14" t="str">
        <f t="shared" si="604"/>
        <v>CFG-4</v>
      </c>
      <c r="B2612" s="15">
        <f>'Curvas SRY'!$E$11</f>
        <v>5</v>
      </c>
      <c r="C2612" s="15">
        <f>1</f>
        <v>1</v>
      </c>
      <c r="D2612" s="14" t="str">
        <f t="shared" si="605"/>
        <v>Uso variable</v>
      </c>
      <c r="E2612" s="14">
        <f>89</f>
        <v>89</v>
      </c>
      <c r="F2612" s="21">
        <f>'Hoja 4 - Cálculo'!A113</f>
        <v>32264</v>
      </c>
      <c r="G2612" s="15">
        <f>'Hoja 4 - Cálculo'!H113</f>
        <v>28.075500000000002</v>
      </c>
      <c r="H2612" s="15">
        <f>IF(D2612="Uso único",'Hoja 4 - Cálculo'!I113,IF(D2612="Uso múltiple",AVERAGE('Hoja 4 - Cálculo'!$I$25:$I$384)+AVERAGE('Hoja 4 - Cálculo'!$J$25:$J$384)+AVERAGE('Hoja 4 - Cálculo'!$K$25:$K$384),IF(D2612="Uso prioritario",'Hoja 4 - Cálculo'!I113+'Hoja 4 - Cálculo'!K113,'Hoja 4 - Cálculo'!I113+'Hoja 4 - Cálculo'!J113+'Hoja 4 - Cálculo'!K113)))</f>
        <v>11.5</v>
      </c>
      <c r="I2612" s="15">
        <f t="shared" ref="I2612:I2675" si="609">H2612</f>
        <v>11.5</v>
      </c>
      <c r="J2612" s="15">
        <f t="shared" si="606"/>
        <v>5</v>
      </c>
      <c r="K2612" s="15">
        <f>MIN(J2612+G2612,(J2612+G2612)*'Hoja 4 - Cálculo'!$B$15)</f>
        <v>0.66151000000000015</v>
      </c>
      <c r="L2612" s="15">
        <f t="shared" si="599"/>
        <v>32.413990000000005</v>
      </c>
      <c r="M2612" s="15">
        <f t="shared" si="600"/>
        <v>11.5</v>
      </c>
      <c r="N2612" s="15">
        <f t="shared" si="601"/>
        <v>5</v>
      </c>
      <c r="O2612" s="15">
        <f t="shared" si="602"/>
        <v>15.913990000000005</v>
      </c>
      <c r="P2612" s="15">
        <f t="shared" si="603"/>
        <v>0</v>
      </c>
      <c r="Q2612" s="14" t="str">
        <f>IF(M2612&gt;=I2612*'Hoja 4 - Cálculo'!$B$16,"Satisfactorio","Falla")</f>
        <v>Satisfactorio</v>
      </c>
      <c r="R2612" s="14">
        <f t="shared" si="607"/>
        <v>0</v>
      </c>
      <c r="S2612" s="14">
        <f t="shared" si="608"/>
        <v>0</v>
      </c>
    </row>
    <row r="2613" spans="1:19">
      <c r="A2613" s="14" t="str">
        <f t="shared" si="604"/>
        <v>CFG-4</v>
      </c>
      <c r="B2613" s="15">
        <f>'Curvas SRY'!$E$11</f>
        <v>5</v>
      </c>
      <c r="C2613" s="15">
        <f>1</f>
        <v>1</v>
      </c>
      <c r="D2613" s="14" t="str">
        <f t="shared" si="605"/>
        <v>Uso variable</v>
      </c>
      <c r="E2613" s="14">
        <f>90</f>
        <v>90</v>
      </c>
      <c r="F2613" s="21">
        <f>'Hoja 4 - Cálculo'!A114</f>
        <v>32295</v>
      </c>
      <c r="G2613" s="15">
        <f>'Hoja 4 - Cálculo'!H114</f>
        <v>16.485749999999999</v>
      </c>
      <c r="H2613" s="15">
        <f>IF(D2613="Uso único",'Hoja 4 - Cálculo'!I114,IF(D2613="Uso múltiple",AVERAGE('Hoja 4 - Cálculo'!$I$25:$I$384)+AVERAGE('Hoja 4 - Cálculo'!$J$25:$J$384)+AVERAGE('Hoja 4 - Cálculo'!$K$25:$K$384),IF(D2613="Uso prioritario",'Hoja 4 - Cálculo'!I114+'Hoja 4 - Cálculo'!K114,'Hoja 4 - Cálculo'!I114+'Hoja 4 - Cálculo'!J114+'Hoja 4 - Cálculo'!K114)))</f>
        <v>11.5</v>
      </c>
      <c r="I2613" s="15">
        <f t="shared" si="609"/>
        <v>11.5</v>
      </c>
      <c r="J2613" s="15">
        <f t="shared" si="606"/>
        <v>5</v>
      </c>
      <c r="K2613" s="15">
        <f>MIN(J2613+G2613,(J2613+G2613)*'Hoja 4 - Cálculo'!$B$15)</f>
        <v>0.42971500000000001</v>
      </c>
      <c r="L2613" s="15">
        <f t="shared" si="599"/>
        <v>21.056034999999998</v>
      </c>
      <c r="M2613" s="15">
        <f t="shared" si="600"/>
        <v>11.5</v>
      </c>
      <c r="N2613" s="15">
        <f t="shared" si="601"/>
        <v>5</v>
      </c>
      <c r="O2613" s="15">
        <f t="shared" si="602"/>
        <v>4.5560349999999978</v>
      </c>
      <c r="P2613" s="15">
        <f t="shared" si="603"/>
        <v>0</v>
      </c>
      <c r="Q2613" s="14" t="str">
        <f>IF(M2613&gt;=I2613*'Hoja 4 - Cálculo'!$B$16,"Satisfactorio","Falla")</f>
        <v>Satisfactorio</v>
      </c>
      <c r="R2613" s="14">
        <f t="shared" si="607"/>
        <v>0</v>
      </c>
      <c r="S2613" s="14">
        <f t="shared" si="608"/>
        <v>0</v>
      </c>
    </row>
    <row r="2614" spans="1:19">
      <c r="A2614" s="14" t="str">
        <f t="shared" si="604"/>
        <v>CFG-4</v>
      </c>
      <c r="B2614" s="15">
        <f>'Curvas SRY'!$E$11</f>
        <v>5</v>
      </c>
      <c r="C2614" s="15">
        <f>1</f>
        <v>1</v>
      </c>
      <c r="D2614" s="14" t="str">
        <f t="shared" si="605"/>
        <v>Uso variable</v>
      </c>
      <c r="E2614" s="14">
        <f>91</f>
        <v>91</v>
      </c>
      <c r="F2614" s="21">
        <f>'Hoja 4 - Cálculo'!A115</f>
        <v>32325</v>
      </c>
      <c r="G2614" s="15">
        <f>'Hoja 4 - Cálculo'!H115</f>
        <v>13.827375</v>
      </c>
      <c r="H2614" s="15">
        <f>IF(D2614="Uso único",'Hoja 4 - Cálculo'!I115,IF(D2614="Uso múltiple",AVERAGE('Hoja 4 - Cálculo'!$I$25:$I$384)+AVERAGE('Hoja 4 - Cálculo'!$J$25:$J$384)+AVERAGE('Hoja 4 - Cálculo'!$K$25:$K$384),IF(D2614="Uso prioritario",'Hoja 4 - Cálculo'!I115+'Hoja 4 - Cálculo'!K115,'Hoja 4 - Cálculo'!I115+'Hoja 4 - Cálculo'!J115+'Hoja 4 - Cálculo'!K115)))</f>
        <v>16</v>
      </c>
      <c r="I2614" s="15">
        <f t="shared" si="609"/>
        <v>16</v>
      </c>
      <c r="J2614" s="15">
        <f t="shared" si="606"/>
        <v>5</v>
      </c>
      <c r="K2614" s="15">
        <f>MIN(J2614+G2614,(J2614+G2614)*'Hoja 4 - Cálculo'!$B$15)</f>
        <v>0.37654750000000003</v>
      </c>
      <c r="L2614" s="15">
        <f t="shared" si="599"/>
        <v>18.450827499999999</v>
      </c>
      <c r="M2614" s="15">
        <f t="shared" si="600"/>
        <v>16</v>
      </c>
      <c r="N2614" s="15">
        <f t="shared" si="601"/>
        <v>2.450827499999999</v>
      </c>
      <c r="O2614" s="15">
        <f t="shared" si="602"/>
        <v>0</v>
      </c>
      <c r="P2614" s="15">
        <f t="shared" si="603"/>
        <v>0</v>
      </c>
      <c r="Q2614" s="14" t="str">
        <f>IF(M2614&gt;=I2614*'Hoja 4 - Cálculo'!$B$16,"Satisfactorio","Falla")</f>
        <v>Satisfactorio</v>
      </c>
      <c r="R2614" s="14">
        <f t="shared" si="607"/>
        <v>0</v>
      </c>
      <c r="S2614" s="14">
        <f t="shared" si="608"/>
        <v>0</v>
      </c>
    </row>
    <row r="2615" spans="1:19">
      <c r="A2615" s="14" t="str">
        <f t="shared" si="604"/>
        <v>CFG-4</v>
      </c>
      <c r="B2615" s="15">
        <f>'Curvas SRY'!$E$11</f>
        <v>5</v>
      </c>
      <c r="C2615" s="15">
        <f>1</f>
        <v>1</v>
      </c>
      <c r="D2615" s="14" t="str">
        <f t="shared" si="605"/>
        <v>Uso variable</v>
      </c>
      <c r="E2615" s="14">
        <f>92</f>
        <v>92</v>
      </c>
      <c r="F2615" s="21">
        <f>'Hoja 4 - Cálculo'!A116</f>
        <v>32356</v>
      </c>
      <c r="G2615" s="15">
        <f>'Hoja 4 - Cálculo'!H116</f>
        <v>14.783625000000001</v>
      </c>
      <c r="H2615" s="15">
        <f>IF(D2615="Uso único",'Hoja 4 - Cálculo'!I116,IF(D2615="Uso múltiple",AVERAGE('Hoja 4 - Cálculo'!$I$25:$I$384)+AVERAGE('Hoja 4 - Cálculo'!$J$25:$J$384)+AVERAGE('Hoja 4 - Cálculo'!$K$25:$K$384),IF(D2615="Uso prioritario",'Hoja 4 - Cálculo'!I116+'Hoja 4 - Cálculo'!K116,'Hoja 4 - Cálculo'!I116+'Hoja 4 - Cálculo'!J116+'Hoja 4 - Cálculo'!K116)))</f>
        <v>16</v>
      </c>
      <c r="I2615" s="15">
        <f t="shared" si="609"/>
        <v>16</v>
      </c>
      <c r="J2615" s="15">
        <f t="shared" si="606"/>
        <v>2.450827499999999</v>
      </c>
      <c r="K2615" s="15">
        <f>MIN(J2615+G2615,(J2615+G2615)*'Hoja 4 - Cálculo'!$B$15)</f>
        <v>0.34468905</v>
      </c>
      <c r="L2615" s="15">
        <f t="shared" si="599"/>
        <v>16.88976345</v>
      </c>
      <c r="M2615" s="15">
        <f t="shared" si="600"/>
        <v>16</v>
      </c>
      <c r="N2615" s="15">
        <f t="shared" si="601"/>
        <v>0.88976345000000023</v>
      </c>
      <c r="O2615" s="15">
        <f t="shared" si="602"/>
        <v>0</v>
      </c>
      <c r="P2615" s="15">
        <f t="shared" si="603"/>
        <v>0</v>
      </c>
      <c r="Q2615" s="14" t="str">
        <f>IF(M2615&gt;=I2615*'Hoja 4 - Cálculo'!$B$16,"Satisfactorio","Falla")</f>
        <v>Satisfactorio</v>
      </c>
      <c r="R2615" s="14">
        <f t="shared" si="607"/>
        <v>0</v>
      </c>
      <c r="S2615" s="14">
        <f t="shared" si="608"/>
        <v>0</v>
      </c>
    </row>
    <row r="2616" spans="1:19">
      <c r="A2616" s="14" t="str">
        <f t="shared" si="604"/>
        <v>CFG-4</v>
      </c>
      <c r="B2616" s="15">
        <f>'Curvas SRY'!$E$11</f>
        <v>5</v>
      </c>
      <c r="C2616" s="15">
        <f>1</f>
        <v>1</v>
      </c>
      <c r="D2616" s="14" t="str">
        <f t="shared" si="605"/>
        <v>Uso variable</v>
      </c>
      <c r="E2616" s="14">
        <f>93</f>
        <v>93</v>
      </c>
      <c r="F2616" s="21">
        <f>'Hoja 4 - Cálculo'!A117</f>
        <v>32387</v>
      </c>
      <c r="G2616" s="15">
        <f>'Hoja 4 - Cálculo'!H117</f>
        <v>23.3325</v>
      </c>
      <c r="H2616" s="15">
        <f>IF(D2616="Uso único",'Hoja 4 - Cálculo'!I117,IF(D2616="Uso múltiple",AVERAGE('Hoja 4 - Cálculo'!$I$25:$I$384)+AVERAGE('Hoja 4 - Cálculo'!$J$25:$J$384)+AVERAGE('Hoja 4 - Cálculo'!$K$25:$K$384),IF(D2616="Uso prioritario",'Hoja 4 - Cálculo'!I117+'Hoja 4 - Cálculo'!K117,'Hoja 4 - Cálculo'!I117+'Hoja 4 - Cálculo'!J117+'Hoja 4 - Cálculo'!K117)))</f>
        <v>11.5</v>
      </c>
      <c r="I2616" s="15">
        <f t="shared" si="609"/>
        <v>11.5</v>
      </c>
      <c r="J2616" s="15">
        <f t="shared" si="606"/>
        <v>0.88976345000000023</v>
      </c>
      <c r="K2616" s="15">
        <f>MIN(J2616+G2616,(J2616+G2616)*'Hoja 4 - Cálculo'!$B$15)</f>
        <v>0.48444526900000001</v>
      </c>
      <c r="L2616" s="15">
        <f t="shared" si="599"/>
        <v>23.737818181000002</v>
      </c>
      <c r="M2616" s="15">
        <f t="shared" si="600"/>
        <v>11.5</v>
      </c>
      <c r="N2616" s="15">
        <f t="shared" si="601"/>
        <v>5</v>
      </c>
      <c r="O2616" s="15">
        <f t="shared" si="602"/>
        <v>7.2378181810000015</v>
      </c>
      <c r="P2616" s="15">
        <f t="shared" si="603"/>
        <v>0</v>
      </c>
      <c r="Q2616" s="14" t="str">
        <f>IF(M2616&gt;=I2616*'Hoja 4 - Cálculo'!$B$16,"Satisfactorio","Falla")</f>
        <v>Satisfactorio</v>
      </c>
      <c r="R2616" s="14">
        <f t="shared" si="607"/>
        <v>0</v>
      </c>
      <c r="S2616" s="14">
        <f t="shared" si="608"/>
        <v>0</v>
      </c>
    </row>
    <row r="2617" spans="1:19">
      <c r="A2617" s="14" t="str">
        <f t="shared" si="604"/>
        <v>CFG-4</v>
      </c>
      <c r="B2617" s="15">
        <f>'Curvas SRY'!$E$11</f>
        <v>5</v>
      </c>
      <c r="C2617" s="15">
        <f>1</f>
        <v>1</v>
      </c>
      <c r="D2617" s="14" t="str">
        <f t="shared" si="605"/>
        <v>Uso variable</v>
      </c>
      <c r="E2617" s="14">
        <f>94</f>
        <v>94</v>
      </c>
      <c r="F2617" s="21">
        <f>'Hoja 4 - Cálculo'!A118</f>
        <v>32417</v>
      </c>
      <c r="G2617" s="15">
        <f>'Hoja 4 - Cálculo'!H118</f>
        <v>32.015250000000002</v>
      </c>
      <c r="H2617" s="15">
        <f>IF(D2617="Uso único",'Hoja 4 - Cálculo'!I118,IF(D2617="Uso múltiple",AVERAGE('Hoja 4 - Cálculo'!$I$25:$I$384)+AVERAGE('Hoja 4 - Cálculo'!$J$25:$J$384)+AVERAGE('Hoja 4 - Cálculo'!$K$25:$K$384),IF(D2617="Uso prioritario",'Hoja 4 - Cálculo'!I118+'Hoja 4 - Cálculo'!K118,'Hoja 4 - Cálculo'!I118+'Hoja 4 - Cálculo'!J118+'Hoja 4 - Cálculo'!K118)))</f>
        <v>11.5</v>
      </c>
      <c r="I2617" s="15">
        <f t="shared" si="609"/>
        <v>11.5</v>
      </c>
      <c r="J2617" s="15">
        <f t="shared" si="606"/>
        <v>5</v>
      </c>
      <c r="K2617" s="15">
        <f>MIN(J2617+G2617,(J2617+G2617)*'Hoja 4 - Cálculo'!$B$15)</f>
        <v>0.7403050000000001</v>
      </c>
      <c r="L2617" s="15">
        <f t="shared" si="599"/>
        <v>36.274945000000002</v>
      </c>
      <c r="M2617" s="15">
        <f t="shared" si="600"/>
        <v>11.5</v>
      </c>
      <c r="N2617" s="15">
        <f t="shared" si="601"/>
        <v>5</v>
      </c>
      <c r="O2617" s="15">
        <f t="shared" si="602"/>
        <v>19.774945000000002</v>
      </c>
      <c r="P2617" s="15">
        <f t="shared" si="603"/>
        <v>0</v>
      </c>
      <c r="Q2617" s="14" t="str">
        <f>IF(M2617&gt;=I2617*'Hoja 4 - Cálculo'!$B$16,"Satisfactorio","Falla")</f>
        <v>Satisfactorio</v>
      </c>
      <c r="R2617" s="14">
        <f t="shared" si="607"/>
        <v>0</v>
      </c>
      <c r="S2617" s="14">
        <f t="shared" si="608"/>
        <v>0</v>
      </c>
    </row>
    <row r="2618" spans="1:19">
      <c r="A2618" s="14" t="str">
        <f t="shared" si="604"/>
        <v>CFG-4</v>
      </c>
      <c r="B2618" s="15">
        <f>'Curvas SRY'!$E$11</f>
        <v>5</v>
      </c>
      <c r="C2618" s="15">
        <f>1</f>
        <v>1</v>
      </c>
      <c r="D2618" s="14" t="str">
        <f t="shared" si="605"/>
        <v>Uso variable</v>
      </c>
      <c r="E2618" s="14">
        <f>95</f>
        <v>95</v>
      </c>
      <c r="F2618" s="21">
        <f>'Hoja 4 - Cálculo'!A119</f>
        <v>32448</v>
      </c>
      <c r="G2618" s="15">
        <f>'Hoja 4 - Cálculo'!H119</f>
        <v>25.876124999999998</v>
      </c>
      <c r="H2618" s="15">
        <f>IF(D2618="Uso único",'Hoja 4 - Cálculo'!I119,IF(D2618="Uso múltiple",AVERAGE('Hoja 4 - Cálculo'!$I$25:$I$384)+AVERAGE('Hoja 4 - Cálculo'!$J$25:$J$384)+AVERAGE('Hoja 4 - Cálculo'!$K$25:$K$384),IF(D2618="Uso prioritario",'Hoja 4 - Cálculo'!I119+'Hoja 4 - Cálculo'!K119,'Hoja 4 - Cálculo'!I119+'Hoja 4 - Cálculo'!J119+'Hoja 4 - Cálculo'!K119)))</f>
        <v>11.5</v>
      </c>
      <c r="I2618" s="15">
        <f t="shared" si="609"/>
        <v>11.5</v>
      </c>
      <c r="J2618" s="15">
        <f t="shared" si="606"/>
        <v>5</v>
      </c>
      <c r="K2618" s="15">
        <f>MIN(J2618+G2618,(J2618+G2618)*'Hoja 4 - Cálculo'!$B$15)</f>
        <v>0.61752249999999997</v>
      </c>
      <c r="L2618" s="15">
        <f t="shared" si="599"/>
        <v>30.258602499999999</v>
      </c>
      <c r="M2618" s="15">
        <f t="shared" si="600"/>
        <v>11.5</v>
      </c>
      <c r="N2618" s="15">
        <f t="shared" si="601"/>
        <v>5</v>
      </c>
      <c r="O2618" s="15">
        <f t="shared" si="602"/>
        <v>13.758602499999999</v>
      </c>
      <c r="P2618" s="15">
        <f t="shared" si="603"/>
        <v>0</v>
      </c>
      <c r="Q2618" s="14" t="str">
        <f>IF(M2618&gt;=I2618*'Hoja 4 - Cálculo'!$B$16,"Satisfactorio","Falla")</f>
        <v>Satisfactorio</v>
      </c>
      <c r="R2618" s="14">
        <f t="shared" si="607"/>
        <v>0</v>
      </c>
      <c r="S2618" s="14">
        <f t="shared" si="608"/>
        <v>0</v>
      </c>
    </row>
    <row r="2619" spans="1:19">
      <c r="A2619" s="14" t="str">
        <f t="shared" si="604"/>
        <v>CFG-4</v>
      </c>
      <c r="B2619" s="15">
        <f>'Curvas SRY'!$E$11</f>
        <v>5</v>
      </c>
      <c r="C2619" s="15">
        <f>1</f>
        <v>1</v>
      </c>
      <c r="D2619" s="14" t="str">
        <f t="shared" si="605"/>
        <v>Uso variable</v>
      </c>
      <c r="E2619" s="14">
        <f>96</f>
        <v>96</v>
      </c>
      <c r="F2619" s="21">
        <f>'Hoja 4 - Cálculo'!A120</f>
        <v>32478</v>
      </c>
      <c r="G2619" s="15">
        <f>'Hoja 4 - Cálculo'!H120</f>
        <v>16.218</v>
      </c>
      <c r="H2619" s="15">
        <f>IF(D2619="Uso único",'Hoja 4 - Cálculo'!I120,IF(D2619="Uso múltiple",AVERAGE('Hoja 4 - Cálculo'!$I$25:$I$384)+AVERAGE('Hoja 4 - Cálculo'!$J$25:$J$384)+AVERAGE('Hoja 4 - Cálculo'!$K$25:$K$384),IF(D2619="Uso prioritario",'Hoja 4 - Cálculo'!I120+'Hoja 4 - Cálculo'!K120,'Hoja 4 - Cálculo'!I120+'Hoja 4 - Cálculo'!J120+'Hoja 4 - Cálculo'!K120)))</f>
        <v>16</v>
      </c>
      <c r="I2619" s="15">
        <f t="shared" si="609"/>
        <v>16</v>
      </c>
      <c r="J2619" s="15">
        <f t="shared" si="606"/>
        <v>5</v>
      </c>
      <c r="K2619" s="15">
        <f>MIN(J2619+G2619,(J2619+G2619)*'Hoja 4 - Cálculo'!$B$15)</f>
        <v>0.42436000000000001</v>
      </c>
      <c r="L2619" s="15">
        <f t="shared" si="599"/>
        <v>20.79364</v>
      </c>
      <c r="M2619" s="15">
        <f t="shared" si="600"/>
        <v>16</v>
      </c>
      <c r="N2619" s="15">
        <f t="shared" si="601"/>
        <v>4.7936399999999999</v>
      </c>
      <c r="O2619" s="15">
        <f t="shared" si="602"/>
        <v>0</v>
      </c>
      <c r="P2619" s="15">
        <f t="shared" si="603"/>
        <v>0</v>
      </c>
      <c r="Q2619" s="14" t="str">
        <f>IF(M2619&gt;=I2619*'Hoja 4 - Cálculo'!$B$16,"Satisfactorio","Falla")</f>
        <v>Satisfactorio</v>
      </c>
      <c r="R2619" s="14">
        <f t="shared" si="607"/>
        <v>0</v>
      </c>
      <c r="S2619" s="14">
        <f t="shared" si="608"/>
        <v>0</v>
      </c>
    </row>
    <row r="2620" spans="1:19">
      <c r="A2620" s="14" t="str">
        <f t="shared" ref="A2620:A2643" si="610">"CFG-4"</f>
        <v>CFG-4</v>
      </c>
      <c r="B2620" s="15">
        <f>'Curvas SRY'!$E$11</f>
        <v>5</v>
      </c>
      <c r="C2620" s="15">
        <f>1</f>
        <v>1</v>
      </c>
      <c r="D2620" s="14" t="str">
        <f t="shared" ref="D2620:D2643" si="611">"Uso variable"</f>
        <v>Uso variable</v>
      </c>
      <c r="E2620" s="14">
        <f>97</f>
        <v>97</v>
      </c>
      <c r="F2620" s="21">
        <f>'Hoja 4 - Cálculo'!A121</f>
        <v>32509</v>
      </c>
      <c r="G2620" s="15">
        <f>'Hoja 4 - Cálculo'!H121</f>
        <v>11.761875</v>
      </c>
      <c r="H2620" s="15">
        <f>IF(D2620="Uso único",'Hoja 4 - Cálculo'!I121,IF(D2620="Uso múltiple",AVERAGE('Hoja 4 - Cálculo'!$I$25:$I$384)+AVERAGE('Hoja 4 - Cálculo'!$J$25:$J$384)+AVERAGE('Hoja 4 - Cálculo'!$K$25:$K$384),IF(D2620="Uso prioritario",'Hoja 4 - Cálculo'!I121+'Hoja 4 - Cálculo'!K121,'Hoja 4 - Cálculo'!I121+'Hoja 4 - Cálculo'!J121+'Hoja 4 - Cálculo'!K121)))</f>
        <v>16</v>
      </c>
      <c r="I2620" s="15">
        <f t="shared" si="609"/>
        <v>16</v>
      </c>
      <c r="J2620" s="15">
        <f t="shared" si="606"/>
        <v>4.7936399999999999</v>
      </c>
      <c r="K2620" s="15">
        <f>MIN(J2620+G2620,(J2620+G2620)*'Hoja 4 - Cálculo'!$B$15)</f>
        <v>0.33111030000000002</v>
      </c>
      <c r="L2620" s="15">
        <f t="shared" si="599"/>
        <v>16.224404700000001</v>
      </c>
      <c r="M2620" s="15">
        <f t="shared" si="600"/>
        <v>16</v>
      </c>
      <c r="N2620" s="15">
        <f t="shared" si="601"/>
        <v>0.2244047000000009</v>
      </c>
      <c r="O2620" s="15">
        <f t="shared" si="602"/>
        <v>0</v>
      </c>
      <c r="P2620" s="15">
        <f t="shared" si="603"/>
        <v>0</v>
      </c>
      <c r="Q2620" s="14" t="str">
        <f>IF(M2620&gt;=I2620*'Hoja 4 - Cálculo'!$B$16,"Satisfactorio","Falla")</f>
        <v>Satisfactorio</v>
      </c>
      <c r="R2620" s="14">
        <f t="shared" si="607"/>
        <v>0</v>
      </c>
      <c r="S2620" s="14">
        <f t="shared" si="608"/>
        <v>0</v>
      </c>
    </row>
    <row r="2621" spans="1:19">
      <c r="A2621" s="14" t="str">
        <f t="shared" si="610"/>
        <v>CFG-4</v>
      </c>
      <c r="B2621" s="15">
        <f>'Curvas SRY'!$E$11</f>
        <v>5</v>
      </c>
      <c r="C2621" s="15">
        <f>1</f>
        <v>1</v>
      </c>
      <c r="D2621" s="14" t="str">
        <f t="shared" si="611"/>
        <v>Uso variable</v>
      </c>
      <c r="E2621" s="14">
        <f>98</f>
        <v>98</v>
      </c>
      <c r="F2621" s="21">
        <f>'Hoja 4 - Cálculo'!A122</f>
        <v>32540</v>
      </c>
      <c r="G2621" s="15">
        <f>'Hoja 4 - Cálculo'!H122</f>
        <v>12.43125</v>
      </c>
      <c r="H2621" s="15">
        <f>IF(D2621="Uso único",'Hoja 4 - Cálculo'!I122,IF(D2621="Uso múltiple",AVERAGE('Hoja 4 - Cálculo'!$I$25:$I$384)+AVERAGE('Hoja 4 - Cálculo'!$J$25:$J$384)+AVERAGE('Hoja 4 - Cálculo'!$K$25:$K$384),IF(D2621="Uso prioritario",'Hoja 4 - Cálculo'!I122+'Hoja 4 - Cálculo'!K122,'Hoja 4 - Cálculo'!I122+'Hoja 4 - Cálculo'!J122+'Hoja 4 - Cálculo'!K122)))</f>
        <v>16</v>
      </c>
      <c r="I2621" s="15">
        <f t="shared" si="609"/>
        <v>16</v>
      </c>
      <c r="J2621" s="15">
        <f t="shared" ref="J2621:J2643" si="612">N2620</f>
        <v>0.2244047000000009</v>
      </c>
      <c r="K2621" s="15">
        <f>MIN(J2621+G2621,(J2621+G2621)*'Hoja 4 - Cálculo'!$B$15)</f>
        <v>0.25311309400000004</v>
      </c>
      <c r="L2621" s="15">
        <f t="shared" si="599"/>
        <v>12.402541606000002</v>
      </c>
      <c r="M2621" s="15">
        <f t="shared" si="600"/>
        <v>12.402541606000002</v>
      </c>
      <c r="N2621" s="15">
        <f t="shared" si="601"/>
        <v>0</v>
      </c>
      <c r="O2621" s="15">
        <f t="shared" si="602"/>
        <v>0</v>
      </c>
      <c r="P2621" s="15">
        <f t="shared" si="603"/>
        <v>3.5974583939999984</v>
      </c>
      <c r="Q2621" s="14" t="str">
        <f>IF(M2621&gt;=I2621*'Hoja 4 - Cálculo'!$B$16,"Satisfactorio","Falla")</f>
        <v>Falla</v>
      </c>
      <c r="R2621" s="14">
        <f t="shared" ref="R2621:R2652" si="613">IF(AND(Q2620="Falla",Q2621="Satisfactorio"),1,0)</f>
        <v>0</v>
      </c>
      <c r="S2621" s="14">
        <f t="shared" ref="S2621:S2643" si="614">IF(AND(Q2621="Falla",Q2620&lt;&gt;"Falla"),1,0)</f>
        <v>1</v>
      </c>
    </row>
    <row r="2622" spans="1:19">
      <c r="A2622" s="14" t="str">
        <f t="shared" si="610"/>
        <v>CFG-4</v>
      </c>
      <c r="B2622" s="15">
        <f>'Curvas SRY'!$E$11</f>
        <v>5</v>
      </c>
      <c r="C2622" s="15">
        <f>1</f>
        <v>1</v>
      </c>
      <c r="D2622" s="14" t="str">
        <f t="shared" si="611"/>
        <v>Uso variable</v>
      </c>
      <c r="E2622" s="14">
        <f>99</f>
        <v>99</v>
      </c>
      <c r="F2622" s="21">
        <f>'Hoja 4 - Cálculo'!A123</f>
        <v>32568</v>
      </c>
      <c r="G2622" s="15">
        <f>'Hoja 4 - Cálculo'!H123</f>
        <v>19.717874999999999</v>
      </c>
      <c r="H2622" s="15">
        <f>IF(D2622="Uso único",'Hoja 4 - Cálculo'!I123,IF(D2622="Uso múltiple",AVERAGE('Hoja 4 - Cálculo'!$I$25:$I$384)+AVERAGE('Hoja 4 - Cálculo'!$J$25:$J$384)+AVERAGE('Hoja 4 - Cálculo'!$K$25:$K$384),IF(D2622="Uso prioritario",'Hoja 4 - Cálculo'!I123+'Hoja 4 - Cálculo'!K123,'Hoja 4 - Cálculo'!I123+'Hoja 4 - Cálculo'!J123+'Hoja 4 - Cálculo'!K123)))</f>
        <v>16</v>
      </c>
      <c r="I2622" s="15">
        <f t="shared" si="609"/>
        <v>16</v>
      </c>
      <c r="J2622" s="15">
        <f t="shared" si="612"/>
        <v>0</v>
      </c>
      <c r="K2622" s="15">
        <f>MIN(J2622+G2622,(J2622+G2622)*'Hoja 4 - Cálculo'!$B$15)</f>
        <v>0.39435749999999997</v>
      </c>
      <c r="L2622" s="15">
        <f t="shared" si="599"/>
        <v>19.323517499999998</v>
      </c>
      <c r="M2622" s="15">
        <f t="shared" si="600"/>
        <v>16</v>
      </c>
      <c r="N2622" s="15">
        <f t="shared" si="601"/>
        <v>3.3235174999999977</v>
      </c>
      <c r="O2622" s="15">
        <f t="shared" si="602"/>
        <v>0</v>
      </c>
      <c r="P2622" s="15">
        <f t="shared" si="603"/>
        <v>0</v>
      </c>
      <c r="Q2622" s="14" t="str">
        <f>IF(M2622&gt;=I2622*'Hoja 4 - Cálculo'!$B$16,"Satisfactorio","Falla")</f>
        <v>Satisfactorio</v>
      </c>
      <c r="R2622" s="14">
        <f t="shared" si="613"/>
        <v>1</v>
      </c>
      <c r="S2622" s="14">
        <f t="shared" si="614"/>
        <v>0</v>
      </c>
    </row>
    <row r="2623" spans="1:19">
      <c r="A2623" s="14" t="str">
        <f t="shared" si="610"/>
        <v>CFG-4</v>
      </c>
      <c r="B2623" s="15">
        <f>'Curvas SRY'!$E$11</f>
        <v>5</v>
      </c>
      <c r="C2623" s="15">
        <f>1</f>
        <v>1</v>
      </c>
      <c r="D2623" s="14" t="str">
        <f t="shared" si="611"/>
        <v>Uso variable</v>
      </c>
      <c r="E2623" s="14">
        <f>100</f>
        <v>100</v>
      </c>
      <c r="F2623" s="21">
        <f>'Hoja 4 - Cálculo'!A124</f>
        <v>32599</v>
      </c>
      <c r="G2623" s="15">
        <f>'Hoja 4 - Cálculo'!H124</f>
        <v>26.029125000000001</v>
      </c>
      <c r="H2623" s="15">
        <f>IF(D2623="Uso único",'Hoja 4 - Cálculo'!I124,IF(D2623="Uso múltiple",AVERAGE('Hoja 4 - Cálculo'!$I$25:$I$384)+AVERAGE('Hoja 4 - Cálculo'!$J$25:$J$384)+AVERAGE('Hoja 4 - Cálculo'!$K$25:$K$384),IF(D2623="Uso prioritario",'Hoja 4 - Cálculo'!I124+'Hoja 4 - Cálculo'!K124,'Hoja 4 - Cálculo'!I124+'Hoja 4 - Cálculo'!J124+'Hoja 4 - Cálculo'!K124)))</f>
        <v>11.5</v>
      </c>
      <c r="I2623" s="15">
        <f t="shared" si="609"/>
        <v>11.5</v>
      </c>
      <c r="J2623" s="15">
        <f t="shared" si="612"/>
        <v>3.3235174999999977</v>
      </c>
      <c r="K2623" s="15">
        <f>MIN(J2623+G2623,(J2623+G2623)*'Hoja 4 - Cálculo'!$B$15)</f>
        <v>0.58705284999999996</v>
      </c>
      <c r="L2623" s="15">
        <f t="shared" si="599"/>
        <v>28.765589649999999</v>
      </c>
      <c r="M2623" s="15">
        <f t="shared" si="600"/>
        <v>11.5</v>
      </c>
      <c r="N2623" s="15">
        <f t="shared" si="601"/>
        <v>5</v>
      </c>
      <c r="O2623" s="15">
        <f t="shared" si="602"/>
        <v>12.265589649999999</v>
      </c>
      <c r="P2623" s="15">
        <f t="shared" si="603"/>
        <v>0</v>
      </c>
      <c r="Q2623" s="14" t="str">
        <f>IF(M2623&gt;=I2623*'Hoja 4 - Cálculo'!$B$16,"Satisfactorio","Falla")</f>
        <v>Satisfactorio</v>
      </c>
      <c r="R2623" s="14">
        <f t="shared" si="613"/>
        <v>0</v>
      </c>
      <c r="S2623" s="14">
        <f t="shared" si="614"/>
        <v>0</v>
      </c>
    </row>
    <row r="2624" spans="1:19">
      <c r="A2624" s="14" t="str">
        <f t="shared" si="610"/>
        <v>CFG-4</v>
      </c>
      <c r="B2624" s="15">
        <f>'Curvas SRY'!$E$11</f>
        <v>5</v>
      </c>
      <c r="C2624" s="15">
        <f>1</f>
        <v>1</v>
      </c>
      <c r="D2624" s="14" t="str">
        <f t="shared" si="611"/>
        <v>Uso variable</v>
      </c>
      <c r="E2624" s="14">
        <f>101</f>
        <v>101</v>
      </c>
      <c r="F2624" s="21">
        <f>'Hoja 4 - Cálculo'!A125</f>
        <v>32629</v>
      </c>
      <c r="G2624" s="15">
        <f>'Hoja 4 - Cálculo'!H125</f>
        <v>24.728625000000005</v>
      </c>
      <c r="H2624" s="15">
        <f>IF(D2624="Uso único",'Hoja 4 - Cálculo'!I125,IF(D2624="Uso múltiple",AVERAGE('Hoja 4 - Cálculo'!$I$25:$I$384)+AVERAGE('Hoja 4 - Cálculo'!$J$25:$J$384)+AVERAGE('Hoja 4 - Cálculo'!$K$25:$K$384),IF(D2624="Uso prioritario",'Hoja 4 - Cálculo'!I125+'Hoja 4 - Cálculo'!K125,'Hoja 4 - Cálculo'!I125+'Hoja 4 - Cálculo'!J125+'Hoja 4 - Cálculo'!K125)))</f>
        <v>11.5</v>
      </c>
      <c r="I2624" s="15">
        <f t="shared" si="609"/>
        <v>11.5</v>
      </c>
      <c r="J2624" s="15">
        <f t="shared" si="612"/>
        <v>5</v>
      </c>
      <c r="K2624" s="15">
        <f>MIN(J2624+G2624,(J2624+G2624)*'Hoja 4 - Cálculo'!$B$15)</f>
        <v>0.59457250000000006</v>
      </c>
      <c r="L2624" s="15">
        <f t="shared" si="599"/>
        <v>29.134052500000003</v>
      </c>
      <c r="M2624" s="15">
        <f t="shared" si="600"/>
        <v>11.5</v>
      </c>
      <c r="N2624" s="15">
        <f t="shared" si="601"/>
        <v>5</v>
      </c>
      <c r="O2624" s="15">
        <f t="shared" si="602"/>
        <v>12.634052500000003</v>
      </c>
      <c r="P2624" s="15">
        <f t="shared" si="603"/>
        <v>0</v>
      </c>
      <c r="Q2624" s="14" t="str">
        <f>IF(M2624&gt;=I2624*'Hoja 4 - Cálculo'!$B$16,"Satisfactorio","Falla")</f>
        <v>Satisfactorio</v>
      </c>
      <c r="R2624" s="14">
        <f t="shared" si="613"/>
        <v>0</v>
      </c>
      <c r="S2624" s="14">
        <f t="shared" si="614"/>
        <v>0</v>
      </c>
    </row>
    <row r="2625" spans="1:19">
      <c r="A2625" s="14" t="str">
        <f t="shared" si="610"/>
        <v>CFG-4</v>
      </c>
      <c r="B2625" s="15">
        <f>'Curvas SRY'!$E$11</f>
        <v>5</v>
      </c>
      <c r="C2625" s="15">
        <f>1</f>
        <v>1</v>
      </c>
      <c r="D2625" s="14" t="str">
        <f t="shared" si="611"/>
        <v>Uso variable</v>
      </c>
      <c r="E2625" s="14">
        <f>102</f>
        <v>102</v>
      </c>
      <c r="F2625" s="21">
        <f>'Hoja 4 - Cálculo'!A126</f>
        <v>32660</v>
      </c>
      <c r="G2625" s="15">
        <f>'Hoja 4 - Cálculo'!H126</f>
        <v>14.515874999999999</v>
      </c>
      <c r="H2625" s="15">
        <f>IF(D2625="Uso único",'Hoja 4 - Cálculo'!I126,IF(D2625="Uso múltiple",AVERAGE('Hoja 4 - Cálculo'!$I$25:$I$384)+AVERAGE('Hoja 4 - Cálculo'!$J$25:$J$384)+AVERAGE('Hoja 4 - Cálculo'!$K$25:$K$384),IF(D2625="Uso prioritario",'Hoja 4 - Cálculo'!I126+'Hoja 4 - Cálculo'!K126,'Hoja 4 - Cálculo'!I126+'Hoja 4 - Cálculo'!J126+'Hoja 4 - Cálculo'!K126)))</f>
        <v>11.5</v>
      </c>
      <c r="I2625" s="15">
        <f t="shared" si="609"/>
        <v>11.5</v>
      </c>
      <c r="J2625" s="15">
        <f t="shared" si="612"/>
        <v>5</v>
      </c>
      <c r="K2625" s="15">
        <f>MIN(J2625+G2625,(J2625+G2625)*'Hoja 4 - Cálculo'!$B$15)</f>
        <v>0.39031750000000004</v>
      </c>
      <c r="L2625" s="15">
        <f t="shared" si="599"/>
        <v>19.125557500000003</v>
      </c>
      <c r="M2625" s="15">
        <f t="shared" si="600"/>
        <v>11.5</v>
      </c>
      <c r="N2625" s="15">
        <f t="shared" si="601"/>
        <v>5</v>
      </c>
      <c r="O2625" s="15">
        <f t="shared" si="602"/>
        <v>2.6255575000000029</v>
      </c>
      <c r="P2625" s="15">
        <f t="shared" si="603"/>
        <v>0</v>
      </c>
      <c r="Q2625" s="14" t="str">
        <f>IF(M2625&gt;=I2625*'Hoja 4 - Cálculo'!$B$16,"Satisfactorio","Falla")</f>
        <v>Satisfactorio</v>
      </c>
      <c r="R2625" s="14">
        <f t="shared" si="613"/>
        <v>0</v>
      </c>
      <c r="S2625" s="14">
        <f t="shared" si="614"/>
        <v>0</v>
      </c>
    </row>
    <row r="2626" spans="1:19">
      <c r="A2626" s="14" t="str">
        <f t="shared" si="610"/>
        <v>CFG-4</v>
      </c>
      <c r="B2626" s="15">
        <f>'Curvas SRY'!$E$11</f>
        <v>5</v>
      </c>
      <c r="C2626" s="15">
        <f>1</f>
        <v>1</v>
      </c>
      <c r="D2626" s="14" t="str">
        <f t="shared" si="611"/>
        <v>Uso variable</v>
      </c>
      <c r="E2626" s="14">
        <f>103</f>
        <v>103</v>
      </c>
      <c r="F2626" s="21">
        <f>'Hoja 4 - Cálculo'!A127</f>
        <v>32690</v>
      </c>
      <c r="G2626" s="15">
        <f>'Hoja 4 - Cálculo'!H127</f>
        <v>12.144375</v>
      </c>
      <c r="H2626" s="15">
        <f>IF(D2626="Uso único",'Hoja 4 - Cálculo'!I127,IF(D2626="Uso múltiple",AVERAGE('Hoja 4 - Cálculo'!$I$25:$I$384)+AVERAGE('Hoja 4 - Cálculo'!$J$25:$J$384)+AVERAGE('Hoja 4 - Cálculo'!$K$25:$K$384),IF(D2626="Uso prioritario",'Hoja 4 - Cálculo'!I127+'Hoja 4 - Cálculo'!K127,'Hoja 4 - Cálculo'!I127+'Hoja 4 - Cálculo'!J127+'Hoja 4 - Cálculo'!K127)))</f>
        <v>16</v>
      </c>
      <c r="I2626" s="15">
        <f t="shared" si="609"/>
        <v>16</v>
      </c>
      <c r="J2626" s="15">
        <f t="shared" si="612"/>
        <v>5</v>
      </c>
      <c r="K2626" s="15">
        <f>MIN(J2626+G2626,(J2626+G2626)*'Hoja 4 - Cálculo'!$B$15)</f>
        <v>0.34288750000000001</v>
      </c>
      <c r="L2626" s="15">
        <f t="shared" si="599"/>
        <v>16.8014875</v>
      </c>
      <c r="M2626" s="15">
        <f t="shared" si="600"/>
        <v>16</v>
      </c>
      <c r="N2626" s="15">
        <f t="shared" si="601"/>
        <v>0.80148750000000035</v>
      </c>
      <c r="O2626" s="15">
        <f t="shared" si="602"/>
        <v>0</v>
      </c>
      <c r="P2626" s="15">
        <f t="shared" si="603"/>
        <v>0</v>
      </c>
      <c r="Q2626" s="14" t="str">
        <f>IF(M2626&gt;=I2626*'Hoja 4 - Cálculo'!$B$16,"Satisfactorio","Falla")</f>
        <v>Satisfactorio</v>
      </c>
      <c r="R2626" s="14">
        <f t="shared" si="613"/>
        <v>0</v>
      </c>
      <c r="S2626" s="14">
        <f t="shared" si="614"/>
        <v>0</v>
      </c>
    </row>
    <row r="2627" spans="1:19">
      <c r="A2627" s="14" t="str">
        <f t="shared" si="610"/>
        <v>CFG-4</v>
      </c>
      <c r="B2627" s="15">
        <f>'Curvas SRY'!$E$11</f>
        <v>5</v>
      </c>
      <c r="C2627" s="15">
        <f>1</f>
        <v>1</v>
      </c>
      <c r="D2627" s="14" t="str">
        <f t="shared" si="611"/>
        <v>Uso variable</v>
      </c>
      <c r="E2627" s="14">
        <f>104</f>
        <v>104</v>
      </c>
      <c r="F2627" s="21">
        <f>'Hoja 4 - Cálculo'!A128</f>
        <v>32721</v>
      </c>
      <c r="G2627" s="15">
        <f>'Hoja 4 - Cálculo'!H128</f>
        <v>13.04325</v>
      </c>
      <c r="H2627" s="15">
        <f>IF(D2627="Uso único",'Hoja 4 - Cálculo'!I128,IF(D2627="Uso múltiple",AVERAGE('Hoja 4 - Cálculo'!$I$25:$I$384)+AVERAGE('Hoja 4 - Cálculo'!$J$25:$J$384)+AVERAGE('Hoja 4 - Cálculo'!$K$25:$K$384),IF(D2627="Uso prioritario",'Hoja 4 - Cálculo'!I128+'Hoja 4 - Cálculo'!K128,'Hoja 4 - Cálculo'!I128+'Hoja 4 - Cálculo'!J128+'Hoja 4 - Cálculo'!K128)))</f>
        <v>16</v>
      </c>
      <c r="I2627" s="15">
        <f t="shared" si="609"/>
        <v>16</v>
      </c>
      <c r="J2627" s="15">
        <f t="shared" si="612"/>
        <v>0.80148750000000035</v>
      </c>
      <c r="K2627" s="15">
        <f>MIN(J2627+G2627,(J2627+G2627)*'Hoja 4 - Cálculo'!$B$15)</f>
        <v>0.27689475000000002</v>
      </c>
      <c r="L2627" s="15">
        <f t="shared" si="599"/>
        <v>13.567842750000001</v>
      </c>
      <c r="M2627" s="15">
        <f t="shared" si="600"/>
        <v>13.567842750000001</v>
      </c>
      <c r="N2627" s="15">
        <f t="shared" si="601"/>
        <v>0</v>
      </c>
      <c r="O2627" s="15">
        <f t="shared" si="602"/>
        <v>0</v>
      </c>
      <c r="P2627" s="15">
        <f t="shared" si="603"/>
        <v>2.4321572499999995</v>
      </c>
      <c r="Q2627" s="14" t="str">
        <f>IF(M2627&gt;=I2627*'Hoja 4 - Cálculo'!$B$16,"Satisfactorio","Falla")</f>
        <v>Falla</v>
      </c>
      <c r="R2627" s="14">
        <f t="shared" si="613"/>
        <v>0</v>
      </c>
      <c r="S2627" s="14">
        <f t="shared" si="614"/>
        <v>1</v>
      </c>
    </row>
    <row r="2628" spans="1:19">
      <c r="A2628" s="14" t="str">
        <f t="shared" si="610"/>
        <v>CFG-4</v>
      </c>
      <c r="B2628" s="15">
        <f>'Curvas SRY'!$E$11</f>
        <v>5</v>
      </c>
      <c r="C2628" s="15">
        <f>1</f>
        <v>1</v>
      </c>
      <c r="D2628" s="14" t="str">
        <f t="shared" si="611"/>
        <v>Uso variable</v>
      </c>
      <c r="E2628" s="14">
        <f>105</f>
        <v>105</v>
      </c>
      <c r="F2628" s="21">
        <f>'Hoja 4 - Cálculo'!A129</f>
        <v>32752</v>
      </c>
      <c r="G2628" s="15">
        <f>'Hoja 4 - Cálculo'!H129</f>
        <v>20.444624999999998</v>
      </c>
      <c r="H2628" s="15">
        <f>IF(D2628="Uso único",'Hoja 4 - Cálculo'!I129,IF(D2628="Uso múltiple",AVERAGE('Hoja 4 - Cálculo'!$I$25:$I$384)+AVERAGE('Hoja 4 - Cálculo'!$J$25:$J$384)+AVERAGE('Hoja 4 - Cálculo'!$K$25:$K$384),IF(D2628="Uso prioritario",'Hoja 4 - Cálculo'!I129+'Hoja 4 - Cálculo'!K129,'Hoja 4 - Cálculo'!I129+'Hoja 4 - Cálculo'!J129+'Hoja 4 - Cálculo'!K129)))</f>
        <v>11.5</v>
      </c>
      <c r="I2628" s="15">
        <f t="shared" si="609"/>
        <v>11.5</v>
      </c>
      <c r="J2628" s="15">
        <f t="shared" si="612"/>
        <v>0</v>
      </c>
      <c r="K2628" s="15">
        <f>MIN(J2628+G2628,(J2628+G2628)*'Hoja 4 - Cálculo'!$B$15)</f>
        <v>0.40889249999999999</v>
      </c>
      <c r="L2628" s="15">
        <f t="shared" ref="L2628:L2691" si="615">MAX(0,J2628+G2628-K2628)</f>
        <v>20.035732499999998</v>
      </c>
      <c r="M2628" s="15">
        <f t="shared" ref="M2628:M2691" si="616">MIN(I2628,L2628)</f>
        <v>11.5</v>
      </c>
      <c r="N2628" s="15">
        <f t="shared" ref="N2628:N2691" si="617">MIN(B2628,MAX(0,L2628-M2628))</f>
        <v>5</v>
      </c>
      <c r="O2628" s="15">
        <f t="shared" ref="O2628:O2643" si="618">MAX(0,L2628-M2628-B2628)</f>
        <v>3.5357324999999982</v>
      </c>
      <c r="P2628" s="15">
        <f t="shared" ref="P2628:P2643" si="619">MAX(0,I2628-M2628)</f>
        <v>0</v>
      </c>
      <c r="Q2628" s="14" t="str">
        <f>IF(M2628&gt;=I2628*'Hoja 4 - Cálculo'!$B$16,"Satisfactorio","Falla")</f>
        <v>Satisfactorio</v>
      </c>
      <c r="R2628" s="14">
        <f t="shared" si="613"/>
        <v>1</v>
      </c>
      <c r="S2628" s="14">
        <f t="shared" si="614"/>
        <v>0</v>
      </c>
    </row>
    <row r="2629" spans="1:19">
      <c r="A2629" s="14" t="str">
        <f t="shared" si="610"/>
        <v>CFG-4</v>
      </c>
      <c r="B2629" s="15">
        <f>'Curvas SRY'!$E$11</f>
        <v>5</v>
      </c>
      <c r="C2629" s="15">
        <f>1</f>
        <v>1</v>
      </c>
      <c r="D2629" s="14" t="str">
        <f t="shared" si="611"/>
        <v>Uso variable</v>
      </c>
      <c r="E2629" s="14">
        <f>106</f>
        <v>106</v>
      </c>
      <c r="F2629" s="21">
        <f>'Hoja 4 - Cálculo'!A130</f>
        <v>32782</v>
      </c>
      <c r="G2629" s="15">
        <f>'Hoja 4 - Cálculo'!H130</f>
        <v>28.343250000000001</v>
      </c>
      <c r="H2629" s="15">
        <f>IF(D2629="Uso único",'Hoja 4 - Cálculo'!I130,IF(D2629="Uso múltiple",AVERAGE('Hoja 4 - Cálculo'!$I$25:$I$384)+AVERAGE('Hoja 4 - Cálculo'!$J$25:$J$384)+AVERAGE('Hoja 4 - Cálculo'!$K$25:$K$384),IF(D2629="Uso prioritario",'Hoja 4 - Cálculo'!I130+'Hoja 4 - Cálculo'!K130,'Hoja 4 - Cálculo'!I130+'Hoja 4 - Cálculo'!J130+'Hoja 4 - Cálculo'!K130)))</f>
        <v>11.5</v>
      </c>
      <c r="I2629" s="15">
        <f t="shared" si="609"/>
        <v>11.5</v>
      </c>
      <c r="J2629" s="15">
        <f t="shared" si="612"/>
        <v>5</v>
      </c>
      <c r="K2629" s="15">
        <f>MIN(J2629+G2629,(J2629+G2629)*'Hoja 4 - Cálculo'!$B$15)</f>
        <v>0.66686499999999993</v>
      </c>
      <c r="L2629" s="15">
        <f t="shared" si="615"/>
        <v>32.676384999999996</v>
      </c>
      <c r="M2629" s="15">
        <f t="shared" si="616"/>
        <v>11.5</v>
      </c>
      <c r="N2629" s="15">
        <f t="shared" si="617"/>
        <v>5</v>
      </c>
      <c r="O2629" s="15">
        <f t="shared" si="618"/>
        <v>16.176384999999996</v>
      </c>
      <c r="P2629" s="15">
        <f t="shared" si="619"/>
        <v>0</v>
      </c>
      <c r="Q2629" s="14" t="str">
        <f>IF(M2629&gt;=I2629*'Hoja 4 - Cálculo'!$B$16,"Satisfactorio","Falla")</f>
        <v>Satisfactorio</v>
      </c>
      <c r="R2629" s="14">
        <f t="shared" si="613"/>
        <v>0</v>
      </c>
      <c r="S2629" s="14">
        <f t="shared" si="614"/>
        <v>0</v>
      </c>
    </row>
    <row r="2630" spans="1:19">
      <c r="A2630" s="14" t="str">
        <f t="shared" si="610"/>
        <v>CFG-4</v>
      </c>
      <c r="B2630" s="15">
        <f>'Curvas SRY'!$E$11</f>
        <v>5</v>
      </c>
      <c r="C2630" s="15">
        <f>1</f>
        <v>1</v>
      </c>
      <c r="D2630" s="14" t="str">
        <f t="shared" si="611"/>
        <v>Uso variable</v>
      </c>
      <c r="E2630" s="14">
        <f>107</f>
        <v>107</v>
      </c>
      <c r="F2630" s="21">
        <f>'Hoja 4 - Cálculo'!A131</f>
        <v>32813</v>
      </c>
      <c r="G2630" s="15">
        <f>'Hoja 4 - Cálculo'!H131</f>
        <v>22.60575</v>
      </c>
      <c r="H2630" s="15">
        <f>IF(D2630="Uso único",'Hoja 4 - Cálculo'!I131,IF(D2630="Uso múltiple",AVERAGE('Hoja 4 - Cálculo'!$I$25:$I$384)+AVERAGE('Hoja 4 - Cálculo'!$J$25:$J$384)+AVERAGE('Hoja 4 - Cálculo'!$K$25:$K$384),IF(D2630="Uso prioritario",'Hoja 4 - Cálculo'!I131+'Hoja 4 - Cálculo'!K131,'Hoja 4 - Cálculo'!I131+'Hoja 4 - Cálculo'!J131+'Hoja 4 - Cálculo'!K131)))</f>
        <v>11.5</v>
      </c>
      <c r="I2630" s="15">
        <f t="shared" si="609"/>
        <v>11.5</v>
      </c>
      <c r="J2630" s="15">
        <f t="shared" si="612"/>
        <v>5</v>
      </c>
      <c r="K2630" s="15">
        <f>MIN(J2630+G2630,(J2630+G2630)*'Hoja 4 - Cálculo'!$B$15)</f>
        <v>0.55211500000000002</v>
      </c>
      <c r="L2630" s="15">
        <f t="shared" si="615"/>
        <v>27.053635</v>
      </c>
      <c r="M2630" s="15">
        <f t="shared" si="616"/>
        <v>11.5</v>
      </c>
      <c r="N2630" s="15">
        <f t="shared" si="617"/>
        <v>5</v>
      </c>
      <c r="O2630" s="15">
        <f t="shared" si="618"/>
        <v>10.553635</v>
      </c>
      <c r="P2630" s="15">
        <f t="shared" si="619"/>
        <v>0</v>
      </c>
      <c r="Q2630" s="14" t="str">
        <f>IF(M2630&gt;=I2630*'Hoja 4 - Cálculo'!$B$16,"Satisfactorio","Falla")</f>
        <v>Satisfactorio</v>
      </c>
      <c r="R2630" s="14">
        <f t="shared" si="613"/>
        <v>0</v>
      </c>
      <c r="S2630" s="14">
        <f t="shared" si="614"/>
        <v>0</v>
      </c>
    </row>
    <row r="2631" spans="1:19">
      <c r="A2631" s="14" t="str">
        <f t="shared" si="610"/>
        <v>CFG-4</v>
      </c>
      <c r="B2631" s="15">
        <f>'Curvas SRY'!$E$11</f>
        <v>5</v>
      </c>
      <c r="C2631" s="15">
        <f>1</f>
        <v>1</v>
      </c>
      <c r="D2631" s="14" t="str">
        <f t="shared" si="611"/>
        <v>Uso variable</v>
      </c>
      <c r="E2631" s="14">
        <f>108</f>
        <v>108</v>
      </c>
      <c r="F2631" s="21">
        <f>'Hoja 4 - Cálculo'!A132</f>
        <v>32843</v>
      </c>
      <c r="G2631" s="15">
        <f>'Hoja 4 - Cálculo'!H132</f>
        <v>14.362875000000001</v>
      </c>
      <c r="H2631" s="15">
        <f>IF(D2631="Uso único",'Hoja 4 - Cálculo'!I132,IF(D2631="Uso múltiple",AVERAGE('Hoja 4 - Cálculo'!$I$25:$I$384)+AVERAGE('Hoja 4 - Cálculo'!$J$25:$J$384)+AVERAGE('Hoja 4 - Cálculo'!$K$25:$K$384),IF(D2631="Uso prioritario",'Hoja 4 - Cálculo'!I132+'Hoja 4 - Cálculo'!K132,'Hoja 4 - Cálculo'!I132+'Hoja 4 - Cálculo'!J132+'Hoja 4 - Cálculo'!K132)))</f>
        <v>16</v>
      </c>
      <c r="I2631" s="15">
        <f t="shared" si="609"/>
        <v>16</v>
      </c>
      <c r="J2631" s="15">
        <f t="shared" si="612"/>
        <v>5</v>
      </c>
      <c r="K2631" s="15">
        <f>MIN(J2631+G2631,(J2631+G2631)*'Hoja 4 - Cálculo'!$B$15)</f>
        <v>0.38725750000000003</v>
      </c>
      <c r="L2631" s="15">
        <f t="shared" si="615"/>
        <v>18.975617500000002</v>
      </c>
      <c r="M2631" s="15">
        <f t="shared" si="616"/>
        <v>16</v>
      </c>
      <c r="N2631" s="15">
        <f t="shared" si="617"/>
        <v>2.975617500000002</v>
      </c>
      <c r="O2631" s="15">
        <f t="shared" si="618"/>
        <v>0</v>
      </c>
      <c r="P2631" s="15">
        <f t="shared" si="619"/>
        <v>0</v>
      </c>
      <c r="Q2631" s="14" t="str">
        <f>IF(M2631&gt;=I2631*'Hoja 4 - Cálculo'!$B$16,"Satisfactorio","Falla")</f>
        <v>Satisfactorio</v>
      </c>
      <c r="R2631" s="14">
        <f t="shared" si="613"/>
        <v>0</v>
      </c>
      <c r="S2631" s="14">
        <f t="shared" si="614"/>
        <v>0</v>
      </c>
    </row>
    <row r="2632" spans="1:19">
      <c r="A2632" s="14" t="str">
        <f t="shared" si="610"/>
        <v>CFG-4</v>
      </c>
      <c r="B2632" s="15">
        <f>'Curvas SRY'!$E$11</f>
        <v>5</v>
      </c>
      <c r="C2632" s="15">
        <f>1</f>
        <v>1</v>
      </c>
      <c r="D2632" s="14" t="str">
        <f t="shared" si="611"/>
        <v>Uso variable</v>
      </c>
      <c r="E2632" s="14">
        <f>109</f>
        <v>109</v>
      </c>
      <c r="F2632" s="21">
        <f>'Hoja 4 - Cálculo'!A133</f>
        <v>32874</v>
      </c>
      <c r="G2632" s="15">
        <f>'Hoja 4 - Cálculo'!H133</f>
        <v>11.723625</v>
      </c>
      <c r="H2632" s="15">
        <f>IF(D2632="Uso único",'Hoja 4 - Cálculo'!I133,IF(D2632="Uso múltiple",AVERAGE('Hoja 4 - Cálculo'!$I$25:$I$384)+AVERAGE('Hoja 4 - Cálculo'!$J$25:$J$384)+AVERAGE('Hoja 4 - Cálculo'!$K$25:$K$384),IF(D2632="Uso prioritario",'Hoja 4 - Cálculo'!I133+'Hoja 4 - Cálculo'!K133,'Hoja 4 - Cálculo'!I133+'Hoja 4 - Cálculo'!J133+'Hoja 4 - Cálculo'!K133)))</f>
        <v>16</v>
      </c>
      <c r="I2632" s="15">
        <f t="shared" si="609"/>
        <v>16</v>
      </c>
      <c r="J2632" s="15">
        <f t="shared" si="612"/>
        <v>2.975617500000002</v>
      </c>
      <c r="K2632" s="15">
        <f>MIN(J2632+G2632,(J2632+G2632)*'Hoja 4 - Cálculo'!$B$15)</f>
        <v>0.29398485000000008</v>
      </c>
      <c r="L2632" s="15">
        <f t="shared" si="615"/>
        <v>14.405257650000003</v>
      </c>
      <c r="M2632" s="15">
        <f t="shared" si="616"/>
        <v>14.405257650000003</v>
      </c>
      <c r="N2632" s="15">
        <f t="shared" si="617"/>
        <v>0</v>
      </c>
      <c r="O2632" s="15">
        <f t="shared" si="618"/>
        <v>0</v>
      </c>
      <c r="P2632" s="15">
        <f t="shared" si="619"/>
        <v>1.5947423499999971</v>
      </c>
      <c r="Q2632" s="14" t="str">
        <f>IF(M2632&gt;=I2632*'Hoja 4 - Cálculo'!$B$16,"Satisfactorio","Falla")</f>
        <v>Falla</v>
      </c>
      <c r="R2632" s="14">
        <f t="shared" si="613"/>
        <v>0</v>
      </c>
      <c r="S2632" s="14">
        <f t="shared" si="614"/>
        <v>1</v>
      </c>
    </row>
    <row r="2633" spans="1:19">
      <c r="A2633" s="14" t="str">
        <f t="shared" si="610"/>
        <v>CFG-4</v>
      </c>
      <c r="B2633" s="15">
        <f>'Curvas SRY'!$E$11</f>
        <v>5</v>
      </c>
      <c r="C2633" s="15">
        <f>1</f>
        <v>1</v>
      </c>
      <c r="D2633" s="14" t="str">
        <f t="shared" si="611"/>
        <v>Uso variable</v>
      </c>
      <c r="E2633" s="14">
        <f>110</f>
        <v>110</v>
      </c>
      <c r="F2633" s="21">
        <f>'Hoja 4 - Cálculo'!A134</f>
        <v>32905</v>
      </c>
      <c r="G2633" s="15">
        <f>'Hoja 4 - Cálculo'!H134</f>
        <v>13.311</v>
      </c>
      <c r="H2633" s="15">
        <f>IF(D2633="Uso único",'Hoja 4 - Cálculo'!I134,IF(D2633="Uso múltiple",AVERAGE('Hoja 4 - Cálculo'!$I$25:$I$384)+AVERAGE('Hoja 4 - Cálculo'!$J$25:$J$384)+AVERAGE('Hoja 4 - Cálculo'!$K$25:$K$384),IF(D2633="Uso prioritario",'Hoja 4 - Cálculo'!I134+'Hoja 4 - Cálculo'!K134,'Hoja 4 - Cálculo'!I134+'Hoja 4 - Cálculo'!J134+'Hoja 4 - Cálculo'!K134)))</f>
        <v>16</v>
      </c>
      <c r="I2633" s="15">
        <f t="shared" si="609"/>
        <v>16</v>
      </c>
      <c r="J2633" s="15">
        <f t="shared" si="612"/>
        <v>0</v>
      </c>
      <c r="K2633" s="15">
        <f>MIN(J2633+G2633,(J2633+G2633)*'Hoja 4 - Cálculo'!$B$15)</f>
        <v>0.26622000000000001</v>
      </c>
      <c r="L2633" s="15">
        <f t="shared" si="615"/>
        <v>13.044779999999999</v>
      </c>
      <c r="M2633" s="15">
        <f t="shared" si="616"/>
        <v>13.044779999999999</v>
      </c>
      <c r="N2633" s="15">
        <f t="shared" si="617"/>
        <v>0</v>
      </c>
      <c r="O2633" s="15">
        <f t="shared" si="618"/>
        <v>0</v>
      </c>
      <c r="P2633" s="15">
        <f t="shared" si="619"/>
        <v>2.9552200000000006</v>
      </c>
      <c r="Q2633" s="14" t="str">
        <f>IF(M2633&gt;=I2633*'Hoja 4 - Cálculo'!$B$16,"Satisfactorio","Falla")</f>
        <v>Falla</v>
      </c>
      <c r="R2633" s="14">
        <f t="shared" si="613"/>
        <v>0</v>
      </c>
      <c r="S2633" s="14">
        <f t="shared" si="614"/>
        <v>0</v>
      </c>
    </row>
    <row r="2634" spans="1:19">
      <c r="A2634" s="14" t="str">
        <f t="shared" si="610"/>
        <v>CFG-4</v>
      </c>
      <c r="B2634" s="15">
        <f>'Curvas SRY'!$E$11</f>
        <v>5</v>
      </c>
      <c r="C2634" s="15">
        <f>1</f>
        <v>1</v>
      </c>
      <c r="D2634" s="14" t="str">
        <f t="shared" si="611"/>
        <v>Uso variable</v>
      </c>
      <c r="E2634" s="14">
        <f>111</f>
        <v>111</v>
      </c>
      <c r="F2634" s="21">
        <f>'Hoja 4 - Cálculo'!A135</f>
        <v>32933</v>
      </c>
      <c r="G2634" s="15">
        <f>'Hoja 4 - Cálculo'!H135</f>
        <v>18.838125000000002</v>
      </c>
      <c r="H2634" s="15">
        <f>IF(D2634="Uso único",'Hoja 4 - Cálculo'!I135,IF(D2634="Uso múltiple",AVERAGE('Hoja 4 - Cálculo'!$I$25:$I$384)+AVERAGE('Hoja 4 - Cálculo'!$J$25:$J$384)+AVERAGE('Hoja 4 - Cálculo'!$K$25:$K$384),IF(D2634="Uso prioritario",'Hoja 4 - Cálculo'!I135+'Hoja 4 - Cálculo'!K135,'Hoja 4 - Cálculo'!I135+'Hoja 4 - Cálculo'!J135+'Hoja 4 - Cálculo'!K135)))</f>
        <v>16</v>
      </c>
      <c r="I2634" s="15">
        <f t="shared" si="609"/>
        <v>16</v>
      </c>
      <c r="J2634" s="15">
        <f t="shared" si="612"/>
        <v>0</v>
      </c>
      <c r="K2634" s="15">
        <f>MIN(J2634+G2634,(J2634+G2634)*'Hoja 4 - Cálculo'!$B$15)</f>
        <v>0.37676250000000006</v>
      </c>
      <c r="L2634" s="15">
        <f t="shared" si="615"/>
        <v>18.4613625</v>
      </c>
      <c r="M2634" s="15">
        <f t="shared" si="616"/>
        <v>16</v>
      </c>
      <c r="N2634" s="15">
        <f t="shared" si="617"/>
        <v>2.4613624999999999</v>
      </c>
      <c r="O2634" s="15">
        <f t="shared" si="618"/>
        <v>0</v>
      </c>
      <c r="P2634" s="15">
        <f t="shared" si="619"/>
        <v>0</v>
      </c>
      <c r="Q2634" s="14" t="str">
        <f>IF(M2634&gt;=I2634*'Hoja 4 - Cálculo'!$B$16,"Satisfactorio","Falla")</f>
        <v>Satisfactorio</v>
      </c>
      <c r="R2634" s="14">
        <f t="shared" si="613"/>
        <v>1</v>
      </c>
      <c r="S2634" s="14">
        <f t="shared" si="614"/>
        <v>0</v>
      </c>
    </row>
    <row r="2635" spans="1:19">
      <c r="A2635" s="14" t="str">
        <f t="shared" si="610"/>
        <v>CFG-4</v>
      </c>
      <c r="B2635" s="15">
        <f>'Curvas SRY'!$E$11</f>
        <v>5</v>
      </c>
      <c r="C2635" s="15">
        <f>1</f>
        <v>1</v>
      </c>
      <c r="D2635" s="14" t="str">
        <f t="shared" si="611"/>
        <v>Uso variable</v>
      </c>
      <c r="E2635" s="14">
        <f>112</f>
        <v>112</v>
      </c>
      <c r="F2635" s="21">
        <f>'Hoja 4 - Cálculo'!A136</f>
        <v>32964</v>
      </c>
      <c r="G2635" s="15">
        <f>'Hoja 4 - Cálculo'!H136</f>
        <v>28.611000000000001</v>
      </c>
      <c r="H2635" s="15">
        <f>IF(D2635="Uso único",'Hoja 4 - Cálculo'!I136,IF(D2635="Uso múltiple",AVERAGE('Hoja 4 - Cálculo'!$I$25:$I$384)+AVERAGE('Hoja 4 - Cálculo'!$J$25:$J$384)+AVERAGE('Hoja 4 - Cálculo'!$K$25:$K$384),IF(D2635="Uso prioritario",'Hoja 4 - Cálculo'!I136+'Hoja 4 - Cálculo'!K136,'Hoja 4 - Cálculo'!I136+'Hoja 4 - Cálculo'!J136+'Hoja 4 - Cálculo'!K136)))</f>
        <v>11.5</v>
      </c>
      <c r="I2635" s="15">
        <f t="shared" si="609"/>
        <v>11.5</v>
      </c>
      <c r="J2635" s="15">
        <f t="shared" si="612"/>
        <v>2.4613624999999999</v>
      </c>
      <c r="K2635" s="15">
        <f>MIN(J2635+G2635,(J2635+G2635)*'Hoja 4 - Cálculo'!$B$15)</f>
        <v>0.62144725000000001</v>
      </c>
      <c r="L2635" s="15">
        <f t="shared" si="615"/>
        <v>30.450915250000001</v>
      </c>
      <c r="M2635" s="15">
        <f t="shared" si="616"/>
        <v>11.5</v>
      </c>
      <c r="N2635" s="15">
        <f t="shared" si="617"/>
        <v>5</v>
      </c>
      <c r="O2635" s="15">
        <f t="shared" si="618"/>
        <v>13.950915250000001</v>
      </c>
      <c r="P2635" s="15">
        <f t="shared" si="619"/>
        <v>0</v>
      </c>
      <c r="Q2635" s="14" t="str">
        <f>IF(M2635&gt;=I2635*'Hoja 4 - Cálculo'!$B$16,"Satisfactorio","Falla")</f>
        <v>Satisfactorio</v>
      </c>
      <c r="R2635" s="14">
        <f t="shared" si="613"/>
        <v>0</v>
      </c>
      <c r="S2635" s="14">
        <f t="shared" si="614"/>
        <v>0</v>
      </c>
    </row>
    <row r="2636" spans="1:19">
      <c r="A2636" s="14" t="str">
        <f t="shared" si="610"/>
        <v>CFG-4</v>
      </c>
      <c r="B2636" s="15">
        <f>'Curvas SRY'!$E$11</f>
        <v>5</v>
      </c>
      <c r="C2636" s="15">
        <f>1</f>
        <v>1</v>
      </c>
      <c r="D2636" s="14" t="str">
        <f t="shared" si="611"/>
        <v>Uso variable</v>
      </c>
      <c r="E2636" s="14">
        <f>113</f>
        <v>113</v>
      </c>
      <c r="F2636" s="21">
        <f>'Hoja 4 - Cálculo'!A137</f>
        <v>32994</v>
      </c>
      <c r="G2636" s="15">
        <f>'Hoja 4 - Cálculo'!H137</f>
        <v>23.52375</v>
      </c>
      <c r="H2636" s="15">
        <f>IF(D2636="Uso único",'Hoja 4 - Cálculo'!I137,IF(D2636="Uso múltiple",AVERAGE('Hoja 4 - Cálculo'!$I$25:$I$384)+AVERAGE('Hoja 4 - Cálculo'!$J$25:$J$384)+AVERAGE('Hoja 4 - Cálculo'!$K$25:$K$384),IF(D2636="Uso prioritario",'Hoja 4 - Cálculo'!I137+'Hoja 4 - Cálculo'!K137,'Hoja 4 - Cálculo'!I137+'Hoja 4 - Cálculo'!J137+'Hoja 4 - Cálculo'!K137)))</f>
        <v>11.5</v>
      </c>
      <c r="I2636" s="15">
        <f t="shared" si="609"/>
        <v>11.5</v>
      </c>
      <c r="J2636" s="15">
        <f t="shared" si="612"/>
        <v>5</v>
      </c>
      <c r="K2636" s="15">
        <f>MIN(J2636+G2636,(J2636+G2636)*'Hoja 4 - Cálculo'!$B$15)</f>
        <v>0.57047499999999995</v>
      </c>
      <c r="L2636" s="15">
        <f t="shared" si="615"/>
        <v>27.953275000000001</v>
      </c>
      <c r="M2636" s="15">
        <f t="shared" si="616"/>
        <v>11.5</v>
      </c>
      <c r="N2636" s="15">
        <f t="shared" si="617"/>
        <v>5</v>
      </c>
      <c r="O2636" s="15">
        <f t="shared" si="618"/>
        <v>11.453275000000001</v>
      </c>
      <c r="P2636" s="15">
        <f t="shared" si="619"/>
        <v>0</v>
      </c>
      <c r="Q2636" s="14" t="str">
        <f>IF(M2636&gt;=I2636*'Hoja 4 - Cálculo'!$B$16,"Satisfactorio","Falla")</f>
        <v>Satisfactorio</v>
      </c>
      <c r="R2636" s="14">
        <f t="shared" si="613"/>
        <v>0</v>
      </c>
      <c r="S2636" s="14">
        <f t="shared" si="614"/>
        <v>0</v>
      </c>
    </row>
    <row r="2637" spans="1:19">
      <c r="A2637" s="14" t="str">
        <f t="shared" si="610"/>
        <v>CFG-4</v>
      </c>
      <c r="B2637" s="15">
        <f>'Curvas SRY'!$E$11</f>
        <v>5</v>
      </c>
      <c r="C2637" s="15">
        <f>1</f>
        <v>1</v>
      </c>
      <c r="D2637" s="14" t="str">
        <f t="shared" si="611"/>
        <v>Uso variable</v>
      </c>
      <c r="E2637" s="14">
        <f>114</f>
        <v>114</v>
      </c>
      <c r="F2637" s="21">
        <f>'Hoja 4 - Cálculo'!A138</f>
        <v>33025</v>
      </c>
      <c r="G2637" s="15">
        <f>'Hoja 4 - Cálculo'!H138</f>
        <v>15.529500000000001</v>
      </c>
      <c r="H2637" s="15">
        <f>IF(D2637="Uso único",'Hoja 4 - Cálculo'!I138,IF(D2637="Uso múltiple",AVERAGE('Hoja 4 - Cálculo'!$I$25:$I$384)+AVERAGE('Hoja 4 - Cálculo'!$J$25:$J$384)+AVERAGE('Hoja 4 - Cálculo'!$K$25:$K$384),IF(D2637="Uso prioritario",'Hoja 4 - Cálculo'!I138+'Hoja 4 - Cálculo'!K138,'Hoja 4 - Cálculo'!I138+'Hoja 4 - Cálculo'!J138+'Hoja 4 - Cálculo'!K138)))</f>
        <v>11.5</v>
      </c>
      <c r="I2637" s="15">
        <f t="shared" si="609"/>
        <v>11.5</v>
      </c>
      <c r="J2637" s="15">
        <f t="shared" si="612"/>
        <v>5</v>
      </c>
      <c r="K2637" s="15">
        <f>MIN(J2637+G2637,(J2637+G2637)*'Hoja 4 - Cálculo'!$B$15)</f>
        <v>0.41059000000000001</v>
      </c>
      <c r="L2637" s="15">
        <f t="shared" si="615"/>
        <v>20.11891</v>
      </c>
      <c r="M2637" s="15">
        <f t="shared" si="616"/>
        <v>11.5</v>
      </c>
      <c r="N2637" s="15">
        <f t="shared" si="617"/>
        <v>5</v>
      </c>
      <c r="O2637" s="15">
        <f t="shared" si="618"/>
        <v>3.6189099999999996</v>
      </c>
      <c r="P2637" s="15">
        <f t="shared" si="619"/>
        <v>0</v>
      </c>
      <c r="Q2637" s="14" t="str">
        <f>IF(M2637&gt;=I2637*'Hoja 4 - Cálculo'!$B$16,"Satisfactorio","Falla")</f>
        <v>Satisfactorio</v>
      </c>
      <c r="R2637" s="14">
        <f t="shared" si="613"/>
        <v>0</v>
      </c>
      <c r="S2637" s="14">
        <f t="shared" si="614"/>
        <v>0</v>
      </c>
    </row>
    <row r="2638" spans="1:19">
      <c r="A2638" s="14" t="str">
        <f t="shared" si="610"/>
        <v>CFG-4</v>
      </c>
      <c r="B2638" s="15">
        <f>'Curvas SRY'!$E$11</f>
        <v>5</v>
      </c>
      <c r="C2638" s="15">
        <f>1</f>
        <v>1</v>
      </c>
      <c r="D2638" s="14" t="str">
        <f t="shared" si="611"/>
        <v>Uso variable</v>
      </c>
      <c r="E2638" s="14">
        <f>115</f>
        <v>115</v>
      </c>
      <c r="F2638" s="21">
        <f>'Hoja 4 - Cálculo'!A139</f>
        <v>33055</v>
      </c>
      <c r="G2638" s="15">
        <f>'Hoja 4 - Cálculo'!H139</f>
        <v>12.201750000000001</v>
      </c>
      <c r="H2638" s="15">
        <f>IF(D2638="Uso único",'Hoja 4 - Cálculo'!I139,IF(D2638="Uso múltiple",AVERAGE('Hoja 4 - Cálculo'!$I$25:$I$384)+AVERAGE('Hoja 4 - Cálculo'!$J$25:$J$384)+AVERAGE('Hoja 4 - Cálculo'!$K$25:$K$384),IF(D2638="Uso prioritario",'Hoja 4 - Cálculo'!I139+'Hoja 4 - Cálculo'!K139,'Hoja 4 - Cálculo'!I139+'Hoja 4 - Cálculo'!J139+'Hoja 4 - Cálculo'!K139)))</f>
        <v>16</v>
      </c>
      <c r="I2638" s="15">
        <f t="shared" si="609"/>
        <v>16</v>
      </c>
      <c r="J2638" s="15">
        <f t="shared" si="612"/>
        <v>5</v>
      </c>
      <c r="K2638" s="15">
        <f>MIN(J2638+G2638,(J2638+G2638)*'Hoja 4 - Cálculo'!$B$15)</f>
        <v>0.34403500000000004</v>
      </c>
      <c r="L2638" s="15">
        <f t="shared" si="615"/>
        <v>16.857714999999999</v>
      </c>
      <c r="M2638" s="15">
        <f t="shared" si="616"/>
        <v>16</v>
      </c>
      <c r="N2638" s="15">
        <f t="shared" si="617"/>
        <v>0.85771499999999889</v>
      </c>
      <c r="O2638" s="15">
        <f t="shared" si="618"/>
        <v>0</v>
      </c>
      <c r="P2638" s="15">
        <f t="shared" si="619"/>
        <v>0</v>
      </c>
      <c r="Q2638" s="14" t="str">
        <f>IF(M2638&gt;=I2638*'Hoja 4 - Cálculo'!$B$16,"Satisfactorio","Falla")</f>
        <v>Satisfactorio</v>
      </c>
      <c r="R2638" s="14">
        <f t="shared" si="613"/>
        <v>0</v>
      </c>
      <c r="S2638" s="14">
        <f t="shared" si="614"/>
        <v>0</v>
      </c>
    </row>
    <row r="2639" spans="1:19">
      <c r="A2639" s="14" t="str">
        <f t="shared" si="610"/>
        <v>CFG-4</v>
      </c>
      <c r="B2639" s="15">
        <f>'Curvas SRY'!$E$11</f>
        <v>5</v>
      </c>
      <c r="C2639" s="15">
        <f>1</f>
        <v>1</v>
      </c>
      <c r="D2639" s="14" t="str">
        <f t="shared" si="611"/>
        <v>Uso variable</v>
      </c>
      <c r="E2639" s="14">
        <f>116</f>
        <v>116</v>
      </c>
      <c r="F2639" s="21">
        <f>'Hoja 4 - Cálculo'!A140</f>
        <v>33086</v>
      </c>
      <c r="G2639" s="15">
        <f>'Hoja 4 - Cálculo'!H140</f>
        <v>13.04325</v>
      </c>
      <c r="H2639" s="15">
        <f>IF(D2639="Uso único",'Hoja 4 - Cálculo'!I140,IF(D2639="Uso múltiple",AVERAGE('Hoja 4 - Cálculo'!$I$25:$I$384)+AVERAGE('Hoja 4 - Cálculo'!$J$25:$J$384)+AVERAGE('Hoja 4 - Cálculo'!$K$25:$K$384),IF(D2639="Uso prioritario",'Hoja 4 - Cálculo'!I140+'Hoja 4 - Cálculo'!K140,'Hoja 4 - Cálculo'!I140+'Hoja 4 - Cálculo'!J140+'Hoja 4 - Cálculo'!K140)))</f>
        <v>16</v>
      </c>
      <c r="I2639" s="15">
        <f t="shared" si="609"/>
        <v>16</v>
      </c>
      <c r="J2639" s="15">
        <f t="shared" si="612"/>
        <v>0.85771499999999889</v>
      </c>
      <c r="K2639" s="15">
        <f>MIN(J2639+G2639,(J2639+G2639)*'Hoja 4 - Cálculo'!$B$15)</f>
        <v>0.27801929999999997</v>
      </c>
      <c r="L2639" s="15">
        <f t="shared" si="615"/>
        <v>13.622945699999999</v>
      </c>
      <c r="M2639" s="15">
        <f t="shared" si="616"/>
        <v>13.622945699999999</v>
      </c>
      <c r="N2639" s="15">
        <f t="shared" si="617"/>
        <v>0</v>
      </c>
      <c r="O2639" s="15">
        <f t="shared" si="618"/>
        <v>0</v>
      </c>
      <c r="P2639" s="15">
        <f t="shared" si="619"/>
        <v>2.3770543000000011</v>
      </c>
      <c r="Q2639" s="14" t="str">
        <f>IF(M2639&gt;=I2639*'Hoja 4 - Cálculo'!$B$16,"Satisfactorio","Falla")</f>
        <v>Falla</v>
      </c>
      <c r="R2639" s="14">
        <f t="shared" si="613"/>
        <v>0</v>
      </c>
      <c r="S2639" s="14">
        <f t="shared" si="614"/>
        <v>1</v>
      </c>
    </row>
    <row r="2640" spans="1:19">
      <c r="A2640" s="14" t="str">
        <f t="shared" si="610"/>
        <v>CFG-4</v>
      </c>
      <c r="B2640" s="15">
        <f>'Curvas SRY'!$E$11</f>
        <v>5</v>
      </c>
      <c r="C2640" s="15">
        <f>1</f>
        <v>1</v>
      </c>
      <c r="D2640" s="14" t="str">
        <f t="shared" si="611"/>
        <v>Uso variable</v>
      </c>
      <c r="E2640" s="14">
        <f>117</f>
        <v>117</v>
      </c>
      <c r="F2640" s="21">
        <f>'Hoja 4 - Cálculo'!A141</f>
        <v>33117</v>
      </c>
      <c r="G2640" s="15">
        <f>'Hoja 4 - Cálculo'!H141</f>
        <v>21.974625</v>
      </c>
      <c r="H2640" s="15">
        <f>IF(D2640="Uso único",'Hoja 4 - Cálculo'!I141,IF(D2640="Uso múltiple",AVERAGE('Hoja 4 - Cálculo'!$I$25:$I$384)+AVERAGE('Hoja 4 - Cálculo'!$J$25:$J$384)+AVERAGE('Hoja 4 - Cálculo'!$K$25:$K$384),IF(D2640="Uso prioritario",'Hoja 4 - Cálculo'!I141+'Hoja 4 - Cálculo'!K141,'Hoja 4 - Cálculo'!I141+'Hoja 4 - Cálculo'!J141+'Hoja 4 - Cálculo'!K141)))</f>
        <v>11.5</v>
      </c>
      <c r="I2640" s="15">
        <f t="shared" si="609"/>
        <v>11.5</v>
      </c>
      <c r="J2640" s="15">
        <f t="shared" si="612"/>
        <v>0</v>
      </c>
      <c r="K2640" s="15">
        <f>MIN(J2640+G2640,(J2640+G2640)*'Hoja 4 - Cálculo'!$B$15)</f>
        <v>0.43949250000000001</v>
      </c>
      <c r="L2640" s="15">
        <f t="shared" si="615"/>
        <v>21.5351325</v>
      </c>
      <c r="M2640" s="15">
        <f t="shared" si="616"/>
        <v>11.5</v>
      </c>
      <c r="N2640" s="15">
        <f t="shared" si="617"/>
        <v>5</v>
      </c>
      <c r="O2640" s="15">
        <f t="shared" si="618"/>
        <v>5.0351324999999996</v>
      </c>
      <c r="P2640" s="15">
        <f t="shared" si="619"/>
        <v>0</v>
      </c>
      <c r="Q2640" s="14" t="str">
        <f>IF(M2640&gt;=I2640*'Hoja 4 - Cálculo'!$B$16,"Satisfactorio","Falla")</f>
        <v>Satisfactorio</v>
      </c>
      <c r="R2640" s="14">
        <f t="shared" si="613"/>
        <v>1</v>
      </c>
      <c r="S2640" s="14">
        <f t="shared" si="614"/>
        <v>0</v>
      </c>
    </row>
    <row r="2641" spans="1:19">
      <c r="A2641" s="14" t="str">
        <f t="shared" si="610"/>
        <v>CFG-4</v>
      </c>
      <c r="B2641" s="15">
        <f>'Curvas SRY'!$E$11</f>
        <v>5</v>
      </c>
      <c r="C2641" s="15">
        <f>1</f>
        <v>1</v>
      </c>
      <c r="D2641" s="14" t="str">
        <f t="shared" si="611"/>
        <v>Uso variable</v>
      </c>
      <c r="E2641" s="14">
        <f>118</f>
        <v>118</v>
      </c>
      <c r="F2641" s="21">
        <f>'Hoja 4 - Cálculo'!A142</f>
        <v>33147</v>
      </c>
      <c r="G2641" s="15">
        <f>'Hoja 4 - Cálculo'!H142</f>
        <v>26.870625</v>
      </c>
      <c r="H2641" s="15">
        <f>IF(D2641="Uso único",'Hoja 4 - Cálculo'!I142,IF(D2641="Uso múltiple",AVERAGE('Hoja 4 - Cálculo'!$I$25:$I$384)+AVERAGE('Hoja 4 - Cálculo'!$J$25:$J$384)+AVERAGE('Hoja 4 - Cálculo'!$K$25:$K$384),IF(D2641="Uso prioritario",'Hoja 4 - Cálculo'!I142+'Hoja 4 - Cálculo'!K142,'Hoja 4 - Cálculo'!I142+'Hoja 4 - Cálculo'!J142+'Hoja 4 - Cálculo'!K142)))</f>
        <v>11.5</v>
      </c>
      <c r="I2641" s="15">
        <f t="shared" si="609"/>
        <v>11.5</v>
      </c>
      <c r="J2641" s="15">
        <f t="shared" si="612"/>
        <v>5</v>
      </c>
      <c r="K2641" s="15">
        <f>MIN(J2641+G2641,(J2641+G2641)*'Hoja 4 - Cálculo'!$B$15)</f>
        <v>0.63741250000000005</v>
      </c>
      <c r="L2641" s="15">
        <f t="shared" si="615"/>
        <v>31.2332125</v>
      </c>
      <c r="M2641" s="15">
        <f t="shared" si="616"/>
        <v>11.5</v>
      </c>
      <c r="N2641" s="15">
        <f t="shared" si="617"/>
        <v>5</v>
      </c>
      <c r="O2641" s="15">
        <f t="shared" si="618"/>
        <v>14.7332125</v>
      </c>
      <c r="P2641" s="15">
        <f t="shared" si="619"/>
        <v>0</v>
      </c>
      <c r="Q2641" s="14" t="str">
        <f>IF(M2641&gt;=I2641*'Hoja 4 - Cálculo'!$B$16,"Satisfactorio","Falla")</f>
        <v>Satisfactorio</v>
      </c>
      <c r="R2641" s="14">
        <f t="shared" si="613"/>
        <v>0</v>
      </c>
      <c r="S2641" s="14">
        <f t="shared" si="614"/>
        <v>0</v>
      </c>
    </row>
    <row r="2642" spans="1:19">
      <c r="A2642" s="14" t="str">
        <f t="shared" si="610"/>
        <v>CFG-4</v>
      </c>
      <c r="B2642" s="15">
        <f>'Curvas SRY'!$E$11</f>
        <v>5</v>
      </c>
      <c r="C2642" s="15">
        <f>1</f>
        <v>1</v>
      </c>
      <c r="D2642" s="14" t="str">
        <f t="shared" si="611"/>
        <v>Uso variable</v>
      </c>
      <c r="E2642" s="14">
        <f>119</f>
        <v>119</v>
      </c>
      <c r="F2642" s="21">
        <f>'Hoja 4 - Cálculo'!A143</f>
        <v>33178</v>
      </c>
      <c r="G2642" s="15">
        <f>'Hoja 4 - Cálculo'!H143</f>
        <v>24.881625</v>
      </c>
      <c r="H2642" s="15">
        <f>IF(D2642="Uso único",'Hoja 4 - Cálculo'!I143,IF(D2642="Uso múltiple",AVERAGE('Hoja 4 - Cálculo'!$I$25:$I$384)+AVERAGE('Hoja 4 - Cálculo'!$J$25:$J$384)+AVERAGE('Hoja 4 - Cálculo'!$K$25:$K$384),IF(D2642="Uso prioritario",'Hoja 4 - Cálculo'!I143+'Hoja 4 - Cálculo'!K143,'Hoja 4 - Cálculo'!I143+'Hoja 4 - Cálculo'!J143+'Hoja 4 - Cálculo'!K143)))</f>
        <v>11.5</v>
      </c>
      <c r="I2642" s="15">
        <f t="shared" si="609"/>
        <v>11.5</v>
      </c>
      <c r="J2642" s="15">
        <f t="shared" si="612"/>
        <v>5</v>
      </c>
      <c r="K2642" s="15">
        <f>MIN(J2642+G2642,(J2642+G2642)*'Hoja 4 - Cálculo'!$B$15)</f>
        <v>0.59763250000000001</v>
      </c>
      <c r="L2642" s="15">
        <f t="shared" si="615"/>
        <v>29.2839925</v>
      </c>
      <c r="M2642" s="15">
        <f t="shared" si="616"/>
        <v>11.5</v>
      </c>
      <c r="N2642" s="15">
        <f t="shared" si="617"/>
        <v>5</v>
      </c>
      <c r="O2642" s="15">
        <f t="shared" si="618"/>
        <v>12.7839925</v>
      </c>
      <c r="P2642" s="15">
        <f t="shared" si="619"/>
        <v>0</v>
      </c>
      <c r="Q2642" s="14" t="str">
        <f>IF(M2642&gt;=I2642*'Hoja 4 - Cálculo'!$B$16,"Satisfactorio","Falla")</f>
        <v>Satisfactorio</v>
      </c>
      <c r="R2642" s="14">
        <f t="shared" si="613"/>
        <v>0</v>
      </c>
      <c r="S2642" s="14">
        <f t="shared" si="614"/>
        <v>0</v>
      </c>
    </row>
    <row r="2643" spans="1:19">
      <c r="A2643" s="14" t="str">
        <f t="shared" si="610"/>
        <v>CFG-4</v>
      </c>
      <c r="B2643" s="15">
        <f>'Curvas SRY'!$E$11</f>
        <v>5</v>
      </c>
      <c r="C2643" s="15">
        <f>1</f>
        <v>1</v>
      </c>
      <c r="D2643" s="14" t="str">
        <f t="shared" si="611"/>
        <v>Uso variable</v>
      </c>
      <c r="E2643" s="14">
        <f>120</f>
        <v>120</v>
      </c>
      <c r="F2643" s="21">
        <f>'Hoja 4 - Cálculo'!A144</f>
        <v>33208</v>
      </c>
      <c r="G2643" s="15">
        <f>'Hoja 4 - Cálculo'!H144</f>
        <v>13.73175</v>
      </c>
      <c r="H2643" s="15">
        <f>IF(D2643="Uso único",'Hoja 4 - Cálculo'!I144,IF(D2643="Uso múltiple",AVERAGE('Hoja 4 - Cálculo'!$I$25:$I$384)+AVERAGE('Hoja 4 - Cálculo'!$J$25:$J$384)+AVERAGE('Hoja 4 - Cálculo'!$K$25:$K$384),IF(D2643="Uso prioritario",'Hoja 4 - Cálculo'!I144+'Hoja 4 - Cálculo'!K144,'Hoja 4 - Cálculo'!I144+'Hoja 4 - Cálculo'!J144+'Hoja 4 - Cálculo'!K144)))</f>
        <v>16</v>
      </c>
      <c r="I2643" s="15">
        <f t="shared" si="609"/>
        <v>16</v>
      </c>
      <c r="J2643" s="15">
        <f t="shared" si="612"/>
        <v>5</v>
      </c>
      <c r="K2643" s="15">
        <f>MIN(J2643+G2643,(J2643+G2643)*'Hoja 4 - Cálculo'!$B$15)</f>
        <v>0.374635</v>
      </c>
      <c r="L2643" s="15">
        <f t="shared" si="615"/>
        <v>18.357114999999997</v>
      </c>
      <c r="M2643" s="15">
        <f t="shared" si="616"/>
        <v>16</v>
      </c>
      <c r="N2643" s="15">
        <f t="shared" si="617"/>
        <v>2.3571149999999967</v>
      </c>
      <c r="O2643" s="15">
        <f t="shared" si="618"/>
        <v>0</v>
      </c>
      <c r="P2643" s="15">
        <f t="shared" si="619"/>
        <v>0</v>
      </c>
      <c r="Q2643" s="14" t="str">
        <f>IF(M2643&gt;=I2643*'Hoja 4 - Cálculo'!$B$16,"Satisfactorio","Falla")</f>
        <v>Satisfactorio</v>
      </c>
      <c r="R2643" s="14">
        <f t="shared" si="613"/>
        <v>0</v>
      </c>
      <c r="S2643" s="14">
        <f t="shared" si="614"/>
        <v>0</v>
      </c>
    </row>
  </sheetData>
  <mergeCells count="2">
    <mergeCell ref="A1:S1"/>
    <mergeCell ref="A2:S2"/>
  </mergeCells>
  <conditionalFormatting sqref="Q4:Q2643">
    <cfRule type="containsText" dxfId="1" priority="1" operator="containsText" text="Satisfactorio"/>
    <cfRule type="containsText" dxfId="0" priority="2" operator="containsText" text="Falla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252A1EF3BD024F856B47B579AB5244" ma:contentTypeVersion="13" ma:contentTypeDescription="Crear nuevo documento." ma:contentTypeScope="" ma:versionID="ddfaac56a287547bce89452cd31c5884">
  <xsd:schema xmlns:xsd="http://www.w3.org/2001/XMLSchema" xmlns:xs="http://www.w3.org/2001/XMLSchema" xmlns:p="http://schemas.microsoft.com/office/2006/metadata/properties" xmlns:ns2="42760c81-fd8e-4d59-8953-7cdb9f38b14f" xmlns:ns3="67a0edcd-0de5-43ed-8c27-e32f38a00c91" targetNamespace="http://schemas.microsoft.com/office/2006/metadata/properties" ma:root="true" ma:fieldsID="5ac878f7c8dbf4633d03f1982e859186" ns2:_="" ns3:_="">
    <xsd:import namespace="42760c81-fd8e-4d59-8953-7cdb9f38b14f"/>
    <xsd:import namespace="67a0edcd-0de5-43ed-8c27-e32f38a00c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60c81-fd8e-4d59-8953-7cdb9f38b1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a0edcd-0de5-43ed-8c27-e32f38a00c9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a3f4dd0-997b-4bf3-ab2c-d58d0ea4cbc8}" ma:internalName="TaxCatchAll" ma:showField="CatchAllData" ma:web="67a0edcd-0de5-43ed-8c27-e32f38a00c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760c81-fd8e-4d59-8953-7cdb9f38b14f">
      <Terms xmlns="http://schemas.microsoft.com/office/infopath/2007/PartnerControls"/>
    </lcf76f155ced4ddcb4097134ff3c332f>
    <TaxCatchAll xmlns="67a0edcd-0de5-43ed-8c27-e32f38a00c91" xsi:nil="true"/>
  </documentManagement>
</p:properties>
</file>

<file path=customXml/itemProps1.xml><?xml version="1.0" encoding="utf-8"?>
<ds:datastoreItem xmlns:ds="http://schemas.openxmlformats.org/officeDocument/2006/customXml" ds:itemID="{312ECE4A-C940-4E9F-9BB5-8355C99DE0C6}"/>
</file>

<file path=customXml/itemProps2.xml><?xml version="1.0" encoding="utf-8"?>
<ds:datastoreItem xmlns:ds="http://schemas.openxmlformats.org/officeDocument/2006/customXml" ds:itemID="{4CD2E7F9-1780-4A84-9AB5-5167DCA55509}"/>
</file>

<file path=customXml/itemProps3.xml><?xml version="1.0" encoding="utf-8"?>
<ds:datastoreItem xmlns:ds="http://schemas.openxmlformats.org/officeDocument/2006/customXml" ds:itemID="{7BF93D62-324D-46E1-8DF1-5B8ED51805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 de uso</vt:lpstr>
      <vt:lpstr>Hoja 4 - Cálculo</vt:lpstr>
      <vt:lpstr>Curvas SRY</vt:lpstr>
      <vt:lpstr>Soporte SRY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VEGA</dc:creator>
  <cp:lastModifiedBy>Guillermo Vega</cp:lastModifiedBy>
  <dcterms:modified xsi:type="dcterms:W3CDTF">2026-08-17T15:21:41Z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0x01010005252A1EF3BD024F856B47B579AB5244</vt:lpwstr>
  </property>
  <property fmtid="{D5CDD505-2E9C-101B-9397-08002B2CF9AE}" pid="3" name="MediaServiceImageTags">
    <vt:lpwstr/>
  </property>
</Properties>
</file>